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IN-CLASS_Lab Part A" sheetId="2" state="visible" r:id="rId2"/>
    <sheet xmlns:r="http://schemas.openxmlformats.org/officeDocument/2006/relationships" name="IN-CLASS_Lab Part B" sheetId="3" state="visible" r:id="rId3"/>
    <sheet xmlns:r="http://schemas.openxmlformats.org/officeDocument/2006/relationships" name="IN-CLASS_Lab Part C" sheetId="4" state="visible" r:id="rId4"/>
    <sheet xmlns:r="http://schemas.openxmlformats.org/officeDocument/2006/relationships" name="IN-CLASS_Lab Part D" sheetId="5" state="visible" r:id="rId5"/>
    <sheet xmlns:r="http://schemas.openxmlformats.org/officeDocument/2006/relationships" name="POST-CLASS_Part 1" sheetId="6" state="visible" r:id="rId6"/>
    <sheet xmlns:r="http://schemas.openxmlformats.org/officeDocument/2006/relationships" name="Data" sheetId="7" state="visible" r:id="rId7"/>
  </sheets>
  <definedNames>
    <definedName name="LabChoices_1">'Data'!$J$1:$J$4</definedName>
    <definedName name="LabChoices_2">'Data'!$K$1:$K$4</definedName>
    <definedName name="LabChoices_3">'Data'!$L$1:$L$4</definedName>
    <definedName name="_xlnm.Print_Area" localSheetId="0">'Start Here'!$A$1:$H$31</definedName>
    <definedName name="_xlnm.Print_Titles" localSheetId="1">'IN-CLASS_Lab Part A'!$1:$2</definedName>
    <definedName name="_xlnm.Print_Area" localSheetId="1">'IN-CLASS_Lab Part A'!$A$1:$H$24</definedName>
    <definedName name="_xlnm.Print_Titles" localSheetId="2">'IN-CLASS_Lab Part B'!$1:$2</definedName>
    <definedName name="_xlnm.Print_Area" localSheetId="2">'IN-CLASS_Lab Part B'!$A$1:$H$31</definedName>
    <definedName name="_xlnm.Print_Titles" localSheetId="3">'IN-CLASS_Lab Part C'!$1:$2</definedName>
    <definedName name="_xlnm.Print_Area" localSheetId="3">'IN-CLASS_Lab Part C'!$A$1:$H$59</definedName>
    <definedName name="_xlnm.Print_Titles" localSheetId="4">'IN-CLASS_Lab Part D'!$1:$2</definedName>
    <definedName name="_xlnm.Print_Area" localSheetId="4">'IN-CLASS_Lab Part D'!$A$1:$H$88</definedName>
    <definedName name="_xlnm.Print_Titles" localSheetId="5">'POST-CLASS_Part 1'!$1:$2</definedName>
    <definedName name="_xlnm.Print_Area" localSheetId="5">'POST-CLASS_Part 1'!$A$1:$H$55</definedName>
    <definedName name="_xlnm.Print_Titles" localSheetId="6">'Data'!$1:$1</definedName>
    <definedName name="_xlnm.Print_Area" localSheetId="6">'Data'!$A$1:$H$10001</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16">
    <font>
      <name val="Calibri"/>
      <family val="2"/>
      <color theme="1"/>
      <sz val="11"/>
      <scheme val="minor"/>
    </font>
    <font>
      <name val="Arial"/>
      <b val="1"/>
      <color rgb="0057068C"/>
      <sz val="17"/>
    </font>
    <font>
      <name val="Arial"/>
      <color rgb="00000000"/>
      <sz val="11"/>
    </font>
    <font>
      <name val="Arial"/>
      <i val="1"/>
      <color rgb="00777777"/>
      <sz val="11"/>
    </font>
    <font>
      <name val="Arial"/>
      <b val="1"/>
      <sz val="11"/>
    </font>
    <font>
      <name val="Arial"/>
      <sz val="11"/>
    </font>
    <font>
      <name val="Arial"/>
      <b val="1"/>
      <color rgb="0057068C"/>
      <sz val="20"/>
    </font>
    <font>
      <name val="Arial"/>
      <color rgb="00292334"/>
      <sz val="12"/>
    </font>
    <font>
      <name val="Arial"/>
      <b val="1"/>
      <color rgb="0057068C"/>
      <sz val="12"/>
    </font>
    <font>
      <name val="Arial"/>
      <i val="1"/>
      <color rgb="0066616C"/>
      <sz val="11"/>
    </font>
    <font>
      <name val="Arial"/>
      <color rgb="0057068C"/>
      <sz val="12"/>
    </font>
    <font>
      <b/>
      <name val="Arial"/>
      <sz val="15"/>
      <color rgb="FFFFFFFF"/>
    </font>
    <font>
      <name val="Arial"/>
      <sz val="11"/>
      <color rgb="FF57068C"/>
    </font>
    <font>
      <name val="Arial"/>
      <color rgb="00000000"/>
      <sz val="13"/>
    </font>
    <font>
      <b/>
      <name val="Arial"/>
      <sz val="11"/>
      <color rgb="FF1F7A4D"/>
    </font>
    <font>
      <b/>
      <name val="Arial"/>
      <sz val="11"/>
      <color rgb="FF9A4A00"/>
    </font>
  </fonts>
  <fills count="11">
    <fill>
      <patternFill/>
    </fill>
    <fill>
      <patternFill patternType="gray125"/>
    </fill>
    <fill>
      <patternFill patternType="solid">
        <fgColor rgb="00EDE7F6"/>
      </patternFill>
    </fill>
    <fill>
      <patternFill patternType="solid">
        <fgColor rgb="00FFF9DB"/>
      </patternFill>
    </fill>
    <fill>
      <patternFill patternType="solid">
        <fgColor rgb="00EDF4F7"/>
      </patternFill>
    </fill>
    <fill>
      <patternFill patternType="solid">
        <fgColor rgb="FF57068C"/>
        <bgColor indexed="64"/>
      </patternFill>
    </fill>
    <fill>
      <patternFill patternType="solid">
        <fgColor rgb="FFF3ECF9"/>
        <bgColor indexed="64"/>
      </patternFill>
    </fill>
    <fill>
      <patternFill patternType="solid">
        <fgColor rgb="FFFFFFFF"/>
        <bgColor indexed="64"/>
      </patternFill>
    </fill>
    <fill>
      <patternFill patternType="solid">
        <fgColor rgb="FFE3F3EA"/>
        <bgColor indexed="64"/>
      </patternFill>
    </fill>
    <fill>
      <patternFill patternType="solid">
        <fgColor rgb="FFFAF9FC"/>
        <bgColor indexed="64"/>
      </patternFill>
    </fill>
    <fill>
      <patternFill patternType="solid">
        <fgColor rgb="FFFFF1E3"/>
        <bgColor indexed="64"/>
      </patternFill>
    </fill>
  </fills>
  <borders count="14">
    <border>
      <left/>
      <right/>
      <top/>
      <bottom/>
      <diagonal/>
    </border>
    <border>
      <left style="thin">
        <color rgb="00CCCCCC"/>
      </left>
      <right style="thin">
        <color rgb="00CCCCCC"/>
      </right>
      <top style="thin">
        <color rgb="00CCCCCC"/>
      </top>
      <bottom style="thin">
        <color rgb="00CCCCCC"/>
      </bottom>
    </border>
    <border>
      <left style="thin">
        <color rgb="00CCCCCC"/>
      </left>
      <right/>
      <top style="thin">
        <color rgb="00CCCCCC"/>
      </top>
      <bottom style="thin">
        <color rgb="00CCCCCC"/>
      </bottom>
    </border>
    <border>
      <left/>
      <right/>
      <top style="thin">
        <color rgb="00CCCCCC"/>
      </top>
      <bottom style="thin">
        <color rgb="00CCCCCC"/>
      </bottom>
    </border>
    <border>
      <left/>
      <right style="thin">
        <color rgb="00CCCCCC"/>
      </right>
      <top style="thin">
        <color rgb="00CCCCCC"/>
      </top>
      <bottom style="thin">
        <color rgb="00CCCCCC"/>
      </bottom>
    </border>
    <border>
      <left style="thin">
        <color rgb="00CCCCCC"/>
      </left>
      <right/>
      <top style="thin">
        <color rgb="00CCCCCC"/>
      </top>
      <bottom/>
    </border>
    <border>
      <left/>
      <right/>
      <top style="thin">
        <color rgb="00CCCCCC"/>
      </top>
      <bottom/>
    </border>
    <border>
      <left/>
      <right style="thin">
        <color rgb="00CCCCCC"/>
      </right>
      <top style="thin">
        <color rgb="00CCCCCC"/>
      </top>
      <bottom/>
    </border>
    <border>
      <left style="thin">
        <color rgb="00CCCCCC"/>
      </left>
      <right/>
      <top/>
      <bottom/>
    </border>
    <border>
      <left/>
      <right/>
      <top/>
      <bottom/>
    </border>
    <border>
      <left/>
      <right style="thin">
        <color rgb="00CCCCCC"/>
      </right>
      <top/>
      <bottom/>
    </border>
    <border>
      <left style="thin">
        <color rgb="00CCCCCC"/>
      </left>
      <right/>
      <top/>
      <bottom style="thin">
        <color rgb="00CCCCCC"/>
      </bottom>
    </border>
    <border>
      <left/>
      <right/>
      <top/>
      <bottom style="thin">
        <color rgb="00CCCCCC"/>
      </bottom>
    </border>
    <border>
      <left/>
      <right style="thin">
        <color rgb="00CCCCCC"/>
      </right>
      <top/>
      <bottom style="thin">
        <color rgb="00CCCCCC"/>
      </bottom>
    </border>
  </borders>
  <cellStyleXfs count="1">
    <xf numFmtId="0" fontId="0" fillId="0" borderId="0"/>
  </cellStyleXfs>
  <cellXfs count="40">
    <xf numFmtId="0" fontId="0"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7" fillId="3" borderId="1" applyAlignment="1" pivotButton="0" quotePrefix="0" xfId="0">
      <alignment vertical="center" wrapText="1"/>
    </xf>
    <xf numFmtId="0" fontId="9" fillId="0" borderId="0" applyAlignment="1" pivotButton="0" quotePrefix="0" xfId="0">
      <alignment vertical="center" wrapText="1"/>
    </xf>
    <xf numFmtId="0" fontId="7" fillId="4" borderId="0" applyAlignment="1" pivotButton="0" quotePrefix="0" xfId="0">
      <alignment vertical="center" wrapText="1"/>
    </xf>
    <xf numFmtId="0" fontId="10"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1"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0" fontId="2" fillId="3" borderId="2" applyAlignment="1" pivotButton="0" quotePrefix="0" xfId="0">
      <alignment vertical="center" wrapText="1"/>
    </xf>
    <xf numFmtId="0" fontId="0" fillId="0" borderId="3" applyAlignment="1" pivotButton="0" quotePrefix="0" xfId="0">
      <alignment vertical="center"/>
    </xf>
    <xf numFmtId="0" fontId="0" fillId="0" borderId="4" applyAlignment="1" pivotButton="0" quotePrefix="0" xfId="0">
      <alignment vertical="center"/>
    </xf>
    <xf numFmtId="0" fontId="3" fillId="3" borderId="5" applyAlignment="1" pivotButton="0" quotePrefix="0" xfId="0">
      <alignment vertical="center" wrapText="1"/>
    </xf>
    <xf numFmtId="0" fontId="2" fillId="3" borderId="6"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vertical="center" wrapText="1"/>
    </xf>
    <xf numFmtId="0" fontId="2" fillId="3" borderId="9" applyAlignment="1" pivotButton="0" quotePrefix="0" xfId="0">
      <alignment vertical="center" wrapText="1"/>
    </xf>
    <xf numFmtId="0" fontId="2" fillId="3" borderId="10" applyAlignment="1" pivotButton="0" quotePrefix="0" xfId="0">
      <alignment vertical="center" wrapText="1"/>
    </xf>
    <xf numFmtId="0" fontId="2" fillId="3" borderId="11" applyAlignment="1" pivotButton="0" quotePrefix="0" xfId="0">
      <alignment vertical="center" wrapText="1"/>
    </xf>
    <xf numFmtId="0" fontId="2" fillId="3" borderId="12" applyAlignment="1" pivotButton="0" quotePrefix="0" xfId="0">
      <alignment vertical="center" wrapText="1"/>
    </xf>
    <xf numFmtId="0" fontId="2" fillId="3" borderId="13" applyAlignment="1" pivotButton="0" quotePrefix="0" xfId="0">
      <alignment vertical="center" wrapText="1"/>
    </xf>
    <xf numFmtId="164" fontId="2" fillId="3" borderId="1" applyAlignment="1" pivotButton="0" quotePrefix="0" xfId="0">
      <alignment vertical="center" wrapText="1"/>
    </xf>
    <xf numFmtId="166" fontId="0" fillId="0" borderId="0" pivotButton="0" quotePrefix="0" xfId="0"/>
    <xf numFmtId="0" fontId="0" fillId="0" borderId="0" applyAlignment="1" pivotButton="0" quotePrefix="0" xfId="0">
      <alignment vertical="top" wrapText="1"/>
    </xf>
    <xf numFmtId="0" fontId="3" fillId="3" borderId="2" applyAlignment="1" pivotButton="0" quotePrefix="0" xfId="0">
      <alignment vertical="center" wrapText="1"/>
    </xf>
    <xf numFmtId="0" fontId="2" fillId="3" borderId="3" applyAlignment="1" pivotButton="0" quotePrefix="0" xfId="0">
      <alignment vertical="center" wrapText="1"/>
    </xf>
    <xf numFmtId="0" fontId="2" fillId="3" borderId="4" applyAlignment="1" pivotButton="0" quotePrefix="0" xfId="0">
      <alignment vertical="center" wrapText="1"/>
    </xf>
    <xf numFmtId="165" fontId="2" fillId="3" borderId="1" applyAlignment="1" pivotButton="0" quotePrefix="0" xfId="0">
      <alignment vertical="center" wrapText="1"/>
    </xf>
    <xf numFmtId="0" fontId="11" fillId="5" borderId="0" applyAlignment="1" pivotButton="0" quotePrefix="0" xfId="0" applyFont="1" applyFill="1">
      <alignment vertical="center" wrapText="1"/>
    </xf>
    <xf numFmtId="0" fontId="12" fillId="6" borderId="0" applyAlignment="1" pivotButton="0" quotePrefix="0" xfId="0" applyFont="1" applyFill="1">
      <alignment vertical="center" wrapText="1"/>
    </xf>
    <xf numFmtId="0" fontId="13" fillId="7" borderId="0" applyAlignment="1" pivotButton="0" quotePrefix="0" xfId="0" applyFont="1" applyFill="1">
      <alignment vertical="center" wrapText="1"/>
    </xf>
    <xf numFmtId="0" fontId="14" fillId="8" borderId="0" applyAlignment="1" pivotButton="0" quotePrefix="0" xfId="0" applyFont="1" applyFill="1">
      <alignment vertical="center" wrapText="1"/>
    </xf>
    <xf numFmtId="0" fontId="2" fillId="9" borderId="0" applyAlignment="1" pivotButton="0" quotePrefix="0" xfId="0" applyFill="1">
      <alignment vertical="center" wrapText="1"/>
    </xf>
    <xf numFmtId="0" fontId="15" fillId="10" borderId="0" applyAlignment="1" pivotButton="0" quotePrefix="0" xfId="0" applyFont="1" applyFill="1">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400" b="1">
                <a:solidFill>
                  <a:srgbClr val="3F006B"/>
                </a:solidFill>
              </a:defRPr>
            </a:pPr>
            <a:r>
              <a:rPr sz="1400" b="1">
                <a:solidFill>
                  <a:srgbClr val="3F006B"/>
                </a:solidFill>
              </a:rPr>
              <a:t>Valid fulfillment latency with Tukey boundaries (XY box plot)</a:t>
            </a:r>
          </a:p>
        </rich>
      </tx>
      <overlay val="0"/>
    </title>
    <plotArea>
      <scatterChart>
        <scatterStyle val="lineMarker"/>
        <ser>
          <idx val="0"/>
          <order val="0"/>
          <tx>
            <v>quartile box</v>
          </tx>
          <spPr>
            <a:ln xmlns:a="http://schemas.openxmlformats.org/drawingml/2006/main" w="22000" cap="rnd">
              <a:solidFill>
                <a:srgbClr val="57068C"/>
              </a:solidFill>
              <a:prstDash val="solid"/>
            </a:ln>
          </spPr>
          <marker>
            <symbol val="none"/>
            <spPr>
              <a:ln xmlns:a="http://schemas.openxmlformats.org/drawingml/2006/main">
                <a:prstDash val="solid"/>
              </a:ln>
            </spPr>
          </marker>
          <xVal>
            <numRef>
              <f>'IN-CLASS_Lab Part C'!$N$1:$N$5</f>
            </numRef>
          </xVal>
          <yVal>
            <numRef>
              <f>'IN-CLASS_Lab Part C'!$O$1:$O$5</f>
            </numRef>
          </yVal>
          <smooth val="0"/>
        </ser>
        <ser>
          <idx val="1"/>
          <order val="1"/>
          <tx>
            <v>median</v>
          </tx>
          <spPr>
            <a:ln xmlns:a="http://schemas.openxmlformats.org/drawingml/2006/main" w="34000" cap="rnd">
              <a:solidFill>
                <a:srgbClr val="3F006B"/>
              </a:solidFill>
              <a:prstDash val="solid"/>
            </a:ln>
          </spPr>
          <marker>
            <symbol val="none"/>
            <spPr>
              <a:ln xmlns:a="http://schemas.openxmlformats.org/drawingml/2006/main">
                <a:prstDash val="solid"/>
              </a:ln>
            </spPr>
          </marker>
          <xVal>
            <numRef>
              <f>'IN-CLASS_Lab Part C'!$P$1:$P$2</f>
            </numRef>
          </xVal>
          <yVal>
            <numRef>
              <f>'IN-CLASS_Lab Part C'!$Q$1:$Q$2</f>
            </numRef>
          </yVal>
          <smooth val="0"/>
        </ser>
        <ser>
          <idx val="2"/>
          <order val="2"/>
          <tx>
            <v>lower whisker</v>
          </tx>
          <spPr>
            <a:ln xmlns:a="http://schemas.openxmlformats.org/drawingml/2006/main" w="19000" cap="rnd">
              <a:solidFill>
                <a:srgbClr val="57068C"/>
              </a:solidFill>
              <a:prstDash val="solid"/>
            </a:ln>
          </spPr>
          <marker>
            <symbol val="none"/>
            <spPr>
              <a:ln xmlns:a="http://schemas.openxmlformats.org/drawingml/2006/main">
                <a:prstDash val="solid"/>
              </a:ln>
            </spPr>
          </marker>
          <xVal>
            <numRef>
              <f>'IN-CLASS_Lab Part C'!$R$1:$R$2</f>
            </numRef>
          </xVal>
          <yVal>
            <numRef>
              <f>'IN-CLASS_Lab Part C'!$S$1:$S$2</f>
            </numRef>
          </yVal>
          <smooth val="0"/>
        </ser>
        <ser>
          <idx val="3"/>
          <order val="3"/>
          <tx>
            <v>upper whisker</v>
          </tx>
          <spPr>
            <a:ln xmlns:a="http://schemas.openxmlformats.org/drawingml/2006/main" w="19000" cap="rnd">
              <a:solidFill>
                <a:srgbClr val="57068C"/>
              </a:solidFill>
              <a:prstDash val="solid"/>
            </a:ln>
          </spPr>
          <marker>
            <symbol val="none"/>
            <spPr>
              <a:ln xmlns:a="http://schemas.openxmlformats.org/drawingml/2006/main">
                <a:prstDash val="solid"/>
              </a:ln>
            </spPr>
          </marker>
          <xVal>
            <numRef>
              <f>'IN-CLASS_Lab Part C'!$T$1:$T$2</f>
            </numRef>
          </xVal>
          <yVal>
            <numRef>
              <f>'IN-CLASS_Lab Part C'!$U$1:$U$2</f>
            </numRef>
          </yVal>
          <smooth val="0"/>
        </ser>
        <ser>
          <idx val="4"/>
          <order val="4"/>
          <tx>
            <v>lower cap</v>
          </tx>
          <spPr>
            <a:ln xmlns:a="http://schemas.openxmlformats.org/drawingml/2006/main" w="28000" cap="rnd">
              <a:solidFill>
                <a:srgbClr val="57068C"/>
              </a:solidFill>
              <a:prstDash val="solid"/>
            </a:ln>
          </spPr>
          <marker>
            <symbol val="none"/>
            <spPr>
              <a:ln xmlns:a="http://schemas.openxmlformats.org/drawingml/2006/main">
                <a:prstDash val="solid"/>
              </a:ln>
            </spPr>
          </marker>
          <xVal>
            <numRef>
              <f>'IN-CLASS_Lab Part C'!$V$1:$V$2</f>
            </numRef>
          </xVal>
          <yVal>
            <numRef>
              <f>'IN-CLASS_Lab Part C'!$W$1:$W$2</f>
            </numRef>
          </yVal>
          <smooth val="0"/>
        </ser>
        <ser>
          <idx val="5"/>
          <order val="5"/>
          <tx>
            <v>upper cap</v>
          </tx>
          <spPr>
            <a:ln xmlns:a="http://schemas.openxmlformats.org/drawingml/2006/main" w="28000" cap="rnd">
              <a:solidFill>
                <a:srgbClr val="57068C"/>
              </a:solidFill>
              <a:prstDash val="solid"/>
            </a:ln>
          </spPr>
          <marker>
            <symbol val="none"/>
            <spPr>
              <a:ln xmlns:a="http://schemas.openxmlformats.org/drawingml/2006/main">
                <a:prstDash val="solid"/>
              </a:ln>
            </spPr>
          </marker>
          <xVal>
            <numRef>
              <f>'IN-CLASS_Lab Part C'!$X$1:$X$2</f>
            </numRef>
          </xVal>
          <yVal>
            <numRef>
              <f>'IN-CLASS_Lab Part C'!$Y$1:$Y$2</f>
            </numRef>
          </yVal>
          <smooth val="0"/>
        </ser>
        <ser>
          <idx val="6"/>
          <order val="6"/>
          <tx>
            <v>Recorded observations; points beyond whiskers are outliers</v>
          </tx>
          <spPr>
            <a:ln xmlns:a="http://schemas.openxmlformats.org/drawingml/2006/main">
              <a:noFill/>
              <a:prstDash val="solid"/>
            </a:ln>
          </spPr>
          <marker>
            <symbol val="circle"/>
            <size val="5"/>
            <spPr>
              <a:solidFill xmlns:a="http://schemas.openxmlformats.org/drawingml/2006/main">
                <a:srgbClr val="18A6D8"/>
              </a:solidFill>
              <a:ln xmlns:a="http://schemas.openxmlformats.org/drawingml/2006/main">
                <a:solidFill>
                  <a:srgbClr val="18A6D8"/>
                </a:solidFill>
                <a:prstDash val="solid"/>
              </a:ln>
            </spPr>
          </marker>
          <xVal>
            <numRef>
              <f>'IN-CLASS_Lab Part C'!$Z$1:$Z$10000</f>
            </numRef>
          </xVal>
          <yVal>
            <numRef>
              <f>'IN-CLASS_Lab Part C'!$AA$1:$AA$10000</f>
            </numRef>
          </yVal>
          <smooth val="0"/>
        </ser>
        <axId val="10"/>
        <axId val="20"/>
      </scatterChart>
      <valAx>
        <axId val="10"/>
        <scaling>
          <orientation val="minMax"/>
          <max val="1.5"/>
          <min val="0.5"/>
        </scaling>
        <delete val="1"/>
        <axPos val="l"/>
        <majorTickMark val="none"/>
        <minorTickMark val="none"/>
        <crossAx val="20"/>
      </valAx>
      <valAx>
        <axId val="20"/>
        <scaling>
          <orientation val="minMax"/>
        </scaling>
        <delete val="0"/>
        <axPos val="l"/>
        <majorGridlines>
          <spPr>
            <a:ln xmlns:a="http://schemas.openxmlformats.org/drawingml/2006/main" w="6350">
              <a:solidFill>
                <a:srgbClr val="D9D2E0"/>
              </a:solidFill>
              <a:prstDash val="solid"/>
            </a:ln>
          </spPr>
        </majorGridlines>
        <title>
          <tx>
            <rich>
              <a:bodyPr xmlns:a="http://schemas.openxmlformats.org/drawingml/2006/main"/>
              <a:p xmlns:a="http://schemas.openxmlformats.org/drawingml/2006/main">
                <a:pPr>
                  <a:defRPr sz="1100" b="1">
                    <a:solidFill>
                      <a:srgbClr val="2A1240"/>
                    </a:solidFill>
                  </a:defRPr>
                </a:pPr>
                <a:r>
                  <a:rPr sz="1100" b="1">
                    <a:solidFill>
                      <a:srgbClr val="2A1240"/>
                    </a:solidFill>
                  </a:rPr>
                  <a:t>Fulfillment latency (minutes)</a:t>
                </a:r>
              </a:p>
            </rich>
          </tx>
          <overlay val="0"/>
        </title>
        <numFmt formatCode="0.0" sourceLinked="0"/>
        <majorTickMark val="none"/>
        <minorTickMark val="none"/>
        <txPr>
          <a:bodyPr xmlns:a="http://schemas.openxmlformats.org/drawingml/2006/main"/>
          <a:p xmlns:a="http://schemas.openxmlformats.org/drawingml/2006/main">
            <a:pPr>
              <a:defRPr sz="1100" b="0">
                <a:solidFill>
                  <a:srgbClr val="2A1240"/>
                </a:solidFill>
              </a:defRPr>
            </a:pPr>
            <a:r>
              <a:t/>
            </a:r>
            <a:endParaRPr sz="1100" b="0">
              <a:solidFill>
                <a:srgbClr val="2A1240"/>
              </a:solidFill>
            </a:endParaRPr>
          </a:p>
        </txPr>
        <crossAx val="10"/>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400" b="1">
                <a:solidFill>
                  <a:srgbClr val="3F006B"/>
                </a:solidFill>
              </a:defRPr>
            </a:pPr>
            <a:r>
              <a:rPr sz="1400" b="1">
                <a:solidFill>
                  <a:srgbClr val="3F006B"/>
                </a:solidFill>
              </a:rPr>
              <a:t>Valid latency IQR by regional hub</a:t>
            </a:r>
          </a:p>
        </rich>
      </tx>
      <overlay val="0"/>
    </title>
    <plotArea>
      <barChart>
        <barDir val="bar"/>
        <grouping val="clustered"/>
        <ser>
          <idx val="0"/>
          <order val="0"/>
          <spPr>
            <a:solidFill xmlns:a="http://schemas.openxmlformats.org/drawingml/2006/main">
              <a:srgbClr val="57068C"/>
            </a:solidFill>
            <a:ln xmlns:a="http://schemas.openxmlformats.org/drawingml/2006/main">
              <a:solidFill>
                <a:srgbClr val="57068C"/>
              </a:solidFill>
              <a:prstDash val="solid"/>
            </a:ln>
          </spPr>
          <cat>
            <numRef>
              <f>'IN-CLASS_Lab Part D'!$A$7:$A$9</f>
            </numRef>
          </cat>
          <val>
            <numRef>
              <f>'IN-CLASS_Lab Part D'!$F$7:$F$9</f>
            </numRef>
          </val>
        </ser>
        <dLbls>
          <txPr>
            <a:bodyPr xmlns:a="http://schemas.openxmlformats.org/drawingml/2006/main"/>
            <a:p xmlns:a="http://schemas.openxmlformats.org/drawingml/2006/main">
              <a:pPr>
                <a:defRPr sz="1000" b="1">
                  <a:solidFill>
                    <a:srgbClr val="3F006B"/>
                  </a:solidFill>
                </a:defRPr>
              </a:pPr>
              <a:r>
                <a:t/>
              </a:r>
              <a:endParaRPr sz="1000" b="1">
                <a:solidFill>
                  <a:srgbClr val="3F006B"/>
                </a:solidFill>
              </a:endParaRPr>
            </a:p>
          </txPr>
          <dLblPos val="outEnd"/>
          <showLegendKey val="0"/>
          <showVal val="1"/>
          <showCatName val="0"/>
          <showSerName val="0"/>
          <showPercent val="0"/>
        </dLbls>
        <gapWidth val="90"/>
        <axId val="10"/>
        <axId val="100"/>
      </barChart>
      <catAx>
        <axId val="10"/>
        <scaling>
          <orientation val="maxMin"/>
        </scaling>
        <delete val="0"/>
        <axPos val="l"/>
        <title>
          <tx>
            <rich>
              <a:bodyPr xmlns:a="http://schemas.openxmlformats.org/drawingml/2006/main"/>
              <a:p xmlns:a="http://schemas.openxmlformats.org/drawingml/2006/main">
                <a:pPr>
                  <a:defRPr sz="1100" b="1">
                    <a:solidFill>
                      <a:srgbClr val="2A1240"/>
                    </a:solidFill>
                  </a:defRPr>
                </a:pPr>
                <a:r>
                  <a:rPr sz="1100" b="1">
                    <a:solidFill>
                      <a:srgbClr val="2A1240"/>
                    </a:solidFill>
                  </a:rPr>
                  <a:t>Category</a:t>
                </a:r>
              </a:p>
            </rich>
          </tx>
          <overlay val="0"/>
        </title>
        <majorTickMark val="none"/>
        <minorTickMark val="none"/>
        <txPr>
          <a:bodyPr xmlns:a="http://schemas.openxmlformats.org/drawingml/2006/main"/>
          <a:p xmlns:a="http://schemas.openxmlformats.org/drawingml/2006/main">
            <a:pPr>
              <a:defRPr sz="1100" b="0">
                <a:solidFill>
                  <a:srgbClr val="2A1240"/>
                </a:solidFill>
              </a:defRPr>
            </a:pPr>
            <a:r>
              <a:t/>
            </a:r>
            <a:endParaRPr sz="1100" b="0">
              <a:solidFill>
                <a:srgbClr val="2A1240"/>
              </a:solidFill>
            </a:endParaRPr>
          </a:p>
        </txPr>
        <crossAx val="100"/>
        <lblOffset val="100"/>
      </catAx>
      <valAx>
        <axId val="100"/>
        <scaling>
          <orientation val="minMax"/>
          <min val="0"/>
        </scaling>
        <delete val="0"/>
        <axPos val="b"/>
        <title>
          <tx>
            <rich>
              <a:bodyPr xmlns:a="http://schemas.openxmlformats.org/drawingml/2006/main"/>
              <a:p xmlns:a="http://schemas.openxmlformats.org/drawingml/2006/main">
                <a:pPr>
                  <a:defRPr sz="1100" b="1">
                    <a:solidFill>
                      <a:srgbClr val="2A1240"/>
                    </a:solidFill>
                  </a:defRPr>
                </a:pPr>
                <a:r>
                  <a:rPr sz="1100" b="1">
                    <a:solidFill>
                      <a:srgbClr val="2A1240"/>
                    </a:solidFill>
                  </a:rPr>
                  <a:t>Interquartile range (minutes)</a:t>
                </a:r>
              </a:p>
            </rich>
          </tx>
          <overlay val="0"/>
        </title>
        <majorTickMark val="none"/>
        <minorTickMark val="none"/>
        <txPr>
          <a:bodyPr xmlns:a="http://schemas.openxmlformats.org/drawingml/2006/main"/>
          <a:p xmlns:a="http://schemas.openxmlformats.org/drawingml/2006/main">
            <a:pPr>
              <a:defRPr sz="1100" b="0">
                <a:solidFill>
                  <a:srgbClr val="2A1240"/>
                </a:solidFill>
              </a:defRPr>
            </a:pPr>
            <a:r>
              <a:t/>
            </a:r>
            <a:endParaRPr sz="1100" b="0">
              <a:solidFill>
                <a:srgbClr val="2A1240"/>
              </a:solidFill>
            </a:endParaRPr>
          </a:p>
        </txPr>
        <crossAx val="10"/>
        <crosses val="max"/>
      </valAx>
    </plotArea>
    <plotVisOnly val="1"/>
    <dispBlanksAs val="gap"/>
  </chart>
</chartSpace>
</file>

<file path=xl/comments/comment1.xml><?xml version="1.0" encoding="utf-8"?>
<comments xmlns="http://schemas.openxmlformats.org/spreadsheetml/2006/main">
  <authors>
    <author>Lab guidance</author>
  </authors>
  <commentList>
    <comment ref="B7" authorId="0" shapeId="0">
      <text>
        <t>Lecture connection: Observational Grain and Missingness Screening
Why: Count records carrying the age sentinel so the age denominator can be documented without excluding valid latency.
How: Orders[Age_Years] is the screened range.
How: -1 is the exact documented age-sentinel criterion.
Read the result: Read the result as a number of recorded orders, not as an age.
Watch out: Do not replace -1 with zero or delete the source rows.
Already formatted: Number, 0 decimals, records; unrelated formatting example only: stored 7 displays as 7 records. This example is not an expected answer. Enter the formula and press Enter.</t>
      </text>
    </comment>
    <comment ref="B8" authorId="0" shapeId="0">
      <text>
        <t>Lecture connection: Observational Grain and Missingness Screening
Why: Count latency sentinels so later latency summaries use only valid recorded minutes.
How: Orders[Latency_Minutes] is the screened range.
How: 999 is the exact documented latency-sentinel criterion.
Read the result: Read the result as excluded latency records; the rows remain in the source.
Watch out: Do not treat 999 as an unusually long valid delivery.
Already formatted: Number, 0 decimals, records; unrelated formatting example only: stored 7 displays as 7 records. This example is not an expected answer. Enter the formula and press Enter.</t>
      </text>
    </comment>
  </commentList>
</comments>
</file>

<file path=xl/comments/comment2.xml><?xml version="1.0" encoding="utf-8"?>
<comments xmlns="http://schemas.openxmlformats.org/spreadsheetml/2006/main">
  <authors>
    <author>Lab guidance</author>
  </authors>
  <commentList>
    <comment ref="B7" authorId="0" shapeId="0">
      <text>
        <t>Lecture connection: Central Tendency and Resistance
Why: Calculate average valid latency to describe the arithmetic burden relevant to Metro's SLA decision.
How: FILTER returns Latency_Minutes where the value is neither 999 nor blank.
How: AVERAGE adds those valid minutes and divides by their valid record count.
Read the result: Read the result as mean fulfillment latency in minutes per valid recorded order.
Watch out: Including 999 would pull the mean upward and change the denominator.
Already formatted: Number, 1 decimal, minutes; unrelated formatting example only: stored 7.26 displays as 7.3 minutes. This example is not an expected answer. Enter the formula and press Enter.</t>
      </text>
    </comment>
    <comment ref="B8" authorId="0" shapeId="0">
      <text>
        <t>Lecture connection: Central Tendency and Resistance
Why: Calculate the resistant middle valid latency for the stakeholder's typical-order comparison.
How: FILTER applies the documented valid-latency rule.
How: MEDIAN finds the middle of the ordered valid values.
Read the result: Read the result as the middle valid latency in minutes, with half the observations on each side.
Watch out: Do not describe the median as an arithmetic average.
Already formatted: Number, 1 decimal, minutes; unrelated formatting example only: stored 7.26 displays as 7.3 minutes. This example is not an expected answer. Enter the formula and press Enter.</t>
      </text>
    </comment>
    <comment ref="B9" authorId="0" shapeId="0">
      <text>
        <t>Lecture connection: Measures of Spread, Skewness, and Kurtosis
Why: Measure how widely valid latency varies around its mean for the service-risk assessment.
How: FILTER supplies the same valid latency observations.
How: STDEV.S uses the sample denominator n-1 and returns the result in minutes.
Read the result: Larger values indicate greater spread around the mean, in the same minute units as latency.
Watch out: Do not use STDEV.P when the accepted concept requires sample standard deviation.
Already formatted: Number, 1 decimal, minutes; unrelated formatting example only: stored 7.26 displays as 7.3 minutes. This example is not an expected answer. Enter the formula and press Enter.</t>
      </text>
    </comment>
    <comment ref="B10" authorId="0" shapeId="0">
      <text>
        <t>Lecture connection: Measures of Spread, Skewness, and Kurtosis
Why: Measure the resistant width of the middle half of valid latency for comparison with sample SD.
How: LET names the filtered valid values v.
How: QUARTILE.EXC(v,3) is Q3 and QUARTILE.EXC(v,1) is Q1.
How: Subtracting Q1 from Q3 returns IQR in minutes.
Read the result: Read the result as the minute width containing the middle half of valid observations.
Watch out: Do not mix exclusive and inclusive quartile conventions.
Already formatted: Number, 1 decimal, minutes; unrelated formatting example only: stored 7.26 displays as 7.3 minutes. This example is not an expected answer. Enter the formula and press Enter.</t>
      </text>
    </comment>
  </commentList>
</comments>
</file>

<file path=xl/comments/comment3.xml><?xml version="1.0" encoding="utf-8"?>
<comments xmlns="http://schemas.openxmlformats.org/spreadsheetml/2006/main">
  <authors>
    <author>Lab guidance</author>
  </authors>
  <commentList>
    <comment ref="B7" authorId="0" shapeId="0">
      <text>
        <t>Lecture connection: Visual Distribution Geometry and Tukey Fences
Why: Set the upper investigation boundary for unusually high valid latency observations.
How: QUARTILE.EXC on the filtered values returns Q3.
How: The linked Part B cell supplies IQR.
How: Adding 1.5 times IQR forms the upper Tukey fence.
Read the result: Valid latencies above this minute boundary are flagged for investigation, not automatically removed.
Watch out: Do not include the 999 sentinel when calculating Q3.
Already formatted: Number, 1 decimal, minutes; unrelated formatting example only: stored 7.26 displays as 7.3 minutes. This example is not an expected answer. Enter the formula and press Enter.</t>
      </text>
    </comment>
    <comment ref="B8" authorId="0" shapeId="0">
      <text>
        <t>Lecture connection: Visual Distribution Geometry and Tukey Fences
Why: Set the lower investigation boundary using the same valid observations and resistant spread.
How: QUARTILE.EXC on the filtered values returns Q1.
How: The linked Part B cell supplies IQR.
How: Subtracting 1.5 times IQR forms the lower Tukey fence.
Read the result: Valid latencies below this minute boundary would be lower-tail flags.
Watch out: Do not reverse Q1 and Q3 or add when calculating the lower fence.
Already formatted: Number, 1 decimal, minutes; unrelated formatting example only: stored 7.26 displays as 7.3 minutes. This example is not an expected answer. Enter the formula and press Enter.</t>
      </text>
    </comment>
    <comment ref="B9" authorId="0" shapeId="0">
      <text>
        <t>Lecture connection: Visual Distribution Geometry and Tukey Fences
Why: Count valid recorded orders whose latency exceeds the calculated upper investigation boundary.
How: The first two criteria exclude 999 and blanks.
How: The final criterion counts values greater than B7.
Read the result: Read the result as a record count, not a number of minutes.
Watch out: Build the greater-than criterion with "&gt;"&amp;B7 rather than the text "&gt;B7".
Already formatted: Number, 0 decimals, records; unrelated formatting example only: stored 7 displays as 7 records. This example is not an expected answer. Enter the formula and press Enter.</t>
      </text>
    </comment>
    <comment ref="B10" authorId="0" shapeId="0">
      <text>
        <t>Lecture connection: Measures of Spread, Skewness, and Kurtosis
Why: Identify the largest valid latency to describe the observed upper-tail endpoint.
How: FILTER removes the documented latency sentinel and blanks.
How: MAX returns the largest remaining minute value.
Read the result: Read the result as the largest valid recorded latency, not proof of an error.
Watch out: Without the filter, MAX would return the 999 sentinel.
Already formatted: Number, 1 decimal, minutes; unrelated formatting example only: stored 7.26 displays as 7.3 minutes. This example is not an expected answer. Enter the formula and press Enter.</t>
      </text>
    </comment>
    <comment ref="B11" authorId="0" shapeId="0">
      <text>
        <t>Lecture connection: Measures of Spread, Skewness, and Kurtosis
Why: Compare the second-largest valid latency with the maximum to assess whether the endpoint is isolated.
How: FILTER applies the valid-latency rule.
How: LARGE with k=2 returns the second-largest remaining value.
Read the result: Compare this minute value with B10 to describe spacing at the upper end.
Watch out: Using k=1 would repeat the maximum.
Already formatted: Number, 1 decimal, minutes; unrelated formatting example only: stored 7.26 displays as 7.3 minutes. This example is not an expected answer. Enter the formula and press Enter.</t>
      </text>
    </comment>
  </commentList>
</comments>
</file>

<file path=xl/comments/comment4.xml><?xml version="1.0" encoding="utf-8"?>
<comments xmlns="http://schemas.openxmlformats.org/spreadsheetml/2006/main">
  <authors>
    <author>Lab guidance</author>
  </authors>
  <commentList>
    <comment ref="B7" authorId="0" shapeId="0">
      <text>
        <t>Lecture connection: Comparative Distribution Audits and Causal Boundaries
Why: Establish Hub A's valid latency denominator for a fair grouped comparison.
How: Orders[Hub]=$A7 selects the named hub.
How: The latency criteria exclude 999 and blanks.
Read the result: Read the result as Hub A valid recorded orders.
Watch out: Do not count an age sentinel as a latency exclusion.
Already formatted: Number, 0 decimals, records; unrelated formatting example only: stored 7 displays as 7 records. This example is not an expected answer. Enter the formula and press Enter.</t>
      </text>
    </comment>
    <comment ref="C7" authorId="0" shapeId="0">
      <text>
        <t>Lecture connection: Central Tendency and Resistance
Why: Calculate Hub A's resistant typical latency for comparison across hubs.
How: FILTER keeps Hub A records with valid latency.
How: MEDIAN returns the middle filtered minute value.
Read the result: Read the result as Hub A median latency in minutes.
Watch out: Keep the hub and latency conditions inside the same filter.
Already formatted: Number, 1 decimal, minutes; unrelated formatting example only: stored 7.26 displays as 7.3 minutes. This example is not an expected answer. Enter the formula and press Enter.</t>
      </text>
    </comment>
    <comment ref="D7" authorId="0" shapeId="0">
      <text>
        <t>Lecture connection: Measures of Spread, Skewness, and Kurtosis
Why: Locate Hub A's first quartile for its resistant spread summary.
How: FILTER keeps Hub A valid latency.
How: QUARTILE.EXC with 1 returns Q1.
Read the result: About one quarter of Hub A valid latencies are at or below this minute boundary.
Watch out: Do not use QUARTILE.INC.
Already formatted: Number, 1 decimal, minutes; unrelated formatting example only: stored 7.26 displays as 7.3 minutes. This example is not an expected answer. Enter the formula and press Enter.</t>
      </text>
    </comment>
    <comment ref="E7" authorId="0" shapeId="0">
      <text>
        <t>Lecture connection: Measures of Spread, Skewness, and Kurtosis
Why: Locate Hub A's third quartile for its resistant spread summary.
How: FILTER keeps Hub A valid latency.
How: QUARTILE.EXC with 3 returns Q3.
Read the result: About three quarters of Hub A valid latencies are at or below this minute boundary.
Watch out: Do not use quartile argument 1 for Q3.
Already formatted: Number, 1 decimal, minutes; unrelated formatting example only: stored 7.26 displays as 7.3 minutes. This example is not an expected answer. Enter the formula and press Enter.</t>
      </text>
    </comment>
    <comment ref="F7" authorId="0" shapeId="0">
      <text>
        <t>Lecture connection: Measures of Spread, Skewness, and Kurtosis
Why: Measure Hub A's middle-half width for the grouped variability comparison.
How: E7 is Hub A Q3.
How: D7 is Hub A Q1.
How: Q3 minus Q1 returns IQR.
Read the result: Read the result as Hub A IQR in minutes.
Watch out: Subtract Q1 from Q3, not the reverse.
Already formatted: Number, 1 decimal, minutes; unrelated formatting example only: stored 7.26 displays as 7.3 minutes. This example is not an expected answer. Enter the formula and press Enter.</t>
      </text>
    </comment>
    <comment ref="B8" authorId="0" shapeId="0">
      <text>
        <t>Lecture connection: Comparative Distribution Audits and Causal Boundaries
Why: Establish Hub B's valid latency denominator using the same inclusion rule.
How: Orders[Hub]=$A8 selects Hub B.
How: The remaining criteria exclude 999 and blanks.
Read the result: Read the result as Hub B valid recorded orders.
Watch out: Do not change the valid-record rule between hubs.
Already formatted: Number, 0 decimals, records; unrelated formatting example only: stored 7 displays as 7 records. This example is not an expected answer. Enter the formula and press Enter.</t>
      </text>
    </comment>
    <comment ref="C8" authorId="0" shapeId="0">
      <text>
        <t>Lecture connection: Central Tendency and Resistance
Why: Calculate Hub B's resistant typical latency using the common filter.
How: FILTER keeps Hub B valid latency.
How: MEDIAN returns the middle filtered value.
Read the result: Read the result as Hub B median latency in minutes.
Watch out: Do not average the hub label or tier code.
Already formatted: Number, 1 decimal, minutes; unrelated formatting example only: stored 7.26 displays as 7.3 minutes. This example is not an expected answer. Enter the formula and press Enter.</t>
      </text>
    </comment>
    <comment ref="D8" authorId="0" shapeId="0">
      <text>
        <t>Lecture connection: Measures of Spread, Skewness, and Kurtosis
Why: Locate Hub B's first quartile under the exclusive convention.
How: FILTER selects Hub B valid latency.
How: QUARTILE.EXC with 1 returns Q1.
Read the result: Read the result as Hub B's lower quartile boundary in minutes.
Watch out: Do not include the 999 sentinel.
Already formatted: Number, 1 decimal, minutes; unrelated formatting example only: stored 7.26 displays as 7.3 minutes. This example is not an expected answer. Enter the formula and press Enter.</t>
      </text>
    </comment>
    <comment ref="E8" authorId="0" shapeId="0">
      <text>
        <t>Lecture connection: Measures of Spread, Skewness, and Kurtosis
Why: Locate Hub B's third quartile under the exclusive convention.
How: FILTER selects Hub B valid latency.
How: QUARTILE.EXC with 3 returns Q3.
Read the result: Read the result as Hub B's upper quartile boundary in minutes.
Watch out: Use the same filtered records as D8.
Already formatted: Number, 1 decimal, minutes; unrelated formatting example only: stored 7.26 displays as 7.3 minutes. This example is not an expected answer. Enter the formula and press Enter.</t>
      </text>
    </comment>
    <comment ref="F8" authorId="0" shapeId="0">
      <text>
        <t>Lecture connection: Measures of Spread, Skewness, and Kurtosis
Why: Measure Hub B's middle-half width for comparison with other hubs.
How: E8 is Hub B Q3.
How: D8 is Hub B Q1.
How: Their difference is IQR.
Read the result: Read the result as Hub B IQR in minutes.
Watch out: A wider IQR does not establish a cause.
Already formatted: Number, 1 decimal, minutes; unrelated formatting example only: stored 7.26 displays as 7.3 minutes. This example is not an expected answer. Enter the formula and press Enter.</t>
      </text>
    </comment>
    <comment ref="B9" authorId="0" shapeId="0">
      <text>
        <t>Lecture connection: Comparative Distribution Audits and Causal Boundaries
Why: Establish Hub C's valid latency denominator before considering a penalty.
How: Orders[Hub]=$A9 selects Hub C.
How: The latency criteria exclude 999 and blanks.
Read the result: Read the result as Hub C valid recorded orders.
Watch out: Do not omit the denominator when reporting Hub C statistics.
Already formatted: Number, 0 decimals, records; unrelated formatting example only: stored 7 displays as 7 records. This example is not an expected answer. Enter the formula and press Enter.</t>
      </text>
    </comment>
    <comment ref="C9" authorId="0" shapeId="0">
      <text>
        <t>Lecture connection: Central Tendency and Resistance
Why: Calculate Hub C's resistant typical latency for the stakeholder decision.
How: FILTER keeps Hub C valid latency.
How: MEDIAN returns the middle filtered value.
Read the result: Read the result as Hub C median latency in minutes.
Watch out: Do not treat a similar median as proof that all distributions are equal.
Already formatted: Number, 1 decimal, minutes; unrelated formatting example only: stored 7.26 displays as 7.3 minutes. This example is not an expected answer. Enter the formula and press Enter.</t>
      </text>
    </comment>
    <comment ref="D9" authorId="0" shapeId="0">
      <text>
        <t>Lecture connection: Measures of Spread, Skewness, and Kurtosis
Why: Locate Hub C's first quartile for its resistant spread assessment.
How: FILTER keeps Hub C valid latency.
How: QUARTILE.EXC with 1 returns Q1.
Read the result: Read the result as Hub C's lower quartile boundary in minutes.
Watch out: Keep the exclusive method used in every hub.
Already formatted: Number, 1 decimal, minutes; unrelated formatting example only: stored 7.26 displays as 7.3 minutes. This example is not an expected answer. Enter the formula and press Enter.</t>
      </text>
    </comment>
    <comment ref="E9" authorId="0" shapeId="0">
      <text>
        <t>Lecture connection: Measures of Spread, Skewness, and Kurtosis
Why: Locate Hub C's third quartile for its resistant spread assessment.
How: FILTER keeps Hub C valid latency.
How: QUARTILE.EXC with 3 returns Q3.
Read the result: Read the result as Hub C's upper quartile boundary in minutes.
Watch out: Do not change filters between Hub C quartiles.
Already formatted: Number, 1 decimal, minutes; unrelated formatting example only: stored 7.26 displays as 7.3 minutes. This example is not an expected answer. Enter the formula and press Enter.</t>
      </text>
    </comment>
    <comment ref="F9" authorId="0" shapeId="0">
      <text>
        <t>Lecture connection: Measures of Spread, Skewness, and Kurtosis
Why: Measure Hub C's middle-half width for the penalty and SLA discussion.
How: E9 is Hub C Q3.
How: D9 is Hub C Q1.
How: Q3 minus Q1 returns IQR.
Read the result: Read the result as Hub C IQR in minutes.
Watch out: A wide IQR is descriptive evidence, not proof of carrier fault.
Already formatted: Number, 1 decimal, minutes; unrelated formatting example only: stored 7.26 displays as 7.3 minutes. This example is not an expected answer. Enter the formula and press Enter.</t>
      </text>
    </comment>
    <comment ref="B10" authorId="0" shapeId="0">
      <text>
        <t>Lecture connection: Comparative Distribution Audits and Causal Boundaries
Why: Provide the all-hubs valid denominator used to reconcile the three grouped counts.
How: COUNTIFS excludes the 999 sentinel.
How: The second criterion excludes blank latency.
Read the result: This record count should equal the sum of B7:B9.
Watch out: Do not use the total CSV row count when latency sentinels are present.
Already formatted: Number, 0 decimals, records; unrelated formatting example only: stored 7 displays as 7 records. This example is not an expected answer. Enter the formula and press Enter.</t>
      </text>
    </comment>
    <comment ref="C10" authorId="0" shapeId="0">
      <text>
        <t>Lecture connection: Central Tendency and Resistance
Why: Reuse the completed all-hubs median without repeating the same operation.
How: The quoted sheet reference points to Part B B8.
How: That cell already applies the accepted valid-latency rule.
Read the result: Read the linked result as all-hubs median latency in minutes.
Watch out: Do not type the displayed value as a hardcoded number.
Already formatted: Number, 1 decimal, minutes; unrelated formatting example only: stored 7.26 displays as 7.3 minutes. This example is not an expected answer. Enter the formula and press Enter.</t>
      </text>
    </comment>
    <comment ref="D10" authorId="0" shapeId="0">
      <text>
        <t>Lecture connection: Measures of Spread, Skewness, and Kurtosis
Why: Calculate all-hubs Q1 for the overall resistant spread summary.
How: FILTER applies the valid-latency rule.
How: QUARTILE.EXC with 1 returns Q1.
Read the result: Read the result as the all-hubs lower quartile in minutes.
Watch out: Do not mix all rows with valid latency rows.
Already formatted: Number, 1 decimal, minutes; unrelated formatting example only: stored 7.26 displays as 7.3 minutes. This example is not an expected answer. Enter the formula and press Enter.</t>
      </text>
    </comment>
    <comment ref="E10" authorId="0" shapeId="0">
      <text>
        <t>Lecture connection: Measures of Spread, Skewness, and Kurtosis
Why: Calculate all-hubs Q3 for the overall resistant spread summary.
How: FILTER applies the valid-latency rule.
How: QUARTILE.EXC with 3 returns Q3.
Read the result: Read the result as the all-hubs upper quartile in minutes.
Watch out: Use quartile argument 3 for Q3.
Already formatted: Number, 1 decimal, minutes; unrelated formatting example only: stored 7.26 displays as 7.3 minutes. This example is not an expected answer. Enter the formula and press Enter.</t>
      </text>
    </comment>
    <comment ref="F10" authorId="0" shapeId="0">
      <text>
        <t>Lecture connection: Measures of Spread, Skewness, and Kurtosis
Why: Calculate the all-hubs IQR for comparison with each hub's spread.
How: E10 is all-hubs Q3.
How: D10 is all-hubs Q1.
How: Their difference is IQR.
Read the result: Read the result as the middle-half width across all valid orders.
Watch out: Do not interpret an all-hubs IQR as a hub-specific value.
Already formatted: Number, 1 decimal, minutes; unrelated formatting example only: stored 7.26 displays as 7.3 minutes. This example is not an expected answer. Enter the formula and press Enter.</t>
      </text>
    </comment>
  </commentList>
</comments>
</file>

<file path=xl/comments/comment5.xml><?xml version="1.0" encoding="utf-8"?>
<comments xmlns="http://schemas.openxmlformats.org/spreadsheetml/2006/main">
  <authors>
    <author>Lab guidance</author>
  </authors>
  <commentList>
    <comment ref="B7" authorId="0" shapeId="0">
      <text>
        <t>Lecture connection: Comparative Distribution Audits and Causal Boundaries
Why: Carry forward the reconciled valid denominator for the final SLA evidence.
How: The quoted reference links to the completed all-hubs valid count.
How: Part D already excludes 999 and blanks.
Read the result: Use this record count whenever reporting the overall latency threshold.
Watch out: Do not report 10,000 as the latency denominator if sentinels are excluded.
Already formatted: Number, 0 decimals, records; unrelated formatting example only: stored 7 displays as 7 records. This example is not an expected answer. Enter the formula and press Enter.</t>
      </text>
    </comment>
    <comment ref="B8" authorId="0" shapeId="0">
      <text>
        <t>Lecture connection: Measures of Spread, Skewness, and Kurtosis
Why: Calculate an upper-tail latency threshold for the stakeholder's SLA guardrail question.
How: FILTER keeps only valid recorded latency.
How: PERCENTILE.EXC uses 0.95 to locate the exclusive-method 95th percentile.
Read the result: Read the result as a minute threshold with about 95 percent of valid observations at or below it.
Watch out: Use Number format; this percentile result is minutes, not a percentage.
Already formatted: Number, 1 decimal, minutes; unrelated formatting example only: stored 7.26 displays as 7.3 minutes. This example is not an expected answer. Enter the formula and press Enter.</t>
      </text>
    </comment>
    <comment ref="B9" authorId="0" shapeId="0">
      <text>
        <t>Lecture connection: Comparative Distribution Audits and Causal Boundaries
Why: Establish Hub C's denominator before comparing its center and upper-tail threshold.
How: The Hub criterion selects Hub C.
How: The latency criteria exclude 999 and blanks.
Read the result: Read the result as the number of valid Hub C latency records.
Watch out: Do not omit the hub criterion or use the all-hubs denominator.
Already formatted: Number, 0 decimals, records; unrelated formatting example only: stored 7 displays as 7 records. This example is not an expected answer. Enter the formula and press Enter.</t>
      </text>
    </comment>
    <comment ref="B10" authorId="0" shapeId="0">
      <text>
        <t>Lecture connection: Central Tendency and Resistance
Why: Measure Hub C's arithmetic latency burden for comparison with its resistant median.
How: FILTER selects Hub C valid latency.
How: AVERAGE divides their minute sum by Hub C's valid count.
Read the result: Read the result as mean minutes per valid recorded Hub C order.
Watch out: Do not report the mean without B9 and the minute unit.
Already formatted: Number, 1 decimal, minutes; unrelated formatting example only: stored 7.26 displays as 7.3 minutes. This example is not an expected answer. Enter the formula and press Enter.</t>
      </text>
    </comment>
    <comment ref="B11" authorId="0" shapeId="0">
      <text>
        <t>Lecture connection: Central Tendency and Resistance
Why: Measure Hub C's resistant typical latency for the final recommendation.
How: FILTER selects the same valid Hub C observations.
How: MEDIAN finds their middle ordered value.
Read the result: Read the result as Hub C's typical valid latency in minutes.
Watch out: Do not call the median the mean.
Already formatted: Number, 1 decimal, minutes; unrelated formatting example only: stored 7.26 displays as 7.3 minutes. This example is not an expected answer. Enter the formula and press Enter.</t>
      </text>
    </comment>
    <comment ref="B12" authorId="0" shapeId="0">
      <text>
        <t>Lecture connection: Measures of Spread, Skewness, and Kurtosis
Why: Measure Hub C's upper-tail latency threshold for comparison with the all-hubs SLA evidence.
How: FILTER selects Hub C valid latency.
How: PERCENTILE.EXC with 0.95 returns the exclusive-method threshold.
Read the result: Read the result as a Hub C latency threshold in minutes, not as a percent.
Watch out: Do not format the threshold as Percentage.
Already formatted: Number, 1 decimal, minutes; unrelated formatting example only: stored 7.26 displays as 7.3 minutes. This example is not an expected answer. Enter the formula and press Enter.</t>
      </text>
    </comment>
    <comment ref="B13" authorId="0" shapeId="0">
      <text>
        <t>Lecture connection: Central Tendency and Resistance
Why: Summarize how strongly Hub C's arithmetic center differs from its resistant center.
How: B10 is Hub C mean latency.
How: B11 is Hub C median latency.
How: Subtracting them returns a minute difference.
Read the result: A positive gap is consistent with upper-tail values pulling the mean upward.
Watch out: This gap does not identify the cause of the upper tail.
Already formatted: Number, 1 decimal, minutes; unrelated formatting example only: stored 7.26 displays as 7.3 minutes. This example is not an expected answer. Enter the formula and press Enter.</t>
      </text>
    </comment>
    <comment ref="B14" authorId="0" shapeId="0">
      <text>
        <t>Lecture connection: Comparative Distribution Audits and Causal Boundaries
Why: Measure the share of valid Hub C orders exceeding the overall 95th-percentile threshold.
How: The numerator counts valid Hub C latency above B8.
How: B9 is the valid Hub C denominator.
How: The division returns a stored fraction.
Read the result: Read the displayed result as the percentage of valid Hub C records above the overall threshold.
Watch out: Do not multiply the fraction by 100 and then apply Percentage format.
Already formatted: Percentage, 1 decimal; unrelated formatting example only: stored 0.125 displays as 12.5%. Enter the fraction formula; do not multiply by 100. This example is not an expected answer. Enter the formula and press Enter.</t>
      </text>
    </comment>
    <comment ref="B21" authorId="0" shapeId="0">
      <text>
        <t>Lecture connection: Stakeholder Recommendation and Evidence Synthesis
Why: Develop the recommendation that will serve as source material for the separate stakeholder memo.
How: Answer the penalty and SLA questions first.
How: Use completed evidence, units, denominators, uncertainty and causal limits.
Read the result: This workbook response is analytical source material; the separate memo must synthesize it for a stakeholder audience.
Watch out: Do not treat this range as the final memo or repeat the analysis from the beginning.</t>
      </text>
    </comment>
    <comment ref="B29" authorId="0" shapeId="0">
      <text>
        <t>Lecture connection: Claim to Evidence Traceability
Why: Plan and verify where each important memo claim is supported.
How: Connect claims to workbook cells or named SPSS output.
How: Use the map to check the memo before submission.
Read the result: The evidence map is a planning and traceability tool, not a section to paste into the memo.
Watch out: Do not substitute cell references alone for a stakeholder-facing explanation of why the evidence matters.</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36</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65</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Orders" displayName="Orders" ref="A1:F10001" headerRowCount="1">
  <autoFilter ref="A1:F10001"/>
  <tableColumns count="6">
    <tableColumn id="1" name="OrderID"/>
    <tableColumn id="2" name="CustomerID"/>
    <tableColumn id="3" name="OrderTier"/>
    <tableColumn id="4" name="Hub"/>
    <tableColumn id="5" name="Age_Years"/>
    <tableColumn id="6" name="Latency_Minutes"/>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57068C"/>
    <outlinePr summaryBelow="1" summaryRight="1"/>
    <pageSetUpPr fitToPage="1"/>
  </sheetPr>
  <dimension ref="A1:H31"/>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30" customHeight="1">
      <c r="A1" s="1" t="inlineStr">
        <is>
          <t>Welcome to LAB01</t>
        </is>
      </c>
    </row>
    <row r="2" ht="34" customHeight="1">
      <c r="A2" s="2" t="inlineStr">
        <is>
          <t>How should Metro E-Commerce Logistics audit fulfillment data and establish distributional performance baselines?</t>
        </is>
      </c>
    </row>
    <row r="4" ht="25" customHeight="1">
      <c r="A4" s="3" t="inlineStr">
        <is>
          <t>1. Your details</t>
        </is>
      </c>
    </row>
    <row r="5" ht="22" customHeight="1">
      <c r="A5" s="3" t="inlineStr">
        <is>
          <t>First name</t>
        </is>
      </c>
      <c r="D5" s="3" t="inlineStr">
        <is>
          <t>Last name</t>
        </is>
      </c>
      <c r="G5" s="3" t="inlineStr">
        <is>
          <t>NYU NetID</t>
        </is>
      </c>
    </row>
    <row r="6" ht="30" customHeight="1">
      <c r="A6" s="4" t="n"/>
      <c r="D6" s="4" t="n"/>
      <c r="G6" s="4" t="n"/>
    </row>
    <row r="7" ht="38" customHeight="1">
      <c r="A7" s="2" t="inlineStr">
        <is>
          <t>Your NetID is the username before @nyu.edu in your NYU email address. For example, jd1234@nyu.edu uses jd1234. Enter only the NetID here.</t>
        </is>
      </c>
    </row>
    <row r="8" ht="40" customHeight="1">
      <c r="A8" s="5" t="inlineStr">
        <is>
          <t>Use your own details. For example only: first name Jane, last name Doe, NetID jd1234 gives LAB01_Jane_Doe_jd1234.xlsx. Keep hyphens in names; filenames omit spaces and unsupported punctuation.</t>
        </is>
      </c>
    </row>
    <row r="10" ht="25" customHeight="1">
      <c r="A10" s="3" t="inlineStr">
        <is>
          <t>2. Your submission filenames</t>
        </is>
      </c>
    </row>
    <row r="11" ht="38" customHeight="1">
      <c r="A11" s="6">
        <f>IF(OR(LEN(TRIM(A6))=0,LEN(TRIM(D6))=0,LEN(TRIM(G6))=0),"Enter all three fields above to show your filenames.",IF(OR(ISNUMBER(SEARCH("@",G6)),ISNUMBER(SEARCH(" ",TRIM(G6))),AND(LEFT(UPPER(TRIM(G6)),1)="N",ISNUMBER(IFERROR(VALUE(MID(TRIM(G6),2,99)),"")))),"Enter only your NYU NetID, not your full email address or N-number.","Use File &gt; Save As with the workbook name below. Save your other lab files with the matching names."))</f>
        <v/>
      </c>
    </row>
    <row r="13" ht="26" customHeight="1">
      <c r="A13" s="3" t="inlineStr">
        <is>
          <t>Excel workbook</t>
        </is>
      </c>
      <c r="C13" s="6">
        <f>IF(LEFT(A11,3)="Use","LAB01_"&amp;SUBSTITUTE(SUBSTITUTE(SUBSTITUTE(SUBSTITUTE(SUBSTITUTE(SUBSTITUTE(SUBSTITUTE(SUBSTITUTE(SUBSTITUTE(SUBSTITUTE(TRIM(A6)," ",""),"/",""),"\",""),":",""),"*",""),"?",""),"""",""),"&lt;",""),"&gt;",""),"|","")&amp;"_"&amp;SUBSTITUTE(SUBSTITUTE(SUBSTITUTE(SUBSTITUTE(SUBSTITUTE(SUBSTITUTE(SUBSTITUTE(SUBSTITUTE(SUBSTITUTE(SUBSTITUTE(TRIM(D6)," ",""),"/",""),"\",""),":",""),"*",""),"?",""),"""",""),"&lt;",""),"&gt;",""),"|","")&amp;"_"&amp;LOWER(TRIM(G6))&amp;".xlsx","")</f>
        <v/>
      </c>
    </row>
    <row r="14" ht="26" customHeight="1">
      <c r="A14" s="3" t="inlineStr">
        <is>
          <t>SPSS syntax</t>
        </is>
      </c>
      <c r="C14" s="6">
        <f>IF(LEFT(A11,3)="Use","LAB01_"&amp;SUBSTITUTE(SUBSTITUTE(SUBSTITUTE(SUBSTITUTE(SUBSTITUTE(SUBSTITUTE(SUBSTITUTE(SUBSTITUTE(SUBSTITUTE(SUBSTITUTE(TRIM(A6)," ",""),"/",""),"\",""),":",""),"*",""),"?",""),"""",""),"&lt;",""),"&gt;",""),"|","")&amp;"_"&amp;SUBSTITUTE(SUBSTITUTE(SUBSTITUTE(SUBSTITUTE(SUBSTITUTE(SUBSTITUTE(SUBSTITUTE(SUBSTITUTE(SUBSTITUTE(SUBSTITUTE(TRIM(D6)," ",""),"/",""),"\",""),":",""),"*",""),"?",""),"""",""),"&lt;",""),"&gt;",""),"|","")&amp;"_"&amp;LOWER(TRIM(G6))&amp;".sps","")</f>
        <v/>
      </c>
    </row>
    <row r="15" ht="26" customHeight="1">
      <c r="A15" s="3" t="inlineStr">
        <is>
          <t>SPSS output</t>
        </is>
      </c>
      <c r="C15" s="6">
        <f>IF(LEFT(A11,3)="Use","LAB01_"&amp;SUBSTITUTE(SUBSTITUTE(SUBSTITUTE(SUBSTITUTE(SUBSTITUTE(SUBSTITUTE(SUBSTITUTE(SUBSTITUTE(SUBSTITUTE(SUBSTITUTE(TRIM(A6)," ",""),"/",""),"\",""),":",""),"*",""),"?",""),"""",""),"&lt;",""),"&gt;",""),"|","")&amp;"_"&amp;SUBSTITUTE(SUBSTITUTE(SUBSTITUTE(SUBSTITUTE(SUBSTITUTE(SUBSTITUTE(SUBSTITUTE(SUBSTITUTE(SUBSTITUTE(SUBSTITUTE(TRIM(D6)," ",""),"/",""),"\",""),":",""),"*",""),"?",""),"""",""),"&lt;",""),"&gt;",""),"|","")&amp;"_"&amp;LOWER(TRIM(G6))&amp;".spv","")</f>
        <v/>
      </c>
    </row>
    <row r="16" ht="26" customHeight="1">
      <c r="A16" s="3" t="inlineStr">
        <is>
          <t>Memo (PDF)</t>
        </is>
      </c>
      <c r="C16" s="6">
        <f>IF(LEFT(A11,3)="Use","LAB01_"&amp;SUBSTITUTE(SUBSTITUTE(SUBSTITUTE(SUBSTITUTE(SUBSTITUTE(SUBSTITUTE(SUBSTITUTE(SUBSTITUTE(SUBSTITUTE(SUBSTITUTE(TRIM(A6)," ",""),"/",""),"\",""),":",""),"*",""),"?",""),"""",""),"&lt;",""),"&gt;",""),"|","")&amp;"_"&amp;SUBSTITUTE(SUBSTITUTE(SUBSTITUTE(SUBSTITUTE(SUBSTITUTE(SUBSTITUTE(SUBSTITUTE(SUBSTITUTE(SUBSTITUTE(SUBSTITUTE(TRIM(D6)," ",""),"/",""),"\",""),":",""),"*",""),"?",""),"""",""),"&lt;",""),"&gt;",""),"|","")&amp;"_"&amp;LOWER(TRIM(G6))&amp;".pdf","")</f>
        <v/>
      </c>
    </row>
    <row r="17" ht="26" customHeight="1">
      <c r="A17" s="3" t="inlineStr">
        <is>
          <t>Memo (Word)</t>
        </is>
      </c>
      <c r="C17" s="6">
        <f>IF(LEFT(A11,3)="Use","LAB01_"&amp;SUBSTITUTE(SUBSTITUTE(SUBSTITUTE(SUBSTITUTE(SUBSTITUTE(SUBSTITUTE(SUBSTITUTE(SUBSTITUTE(SUBSTITUTE(SUBSTITUTE(TRIM(A6)," ",""),"/",""),"\",""),":",""),"*",""),"?",""),"""",""),"&lt;",""),"&gt;",""),"|","")&amp;"_"&amp;SUBSTITUTE(SUBSTITUTE(SUBSTITUTE(SUBSTITUTE(SUBSTITUTE(SUBSTITUTE(SUBSTITUTE(SUBSTITUTE(SUBSTITUTE(SUBSTITUTE(TRIM(D6)," ",""),"/",""),"\",""),":",""),"*",""),"?",""),"""",""),"&lt;",""),"&gt;",""),"|","")&amp;"_"&amp;LOWER(TRIM(G6))&amp;".docx","")</f>
        <v/>
      </c>
    </row>
    <row r="19" ht="38" customHeight="1">
      <c r="A19" s="2" t="inlineStr">
        <is>
          <t>These are filenames, not extra required submissions. Follow the Submit section of the lab guide for which files to upload. Use either PDF or Word for the memo, as allowed there.</t>
        </is>
      </c>
    </row>
    <row r="21" ht="25" customHeight="1">
      <c r="A21" s="3" t="inlineStr">
        <is>
          <t>3. Learn, check and save</t>
        </is>
      </c>
    </row>
    <row r="22" ht="42" customHeight="1">
      <c r="A22" s="2" t="inlineStr">
        <is>
          <t>Yellow cells are for your work. Read the study-help column beside response rows for relevant slides, concise toolkit pages and an optional question you can ask AI.</t>
        </is>
      </c>
    </row>
    <row r="23" ht="38" customHeight="1">
      <c r="A23" s="2" t="inlineStr">
        <is>
          <t>AI help is optional and follows the lab’s permitted-use timing. Use it after class unless your lab guide explicitly permits it during class. Ask for a different practice example, check the explanation and disclose use or non-use.</t>
        </is>
      </c>
    </row>
    <row r="24" ht="38" customHeight="1">
      <c r="A24" s="2" t="inlineStr">
        <is>
          <t>Use the guide for exact software steps. A matching number still needs an explanation. Save at each checkpoint. Your filenames update here, but this sheet does not rename or submit files.</t>
        </is>
      </c>
    </row>
    <row r="26" ht="25" customHeight="1">
      <c r="A26" s="3" t="inlineStr">
        <is>
          <t>Open a Part</t>
        </is>
      </c>
    </row>
    <row r="27" ht="34" customHeight="1">
      <c r="A27" s="7">
        <f>HYPERLINK("#'IN-CLASS_Lab Part A'!A1","IN-CLASS_Lab Part A: Audit Measurement Scales and Sentinel Values")</f>
        <v/>
      </c>
    </row>
    <row r="28" ht="34" customHeight="1">
      <c r="A28" s="7">
        <f>HYPERLINK("#'IN-CLASS_Lab Part B'!A1","IN-CLASS_Lab Part B: Compute Measures of Center and Dispersion")</f>
        <v/>
      </c>
    </row>
    <row r="29" ht="34" customHeight="1">
      <c r="A29" s="7">
        <f>HYPERLINK("#'IN-CLASS_Lab Part C'!A1","IN-CLASS_Lab Part C: Calculate Tukey Outlier Fences and Boxplot Boundaries")</f>
        <v/>
      </c>
    </row>
    <row r="30" ht="34" customHeight="1">
      <c r="A30" s="7">
        <f>HYPERLINK("#'IN-CLASS_Lab Part D'!A1","IN-CLASS_Lab Part D: Build Stacked Comparative Grouped Summary")</f>
        <v/>
      </c>
    </row>
    <row r="31" ht="34" customHeight="1">
      <c r="A31" s="7">
        <f>HYPERLINK("#'POST-CLASS_Part 1'!A1","POST-CLASS_Part 1: Synthesize Distributional Evidence and SLA Guardrails")</f>
        <v/>
      </c>
    </row>
  </sheetData>
  <mergeCells count="34">
    <mergeCell ref="C16:H16"/>
    <mergeCell ref="A30:H30"/>
    <mergeCell ref="A15:B15"/>
    <mergeCell ref="A24:H24"/>
    <mergeCell ref="A11:H11"/>
    <mergeCell ref="A1:H1"/>
    <mergeCell ref="A16:B16"/>
    <mergeCell ref="A5:C5"/>
    <mergeCell ref="A7:H7"/>
    <mergeCell ref="G6:H6"/>
    <mergeCell ref="C17:H17"/>
    <mergeCell ref="A27:H27"/>
    <mergeCell ref="A26:H26"/>
    <mergeCell ref="A21:H21"/>
    <mergeCell ref="D5:F5"/>
    <mergeCell ref="C13:H13"/>
    <mergeCell ref="A2:H2"/>
    <mergeCell ref="G5:H5"/>
    <mergeCell ref="A14:B14"/>
    <mergeCell ref="A17:B17"/>
    <mergeCell ref="A23:H23"/>
    <mergeCell ref="A8:H8"/>
    <mergeCell ref="A22:H22"/>
    <mergeCell ref="C15:H15"/>
    <mergeCell ref="A4:H4"/>
    <mergeCell ref="A29:H29"/>
    <mergeCell ref="C14:H14"/>
    <mergeCell ref="A6:C6"/>
    <mergeCell ref="A10:H10"/>
    <mergeCell ref="A28:H28"/>
    <mergeCell ref="A13:B13"/>
    <mergeCell ref="A19:H19"/>
    <mergeCell ref="D6:F6"/>
    <mergeCell ref="A31:H31"/>
  </mergeCell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57068C"/>
    <outlinePr summaryBelow="1" summaryRight="1"/>
    <pageSetUpPr fitToPage="1"/>
  </sheetPr>
  <dimension ref="A1:H24"/>
  <sheetViews>
    <sheetView showGridLines="0" zoomScale="11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34" t="inlineStr">
        <is>
          <t xml:space="preserve">Part A · Can we trust the order file?    ⏱ 6 min · from slide 26 → back to slide 27</t>
        </is>
      </c>
      <c r="B1" s="9" t="n"/>
      <c r="C1" s="9" t="n"/>
      <c r="D1" s="9" t="n"/>
      <c r="E1" s="9" t="n"/>
      <c r="F1" s="9" t="n"/>
      <c r="G1" s="9" t="n"/>
      <c r="H1" s="9" t="n"/>
    </row>
    <row r="2" ht="34" customHeight="1">
      <c r="A2" s="35" t="inlineStr">
        <is>
          <t xml:space="preserve">What you're using · Section 1: Before you average anything, check two things: what each column measures, and which stored values are not measurements at all.   Reread: Slides 10–26; Concise Toolkit pp. 4–8; Full Toolkit pp. 4–24</t>
        </is>
      </c>
      <c r="B2" s="9" t="n"/>
      <c r="C2" s="9" t="n"/>
      <c r="D2" s="9" t="n"/>
      <c r="E2" s="9" t="n"/>
      <c r="F2" s="9" t="n"/>
      <c r="G2" s="9" t="n"/>
      <c r="H2" s="9" t="n"/>
    </row>
    <row r="3" ht="30" customHeight="1">
      <c r="A3" s="36" t="inlineStr">
        <is>
          <t xml:space="preserve">n₋₁ = count(Ageᵢ = -1) = B7 n₉₉₉ = count(xᵢ = 999) = B8      where N = rows in the order file · xᵢ = recorded latency of order i, in minutes · count(·) = number of rows that meet the condition</t>
        </is>
      </c>
      <c r="B3" s="9" t="n"/>
      <c r="C3" s="9" t="n"/>
      <c r="D3" s="9" t="n"/>
      <c r="E3" s="9" t="n"/>
      <c r="F3" s="9" t="n"/>
      <c r="G3" s="9" t="n"/>
      <c r="H3" s="9" t="n"/>
    </row>
    <row r="4" ht="22" customHeight="1">
      <c r="A4" s="37" t="str">
        <f>"Progress: "&amp;COUNTIF(B19:B20,"✓ Checked")&amp;" of 2 checked. Save after each ✓."</f>
      </c>
      <c r="B4" s="9" t="n"/>
      <c r="C4" s="9" t="n"/>
      <c r="D4" s="9" t="n"/>
      <c r="E4" s="9" t="n"/>
      <c r="F4" s="9" t="n"/>
      <c r="G4" s="9" t="n"/>
      <c r="H4" s="9" t="n"/>
    </row>
    <row r="5" ht="30" customHeight="1">
      <c r="A5" s="38" t="inlineStr">
        <is>
          <t xml:space="preserve">Open IN-CLASS_Lab Part A!A7.  Save a recovery copy as LAB01_S03_Checkpoint_PartA.xlsx without replacing your personalized working file; reopen the personalized workbook at 'IN-CLASS_Lab Part B'!A7.</t>
        </is>
      </c>
      <c r="B5" s="9" t="n"/>
      <c r="C5" s="9" t="n"/>
      <c r="D5" s="9" t="n"/>
      <c r="E5" s="9" t="n"/>
      <c r="F5" s="9" t="n"/>
      <c r="G5" s="9" t="n"/>
      <c r="H5" s="9" t="n"/>
    </row>
    <row r="6">
      <c r="A6" s="9" t="n"/>
      <c r="B6" s="9" t="n"/>
      <c r="C6" s="9" t="n"/>
      <c r="D6" s="9" t="n"/>
      <c r="E6" s="9" t="n"/>
      <c r="F6" s="9" t="n"/>
      <c r="G6" s="9" t="n"/>
      <c r="H6" s="9" t="n"/>
    </row>
    <row r="7" ht="66" customHeight="1">
      <c r="A7" s="10" t="inlineStr">
        <is>
          <t xml:space="preserve">1 · Age sentinel records</t>
        </is>
      </c>
      <c r="B7" s="11" t="n"/>
      <c r="C7" s="12">
        <f>IFERROR(IF(OR(ISBLANK(B7)),"Not started",IF(AND(ABS(B7-(42))&lt;=1e-09),"Result matches","Check the result")),"Formula error")</f>
        <v/>
      </c>
      <c r="D7" s="13" t="n"/>
      <c r="E7" s="14" t="inlineStr">
        <is>
          <t>Age sentinel records. Practice check: 42 records. Do not replace -1 with zero or delete the source rows.</t>
        </is>
      </c>
      <c r="F7" s="13" t="n"/>
      <c r="G7" s="13" t="n"/>
      <c r="H7" s="13" t="n"/>
    </row>
    <row r="8" ht="66" customHeight="1">
      <c r="A8" s="10" t="inlineStr">
        <is>
          <t xml:space="preserve">2 · Latency sentinel records</t>
        </is>
      </c>
      <c r="B8" s="11" t="n"/>
      <c r="C8" s="12">
        <f>IFERROR(IF(OR(ISBLANK(B8)),"Not started",IF(AND(ABS(B8-(42))&lt;=1e-09),"Result matches","Check the result")),"Formula error")</f>
        <v/>
      </c>
      <c r="D8" s="13" t="n"/>
      <c r="E8" s="14" t="inlineStr">
        <is>
          <t>Latency sentinel records. Practice check: 42 records. Do not treat 999 as an unusually long valid delivery.</t>
        </is>
      </c>
      <c r="F8" s="13" t="n"/>
      <c r="G8" s="13" t="n"/>
      <c r="H8" s="13" t="n"/>
    </row>
    <row r="9" ht="50" customHeight="1">
      <c r="A9" s="10" t="inlineStr">
        <is>
          <t>Admissible OrderTier statement</t>
        </is>
      </c>
      <c r="B9" s="15" t="n"/>
      <c r="C9" s="16" t="n"/>
      <c r="D9" s="16" t="n"/>
      <c r="E9" s="16" t="n"/>
      <c r="F9" s="16" t="n"/>
      <c r="G9" s="16" t="n"/>
      <c r="H9" s="17" t="n"/>
    </row>
    <row r="10" ht="30" customHeight="1">
      <c r="A10" s="10" t="inlineStr">
        <is>
          <t>Reason</t>
        </is>
      </c>
      <c r="B10" s="18" t="inlineStr">
        <is>
          <t>[Replace with 2-4 sentences: state your choice, cite the relevant statistical rule or evidence, explain why it fits, and state one limitation.]</t>
        </is>
      </c>
      <c r="C10" s="19" t="n"/>
      <c r="D10" s="19" t="n"/>
      <c r="E10" s="19" t="n"/>
      <c r="F10" s="19" t="n"/>
      <c r="G10" s="19" t="n"/>
      <c r="H10" s="20" t="n"/>
    </row>
    <row r="11" ht="30" customHeight="1">
      <c r="A11" s="9" t="n"/>
      <c r="B11" s="21" t="n"/>
      <c r="C11" s="22" t="n"/>
      <c r="D11" s="22" t="n"/>
      <c r="E11" s="22" t="n"/>
      <c r="F11" s="22" t="n"/>
      <c r="G11" s="22" t="n"/>
      <c r="H11" s="23" t="n"/>
    </row>
    <row r="12" ht="30" customHeight="1">
      <c r="A12" s="9" t="n"/>
      <c r="B12" s="24" t="n"/>
      <c r="C12" s="25" t="n"/>
      <c r="D12" s="25" t="n"/>
      <c r="E12" s="25" t="n"/>
      <c r="F12" s="25" t="n"/>
      <c r="G12" s="25" t="n"/>
      <c r="H12" s="26" t="n"/>
    </row>
    <row r="13">
      <c r="A13" s="9" t="n"/>
      <c r="B13" s="9" t="n"/>
      <c r="C13" s="9" t="n"/>
      <c r="D13" s="9" t="n"/>
      <c r="E13" s="9" t="n"/>
      <c r="F13" s="9" t="n"/>
      <c r="G13" s="9" t="n"/>
      <c r="H13" s="9" t="n"/>
    </row>
    <row r="14" ht="30" customHeight="1">
      <c r="A14" s="10" t="inlineStr">
        <is>
          <t>SPSS H1 evidence caption</t>
        </is>
      </c>
      <c r="B14" s="18" t="inlineStr">
        <is>
          <t>[Replace with 1-2 sentences: identify the Variable Information and relevant Frequency Tables you read, and describe the measurement-level and sentinel checks you made using your own output.]</t>
        </is>
      </c>
      <c r="C14" s="19" t="n"/>
      <c r="D14" s="19" t="n"/>
      <c r="E14" s="19" t="n"/>
      <c r="F14" s="19" t="n"/>
      <c r="G14" s="19" t="n"/>
      <c r="H14" s="20" t="n"/>
    </row>
    <row r="15" ht="30" customHeight="1">
      <c r="A15" s="9" t="n"/>
      <c r="B15" s="24" t="n"/>
      <c r="C15" s="25" t="n"/>
      <c r="D15" s="25" t="n"/>
      <c r="E15" s="25" t="n"/>
      <c r="F15" s="25" t="n"/>
      <c r="G15" s="25" t="n"/>
      <c r="H15" s="26" t="n"/>
    </row>
    <row r="16">
      <c r="A16" s="9" t="n"/>
      <c r="B16" s="9" t="n"/>
      <c r="C16" s="9" t="n"/>
      <c r="D16" s="9" t="n"/>
      <c r="E16" s="9" t="n"/>
      <c r="F16" s="9" t="n"/>
      <c r="G16" s="9" t="n"/>
      <c r="H16" s="9" t="n"/>
    </row>
    <row r="17">
      <c r="A17" s="9" t="n"/>
      <c r="B17" s="9" t="n"/>
      <c r="C17" s="9" t="n"/>
      <c r="D17" s="9" t="n"/>
      <c r="E17" s="9" t="n"/>
      <c r="F17" s="9" t="n"/>
      <c r="G17" s="9" t="n"/>
      <c r="H17" s="9" t="n"/>
    </row>
    <row r="18">
      <c r="A18" s="9" t="inlineStr">
        <is>
          <t>Check your work</t>
        </is>
      </c>
      <c r="B18" s="9" t="inlineStr">
        <is>
          <t>Status</t>
        </is>
      </c>
      <c r="C18" s="9" t="n"/>
      <c r="D18" s="9" t="n"/>
      <c r="E18" s="9" t="n"/>
      <c r="F18" s="9" t="n"/>
      <c r="G18" s="9" t="n"/>
      <c r="H18" s="9" t="n"/>
    </row>
    <row r="19">
      <c r="A19" s="9" t="inlineStr">
        <is>
          <t>Part a.age sentinel count</t>
        </is>
      </c>
      <c r="B19" s="9">
        <f>IFERROR(IF('IN-CLASS_Lab Part A'!B7="","Not started",IF(ABS('IN-CLASS_Lab Part A'!B7-(42))&lt;=1e-09,"✓ Checked","Recheck method")),"Recheck formula")</f>
        <v/>
      </c>
      <c r="C19" s="9" t="n"/>
      <c r="D19" s="9" t="n"/>
      <c r="E19" s="9" t="n"/>
      <c r="F19" s="9" t="n"/>
      <c r="G19" s="9" t="n"/>
      <c r="H19" s="9" t="n"/>
    </row>
    <row r="20">
      <c r="A20" s="9" t="inlineStr">
        <is>
          <t>Part a.latency sentinel count</t>
        </is>
      </c>
      <c r="B20" s="9">
        <f>IFERROR(IF('IN-CLASS_Lab Part A'!B8="","Not started",IF(ABS('IN-CLASS_Lab Part A'!B8-(42))&lt;=1e-09,"✓ Checked","Recheck method")),"Recheck formula")</f>
        <v/>
      </c>
      <c r="C20" s="9" t="n"/>
      <c r="D20" s="9" t="n"/>
      <c r="E20" s="9" t="n"/>
      <c r="F20" s="9" t="n"/>
      <c r="G20" s="9" t="n"/>
      <c r="H20" s="9" t="n"/>
    </row>
    <row r="21">
      <c r="A21" s="9" t="n"/>
      <c r="B21" s="9" t="n"/>
      <c r="C21" s="9" t="n"/>
      <c r="D21" s="9" t="n"/>
      <c r="E21" s="9" t="n"/>
      <c r="F21" s="9" t="n"/>
      <c r="G21" s="9" t="n"/>
      <c r="H21" s="9" t="n"/>
    </row>
    <row r="22" ht="30" customHeight="1">
      <c r="A22" s="9" t="inlineStr">
        <is>
          <t>Formatting is already set. Enter your formula, then press Enter. To restore: select cell &gt; Format Cells &gt; Number or Custom.</t>
        </is>
      </c>
      <c r="B22" s="9" t="n"/>
      <c r="C22" s="9" t="n"/>
      <c r="D22" s="9" t="n"/>
      <c r="E22" s="9" t="n"/>
      <c r="F22" s="9" t="n"/>
      <c r="G22" s="9" t="n"/>
      <c r="H22" s="9" t="n"/>
    </row>
    <row r="23" ht="32" customHeight="1">
      <c r="A23" s="9" t="inlineStr">
        <is>
          <t>B7</t>
        </is>
      </c>
      <c r="B23" s="9" t="inlineStr">
        <is>
          <t>Number, 0 decimals, records; unrelated formatting example only: stored 7 displays as 7 records. This example is not an expected answer. | Format code: 0</t>
        </is>
      </c>
      <c r="C23" s="9" t="n"/>
      <c r="D23" s="9" t="n"/>
      <c r="E23" s="9" t="n"/>
      <c r="F23" s="9" t="n"/>
      <c r="G23" s="9" t="n"/>
      <c r="H23" s="9" t="n"/>
    </row>
    <row r="24" ht="32" customHeight="1">
      <c r="A24" s="9" t="inlineStr">
        <is>
          <t>B8</t>
        </is>
      </c>
      <c r="B24" s="9" t="inlineStr">
        <is>
          <t>Number, 0 decimals, records; unrelated formatting example only: stored 7 displays as 7 records. This example is not an expected answer. | Format code: 0</t>
        </is>
      </c>
      <c r="C24" s="9" t="n"/>
      <c r="D24" s="9" t="n"/>
      <c r="E24" s="9" t="n"/>
      <c r="F24" s="9" t="n"/>
      <c r="G24" s="9" t="n"/>
      <c r="H24" s="9" t="n"/>
    </row>
    <row r="26" ht="36" customHeight="1">
      <c r="A26" t="inlineStr" s="39">
        <is>
          <t xml:space="preserve">⚠ Most common mistake: Subtracting both sentinel counts from 10,000. Each code belongs to its own column. Latency results exclude only the 999 codes in Latency_Minutes; the -1 codes affect age, not latency.</t>
        </is>
      </c>
    </row>
  </sheetData>
  <mergeCells count="16">
    <mergeCell ref="A1:H1"/>
    <mergeCell ref="A4:H4"/>
    <mergeCell ref="A3:H3"/>
    <mergeCell ref="B14:H15"/>
    <mergeCell ref="C7:D7"/>
    <mergeCell ref="E8:H8"/>
    <mergeCell ref="B9:H9"/>
    <mergeCell ref="B10:H12"/>
    <mergeCell ref="A2:H2"/>
    <mergeCell ref="B24:H24"/>
    <mergeCell ref="E7:H7"/>
    <mergeCell ref="A5:H5"/>
    <mergeCell ref="C8:D8"/>
    <mergeCell ref="A22:H22"/>
    <mergeCell ref="B23:H23"/>
    <mergeCell ref="A26:H26"/>
  </mergeCells>
  <dataValidations count="1">
    <dataValidation sqref="B9"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=LabChoices_1</formula1>
    </dataValidation>
  </dataValidation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57068C"/>
    <outlinePr summaryBelow="1" summaryRight="1"/>
    <pageSetUpPr fitToPage="1"/>
  </sheetPr>
  <dimension ref="A1:H31"/>
  <sheetViews>
    <sheetView showGridLines="0" zoomScale="11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34" t="inlineStr">
        <is>
          <t xml:space="preserve">Part B · What does a typical order look like?    ⏱ 7 min · from slide 45 → back to slide 46</t>
        </is>
      </c>
      <c r="B1" s="9" t="n"/>
      <c r="C1" s="9" t="n"/>
      <c r="D1" s="9" t="n"/>
      <c r="E1" s="9" t="n"/>
      <c r="F1" s="9" t="n"/>
      <c r="G1" s="9" t="n"/>
      <c r="H1" s="9" t="n"/>
    </row>
    <row r="2" ht="34" customHeight="1">
      <c r="A2" s="35" t="inlineStr">
        <is>
          <t xml:space="preserve">What you're using · Section 2: Center and spread answer two different questions: where does a typical order sit, and how much do orders vary around it?   Reread: Slides 27–45; Concise Toolkit pp. 9–13; Full Toolkit pp. 25–47</t>
        </is>
      </c>
      <c r="B2" s="9" t="n"/>
      <c r="C2" s="9" t="n"/>
      <c r="D2" s="9" t="n"/>
      <c r="E2" s="9" t="n"/>
      <c r="F2" s="9" t="n"/>
      <c r="G2" s="9" t="n"/>
      <c r="H2" s="9" t="n"/>
    </row>
    <row r="3" ht="30" customHeight="1">
      <c r="A3" s="36" t="inlineStr">
        <is>
          <t xml:space="preserve">x = 1 / nΣᵢ₌₁ⁿ xᵢ = B7 s = √Σᵢ₌₁ⁿ (xᵢ - x)²n-1 = B9      where xᵢ = valid latency of order i, in minutes · n = valid orders · Q₁, Q₃ = first and third quartiles</t>
        </is>
      </c>
      <c r="B3" s="9" t="n"/>
      <c r="C3" s="9" t="n"/>
      <c r="D3" s="9" t="n"/>
      <c r="E3" s="9" t="n"/>
      <c r="F3" s="9" t="n"/>
      <c r="G3" s="9" t="n"/>
      <c r="H3" s="9" t="n"/>
    </row>
    <row r="4" ht="22" customHeight="1">
      <c r="A4" s="37" t="str">
        <f>"Progress: "&amp;COUNTIF(B22:B25,"✓ Checked")&amp;" of 4 checked. Save after each ✓."</f>
      </c>
      <c r="B4" s="9" t="n"/>
      <c r="C4" s="9" t="n"/>
      <c r="D4" s="9" t="n"/>
      <c r="E4" s="9" t="n"/>
      <c r="F4" s="9" t="n"/>
      <c r="G4" s="9" t="n"/>
      <c r="H4" s="9" t="n"/>
    </row>
    <row r="5" ht="30" customHeight="1">
      <c r="A5" s="38" t="inlineStr">
        <is>
          <t xml:space="preserve">Open IN-CLASS_Lab Part B!A7.  Save a recovery copy as LAB01_S03_Checkpoint_PartB.xlsx without replacing your personalized working file; reopen the personalized workbook at 'IN-CLASS_Lab Part C'!A7.</t>
        </is>
      </c>
      <c r="B5" s="9" t="n"/>
      <c r="C5" s="9" t="n"/>
      <c r="D5" s="9" t="n"/>
      <c r="E5" s="9" t="n"/>
      <c r="F5" s="9" t="n"/>
      <c r="G5" s="9" t="n"/>
      <c r="H5" s="9" t="n"/>
    </row>
    <row r="6">
      <c r="A6" s="9" t="n"/>
      <c r="B6" s="9" t="n"/>
      <c r="C6" s="9" t="n"/>
      <c r="D6" s="9" t="n"/>
      <c r="E6" s="9" t="n"/>
      <c r="F6" s="9" t="n"/>
      <c r="G6" s="9" t="n"/>
      <c r="H6" s="9" t="n"/>
    </row>
    <row r="7" ht="66" customHeight="1">
      <c r="A7" s="10" t="inlineStr">
        <is>
          <t xml:space="preserve">1 · Mean latency</t>
        </is>
      </c>
      <c r="B7" s="27" t="n"/>
      <c r="C7" s="12">
        <f>IFERROR(IF(OR(ISBLANK(B7)),"Not started",IF(AND(ABS(B7-(28.4))&lt;=0.0568),"Result matches","Check the result")),"Formula error")</f>
        <v/>
      </c>
      <c r="D7" s="13" t="n"/>
      <c r="E7" s="14" t="inlineStr">
        <is>
          <t>Mean latency. Practice check: 28.4 minutes. Including 999 would pull the mean upward and change the denominator.</t>
        </is>
      </c>
      <c r="F7" s="13" t="n"/>
      <c r="G7" s="13" t="n"/>
      <c r="H7" s="13" t="n"/>
    </row>
    <row r="8" ht="66" customHeight="1">
      <c r="A8" s="10" t="inlineStr">
        <is>
          <t xml:space="preserve">2 · Median latency</t>
        </is>
      </c>
      <c r="B8" s="27" t="n"/>
      <c r="C8" s="12">
        <f>IFERROR(IF(OR(ISBLANK(B8)),"Not started",IF(AND(ABS(B8-(22))&lt;=1e-09),"Result matches","Check the result")),"Formula error")</f>
        <v/>
      </c>
      <c r="D8" s="13" t="n"/>
      <c r="E8" s="14" t="inlineStr">
        <is>
          <t>Median latency. Practice check: 22.0 minutes. Do not describe the median as an arithmetic average.</t>
        </is>
      </c>
      <c r="F8" s="13" t="n"/>
      <c r="G8" s="13" t="n"/>
      <c r="H8" s="13" t="n"/>
    </row>
    <row r="9" ht="66" customHeight="1">
      <c r="A9" s="10" t="inlineStr">
        <is>
          <t xml:space="preserve">3 · Sample standard deviation</t>
        </is>
      </c>
      <c r="B9" s="27" t="n"/>
      <c r="C9" s="12">
        <f>IFERROR(IF(OR(ISBLANK(B9)),"Not started",IF(AND(ABS(B9-(13.5137672584411))&lt;=0.0270275345168823),"Result matches","Check the result")),"Formula error")</f>
        <v/>
      </c>
      <c r="D9" s="13" t="n"/>
      <c r="E9" s="14" t="inlineStr">
        <is>
          <t>Sample standard deviation. Practice check: 13.5 minutes. Do not use STDEV.P when the accepted concept requires sample standard deviation.</t>
        </is>
      </c>
      <c r="F9" s="13" t="n"/>
      <c r="G9" s="13" t="n"/>
      <c r="H9" s="13" t="n"/>
    </row>
    <row r="10" ht="66" customHeight="1">
      <c r="A10" s="10" t="inlineStr">
        <is>
          <t xml:space="preserve">4 · Interquartile range</t>
        </is>
      </c>
      <c r="B10" s="27" t="n"/>
      <c r="C10" s="12">
        <f>IFERROR(IF(OR(ISBLANK(B10)),"Not started",IF(AND(ABS(B10-(12))&lt;=1e-09),"Result matches","Check the result")),"Formula error")</f>
        <v/>
      </c>
      <c r="D10" s="13" t="n"/>
      <c r="E10" s="14" t="inlineStr">
        <is>
          <t>Interquartile range. Practice check: 12.0 minutes. Do not mix exclusive and inclusive quartile conventions.</t>
        </is>
      </c>
      <c r="F10" s="13" t="n"/>
      <c r="G10" s="13" t="n"/>
      <c r="H10" s="13" t="n"/>
    </row>
    <row r="11">
      <c r="A11" s="9" t="n"/>
      <c r="B11" s="9" t="n"/>
      <c r="C11" s="9" t="n"/>
      <c r="D11" s="9" t="n"/>
      <c r="E11" s="9" t="n"/>
      <c r="F11" s="9" t="n"/>
      <c r="G11" s="9" t="n"/>
      <c r="H11" s="9" t="n"/>
    </row>
    <row r="12" ht="50" customHeight="1">
      <c r="A12" s="10" t="inlineStr">
        <is>
          <t>Interpretation</t>
        </is>
      </c>
      <c r="B12" s="15" t="n"/>
      <c r="C12" s="16" t="n"/>
      <c r="D12" s="16" t="n"/>
      <c r="E12" s="16" t="n"/>
      <c r="F12" s="16" t="n"/>
      <c r="G12" s="16" t="n"/>
      <c r="H12" s="17" t="n"/>
    </row>
    <row r="13" ht="30" customHeight="1">
      <c r="A13" s="10" t="inlineStr">
        <is>
          <t>Reason</t>
        </is>
      </c>
      <c r="B13" s="18" t="inlineStr">
        <is>
          <t>[Replace with 2-4 sentences: state your choice, cite the relevant statistical rule or evidence, explain why it fits, and state one limitation.]</t>
        </is>
      </c>
      <c r="C13" s="19" t="n"/>
      <c r="D13" s="19" t="n"/>
      <c r="E13" s="19" t="n"/>
      <c r="F13" s="19" t="n"/>
      <c r="G13" s="19" t="n"/>
      <c r="H13" s="20" t="n"/>
    </row>
    <row r="14" ht="30" customHeight="1">
      <c r="A14" s="9" t="n"/>
      <c r="B14" s="21" t="n"/>
      <c r="C14" s="22" t="n"/>
      <c r="D14" s="22" t="n"/>
      <c r="E14" s="22" t="n"/>
      <c r="F14" s="22" t="n"/>
      <c r="G14" s="22" t="n"/>
      <c r="H14" s="23" t="n"/>
    </row>
    <row r="15" ht="30" customHeight="1">
      <c r="A15" s="9" t="n"/>
      <c r="B15" s="24" t="n"/>
      <c r="C15" s="25" t="n"/>
      <c r="D15" s="25" t="n"/>
      <c r="E15" s="25" t="n"/>
      <c r="F15" s="25" t="n"/>
      <c r="G15" s="25" t="n"/>
      <c r="H15" s="26" t="n"/>
    </row>
    <row r="16">
      <c r="A16" s="9" t="n"/>
      <c r="B16" s="9" t="n"/>
      <c r="C16" s="9" t="n"/>
      <c r="D16" s="9" t="n"/>
      <c r="E16" s="9" t="n"/>
      <c r="F16" s="9" t="n"/>
      <c r="G16" s="9" t="n"/>
      <c r="H16" s="9" t="n"/>
    </row>
    <row r="17" ht="30" customHeight="1">
      <c r="A17" s="10" t="inlineStr">
        <is>
          <t>SPSS H2 evidence caption</t>
        </is>
      </c>
      <c r="B17" s="18" t="inlineStr">
        <is>
          <t>[Replace with 1-2 sentences: name the exact SPSS output, identify the statistic and population or filter you read, then state the cross-tool check you performed.]</t>
        </is>
      </c>
      <c r="C17" s="19" t="n"/>
      <c r="D17" s="19" t="n"/>
      <c r="E17" s="19" t="n"/>
      <c r="F17" s="19" t="n"/>
      <c r="G17" s="19" t="n"/>
      <c r="H17" s="20" t="n"/>
    </row>
    <row r="18" ht="30" customHeight="1">
      <c r="A18" s="9" t="n"/>
      <c r="B18" s="24" t="n"/>
      <c r="C18" s="25" t="n"/>
      <c r="D18" s="25" t="n"/>
      <c r="E18" s="25" t="n"/>
      <c r="F18" s="25" t="n"/>
      <c r="G18" s="25" t="n"/>
      <c r="H18" s="26" t="n"/>
    </row>
    <row r="19">
      <c r="A19" s="9" t="n"/>
      <c r="B19" s="9" t="n"/>
      <c r="C19" s="9" t="n"/>
      <c r="D19" s="9" t="n"/>
      <c r="E19" s="9" t="n"/>
      <c r="F19" s="9" t="n"/>
      <c r="G19" s="9" t="n"/>
      <c r="H19" s="9" t="n"/>
    </row>
    <row r="20">
      <c r="A20" s="9" t="n"/>
      <c r="B20" s="9" t="n"/>
      <c r="C20" s="9" t="n"/>
      <c r="D20" s="9" t="n"/>
      <c r="E20" s="9" t="n"/>
      <c r="F20" s="9" t="n"/>
      <c r="G20" s="9" t="n"/>
      <c r="H20" s="9" t="n"/>
    </row>
    <row r="21">
      <c r="A21" s="9" t="inlineStr">
        <is>
          <t>Check your work</t>
        </is>
      </c>
      <c r="B21" s="9" t="inlineStr">
        <is>
          <t>Status</t>
        </is>
      </c>
      <c r="C21" s="9" t="n"/>
      <c r="D21" s="9" t="n"/>
      <c r="E21" s="9" t="n"/>
      <c r="F21" s="9" t="n"/>
      <c r="G21" s="9" t="n"/>
      <c r="H21" s="9" t="n"/>
    </row>
    <row r="22">
      <c r="A22" s="9" t="inlineStr">
        <is>
          <t>Part b.mean latency</t>
        </is>
      </c>
      <c r="B22" s="9">
        <f>IFERROR(IF('IN-CLASS_Lab Part B'!B7="","Not started",IF(ABS('IN-CLASS_Lab Part B'!B7-(28.4))&lt;=0.0568,"✓ Checked","Recheck method")),"Recheck formula")</f>
        <v/>
      </c>
      <c r="C22" s="9" t="n"/>
      <c r="D22" s="9" t="n"/>
      <c r="E22" s="9" t="n"/>
      <c r="F22" s="9" t="n"/>
      <c r="G22" s="9" t="n"/>
      <c r="H22" s="9" t="n"/>
    </row>
    <row r="23">
      <c r="A23" s="9" t="inlineStr">
        <is>
          <t>Part b.median latency</t>
        </is>
      </c>
      <c r="B23" s="9">
        <f>IFERROR(IF('IN-CLASS_Lab Part B'!B8="","Not started",IF(ABS('IN-CLASS_Lab Part B'!B8-(22))&lt;=1e-09,"✓ Checked","Recheck method")),"Recheck formula")</f>
        <v/>
      </c>
      <c r="C23" s="9" t="n"/>
      <c r="D23" s="9" t="n"/>
      <c r="E23" s="9" t="n"/>
      <c r="F23" s="9" t="n"/>
      <c r="G23" s="9" t="n"/>
      <c r="H23" s="9" t="n"/>
    </row>
    <row r="24">
      <c r="A24" s="9" t="inlineStr">
        <is>
          <t>Part b.sample standard deviation latency</t>
        </is>
      </c>
      <c r="B24" s="9">
        <f>IFERROR(IF('IN-CLASS_Lab Part B'!B9="","Not started",IF(ABS('IN-CLASS_Lab Part B'!B9-(13.5137672584411))&lt;=0.0270275345168823,"✓ Checked","Recheck method")),"Recheck formula")</f>
        <v/>
      </c>
      <c r="C24" s="9" t="n"/>
      <c r="D24" s="9" t="n"/>
      <c r="E24" s="9" t="n"/>
      <c r="F24" s="9" t="n"/>
      <c r="G24" s="9" t="n"/>
      <c r="H24" s="9" t="n"/>
    </row>
    <row r="25">
      <c r="A25" s="9" t="inlineStr">
        <is>
          <t>Part b.iqr latency</t>
        </is>
      </c>
      <c r="B25" s="9">
        <f>IFERROR(IF('IN-CLASS_Lab Part B'!B10="","Not started",IF(ABS('IN-CLASS_Lab Part B'!B10-(12))&lt;=1e-09,"✓ Checked","Recheck method")),"Recheck formula")</f>
        <v/>
      </c>
      <c r="C25" s="9" t="n"/>
      <c r="D25" s="9" t="n"/>
      <c r="E25" s="9" t="n"/>
      <c r="F25" s="9" t="n"/>
      <c r="G25" s="9" t="n"/>
      <c r="H25" s="9" t="n"/>
    </row>
    <row r="26">
      <c r="A26" s="9" t="n"/>
      <c r="B26" s="9" t="n"/>
      <c r="C26" s="9" t="n"/>
      <c r="D26" s="9" t="n"/>
      <c r="E26" s="9" t="n"/>
      <c r="F26" s="9" t="n"/>
      <c r="G26" s="9" t="n"/>
      <c r="H26" s="9" t="n"/>
    </row>
    <row r="27" ht="30" customHeight="1">
      <c r="A27" s="9" t="inlineStr">
        <is>
          <t>Formatting is already set. Enter your formula, then press Enter. To restore: select cell &gt; Format Cells &gt; Number or Custom.</t>
        </is>
      </c>
      <c r="B27" s="9" t="n"/>
      <c r="C27" s="9" t="n"/>
      <c r="D27" s="9" t="n"/>
      <c r="E27" s="9" t="n"/>
      <c r="F27" s="9" t="n"/>
      <c r="G27" s="9" t="n"/>
      <c r="H27" s="9" t="n"/>
    </row>
    <row r="28" ht="32" customHeight="1">
      <c r="A28" s="9" t="inlineStr">
        <is>
          <t>B7</t>
        </is>
      </c>
      <c r="B28" s="9" t="inlineStr">
        <is>
          <t>Number, 1 decimal, minutes; unrelated formatting example only: stored 7.26 displays as 7.3 minutes. This example is not an expected answer. | Format code: 0.0</t>
        </is>
      </c>
      <c r="C28" s="9" t="n"/>
      <c r="D28" s="9" t="n"/>
      <c r="E28" s="9" t="n"/>
      <c r="F28" s="9" t="n"/>
      <c r="G28" s="9" t="n"/>
      <c r="H28" s="9" t="n"/>
    </row>
    <row r="29" ht="32" customHeight="1">
      <c r="A29" s="9" t="inlineStr">
        <is>
          <t>B8</t>
        </is>
      </c>
      <c r="B29" s="9" t="inlineStr">
        <is>
          <t>Number, 1 decimal, minutes; unrelated formatting example only: stored 7.26 displays as 7.3 minutes. This example is not an expected answer. | Format code: 0.0</t>
        </is>
      </c>
      <c r="C29" s="9" t="n"/>
      <c r="D29" s="9" t="n"/>
      <c r="E29" s="9" t="n"/>
      <c r="F29" s="9" t="n"/>
      <c r="G29" s="9" t="n"/>
      <c r="H29" s="9" t="n"/>
    </row>
    <row r="30" ht="32" customHeight="1">
      <c r="A30" s="9" t="inlineStr">
        <is>
          <t>B9</t>
        </is>
      </c>
      <c r="B30" s="9" t="inlineStr">
        <is>
          <t>Number, 1 decimal, minutes; unrelated formatting example only: stored 7.26 displays as 7.3 minutes. This example is not an expected answer. | Format code: 0.0</t>
        </is>
      </c>
      <c r="C30" s="9" t="n"/>
      <c r="D30" s="9" t="n"/>
      <c r="E30" s="9" t="n"/>
      <c r="F30" s="9" t="n"/>
      <c r="G30" s="9" t="n"/>
      <c r="H30" s="9" t="n"/>
    </row>
    <row r="31" ht="32" customHeight="1">
      <c r="A31" s="9" t="inlineStr">
        <is>
          <t>B10</t>
        </is>
      </c>
      <c r="B31" s="9" t="inlineStr">
        <is>
          <t>Number, 1 decimal, minutes; unrelated formatting example only: stored 7.26 displays as 7.3 minutes. This example is not an expected answer. | Format code: 0.0</t>
        </is>
      </c>
      <c r="C31" s="9" t="n"/>
      <c r="D31" s="9" t="n"/>
      <c r="E31" s="9" t="n"/>
      <c r="F31" s="9" t="n"/>
      <c r="G31" s="9" t="n"/>
      <c r="H31" s="9" t="n"/>
    </row>
    <row r="33" ht="36" customHeight="1">
      <c r="A33" t="inlineStr" s="39">
        <is>
          <t xml:space="preserve">⚠ Most common mistake: Averaging the whole column. AVERAGE(Orders[Latency_Minutes]) treats the 42 codes of 999 as real 999-minute deliveries. Every formula on this sheet must keep the FILTER(...&lt;&gt;999...) rule.</t>
        </is>
      </c>
    </row>
  </sheetData>
  <mergeCells count="22">
    <mergeCell ref="B30:H30"/>
    <mergeCell ref="E7:H7"/>
    <mergeCell ref="A1:H1"/>
    <mergeCell ref="B17:H18"/>
    <mergeCell ref="C10:D10"/>
    <mergeCell ref="C9:D9"/>
    <mergeCell ref="A27:H27"/>
    <mergeCell ref="B31:H31"/>
    <mergeCell ref="A3:H3"/>
    <mergeCell ref="E8:H8"/>
    <mergeCell ref="A2:H2"/>
    <mergeCell ref="B12:H12"/>
    <mergeCell ref="A5:H5"/>
    <mergeCell ref="E10:H10"/>
    <mergeCell ref="C8:D8"/>
    <mergeCell ref="A4:H4"/>
    <mergeCell ref="E9:H9"/>
    <mergeCell ref="C7:D7"/>
    <mergeCell ref="B13:H15"/>
    <mergeCell ref="B29:H29"/>
    <mergeCell ref="B28:H28"/>
    <mergeCell ref="A33:H33"/>
  </mergeCells>
  <dataValidations count="1">
    <dataValidation sqref="B12"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=LabChoices_2</formula1>
    </dataValidation>
  </dataValidation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tabColor rgb="0057068C"/>
    <outlinePr summaryBelow="1" summaryRight="1"/>
    <pageSetUpPr fitToPage="1"/>
  </sheetPr>
  <dimension ref="A1:AA10000"/>
  <sheetViews>
    <sheetView showGridLines="0" zoomScale="11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hidden="1" width="13" customWidth="1" min="10" max="10"/>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s>
  <sheetData>
    <row r="1" ht="30" customHeight="1">
      <c r="A1" s="34" t="inlineStr">
        <is>
          <t xml:space="preserve">Part C · Which orders are unusually slow?    ⏱ 6 min · from slide 67 → back to slide 68</t>
        </is>
      </c>
      <c r="B1" s="9" t="n"/>
      <c r="C1" s="9" t="n"/>
      <c r="D1" s="9" t="n"/>
      <c r="E1" s="9" t="n"/>
      <c r="F1" s="9" t="n"/>
      <c r="G1" s="9" t="n"/>
      <c r="H1" s="9" t="n"/>
      <c r="J1">
        <f>IF(AND(ISNUMBER('Data'!$F$2),'Data'!$F$2&lt;&gt;999,'Data'!$F$2&lt;&gt;""),'Data'!$F$2,"")</f>
        <v/>
      </c>
      <c r="L1" t="inlineStr">
        <is>
          <t>part_c_valid_latency_xy_boxplot: count</t>
        </is>
      </c>
      <c r="M1" s="28">
        <f>COUNT('IN-CLASS_Lab Part C'!$J$1:$J$10000)</f>
        <v/>
      </c>
      <c r="N1" t="n">
        <v>0.8</v>
      </c>
      <c r="O1">
        <f>$M$2</f>
        <v/>
      </c>
      <c r="P1" t="n">
        <v>0.8</v>
      </c>
      <c r="Q1">
        <f>$M$3</f>
        <v/>
      </c>
      <c r="R1" t="n">
        <v>1</v>
      </c>
      <c r="S1">
        <f>$M$8</f>
        <v/>
      </c>
      <c r="T1" t="n">
        <v>1</v>
      </c>
      <c r="U1">
        <f>$M$4</f>
        <v/>
      </c>
      <c r="V1" t="n">
        <v>0.9</v>
      </c>
      <c r="W1">
        <f>$M$8</f>
        <v/>
      </c>
      <c r="X1" t="n">
        <v>0.9</v>
      </c>
      <c r="Y1">
        <f>$M$9</f>
        <v/>
      </c>
      <c r="Z1" t="n">
        <v>1</v>
      </c>
      <c r="AA1">
        <f>IF(ISNUMBER('IN-CLASS_Lab Part C'!$J$1),'IN-CLASS_Lab Part C'!$J$1,NA())</f>
        <v/>
      </c>
    </row>
    <row r="2" ht="34" customHeight="1">
      <c r="A2" s="35" t="inlineStr">
        <is>
          <t xml:space="preserve">What you're using · Section 3: A boxplot draws the middle half of the data as a box and marks unusual values with Tukey fences.   Reread: Slides 47–67; Concise Toolkit pp. 14–18; Full Toolkit pp. 48–69</t>
        </is>
      </c>
      <c r="B2" s="9" t="n"/>
      <c r="C2" s="9" t="n"/>
      <c r="D2" s="9" t="n"/>
      <c r="E2" s="9" t="n"/>
      <c r="F2" s="9" t="n"/>
      <c r="G2" s="9" t="n"/>
      <c r="H2" s="9" t="n"/>
      <c r="J2">
        <f>IF(AND(ISNUMBER('Data'!$F$3),'Data'!$F$3&lt;&gt;999,'Data'!$F$3&lt;&gt;""),'Data'!$F$3,"")</f>
        <v/>
      </c>
      <c r="L2" t="inlineStr">
        <is>
          <t>part_c_valid_latency_xy_boxplot: q1</t>
        </is>
      </c>
      <c r="M2" s="28">
        <f>IF($M$1=0,NA(),_xlfn.QUARTILE.EXC('IN-CLASS_Lab Part C'!$J$1:$J$10000,1))</f>
        <v/>
      </c>
      <c r="N2" t="n">
        <v>1.2</v>
      </c>
      <c r="O2">
        <f>$M$2</f>
        <v/>
      </c>
      <c r="P2" t="n">
        <v>1.2</v>
      </c>
      <c r="Q2">
        <f>$M$3</f>
        <v/>
      </c>
      <c r="R2" t="n">
        <v>1</v>
      </c>
      <c r="S2">
        <f>$M$2</f>
        <v/>
      </c>
      <c r="T2" t="n">
        <v>1</v>
      </c>
      <c r="U2">
        <f>$M$9</f>
        <v/>
      </c>
      <c r="V2" t="n">
        <v>1.1</v>
      </c>
      <c r="W2">
        <f>$M$8</f>
        <v/>
      </c>
      <c r="X2" t="n">
        <v>1.1</v>
      </c>
      <c r="Y2">
        <f>$M$9</f>
        <v/>
      </c>
      <c r="Z2" t="n">
        <v>1</v>
      </c>
      <c r="AA2">
        <f>IF(ISNUMBER('IN-CLASS_Lab Part C'!$J$2),'IN-CLASS_Lab Part C'!$J$2,NA())</f>
        <v/>
      </c>
    </row>
    <row r="3" ht="30" customHeight="1">
      <c r="A3" s="36" t="inlineStr">
        <is>
          <t xml:space="preserve">Upper = Q₃ + 1.5 IQR = B7 Lower = Q₁ - 1.5 IQR = B8      where Q₁, Q₃ = exclusive quartiles of valid latency · IQR = Part B cell B10 · 1.5 = Tukey's multiplier · x₍ₙ₎ = largest valid value</t>
        </is>
      </c>
      <c r="B3" s="9" t="n"/>
      <c r="C3" s="9" t="n"/>
      <c r="D3" s="9" t="n"/>
      <c r="E3" s="9" t="n"/>
      <c r="F3" s="9" t="n"/>
      <c r="G3" s="9" t="n"/>
      <c r="H3" s="9" t="n"/>
      <c r="J3">
        <f>IF(AND(ISNUMBER('Data'!$F$4),'Data'!$F$4&lt;&gt;999,'Data'!$F$4&lt;&gt;""),'Data'!$F$4,"")</f>
        <v/>
      </c>
      <c r="L3" t="inlineStr">
        <is>
          <t>part_c_valid_latency_xy_boxplot: median</t>
        </is>
      </c>
      <c r="M3" s="28">
        <f>IF($M$1=0,NA(),MEDIAN('IN-CLASS_Lab Part C'!$J$1:$J$10000))</f>
        <v/>
      </c>
      <c r="N3" t="n">
        <v>1.2</v>
      </c>
      <c r="O3">
        <f>$M$4</f>
        <v/>
      </c>
      <c r="Z3" t="n">
        <v>1</v>
      </c>
      <c r="AA3">
        <f>IF(ISNUMBER('IN-CLASS_Lab Part C'!$J$3),'IN-CLASS_Lab Part C'!$J$3,NA())</f>
        <v/>
      </c>
    </row>
    <row r="4" ht="22" customHeight="1">
      <c r="A4" s="37" t="str">
        <f>"Progress: "&amp;COUNTIF(B23:B27,"✓ Checked")&amp;" of 5 checked. Save after each ✓."</f>
      </c>
      <c r="B4" s="9" t="n"/>
      <c r="C4" s="9" t="n"/>
      <c r="D4" s="9" t="n"/>
      <c r="E4" s="9" t="n"/>
      <c r="F4" s="9" t="n"/>
      <c r="G4" s="9" t="n"/>
      <c r="H4" s="9" t="n"/>
      <c r="J4">
        <f>IF(AND(ISNUMBER('Data'!$F$5),'Data'!$F$5&lt;&gt;999,'Data'!$F$5&lt;&gt;""),'Data'!$F$5,"")</f>
        <v/>
      </c>
      <c r="L4" t="inlineStr">
        <is>
          <t>part_c_valid_latency_xy_boxplot: q3</t>
        </is>
      </c>
      <c r="M4" s="28">
        <f>IF($M$1=0,NA(),_xlfn.QUARTILE.EXC('IN-CLASS_Lab Part C'!$J$1:$J$10000,3))</f>
        <v/>
      </c>
      <c r="N4" t="n">
        <v>0.8</v>
      </c>
      <c r="O4">
        <f>$M$4</f>
        <v/>
      </c>
      <c r="Z4" t="n">
        <v>1</v>
      </c>
      <c r="AA4">
        <f>IF(ISNUMBER('IN-CLASS_Lab Part C'!$J$4),'IN-CLASS_Lab Part C'!$J$4,NA())</f>
        <v/>
      </c>
    </row>
    <row r="5" ht="30" customHeight="1">
      <c r="A5" s="38" t="inlineStr">
        <is>
          <t xml:space="preserve">Open IN-CLASS_Lab Part C!A7.  Save a recovery copy as LAB01_S03_Checkpoint_PartC.xlsx without replacing your personalized working file; reopen the personalized workbook at 'IN-CLASS_Lab Part D'!A7.</t>
        </is>
      </c>
      <c r="B5" s="9" t="n"/>
      <c r="C5" s="9" t="n"/>
      <c r="D5" s="9" t="n"/>
      <c r="E5" s="9" t="n"/>
      <c r="F5" s="9" t="n"/>
      <c r="G5" s="9" t="n"/>
      <c r="H5" s="9" t="n"/>
      <c r="J5">
        <f>IF(AND(ISNUMBER('Data'!$F$6),'Data'!$F$6&lt;&gt;999,'Data'!$F$6&lt;&gt;""),'Data'!$F$6,"")</f>
        <v/>
      </c>
      <c r="L5" t="inlineStr">
        <is>
          <t>part_c_valid_latency_xy_boxplot: iqr</t>
        </is>
      </c>
      <c r="M5" s="28">
        <f>$M$4-$M$2</f>
        <v/>
      </c>
      <c r="N5" t="n">
        <v>0.8</v>
      </c>
      <c r="O5">
        <f>$M$2</f>
        <v/>
      </c>
      <c r="Z5" t="n">
        <v>1</v>
      </c>
      <c r="AA5">
        <f>IF(ISNUMBER('IN-CLASS_Lab Part C'!$J$5),'IN-CLASS_Lab Part C'!$J$5,NA())</f>
        <v/>
      </c>
    </row>
    <row r="6">
      <c r="A6" s="9" t="n"/>
      <c r="B6" s="9" t="n"/>
      <c r="C6" s="9" t="n"/>
      <c r="D6" s="9" t="n"/>
      <c r="E6" s="9" t="n"/>
      <c r="F6" s="9" t="n"/>
      <c r="G6" s="9" t="n"/>
      <c r="H6" s="9" t="n"/>
      <c r="J6">
        <f>IF(AND(ISNUMBER('Data'!$F$7),'Data'!$F$7&lt;&gt;999,'Data'!$F$7&lt;&gt;""),'Data'!$F$7,"")</f>
        <v/>
      </c>
      <c r="L6" t="inlineStr">
        <is>
          <t>part_c_valid_latency_xy_boxplot: lower_fence</t>
        </is>
      </c>
      <c r="M6" s="28">
        <f>$M$2-1.5*$M$5</f>
        <v/>
      </c>
      <c r="Z6" t="n">
        <v>1</v>
      </c>
      <c r="AA6">
        <f>IF(ISNUMBER('IN-CLASS_Lab Part C'!$J$6),'IN-CLASS_Lab Part C'!$J$6,NA())</f>
        <v/>
      </c>
    </row>
    <row r="7" ht="66" customHeight="1">
      <c r="A7" s="10" t="inlineStr">
        <is>
          <t xml:space="preserve">1 · Upper Tukey fence</t>
        </is>
      </c>
      <c r="B7" s="27" t="n"/>
      <c r="C7" s="12">
        <f>IFERROR(IF(OR(ISBLANK(B7)),"Not started",IF(AND(ABS(B7-(49))&lt;=1e-09),"Result matches","Check the result")),"Formula error")</f>
        <v/>
      </c>
      <c r="D7" s="13" t="n"/>
      <c r="E7" s="14" t="inlineStr">
        <is>
          <t>Upper Tukey fence. Practice check: 49.0 minutes. Do not include the 999 sentinel when calculating Q3.</t>
        </is>
      </c>
      <c r="F7" s="13" t="n"/>
      <c r="G7" s="13" t="n"/>
      <c r="H7" s="13" t="n"/>
      <c r="J7">
        <f>IF(AND(ISNUMBER('Data'!$F$8),'Data'!$F$8&lt;&gt;999,'Data'!$F$8&lt;&gt;""),'Data'!$F$8,"")</f>
        <v/>
      </c>
      <c r="L7" t="inlineStr">
        <is>
          <t>part_c_valid_latency_xy_boxplot: upper_fence</t>
        </is>
      </c>
      <c r="M7" s="28">
        <f>$M$4+1.5*$M$5</f>
        <v/>
      </c>
      <c r="Z7" t="n">
        <v>1</v>
      </c>
      <c r="AA7">
        <f>IF(ISNUMBER('IN-CLASS_Lab Part C'!$J$7),'IN-CLASS_Lab Part C'!$J$7,NA())</f>
        <v/>
      </c>
    </row>
    <row r="8" ht="66" customHeight="1">
      <c r="A8" s="10" t="inlineStr">
        <is>
          <t xml:space="preserve">2 · Lower Tukey fence</t>
        </is>
      </c>
      <c r="B8" s="27" t="n"/>
      <c r="C8" s="12">
        <f>IFERROR(IF(OR(ISBLANK(B8)),"Not started",IF(AND(ABS(B8-(1))&lt;=1e-09),"Result matches","Check the result")),"Formula error")</f>
        <v/>
      </c>
      <c r="D8" s="13" t="n"/>
      <c r="E8" s="14" t="inlineStr">
        <is>
          <t>Lower Tukey fence. Practice check: 1.0 minutes. Do not reverse Q1 and Q3 or add when calculating the lower fence.</t>
        </is>
      </c>
      <c r="F8" s="13" t="n"/>
      <c r="G8" s="13" t="n"/>
      <c r="H8" s="13" t="n"/>
      <c r="J8">
        <f>IF(AND(ISNUMBER('Data'!$F$9),'Data'!$F$9&lt;&gt;999,'Data'!$F$9&lt;&gt;""),'Data'!$F$9,"")</f>
        <v/>
      </c>
      <c r="L8" t="inlineStr">
        <is>
          <t>part_c_valid_latency_xy_boxplot: lower_whisker</t>
        </is>
      </c>
      <c r="M8" s="28">
        <f>IF($M$1=0,NA(),_xlfn.AGGREGATE(15,6,'IN-CLASS_Lab Part C'!$J$1:$J$10000/(ISNUMBER('IN-CLASS_Lab Part C'!$J$1:$J$10000)*('IN-CLASS_Lab Part C'!$J$1:$J$10000&gt;=$M$6)*('IN-CLASS_Lab Part C'!$J$1:$J$10000&lt;=$M$7)),1))</f>
        <v/>
      </c>
      <c r="Z8" t="n">
        <v>1</v>
      </c>
      <c r="AA8">
        <f>IF(ISNUMBER('IN-CLASS_Lab Part C'!$J$8),'IN-CLASS_Lab Part C'!$J$8,NA())</f>
        <v/>
      </c>
    </row>
    <row r="9" ht="66" customHeight="1">
      <c r="A9" s="10" t="inlineStr">
        <is>
          <t xml:space="preserve">3 · Records above upper fence</t>
        </is>
      </c>
      <c r="B9" s="11" t="n"/>
      <c r="C9" s="12">
        <f>IFERROR(IF(OR(ISBLANK(B9)),"Not started",IF(AND(ABS(B9-(829))&lt;=1e-09),"Result matches","Check the result")),"Formula error")</f>
        <v/>
      </c>
      <c r="D9" s="13" t="n"/>
      <c r="E9" s="14" t="inlineStr">
        <is>
          <t>Records above upper fence. Practice check: 829 records. Build the greater-than criterion with "&gt;"&amp;B7 rather than the text "&gt;B7".</t>
        </is>
      </c>
      <c r="F9" s="13" t="n"/>
      <c r="G9" s="13" t="n"/>
      <c r="H9" s="13" t="n"/>
      <c r="J9">
        <f>IF(AND(ISNUMBER('Data'!$F$10),'Data'!$F$10&lt;&gt;999,'Data'!$F$10&lt;&gt;""),'Data'!$F$10,"")</f>
        <v/>
      </c>
      <c r="L9" t="inlineStr">
        <is>
          <t>part_c_valid_latency_xy_boxplot: upper_whisker</t>
        </is>
      </c>
      <c r="M9" s="28">
        <f>IF($M$1=0,NA(),_xlfn.AGGREGATE(14,6,'IN-CLASS_Lab Part C'!$J$1:$J$10000/(ISNUMBER('IN-CLASS_Lab Part C'!$J$1:$J$10000)*('IN-CLASS_Lab Part C'!$J$1:$J$10000&gt;=$M$6)*('IN-CLASS_Lab Part C'!$J$1:$J$10000&lt;=$M$7)),1))</f>
        <v/>
      </c>
      <c r="Z9" t="n">
        <v>1</v>
      </c>
      <c r="AA9">
        <f>IF(ISNUMBER('IN-CLASS_Lab Part C'!$J$9),'IN-CLASS_Lab Part C'!$J$9,NA())</f>
        <v/>
      </c>
    </row>
    <row r="10" ht="66" customHeight="1">
      <c r="A10" s="10" t="inlineStr">
        <is>
          <t xml:space="preserve">4 · Largest valid latency</t>
        </is>
      </c>
      <c r="B10" s="27" t="n"/>
      <c r="C10" s="12">
        <f>IFERROR(IF(OR(ISBLANK(B10)),"Not started",IF(AND(ABS(B10-(124))&lt;=1e-09),"Result matches","Check the result")),"Formula error")</f>
        <v/>
      </c>
      <c r="D10" s="13" t="n"/>
      <c r="E10" s="14" t="inlineStr">
        <is>
          <t>Largest valid latency. Practice check: 124.0 minutes. Without the filter, MAX would return the 999 sentinel.</t>
        </is>
      </c>
      <c r="F10" s="13" t="n"/>
      <c r="G10" s="13" t="n"/>
      <c r="H10" s="13" t="n"/>
      <c r="J10">
        <f>IF(AND(ISNUMBER('Data'!$F$11),'Data'!$F$11&lt;&gt;999,'Data'!$F$11&lt;&gt;""),'Data'!$F$11,"")</f>
        <v/>
      </c>
      <c r="Z10" t="n">
        <v>1</v>
      </c>
      <c r="AA10">
        <f>IF(ISNUMBER('IN-CLASS_Lab Part C'!$J$10),'IN-CLASS_Lab Part C'!$J$10,NA())</f>
        <v/>
      </c>
    </row>
    <row r="11" ht="66" customHeight="1">
      <c r="A11" s="10" t="inlineStr">
        <is>
          <t xml:space="preserve">5 · Second-largest valid latency</t>
        </is>
      </c>
      <c r="B11" s="27" t="n"/>
      <c r="C11" s="12">
        <f>IFERROR(IF(OR(ISBLANK(B11)),"Not started",IF(AND(ABS(B11-(124))&lt;=1e-09),"Result matches","Check the result")),"Formula error")</f>
        <v/>
      </c>
      <c r="D11" s="13" t="n"/>
      <c r="E11" s="14" t="inlineStr">
        <is>
          <t>Second-largest valid latency. Practice check: 124.0 minutes. Using k=1 would repeat the maximum.</t>
        </is>
      </c>
      <c r="F11" s="13" t="n"/>
      <c r="G11" s="13" t="n"/>
      <c r="H11" s="13" t="n"/>
      <c r="J11">
        <f>IF(AND(ISNUMBER('Data'!$F$12),'Data'!$F$12&lt;&gt;999,'Data'!$F$12&lt;&gt;""),'Data'!$F$12,"")</f>
        <v/>
      </c>
      <c r="Z11" t="n">
        <v>1</v>
      </c>
      <c r="AA11">
        <f>IF(ISNUMBER('IN-CLASS_Lab Part C'!$J$11),'IN-CLASS_Lab Part C'!$J$11,NA())</f>
        <v/>
      </c>
    </row>
    <row r="12">
      <c r="A12" s="9" t="n"/>
      <c r="B12" s="9" t="n"/>
      <c r="C12" s="9" t="n"/>
      <c r="D12" s="9" t="n"/>
      <c r="E12" s="9" t="n"/>
      <c r="F12" s="9" t="n"/>
      <c r="G12" s="9" t="n"/>
      <c r="H12" s="9" t="n"/>
      <c r="J12">
        <f>IF(AND(ISNUMBER('Data'!$F$13),'Data'!$F$13&lt;&gt;999,'Data'!$F$13&lt;&gt;""),'Data'!$F$13,"")</f>
        <v/>
      </c>
      <c r="Z12" t="n">
        <v>1</v>
      </c>
      <c r="AA12">
        <f>IF(ISNUMBER('IN-CLASS_Lab Part C'!$J$12),'IN-CLASS_Lab Part C'!$J$12,NA())</f>
        <v/>
      </c>
    </row>
    <row r="13" ht="50" customHeight="1">
      <c r="A13" s="10" t="inlineStr">
        <is>
          <t>Fence interpretation</t>
        </is>
      </c>
      <c r="B13" s="15" t="n"/>
      <c r="C13" s="16" t="n"/>
      <c r="D13" s="16" t="n"/>
      <c r="E13" s="16" t="n"/>
      <c r="F13" s="16" t="n"/>
      <c r="G13" s="16" t="n"/>
      <c r="H13" s="17" t="n"/>
      <c r="J13">
        <f>IF(AND(ISNUMBER('Data'!$F$14),'Data'!$F$14&lt;&gt;999,'Data'!$F$14&lt;&gt;""),'Data'!$F$14,"")</f>
        <v/>
      </c>
      <c r="Z13" t="n">
        <v>1</v>
      </c>
      <c r="AA13">
        <f>IF(ISNUMBER('IN-CLASS_Lab Part C'!$J$13),'IN-CLASS_Lab Part C'!$J$13,NA())</f>
        <v/>
      </c>
    </row>
    <row r="14" ht="30" customHeight="1">
      <c r="A14" s="10" t="inlineStr">
        <is>
          <t>Reason and chart reading</t>
        </is>
      </c>
      <c r="B14" s="18" t="inlineStr">
        <is>
          <t>[Replace with 2-4 sentences: describe the visible pattern, cite the relevant measure and units, explain what it means, and state what the chart cannot establish.]</t>
        </is>
      </c>
      <c r="C14" s="19" t="n"/>
      <c r="D14" s="19" t="n"/>
      <c r="E14" s="19" t="n"/>
      <c r="F14" s="19" t="n"/>
      <c r="G14" s="19" t="n"/>
      <c r="H14" s="20" t="n"/>
      <c r="J14">
        <f>IF(AND(ISNUMBER('Data'!$F$15),'Data'!$F$15&lt;&gt;999,'Data'!$F$15&lt;&gt;""),'Data'!$F$15,"")</f>
        <v/>
      </c>
      <c r="Z14" t="n">
        <v>1</v>
      </c>
      <c r="AA14">
        <f>IF(ISNUMBER('IN-CLASS_Lab Part C'!$J$14),'IN-CLASS_Lab Part C'!$J$14,NA())</f>
        <v/>
      </c>
    </row>
    <row r="15" ht="30" customHeight="1">
      <c r="A15" s="9" t="n"/>
      <c r="B15" s="21" t="n"/>
      <c r="C15" s="22" t="n"/>
      <c r="D15" s="22" t="n"/>
      <c r="E15" s="22" t="n"/>
      <c r="F15" s="22" t="n"/>
      <c r="G15" s="22" t="n"/>
      <c r="H15" s="23" t="n"/>
      <c r="J15">
        <f>IF(AND(ISNUMBER('Data'!$F$16),'Data'!$F$16&lt;&gt;999,'Data'!$F$16&lt;&gt;""),'Data'!$F$16,"")</f>
        <v/>
      </c>
      <c r="Z15" t="n">
        <v>1</v>
      </c>
      <c r="AA15">
        <f>IF(ISNUMBER('IN-CLASS_Lab Part C'!$J$15),'IN-CLASS_Lab Part C'!$J$15,NA())</f>
        <v/>
      </c>
    </row>
    <row r="16" ht="30" customHeight="1">
      <c r="A16" s="9" t="n"/>
      <c r="B16" s="24" t="n"/>
      <c r="C16" s="25" t="n"/>
      <c r="D16" s="25" t="n"/>
      <c r="E16" s="25" t="n"/>
      <c r="F16" s="25" t="n"/>
      <c r="G16" s="25" t="n"/>
      <c r="H16" s="26" t="n"/>
      <c r="J16">
        <f>IF(AND(ISNUMBER('Data'!$F$17),'Data'!$F$17&lt;&gt;999,'Data'!$F$17&lt;&gt;""),'Data'!$F$17,"")</f>
        <v/>
      </c>
      <c r="Z16" t="n">
        <v>1</v>
      </c>
      <c r="AA16">
        <f>IF(ISNUMBER('IN-CLASS_Lab Part C'!$J$16),'IN-CLASS_Lab Part C'!$J$16,NA())</f>
        <v/>
      </c>
    </row>
    <row r="17">
      <c r="A17" s="9" t="n"/>
      <c r="B17" s="9" t="n"/>
      <c r="C17" s="9" t="n"/>
      <c r="D17" s="9" t="n"/>
      <c r="E17" s="9" t="n"/>
      <c r="F17" s="9" t="n"/>
      <c r="G17" s="9" t="n"/>
      <c r="H17" s="9" t="n"/>
      <c r="J17">
        <f>IF(AND(ISNUMBER('Data'!$F$18),'Data'!$F$18&lt;&gt;999,'Data'!$F$18&lt;&gt;""),'Data'!$F$18,"")</f>
        <v/>
      </c>
      <c r="Z17" t="n">
        <v>1</v>
      </c>
      <c r="AA17">
        <f>IF(ISNUMBER('IN-CLASS_Lab Part C'!$J$17),'IN-CLASS_Lab Part C'!$J$17,NA())</f>
        <v/>
      </c>
    </row>
    <row r="18" ht="30" customHeight="1">
      <c r="A18" s="10" t="inlineStr">
        <is>
          <t>SPSS H3 evidence caption</t>
        </is>
      </c>
      <c r="B18" s="18" t="inlineStr">
        <is>
          <t>[Replace with 1-2 sentences: name the exact SPSS output, identify the statistic and population or filter you read, then state the cross-tool check you performed.]</t>
        </is>
      </c>
      <c r="C18" s="19" t="n"/>
      <c r="D18" s="19" t="n"/>
      <c r="E18" s="19" t="n"/>
      <c r="F18" s="19" t="n"/>
      <c r="G18" s="19" t="n"/>
      <c r="H18" s="20" t="n"/>
      <c r="J18">
        <f>IF(AND(ISNUMBER('Data'!$F$19),'Data'!$F$19&lt;&gt;999,'Data'!$F$19&lt;&gt;""),'Data'!$F$19,"")</f>
        <v/>
      </c>
      <c r="Z18" t="n">
        <v>1</v>
      </c>
      <c r="AA18">
        <f>IF(ISNUMBER('IN-CLASS_Lab Part C'!$J$18),'IN-CLASS_Lab Part C'!$J$18,NA())</f>
        <v/>
      </c>
    </row>
    <row r="19" ht="30" customHeight="1">
      <c r="A19" s="9" t="n"/>
      <c r="B19" s="24" t="n"/>
      <c r="C19" s="25" t="n"/>
      <c r="D19" s="25" t="n"/>
      <c r="E19" s="25" t="n"/>
      <c r="F19" s="25" t="n"/>
      <c r="G19" s="25" t="n"/>
      <c r="H19" s="26" t="n"/>
      <c r="J19">
        <f>IF(AND(ISNUMBER('Data'!$F$20),'Data'!$F$20&lt;&gt;999,'Data'!$F$20&lt;&gt;""),'Data'!$F$20,"")</f>
        <v/>
      </c>
      <c r="Z19" t="n">
        <v>1</v>
      </c>
      <c r="AA19">
        <f>IF(ISNUMBER('IN-CLASS_Lab Part C'!$J$19),'IN-CLASS_Lab Part C'!$J$19,NA())</f>
        <v/>
      </c>
    </row>
    <row r="20">
      <c r="A20" s="9" t="n"/>
      <c r="B20" s="9" t="n"/>
      <c r="C20" s="9" t="n"/>
      <c r="D20" s="9" t="n"/>
      <c r="E20" s="9" t="n"/>
      <c r="F20" s="9" t="n"/>
      <c r="G20" s="9" t="n"/>
      <c r="H20" s="9" t="n"/>
      <c r="J20">
        <f>IF(AND(ISNUMBER('Data'!$F$21),'Data'!$F$21&lt;&gt;999,'Data'!$F$21&lt;&gt;""),'Data'!$F$21,"")</f>
        <v/>
      </c>
      <c r="Z20" t="n">
        <v>1</v>
      </c>
      <c r="AA20">
        <f>IF(ISNUMBER('IN-CLASS_Lab Part C'!$J$20),'IN-CLASS_Lab Part C'!$J$20,NA())</f>
        <v/>
      </c>
    </row>
    <row r="21">
      <c r="A21" s="9" t="n"/>
      <c r="B21" s="9" t="n"/>
      <c r="C21" s="9" t="n"/>
      <c r="D21" s="9" t="n"/>
      <c r="E21" s="9" t="n"/>
      <c r="F21" s="9" t="n"/>
      <c r="G21" s="9" t="n"/>
      <c r="H21" s="9" t="n"/>
      <c r="J21">
        <f>IF(AND(ISNUMBER('Data'!$F$22),'Data'!$F$22&lt;&gt;999,'Data'!$F$22&lt;&gt;""),'Data'!$F$22,"")</f>
        <v/>
      </c>
      <c r="Z21" t="n">
        <v>1</v>
      </c>
      <c r="AA21">
        <f>IF(ISNUMBER('IN-CLASS_Lab Part C'!$J$21),'IN-CLASS_Lab Part C'!$J$21,NA())</f>
        <v/>
      </c>
    </row>
    <row r="22">
      <c r="A22" s="9" t="inlineStr">
        <is>
          <t>Check your work</t>
        </is>
      </c>
      <c r="B22" s="9" t="inlineStr">
        <is>
          <t>Status</t>
        </is>
      </c>
      <c r="C22" s="9" t="n"/>
      <c r="D22" s="9" t="n"/>
      <c r="E22" s="9" t="n"/>
      <c r="F22" s="9" t="n"/>
      <c r="G22" s="9" t="n"/>
      <c r="H22" s="9" t="n"/>
      <c r="J22">
        <f>IF(AND(ISNUMBER('Data'!$F$23),'Data'!$F$23&lt;&gt;999,'Data'!$F$23&lt;&gt;""),'Data'!$F$23,"")</f>
        <v/>
      </c>
      <c r="Z22" t="n">
        <v>1</v>
      </c>
      <c r="AA22">
        <f>IF(ISNUMBER('IN-CLASS_Lab Part C'!$J$22),'IN-CLASS_Lab Part C'!$J$22,NA())</f>
        <v/>
      </c>
    </row>
    <row r="23">
      <c r="A23" s="9" t="inlineStr">
        <is>
          <t>Part c.upper fence</t>
        </is>
      </c>
      <c r="B23" s="9">
        <f>IFERROR(IF('IN-CLASS_Lab Part C'!B7="","Not started",IF(ABS('IN-CLASS_Lab Part C'!B7-(49))&lt;=1e-09,"✓ Checked","Recheck method")),"Recheck formula")</f>
        <v/>
      </c>
      <c r="C23" s="9" t="n"/>
      <c r="D23" s="9" t="n"/>
      <c r="E23" s="9" t="n"/>
      <c r="F23" s="9" t="n"/>
      <c r="G23" s="9" t="n"/>
      <c r="H23" s="9" t="n"/>
      <c r="J23">
        <f>IF(AND(ISNUMBER('Data'!$F$24),'Data'!$F$24&lt;&gt;999,'Data'!$F$24&lt;&gt;""),'Data'!$F$24,"")</f>
        <v/>
      </c>
      <c r="Z23" t="n">
        <v>1</v>
      </c>
      <c r="AA23">
        <f>IF(ISNUMBER('IN-CLASS_Lab Part C'!$J$23),'IN-CLASS_Lab Part C'!$J$23,NA())</f>
        <v/>
      </c>
    </row>
    <row r="24">
      <c r="A24" s="9" t="inlineStr">
        <is>
          <t>Part c.lower fence</t>
        </is>
      </c>
      <c r="B24" s="9">
        <f>IFERROR(IF('IN-CLASS_Lab Part C'!B8="","Not started",IF(ABS('IN-CLASS_Lab Part C'!B8-(1))&lt;=1e-09,"✓ Checked","Recheck method")),"Recheck formula")</f>
        <v/>
      </c>
      <c r="C24" s="9" t="n"/>
      <c r="D24" s="9" t="n"/>
      <c r="E24" s="9" t="n"/>
      <c r="F24" s="9" t="n"/>
      <c r="G24" s="9" t="n"/>
      <c r="H24" s="9" t="n"/>
      <c r="J24">
        <f>IF(AND(ISNUMBER('Data'!$F$25),'Data'!$F$25&lt;&gt;999,'Data'!$F$25&lt;&gt;""),'Data'!$F$25,"")</f>
        <v/>
      </c>
      <c r="Z24" t="n">
        <v>1</v>
      </c>
      <c r="AA24">
        <f>IF(ISNUMBER('IN-CLASS_Lab Part C'!$J$24),'IN-CLASS_Lab Part C'!$J$24,NA())</f>
        <v/>
      </c>
    </row>
    <row r="25">
      <c r="A25" s="9" t="inlineStr">
        <is>
          <t>Part c.upper flag count</t>
        </is>
      </c>
      <c r="B25" s="9">
        <f>IFERROR(IF('IN-CLASS_Lab Part C'!B9="","Not started",IF(ABS('IN-CLASS_Lab Part C'!B9-(829))&lt;=1e-09,"✓ Checked","Recheck method")),"Recheck formula")</f>
        <v/>
      </c>
      <c r="C25" s="9" t="n"/>
      <c r="D25" s="9" t="n"/>
      <c r="E25" s="9" t="n"/>
      <c r="F25" s="9" t="n"/>
      <c r="G25" s="9" t="n"/>
      <c r="H25" s="9" t="n"/>
      <c r="J25">
        <f>IF(AND(ISNUMBER('Data'!$F$26),'Data'!$F$26&lt;&gt;999,'Data'!$F$26&lt;&gt;""),'Data'!$F$26,"")</f>
        <v/>
      </c>
      <c r="Z25" t="n">
        <v>1</v>
      </c>
      <c r="AA25">
        <f>IF(ISNUMBER('IN-CLASS_Lab Part C'!$J$25),'IN-CLASS_Lab Part C'!$J$25,NA())</f>
        <v/>
      </c>
    </row>
    <row r="26">
      <c r="A26" s="9" t="inlineStr">
        <is>
          <t>Part c.maximum valid latency</t>
        </is>
      </c>
      <c r="B26" s="9">
        <f>IFERROR(IF('IN-CLASS_Lab Part C'!B10="","Not started",IF(ABS('IN-CLASS_Lab Part C'!B10-(124))&lt;=1e-09,"✓ Checked","Recheck method")),"Recheck formula")</f>
        <v/>
      </c>
      <c r="C26" s="9" t="n"/>
      <c r="D26" s="9" t="n"/>
      <c r="E26" s="9" t="n"/>
      <c r="F26" s="9" t="n"/>
      <c r="G26" s="9" t="n"/>
      <c r="H26" s="9" t="n"/>
      <c r="J26">
        <f>IF(AND(ISNUMBER('Data'!$F$27),'Data'!$F$27&lt;&gt;999,'Data'!$F$27&lt;&gt;""),'Data'!$F$27,"")</f>
        <v/>
      </c>
      <c r="Z26" t="n">
        <v>1</v>
      </c>
      <c r="AA26">
        <f>IF(ISNUMBER('IN-CLASS_Lab Part C'!$J$26),'IN-CLASS_Lab Part C'!$J$26,NA())</f>
        <v/>
      </c>
    </row>
    <row r="27">
      <c r="A27" s="9" t="inlineStr">
        <is>
          <t>Part c.second largest valid latency</t>
        </is>
      </c>
      <c r="B27" s="9">
        <f>IFERROR(IF('IN-CLASS_Lab Part C'!B11="","Not started",IF(ABS('IN-CLASS_Lab Part C'!B11-(124))&lt;=1e-09,"✓ Checked","Recheck method")),"Recheck formula")</f>
        <v/>
      </c>
      <c r="C27" s="9" t="n"/>
      <c r="D27" s="9" t="n"/>
      <c r="E27" s="9" t="n"/>
      <c r="F27" s="9" t="n"/>
      <c r="G27" s="9" t="n"/>
      <c r="H27" s="9" t="n"/>
      <c r="J27">
        <f>IF(AND(ISNUMBER('Data'!$F$28),'Data'!$F$28&lt;&gt;999,'Data'!$F$28&lt;&gt;""),'Data'!$F$28,"")</f>
        <v/>
      </c>
      <c r="Z27" t="n">
        <v>1</v>
      </c>
      <c r="AA27">
        <f>IF(ISNUMBER('IN-CLASS_Lab Part C'!$J$27),'IN-CLASS_Lab Part C'!$J$27,NA())</f>
        <v/>
      </c>
    </row>
    <row r="28">
      <c r="A28" s="9" t="n"/>
      <c r="B28" s="9" t="n"/>
      <c r="C28" s="9" t="n"/>
      <c r="D28" s="9" t="n"/>
      <c r="E28" s="9" t="n"/>
      <c r="F28" s="9" t="n"/>
      <c r="G28" s="9" t="n"/>
      <c r="H28" s="9" t="n"/>
      <c r="J28">
        <f>IF(AND(ISNUMBER('Data'!$F$29),'Data'!$F$29&lt;&gt;999,'Data'!$F$29&lt;&gt;""),'Data'!$F$29,"")</f>
        <v/>
      </c>
      <c r="Z28" t="n">
        <v>1</v>
      </c>
      <c r="AA28">
        <f>IF(ISNUMBER('IN-CLASS_Lab Part C'!$J$28),'IN-CLASS_Lab Part C'!$J$28,NA())</f>
        <v/>
      </c>
    </row>
    <row r="29" ht="30" customHeight="1">
      <c r="A29" s="9" t="inlineStr">
        <is>
          <t>Formatting is already set. Enter your formula, then press Enter. To restore: select cell &gt; Format Cells &gt; Number or Custom.</t>
        </is>
      </c>
      <c r="B29" s="9" t="n"/>
      <c r="C29" s="9" t="n"/>
      <c r="D29" s="9" t="n"/>
      <c r="E29" s="9" t="n"/>
      <c r="F29" s="9" t="n"/>
      <c r="G29" s="9" t="n"/>
      <c r="H29" s="9" t="n"/>
      <c r="J29">
        <f>IF(AND(ISNUMBER('Data'!$F$30),'Data'!$F$30&lt;&gt;999,'Data'!$F$30&lt;&gt;""),'Data'!$F$30,"")</f>
        <v/>
      </c>
      <c r="Z29" t="n">
        <v>1</v>
      </c>
      <c r="AA29">
        <f>IF(ISNUMBER('IN-CLASS_Lab Part C'!$J$29),'IN-CLASS_Lab Part C'!$J$29,NA())</f>
        <v/>
      </c>
    </row>
    <row r="30" ht="32" customHeight="1">
      <c r="A30" s="9" t="inlineStr">
        <is>
          <t>B7</t>
        </is>
      </c>
      <c r="B30" s="9" t="inlineStr">
        <is>
          <t>Number, 1 decimal, minutes; unrelated formatting example only: stored 7.26 displays as 7.3 minutes. This example is not an expected answer. | Format code: 0.0</t>
        </is>
      </c>
      <c r="C30" s="9" t="n"/>
      <c r="D30" s="9" t="n"/>
      <c r="E30" s="9" t="n"/>
      <c r="F30" s="9" t="n"/>
      <c r="G30" s="9" t="n"/>
      <c r="H30" s="9" t="n"/>
      <c r="J30">
        <f>IF(AND(ISNUMBER('Data'!$F$31),'Data'!$F$31&lt;&gt;999,'Data'!$F$31&lt;&gt;""),'Data'!$F$31,"")</f>
        <v/>
      </c>
      <c r="Z30" t="n">
        <v>1</v>
      </c>
      <c r="AA30">
        <f>IF(ISNUMBER('IN-CLASS_Lab Part C'!$J$30),'IN-CLASS_Lab Part C'!$J$30,NA())</f>
        <v/>
      </c>
    </row>
    <row r="31" ht="32" customHeight="1">
      <c r="A31" s="9" t="inlineStr">
        <is>
          <t>B8</t>
        </is>
      </c>
      <c r="B31" s="9" t="inlineStr">
        <is>
          <t>Number, 1 decimal, minutes; unrelated formatting example only: stored 7.26 displays as 7.3 minutes. This example is not an expected answer. | Format code: 0.0</t>
        </is>
      </c>
      <c r="C31" s="9" t="n"/>
      <c r="D31" s="9" t="n"/>
      <c r="E31" s="9" t="n"/>
      <c r="F31" s="9" t="n"/>
      <c r="G31" s="9" t="n"/>
      <c r="H31" s="9" t="n"/>
      <c r="J31">
        <f>IF(AND(ISNUMBER('Data'!$F$32),'Data'!$F$32&lt;&gt;999,'Data'!$F$32&lt;&gt;""),'Data'!$F$32,"")</f>
        <v/>
      </c>
      <c r="Z31" t="n">
        <v>1</v>
      </c>
      <c r="AA31">
        <f>IF(ISNUMBER('IN-CLASS_Lab Part C'!$J$31),'IN-CLASS_Lab Part C'!$J$31,NA())</f>
        <v/>
      </c>
    </row>
    <row r="32" ht="32" customHeight="1">
      <c r="A32" s="9" t="inlineStr">
        <is>
          <t>B9</t>
        </is>
      </c>
      <c r="B32" s="9" t="inlineStr">
        <is>
          <t>Number, 0 decimals, records; unrelated formatting example only: stored 7 displays as 7 records. This example is not an expected answer. | Format code: 0</t>
        </is>
      </c>
      <c r="C32" s="9" t="n"/>
      <c r="D32" s="9" t="n"/>
      <c r="E32" s="9" t="n"/>
      <c r="F32" s="9" t="n"/>
      <c r="G32" s="9" t="n"/>
      <c r="H32" s="9" t="n"/>
      <c r="J32">
        <f>IF(AND(ISNUMBER('Data'!$F$33),'Data'!$F$33&lt;&gt;999,'Data'!$F$33&lt;&gt;""),'Data'!$F$33,"")</f>
        <v/>
      </c>
      <c r="Z32" t="n">
        <v>1</v>
      </c>
      <c r="AA32">
        <f>IF(ISNUMBER('IN-CLASS_Lab Part C'!$J$32),'IN-CLASS_Lab Part C'!$J$32,NA())</f>
        <v/>
      </c>
    </row>
    <row r="33" ht="32" customHeight="1">
      <c r="A33" s="9" t="inlineStr">
        <is>
          <t>B10</t>
        </is>
      </c>
      <c r="B33" s="9" t="inlineStr">
        <is>
          <t>Number, 1 decimal, minutes; unrelated formatting example only: stored 7.26 displays as 7.3 minutes. This example is not an expected answer. | Format code: 0.0</t>
        </is>
      </c>
      <c r="C33" s="9" t="n"/>
      <c r="D33" s="9" t="n"/>
      <c r="E33" s="9" t="n"/>
      <c r="F33" s="9" t="n"/>
      <c r="G33" s="9" t="n"/>
      <c r="H33" s="9" t="n"/>
      <c r="J33">
        <f>IF(AND(ISNUMBER('Data'!$F$34),'Data'!$F$34&lt;&gt;999,'Data'!$F$34&lt;&gt;""),'Data'!$F$34,"")</f>
        <v/>
      </c>
      <c r="Z33" t="n">
        <v>1</v>
      </c>
      <c r="AA33">
        <f>IF(ISNUMBER('IN-CLASS_Lab Part C'!$J$33),'IN-CLASS_Lab Part C'!$J$33,NA())</f>
        <v/>
      </c>
    </row>
    <row r="34" ht="32" customHeight="1">
      <c r="A34" s="9" t="inlineStr">
        <is>
          <t>B11</t>
        </is>
      </c>
      <c r="B34" s="9" t="inlineStr">
        <is>
          <t>Number, 1 decimal, minutes; unrelated formatting example only: stored 7.26 displays as 7.3 minutes. This example is not an expected answer. | Format code: 0.0</t>
        </is>
      </c>
      <c r="C34" s="9" t="n"/>
      <c r="D34" s="9" t="n"/>
      <c r="E34" s="9" t="n"/>
      <c r="F34" s="9" t="n"/>
      <c r="G34" s="9" t="n"/>
      <c r="H34" s="9" t="n"/>
      <c r="J34">
        <f>IF(AND(ISNUMBER('Data'!$F$35),'Data'!$F$35&lt;&gt;999,'Data'!$F$35&lt;&gt;""),'Data'!$F$35,"")</f>
        <v/>
      </c>
      <c r="Z34" t="n">
        <v>1</v>
      </c>
      <c r="AA34">
        <f>IF(ISNUMBER('IN-CLASS_Lab Part C'!$J$34),'IN-CLASS_Lab Part C'!$J$34,NA())</f>
        <v/>
      </c>
    </row>
    <row r="35">
      <c r="J35">
        <f>IF(AND(ISNUMBER('Data'!$F$36),'Data'!$F$36&lt;&gt;999,'Data'!$F$36&lt;&gt;""),'Data'!$F$36,"")</f>
        <v/>
      </c>
      <c r="Z35" t="n">
        <v>1</v>
      </c>
      <c r="AA35">
        <f>IF(ISNUMBER('IN-CLASS_Lab Part C'!$J$35),'IN-CLASS_Lab Part C'!$J$35,NA())</f>
        <v/>
      </c>
    </row>
    <row r="36">
      <c r="J36">
        <f>IF(AND(ISNUMBER('Data'!$F$37),'Data'!$F$37&lt;&gt;999,'Data'!$F$37&lt;&gt;""),'Data'!$F$37,"")</f>
        <v/>
      </c>
      <c r="Z36" t="n">
        <v>1</v>
      </c>
      <c r="AA36">
        <f>IF(ISNUMBER('IN-CLASS_Lab Part C'!$J$36),'IN-CLASS_Lab Part C'!$J$36,NA())</f>
        <v/>
      </c>
    </row>
    <row r="37">
      <c r="J37">
        <f>IF(AND(ISNUMBER('Data'!$F$38),'Data'!$F$38&lt;&gt;999,'Data'!$F$38&lt;&gt;""),'Data'!$F$38,"")</f>
        <v/>
      </c>
      <c r="Z37" t="n">
        <v>1</v>
      </c>
      <c r="AA37">
        <f>IF(ISNUMBER('IN-CLASS_Lab Part C'!$J$37),'IN-CLASS_Lab Part C'!$J$37,NA())</f>
        <v/>
      </c>
    </row>
    <row r="38">
      <c r="J38">
        <f>IF(AND(ISNUMBER('Data'!$F$39),'Data'!$F$39&lt;&gt;999,'Data'!$F$39&lt;&gt;""),'Data'!$F$39,"")</f>
        <v/>
      </c>
      <c r="Z38" t="n">
        <v>1</v>
      </c>
      <c r="AA38">
        <f>IF(ISNUMBER('IN-CLASS_Lab Part C'!$J$38),'IN-CLASS_Lab Part C'!$J$38,NA())</f>
        <v/>
      </c>
    </row>
    <row r="39">
      <c r="J39">
        <f>IF(AND(ISNUMBER('Data'!$F$40),'Data'!$F$40&lt;&gt;999,'Data'!$F$40&lt;&gt;""),'Data'!$F$40,"")</f>
        <v/>
      </c>
      <c r="Z39" t="n">
        <v>1</v>
      </c>
      <c r="AA39">
        <f>IF(ISNUMBER('IN-CLASS_Lab Part C'!$J$39),'IN-CLASS_Lab Part C'!$J$39,NA())</f>
        <v/>
      </c>
    </row>
    <row r="40">
      <c r="J40">
        <f>IF(AND(ISNUMBER('Data'!$F$41),'Data'!$F$41&lt;&gt;999,'Data'!$F$41&lt;&gt;""),'Data'!$F$41,"")</f>
        <v/>
      </c>
      <c r="Z40" t="n">
        <v>1</v>
      </c>
      <c r="AA40">
        <f>IF(ISNUMBER('IN-CLASS_Lab Part C'!$J$40),'IN-CLASS_Lab Part C'!$J$40,NA())</f>
        <v/>
      </c>
    </row>
    <row r="41">
      <c r="J41">
        <f>IF(AND(ISNUMBER('Data'!$F$42),'Data'!$F$42&lt;&gt;999,'Data'!$F$42&lt;&gt;""),'Data'!$F$42,"")</f>
        <v/>
      </c>
      <c r="Z41" t="n">
        <v>1</v>
      </c>
      <c r="AA41">
        <f>IF(ISNUMBER('IN-CLASS_Lab Part C'!$J$41),'IN-CLASS_Lab Part C'!$J$41,NA())</f>
        <v/>
      </c>
    </row>
    <row r="42">
      <c r="J42">
        <f>IF(AND(ISNUMBER('Data'!$F$43),'Data'!$F$43&lt;&gt;999,'Data'!$F$43&lt;&gt;""),'Data'!$F$43,"")</f>
        <v/>
      </c>
      <c r="Z42" t="n">
        <v>1</v>
      </c>
      <c r="AA42">
        <f>IF(ISNUMBER('IN-CLASS_Lab Part C'!$J$42),'IN-CLASS_Lab Part C'!$J$42,NA())</f>
        <v/>
      </c>
    </row>
    <row r="43">
      <c r="J43">
        <f>IF(AND(ISNUMBER('Data'!$F$44),'Data'!$F$44&lt;&gt;999,'Data'!$F$44&lt;&gt;""),'Data'!$F$44,"")</f>
        <v/>
      </c>
      <c r="Z43" t="n">
        <v>1</v>
      </c>
      <c r="AA43">
        <f>IF(ISNUMBER('IN-CLASS_Lab Part C'!$J$43),'IN-CLASS_Lab Part C'!$J$43,NA())</f>
        <v/>
      </c>
    </row>
    <row r="44">
      <c r="J44">
        <f>IF(AND(ISNUMBER('Data'!$F$45),'Data'!$F$45&lt;&gt;999,'Data'!$F$45&lt;&gt;""),'Data'!$F$45,"")</f>
        <v/>
      </c>
      <c r="Z44" t="n">
        <v>1</v>
      </c>
      <c r="AA44">
        <f>IF(ISNUMBER('IN-CLASS_Lab Part C'!$J$44),'IN-CLASS_Lab Part C'!$J$44,NA())</f>
        <v/>
      </c>
    </row>
    <row r="45">
      <c r="J45">
        <f>IF(AND(ISNUMBER('Data'!$F$46),'Data'!$F$46&lt;&gt;999,'Data'!$F$46&lt;&gt;""),'Data'!$F$46,"")</f>
        <v/>
      </c>
      <c r="Z45" t="n">
        <v>1</v>
      </c>
      <c r="AA45">
        <f>IF(ISNUMBER('IN-CLASS_Lab Part C'!$J$45),'IN-CLASS_Lab Part C'!$J$45,NA())</f>
        <v/>
      </c>
    </row>
    <row r="46">
      <c r="J46">
        <f>IF(AND(ISNUMBER('Data'!$F$47),'Data'!$F$47&lt;&gt;999,'Data'!$F$47&lt;&gt;""),'Data'!$F$47,"")</f>
        <v/>
      </c>
      <c r="Z46" t="n">
        <v>1</v>
      </c>
      <c r="AA46">
        <f>IF(ISNUMBER('IN-CLASS_Lab Part C'!$J$46),'IN-CLASS_Lab Part C'!$J$46,NA())</f>
        <v/>
      </c>
    </row>
    <row r="47">
      <c r="J47">
        <f>IF(AND(ISNUMBER('Data'!$F$48),'Data'!$F$48&lt;&gt;999,'Data'!$F$48&lt;&gt;""),'Data'!$F$48,"")</f>
        <v/>
      </c>
      <c r="Z47" t="n">
        <v>1</v>
      </c>
      <c r="AA47">
        <f>IF(ISNUMBER('IN-CLASS_Lab Part C'!$J$47),'IN-CLASS_Lab Part C'!$J$47,NA())</f>
        <v/>
      </c>
    </row>
    <row r="48">
      <c r="J48">
        <f>IF(AND(ISNUMBER('Data'!$F$49),'Data'!$F$49&lt;&gt;999,'Data'!$F$49&lt;&gt;""),'Data'!$F$49,"")</f>
        <v/>
      </c>
      <c r="Z48" t="n">
        <v>1</v>
      </c>
      <c r="AA48">
        <f>IF(ISNUMBER('IN-CLASS_Lab Part C'!$J$48),'IN-CLASS_Lab Part C'!$J$48,NA())</f>
        <v/>
      </c>
    </row>
    <row r="49">
      <c r="J49">
        <f>IF(AND(ISNUMBER('Data'!$F$50),'Data'!$F$50&lt;&gt;999,'Data'!$F$50&lt;&gt;""),'Data'!$F$50,"")</f>
        <v/>
      </c>
      <c r="Z49" t="n">
        <v>1</v>
      </c>
      <c r="AA49">
        <f>IF(ISNUMBER('IN-CLASS_Lab Part C'!$J$49),'IN-CLASS_Lab Part C'!$J$49,NA())</f>
        <v/>
      </c>
    </row>
    <row r="50">
      <c r="J50">
        <f>IF(AND(ISNUMBER('Data'!$F$51),'Data'!$F$51&lt;&gt;999,'Data'!$F$51&lt;&gt;""),'Data'!$F$51,"")</f>
        <v/>
      </c>
      <c r="Z50" t="n">
        <v>1</v>
      </c>
      <c r="AA50">
        <f>IF(ISNUMBER('IN-CLASS_Lab Part C'!$J$50),'IN-CLASS_Lab Part C'!$J$50,NA())</f>
        <v/>
      </c>
    </row>
    <row r="51">
      <c r="J51">
        <f>IF(AND(ISNUMBER('Data'!$F$52),'Data'!$F$52&lt;&gt;999,'Data'!$F$52&lt;&gt;""),'Data'!$F$52,"")</f>
        <v/>
      </c>
      <c r="Z51" t="n">
        <v>1</v>
      </c>
      <c r="AA51">
        <f>IF(ISNUMBER('IN-CLASS_Lab Part C'!$J$51),'IN-CLASS_Lab Part C'!$J$51,NA())</f>
        <v/>
      </c>
    </row>
    <row r="52">
      <c r="J52">
        <f>IF(AND(ISNUMBER('Data'!$F$53),'Data'!$F$53&lt;&gt;999,'Data'!$F$53&lt;&gt;""),'Data'!$F$53,"")</f>
        <v/>
      </c>
      <c r="Z52" t="n">
        <v>1</v>
      </c>
      <c r="AA52">
        <f>IF(ISNUMBER('IN-CLASS_Lab Part C'!$J$52),'IN-CLASS_Lab Part C'!$J$52,NA())</f>
        <v/>
      </c>
    </row>
    <row r="53">
      <c r="J53">
        <f>IF(AND(ISNUMBER('Data'!$F$54),'Data'!$F$54&lt;&gt;999,'Data'!$F$54&lt;&gt;""),'Data'!$F$54,"")</f>
        <v/>
      </c>
      <c r="Z53" t="n">
        <v>1</v>
      </c>
      <c r="AA53">
        <f>IF(ISNUMBER('IN-CLASS_Lab Part C'!$J$53),'IN-CLASS_Lab Part C'!$J$53,NA())</f>
        <v/>
      </c>
    </row>
    <row r="54">
      <c r="J54">
        <f>IF(AND(ISNUMBER('Data'!$F$55),'Data'!$F$55&lt;&gt;999,'Data'!$F$55&lt;&gt;""),'Data'!$F$55,"")</f>
        <v/>
      </c>
      <c r="Z54" t="n">
        <v>1</v>
      </c>
      <c r="AA54">
        <f>IF(ISNUMBER('IN-CLASS_Lab Part C'!$J$54),'IN-CLASS_Lab Part C'!$J$54,NA())</f>
        <v/>
      </c>
    </row>
    <row r="55">
      <c r="J55">
        <f>IF(AND(ISNUMBER('Data'!$F$56),'Data'!$F$56&lt;&gt;999,'Data'!$F$56&lt;&gt;""),'Data'!$F$56,"")</f>
        <v/>
      </c>
      <c r="Z55" t="n">
        <v>1</v>
      </c>
      <c r="AA55">
        <f>IF(ISNUMBER('IN-CLASS_Lab Part C'!$J$55),'IN-CLASS_Lab Part C'!$J$55,NA())</f>
        <v/>
      </c>
    </row>
    <row r="56">
      <c r="J56">
        <f>IF(AND(ISNUMBER('Data'!$F$57),'Data'!$F$57&lt;&gt;999,'Data'!$F$57&lt;&gt;""),'Data'!$F$57,"")</f>
        <v/>
      </c>
      <c r="Z56" t="n">
        <v>1</v>
      </c>
      <c r="AA56">
        <f>IF(ISNUMBER('IN-CLASS_Lab Part C'!$J$56),'IN-CLASS_Lab Part C'!$J$56,NA())</f>
        <v/>
      </c>
    </row>
    <row r="57">
      <c r="A57" s="29" t="inlineStr">
        <is>
          <t>Editable XY box plot: box = Q1 to Q3; line = median; whiskers = extreme observations within 1.5 IQR. Dots show recorded observations. Inspect the linked values and helper formulas; this is not the native Excel Box &amp; Whisker type.</t>
        </is>
      </c>
      <c r="J57">
        <f>IF(AND(ISNUMBER('Data'!$F$58),'Data'!$F$58&lt;&gt;999,'Data'!$F$58&lt;&gt;""),'Data'!$F$58,"")</f>
        <v/>
      </c>
      <c r="Z57" t="n">
        <v>1</v>
      </c>
      <c r="AA57">
        <f>IF(ISNUMBER('IN-CLASS_Lab Part C'!$J$57),'IN-CLASS_Lab Part C'!$J$57,NA())</f>
        <v/>
      </c>
    </row>
    <row r="58">
      <c r="J58">
        <f>IF(AND(ISNUMBER('Data'!$F$59),'Data'!$F$59&lt;&gt;999,'Data'!$F$59&lt;&gt;""),'Data'!$F$59,"")</f>
        <v/>
      </c>
      <c r="Z58" t="n">
        <v>1</v>
      </c>
      <c r="AA58">
        <f>IF(ISNUMBER('IN-CLASS_Lab Part C'!$J$58),'IN-CLASS_Lab Part C'!$J$58,NA())</f>
        <v/>
      </c>
    </row>
    <row r="59">
      <c r="J59">
        <f>IF(AND(ISNUMBER('Data'!$F$60),'Data'!$F$60&lt;&gt;999,'Data'!$F$60&lt;&gt;""),'Data'!$F$60,"")</f>
        <v/>
      </c>
      <c r="Z59" t="n">
        <v>1</v>
      </c>
      <c r="AA59">
        <f>IF(ISNUMBER('IN-CLASS_Lab Part C'!$J$59),'IN-CLASS_Lab Part C'!$J$59,NA())</f>
        <v/>
      </c>
    </row>
    <row r="60">
      <c r="J60">
        <f>IF(AND(ISNUMBER('Data'!$F$61),'Data'!$F$61&lt;&gt;999,'Data'!$F$61&lt;&gt;""),'Data'!$F$61,"")</f>
        <v/>
      </c>
      <c r="Z60" t="n">
        <v>1</v>
      </c>
      <c r="AA60">
        <f>IF(ISNUMBER('IN-CLASS_Lab Part C'!$J$60),'IN-CLASS_Lab Part C'!$J$60,NA())</f>
        <v/>
      </c>
    </row>
    <row r="61">
      <c r="J61">
        <f>IF(AND(ISNUMBER('Data'!$F$62),'Data'!$F$62&lt;&gt;999,'Data'!$F$62&lt;&gt;""),'Data'!$F$62,"")</f>
        <v/>
      </c>
      <c r="Z61" t="n">
        <v>1</v>
      </c>
      <c r="AA61">
        <f>IF(ISNUMBER('IN-CLASS_Lab Part C'!$J$61),'IN-CLASS_Lab Part C'!$J$61,NA())</f>
        <v/>
      </c>
    </row>
    <row r="62">
      <c r="J62">
        <f>IF(AND(ISNUMBER('Data'!$F$63),'Data'!$F$63&lt;&gt;999,'Data'!$F$63&lt;&gt;""),'Data'!$F$63,"")</f>
        <v/>
      </c>
      <c r="Z62" t="n">
        <v>1</v>
      </c>
      <c r="AA62">
        <f>IF(ISNUMBER('IN-CLASS_Lab Part C'!$J$62),'IN-CLASS_Lab Part C'!$J$62,NA())</f>
        <v/>
      </c>
    </row>
    <row r="63">
      <c r="J63">
        <f>IF(AND(ISNUMBER('Data'!$F$64),'Data'!$F$64&lt;&gt;999,'Data'!$F$64&lt;&gt;""),'Data'!$F$64,"")</f>
        <v/>
      </c>
      <c r="Z63" t="n">
        <v>1</v>
      </c>
      <c r="AA63">
        <f>IF(ISNUMBER('IN-CLASS_Lab Part C'!$J$63),'IN-CLASS_Lab Part C'!$J$63,NA())</f>
        <v/>
      </c>
    </row>
    <row r="64">
      <c r="J64">
        <f>IF(AND(ISNUMBER('Data'!$F$65),'Data'!$F$65&lt;&gt;999,'Data'!$F$65&lt;&gt;""),'Data'!$F$65,"")</f>
        <v/>
      </c>
      <c r="Z64" t="n">
        <v>1</v>
      </c>
      <c r="AA64">
        <f>IF(ISNUMBER('IN-CLASS_Lab Part C'!$J$64),'IN-CLASS_Lab Part C'!$J$64,NA())</f>
        <v/>
      </c>
    </row>
    <row r="65">
      <c r="J65">
        <f>IF(AND(ISNUMBER('Data'!$F$66),'Data'!$F$66&lt;&gt;999,'Data'!$F$66&lt;&gt;""),'Data'!$F$66,"")</f>
        <v/>
      </c>
      <c r="Z65" t="n">
        <v>1</v>
      </c>
      <c r="AA65">
        <f>IF(ISNUMBER('IN-CLASS_Lab Part C'!$J$65),'IN-CLASS_Lab Part C'!$J$65,NA())</f>
        <v/>
      </c>
    </row>
    <row r="66">
      <c r="J66">
        <f>IF(AND(ISNUMBER('Data'!$F$67),'Data'!$F$67&lt;&gt;999,'Data'!$F$67&lt;&gt;""),'Data'!$F$67,"")</f>
        <v/>
      </c>
      <c r="Z66" t="n">
        <v>1</v>
      </c>
      <c r="AA66">
        <f>IF(ISNUMBER('IN-CLASS_Lab Part C'!$J$66),'IN-CLASS_Lab Part C'!$J$66,NA())</f>
        <v/>
      </c>
    </row>
    <row r="67">
      <c r="J67">
        <f>IF(AND(ISNUMBER('Data'!$F$68),'Data'!$F$68&lt;&gt;999,'Data'!$F$68&lt;&gt;""),'Data'!$F$68,"")</f>
        <v/>
      </c>
      <c r="Z67" t="n">
        <v>1</v>
      </c>
      <c r="AA67">
        <f>IF(ISNUMBER('IN-CLASS_Lab Part C'!$J$67),'IN-CLASS_Lab Part C'!$J$67,NA())</f>
        <v/>
      </c>
    </row>
    <row r="68">
      <c r="J68">
        <f>IF(AND(ISNUMBER('Data'!$F$69),'Data'!$F$69&lt;&gt;999,'Data'!$F$69&lt;&gt;""),'Data'!$F$69,"")</f>
        <v/>
      </c>
      <c r="Z68" t="n">
        <v>1</v>
      </c>
      <c r="AA68">
        <f>IF(ISNUMBER('IN-CLASS_Lab Part C'!$J$68),'IN-CLASS_Lab Part C'!$J$68,NA())</f>
        <v/>
      </c>
    </row>
    <row r="69">
      <c r="J69">
        <f>IF(AND(ISNUMBER('Data'!$F$70),'Data'!$F$70&lt;&gt;999,'Data'!$F$70&lt;&gt;""),'Data'!$F$70,"")</f>
        <v/>
      </c>
      <c r="Z69" t="n">
        <v>1</v>
      </c>
      <c r="AA69">
        <f>IF(ISNUMBER('IN-CLASS_Lab Part C'!$J$69),'IN-CLASS_Lab Part C'!$J$69,NA())</f>
        <v/>
      </c>
    </row>
    <row r="70">
      <c r="J70">
        <f>IF(AND(ISNUMBER('Data'!$F$71),'Data'!$F$71&lt;&gt;999,'Data'!$F$71&lt;&gt;""),'Data'!$F$71,"")</f>
        <v/>
      </c>
      <c r="Z70" t="n">
        <v>1</v>
      </c>
      <c r="AA70">
        <f>IF(ISNUMBER('IN-CLASS_Lab Part C'!$J$70),'IN-CLASS_Lab Part C'!$J$70,NA())</f>
        <v/>
      </c>
    </row>
    <row r="71">
      <c r="J71">
        <f>IF(AND(ISNUMBER('Data'!$F$72),'Data'!$F$72&lt;&gt;999,'Data'!$F$72&lt;&gt;""),'Data'!$F$72,"")</f>
        <v/>
      </c>
      <c r="Z71" t="n">
        <v>1</v>
      </c>
      <c r="AA71">
        <f>IF(ISNUMBER('IN-CLASS_Lab Part C'!$J$71),'IN-CLASS_Lab Part C'!$J$71,NA())</f>
        <v/>
      </c>
    </row>
    <row r="72">
      <c r="J72">
        <f>IF(AND(ISNUMBER('Data'!$F$73),'Data'!$F$73&lt;&gt;999,'Data'!$F$73&lt;&gt;""),'Data'!$F$73,"")</f>
        <v/>
      </c>
      <c r="Z72" t="n">
        <v>1</v>
      </c>
      <c r="AA72">
        <f>IF(ISNUMBER('IN-CLASS_Lab Part C'!$J$72),'IN-CLASS_Lab Part C'!$J$72,NA())</f>
        <v/>
      </c>
    </row>
    <row r="73">
      <c r="J73">
        <f>IF(AND(ISNUMBER('Data'!$F$74),'Data'!$F$74&lt;&gt;999,'Data'!$F$74&lt;&gt;""),'Data'!$F$74,"")</f>
        <v/>
      </c>
      <c r="Z73" t="n">
        <v>1</v>
      </c>
      <c r="AA73">
        <f>IF(ISNUMBER('IN-CLASS_Lab Part C'!$J$73),'IN-CLASS_Lab Part C'!$J$73,NA())</f>
        <v/>
      </c>
    </row>
    <row r="74">
      <c r="J74">
        <f>IF(AND(ISNUMBER('Data'!$F$75),'Data'!$F$75&lt;&gt;999,'Data'!$F$75&lt;&gt;""),'Data'!$F$75,"")</f>
        <v/>
      </c>
      <c r="Z74" t="n">
        <v>1</v>
      </c>
      <c r="AA74">
        <f>IF(ISNUMBER('IN-CLASS_Lab Part C'!$J$74),'IN-CLASS_Lab Part C'!$J$74,NA())</f>
        <v/>
      </c>
    </row>
    <row r="75">
      <c r="J75">
        <f>IF(AND(ISNUMBER('Data'!$F$76),'Data'!$F$76&lt;&gt;999,'Data'!$F$76&lt;&gt;""),'Data'!$F$76,"")</f>
        <v/>
      </c>
      <c r="Z75" t="n">
        <v>1</v>
      </c>
      <c r="AA75">
        <f>IF(ISNUMBER('IN-CLASS_Lab Part C'!$J$75),'IN-CLASS_Lab Part C'!$J$75,NA())</f>
        <v/>
      </c>
    </row>
    <row r="76">
      <c r="J76">
        <f>IF(AND(ISNUMBER('Data'!$F$77),'Data'!$F$77&lt;&gt;999,'Data'!$F$77&lt;&gt;""),'Data'!$F$77,"")</f>
        <v/>
      </c>
      <c r="Z76" t="n">
        <v>1</v>
      </c>
      <c r="AA76">
        <f>IF(ISNUMBER('IN-CLASS_Lab Part C'!$J$76),'IN-CLASS_Lab Part C'!$J$76,NA())</f>
        <v/>
      </c>
    </row>
    <row r="77">
      <c r="J77">
        <f>IF(AND(ISNUMBER('Data'!$F$78),'Data'!$F$78&lt;&gt;999,'Data'!$F$78&lt;&gt;""),'Data'!$F$78,"")</f>
        <v/>
      </c>
      <c r="Z77" t="n">
        <v>1</v>
      </c>
      <c r="AA77">
        <f>IF(ISNUMBER('IN-CLASS_Lab Part C'!$J$77),'IN-CLASS_Lab Part C'!$J$77,NA())</f>
        <v/>
      </c>
    </row>
    <row r="78">
      <c r="J78">
        <f>IF(AND(ISNUMBER('Data'!$F$79),'Data'!$F$79&lt;&gt;999,'Data'!$F$79&lt;&gt;""),'Data'!$F$79,"")</f>
        <v/>
      </c>
      <c r="Z78" t="n">
        <v>1</v>
      </c>
      <c r="AA78">
        <f>IF(ISNUMBER('IN-CLASS_Lab Part C'!$J$78),'IN-CLASS_Lab Part C'!$J$78,NA())</f>
        <v/>
      </c>
    </row>
    <row r="79">
      <c r="J79">
        <f>IF(AND(ISNUMBER('Data'!$F$80),'Data'!$F$80&lt;&gt;999,'Data'!$F$80&lt;&gt;""),'Data'!$F$80,"")</f>
        <v/>
      </c>
      <c r="Z79" t="n">
        <v>1</v>
      </c>
      <c r="AA79">
        <f>IF(ISNUMBER('IN-CLASS_Lab Part C'!$J$79),'IN-CLASS_Lab Part C'!$J$79,NA())</f>
        <v/>
      </c>
    </row>
    <row r="80">
      <c r="J80">
        <f>IF(AND(ISNUMBER('Data'!$F$81),'Data'!$F$81&lt;&gt;999,'Data'!$F$81&lt;&gt;""),'Data'!$F$81,"")</f>
        <v/>
      </c>
      <c r="Z80" t="n">
        <v>1</v>
      </c>
      <c r="AA80">
        <f>IF(ISNUMBER('IN-CLASS_Lab Part C'!$J$80),'IN-CLASS_Lab Part C'!$J$80,NA())</f>
        <v/>
      </c>
    </row>
    <row r="81">
      <c r="J81">
        <f>IF(AND(ISNUMBER('Data'!$F$82),'Data'!$F$82&lt;&gt;999,'Data'!$F$82&lt;&gt;""),'Data'!$F$82,"")</f>
        <v/>
      </c>
      <c r="Z81" t="n">
        <v>1</v>
      </c>
      <c r="AA81">
        <f>IF(ISNUMBER('IN-CLASS_Lab Part C'!$J$81),'IN-CLASS_Lab Part C'!$J$81,NA())</f>
        <v/>
      </c>
    </row>
    <row r="82">
      <c r="J82">
        <f>IF(AND(ISNUMBER('Data'!$F$83),'Data'!$F$83&lt;&gt;999,'Data'!$F$83&lt;&gt;""),'Data'!$F$83,"")</f>
        <v/>
      </c>
      <c r="Z82" t="n">
        <v>1</v>
      </c>
      <c r="AA82">
        <f>IF(ISNUMBER('IN-CLASS_Lab Part C'!$J$82),'IN-CLASS_Lab Part C'!$J$82,NA())</f>
        <v/>
      </c>
    </row>
    <row r="83">
      <c r="J83">
        <f>IF(AND(ISNUMBER('Data'!$F$84),'Data'!$F$84&lt;&gt;999,'Data'!$F$84&lt;&gt;""),'Data'!$F$84,"")</f>
        <v/>
      </c>
      <c r="Z83" t="n">
        <v>1</v>
      </c>
      <c r="AA83">
        <f>IF(ISNUMBER('IN-CLASS_Lab Part C'!$J$83),'IN-CLASS_Lab Part C'!$J$83,NA())</f>
        <v/>
      </c>
    </row>
    <row r="84">
      <c r="J84">
        <f>IF(AND(ISNUMBER('Data'!$F$85),'Data'!$F$85&lt;&gt;999,'Data'!$F$85&lt;&gt;""),'Data'!$F$85,"")</f>
        <v/>
      </c>
      <c r="Z84" t="n">
        <v>1</v>
      </c>
      <c r="AA84">
        <f>IF(ISNUMBER('IN-CLASS_Lab Part C'!$J$84),'IN-CLASS_Lab Part C'!$J$84,NA())</f>
        <v/>
      </c>
    </row>
    <row r="85">
      <c r="J85">
        <f>IF(AND(ISNUMBER('Data'!$F$86),'Data'!$F$86&lt;&gt;999,'Data'!$F$86&lt;&gt;""),'Data'!$F$86,"")</f>
        <v/>
      </c>
      <c r="Z85" t="n">
        <v>1</v>
      </c>
      <c r="AA85">
        <f>IF(ISNUMBER('IN-CLASS_Lab Part C'!$J$85),'IN-CLASS_Lab Part C'!$J$85,NA())</f>
        <v/>
      </c>
    </row>
    <row r="86">
      <c r="J86">
        <f>IF(AND(ISNUMBER('Data'!$F$87),'Data'!$F$87&lt;&gt;999,'Data'!$F$87&lt;&gt;""),'Data'!$F$87,"")</f>
        <v/>
      </c>
      <c r="Z86" t="n">
        <v>1</v>
      </c>
      <c r="AA86">
        <f>IF(ISNUMBER('IN-CLASS_Lab Part C'!$J$86),'IN-CLASS_Lab Part C'!$J$86,NA())</f>
        <v/>
      </c>
    </row>
    <row r="87">
      <c r="J87">
        <f>IF(AND(ISNUMBER('Data'!$F$88),'Data'!$F$88&lt;&gt;999,'Data'!$F$88&lt;&gt;""),'Data'!$F$88,"")</f>
        <v/>
      </c>
      <c r="Z87" t="n">
        <v>1</v>
      </c>
      <c r="AA87">
        <f>IF(ISNUMBER('IN-CLASS_Lab Part C'!$J$87),'IN-CLASS_Lab Part C'!$J$87,NA())</f>
        <v/>
      </c>
    </row>
    <row r="88">
      <c r="J88">
        <f>IF(AND(ISNUMBER('Data'!$F$89),'Data'!$F$89&lt;&gt;999,'Data'!$F$89&lt;&gt;""),'Data'!$F$89,"")</f>
        <v/>
      </c>
      <c r="Z88" t="n">
        <v>1</v>
      </c>
      <c r="AA88">
        <f>IF(ISNUMBER('IN-CLASS_Lab Part C'!$J$88),'IN-CLASS_Lab Part C'!$J$88,NA())</f>
        <v/>
      </c>
    </row>
    <row r="89">
      <c r="J89">
        <f>IF(AND(ISNUMBER('Data'!$F$90),'Data'!$F$90&lt;&gt;999,'Data'!$F$90&lt;&gt;""),'Data'!$F$90,"")</f>
        <v/>
      </c>
      <c r="Z89" t="n">
        <v>1</v>
      </c>
      <c r="AA89">
        <f>IF(ISNUMBER('IN-CLASS_Lab Part C'!$J$89),'IN-CLASS_Lab Part C'!$J$89,NA())</f>
        <v/>
      </c>
    </row>
    <row r="90">
      <c r="J90">
        <f>IF(AND(ISNUMBER('Data'!$F$91),'Data'!$F$91&lt;&gt;999,'Data'!$F$91&lt;&gt;""),'Data'!$F$91,"")</f>
        <v/>
      </c>
      <c r="Z90" t="n">
        <v>1</v>
      </c>
      <c r="AA90">
        <f>IF(ISNUMBER('IN-CLASS_Lab Part C'!$J$90),'IN-CLASS_Lab Part C'!$J$90,NA())</f>
        <v/>
      </c>
    </row>
    <row r="91">
      <c r="J91">
        <f>IF(AND(ISNUMBER('Data'!$F$92),'Data'!$F$92&lt;&gt;999,'Data'!$F$92&lt;&gt;""),'Data'!$F$92,"")</f>
        <v/>
      </c>
      <c r="Z91" t="n">
        <v>1</v>
      </c>
      <c r="AA91">
        <f>IF(ISNUMBER('IN-CLASS_Lab Part C'!$J$91),'IN-CLASS_Lab Part C'!$J$91,NA())</f>
        <v/>
      </c>
    </row>
    <row r="92">
      <c r="J92">
        <f>IF(AND(ISNUMBER('Data'!$F$93),'Data'!$F$93&lt;&gt;999,'Data'!$F$93&lt;&gt;""),'Data'!$F$93,"")</f>
        <v/>
      </c>
      <c r="Z92" t="n">
        <v>1</v>
      </c>
      <c r="AA92">
        <f>IF(ISNUMBER('IN-CLASS_Lab Part C'!$J$92),'IN-CLASS_Lab Part C'!$J$92,NA())</f>
        <v/>
      </c>
    </row>
    <row r="93">
      <c r="J93">
        <f>IF(AND(ISNUMBER('Data'!$F$94),'Data'!$F$94&lt;&gt;999,'Data'!$F$94&lt;&gt;""),'Data'!$F$94,"")</f>
        <v/>
      </c>
      <c r="Z93" t="n">
        <v>1</v>
      </c>
      <c r="AA93">
        <f>IF(ISNUMBER('IN-CLASS_Lab Part C'!$J$93),'IN-CLASS_Lab Part C'!$J$93,NA())</f>
        <v/>
      </c>
    </row>
    <row r="94">
      <c r="J94">
        <f>IF(AND(ISNUMBER('Data'!$F$95),'Data'!$F$95&lt;&gt;999,'Data'!$F$95&lt;&gt;""),'Data'!$F$95,"")</f>
        <v/>
      </c>
      <c r="Z94" t="n">
        <v>1</v>
      </c>
      <c r="AA94">
        <f>IF(ISNUMBER('IN-CLASS_Lab Part C'!$J$94),'IN-CLASS_Lab Part C'!$J$94,NA())</f>
        <v/>
      </c>
    </row>
    <row r="95">
      <c r="J95">
        <f>IF(AND(ISNUMBER('Data'!$F$96),'Data'!$F$96&lt;&gt;999,'Data'!$F$96&lt;&gt;""),'Data'!$F$96,"")</f>
        <v/>
      </c>
      <c r="Z95" t="n">
        <v>1</v>
      </c>
      <c r="AA95">
        <f>IF(ISNUMBER('IN-CLASS_Lab Part C'!$J$95),'IN-CLASS_Lab Part C'!$J$95,NA())</f>
        <v/>
      </c>
    </row>
    <row r="96">
      <c r="J96">
        <f>IF(AND(ISNUMBER('Data'!$F$97),'Data'!$F$97&lt;&gt;999,'Data'!$F$97&lt;&gt;""),'Data'!$F$97,"")</f>
        <v/>
      </c>
      <c r="Z96" t="n">
        <v>1</v>
      </c>
      <c r="AA96">
        <f>IF(ISNUMBER('IN-CLASS_Lab Part C'!$J$96),'IN-CLASS_Lab Part C'!$J$96,NA())</f>
        <v/>
      </c>
    </row>
    <row r="97">
      <c r="J97">
        <f>IF(AND(ISNUMBER('Data'!$F$98),'Data'!$F$98&lt;&gt;999,'Data'!$F$98&lt;&gt;""),'Data'!$F$98,"")</f>
        <v/>
      </c>
      <c r="Z97" t="n">
        <v>1</v>
      </c>
      <c r="AA97">
        <f>IF(ISNUMBER('IN-CLASS_Lab Part C'!$J$97),'IN-CLASS_Lab Part C'!$J$97,NA())</f>
        <v/>
      </c>
    </row>
    <row r="98">
      <c r="J98">
        <f>IF(AND(ISNUMBER('Data'!$F$99),'Data'!$F$99&lt;&gt;999,'Data'!$F$99&lt;&gt;""),'Data'!$F$99,"")</f>
        <v/>
      </c>
      <c r="Z98" t="n">
        <v>1</v>
      </c>
      <c r="AA98">
        <f>IF(ISNUMBER('IN-CLASS_Lab Part C'!$J$98),'IN-CLASS_Lab Part C'!$J$98,NA())</f>
        <v/>
      </c>
    </row>
    <row r="99">
      <c r="J99">
        <f>IF(AND(ISNUMBER('Data'!$F$100),'Data'!$F$100&lt;&gt;999,'Data'!$F$100&lt;&gt;""),'Data'!$F$100,"")</f>
        <v/>
      </c>
      <c r="Z99" t="n">
        <v>1</v>
      </c>
      <c r="AA99">
        <f>IF(ISNUMBER('IN-CLASS_Lab Part C'!$J$99),'IN-CLASS_Lab Part C'!$J$99,NA())</f>
        <v/>
      </c>
    </row>
    <row r="100">
      <c r="J100">
        <f>IF(AND(ISNUMBER('Data'!$F$101),'Data'!$F$101&lt;&gt;999,'Data'!$F$101&lt;&gt;""),'Data'!$F$101,"")</f>
        <v/>
      </c>
      <c r="Z100" t="n">
        <v>1</v>
      </c>
      <c r="AA100">
        <f>IF(ISNUMBER('IN-CLASS_Lab Part C'!$J$100),'IN-CLASS_Lab Part C'!$J$100,NA())</f>
        <v/>
      </c>
    </row>
    <row r="101">
      <c r="J101">
        <f>IF(AND(ISNUMBER('Data'!$F$102),'Data'!$F$102&lt;&gt;999,'Data'!$F$102&lt;&gt;""),'Data'!$F$102,"")</f>
        <v/>
      </c>
      <c r="Z101" t="n">
        <v>1</v>
      </c>
      <c r="AA101">
        <f>IF(ISNUMBER('IN-CLASS_Lab Part C'!$J$101),'IN-CLASS_Lab Part C'!$J$101,NA())</f>
        <v/>
      </c>
    </row>
    <row r="102">
      <c r="J102">
        <f>IF(AND(ISNUMBER('Data'!$F$103),'Data'!$F$103&lt;&gt;999,'Data'!$F$103&lt;&gt;""),'Data'!$F$103,"")</f>
        <v/>
      </c>
      <c r="Z102" t="n">
        <v>1</v>
      </c>
      <c r="AA102">
        <f>IF(ISNUMBER('IN-CLASS_Lab Part C'!$J$102),'IN-CLASS_Lab Part C'!$J$102,NA())</f>
        <v/>
      </c>
    </row>
    <row r="103">
      <c r="J103">
        <f>IF(AND(ISNUMBER('Data'!$F$104),'Data'!$F$104&lt;&gt;999,'Data'!$F$104&lt;&gt;""),'Data'!$F$104,"")</f>
        <v/>
      </c>
      <c r="Z103" t="n">
        <v>1</v>
      </c>
      <c r="AA103">
        <f>IF(ISNUMBER('IN-CLASS_Lab Part C'!$J$103),'IN-CLASS_Lab Part C'!$J$103,NA())</f>
        <v/>
      </c>
    </row>
    <row r="104">
      <c r="J104">
        <f>IF(AND(ISNUMBER('Data'!$F$105),'Data'!$F$105&lt;&gt;999,'Data'!$F$105&lt;&gt;""),'Data'!$F$105,"")</f>
        <v/>
      </c>
      <c r="Z104" t="n">
        <v>1</v>
      </c>
      <c r="AA104">
        <f>IF(ISNUMBER('IN-CLASS_Lab Part C'!$J$104),'IN-CLASS_Lab Part C'!$J$104,NA())</f>
        <v/>
      </c>
    </row>
    <row r="105">
      <c r="J105">
        <f>IF(AND(ISNUMBER('Data'!$F$106),'Data'!$F$106&lt;&gt;999,'Data'!$F$106&lt;&gt;""),'Data'!$F$106,"")</f>
        <v/>
      </c>
      <c r="Z105" t="n">
        <v>1</v>
      </c>
      <c r="AA105">
        <f>IF(ISNUMBER('IN-CLASS_Lab Part C'!$J$105),'IN-CLASS_Lab Part C'!$J$105,NA())</f>
        <v/>
      </c>
    </row>
    <row r="106">
      <c r="J106">
        <f>IF(AND(ISNUMBER('Data'!$F$107),'Data'!$F$107&lt;&gt;999,'Data'!$F$107&lt;&gt;""),'Data'!$F$107,"")</f>
        <v/>
      </c>
      <c r="Z106" t="n">
        <v>1</v>
      </c>
      <c r="AA106">
        <f>IF(ISNUMBER('IN-CLASS_Lab Part C'!$J$106),'IN-CLASS_Lab Part C'!$J$106,NA())</f>
        <v/>
      </c>
    </row>
    <row r="107">
      <c r="J107">
        <f>IF(AND(ISNUMBER('Data'!$F$108),'Data'!$F$108&lt;&gt;999,'Data'!$F$108&lt;&gt;""),'Data'!$F$108,"")</f>
        <v/>
      </c>
      <c r="Z107" t="n">
        <v>1</v>
      </c>
      <c r="AA107">
        <f>IF(ISNUMBER('IN-CLASS_Lab Part C'!$J$107),'IN-CLASS_Lab Part C'!$J$107,NA())</f>
        <v/>
      </c>
    </row>
    <row r="108">
      <c r="J108">
        <f>IF(AND(ISNUMBER('Data'!$F$109),'Data'!$F$109&lt;&gt;999,'Data'!$F$109&lt;&gt;""),'Data'!$F$109,"")</f>
        <v/>
      </c>
      <c r="Z108" t="n">
        <v>1</v>
      </c>
      <c r="AA108">
        <f>IF(ISNUMBER('IN-CLASS_Lab Part C'!$J$108),'IN-CLASS_Lab Part C'!$J$108,NA())</f>
        <v/>
      </c>
    </row>
    <row r="109">
      <c r="J109">
        <f>IF(AND(ISNUMBER('Data'!$F$110),'Data'!$F$110&lt;&gt;999,'Data'!$F$110&lt;&gt;""),'Data'!$F$110,"")</f>
        <v/>
      </c>
      <c r="Z109" t="n">
        <v>1</v>
      </c>
      <c r="AA109">
        <f>IF(ISNUMBER('IN-CLASS_Lab Part C'!$J$109),'IN-CLASS_Lab Part C'!$J$109,NA())</f>
        <v/>
      </c>
    </row>
    <row r="110">
      <c r="J110">
        <f>IF(AND(ISNUMBER('Data'!$F$111),'Data'!$F$111&lt;&gt;999,'Data'!$F$111&lt;&gt;""),'Data'!$F$111,"")</f>
        <v/>
      </c>
      <c r="Z110" t="n">
        <v>1</v>
      </c>
      <c r="AA110">
        <f>IF(ISNUMBER('IN-CLASS_Lab Part C'!$J$110),'IN-CLASS_Lab Part C'!$J$110,NA())</f>
        <v/>
      </c>
    </row>
    <row r="111">
      <c r="J111">
        <f>IF(AND(ISNUMBER('Data'!$F$112),'Data'!$F$112&lt;&gt;999,'Data'!$F$112&lt;&gt;""),'Data'!$F$112,"")</f>
        <v/>
      </c>
      <c r="Z111" t="n">
        <v>1</v>
      </c>
      <c r="AA111">
        <f>IF(ISNUMBER('IN-CLASS_Lab Part C'!$J$111),'IN-CLASS_Lab Part C'!$J$111,NA())</f>
        <v/>
      </c>
    </row>
    <row r="112">
      <c r="J112">
        <f>IF(AND(ISNUMBER('Data'!$F$113),'Data'!$F$113&lt;&gt;999,'Data'!$F$113&lt;&gt;""),'Data'!$F$113,"")</f>
        <v/>
      </c>
      <c r="Z112" t="n">
        <v>1</v>
      </c>
      <c r="AA112">
        <f>IF(ISNUMBER('IN-CLASS_Lab Part C'!$J$112),'IN-CLASS_Lab Part C'!$J$112,NA())</f>
        <v/>
      </c>
    </row>
    <row r="113">
      <c r="J113">
        <f>IF(AND(ISNUMBER('Data'!$F$114),'Data'!$F$114&lt;&gt;999,'Data'!$F$114&lt;&gt;""),'Data'!$F$114,"")</f>
        <v/>
      </c>
      <c r="Z113" t="n">
        <v>1</v>
      </c>
      <c r="AA113">
        <f>IF(ISNUMBER('IN-CLASS_Lab Part C'!$J$113),'IN-CLASS_Lab Part C'!$J$113,NA())</f>
        <v/>
      </c>
    </row>
    <row r="114">
      <c r="J114">
        <f>IF(AND(ISNUMBER('Data'!$F$115),'Data'!$F$115&lt;&gt;999,'Data'!$F$115&lt;&gt;""),'Data'!$F$115,"")</f>
        <v/>
      </c>
      <c r="Z114" t="n">
        <v>1</v>
      </c>
      <c r="AA114">
        <f>IF(ISNUMBER('IN-CLASS_Lab Part C'!$J$114),'IN-CLASS_Lab Part C'!$J$114,NA())</f>
        <v/>
      </c>
    </row>
    <row r="115">
      <c r="J115">
        <f>IF(AND(ISNUMBER('Data'!$F$116),'Data'!$F$116&lt;&gt;999,'Data'!$F$116&lt;&gt;""),'Data'!$F$116,"")</f>
        <v/>
      </c>
      <c r="Z115" t="n">
        <v>1</v>
      </c>
      <c r="AA115">
        <f>IF(ISNUMBER('IN-CLASS_Lab Part C'!$J$115),'IN-CLASS_Lab Part C'!$J$115,NA())</f>
        <v/>
      </c>
    </row>
    <row r="116">
      <c r="J116">
        <f>IF(AND(ISNUMBER('Data'!$F$117),'Data'!$F$117&lt;&gt;999,'Data'!$F$117&lt;&gt;""),'Data'!$F$117,"")</f>
        <v/>
      </c>
      <c r="Z116" t="n">
        <v>1</v>
      </c>
      <c r="AA116">
        <f>IF(ISNUMBER('IN-CLASS_Lab Part C'!$J$116),'IN-CLASS_Lab Part C'!$J$116,NA())</f>
        <v/>
      </c>
    </row>
    <row r="117">
      <c r="J117">
        <f>IF(AND(ISNUMBER('Data'!$F$118),'Data'!$F$118&lt;&gt;999,'Data'!$F$118&lt;&gt;""),'Data'!$F$118,"")</f>
        <v/>
      </c>
      <c r="Z117" t="n">
        <v>1</v>
      </c>
      <c r="AA117">
        <f>IF(ISNUMBER('IN-CLASS_Lab Part C'!$J$117),'IN-CLASS_Lab Part C'!$J$117,NA())</f>
        <v/>
      </c>
    </row>
    <row r="118">
      <c r="J118">
        <f>IF(AND(ISNUMBER('Data'!$F$119),'Data'!$F$119&lt;&gt;999,'Data'!$F$119&lt;&gt;""),'Data'!$F$119,"")</f>
        <v/>
      </c>
      <c r="Z118" t="n">
        <v>1</v>
      </c>
      <c r="AA118">
        <f>IF(ISNUMBER('IN-CLASS_Lab Part C'!$J$118),'IN-CLASS_Lab Part C'!$J$118,NA())</f>
        <v/>
      </c>
    </row>
    <row r="119">
      <c r="J119">
        <f>IF(AND(ISNUMBER('Data'!$F$120),'Data'!$F$120&lt;&gt;999,'Data'!$F$120&lt;&gt;""),'Data'!$F$120,"")</f>
        <v/>
      </c>
      <c r="Z119" t="n">
        <v>1</v>
      </c>
      <c r="AA119">
        <f>IF(ISNUMBER('IN-CLASS_Lab Part C'!$J$119),'IN-CLASS_Lab Part C'!$J$119,NA())</f>
        <v/>
      </c>
    </row>
    <row r="120">
      <c r="J120">
        <f>IF(AND(ISNUMBER('Data'!$F$121),'Data'!$F$121&lt;&gt;999,'Data'!$F$121&lt;&gt;""),'Data'!$F$121,"")</f>
        <v/>
      </c>
      <c r="Z120" t="n">
        <v>1</v>
      </c>
      <c r="AA120">
        <f>IF(ISNUMBER('IN-CLASS_Lab Part C'!$J$120),'IN-CLASS_Lab Part C'!$J$120,NA())</f>
        <v/>
      </c>
    </row>
    <row r="121">
      <c r="J121">
        <f>IF(AND(ISNUMBER('Data'!$F$122),'Data'!$F$122&lt;&gt;999,'Data'!$F$122&lt;&gt;""),'Data'!$F$122,"")</f>
        <v/>
      </c>
      <c r="Z121" t="n">
        <v>1</v>
      </c>
      <c r="AA121">
        <f>IF(ISNUMBER('IN-CLASS_Lab Part C'!$J$121),'IN-CLASS_Lab Part C'!$J$121,NA())</f>
        <v/>
      </c>
    </row>
    <row r="122">
      <c r="J122">
        <f>IF(AND(ISNUMBER('Data'!$F$123),'Data'!$F$123&lt;&gt;999,'Data'!$F$123&lt;&gt;""),'Data'!$F$123,"")</f>
        <v/>
      </c>
      <c r="Z122" t="n">
        <v>1</v>
      </c>
      <c r="AA122">
        <f>IF(ISNUMBER('IN-CLASS_Lab Part C'!$J$122),'IN-CLASS_Lab Part C'!$J$122,NA())</f>
        <v/>
      </c>
    </row>
    <row r="123">
      <c r="J123">
        <f>IF(AND(ISNUMBER('Data'!$F$124),'Data'!$F$124&lt;&gt;999,'Data'!$F$124&lt;&gt;""),'Data'!$F$124,"")</f>
        <v/>
      </c>
      <c r="Z123" t="n">
        <v>1</v>
      </c>
      <c r="AA123">
        <f>IF(ISNUMBER('IN-CLASS_Lab Part C'!$J$123),'IN-CLASS_Lab Part C'!$J$123,NA())</f>
        <v/>
      </c>
    </row>
    <row r="124">
      <c r="J124">
        <f>IF(AND(ISNUMBER('Data'!$F$125),'Data'!$F$125&lt;&gt;999,'Data'!$F$125&lt;&gt;""),'Data'!$F$125,"")</f>
        <v/>
      </c>
      <c r="Z124" t="n">
        <v>1</v>
      </c>
      <c r="AA124">
        <f>IF(ISNUMBER('IN-CLASS_Lab Part C'!$J$124),'IN-CLASS_Lab Part C'!$J$124,NA())</f>
        <v/>
      </c>
    </row>
    <row r="125">
      <c r="J125">
        <f>IF(AND(ISNUMBER('Data'!$F$126),'Data'!$F$126&lt;&gt;999,'Data'!$F$126&lt;&gt;""),'Data'!$F$126,"")</f>
        <v/>
      </c>
      <c r="Z125" t="n">
        <v>1</v>
      </c>
      <c r="AA125">
        <f>IF(ISNUMBER('IN-CLASS_Lab Part C'!$J$125),'IN-CLASS_Lab Part C'!$J$125,NA())</f>
        <v/>
      </c>
    </row>
    <row r="126">
      <c r="J126">
        <f>IF(AND(ISNUMBER('Data'!$F$127),'Data'!$F$127&lt;&gt;999,'Data'!$F$127&lt;&gt;""),'Data'!$F$127,"")</f>
        <v/>
      </c>
      <c r="Z126" t="n">
        <v>1</v>
      </c>
      <c r="AA126">
        <f>IF(ISNUMBER('IN-CLASS_Lab Part C'!$J$126),'IN-CLASS_Lab Part C'!$J$126,NA())</f>
        <v/>
      </c>
    </row>
    <row r="127">
      <c r="J127">
        <f>IF(AND(ISNUMBER('Data'!$F$128),'Data'!$F$128&lt;&gt;999,'Data'!$F$128&lt;&gt;""),'Data'!$F$128,"")</f>
        <v/>
      </c>
      <c r="Z127" t="n">
        <v>1</v>
      </c>
      <c r="AA127">
        <f>IF(ISNUMBER('IN-CLASS_Lab Part C'!$J$127),'IN-CLASS_Lab Part C'!$J$127,NA())</f>
        <v/>
      </c>
    </row>
    <row r="128">
      <c r="J128">
        <f>IF(AND(ISNUMBER('Data'!$F$129),'Data'!$F$129&lt;&gt;999,'Data'!$F$129&lt;&gt;""),'Data'!$F$129,"")</f>
        <v/>
      </c>
      <c r="Z128" t="n">
        <v>1</v>
      </c>
      <c r="AA128">
        <f>IF(ISNUMBER('IN-CLASS_Lab Part C'!$J$128),'IN-CLASS_Lab Part C'!$J$128,NA())</f>
        <v/>
      </c>
    </row>
    <row r="129">
      <c r="J129">
        <f>IF(AND(ISNUMBER('Data'!$F$130),'Data'!$F$130&lt;&gt;999,'Data'!$F$130&lt;&gt;""),'Data'!$F$130,"")</f>
        <v/>
      </c>
      <c r="Z129" t="n">
        <v>1</v>
      </c>
      <c r="AA129">
        <f>IF(ISNUMBER('IN-CLASS_Lab Part C'!$J$129),'IN-CLASS_Lab Part C'!$J$129,NA())</f>
        <v/>
      </c>
    </row>
    <row r="130">
      <c r="J130">
        <f>IF(AND(ISNUMBER('Data'!$F$131),'Data'!$F$131&lt;&gt;999,'Data'!$F$131&lt;&gt;""),'Data'!$F$131,"")</f>
        <v/>
      </c>
      <c r="Z130" t="n">
        <v>1</v>
      </c>
      <c r="AA130">
        <f>IF(ISNUMBER('IN-CLASS_Lab Part C'!$J$130),'IN-CLASS_Lab Part C'!$J$130,NA())</f>
        <v/>
      </c>
    </row>
    <row r="131">
      <c r="J131">
        <f>IF(AND(ISNUMBER('Data'!$F$132),'Data'!$F$132&lt;&gt;999,'Data'!$F$132&lt;&gt;""),'Data'!$F$132,"")</f>
        <v/>
      </c>
      <c r="Z131" t="n">
        <v>1</v>
      </c>
      <c r="AA131">
        <f>IF(ISNUMBER('IN-CLASS_Lab Part C'!$J$131),'IN-CLASS_Lab Part C'!$J$131,NA())</f>
        <v/>
      </c>
    </row>
    <row r="132">
      <c r="J132">
        <f>IF(AND(ISNUMBER('Data'!$F$133),'Data'!$F$133&lt;&gt;999,'Data'!$F$133&lt;&gt;""),'Data'!$F$133,"")</f>
        <v/>
      </c>
      <c r="Z132" t="n">
        <v>1</v>
      </c>
      <c r="AA132">
        <f>IF(ISNUMBER('IN-CLASS_Lab Part C'!$J$132),'IN-CLASS_Lab Part C'!$J$132,NA())</f>
        <v/>
      </c>
    </row>
    <row r="133">
      <c r="J133">
        <f>IF(AND(ISNUMBER('Data'!$F$134),'Data'!$F$134&lt;&gt;999,'Data'!$F$134&lt;&gt;""),'Data'!$F$134,"")</f>
        <v/>
      </c>
      <c r="Z133" t="n">
        <v>1</v>
      </c>
      <c r="AA133">
        <f>IF(ISNUMBER('IN-CLASS_Lab Part C'!$J$133),'IN-CLASS_Lab Part C'!$J$133,NA())</f>
        <v/>
      </c>
    </row>
    <row r="134">
      <c r="J134">
        <f>IF(AND(ISNUMBER('Data'!$F$135),'Data'!$F$135&lt;&gt;999,'Data'!$F$135&lt;&gt;""),'Data'!$F$135,"")</f>
        <v/>
      </c>
      <c r="Z134" t="n">
        <v>1</v>
      </c>
      <c r="AA134">
        <f>IF(ISNUMBER('IN-CLASS_Lab Part C'!$J$134),'IN-CLASS_Lab Part C'!$J$134,NA())</f>
        <v/>
      </c>
    </row>
    <row r="135">
      <c r="J135">
        <f>IF(AND(ISNUMBER('Data'!$F$136),'Data'!$F$136&lt;&gt;999,'Data'!$F$136&lt;&gt;""),'Data'!$F$136,"")</f>
        <v/>
      </c>
      <c r="Z135" t="n">
        <v>1</v>
      </c>
      <c r="AA135">
        <f>IF(ISNUMBER('IN-CLASS_Lab Part C'!$J$135),'IN-CLASS_Lab Part C'!$J$135,NA())</f>
        <v/>
      </c>
    </row>
    <row r="136">
      <c r="J136">
        <f>IF(AND(ISNUMBER('Data'!$F$137),'Data'!$F$137&lt;&gt;999,'Data'!$F$137&lt;&gt;""),'Data'!$F$137,"")</f>
        <v/>
      </c>
      <c r="Z136" t="n">
        <v>1</v>
      </c>
      <c r="AA136">
        <f>IF(ISNUMBER('IN-CLASS_Lab Part C'!$J$136),'IN-CLASS_Lab Part C'!$J$136,NA())</f>
        <v/>
      </c>
    </row>
    <row r="137">
      <c r="J137">
        <f>IF(AND(ISNUMBER('Data'!$F$138),'Data'!$F$138&lt;&gt;999,'Data'!$F$138&lt;&gt;""),'Data'!$F$138,"")</f>
        <v/>
      </c>
      <c r="Z137" t="n">
        <v>1</v>
      </c>
      <c r="AA137">
        <f>IF(ISNUMBER('IN-CLASS_Lab Part C'!$J$137),'IN-CLASS_Lab Part C'!$J$137,NA())</f>
        <v/>
      </c>
    </row>
    <row r="138">
      <c r="J138">
        <f>IF(AND(ISNUMBER('Data'!$F$139),'Data'!$F$139&lt;&gt;999,'Data'!$F$139&lt;&gt;""),'Data'!$F$139,"")</f>
        <v/>
      </c>
      <c r="Z138" t="n">
        <v>1</v>
      </c>
      <c r="AA138">
        <f>IF(ISNUMBER('IN-CLASS_Lab Part C'!$J$138),'IN-CLASS_Lab Part C'!$J$138,NA())</f>
        <v/>
      </c>
    </row>
    <row r="139">
      <c r="J139">
        <f>IF(AND(ISNUMBER('Data'!$F$140),'Data'!$F$140&lt;&gt;999,'Data'!$F$140&lt;&gt;""),'Data'!$F$140,"")</f>
        <v/>
      </c>
      <c r="Z139" t="n">
        <v>1</v>
      </c>
      <c r="AA139">
        <f>IF(ISNUMBER('IN-CLASS_Lab Part C'!$J$139),'IN-CLASS_Lab Part C'!$J$139,NA())</f>
        <v/>
      </c>
    </row>
    <row r="140">
      <c r="J140">
        <f>IF(AND(ISNUMBER('Data'!$F$141),'Data'!$F$141&lt;&gt;999,'Data'!$F$141&lt;&gt;""),'Data'!$F$141,"")</f>
        <v/>
      </c>
      <c r="Z140" t="n">
        <v>1</v>
      </c>
      <c r="AA140">
        <f>IF(ISNUMBER('IN-CLASS_Lab Part C'!$J$140),'IN-CLASS_Lab Part C'!$J$140,NA())</f>
        <v/>
      </c>
    </row>
    <row r="141">
      <c r="J141">
        <f>IF(AND(ISNUMBER('Data'!$F$142),'Data'!$F$142&lt;&gt;999,'Data'!$F$142&lt;&gt;""),'Data'!$F$142,"")</f>
        <v/>
      </c>
      <c r="Z141" t="n">
        <v>1</v>
      </c>
      <c r="AA141">
        <f>IF(ISNUMBER('IN-CLASS_Lab Part C'!$J$141),'IN-CLASS_Lab Part C'!$J$141,NA())</f>
        <v/>
      </c>
    </row>
    <row r="142">
      <c r="J142">
        <f>IF(AND(ISNUMBER('Data'!$F$143),'Data'!$F$143&lt;&gt;999,'Data'!$F$143&lt;&gt;""),'Data'!$F$143,"")</f>
        <v/>
      </c>
      <c r="Z142" t="n">
        <v>1</v>
      </c>
      <c r="AA142">
        <f>IF(ISNUMBER('IN-CLASS_Lab Part C'!$J$142),'IN-CLASS_Lab Part C'!$J$142,NA())</f>
        <v/>
      </c>
    </row>
    <row r="143">
      <c r="J143">
        <f>IF(AND(ISNUMBER('Data'!$F$144),'Data'!$F$144&lt;&gt;999,'Data'!$F$144&lt;&gt;""),'Data'!$F$144,"")</f>
        <v/>
      </c>
      <c r="Z143" t="n">
        <v>1</v>
      </c>
      <c r="AA143">
        <f>IF(ISNUMBER('IN-CLASS_Lab Part C'!$J$143),'IN-CLASS_Lab Part C'!$J$143,NA())</f>
        <v/>
      </c>
    </row>
    <row r="144">
      <c r="J144">
        <f>IF(AND(ISNUMBER('Data'!$F$145),'Data'!$F$145&lt;&gt;999,'Data'!$F$145&lt;&gt;""),'Data'!$F$145,"")</f>
        <v/>
      </c>
      <c r="Z144" t="n">
        <v>1</v>
      </c>
      <c r="AA144">
        <f>IF(ISNUMBER('IN-CLASS_Lab Part C'!$J$144),'IN-CLASS_Lab Part C'!$J$144,NA())</f>
        <v/>
      </c>
    </row>
    <row r="145">
      <c r="J145">
        <f>IF(AND(ISNUMBER('Data'!$F$146),'Data'!$F$146&lt;&gt;999,'Data'!$F$146&lt;&gt;""),'Data'!$F$146,"")</f>
        <v/>
      </c>
      <c r="Z145" t="n">
        <v>1</v>
      </c>
      <c r="AA145">
        <f>IF(ISNUMBER('IN-CLASS_Lab Part C'!$J$145),'IN-CLASS_Lab Part C'!$J$145,NA())</f>
        <v/>
      </c>
    </row>
    <row r="146">
      <c r="J146">
        <f>IF(AND(ISNUMBER('Data'!$F$147),'Data'!$F$147&lt;&gt;999,'Data'!$F$147&lt;&gt;""),'Data'!$F$147,"")</f>
        <v/>
      </c>
      <c r="Z146" t="n">
        <v>1</v>
      </c>
      <c r="AA146">
        <f>IF(ISNUMBER('IN-CLASS_Lab Part C'!$J$146),'IN-CLASS_Lab Part C'!$J$146,NA())</f>
        <v/>
      </c>
    </row>
    <row r="147">
      <c r="J147">
        <f>IF(AND(ISNUMBER('Data'!$F$148),'Data'!$F$148&lt;&gt;999,'Data'!$F$148&lt;&gt;""),'Data'!$F$148,"")</f>
        <v/>
      </c>
      <c r="Z147" t="n">
        <v>1</v>
      </c>
      <c r="AA147">
        <f>IF(ISNUMBER('IN-CLASS_Lab Part C'!$J$147),'IN-CLASS_Lab Part C'!$J$147,NA())</f>
        <v/>
      </c>
    </row>
    <row r="148">
      <c r="J148">
        <f>IF(AND(ISNUMBER('Data'!$F$149),'Data'!$F$149&lt;&gt;999,'Data'!$F$149&lt;&gt;""),'Data'!$F$149,"")</f>
        <v/>
      </c>
      <c r="Z148" t="n">
        <v>1</v>
      </c>
      <c r="AA148">
        <f>IF(ISNUMBER('IN-CLASS_Lab Part C'!$J$148),'IN-CLASS_Lab Part C'!$J$148,NA())</f>
        <v/>
      </c>
    </row>
    <row r="149">
      <c r="J149">
        <f>IF(AND(ISNUMBER('Data'!$F$150),'Data'!$F$150&lt;&gt;999,'Data'!$F$150&lt;&gt;""),'Data'!$F$150,"")</f>
        <v/>
      </c>
      <c r="Z149" t="n">
        <v>1</v>
      </c>
      <c r="AA149">
        <f>IF(ISNUMBER('IN-CLASS_Lab Part C'!$J$149),'IN-CLASS_Lab Part C'!$J$149,NA())</f>
        <v/>
      </c>
    </row>
    <row r="150">
      <c r="J150">
        <f>IF(AND(ISNUMBER('Data'!$F$151),'Data'!$F$151&lt;&gt;999,'Data'!$F$151&lt;&gt;""),'Data'!$F$151,"")</f>
        <v/>
      </c>
      <c r="Z150" t="n">
        <v>1</v>
      </c>
      <c r="AA150">
        <f>IF(ISNUMBER('IN-CLASS_Lab Part C'!$J$150),'IN-CLASS_Lab Part C'!$J$150,NA())</f>
        <v/>
      </c>
    </row>
    <row r="151">
      <c r="J151">
        <f>IF(AND(ISNUMBER('Data'!$F$152),'Data'!$F$152&lt;&gt;999,'Data'!$F$152&lt;&gt;""),'Data'!$F$152,"")</f>
        <v/>
      </c>
      <c r="Z151" t="n">
        <v>1</v>
      </c>
      <c r="AA151">
        <f>IF(ISNUMBER('IN-CLASS_Lab Part C'!$J$151),'IN-CLASS_Lab Part C'!$J$151,NA())</f>
        <v/>
      </c>
    </row>
    <row r="152">
      <c r="J152">
        <f>IF(AND(ISNUMBER('Data'!$F$153),'Data'!$F$153&lt;&gt;999,'Data'!$F$153&lt;&gt;""),'Data'!$F$153,"")</f>
        <v/>
      </c>
      <c r="Z152" t="n">
        <v>1</v>
      </c>
      <c r="AA152">
        <f>IF(ISNUMBER('IN-CLASS_Lab Part C'!$J$152),'IN-CLASS_Lab Part C'!$J$152,NA())</f>
        <v/>
      </c>
    </row>
    <row r="153">
      <c r="J153">
        <f>IF(AND(ISNUMBER('Data'!$F$154),'Data'!$F$154&lt;&gt;999,'Data'!$F$154&lt;&gt;""),'Data'!$F$154,"")</f>
        <v/>
      </c>
      <c r="Z153" t="n">
        <v>1</v>
      </c>
      <c r="AA153">
        <f>IF(ISNUMBER('IN-CLASS_Lab Part C'!$J$153),'IN-CLASS_Lab Part C'!$J$153,NA())</f>
        <v/>
      </c>
    </row>
    <row r="154">
      <c r="J154">
        <f>IF(AND(ISNUMBER('Data'!$F$155),'Data'!$F$155&lt;&gt;999,'Data'!$F$155&lt;&gt;""),'Data'!$F$155,"")</f>
        <v/>
      </c>
      <c r="Z154" t="n">
        <v>1</v>
      </c>
      <c r="AA154">
        <f>IF(ISNUMBER('IN-CLASS_Lab Part C'!$J$154),'IN-CLASS_Lab Part C'!$J$154,NA())</f>
        <v/>
      </c>
    </row>
    <row r="155">
      <c r="J155">
        <f>IF(AND(ISNUMBER('Data'!$F$156),'Data'!$F$156&lt;&gt;999,'Data'!$F$156&lt;&gt;""),'Data'!$F$156,"")</f>
        <v/>
      </c>
      <c r="Z155" t="n">
        <v>1</v>
      </c>
      <c r="AA155">
        <f>IF(ISNUMBER('IN-CLASS_Lab Part C'!$J$155),'IN-CLASS_Lab Part C'!$J$155,NA())</f>
        <v/>
      </c>
    </row>
    <row r="156">
      <c r="J156">
        <f>IF(AND(ISNUMBER('Data'!$F$157),'Data'!$F$157&lt;&gt;999,'Data'!$F$157&lt;&gt;""),'Data'!$F$157,"")</f>
        <v/>
      </c>
      <c r="Z156" t="n">
        <v>1</v>
      </c>
      <c r="AA156">
        <f>IF(ISNUMBER('IN-CLASS_Lab Part C'!$J$156),'IN-CLASS_Lab Part C'!$J$156,NA())</f>
        <v/>
      </c>
    </row>
    <row r="157">
      <c r="J157">
        <f>IF(AND(ISNUMBER('Data'!$F$158),'Data'!$F$158&lt;&gt;999,'Data'!$F$158&lt;&gt;""),'Data'!$F$158,"")</f>
        <v/>
      </c>
      <c r="Z157" t="n">
        <v>1</v>
      </c>
      <c r="AA157">
        <f>IF(ISNUMBER('IN-CLASS_Lab Part C'!$J$157),'IN-CLASS_Lab Part C'!$J$157,NA())</f>
        <v/>
      </c>
    </row>
    <row r="158">
      <c r="J158">
        <f>IF(AND(ISNUMBER('Data'!$F$159),'Data'!$F$159&lt;&gt;999,'Data'!$F$159&lt;&gt;""),'Data'!$F$159,"")</f>
        <v/>
      </c>
      <c r="Z158" t="n">
        <v>1</v>
      </c>
      <c r="AA158">
        <f>IF(ISNUMBER('IN-CLASS_Lab Part C'!$J$158),'IN-CLASS_Lab Part C'!$J$158,NA())</f>
        <v/>
      </c>
    </row>
    <row r="159">
      <c r="J159">
        <f>IF(AND(ISNUMBER('Data'!$F$160),'Data'!$F$160&lt;&gt;999,'Data'!$F$160&lt;&gt;""),'Data'!$F$160,"")</f>
        <v/>
      </c>
      <c r="Z159" t="n">
        <v>1</v>
      </c>
      <c r="AA159">
        <f>IF(ISNUMBER('IN-CLASS_Lab Part C'!$J$159),'IN-CLASS_Lab Part C'!$J$159,NA())</f>
        <v/>
      </c>
    </row>
    <row r="160">
      <c r="J160">
        <f>IF(AND(ISNUMBER('Data'!$F$161),'Data'!$F$161&lt;&gt;999,'Data'!$F$161&lt;&gt;""),'Data'!$F$161,"")</f>
        <v/>
      </c>
      <c r="Z160" t="n">
        <v>1</v>
      </c>
      <c r="AA160">
        <f>IF(ISNUMBER('IN-CLASS_Lab Part C'!$J$160),'IN-CLASS_Lab Part C'!$J$160,NA())</f>
        <v/>
      </c>
    </row>
    <row r="161">
      <c r="J161">
        <f>IF(AND(ISNUMBER('Data'!$F$162),'Data'!$F$162&lt;&gt;999,'Data'!$F$162&lt;&gt;""),'Data'!$F$162,"")</f>
        <v/>
      </c>
      <c r="Z161" t="n">
        <v>1</v>
      </c>
      <c r="AA161">
        <f>IF(ISNUMBER('IN-CLASS_Lab Part C'!$J$161),'IN-CLASS_Lab Part C'!$J$161,NA())</f>
        <v/>
      </c>
    </row>
    <row r="162">
      <c r="J162">
        <f>IF(AND(ISNUMBER('Data'!$F$163),'Data'!$F$163&lt;&gt;999,'Data'!$F$163&lt;&gt;""),'Data'!$F$163,"")</f>
        <v/>
      </c>
      <c r="Z162" t="n">
        <v>1</v>
      </c>
      <c r="AA162">
        <f>IF(ISNUMBER('IN-CLASS_Lab Part C'!$J$162),'IN-CLASS_Lab Part C'!$J$162,NA())</f>
        <v/>
      </c>
    </row>
    <row r="163">
      <c r="J163">
        <f>IF(AND(ISNUMBER('Data'!$F$164),'Data'!$F$164&lt;&gt;999,'Data'!$F$164&lt;&gt;""),'Data'!$F$164,"")</f>
        <v/>
      </c>
      <c r="Z163" t="n">
        <v>1</v>
      </c>
      <c r="AA163">
        <f>IF(ISNUMBER('IN-CLASS_Lab Part C'!$J$163),'IN-CLASS_Lab Part C'!$J$163,NA())</f>
        <v/>
      </c>
    </row>
    <row r="164">
      <c r="J164">
        <f>IF(AND(ISNUMBER('Data'!$F$165),'Data'!$F$165&lt;&gt;999,'Data'!$F$165&lt;&gt;""),'Data'!$F$165,"")</f>
        <v/>
      </c>
      <c r="Z164" t="n">
        <v>1</v>
      </c>
      <c r="AA164">
        <f>IF(ISNUMBER('IN-CLASS_Lab Part C'!$J$164),'IN-CLASS_Lab Part C'!$J$164,NA())</f>
        <v/>
      </c>
    </row>
    <row r="165">
      <c r="J165">
        <f>IF(AND(ISNUMBER('Data'!$F$166),'Data'!$F$166&lt;&gt;999,'Data'!$F$166&lt;&gt;""),'Data'!$F$166,"")</f>
        <v/>
      </c>
      <c r="Z165" t="n">
        <v>1</v>
      </c>
      <c r="AA165">
        <f>IF(ISNUMBER('IN-CLASS_Lab Part C'!$J$165),'IN-CLASS_Lab Part C'!$J$165,NA())</f>
        <v/>
      </c>
    </row>
    <row r="166">
      <c r="J166">
        <f>IF(AND(ISNUMBER('Data'!$F$167),'Data'!$F$167&lt;&gt;999,'Data'!$F$167&lt;&gt;""),'Data'!$F$167,"")</f>
        <v/>
      </c>
      <c r="Z166" t="n">
        <v>1</v>
      </c>
      <c r="AA166">
        <f>IF(ISNUMBER('IN-CLASS_Lab Part C'!$J$166),'IN-CLASS_Lab Part C'!$J$166,NA())</f>
        <v/>
      </c>
    </row>
    <row r="167">
      <c r="J167">
        <f>IF(AND(ISNUMBER('Data'!$F$168),'Data'!$F$168&lt;&gt;999,'Data'!$F$168&lt;&gt;""),'Data'!$F$168,"")</f>
        <v/>
      </c>
      <c r="Z167" t="n">
        <v>1</v>
      </c>
      <c r="AA167">
        <f>IF(ISNUMBER('IN-CLASS_Lab Part C'!$J$167),'IN-CLASS_Lab Part C'!$J$167,NA())</f>
        <v/>
      </c>
    </row>
    <row r="168">
      <c r="J168">
        <f>IF(AND(ISNUMBER('Data'!$F$169),'Data'!$F$169&lt;&gt;999,'Data'!$F$169&lt;&gt;""),'Data'!$F$169,"")</f>
        <v/>
      </c>
      <c r="Z168" t="n">
        <v>1</v>
      </c>
      <c r="AA168">
        <f>IF(ISNUMBER('IN-CLASS_Lab Part C'!$J$168),'IN-CLASS_Lab Part C'!$J$168,NA())</f>
        <v/>
      </c>
    </row>
    <row r="169">
      <c r="J169">
        <f>IF(AND(ISNUMBER('Data'!$F$170),'Data'!$F$170&lt;&gt;999,'Data'!$F$170&lt;&gt;""),'Data'!$F$170,"")</f>
        <v/>
      </c>
      <c r="Z169" t="n">
        <v>1</v>
      </c>
      <c r="AA169">
        <f>IF(ISNUMBER('IN-CLASS_Lab Part C'!$J$169),'IN-CLASS_Lab Part C'!$J$169,NA())</f>
        <v/>
      </c>
    </row>
    <row r="170">
      <c r="J170">
        <f>IF(AND(ISNUMBER('Data'!$F$171),'Data'!$F$171&lt;&gt;999,'Data'!$F$171&lt;&gt;""),'Data'!$F$171,"")</f>
        <v/>
      </c>
      <c r="Z170" t="n">
        <v>1</v>
      </c>
      <c r="AA170">
        <f>IF(ISNUMBER('IN-CLASS_Lab Part C'!$J$170),'IN-CLASS_Lab Part C'!$J$170,NA())</f>
        <v/>
      </c>
    </row>
    <row r="171">
      <c r="J171">
        <f>IF(AND(ISNUMBER('Data'!$F$172),'Data'!$F$172&lt;&gt;999,'Data'!$F$172&lt;&gt;""),'Data'!$F$172,"")</f>
        <v/>
      </c>
      <c r="Z171" t="n">
        <v>1</v>
      </c>
      <c r="AA171">
        <f>IF(ISNUMBER('IN-CLASS_Lab Part C'!$J$171),'IN-CLASS_Lab Part C'!$J$171,NA())</f>
        <v/>
      </c>
    </row>
    <row r="172">
      <c r="J172">
        <f>IF(AND(ISNUMBER('Data'!$F$173),'Data'!$F$173&lt;&gt;999,'Data'!$F$173&lt;&gt;""),'Data'!$F$173,"")</f>
        <v/>
      </c>
      <c r="Z172" t="n">
        <v>1</v>
      </c>
      <c r="AA172">
        <f>IF(ISNUMBER('IN-CLASS_Lab Part C'!$J$172),'IN-CLASS_Lab Part C'!$J$172,NA())</f>
        <v/>
      </c>
    </row>
    <row r="173">
      <c r="J173">
        <f>IF(AND(ISNUMBER('Data'!$F$174),'Data'!$F$174&lt;&gt;999,'Data'!$F$174&lt;&gt;""),'Data'!$F$174,"")</f>
        <v/>
      </c>
      <c r="Z173" t="n">
        <v>1</v>
      </c>
      <c r="AA173">
        <f>IF(ISNUMBER('IN-CLASS_Lab Part C'!$J$173),'IN-CLASS_Lab Part C'!$J$173,NA())</f>
        <v/>
      </c>
    </row>
    <row r="174">
      <c r="J174">
        <f>IF(AND(ISNUMBER('Data'!$F$175),'Data'!$F$175&lt;&gt;999,'Data'!$F$175&lt;&gt;""),'Data'!$F$175,"")</f>
        <v/>
      </c>
      <c r="Z174" t="n">
        <v>1</v>
      </c>
      <c r="AA174">
        <f>IF(ISNUMBER('IN-CLASS_Lab Part C'!$J$174),'IN-CLASS_Lab Part C'!$J$174,NA())</f>
        <v/>
      </c>
    </row>
    <row r="175">
      <c r="J175">
        <f>IF(AND(ISNUMBER('Data'!$F$176),'Data'!$F$176&lt;&gt;999,'Data'!$F$176&lt;&gt;""),'Data'!$F$176,"")</f>
        <v/>
      </c>
      <c r="Z175" t="n">
        <v>1</v>
      </c>
      <c r="AA175">
        <f>IF(ISNUMBER('IN-CLASS_Lab Part C'!$J$175),'IN-CLASS_Lab Part C'!$J$175,NA())</f>
        <v/>
      </c>
    </row>
    <row r="176">
      <c r="J176">
        <f>IF(AND(ISNUMBER('Data'!$F$177),'Data'!$F$177&lt;&gt;999,'Data'!$F$177&lt;&gt;""),'Data'!$F$177,"")</f>
        <v/>
      </c>
      <c r="Z176" t="n">
        <v>1</v>
      </c>
      <c r="AA176">
        <f>IF(ISNUMBER('IN-CLASS_Lab Part C'!$J$176),'IN-CLASS_Lab Part C'!$J$176,NA())</f>
        <v/>
      </c>
    </row>
    <row r="177">
      <c r="J177">
        <f>IF(AND(ISNUMBER('Data'!$F$178),'Data'!$F$178&lt;&gt;999,'Data'!$F$178&lt;&gt;""),'Data'!$F$178,"")</f>
        <v/>
      </c>
      <c r="Z177" t="n">
        <v>1</v>
      </c>
      <c r="AA177">
        <f>IF(ISNUMBER('IN-CLASS_Lab Part C'!$J$177),'IN-CLASS_Lab Part C'!$J$177,NA())</f>
        <v/>
      </c>
    </row>
    <row r="178">
      <c r="J178">
        <f>IF(AND(ISNUMBER('Data'!$F$179),'Data'!$F$179&lt;&gt;999,'Data'!$F$179&lt;&gt;""),'Data'!$F$179,"")</f>
        <v/>
      </c>
      <c r="Z178" t="n">
        <v>1</v>
      </c>
      <c r="AA178">
        <f>IF(ISNUMBER('IN-CLASS_Lab Part C'!$J$178),'IN-CLASS_Lab Part C'!$J$178,NA())</f>
        <v/>
      </c>
    </row>
    <row r="179">
      <c r="J179">
        <f>IF(AND(ISNUMBER('Data'!$F$180),'Data'!$F$180&lt;&gt;999,'Data'!$F$180&lt;&gt;""),'Data'!$F$180,"")</f>
        <v/>
      </c>
      <c r="Z179" t="n">
        <v>1</v>
      </c>
      <c r="AA179">
        <f>IF(ISNUMBER('IN-CLASS_Lab Part C'!$J$179),'IN-CLASS_Lab Part C'!$J$179,NA())</f>
        <v/>
      </c>
    </row>
    <row r="180">
      <c r="J180">
        <f>IF(AND(ISNUMBER('Data'!$F$181),'Data'!$F$181&lt;&gt;999,'Data'!$F$181&lt;&gt;""),'Data'!$F$181,"")</f>
        <v/>
      </c>
      <c r="Z180" t="n">
        <v>1</v>
      </c>
      <c r="AA180">
        <f>IF(ISNUMBER('IN-CLASS_Lab Part C'!$J$180),'IN-CLASS_Lab Part C'!$J$180,NA())</f>
        <v/>
      </c>
    </row>
    <row r="181">
      <c r="J181">
        <f>IF(AND(ISNUMBER('Data'!$F$182),'Data'!$F$182&lt;&gt;999,'Data'!$F$182&lt;&gt;""),'Data'!$F$182,"")</f>
        <v/>
      </c>
      <c r="Z181" t="n">
        <v>1</v>
      </c>
      <c r="AA181">
        <f>IF(ISNUMBER('IN-CLASS_Lab Part C'!$J$181),'IN-CLASS_Lab Part C'!$J$181,NA())</f>
        <v/>
      </c>
    </row>
    <row r="182">
      <c r="J182">
        <f>IF(AND(ISNUMBER('Data'!$F$183),'Data'!$F$183&lt;&gt;999,'Data'!$F$183&lt;&gt;""),'Data'!$F$183,"")</f>
        <v/>
      </c>
      <c r="Z182" t="n">
        <v>1</v>
      </c>
      <c r="AA182">
        <f>IF(ISNUMBER('IN-CLASS_Lab Part C'!$J$182),'IN-CLASS_Lab Part C'!$J$182,NA())</f>
        <v/>
      </c>
    </row>
    <row r="183">
      <c r="J183">
        <f>IF(AND(ISNUMBER('Data'!$F$184),'Data'!$F$184&lt;&gt;999,'Data'!$F$184&lt;&gt;""),'Data'!$F$184,"")</f>
        <v/>
      </c>
      <c r="Z183" t="n">
        <v>1</v>
      </c>
      <c r="AA183">
        <f>IF(ISNUMBER('IN-CLASS_Lab Part C'!$J$183),'IN-CLASS_Lab Part C'!$J$183,NA())</f>
        <v/>
      </c>
    </row>
    <row r="184">
      <c r="J184">
        <f>IF(AND(ISNUMBER('Data'!$F$185),'Data'!$F$185&lt;&gt;999,'Data'!$F$185&lt;&gt;""),'Data'!$F$185,"")</f>
        <v/>
      </c>
      <c r="Z184" t="n">
        <v>1</v>
      </c>
      <c r="AA184">
        <f>IF(ISNUMBER('IN-CLASS_Lab Part C'!$J$184),'IN-CLASS_Lab Part C'!$J$184,NA())</f>
        <v/>
      </c>
    </row>
    <row r="185">
      <c r="J185">
        <f>IF(AND(ISNUMBER('Data'!$F$186),'Data'!$F$186&lt;&gt;999,'Data'!$F$186&lt;&gt;""),'Data'!$F$186,"")</f>
        <v/>
      </c>
      <c r="Z185" t="n">
        <v>1</v>
      </c>
      <c r="AA185">
        <f>IF(ISNUMBER('IN-CLASS_Lab Part C'!$J$185),'IN-CLASS_Lab Part C'!$J$185,NA())</f>
        <v/>
      </c>
    </row>
    <row r="186">
      <c r="J186">
        <f>IF(AND(ISNUMBER('Data'!$F$187),'Data'!$F$187&lt;&gt;999,'Data'!$F$187&lt;&gt;""),'Data'!$F$187,"")</f>
        <v/>
      </c>
      <c r="Z186" t="n">
        <v>1</v>
      </c>
      <c r="AA186">
        <f>IF(ISNUMBER('IN-CLASS_Lab Part C'!$J$186),'IN-CLASS_Lab Part C'!$J$186,NA())</f>
        <v/>
      </c>
    </row>
    <row r="187">
      <c r="J187">
        <f>IF(AND(ISNUMBER('Data'!$F$188),'Data'!$F$188&lt;&gt;999,'Data'!$F$188&lt;&gt;""),'Data'!$F$188,"")</f>
        <v/>
      </c>
      <c r="Z187" t="n">
        <v>1</v>
      </c>
      <c r="AA187">
        <f>IF(ISNUMBER('IN-CLASS_Lab Part C'!$J$187),'IN-CLASS_Lab Part C'!$J$187,NA())</f>
        <v/>
      </c>
    </row>
    <row r="188">
      <c r="J188">
        <f>IF(AND(ISNUMBER('Data'!$F$189),'Data'!$F$189&lt;&gt;999,'Data'!$F$189&lt;&gt;""),'Data'!$F$189,"")</f>
        <v/>
      </c>
      <c r="Z188" t="n">
        <v>1</v>
      </c>
      <c r="AA188">
        <f>IF(ISNUMBER('IN-CLASS_Lab Part C'!$J$188),'IN-CLASS_Lab Part C'!$J$188,NA())</f>
        <v/>
      </c>
    </row>
    <row r="189">
      <c r="J189">
        <f>IF(AND(ISNUMBER('Data'!$F$190),'Data'!$F$190&lt;&gt;999,'Data'!$F$190&lt;&gt;""),'Data'!$F$190,"")</f>
        <v/>
      </c>
      <c r="Z189" t="n">
        <v>1</v>
      </c>
      <c r="AA189">
        <f>IF(ISNUMBER('IN-CLASS_Lab Part C'!$J$189),'IN-CLASS_Lab Part C'!$J$189,NA())</f>
        <v/>
      </c>
    </row>
    <row r="190">
      <c r="J190">
        <f>IF(AND(ISNUMBER('Data'!$F$191),'Data'!$F$191&lt;&gt;999,'Data'!$F$191&lt;&gt;""),'Data'!$F$191,"")</f>
        <v/>
      </c>
      <c r="Z190" t="n">
        <v>1</v>
      </c>
      <c r="AA190">
        <f>IF(ISNUMBER('IN-CLASS_Lab Part C'!$J$190),'IN-CLASS_Lab Part C'!$J$190,NA())</f>
        <v/>
      </c>
    </row>
    <row r="191">
      <c r="J191">
        <f>IF(AND(ISNUMBER('Data'!$F$192),'Data'!$F$192&lt;&gt;999,'Data'!$F$192&lt;&gt;""),'Data'!$F$192,"")</f>
        <v/>
      </c>
      <c r="Z191" t="n">
        <v>1</v>
      </c>
      <c r="AA191">
        <f>IF(ISNUMBER('IN-CLASS_Lab Part C'!$J$191),'IN-CLASS_Lab Part C'!$J$191,NA())</f>
        <v/>
      </c>
    </row>
    <row r="192">
      <c r="J192">
        <f>IF(AND(ISNUMBER('Data'!$F$193),'Data'!$F$193&lt;&gt;999,'Data'!$F$193&lt;&gt;""),'Data'!$F$193,"")</f>
        <v/>
      </c>
      <c r="Z192" t="n">
        <v>1</v>
      </c>
      <c r="AA192">
        <f>IF(ISNUMBER('IN-CLASS_Lab Part C'!$J$192),'IN-CLASS_Lab Part C'!$J$192,NA())</f>
        <v/>
      </c>
    </row>
    <row r="193">
      <c r="J193">
        <f>IF(AND(ISNUMBER('Data'!$F$194),'Data'!$F$194&lt;&gt;999,'Data'!$F$194&lt;&gt;""),'Data'!$F$194,"")</f>
        <v/>
      </c>
      <c r="Z193" t="n">
        <v>1</v>
      </c>
      <c r="AA193">
        <f>IF(ISNUMBER('IN-CLASS_Lab Part C'!$J$193),'IN-CLASS_Lab Part C'!$J$193,NA())</f>
        <v/>
      </c>
    </row>
    <row r="194">
      <c r="J194">
        <f>IF(AND(ISNUMBER('Data'!$F$195),'Data'!$F$195&lt;&gt;999,'Data'!$F$195&lt;&gt;""),'Data'!$F$195,"")</f>
        <v/>
      </c>
      <c r="Z194" t="n">
        <v>1</v>
      </c>
      <c r="AA194">
        <f>IF(ISNUMBER('IN-CLASS_Lab Part C'!$J$194),'IN-CLASS_Lab Part C'!$J$194,NA())</f>
        <v/>
      </c>
    </row>
    <row r="195">
      <c r="J195">
        <f>IF(AND(ISNUMBER('Data'!$F$196),'Data'!$F$196&lt;&gt;999,'Data'!$F$196&lt;&gt;""),'Data'!$F$196,"")</f>
        <v/>
      </c>
      <c r="Z195" t="n">
        <v>1</v>
      </c>
      <c r="AA195">
        <f>IF(ISNUMBER('IN-CLASS_Lab Part C'!$J$195),'IN-CLASS_Lab Part C'!$J$195,NA())</f>
        <v/>
      </c>
    </row>
    <row r="196">
      <c r="J196">
        <f>IF(AND(ISNUMBER('Data'!$F$197),'Data'!$F$197&lt;&gt;999,'Data'!$F$197&lt;&gt;""),'Data'!$F$197,"")</f>
        <v/>
      </c>
      <c r="Z196" t="n">
        <v>1</v>
      </c>
      <c r="AA196">
        <f>IF(ISNUMBER('IN-CLASS_Lab Part C'!$J$196),'IN-CLASS_Lab Part C'!$J$196,NA())</f>
        <v/>
      </c>
    </row>
    <row r="197">
      <c r="J197">
        <f>IF(AND(ISNUMBER('Data'!$F$198),'Data'!$F$198&lt;&gt;999,'Data'!$F$198&lt;&gt;""),'Data'!$F$198,"")</f>
        <v/>
      </c>
      <c r="Z197" t="n">
        <v>1</v>
      </c>
      <c r="AA197">
        <f>IF(ISNUMBER('IN-CLASS_Lab Part C'!$J$197),'IN-CLASS_Lab Part C'!$J$197,NA())</f>
        <v/>
      </c>
    </row>
    <row r="198">
      <c r="J198">
        <f>IF(AND(ISNUMBER('Data'!$F$199),'Data'!$F$199&lt;&gt;999,'Data'!$F$199&lt;&gt;""),'Data'!$F$199,"")</f>
        <v/>
      </c>
      <c r="Z198" t="n">
        <v>1</v>
      </c>
      <c r="AA198">
        <f>IF(ISNUMBER('IN-CLASS_Lab Part C'!$J$198),'IN-CLASS_Lab Part C'!$J$198,NA())</f>
        <v/>
      </c>
    </row>
    <row r="199">
      <c r="J199">
        <f>IF(AND(ISNUMBER('Data'!$F$200),'Data'!$F$200&lt;&gt;999,'Data'!$F$200&lt;&gt;""),'Data'!$F$200,"")</f>
        <v/>
      </c>
      <c r="Z199" t="n">
        <v>1</v>
      </c>
      <c r="AA199">
        <f>IF(ISNUMBER('IN-CLASS_Lab Part C'!$J$199),'IN-CLASS_Lab Part C'!$J$199,NA())</f>
        <v/>
      </c>
    </row>
    <row r="200">
      <c r="J200">
        <f>IF(AND(ISNUMBER('Data'!$F$201),'Data'!$F$201&lt;&gt;999,'Data'!$F$201&lt;&gt;""),'Data'!$F$201,"")</f>
        <v/>
      </c>
      <c r="Z200" t="n">
        <v>1</v>
      </c>
      <c r="AA200">
        <f>IF(ISNUMBER('IN-CLASS_Lab Part C'!$J$200),'IN-CLASS_Lab Part C'!$J$200,NA())</f>
        <v/>
      </c>
    </row>
    <row r="201">
      <c r="J201">
        <f>IF(AND(ISNUMBER('Data'!$F$202),'Data'!$F$202&lt;&gt;999,'Data'!$F$202&lt;&gt;""),'Data'!$F$202,"")</f>
        <v/>
      </c>
      <c r="Z201" t="n">
        <v>1</v>
      </c>
      <c r="AA201">
        <f>IF(ISNUMBER('IN-CLASS_Lab Part C'!$J$201),'IN-CLASS_Lab Part C'!$J$201,NA())</f>
        <v/>
      </c>
    </row>
    <row r="202">
      <c r="J202">
        <f>IF(AND(ISNUMBER('Data'!$F$203),'Data'!$F$203&lt;&gt;999,'Data'!$F$203&lt;&gt;""),'Data'!$F$203,"")</f>
        <v/>
      </c>
      <c r="Z202" t="n">
        <v>1</v>
      </c>
      <c r="AA202">
        <f>IF(ISNUMBER('IN-CLASS_Lab Part C'!$J$202),'IN-CLASS_Lab Part C'!$J$202,NA())</f>
        <v/>
      </c>
    </row>
    <row r="203">
      <c r="J203">
        <f>IF(AND(ISNUMBER('Data'!$F$204),'Data'!$F$204&lt;&gt;999,'Data'!$F$204&lt;&gt;""),'Data'!$F$204,"")</f>
        <v/>
      </c>
      <c r="Z203" t="n">
        <v>1</v>
      </c>
      <c r="AA203">
        <f>IF(ISNUMBER('IN-CLASS_Lab Part C'!$J$203),'IN-CLASS_Lab Part C'!$J$203,NA())</f>
        <v/>
      </c>
    </row>
    <row r="204">
      <c r="J204">
        <f>IF(AND(ISNUMBER('Data'!$F$205),'Data'!$F$205&lt;&gt;999,'Data'!$F$205&lt;&gt;""),'Data'!$F$205,"")</f>
        <v/>
      </c>
      <c r="Z204" t="n">
        <v>1</v>
      </c>
      <c r="AA204">
        <f>IF(ISNUMBER('IN-CLASS_Lab Part C'!$J$204),'IN-CLASS_Lab Part C'!$J$204,NA())</f>
        <v/>
      </c>
    </row>
    <row r="205">
      <c r="J205">
        <f>IF(AND(ISNUMBER('Data'!$F$206),'Data'!$F$206&lt;&gt;999,'Data'!$F$206&lt;&gt;""),'Data'!$F$206,"")</f>
        <v/>
      </c>
      <c r="Z205" t="n">
        <v>1</v>
      </c>
      <c r="AA205">
        <f>IF(ISNUMBER('IN-CLASS_Lab Part C'!$J$205),'IN-CLASS_Lab Part C'!$J$205,NA())</f>
        <v/>
      </c>
    </row>
    <row r="206">
      <c r="J206">
        <f>IF(AND(ISNUMBER('Data'!$F$207),'Data'!$F$207&lt;&gt;999,'Data'!$F$207&lt;&gt;""),'Data'!$F$207,"")</f>
        <v/>
      </c>
      <c r="Z206" t="n">
        <v>1</v>
      </c>
      <c r="AA206">
        <f>IF(ISNUMBER('IN-CLASS_Lab Part C'!$J$206),'IN-CLASS_Lab Part C'!$J$206,NA())</f>
        <v/>
      </c>
    </row>
    <row r="207">
      <c r="J207">
        <f>IF(AND(ISNUMBER('Data'!$F$208),'Data'!$F$208&lt;&gt;999,'Data'!$F$208&lt;&gt;""),'Data'!$F$208,"")</f>
        <v/>
      </c>
      <c r="Z207" t="n">
        <v>1</v>
      </c>
      <c r="AA207">
        <f>IF(ISNUMBER('IN-CLASS_Lab Part C'!$J$207),'IN-CLASS_Lab Part C'!$J$207,NA())</f>
        <v/>
      </c>
    </row>
    <row r="208">
      <c r="J208">
        <f>IF(AND(ISNUMBER('Data'!$F$209),'Data'!$F$209&lt;&gt;999,'Data'!$F$209&lt;&gt;""),'Data'!$F$209,"")</f>
        <v/>
      </c>
      <c r="Z208" t="n">
        <v>1</v>
      </c>
      <c r="AA208">
        <f>IF(ISNUMBER('IN-CLASS_Lab Part C'!$J$208),'IN-CLASS_Lab Part C'!$J$208,NA())</f>
        <v/>
      </c>
    </row>
    <row r="209">
      <c r="J209">
        <f>IF(AND(ISNUMBER('Data'!$F$210),'Data'!$F$210&lt;&gt;999,'Data'!$F$210&lt;&gt;""),'Data'!$F$210,"")</f>
        <v/>
      </c>
      <c r="Z209" t="n">
        <v>1</v>
      </c>
      <c r="AA209">
        <f>IF(ISNUMBER('IN-CLASS_Lab Part C'!$J$209),'IN-CLASS_Lab Part C'!$J$209,NA())</f>
        <v/>
      </c>
    </row>
    <row r="210">
      <c r="J210">
        <f>IF(AND(ISNUMBER('Data'!$F$211),'Data'!$F$211&lt;&gt;999,'Data'!$F$211&lt;&gt;""),'Data'!$F$211,"")</f>
        <v/>
      </c>
      <c r="Z210" t="n">
        <v>1</v>
      </c>
      <c r="AA210">
        <f>IF(ISNUMBER('IN-CLASS_Lab Part C'!$J$210),'IN-CLASS_Lab Part C'!$J$210,NA())</f>
        <v/>
      </c>
    </row>
    <row r="211">
      <c r="J211">
        <f>IF(AND(ISNUMBER('Data'!$F$212),'Data'!$F$212&lt;&gt;999,'Data'!$F$212&lt;&gt;""),'Data'!$F$212,"")</f>
        <v/>
      </c>
      <c r="Z211" t="n">
        <v>1</v>
      </c>
      <c r="AA211">
        <f>IF(ISNUMBER('IN-CLASS_Lab Part C'!$J$211),'IN-CLASS_Lab Part C'!$J$211,NA())</f>
        <v/>
      </c>
    </row>
    <row r="212">
      <c r="J212">
        <f>IF(AND(ISNUMBER('Data'!$F$213),'Data'!$F$213&lt;&gt;999,'Data'!$F$213&lt;&gt;""),'Data'!$F$213,"")</f>
        <v/>
      </c>
      <c r="Z212" t="n">
        <v>1</v>
      </c>
      <c r="AA212">
        <f>IF(ISNUMBER('IN-CLASS_Lab Part C'!$J$212),'IN-CLASS_Lab Part C'!$J$212,NA())</f>
        <v/>
      </c>
    </row>
    <row r="213">
      <c r="J213">
        <f>IF(AND(ISNUMBER('Data'!$F$214),'Data'!$F$214&lt;&gt;999,'Data'!$F$214&lt;&gt;""),'Data'!$F$214,"")</f>
        <v/>
      </c>
      <c r="Z213" t="n">
        <v>1</v>
      </c>
      <c r="AA213">
        <f>IF(ISNUMBER('IN-CLASS_Lab Part C'!$J$213),'IN-CLASS_Lab Part C'!$J$213,NA())</f>
        <v/>
      </c>
    </row>
    <row r="214">
      <c r="J214">
        <f>IF(AND(ISNUMBER('Data'!$F$215),'Data'!$F$215&lt;&gt;999,'Data'!$F$215&lt;&gt;""),'Data'!$F$215,"")</f>
        <v/>
      </c>
      <c r="Z214" t="n">
        <v>1</v>
      </c>
      <c r="AA214">
        <f>IF(ISNUMBER('IN-CLASS_Lab Part C'!$J$214),'IN-CLASS_Lab Part C'!$J$214,NA())</f>
        <v/>
      </c>
    </row>
    <row r="215">
      <c r="J215">
        <f>IF(AND(ISNUMBER('Data'!$F$216),'Data'!$F$216&lt;&gt;999,'Data'!$F$216&lt;&gt;""),'Data'!$F$216,"")</f>
        <v/>
      </c>
      <c r="Z215" t="n">
        <v>1</v>
      </c>
      <c r="AA215">
        <f>IF(ISNUMBER('IN-CLASS_Lab Part C'!$J$215),'IN-CLASS_Lab Part C'!$J$215,NA())</f>
        <v/>
      </c>
    </row>
    <row r="216">
      <c r="J216">
        <f>IF(AND(ISNUMBER('Data'!$F$217),'Data'!$F$217&lt;&gt;999,'Data'!$F$217&lt;&gt;""),'Data'!$F$217,"")</f>
        <v/>
      </c>
      <c r="Z216" t="n">
        <v>1</v>
      </c>
      <c r="AA216">
        <f>IF(ISNUMBER('IN-CLASS_Lab Part C'!$J$216),'IN-CLASS_Lab Part C'!$J$216,NA())</f>
        <v/>
      </c>
    </row>
    <row r="217">
      <c r="J217">
        <f>IF(AND(ISNUMBER('Data'!$F$218),'Data'!$F$218&lt;&gt;999,'Data'!$F$218&lt;&gt;""),'Data'!$F$218,"")</f>
        <v/>
      </c>
      <c r="Z217" t="n">
        <v>1</v>
      </c>
      <c r="AA217">
        <f>IF(ISNUMBER('IN-CLASS_Lab Part C'!$J$217),'IN-CLASS_Lab Part C'!$J$217,NA())</f>
        <v/>
      </c>
    </row>
    <row r="218">
      <c r="J218">
        <f>IF(AND(ISNUMBER('Data'!$F$219),'Data'!$F$219&lt;&gt;999,'Data'!$F$219&lt;&gt;""),'Data'!$F$219,"")</f>
        <v/>
      </c>
      <c r="Z218" t="n">
        <v>1</v>
      </c>
      <c r="AA218">
        <f>IF(ISNUMBER('IN-CLASS_Lab Part C'!$J$218),'IN-CLASS_Lab Part C'!$J$218,NA())</f>
        <v/>
      </c>
    </row>
    <row r="219">
      <c r="J219">
        <f>IF(AND(ISNUMBER('Data'!$F$220),'Data'!$F$220&lt;&gt;999,'Data'!$F$220&lt;&gt;""),'Data'!$F$220,"")</f>
        <v/>
      </c>
      <c r="Z219" t="n">
        <v>1</v>
      </c>
      <c r="AA219">
        <f>IF(ISNUMBER('IN-CLASS_Lab Part C'!$J$219),'IN-CLASS_Lab Part C'!$J$219,NA())</f>
        <v/>
      </c>
    </row>
    <row r="220">
      <c r="J220">
        <f>IF(AND(ISNUMBER('Data'!$F$221),'Data'!$F$221&lt;&gt;999,'Data'!$F$221&lt;&gt;""),'Data'!$F$221,"")</f>
        <v/>
      </c>
      <c r="Z220" t="n">
        <v>1</v>
      </c>
      <c r="AA220">
        <f>IF(ISNUMBER('IN-CLASS_Lab Part C'!$J$220),'IN-CLASS_Lab Part C'!$J$220,NA())</f>
        <v/>
      </c>
    </row>
    <row r="221">
      <c r="J221">
        <f>IF(AND(ISNUMBER('Data'!$F$222),'Data'!$F$222&lt;&gt;999,'Data'!$F$222&lt;&gt;""),'Data'!$F$222,"")</f>
        <v/>
      </c>
      <c r="Z221" t="n">
        <v>1</v>
      </c>
      <c r="AA221">
        <f>IF(ISNUMBER('IN-CLASS_Lab Part C'!$J$221),'IN-CLASS_Lab Part C'!$J$221,NA())</f>
        <v/>
      </c>
    </row>
    <row r="222">
      <c r="J222">
        <f>IF(AND(ISNUMBER('Data'!$F$223),'Data'!$F$223&lt;&gt;999,'Data'!$F$223&lt;&gt;""),'Data'!$F$223,"")</f>
        <v/>
      </c>
      <c r="Z222" t="n">
        <v>1</v>
      </c>
      <c r="AA222">
        <f>IF(ISNUMBER('IN-CLASS_Lab Part C'!$J$222),'IN-CLASS_Lab Part C'!$J$222,NA())</f>
        <v/>
      </c>
    </row>
    <row r="223">
      <c r="J223">
        <f>IF(AND(ISNUMBER('Data'!$F$224),'Data'!$F$224&lt;&gt;999,'Data'!$F$224&lt;&gt;""),'Data'!$F$224,"")</f>
        <v/>
      </c>
      <c r="Z223" t="n">
        <v>1</v>
      </c>
      <c r="AA223">
        <f>IF(ISNUMBER('IN-CLASS_Lab Part C'!$J$223),'IN-CLASS_Lab Part C'!$J$223,NA())</f>
        <v/>
      </c>
    </row>
    <row r="224">
      <c r="J224">
        <f>IF(AND(ISNUMBER('Data'!$F$225),'Data'!$F$225&lt;&gt;999,'Data'!$F$225&lt;&gt;""),'Data'!$F$225,"")</f>
        <v/>
      </c>
      <c r="Z224" t="n">
        <v>1</v>
      </c>
      <c r="AA224">
        <f>IF(ISNUMBER('IN-CLASS_Lab Part C'!$J$224),'IN-CLASS_Lab Part C'!$J$224,NA())</f>
        <v/>
      </c>
    </row>
    <row r="225">
      <c r="J225">
        <f>IF(AND(ISNUMBER('Data'!$F$226),'Data'!$F$226&lt;&gt;999,'Data'!$F$226&lt;&gt;""),'Data'!$F$226,"")</f>
        <v/>
      </c>
      <c r="Z225" t="n">
        <v>1</v>
      </c>
      <c r="AA225">
        <f>IF(ISNUMBER('IN-CLASS_Lab Part C'!$J$225),'IN-CLASS_Lab Part C'!$J$225,NA())</f>
        <v/>
      </c>
    </row>
    <row r="226">
      <c r="J226">
        <f>IF(AND(ISNUMBER('Data'!$F$227),'Data'!$F$227&lt;&gt;999,'Data'!$F$227&lt;&gt;""),'Data'!$F$227,"")</f>
        <v/>
      </c>
      <c r="Z226" t="n">
        <v>1</v>
      </c>
      <c r="AA226">
        <f>IF(ISNUMBER('IN-CLASS_Lab Part C'!$J$226),'IN-CLASS_Lab Part C'!$J$226,NA())</f>
        <v/>
      </c>
    </row>
    <row r="227">
      <c r="J227">
        <f>IF(AND(ISNUMBER('Data'!$F$228),'Data'!$F$228&lt;&gt;999,'Data'!$F$228&lt;&gt;""),'Data'!$F$228,"")</f>
        <v/>
      </c>
      <c r="Z227" t="n">
        <v>1</v>
      </c>
      <c r="AA227">
        <f>IF(ISNUMBER('IN-CLASS_Lab Part C'!$J$227),'IN-CLASS_Lab Part C'!$J$227,NA())</f>
        <v/>
      </c>
    </row>
    <row r="228">
      <c r="J228">
        <f>IF(AND(ISNUMBER('Data'!$F$229),'Data'!$F$229&lt;&gt;999,'Data'!$F$229&lt;&gt;""),'Data'!$F$229,"")</f>
        <v/>
      </c>
      <c r="Z228" t="n">
        <v>1</v>
      </c>
      <c r="AA228">
        <f>IF(ISNUMBER('IN-CLASS_Lab Part C'!$J$228),'IN-CLASS_Lab Part C'!$J$228,NA())</f>
        <v/>
      </c>
    </row>
    <row r="229">
      <c r="J229">
        <f>IF(AND(ISNUMBER('Data'!$F$230),'Data'!$F$230&lt;&gt;999,'Data'!$F$230&lt;&gt;""),'Data'!$F$230,"")</f>
        <v/>
      </c>
      <c r="Z229" t="n">
        <v>1</v>
      </c>
      <c r="AA229">
        <f>IF(ISNUMBER('IN-CLASS_Lab Part C'!$J$229),'IN-CLASS_Lab Part C'!$J$229,NA())</f>
        <v/>
      </c>
    </row>
    <row r="230">
      <c r="J230">
        <f>IF(AND(ISNUMBER('Data'!$F$231),'Data'!$F$231&lt;&gt;999,'Data'!$F$231&lt;&gt;""),'Data'!$F$231,"")</f>
        <v/>
      </c>
      <c r="Z230" t="n">
        <v>1</v>
      </c>
      <c r="AA230">
        <f>IF(ISNUMBER('IN-CLASS_Lab Part C'!$J$230),'IN-CLASS_Lab Part C'!$J$230,NA())</f>
        <v/>
      </c>
    </row>
    <row r="231">
      <c r="J231">
        <f>IF(AND(ISNUMBER('Data'!$F$232),'Data'!$F$232&lt;&gt;999,'Data'!$F$232&lt;&gt;""),'Data'!$F$232,"")</f>
        <v/>
      </c>
      <c r="Z231" t="n">
        <v>1</v>
      </c>
      <c r="AA231">
        <f>IF(ISNUMBER('IN-CLASS_Lab Part C'!$J$231),'IN-CLASS_Lab Part C'!$J$231,NA())</f>
        <v/>
      </c>
    </row>
    <row r="232">
      <c r="J232">
        <f>IF(AND(ISNUMBER('Data'!$F$233),'Data'!$F$233&lt;&gt;999,'Data'!$F$233&lt;&gt;""),'Data'!$F$233,"")</f>
        <v/>
      </c>
      <c r="Z232" t="n">
        <v>1</v>
      </c>
      <c r="AA232">
        <f>IF(ISNUMBER('IN-CLASS_Lab Part C'!$J$232),'IN-CLASS_Lab Part C'!$J$232,NA())</f>
        <v/>
      </c>
    </row>
    <row r="233">
      <c r="J233">
        <f>IF(AND(ISNUMBER('Data'!$F$234),'Data'!$F$234&lt;&gt;999,'Data'!$F$234&lt;&gt;""),'Data'!$F$234,"")</f>
        <v/>
      </c>
      <c r="Z233" t="n">
        <v>1</v>
      </c>
      <c r="AA233">
        <f>IF(ISNUMBER('IN-CLASS_Lab Part C'!$J$233),'IN-CLASS_Lab Part C'!$J$233,NA())</f>
        <v/>
      </c>
    </row>
    <row r="234">
      <c r="J234">
        <f>IF(AND(ISNUMBER('Data'!$F$235),'Data'!$F$235&lt;&gt;999,'Data'!$F$235&lt;&gt;""),'Data'!$F$235,"")</f>
        <v/>
      </c>
      <c r="Z234" t="n">
        <v>1</v>
      </c>
      <c r="AA234">
        <f>IF(ISNUMBER('IN-CLASS_Lab Part C'!$J$234),'IN-CLASS_Lab Part C'!$J$234,NA())</f>
        <v/>
      </c>
    </row>
    <row r="235">
      <c r="J235">
        <f>IF(AND(ISNUMBER('Data'!$F$236),'Data'!$F$236&lt;&gt;999,'Data'!$F$236&lt;&gt;""),'Data'!$F$236,"")</f>
        <v/>
      </c>
      <c r="Z235" t="n">
        <v>1</v>
      </c>
      <c r="AA235">
        <f>IF(ISNUMBER('IN-CLASS_Lab Part C'!$J$235),'IN-CLASS_Lab Part C'!$J$235,NA())</f>
        <v/>
      </c>
    </row>
    <row r="236">
      <c r="J236">
        <f>IF(AND(ISNUMBER('Data'!$F$237),'Data'!$F$237&lt;&gt;999,'Data'!$F$237&lt;&gt;""),'Data'!$F$237,"")</f>
        <v/>
      </c>
      <c r="Z236" t="n">
        <v>1</v>
      </c>
      <c r="AA236">
        <f>IF(ISNUMBER('IN-CLASS_Lab Part C'!$J$236),'IN-CLASS_Lab Part C'!$J$236,NA())</f>
        <v/>
      </c>
    </row>
    <row r="237">
      <c r="J237">
        <f>IF(AND(ISNUMBER('Data'!$F$238),'Data'!$F$238&lt;&gt;999,'Data'!$F$238&lt;&gt;""),'Data'!$F$238,"")</f>
        <v/>
      </c>
      <c r="Z237" t="n">
        <v>1</v>
      </c>
      <c r="AA237">
        <f>IF(ISNUMBER('IN-CLASS_Lab Part C'!$J$237),'IN-CLASS_Lab Part C'!$J$237,NA())</f>
        <v/>
      </c>
    </row>
    <row r="238">
      <c r="J238">
        <f>IF(AND(ISNUMBER('Data'!$F$239),'Data'!$F$239&lt;&gt;999,'Data'!$F$239&lt;&gt;""),'Data'!$F$239,"")</f>
        <v/>
      </c>
      <c r="Z238" t="n">
        <v>1</v>
      </c>
      <c r="AA238">
        <f>IF(ISNUMBER('IN-CLASS_Lab Part C'!$J$238),'IN-CLASS_Lab Part C'!$J$238,NA())</f>
        <v/>
      </c>
    </row>
    <row r="239">
      <c r="J239">
        <f>IF(AND(ISNUMBER('Data'!$F$240),'Data'!$F$240&lt;&gt;999,'Data'!$F$240&lt;&gt;""),'Data'!$F$240,"")</f>
        <v/>
      </c>
      <c r="Z239" t="n">
        <v>1</v>
      </c>
      <c r="AA239">
        <f>IF(ISNUMBER('IN-CLASS_Lab Part C'!$J$239),'IN-CLASS_Lab Part C'!$J$239,NA())</f>
        <v/>
      </c>
    </row>
    <row r="240">
      <c r="J240">
        <f>IF(AND(ISNUMBER('Data'!$F$241),'Data'!$F$241&lt;&gt;999,'Data'!$F$241&lt;&gt;""),'Data'!$F$241,"")</f>
        <v/>
      </c>
      <c r="Z240" t="n">
        <v>1</v>
      </c>
      <c r="AA240">
        <f>IF(ISNUMBER('IN-CLASS_Lab Part C'!$J$240),'IN-CLASS_Lab Part C'!$J$240,NA())</f>
        <v/>
      </c>
    </row>
    <row r="241">
      <c r="J241">
        <f>IF(AND(ISNUMBER('Data'!$F$242),'Data'!$F$242&lt;&gt;999,'Data'!$F$242&lt;&gt;""),'Data'!$F$242,"")</f>
        <v/>
      </c>
      <c r="Z241" t="n">
        <v>1</v>
      </c>
      <c r="AA241">
        <f>IF(ISNUMBER('IN-CLASS_Lab Part C'!$J$241),'IN-CLASS_Lab Part C'!$J$241,NA())</f>
        <v/>
      </c>
    </row>
    <row r="242">
      <c r="J242">
        <f>IF(AND(ISNUMBER('Data'!$F$243),'Data'!$F$243&lt;&gt;999,'Data'!$F$243&lt;&gt;""),'Data'!$F$243,"")</f>
        <v/>
      </c>
      <c r="Z242" t="n">
        <v>1</v>
      </c>
      <c r="AA242">
        <f>IF(ISNUMBER('IN-CLASS_Lab Part C'!$J$242),'IN-CLASS_Lab Part C'!$J$242,NA())</f>
        <v/>
      </c>
    </row>
    <row r="243">
      <c r="J243">
        <f>IF(AND(ISNUMBER('Data'!$F$244),'Data'!$F$244&lt;&gt;999,'Data'!$F$244&lt;&gt;""),'Data'!$F$244,"")</f>
        <v/>
      </c>
      <c r="Z243" t="n">
        <v>1</v>
      </c>
      <c r="AA243">
        <f>IF(ISNUMBER('IN-CLASS_Lab Part C'!$J$243),'IN-CLASS_Lab Part C'!$J$243,NA())</f>
        <v/>
      </c>
    </row>
    <row r="244">
      <c r="J244">
        <f>IF(AND(ISNUMBER('Data'!$F$245),'Data'!$F$245&lt;&gt;999,'Data'!$F$245&lt;&gt;""),'Data'!$F$245,"")</f>
        <v/>
      </c>
      <c r="Z244" t="n">
        <v>1</v>
      </c>
      <c r="AA244">
        <f>IF(ISNUMBER('IN-CLASS_Lab Part C'!$J$244),'IN-CLASS_Lab Part C'!$J$244,NA())</f>
        <v/>
      </c>
    </row>
    <row r="245">
      <c r="J245">
        <f>IF(AND(ISNUMBER('Data'!$F$246),'Data'!$F$246&lt;&gt;999,'Data'!$F$246&lt;&gt;""),'Data'!$F$246,"")</f>
        <v/>
      </c>
      <c r="Z245" t="n">
        <v>1</v>
      </c>
      <c r="AA245">
        <f>IF(ISNUMBER('IN-CLASS_Lab Part C'!$J$245),'IN-CLASS_Lab Part C'!$J$245,NA())</f>
        <v/>
      </c>
    </row>
    <row r="246">
      <c r="J246">
        <f>IF(AND(ISNUMBER('Data'!$F$247),'Data'!$F$247&lt;&gt;999,'Data'!$F$247&lt;&gt;""),'Data'!$F$247,"")</f>
        <v/>
      </c>
      <c r="Z246" t="n">
        <v>1</v>
      </c>
      <c r="AA246">
        <f>IF(ISNUMBER('IN-CLASS_Lab Part C'!$J$246),'IN-CLASS_Lab Part C'!$J$246,NA())</f>
        <v/>
      </c>
    </row>
    <row r="247">
      <c r="J247">
        <f>IF(AND(ISNUMBER('Data'!$F$248),'Data'!$F$248&lt;&gt;999,'Data'!$F$248&lt;&gt;""),'Data'!$F$248,"")</f>
        <v/>
      </c>
      <c r="Z247" t="n">
        <v>1</v>
      </c>
      <c r="AA247">
        <f>IF(ISNUMBER('IN-CLASS_Lab Part C'!$J$247),'IN-CLASS_Lab Part C'!$J$247,NA())</f>
        <v/>
      </c>
    </row>
    <row r="248">
      <c r="J248">
        <f>IF(AND(ISNUMBER('Data'!$F$249),'Data'!$F$249&lt;&gt;999,'Data'!$F$249&lt;&gt;""),'Data'!$F$249,"")</f>
        <v/>
      </c>
      <c r="Z248" t="n">
        <v>1</v>
      </c>
      <c r="AA248">
        <f>IF(ISNUMBER('IN-CLASS_Lab Part C'!$J$248),'IN-CLASS_Lab Part C'!$J$248,NA())</f>
        <v/>
      </c>
    </row>
    <row r="249">
      <c r="J249">
        <f>IF(AND(ISNUMBER('Data'!$F$250),'Data'!$F$250&lt;&gt;999,'Data'!$F$250&lt;&gt;""),'Data'!$F$250,"")</f>
        <v/>
      </c>
      <c r="Z249" t="n">
        <v>1</v>
      </c>
      <c r="AA249">
        <f>IF(ISNUMBER('IN-CLASS_Lab Part C'!$J$249),'IN-CLASS_Lab Part C'!$J$249,NA())</f>
        <v/>
      </c>
    </row>
    <row r="250">
      <c r="J250">
        <f>IF(AND(ISNUMBER('Data'!$F$251),'Data'!$F$251&lt;&gt;999,'Data'!$F$251&lt;&gt;""),'Data'!$F$251,"")</f>
        <v/>
      </c>
      <c r="Z250" t="n">
        <v>1</v>
      </c>
      <c r="AA250">
        <f>IF(ISNUMBER('IN-CLASS_Lab Part C'!$J$250),'IN-CLASS_Lab Part C'!$J$250,NA())</f>
        <v/>
      </c>
    </row>
    <row r="251">
      <c r="J251">
        <f>IF(AND(ISNUMBER('Data'!$F$252),'Data'!$F$252&lt;&gt;999,'Data'!$F$252&lt;&gt;""),'Data'!$F$252,"")</f>
        <v/>
      </c>
      <c r="Z251" t="n">
        <v>1</v>
      </c>
      <c r="AA251">
        <f>IF(ISNUMBER('IN-CLASS_Lab Part C'!$J$251),'IN-CLASS_Lab Part C'!$J$251,NA())</f>
        <v/>
      </c>
    </row>
    <row r="252">
      <c r="J252">
        <f>IF(AND(ISNUMBER('Data'!$F$253),'Data'!$F$253&lt;&gt;999,'Data'!$F$253&lt;&gt;""),'Data'!$F$253,"")</f>
        <v/>
      </c>
      <c r="Z252" t="n">
        <v>1</v>
      </c>
      <c r="AA252">
        <f>IF(ISNUMBER('IN-CLASS_Lab Part C'!$J$252),'IN-CLASS_Lab Part C'!$J$252,NA())</f>
        <v/>
      </c>
    </row>
    <row r="253">
      <c r="J253">
        <f>IF(AND(ISNUMBER('Data'!$F$254),'Data'!$F$254&lt;&gt;999,'Data'!$F$254&lt;&gt;""),'Data'!$F$254,"")</f>
        <v/>
      </c>
      <c r="Z253" t="n">
        <v>1</v>
      </c>
      <c r="AA253">
        <f>IF(ISNUMBER('IN-CLASS_Lab Part C'!$J$253),'IN-CLASS_Lab Part C'!$J$253,NA())</f>
        <v/>
      </c>
    </row>
    <row r="254">
      <c r="J254">
        <f>IF(AND(ISNUMBER('Data'!$F$255),'Data'!$F$255&lt;&gt;999,'Data'!$F$255&lt;&gt;""),'Data'!$F$255,"")</f>
        <v/>
      </c>
      <c r="Z254" t="n">
        <v>1</v>
      </c>
      <c r="AA254">
        <f>IF(ISNUMBER('IN-CLASS_Lab Part C'!$J$254),'IN-CLASS_Lab Part C'!$J$254,NA())</f>
        <v/>
      </c>
    </row>
    <row r="255">
      <c r="J255">
        <f>IF(AND(ISNUMBER('Data'!$F$256),'Data'!$F$256&lt;&gt;999,'Data'!$F$256&lt;&gt;""),'Data'!$F$256,"")</f>
        <v/>
      </c>
      <c r="Z255" t="n">
        <v>1</v>
      </c>
      <c r="AA255">
        <f>IF(ISNUMBER('IN-CLASS_Lab Part C'!$J$255),'IN-CLASS_Lab Part C'!$J$255,NA())</f>
        <v/>
      </c>
    </row>
    <row r="256">
      <c r="J256">
        <f>IF(AND(ISNUMBER('Data'!$F$257),'Data'!$F$257&lt;&gt;999,'Data'!$F$257&lt;&gt;""),'Data'!$F$257,"")</f>
        <v/>
      </c>
      <c r="Z256" t="n">
        <v>1</v>
      </c>
      <c r="AA256">
        <f>IF(ISNUMBER('IN-CLASS_Lab Part C'!$J$256),'IN-CLASS_Lab Part C'!$J$256,NA())</f>
        <v/>
      </c>
    </row>
    <row r="257">
      <c r="J257">
        <f>IF(AND(ISNUMBER('Data'!$F$258),'Data'!$F$258&lt;&gt;999,'Data'!$F$258&lt;&gt;""),'Data'!$F$258,"")</f>
        <v/>
      </c>
      <c r="Z257" t="n">
        <v>1</v>
      </c>
      <c r="AA257">
        <f>IF(ISNUMBER('IN-CLASS_Lab Part C'!$J$257),'IN-CLASS_Lab Part C'!$J$257,NA())</f>
        <v/>
      </c>
    </row>
    <row r="258">
      <c r="J258">
        <f>IF(AND(ISNUMBER('Data'!$F$259),'Data'!$F$259&lt;&gt;999,'Data'!$F$259&lt;&gt;""),'Data'!$F$259,"")</f>
        <v/>
      </c>
      <c r="Z258" t="n">
        <v>1</v>
      </c>
      <c r="AA258">
        <f>IF(ISNUMBER('IN-CLASS_Lab Part C'!$J$258),'IN-CLASS_Lab Part C'!$J$258,NA())</f>
        <v/>
      </c>
    </row>
    <row r="259">
      <c r="J259">
        <f>IF(AND(ISNUMBER('Data'!$F$260),'Data'!$F$260&lt;&gt;999,'Data'!$F$260&lt;&gt;""),'Data'!$F$260,"")</f>
        <v/>
      </c>
      <c r="Z259" t="n">
        <v>1</v>
      </c>
      <c r="AA259">
        <f>IF(ISNUMBER('IN-CLASS_Lab Part C'!$J$259),'IN-CLASS_Lab Part C'!$J$259,NA())</f>
        <v/>
      </c>
    </row>
    <row r="260">
      <c r="J260">
        <f>IF(AND(ISNUMBER('Data'!$F$261),'Data'!$F$261&lt;&gt;999,'Data'!$F$261&lt;&gt;""),'Data'!$F$261,"")</f>
        <v/>
      </c>
      <c r="Z260" t="n">
        <v>1</v>
      </c>
      <c r="AA260">
        <f>IF(ISNUMBER('IN-CLASS_Lab Part C'!$J$260),'IN-CLASS_Lab Part C'!$J$260,NA())</f>
        <v/>
      </c>
    </row>
    <row r="261">
      <c r="J261">
        <f>IF(AND(ISNUMBER('Data'!$F$262),'Data'!$F$262&lt;&gt;999,'Data'!$F$262&lt;&gt;""),'Data'!$F$262,"")</f>
        <v/>
      </c>
      <c r="Z261" t="n">
        <v>1</v>
      </c>
      <c r="AA261">
        <f>IF(ISNUMBER('IN-CLASS_Lab Part C'!$J$261),'IN-CLASS_Lab Part C'!$J$261,NA())</f>
        <v/>
      </c>
    </row>
    <row r="262">
      <c r="J262">
        <f>IF(AND(ISNUMBER('Data'!$F$263),'Data'!$F$263&lt;&gt;999,'Data'!$F$263&lt;&gt;""),'Data'!$F$263,"")</f>
        <v/>
      </c>
      <c r="Z262" t="n">
        <v>1</v>
      </c>
      <c r="AA262">
        <f>IF(ISNUMBER('IN-CLASS_Lab Part C'!$J$262),'IN-CLASS_Lab Part C'!$J$262,NA())</f>
        <v/>
      </c>
    </row>
    <row r="263">
      <c r="J263">
        <f>IF(AND(ISNUMBER('Data'!$F$264),'Data'!$F$264&lt;&gt;999,'Data'!$F$264&lt;&gt;""),'Data'!$F$264,"")</f>
        <v/>
      </c>
      <c r="Z263" t="n">
        <v>1</v>
      </c>
      <c r="AA263">
        <f>IF(ISNUMBER('IN-CLASS_Lab Part C'!$J$263),'IN-CLASS_Lab Part C'!$J$263,NA())</f>
        <v/>
      </c>
    </row>
    <row r="264">
      <c r="J264">
        <f>IF(AND(ISNUMBER('Data'!$F$265),'Data'!$F$265&lt;&gt;999,'Data'!$F$265&lt;&gt;""),'Data'!$F$265,"")</f>
        <v/>
      </c>
      <c r="Z264" t="n">
        <v>1</v>
      </c>
      <c r="AA264">
        <f>IF(ISNUMBER('IN-CLASS_Lab Part C'!$J$264),'IN-CLASS_Lab Part C'!$J$264,NA())</f>
        <v/>
      </c>
    </row>
    <row r="265">
      <c r="J265">
        <f>IF(AND(ISNUMBER('Data'!$F$266),'Data'!$F$266&lt;&gt;999,'Data'!$F$266&lt;&gt;""),'Data'!$F$266,"")</f>
        <v/>
      </c>
      <c r="Z265" t="n">
        <v>1</v>
      </c>
      <c r="AA265">
        <f>IF(ISNUMBER('IN-CLASS_Lab Part C'!$J$265),'IN-CLASS_Lab Part C'!$J$265,NA())</f>
        <v/>
      </c>
    </row>
    <row r="266">
      <c r="J266">
        <f>IF(AND(ISNUMBER('Data'!$F$267),'Data'!$F$267&lt;&gt;999,'Data'!$F$267&lt;&gt;""),'Data'!$F$267,"")</f>
        <v/>
      </c>
      <c r="Z266" t="n">
        <v>1</v>
      </c>
      <c r="AA266">
        <f>IF(ISNUMBER('IN-CLASS_Lab Part C'!$J$266),'IN-CLASS_Lab Part C'!$J$266,NA())</f>
        <v/>
      </c>
    </row>
    <row r="267">
      <c r="J267">
        <f>IF(AND(ISNUMBER('Data'!$F$268),'Data'!$F$268&lt;&gt;999,'Data'!$F$268&lt;&gt;""),'Data'!$F$268,"")</f>
        <v/>
      </c>
      <c r="Z267" t="n">
        <v>1</v>
      </c>
      <c r="AA267">
        <f>IF(ISNUMBER('IN-CLASS_Lab Part C'!$J$267),'IN-CLASS_Lab Part C'!$J$267,NA())</f>
        <v/>
      </c>
    </row>
    <row r="268">
      <c r="J268">
        <f>IF(AND(ISNUMBER('Data'!$F$269),'Data'!$F$269&lt;&gt;999,'Data'!$F$269&lt;&gt;""),'Data'!$F$269,"")</f>
        <v/>
      </c>
      <c r="Z268" t="n">
        <v>1</v>
      </c>
      <c r="AA268">
        <f>IF(ISNUMBER('IN-CLASS_Lab Part C'!$J$268),'IN-CLASS_Lab Part C'!$J$268,NA())</f>
        <v/>
      </c>
    </row>
    <row r="269">
      <c r="J269">
        <f>IF(AND(ISNUMBER('Data'!$F$270),'Data'!$F$270&lt;&gt;999,'Data'!$F$270&lt;&gt;""),'Data'!$F$270,"")</f>
        <v/>
      </c>
      <c r="Z269" t="n">
        <v>1</v>
      </c>
      <c r="AA269">
        <f>IF(ISNUMBER('IN-CLASS_Lab Part C'!$J$269),'IN-CLASS_Lab Part C'!$J$269,NA())</f>
        <v/>
      </c>
    </row>
    <row r="270">
      <c r="J270">
        <f>IF(AND(ISNUMBER('Data'!$F$271),'Data'!$F$271&lt;&gt;999,'Data'!$F$271&lt;&gt;""),'Data'!$F$271,"")</f>
        <v/>
      </c>
      <c r="Z270" t="n">
        <v>1</v>
      </c>
      <c r="AA270">
        <f>IF(ISNUMBER('IN-CLASS_Lab Part C'!$J$270),'IN-CLASS_Lab Part C'!$J$270,NA())</f>
        <v/>
      </c>
    </row>
    <row r="271">
      <c r="J271">
        <f>IF(AND(ISNUMBER('Data'!$F$272),'Data'!$F$272&lt;&gt;999,'Data'!$F$272&lt;&gt;""),'Data'!$F$272,"")</f>
        <v/>
      </c>
      <c r="Z271" t="n">
        <v>1</v>
      </c>
      <c r="AA271">
        <f>IF(ISNUMBER('IN-CLASS_Lab Part C'!$J$271),'IN-CLASS_Lab Part C'!$J$271,NA())</f>
        <v/>
      </c>
    </row>
    <row r="272">
      <c r="J272">
        <f>IF(AND(ISNUMBER('Data'!$F$273),'Data'!$F$273&lt;&gt;999,'Data'!$F$273&lt;&gt;""),'Data'!$F$273,"")</f>
        <v/>
      </c>
      <c r="Z272" t="n">
        <v>1</v>
      </c>
      <c r="AA272">
        <f>IF(ISNUMBER('IN-CLASS_Lab Part C'!$J$272),'IN-CLASS_Lab Part C'!$J$272,NA())</f>
        <v/>
      </c>
    </row>
    <row r="273">
      <c r="J273">
        <f>IF(AND(ISNUMBER('Data'!$F$274),'Data'!$F$274&lt;&gt;999,'Data'!$F$274&lt;&gt;""),'Data'!$F$274,"")</f>
        <v/>
      </c>
      <c r="Z273" t="n">
        <v>1</v>
      </c>
      <c r="AA273">
        <f>IF(ISNUMBER('IN-CLASS_Lab Part C'!$J$273),'IN-CLASS_Lab Part C'!$J$273,NA())</f>
        <v/>
      </c>
    </row>
    <row r="274">
      <c r="J274">
        <f>IF(AND(ISNUMBER('Data'!$F$275),'Data'!$F$275&lt;&gt;999,'Data'!$F$275&lt;&gt;""),'Data'!$F$275,"")</f>
        <v/>
      </c>
      <c r="Z274" t="n">
        <v>1</v>
      </c>
      <c r="AA274">
        <f>IF(ISNUMBER('IN-CLASS_Lab Part C'!$J$274),'IN-CLASS_Lab Part C'!$J$274,NA())</f>
        <v/>
      </c>
    </row>
    <row r="275">
      <c r="J275">
        <f>IF(AND(ISNUMBER('Data'!$F$276),'Data'!$F$276&lt;&gt;999,'Data'!$F$276&lt;&gt;""),'Data'!$F$276,"")</f>
        <v/>
      </c>
      <c r="Z275" t="n">
        <v>1</v>
      </c>
      <c r="AA275">
        <f>IF(ISNUMBER('IN-CLASS_Lab Part C'!$J$275),'IN-CLASS_Lab Part C'!$J$275,NA())</f>
        <v/>
      </c>
    </row>
    <row r="276">
      <c r="J276">
        <f>IF(AND(ISNUMBER('Data'!$F$277),'Data'!$F$277&lt;&gt;999,'Data'!$F$277&lt;&gt;""),'Data'!$F$277,"")</f>
        <v/>
      </c>
      <c r="Z276" t="n">
        <v>1</v>
      </c>
      <c r="AA276">
        <f>IF(ISNUMBER('IN-CLASS_Lab Part C'!$J$276),'IN-CLASS_Lab Part C'!$J$276,NA())</f>
        <v/>
      </c>
    </row>
    <row r="277">
      <c r="J277">
        <f>IF(AND(ISNUMBER('Data'!$F$278),'Data'!$F$278&lt;&gt;999,'Data'!$F$278&lt;&gt;""),'Data'!$F$278,"")</f>
        <v/>
      </c>
      <c r="Z277" t="n">
        <v>1</v>
      </c>
      <c r="AA277">
        <f>IF(ISNUMBER('IN-CLASS_Lab Part C'!$J$277),'IN-CLASS_Lab Part C'!$J$277,NA())</f>
        <v/>
      </c>
    </row>
    <row r="278">
      <c r="J278">
        <f>IF(AND(ISNUMBER('Data'!$F$279),'Data'!$F$279&lt;&gt;999,'Data'!$F$279&lt;&gt;""),'Data'!$F$279,"")</f>
        <v/>
      </c>
      <c r="Z278" t="n">
        <v>1</v>
      </c>
      <c r="AA278">
        <f>IF(ISNUMBER('IN-CLASS_Lab Part C'!$J$278),'IN-CLASS_Lab Part C'!$J$278,NA())</f>
        <v/>
      </c>
    </row>
    <row r="279">
      <c r="J279">
        <f>IF(AND(ISNUMBER('Data'!$F$280),'Data'!$F$280&lt;&gt;999,'Data'!$F$280&lt;&gt;""),'Data'!$F$280,"")</f>
        <v/>
      </c>
      <c r="Z279" t="n">
        <v>1</v>
      </c>
      <c r="AA279">
        <f>IF(ISNUMBER('IN-CLASS_Lab Part C'!$J$279),'IN-CLASS_Lab Part C'!$J$279,NA())</f>
        <v/>
      </c>
    </row>
    <row r="280">
      <c r="J280">
        <f>IF(AND(ISNUMBER('Data'!$F$281),'Data'!$F$281&lt;&gt;999,'Data'!$F$281&lt;&gt;""),'Data'!$F$281,"")</f>
        <v/>
      </c>
      <c r="Z280" t="n">
        <v>1</v>
      </c>
      <c r="AA280">
        <f>IF(ISNUMBER('IN-CLASS_Lab Part C'!$J$280),'IN-CLASS_Lab Part C'!$J$280,NA())</f>
        <v/>
      </c>
    </row>
    <row r="281">
      <c r="J281">
        <f>IF(AND(ISNUMBER('Data'!$F$282),'Data'!$F$282&lt;&gt;999,'Data'!$F$282&lt;&gt;""),'Data'!$F$282,"")</f>
        <v/>
      </c>
      <c r="Z281" t="n">
        <v>1</v>
      </c>
      <c r="AA281">
        <f>IF(ISNUMBER('IN-CLASS_Lab Part C'!$J$281),'IN-CLASS_Lab Part C'!$J$281,NA())</f>
        <v/>
      </c>
    </row>
    <row r="282">
      <c r="J282">
        <f>IF(AND(ISNUMBER('Data'!$F$283),'Data'!$F$283&lt;&gt;999,'Data'!$F$283&lt;&gt;""),'Data'!$F$283,"")</f>
        <v/>
      </c>
      <c r="Z282" t="n">
        <v>1</v>
      </c>
      <c r="AA282">
        <f>IF(ISNUMBER('IN-CLASS_Lab Part C'!$J$282),'IN-CLASS_Lab Part C'!$J$282,NA())</f>
        <v/>
      </c>
    </row>
    <row r="283">
      <c r="J283">
        <f>IF(AND(ISNUMBER('Data'!$F$284),'Data'!$F$284&lt;&gt;999,'Data'!$F$284&lt;&gt;""),'Data'!$F$284,"")</f>
        <v/>
      </c>
      <c r="Z283" t="n">
        <v>1</v>
      </c>
      <c r="AA283">
        <f>IF(ISNUMBER('IN-CLASS_Lab Part C'!$J$283),'IN-CLASS_Lab Part C'!$J$283,NA())</f>
        <v/>
      </c>
    </row>
    <row r="284">
      <c r="J284">
        <f>IF(AND(ISNUMBER('Data'!$F$285),'Data'!$F$285&lt;&gt;999,'Data'!$F$285&lt;&gt;""),'Data'!$F$285,"")</f>
        <v/>
      </c>
      <c r="Z284" t="n">
        <v>1</v>
      </c>
      <c r="AA284">
        <f>IF(ISNUMBER('IN-CLASS_Lab Part C'!$J$284),'IN-CLASS_Lab Part C'!$J$284,NA())</f>
        <v/>
      </c>
    </row>
    <row r="285">
      <c r="J285">
        <f>IF(AND(ISNUMBER('Data'!$F$286),'Data'!$F$286&lt;&gt;999,'Data'!$F$286&lt;&gt;""),'Data'!$F$286,"")</f>
        <v/>
      </c>
      <c r="Z285" t="n">
        <v>1</v>
      </c>
      <c r="AA285">
        <f>IF(ISNUMBER('IN-CLASS_Lab Part C'!$J$285),'IN-CLASS_Lab Part C'!$J$285,NA())</f>
        <v/>
      </c>
    </row>
    <row r="286">
      <c r="J286">
        <f>IF(AND(ISNUMBER('Data'!$F$287),'Data'!$F$287&lt;&gt;999,'Data'!$F$287&lt;&gt;""),'Data'!$F$287,"")</f>
        <v/>
      </c>
      <c r="Z286" t="n">
        <v>1</v>
      </c>
      <c r="AA286">
        <f>IF(ISNUMBER('IN-CLASS_Lab Part C'!$J$286),'IN-CLASS_Lab Part C'!$J$286,NA())</f>
        <v/>
      </c>
    </row>
    <row r="287">
      <c r="J287">
        <f>IF(AND(ISNUMBER('Data'!$F$288),'Data'!$F$288&lt;&gt;999,'Data'!$F$288&lt;&gt;""),'Data'!$F$288,"")</f>
        <v/>
      </c>
      <c r="Z287" t="n">
        <v>1</v>
      </c>
      <c r="AA287">
        <f>IF(ISNUMBER('IN-CLASS_Lab Part C'!$J$287),'IN-CLASS_Lab Part C'!$J$287,NA())</f>
        <v/>
      </c>
    </row>
    <row r="288">
      <c r="J288">
        <f>IF(AND(ISNUMBER('Data'!$F$289),'Data'!$F$289&lt;&gt;999,'Data'!$F$289&lt;&gt;""),'Data'!$F$289,"")</f>
        <v/>
      </c>
      <c r="Z288" t="n">
        <v>1</v>
      </c>
      <c r="AA288">
        <f>IF(ISNUMBER('IN-CLASS_Lab Part C'!$J$288),'IN-CLASS_Lab Part C'!$J$288,NA())</f>
        <v/>
      </c>
    </row>
    <row r="289">
      <c r="J289">
        <f>IF(AND(ISNUMBER('Data'!$F$290),'Data'!$F$290&lt;&gt;999,'Data'!$F$290&lt;&gt;""),'Data'!$F$290,"")</f>
        <v/>
      </c>
      <c r="Z289" t="n">
        <v>1</v>
      </c>
      <c r="AA289">
        <f>IF(ISNUMBER('IN-CLASS_Lab Part C'!$J$289),'IN-CLASS_Lab Part C'!$J$289,NA())</f>
        <v/>
      </c>
    </row>
    <row r="290">
      <c r="J290">
        <f>IF(AND(ISNUMBER('Data'!$F$291),'Data'!$F$291&lt;&gt;999,'Data'!$F$291&lt;&gt;""),'Data'!$F$291,"")</f>
        <v/>
      </c>
      <c r="Z290" t="n">
        <v>1</v>
      </c>
      <c r="AA290">
        <f>IF(ISNUMBER('IN-CLASS_Lab Part C'!$J$290),'IN-CLASS_Lab Part C'!$J$290,NA())</f>
        <v/>
      </c>
    </row>
    <row r="291">
      <c r="J291">
        <f>IF(AND(ISNUMBER('Data'!$F$292),'Data'!$F$292&lt;&gt;999,'Data'!$F$292&lt;&gt;""),'Data'!$F$292,"")</f>
        <v/>
      </c>
      <c r="Z291" t="n">
        <v>1</v>
      </c>
      <c r="AA291">
        <f>IF(ISNUMBER('IN-CLASS_Lab Part C'!$J$291),'IN-CLASS_Lab Part C'!$J$291,NA())</f>
        <v/>
      </c>
    </row>
    <row r="292">
      <c r="J292">
        <f>IF(AND(ISNUMBER('Data'!$F$293),'Data'!$F$293&lt;&gt;999,'Data'!$F$293&lt;&gt;""),'Data'!$F$293,"")</f>
        <v/>
      </c>
      <c r="Z292" t="n">
        <v>1</v>
      </c>
      <c r="AA292">
        <f>IF(ISNUMBER('IN-CLASS_Lab Part C'!$J$292),'IN-CLASS_Lab Part C'!$J$292,NA())</f>
        <v/>
      </c>
    </row>
    <row r="293">
      <c r="J293">
        <f>IF(AND(ISNUMBER('Data'!$F$294),'Data'!$F$294&lt;&gt;999,'Data'!$F$294&lt;&gt;""),'Data'!$F$294,"")</f>
        <v/>
      </c>
      <c r="Z293" t="n">
        <v>1</v>
      </c>
      <c r="AA293">
        <f>IF(ISNUMBER('IN-CLASS_Lab Part C'!$J$293),'IN-CLASS_Lab Part C'!$J$293,NA())</f>
        <v/>
      </c>
    </row>
    <row r="294">
      <c r="J294">
        <f>IF(AND(ISNUMBER('Data'!$F$295),'Data'!$F$295&lt;&gt;999,'Data'!$F$295&lt;&gt;""),'Data'!$F$295,"")</f>
        <v/>
      </c>
      <c r="Z294" t="n">
        <v>1</v>
      </c>
      <c r="AA294">
        <f>IF(ISNUMBER('IN-CLASS_Lab Part C'!$J$294),'IN-CLASS_Lab Part C'!$J$294,NA())</f>
        <v/>
      </c>
    </row>
    <row r="295">
      <c r="J295">
        <f>IF(AND(ISNUMBER('Data'!$F$296),'Data'!$F$296&lt;&gt;999,'Data'!$F$296&lt;&gt;""),'Data'!$F$296,"")</f>
        <v/>
      </c>
      <c r="Z295" t="n">
        <v>1</v>
      </c>
      <c r="AA295">
        <f>IF(ISNUMBER('IN-CLASS_Lab Part C'!$J$295),'IN-CLASS_Lab Part C'!$J$295,NA())</f>
        <v/>
      </c>
    </row>
    <row r="296">
      <c r="J296">
        <f>IF(AND(ISNUMBER('Data'!$F$297),'Data'!$F$297&lt;&gt;999,'Data'!$F$297&lt;&gt;""),'Data'!$F$297,"")</f>
        <v/>
      </c>
      <c r="Z296" t="n">
        <v>1</v>
      </c>
      <c r="AA296">
        <f>IF(ISNUMBER('IN-CLASS_Lab Part C'!$J$296),'IN-CLASS_Lab Part C'!$J$296,NA())</f>
        <v/>
      </c>
    </row>
    <row r="297">
      <c r="J297">
        <f>IF(AND(ISNUMBER('Data'!$F$298),'Data'!$F$298&lt;&gt;999,'Data'!$F$298&lt;&gt;""),'Data'!$F$298,"")</f>
        <v/>
      </c>
      <c r="Z297" t="n">
        <v>1</v>
      </c>
      <c r="AA297">
        <f>IF(ISNUMBER('IN-CLASS_Lab Part C'!$J$297),'IN-CLASS_Lab Part C'!$J$297,NA())</f>
        <v/>
      </c>
    </row>
    <row r="298">
      <c r="J298">
        <f>IF(AND(ISNUMBER('Data'!$F$299),'Data'!$F$299&lt;&gt;999,'Data'!$F$299&lt;&gt;""),'Data'!$F$299,"")</f>
        <v/>
      </c>
      <c r="Z298" t="n">
        <v>1</v>
      </c>
      <c r="AA298">
        <f>IF(ISNUMBER('IN-CLASS_Lab Part C'!$J$298),'IN-CLASS_Lab Part C'!$J$298,NA())</f>
        <v/>
      </c>
    </row>
    <row r="299">
      <c r="J299">
        <f>IF(AND(ISNUMBER('Data'!$F$300),'Data'!$F$300&lt;&gt;999,'Data'!$F$300&lt;&gt;""),'Data'!$F$300,"")</f>
        <v/>
      </c>
      <c r="Z299" t="n">
        <v>1</v>
      </c>
      <c r="AA299">
        <f>IF(ISNUMBER('IN-CLASS_Lab Part C'!$J$299),'IN-CLASS_Lab Part C'!$J$299,NA())</f>
        <v/>
      </c>
    </row>
    <row r="300">
      <c r="J300">
        <f>IF(AND(ISNUMBER('Data'!$F$301),'Data'!$F$301&lt;&gt;999,'Data'!$F$301&lt;&gt;""),'Data'!$F$301,"")</f>
        <v/>
      </c>
      <c r="Z300" t="n">
        <v>1</v>
      </c>
      <c r="AA300">
        <f>IF(ISNUMBER('IN-CLASS_Lab Part C'!$J$300),'IN-CLASS_Lab Part C'!$J$300,NA())</f>
        <v/>
      </c>
    </row>
    <row r="301">
      <c r="J301">
        <f>IF(AND(ISNUMBER('Data'!$F$302),'Data'!$F$302&lt;&gt;999,'Data'!$F$302&lt;&gt;""),'Data'!$F$302,"")</f>
        <v/>
      </c>
      <c r="Z301" t="n">
        <v>1</v>
      </c>
      <c r="AA301">
        <f>IF(ISNUMBER('IN-CLASS_Lab Part C'!$J$301),'IN-CLASS_Lab Part C'!$J$301,NA())</f>
        <v/>
      </c>
    </row>
    <row r="302">
      <c r="J302">
        <f>IF(AND(ISNUMBER('Data'!$F$303),'Data'!$F$303&lt;&gt;999,'Data'!$F$303&lt;&gt;""),'Data'!$F$303,"")</f>
        <v/>
      </c>
      <c r="Z302" t="n">
        <v>1</v>
      </c>
      <c r="AA302">
        <f>IF(ISNUMBER('IN-CLASS_Lab Part C'!$J$302),'IN-CLASS_Lab Part C'!$J$302,NA())</f>
        <v/>
      </c>
    </row>
    <row r="303">
      <c r="J303">
        <f>IF(AND(ISNUMBER('Data'!$F$304),'Data'!$F$304&lt;&gt;999,'Data'!$F$304&lt;&gt;""),'Data'!$F$304,"")</f>
        <v/>
      </c>
      <c r="Z303" t="n">
        <v>1</v>
      </c>
      <c r="AA303">
        <f>IF(ISNUMBER('IN-CLASS_Lab Part C'!$J$303),'IN-CLASS_Lab Part C'!$J$303,NA())</f>
        <v/>
      </c>
    </row>
    <row r="304">
      <c r="J304">
        <f>IF(AND(ISNUMBER('Data'!$F$305),'Data'!$F$305&lt;&gt;999,'Data'!$F$305&lt;&gt;""),'Data'!$F$305,"")</f>
        <v/>
      </c>
      <c r="Z304" t="n">
        <v>1</v>
      </c>
      <c r="AA304">
        <f>IF(ISNUMBER('IN-CLASS_Lab Part C'!$J$304),'IN-CLASS_Lab Part C'!$J$304,NA())</f>
        <v/>
      </c>
    </row>
    <row r="305">
      <c r="J305">
        <f>IF(AND(ISNUMBER('Data'!$F$306),'Data'!$F$306&lt;&gt;999,'Data'!$F$306&lt;&gt;""),'Data'!$F$306,"")</f>
        <v/>
      </c>
      <c r="Z305" t="n">
        <v>1</v>
      </c>
      <c r="AA305">
        <f>IF(ISNUMBER('IN-CLASS_Lab Part C'!$J$305),'IN-CLASS_Lab Part C'!$J$305,NA())</f>
        <v/>
      </c>
    </row>
    <row r="306">
      <c r="J306">
        <f>IF(AND(ISNUMBER('Data'!$F$307),'Data'!$F$307&lt;&gt;999,'Data'!$F$307&lt;&gt;""),'Data'!$F$307,"")</f>
        <v/>
      </c>
      <c r="Z306" t="n">
        <v>1</v>
      </c>
      <c r="AA306">
        <f>IF(ISNUMBER('IN-CLASS_Lab Part C'!$J$306),'IN-CLASS_Lab Part C'!$J$306,NA())</f>
        <v/>
      </c>
    </row>
    <row r="307">
      <c r="J307">
        <f>IF(AND(ISNUMBER('Data'!$F$308),'Data'!$F$308&lt;&gt;999,'Data'!$F$308&lt;&gt;""),'Data'!$F$308,"")</f>
        <v/>
      </c>
      <c r="Z307" t="n">
        <v>1</v>
      </c>
      <c r="AA307">
        <f>IF(ISNUMBER('IN-CLASS_Lab Part C'!$J$307),'IN-CLASS_Lab Part C'!$J$307,NA())</f>
        <v/>
      </c>
    </row>
    <row r="308">
      <c r="J308">
        <f>IF(AND(ISNUMBER('Data'!$F$309),'Data'!$F$309&lt;&gt;999,'Data'!$F$309&lt;&gt;""),'Data'!$F$309,"")</f>
        <v/>
      </c>
      <c r="Z308" t="n">
        <v>1</v>
      </c>
      <c r="AA308">
        <f>IF(ISNUMBER('IN-CLASS_Lab Part C'!$J$308),'IN-CLASS_Lab Part C'!$J$308,NA())</f>
        <v/>
      </c>
    </row>
    <row r="309">
      <c r="J309">
        <f>IF(AND(ISNUMBER('Data'!$F$310),'Data'!$F$310&lt;&gt;999,'Data'!$F$310&lt;&gt;""),'Data'!$F$310,"")</f>
        <v/>
      </c>
      <c r="Z309" t="n">
        <v>1</v>
      </c>
      <c r="AA309">
        <f>IF(ISNUMBER('IN-CLASS_Lab Part C'!$J$309),'IN-CLASS_Lab Part C'!$J$309,NA())</f>
        <v/>
      </c>
    </row>
    <row r="310">
      <c r="J310">
        <f>IF(AND(ISNUMBER('Data'!$F$311),'Data'!$F$311&lt;&gt;999,'Data'!$F$311&lt;&gt;""),'Data'!$F$311,"")</f>
        <v/>
      </c>
      <c r="Z310" t="n">
        <v>1</v>
      </c>
      <c r="AA310">
        <f>IF(ISNUMBER('IN-CLASS_Lab Part C'!$J$310),'IN-CLASS_Lab Part C'!$J$310,NA())</f>
        <v/>
      </c>
    </row>
    <row r="311">
      <c r="J311">
        <f>IF(AND(ISNUMBER('Data'!$F$312),'Data'!$F$312&lt;&gt;999,'Data'!$F$312&lt;&gt;""),'Data'!$F$312,"")</f>
        <v/>
      </c>
      <c r="Z311" t="n">
        <v>1</v>
      </c>
      <c r="AA311">
        <f>IF(ISNUMBER('IN-CLASS_Lab Part C'!$J$311),'IN-CLASS_Lab Part C'!$J$311,NA())</f>
        <v/>
      </c>
    </row>
    <row r="312">
      <c r="J312">
        <f>IF(AND(ISNUMBER('Data'!$F$313),'Data'!$F$313&lt;&gt;999,'Data'!$F$313&lt;&gt;""),'Data'!$F$313,"")</f>
        <v/>
      </c>
      <c r="Z312" t="n">
        <v>1</v>
      </c>
      <c r="AA312">
        <f>IF(ISNUMBER('IN-CLASS_Lab Part C'!$J$312),'IN-CLASS_Lab Part C'!$J$312,NA())</f>
        <v/>
      </c>
    </row>
    <row r="313">
      <c r="J313">
        <f>IF(AND(ISNUMBER('Data'!$F$314),'Data'!$F$314&lt;&gt;999,'Data'!$F$314&lt;&gt;""),'Data'!$F$314,"")</f>
        <v/>
      </c>
      <c r="Z313" t="n">
        <v>1</v>
      </c>
      <c r="AA313">
        <f>IF(ISNUMBER('IN-CLASS_Lab Part C'!$J$313),'IN-CLASS_Lab Part C'!$J$313,NA())</f>
        <v/>
      </c>
    </row>
    <row r="314">
      <c r="J314">
        <f>IF(AND(ISNUMBER('Data'!$F$315),'Data'!$F$315&lt;&gt;999,'Data'!$F$315&lt;&gt;""),'Data'!$F$315,"")</f>
        <v/>
      </c>
      <c r="Z314" t="n">
        <v>1</v>
      </c>
      <c r="AA314">
        <f>IF(ISNUMBER('IN-CLASS_Lab Part C'!$J$314),'IN-CLASS_Lab Part C'!$J$314,NA())</f>
        <v/>
      </c>
    </row>
    <row r="315">
      <c r="J315">
        <f>IF(AND(ISNUMBER('Data'!$F$316),'Data'!$F$316&lt;&gt;999,'Data'!$F$316&lt;&gt;""),'Data'!$F$316,"")</f>
        <v/>
      </c>
      <c r="Z315" t="n">
        <v>1</v>
      </c>
      <c r="AA315">
        <f>IF(ISNUMBER('IN-CLASS_Lab Part C'!$J$315),'IN-CLASS_Lab Part C'!$J$315,NA())</f>
        <v/>
      </c>
    </row>
    <row r="316">
      <c r="J316">
        <f>IF(AND(ISNUMBER('Data'!$F$317),'Data'!$F$317&lt;&gt;999,'Data'!$F$317&lt;&gt;""),'Data'!$F$317,"")</f>
        <v/>
      </c>
      <c r="Z316" t="n">
        <v>1</v>
      </c>
      <c r="AA316">
        <f>IF(ISNUMBER('IN-CLASS_Lab Part C'!$J$316),'IN-CLASS_Lab Part C'!$J$316,NA())</f>
        <v/>
      </c>
    </row>
    <row r="317">
      <c r="J317">
        <f>IF(AND(ISNUMBER('Data'!$F$318),'Data'!$F$318&lt;&gt;999,'Data'!$F$318&lt;&gt;""),'Data'!$F$318,"")</f>
        <v/>
      </c>
      <c r="Z317" t="n">
        <v>1</v>
      </c>
      <c r="AA317">
        <f>IF(ISNUMBER('IN-CLASS_Lab Part C'!$J$317),'IN-CLASS_Lab Part C'!$J$317,NA())</f>
        <v/>
      </c>
    </row>
    <row r="318">
      <c r="J318">
        <f>IF(AND(ISNUMBER('Data'!$F$319),'Data'!$F$319&lt;&gt;999,'Data'!$F$319&lt;&gt;""),'Data'!$F$319,"")</f>
        <v/>
      </c>
      <c r="Z318" t="n">
        <v>1</v>
      </c>
      <c r="AA318">
        <f>IF(ISNUMBER('IN-CLASS_Lab Part C'!$J$318),'IN-CLASS_Lab Part C'!$J$318,NA())</f>
        <v/>
      </c>
    </row>
    <row r="319">
      <c r="J319">
        <f>IF(AND(ISNUMBER('Data'!$F$320),'Data'!$F$320&lt;&gt;999,'Data'!$F$320&lt;&gt;""),'Data'!$F$320,"")</f>
        <v/>
      </c>
      <c r="Z319" t="n">
        <v>1</v>
      </c>
      <c r="AA319">
        <f>IF(ISNUMBER('IN-CLASS_Lab Part C'!$J$319),'IN-CLASS_Lab Part C'!$J$319,NA())</f>
        <v/>
      </c>
    </row>
    <row r="320">
      <c r="J320">
        <f>IF(AND(ISNUMBER('Data'!$F$321),'Data'!$F$321&lt;&gt;999,'Data'!$F$321&lt;&gt;""),'Data'!$F$321,"")</f>
        <v/>
      </c>
      <c r="Z320" t="n">
        <v>1</v>
      </c>
      <c r="AA320">
        <f>IF(ISNUMBER('IN-CLASS_Lab Part C'!$J$320),'IN-CLASS_Lab Part C'!$J$320,NA())</f>
        <v/>
      </c>
    </row>
    <row r="321">
      <c r="J321">
        <f>IF(AND(ISNUMBER('Data'!$F$322),'Data'!$F$322&lt;&gt;999,'Data'!$F$322&lt;&gt;""),'Data'!$F$322,"")</f>
        <v/>
      </c>
      <c r="Z321" t="n">
        <v>1</v>
      </c>
      <c r="AA321">
        <f>IF(ISNUMBER('IN-CLASS_Lab Part C'!$J$321),'IN-CLASS_Lab Part C'!$J$321,NA())</f>
        <v/>
      </c>
    </row>
    <row r="322">
      <c r="J322">
        <f>IF(AND(ISNUMBER('Data'!$F$323),'Data'!$F$323&lt;&gt;999,'Data'!$F$323&lt;&gt;""),'Data'!$F$323,"")</f>
        <v/>
      </c>
      <c r="Z322" t="n">
        <v>1</v>
      </c>
      <c r="AA322">
        <f>IF(ISNUMBER('IN-CLASS_Lab Part C'!$J$322),'IN-CLASS_Lab Part C'!$J$322,NA())</f>
        <v/>
      </c>
    </row>
    <row r="323">
      <c r="J323">
        <f>IF(AND(ISNUMBER('Data'!$F$324),'Data'!$F$324&lt;&gt;999,'Data'!$F$324&lt;&gt;""),'Data'!$F$324,"")</f>
        <v/>
      </c>
      <c r="Z323" t="n">
        <v>1</v>
      </c>
      <c r="AA323">
        <f>IF(ISNUMBER('IN-CLASS_Lab Part C'!$J$323),'IN-CLASS_Lab Part C'!$J$323,NA())</f>
        <v/>
      </c>
    </row>
    <row r="324">
      <c r="J324">
        <f>IF(AND(ISNUMBER('Data'!$F$325),'Data'!$F$325&lt;&gt;999,'Data'!$F$325&lt;&gt;""),'Data'!$F$325,"")</f>
        <v/>
      </c>
      <c r="Z324" t="n">
        <v>1</v>
      </c>
      <c r="AA324">
        <f>IF(ISNUMBER('IN-CLASS_Lab Part C'!$J$324),'IN-CLASS_Lab Part C'!$J$324,NA())</f>
        <v/>
      </c>
    </row>
    <row r="325">
      <c r="J325">
        <f>IF(AND(ISNUMBER('Data'!$F$326),'Data'!$F$326&lt;&gt;999,'Data'!$F$326&lt;&gt;""),'Data'!$F$326,"")</f>
        <v/>
      </c>
      <c r="Z325" t="n">
        <v>1</v>
      </c>
      <c r="AA325">
        <f>IF(ISNUMBER('IN-CLASS_Lab Part C'!$J$325),'IN-CLASS_Lab Part C'!$J$325,NA())</f>
        <v/>
      </c>
    </row>
    <row r="326">
      <c r="J326">
        <f>IF(AND(ISNUMBER('Data'!$F$327),'Data'!$F$327&lt;&gt;999,'Data'!$F$327&lt;&gt;""),'Data'!$F$327,"")</f>
        <v/>
      </c>
      <c r="Z326" t="n">
        <v>1</v>
      </c>
      <c r="AA326">
        <f>IF(ISNUMBER('IN-CLASS_Lab Part C'!$J$326),'IN-CLASS_Lab Part C'!$J$326,NA())</f>
        <v/>
      </c>
    </row>
    <row r="327">
      <c r="J327">
        <f>IF(AND(ISNUMBER('Data'!$F$328),'Data'!$F$328&lt;&gt;999,'Data'!$F$328&lt;&gt;""),'Data'!$F$328,"")</f>
        <v/>
      </c>
      <c r="Z327" t="n">
        <v>1</v>
      </c>
      <c r="AA327">
        <f>IF(ISNUMBER('IN-CLASS_Lab Part C'!$J$327),'IN-CLASS_Lab Part C'!$J$327,NA())</f>
        <v/>
      </c>
    </row>
    <row r="328">
      <c r="J328">
        <f>IF(AND(ISNUMBER('Data'!$F$329),'Data'!$F$329&lt;&gt;999,'Data'!$F$329&lt;&gt;""),'Data'!$F$329,"")</f>
        <v/>
      </c>
      <c r="Z328" t="n">
        <v>1</v>
      </c>
      <c r="AA328">
        <f>IF(ISNUMBER('IN-CLASS_Lab Part C'!$J$328),'IN-CLASS_Lab Part C'!$J$328,NA())</f>
        <v/>
      </c>
    </row>
    <row r="329">
      <c r="J329">
        <f>IF(AND(ISNUMBER('Data'!$F$330),'Data'!$F$330&lt;&gt;999,'Data'!$F$330&lt;&gt;""),'Data'!$F$330,"")</f>
        <v/>
      </c>
      <c r="Z329" t="n">
        <v>1</v>
      </c>
      <c r="AA329">
        <f>IF(ISNUMBER('IN-CLASS_Lab Part C'!$J$329),'IN-CLASS_Lab Part C'!$J$329,NA())</f>
        <v/>
      </c>
    </row>
    <row r="330">
      <c r="J330">
        <f>IF(AND(ISNUMBER('Data'!$F$331),'Data'!$F$331&lt;&gt;999,'Data'!$F$331&lt;&gt;""),'Data'!$F$331,"")</f>
        <v/>
      </c>
      <c r="Z330" t="n">
        <v>1</v>
      </c>
      <c r="AA330">
        <f>IF(ISNUMBER('IN-CLASS_Lab Part C'!$J$330),'IN-CLASS_Lab Part C'!$J$330,NA())</f>
        <v/>
      </c>
    </row>
    <row r="331">
      <c r="J331">
        <f>IF(AND(ISNUMBER('Data'!$F$332),'Data'!$F$332&lt;&gt;999,'Data'!$F$332&lt;&gt;""),'Data'!$F$332,"")</f>
        <v/>
      </c>
      <c r="Z331" t="n">
        <v>1</v>
      </c>
      <c r="AA331">
        <f>IF(ISNUMBER('IN-CLASS_Lab Part C'!$J$331),'IN-CLASS_Lab Part C'!$J$331,NA())</f>
        <v/>
      </c>
    </row>
    <row r="332">
      <c r="J332">
        <f>IF(AND(ISNUMBER('Data'!$F$333),'Data'!$F$333&lt;&gt;999,'Data'!$F$333&lt;&gt;""),'Data'!$F$333,"")</f>
        <v/>
      </c>
      <c r="Z332" t="n">
        <v>1</v>
      </c>
      <c r="AA332">
        <f>IF(ISNUMBER('IN-CLASS_Lab Part C'!$J$332),'IN-CLASS_Lab Part C'!$J$332,NA())</f>
        <v/>
      </c>
    </row>
    <row r="333">
      <c r="J333">
        <f>IF(AND(ISNUMBER('Data'!$F$334),'Data'!$F$334&lt;&gt;999,'Data'!$F$334&lt;&gt;""),'Data'!$F$334,"")</f>
        <v/>
      </c>
      <c r="Z333" t="n">
        <v>1</v>
      </c>
      <c r="AA333">
        <f>IF(ISNUMBER('IN-CLASS_Lab Part C'!$J$333),'IN-CLASS_Lab Part C'!$J$333,NA())</f>
        <v/>
      </c>
    </row>
    <row r="334">
      <c r="J334">
        <f>IF(AND(ISNUMBER('Data'!$F$335),'Data'!$F$335&lt;&gt;999,'Data'!$F$335&lt;&gt;""),'Data'!$F$335,"")</f>
        <v/>
      </c>
      <c r="Z334" t="n">
        <v>1</v>
      </c>
      <c r="AA334">
        <f>IF(ISNUMBER('IN-CLASS_Lab Part C'!$J$334),'IN-CLASS_Lab Part C'!$J$334,NA())</f>
        <v/>
      </c>
    </row>
    <row r="335">
      <c r="J335">
        <f>IF(AND(ISNUMBER('Data'!$F$336),'Data'!$F$336&lt;&gt;999,'Data'!$F$336&lt;&gt;""),'Data'!$F$336,"")</f>
        <v/>
      </c>
      <c r="Z335" t="n">
        <v>1</v>
      </c>
      <c r="AA335">
        <f>IF(ISNUMBER('IN-CLASS_Lab Part C'!$J$335),'IN-CLASS_Lab Part C'!$J$335,NA())</f>
        <v/>
      </c>
    </row>
    <row r="336">
      <c r="J336">
        <f>IF(AND(ISNUMBER('Data'!$F$337),'Data'!$F$337&lt;&gt;999,'Data'!$F$337&lt;&gt;""),'Data'!$F$337,"")</f>
        <v/>
      </c>
      <c r="Z336" t="n">
        <v>1</v>
      </c>
      <c r="AA336">
        <f>IF(ISNUMBER('IN-CLASS_Lab Part C'!$J$336),'IN-CLASS_Lab Part C'!$J$336,NA())</f>
        <v/>
      </c>
    </row>
    <row r="337">
      <c r="J337">
        <f>IF(AND(ISNUMBER('Data'!$F$338),'Data'!$F$338&lt;&gt;999,'Data'!$F$338&lt;&gt;""),'Data'!$F$338,"")</f>
        <v/>
      </c>
      <c r="Z337" t="n">
        <v>1</v>
      </c>
      <c r="AA337">
        <f>IF(ISNUMBER('IN-CLASS_Lab Part C'!$J$337),'IN-CLASS_Lab Part C'!$J$337,NA())</f>
        <v/>
      </c>
    </row>
    <row r="338">
      <c r="J338">
        <f>IF(AND(ISNUMBER('Data'!$F$339),'Data'!$F$339&lt;&gt;999,'Data'!$F$339&lt;&gt;""),'Data'!$F$339,"")</f>
        <v/>
      </c>
      <c r="Z338" t="n">
        <v>1</v>
      </c>
      <c r="AA338">
        <f>IF(ISNUMBER('IN-CLASS_Lab Part C'!$J$338),'IN-CLASS_Lab Part C'!$J$338,NA())</f>
        <v/>
      </c>
    </row>
    <row r="339">
      <c r="J339">
        <f>IF(AND(ISNUMBER('Data'!$F$340),'Data'!$F$340&lt;&gt;999,'Data'!$F$340&lt;&gt;""),'Data'!$F$340,"")</f>
        <v/>
      </c>
      <c r="Z339" t="n">
        <v>1</v>
      </c>
      <c r="AA339">
        <f>IF(ISNUMBER('IN-CLASS_Lab Part C'!$J$339),'IN-CLASS_Lab Part C'!$J$339,NA())</f>
        <v/>
      </c>
    </row>
    <row r="340">
      <c r="J340">
        <f>IF(AND(ISNUMBER('Data'!$F$341),'Data'!$F$341&lt;&gt;999,'Data'!$F$341&lt;&gt;""),'Data'!$F$341,"")</f>
        <v/>
      </c>
      <c r="Z340" t="n">
        <v>1</v>
      </c>
      <c r="AA340">
        <f>IF(ISNUMBER('IN-CLASS_Lab Part C'!$J$340),'IN-CLASS_Lab Part C'!$J$340,NA())</f>
        <v/>
      </c>
    </row>
    <row r="341">
      <c r="J341">
        <f>IF(AND(ISNUMBER('Data'!$F$342),'Data'!$F$342&lt;&gt;999,'Data'!$F$342&lt;&gt;""),'Data'!$F$342,"")</f>
        <v/>
      </c>
      <c r="Z341" t="n">
        <v>1</v>
      </c>
      <c r="AA341">
        <f>IF(ISNUMBER('IN-CLASS_Lab Part C'!$J$341),'IN-CLASS_Lab Part C'!$J$341,NA())</f>
        <v/>
      </c>
    </row>
    <row r="342">
      <c r="J342">
        <f>IF(AND(ISNUMBER('Data'!$F$343),'Data'!$F$343&lt;&gt;999,'Data'!$F$343&lt;&gt;""),'Data'!$F$343,"")</f>
        <v/>
      </c>
      <c r="Z342" t="n">
        <v>1</v>
      </c>
      <c r="AA342">
        <f>IF(ISNUMBER('IN-CLASS_Lab Part C'!$J$342),'IN-CLASS_Lab Part C'!$J$342,NA())</f>
        <v/>
      </c>
    </row>
    <row r="343">
      <c r="J343">
        <f>IF(AND(ISNUMBER('Data'!$F$344),'Data'!$F$344&lt;&gt;999,'Data'!$F$344&lt;&gt;""),'Data'!$F$344,"")</f>
        <v/>
      </c>
      <c r="Z343" t="n">
        <v>1</v>
      </c>
      <c r="AA343">
        <f>IF(ISNUMBER('IN-CLASS_Lab Part C'!$J$343),'IN-CLASS_Lab Part C'!$J$343,NA())</f>
        <v/>
      </c>
    </row>
    <row r="344">
      <c r="J344">
        <f>IF(AND(ISNUMBER('Data'!$F$345),'Data'!$F$345&lt;&gt;999,'Data'!$F$345&lt;&gt;""),'Data'!$F$345,"")</f>
        <v/>
      </c>
      <c r="Z344" t="n">
        <v>1</v>
      </c>
      <c r="AA344">
        <f>IF(ISNUMBER('IN-CLASS_Lab Part C'!$J$344),'IN-CLASS_Lab Part C'!$J$344,NA())</f>
        <v/>
      </c>
    </row>
    <row r="345">
      <c r="J345">
        <f>IF(AND(ISNUMBER('Data'!$F$346),'Data'!$F$346&lt;&gt;999,'Data'!$F$346&lt;&gt;""),'Data'!$F$346,"")</f>
        <v/>
      </c>
      <c r="Z345" t="n">
        <v>1</v>
      </c>
      <c r="AA345">
        <f>IF(ISNUMBER('IN-CLASS_Lab Part C'!$J$345),'IN-CLASS_Lab Part C'!$J$345,NA())</f>
        <v/>
      </c>
    </row>
    <row r="346">
      <c r="J346">
        <f>IF(AND(ISNUMBER('Data'!$F$347),'Data'!$F$347&lt;&gt;999,'Data'!$F$347&lt;&gt;""),'Data'!$F$347,"")</f>
        <v/>
      </c>
      <c r="Z346" t="n">
        <v>1</v>
      </c>
      <c r="AA346">
        <f>IF(ISNUMBER('IN-CLASS_Lab Part C'!$J$346),'IN-CLASS_Lab Part C'!$J$346,NA())</f>
        <v/>
      </c>
    </row>
    <row r="347">
      <c r="J347">
        <f>IF(AND(ISNUMBER('Data'!$F$348),'Data'!$F$348&lt;&gt;999,'Data'!$F$348&lt;&gt;""),'Data'!$F$348,"")</f>
        <v/>
      </c>
      <c r="Z347" t="n">
        <v>1</v>
      </c>
      <c r="AA347">
        <f>IF(ISNUMBER('IN-CLASS_Lab Part C'!$J$347),'IN-CLASS_Lab Part C'!$J$347,NA())</f>
        <v/>
      </c>
    </row>
    <row r="348">
      <c r="J348">
        <f>IF(AND(ISNUMBER('Data'!$F$349),'Data'!$F$349&lt;&gt;999,'Data'!$F$349&lt;&gt;""),'Data'!$F$349,"")</f>
        <v/>
      </c>
      <c r="Z348" t="n">
        <v>1</v>
      </c>
      <c r="AA348">
        <f>IF(ISNUMBER('IN-CLASS_Lab Part C'!$J$348),'IN-CLASS_Lab Part C'!$J$348,NA())</f>
        <v/>
      </c>
    </row>
    <row r="349">
      <c r="J349">
        <f>IF(AND(ISNUMBER('Data'!$F$350),'Data'!$F$350&lt;&gt;999,'Data'!$F$350&lt;&gt;""),'Data'!$F$350,"")</f>
        <v/>
      </c>
      <c r="Z349" t="n">
        <v>1</v>
      </c>
      <c r="AA349">
        <f>IF(ISNUMBER('IN-CLASS_Lab Part C'!$J$349),'IN-CLASS_Lab Part C'!$J$349,NA())</f>
        <v/>
      </c>
    </row>
    <row r="350">
      <c r="J350">
        <f>IF(AND(ISNUMBER('Data'!$F$351),'Data'!$F$351&lt;&gt;999,'Data'!$F$351&lt;&gt;""),'Data'!$F$351,"")</f>
        <v/>
      </c>
      <c r="Z350" t="n">
        <v>1</v>
      </c>
      <c r="AA350">
        <f>IF(ISNUMBER('IN-CLASS_Lab Part C'!$J$350),'IN-CLASS_Lab Part C'!$J$350,NA())</f>
        <v/>
      </c>
    </row>
    <row r="351">
      <c r="J351">
        <f>IF(AND(ISNUMBER('Data'!$F$352),'Data'!$F$352&lt;&gt;999,'Data'!$F$352&lt;&gt;""),'Data'!$F$352,"")</f>
        <v/>
      </c>
      <c r="Z351" t="n">
        <v>1</v>
      </c>
      <c r="AA351">
        <f>IF(ISNUMBER('IN-CLASS_Lab Part C'!$J$351),'IN-CLASS_Lab Part C'!$J$351,NA())</f>
        <v/>
      </c>
    </row>
    <row r="352">
      <c r="J352">
        <f>IF(AND(ISNUMBER('Data'!$F$353),'Data'!$F$353&lt;&gt;999,'Data'!$F$353&lt;&gt;""),'Data'!$F$353,"")</f>
        <v/>
      </c>
      <c r="Z352" t="n">
        <v>1</v>
      </c>
      <c r="AA352">
        <f>IF(ISNUMBER('IN-CLASS_Lab Part C'!$J$352),'IN-CLASS_Lab Part C'!$J$352,NA())</f>
        <v/>
      </c>
    </row>
    <row r="353">
      <c r="J353">
        <f>IF(AND(ISNUMBER('Data'!$F$354),'Data'!$F$354&lt;&gt;999,'Data'!$F$354&lt;&gt;""),'Data'!$F$354,"")</f>
        <v/>
      </c>
      <c r="Z353" t="n">
        <v>1</v>
      </c>
      <c r="AA353">
        <f>IF(ISNUMBER('IN-CLASS_Lab Part C'!$J$353),'IN-CLASS_Lab Part C'!$J$353,NA())</f>
        <v/>
      </c>
    </row>
    <row r="354">
      <c r="J354">
        <f>IF(AND(ISNUMBER('Data'!$F$355),'Data'!$F$355&lt;&gt;999,'Data'!$F$355&lt;&gt;""),'Data'!$F$355,"")</f>
        <v/>
      </c>
      <c r="Z354" t="n">
        <v>1</v>
      </c>
      <c r="AA354">
        <f>IF(ISNUMBER('IN-CLASS_Lab Part C'!$J$354),'IN-CLASS_Lab Part C'!$J$354,NA())</f>
        <v/>
      </c>
    </row>
    <row r="355">
      <c r="J355">
        <f>IF(AND(ISNUMBER('Data'!$F$356),'Data'!$F$356&lt;&gt;999,'Data'!$F$356&lt;&gt;""),'Data'!$F$356,"")</f>
        <v/>
      </c>
      <c r="Z355" t="n">
        <v>1</v>
      </c>
      <c r="AA355">
        <f>IF(ISNUMBER('IN-CLASS_Lab Part C'!$J$355),'IN-CLASS_Lab Part C'!$J$355,NA())</f>
        <v/>
      </c>
    </row>
    <row r="356">
      <c r="J356">
        <f>IF(AND(ISNUMBER('Data'!$F$357),'Data'!$F$357&lt;&gt;999,'Data'!$F$357&lt;&gt;""),'Data'!$F$357,"")</f>
        <v/>
      </c>
      <c r="Z356" t="n">
        <v>1</v>
      </c>
      <c r="AA356">
        <f>IF(ISNUMBER('IN-CLASS_Lab Part C'!$J$356),'IN-CLASS_Lab Part C'!$J$356,NA())</f>
        <v/>
      </c>
    </row>
    <row r="357">
      <c r="J357">
        <f>IF(AND(ISNUMBER('Data'!$F$358),'Data'!$F$358&lt;&gt;999,'Data'!$F$358&lt;&gt;""),'Data'!$F$358,"")</f>
        <v/>
      </c>
      <c r="Z357" t="n">
        <v>1</v>
      </c>
      <c r="AA357">
        <f>IF(ISNUMBER('IN-CLASS_Lab Part C'!$J$357),'IN-CLASS_Lab Part C'!$J$357,NA())</f>
        <v/>
      </c>
    </row>
    <row r="358">
      <c r="J358">
        <f>IF(AND(ISNUMBER('Data'!$F$359),'Data'!$F$359&lt;&gt;999,'Data'!$F$359&lt;&gt;""),'Data'!$F$359,"")</f>
        <v/>
      </c>
      <c r="Z358" t="n">
        <v>1</v>
      </c>
      <c r="AA358">
        <f>IF(ISNUMBER('IN-CLASS_Lab Part C'!$J$358),'IN-CLASS_Lab Part C'!$J$358,NA())</f>
        <v/>
      </c>
    </row>
    <row r="359">
      <c r="J359">
        <f>IF(AND(ISNUMBER('Data'!$F$360),'Data'!$F$360&lt;&gt;999,'Data'!$F$360&lt;&gt;""),'Data'!$F$360,"")</f>
        <v/>
      </c>
      <c r="Z359" t="n">
        <v>1</v>
      </c>
      <c r="AA359">
        <f>IF(ISNUMBER('IN-CLASS_Lab Part C'!$J$359),'IN-CLASS_Lab Part C'!$J$359,NA())</f>
        <v/>
      </c>
    </row>
    <row r="360">
      <c r="J360">
        <f>IF(AND(ISNUMBER('Data'!$F$361),'Data'!$F$361&lt;&gt;999,'Data'!$F$361&lt;&gt;""),'Data'!$F$361,"")</f>
        <v/>
      </c>
      <c r="Z360" t="n">
        <v>1</v>
      </c>
      <c r="AA360">
        <f>IF(ISNUMBER('IN-CLASS_Lab Part C'!$J$360),'IN-CLASS_Lab Part C'!$J$360,NA())</f>
        <v/>
      </c>
    </row>
    <row r="361">
      <c r="J361">
        <f>IF(AND(ISNUMBER('Data'!$F$362),'Data'!$F$362&lt;&gt;999,'Data'!$F$362&lt;&gt;""),'Data'!$F$362,"")</f>
        <v/>
      </c>
      <c r="Z361" t="n">
        <v>1</v>
      </c>
      <c r="AA361">
        <f>IF(ISNUMBER('IN-CLASS_Lab Part C'!$J$361),'IN-CLASS_Lab Part C'!$J$361,NA())</f>
        <v/>
      </c>
    </row>
    <row r="362">
      <c r="J362">
        <f>IF(AND(ISNUMBER('Data'!$F$363),'Data'!$F$363&lt;&gt;999,'Data'!$F$363&lt;&gt;""),'Data'!$F$363,"")</f>
        <v/>
      </c>
      <c r="Z362" t="n">
        <v>1</v>
      </c>
      <c r="AA362">
        <f>IF(ISNUMBER('IN-CLASS_Lab Part C'!$J$362),'IN-CLASS_Lab Part C'!$J$362,NA())</f>
        <v/>
      </c>
    </row>
    <row r="363">
      <c r="J363">
        <f>IF(AND(ISNUMBER('Data'!$F$364),'Data'!$F$364&lt;&gt;999,'Data'!$F$364&lt;&gt;""),'Data'!$F$364,"")</f>
        <v/>
      </c>
      <c r="Z363" t="n">
        <v>1</v>
      </c>
      <c r="AA363">
        <f>IF(ISNUMBER('IN-CLASS_Lab Part C'!$J$363),'IN-CLASS_Lab Part C'!$J$363,NA())</f>
        <v/>
      </c>
    </row>
    <row r="364">
      <c r="J364">
        <f>IF(AND(ISNUMBER('Data'!$F$365),'Data'!$F$365&lt;&gt;999,'Data'!$F$365&lt;&gt;""),'Data'!$F$365,"")</f>
        <v/>
      </c>
      <c r="Z364" t="n">
        <v>1</v>
      </c>
      <c r="AA364">
        <f>IF(ISNUMBER('IN-CLASS_Lab Part C'!$J$364),'IN-CLASS_Lab Part C'!$J$364,NA())</f>
        <v/>
      </c>
    </row>
    <row r="365">
      <c r="J365">
        <f>IF(AND(ISNUMBER('Data'!$F$366),'Data'!$F$366&lt;&gt;999,'Data'!$F$366&lt;&gt;""),'Data'!$F$366,"")</f>
        <v/>
      </c>
      <c r="Z365" t="n">
        <v>1</v>
      </c>
      <c r="AA365">
        <f>IF(ISNUMBER('IN-CLASS_Lab Part C'!$J$365),'IN-CLASS_Lab Part C'!$J$365,NA())</f>
        <v/>
      </c>
    </row>
    <row r="366">
      <c r="J366">
        <f>IF(AND(ISNUMBER('Data'!$F$367),'Data'!$F$367&lt;&gt;999,'Data'!$F$367&lt;&gt;""),'Data'!$F$367,"")</f>
        <v/>
      </c>
      <c r="Z366" t="n">
        <v>1</v>
      </c>
      <c r="AA366">
        <f>IF(ISNUMBER('IN-CLASS_Lab Part C'!$J$366),'IN-CLASS_Lab Part C'!$J$366,NA())</f>
        <v/>
      </c>
    </row>
    <row r="367">
      <c r="J367">
        <f>IF(AND(ISNUMBER('Data'!$F$368),'Data'!$F$368&lt;&gt;999,'Data'!$F$368&lt;&gt;""),'Data'!$F$368,"")</f>
        <v/>
      </c>
      <c r="Z367" t="n">
        <v>1</v>
      </c>
      <c r="AA367">
        <f>IF(ISNUMBER('IN-CLASS_Lab Part C'!$J$367),'IN-CLASS_Lab Part C'!$J$367,NA())</f>
        <v/>
      </c>
    </row>
    <row r="368">
      <c r="J368">
        <f>IF(AND(ISNUMBER('Data'!$F$369),'Data'!$F$369&lt;&gt;999,'Data'!$F$369&lt;&gt;""),'Data'!$F$369,"")</f>
        <v/>
      </c>
      <c r="Z368" t="n">
        <v>1</v>
      </c>
      <c r="AA368">
        <f>IF(ISNUMBER('IN-CLASS_Lab Part C'!$J$368),'IN-CLASS_Lab Part C'!$J$368,NA())</f>
        <v/>
      </c>
    </row>
    <row r="369">
      <c r="J369">
        <f>IF(AND(ISNUMBER('Data'!$F$370),'Data'!$F$370&lt;&gt;999,'Data'!$F$370&lt;&gt;""),'Data'!$F$370,"")</f>
        <v/>
      </c>
      <c r="Z369" t="n">
        <v>1</v>
      </c>
      <c r="AA369">
        <f>IF(ISNUMBER('IN-CLASS_Lab Part C'!$J$369),'IN-CLASS_Lab Part C'!$J$369,NA())</f>
        <v/>
      </c>
    </row>
    <row r="370">
      <c r="J370">
        <f>IF(AND(ISNUMBER('Data'!$F$371),'Data'!$F$371&lt;&gt;999,'Data'!$F$371&lt;&gt;""),'Data'!$F$371,"")</f>
        <v/>
      </c>
      <c r="Z370" t="n">
        <v>1</v>
      </c>
      <c r="AA370">
        <f>IF(ISNUMBER('IN-CLASS_Lab Part C'!$J$370),'IN-CLASS_Lab Part C'!$J$370,NA())</f>
        <v/>
      </c>
    </row>
    <row r="371">
      <c r="J371">
        <f>IF(AND(ISNUMBER('Data'!$F$372),'Data'!$F$372&lt;&gt;999,'Data'!$F$372&lt;&gt;""),'Data'!$F$372,"")</f>
        <v/>
      </c>
      <c r="Z371" t="n">
        <v>1</v>
      </c>
      <c r="AA371">
        <f>IF(ISNUMBER('IN-CLASS_Lab Part C'!$J$371),'IN-CLASS_Lab Part C'!$J$371,NA())</f>
        <v/>
      </c>
    </row>
    <row r="372">
      <c r="J372">
        <f>IF(AND(ISNUMBER('Data'!$F$373),'Data'!$F$373&lt;&gt;999,'Data'!$F$373&lt;&gt;""),'Data'!$F$373,"")</f>
        <v/>
      </c>
      <c r="Z372" t="n">
        <v>1</v>
      </c>
      <c r="AA372">
        <f>IF(ISNUMBER('IN-CLASS_Lab Part C'!$J$372),'IN-CLASS_Lab Part C'!$J$372,NA())</f>
        <v/>
      </c>
    </row>
    <row r="373">
      <c r="J373">
        <f>IF(AND(ISNUMBER('Data'!$F$374),'Data'!$F$374&lt;&gt;999,'Data'!$F$374&lt;&gt;""),'Data'!$F$374,"")</f>
        <v/>
      </c>
      <c r="Z373" t="n">
        <v>1</v>
      </c>
      <c r="AA373">
        <f>IF(ISNUMBER('IN-CLASS_Lab Part C'!$J$373),'IN-CLASS_Lab Part C'!$J$373,NA())</f>
        <v/>
      </c>
    </row>
    <row r="374">
      <c r="J374">
        <f>IF(AND(ISNUMBER('Data'!$F$375),'Data'!$F$375&lt;&gt;999,'Data'!$F$375&lt;&gt;""),'Data'!$F$375,"")</f>
        <v/>
      </c>
      <c r="Z374" t="n">
        <v>1</v>
      </c>
      <c r="AA374">
        <f>IF(ISNUMBER('IN-CLASS_Lab Part C'!$J$374),'IN-CLASS_Lab Part C'!$J$374,NA())</f>
        <v/>
      </c>
    </row>
    <row r="375">
      <c r="J375">
        <f>IF(AND(ISNUMBER('Data'!$F$376),'Data'!$F$376&lt;&gt;999,'Data'!$F$376&lt;&gt;""),'Data'!$F$376,"")</f>
        <v/>
      </c>
      <c r="Z375" t="n">
        <v>1</v>
      </c>
      <c r="AA375">
        <f>IF(ISNUMBER('IN-CLASS_Lab Part C'!$J$375),'IN-CLASS_Lab Part C'!$J$375,NA())</f>
        <v/>
      </c>
    </row>
    <row r="376">
      <c r="J376">
        <f>IF(AND(ISNUMBER('Data'!$F$377),'Data'!$F$377&lt;&gt;999,'Data'!$F$377&lt;&gt;""),'Data'!$F$377,"")</f>
        <v/>
      </c>
      <c r="Z376" t="n">
        <v>1</v>
      </c>
      <c r="AA376">
        <f>IF(ISNUMBER('IN-CLASS_Lab Part C'!$J$376),'IN-CLASS_Lab Part C'!$J$376,NA())</f>
        <v/>
      </c>
    </row>
    <row r="377">
      <c r="J377">
        <f>IF(AND(ISNUMBER('Data'!$F$378),'Data'!$F$378&lt;&gt;999,'Data'!$F$378&lt;&gt;""),'Data'!$F$378,"")</f>
        <v/>
      </c>
      <c r="Z377" t="n">
        <v>1</v>
      </c>
      <c r="AA377">
        <f>IF(ISNUMBER('IN-CLASS_Lab Part C'!$J$377),'IN-CLASS_Lab Part C'!$J$377,NA())</f>
        <v/>
      </c>
    </row>
    <row r="378">
      <c r="J378">
        <f>IF(AND(ISNUMBER('Data'!$F$379),'Data'!$F$379&lt;&gt;999,'Data'!$F$379&lt;&gt;""),'Data'!$F$379,"")</f>
        <v/>
      </c>
      <c r="Z378" t="n">
        <v>1</v>
      </c>
      <c r="AA378">
        <f>IF(ISNUMBER('IN-CLASS_Lab Part C'!$J$378),'IN-CLASS_Lab Part C'!$J$378,NA())</f>
        <v/>
      </c>
    </row>
    <row r="379">
      <c r="J379">
        <f>IF(AND(ISNUMBER('Data'!$F$380),'Data'!$F$380&lt;&gt;999,'Data'!$F$380&lt;&gt;""),'Data'!$F$380,"")</f>
        <v/>
      </c>
      <c r="Z379" t="n">
        <v>1</v>
      </c>
      <c r="AA379">
        <f>IF(ISNUMBER('IN-CLASS_Lab Part C'!$J$379),'IN-CLASS_Lab Part C'!$J$379,NA())</f>
        <v/>
      </c>
    </row>
    <row r="380">
      <c r="J380">
        <f>IF(AND(ISNUMBER('Data'!$F$381),'Data'!$F$381&lt;&gt;999,'Data'!$F$381&lt;&gt;""),'Data'!$F$381,"")</f>
        <v/>
      </c>
      <c r="Z380" t="n">
        <v>1</v>
      </c>
      <c r="AA380">
        <f>IF(ISNUMBER('IN-CLASS_Lab Part C'!$J$380),'IN-CLASS_Lab Part C'!$J$380,NA())</f>
        <v/>
      </c>
    </row>
    <row r="381">
      <c r="J381">
        <f>IF(AND(ISNUMBER('Data'!$F$382),'Data'!$F$382&lt;&gt;999,'Data'!$F$382&lt;&gt;""),'Data'!$F$382,"")</f>
        <v/>
      </c>
      <c r="Z381" t="n">
        <v>1</v>
      </c>
      <c r="AA381">
        <f>IF(ISNUMBER('IN-CLASS_Lab Part C'!$J$381),'IN-CLASS_Lab Part C'!$J$381,NA())</f>
        <v/>
      </c>
    </row>
    <row r="382">
      <c r="J382">
        <f>IF(AND(ISNUMBER('Data'!$F$383),'Data'!$F$383&lt;&gt;999,'Data'!$F$383&lt;&gt;""),'Data'!$F$383,"")</f>
        <v/>
      </c>
      <c r="Z382" t="n">
        <v>1</v>
      </c>
      <c r="AA382">
        <f>IF(ISNUMBER('IN-CLASS_Lab Part C'!$J$382),'IN-CLASS_Lab Part C'!$J$382,NA())</f>
        <v/>
      </c>
    </row>
    <row r="383">
      <c r="J383">
        <f>IF(AND(ISNUMBER('Data'!$F$384),'Data'!$F$384&lt;&gt;999,'Data'!$F$384&lt;&gt;""),'Data'!$F$384,"")</f>
        <v/>
      </c>
      <c r="Z383" t="n">
        <v>1</v>
      </c>
      <c r="AA383">
        <f>IF(ISNUMBER('IN-CLASS_Lab Part C'!$J$383),'IN-CLASS_Lab Part C'!$J$383,NA())</f>
        <v/>
      </c>
    </row>
    <row r="384">
      <c r="J384">
        <f>IF(AND(ISNUMBER('Data'!$F$385),'Data'!$F$385&lt;&gt;999,'Data'!$F$385&lt;&gt;""),'Data'!$F$385,"")</f>
        <v/>
      </c>
      <c r="Z384" t="n">
        <v>1</v>
      </c>
      <c r="AA384">
        <f>IF(ISNUMBER('IN-CLASS_Lab Part C'!$J$384),'IN-CLASS_Lab Part C'!$J$384,NA())</f>
        <v/>
      </c>
    </row>
    <row r="385">
      <c r="J385">
        <f>IF(AND(ISNUMBER('Data'!$F$386),'Data'!$F$386&lt;&gt;999,'Data'!$F$386&lt;&gt;""),'Data'!$F$386,"")</f>
        <v/>
      </c>
      <c r="Z385" t="n">
        <v>1</v>
      </c>
      <c r="AA385">
        <f>IF(ISNUMBER('IN-CLASS_Lab Part C'!$J$385),'IN-CLASS_Lab Part C'!$J$385,NA())</f>
        <v/>
      </c>
    </row>
    <row r="386">
      <c r="J386">
        <f>IF(AND(ISNUMBER('Data'!$F$387),'Data'!$F$387&lt;&gt;999,'Data'!$F$387&lt;&gt;""),'Data'!$F$387,"")</f>
        <v/>
      </c>
      <c r="Z386" t="n">
        <v>1</v>
      </c>
      <c r="AA386">
        <f>IF(ISNUMBER('IN-CLASS_Lab Part C'!$J$386),'IN-CLASS_Lab Part C'!$J$386,NA())</f>
        <v/>
      </c>
    </row>
    <row r="387">
      <c r="J387">
        <f>IF(AND(ISNUMBER('Data'!$F$388),'Data'!$F$388&lt;&gt;999,'Data'!$F$388&lt;&gt;""),'Data'!$F$388,"")</f>
        <v/>
      </c>
      <c r="Z387" t="n">
        <v>1</v>
      </c>
      <c r="AA387">
        <f>IF(ISNUMBER('IN-CLASS_Lab Part C'!$J$387),'IN-CLASS_Lab Part C'!$J$387,NA())</f>
        <v/>
      </c>
    </row>
    <row r="388">
      <c r="J388">
        <f>IF(AND(ISNUMBER('Data'!$F$389),'Data'!$F$389&lt;&gt;999,'Data'!$F$389&lt;&gt;""),'Data'!$F$389,"")</f>
        <v/>
      </c>
      <c r="Z388" t="n">
        <v>1</v>
      </c>
      <c r="AA388">
        <f>IF(ISNUMBER('IN-CLASS_Lab Part C'!$J$388),'IN-CLASS_Lab Part C'!$J$388,NA())</f>
        <v/>
      </c>
    </row>
    <row r="389">
      <c r="J389">
        <f>IF(AND(ISNUMBER('Data'!$F$390),'Data'!$F$390&lt;&gt;999,'Data'!$F$390&lt;&gt;""),'Data'!$F$390,"")</f>
        <v/>
      </c>
      <c r="Z389" t="n">
        <v>1</v>
      </c>
      <c r="AA389">
        <f>IF(ISNUMBER('IN-CLASS_Lab Part C'!$J$389),'IN-CLASS_Lab Part C'!$J$389,NA())</f>
        <v/>
      </c>
    </row>
    <row r="390">
      <c r="J390">
        <f>IF(AND(ISNUMBER('Data'!$F$391),'Data'!$F$391&lt;&gt;999,'Data'!$F$391&lt;&gt;""),'Data'!$F$391,"")</f>
        <v/>
      </c>
      <c r="Z390" t="n">
        <v>1</v>
      </c>
      <c r="AA390">
        <f>IF(ISNUMBER('IN-CLASS_Lab Part C'!$J$390),'IN-CLASS_Lab Part C'!$J$390,NA())</f>
        <v/>
      </c>
    </row>
    <row r="391">
      <c r="J391">
        <f>IF(AND(ISNUMBER('Data'!$F$392),'Data'!$F$392&lt;&gt;999,'Data'!$F$392&lt;&gt;""),'Data'!$F$392,"")</f>
        <v/>
      </c>
      <c r="Z391" t="n">
        <v>1</v>
      </c>
      <c r="AA391">
        <f>IF(ISNUMBER('IN-CLASS_Lab Part C'!$J$391),'IN-CLASS_Lab Part C'!$J$391,NA())</f>
        <v/>
      </c>
    </row>
    <row r="392">
      <c r="J392">
        <f>IF(AND(ISNUMBER('Data'!$F$393),'Data'!$F$393&lt;&gt;999,'Data'!$F$393&lt;&gt;""),'Data'!$F$393,"")</f>
        <v/>
      </c>
      <c r="Z392" t="n">
        <v>1</v>
      </c>
      <c r="AA392">
        <f>IF(ISNUMBER('IN-CLASS_Lab Part C'!$J$392),'IN-CLASS_Lab Part C'!$J$392,NA())</f>
        <v/>
      </c>
    </row>
    <row r="393">
      <c r="J393">
        <f>IF(AND(ISNUMBER('Data'!$F$394),'Data'!$F$394&lt;&gt;999,'Data'!$F$394&lt;&gt;""),'Data'!$F$394,"")</f>
        <v/>
      </c>
      <c r="Z393" t="n">
        <v>1</v>
      </c>
      <c r="AA393">
        <f>IF(ISNUMBER('IN-CLASS_Lab Part C'!$J$393),'IN-CLASS_Lab Part C'!$J$393,NA())</f>
        <v/>
      </c>
    </row>
    <row r="394">
      <c r="J394">
        <f>IF(AND(ISNUMBER('Data'!$F$395),'Data'!$F$395&lt;&gt;999,'Data'!$F$395&lt;&gt;""),'Data'!$F$395,"")</f>
        <v/>
      </c>
      <c r="Z394" t="n">
        <v>1</v>
      </c>
      <c r="AA394">
        <f>IF(ISNUMBER('IN-CLASS_Lab Part C'!$J$394),'IN-CLASS_Lab Part C'!$J$394,NA())</f>
        <v/>
      </c>
    </row>
    <row r="395">
      <c r="J395">
        <f>IF(AND(ISNUMBER('Data'!$F$396),'Data'!$F$396&lt;&gt;999,'Data'!$F$396&lt;&gt;""),'Data'!$F$396,"")</f>
        <v/>
      </c>
      <c r="Z395" t="n">
        <v>1</v>
      </c>
      <c r="AA395">
        <f>IF(ISNUMBER('IN-CLASS_Lab Part C'!$J$395),'IN-CLASS_Lab Part C'!$J$395,NA())</f>
        <v/>
      </c>
    </row>
    <row r="396">
      <c r="J396">
        <f>IF(AND(ISNUMBER('Data'!$F$397),'Data'!$F$397&lt;&gt;999,'Data'!$F$397&lt;&gt;""),'Data'!$F$397,"")</f>
        <v/>
      </c>
      <c r="Z396" t="n">
        <v>1</v>
      </c>
      <c r="AA396">
        <f>IF(ISNUMBER('IN-CLASS_Lab Part C'!$J$396),'IN-CLASS_Lab Part C'!$J$396,NA())</f>
        <v/>
      </c>
    </row>
    <row r="397">
      <c r="J397">
        <f>IF(AND(ISNUMBER('Data'!$F$398),'Data'!$F$398&lt;&gt;999,'Data'!$F$398&lt;&gt;""),'Data'!$F$398,"")</f>
        <v/>
      </c>
      <c r="Z397" t="n">
        <v>1</v>
      </c>
      <c r="AA397">
        <f>IF(ISNUMBER('IN-CLASS_Lab Part C'!$J$397),'IN-CLASS_Lab Part C'!$J$397,NA())</f>
        <v/>
      </c>
    </row>
    <row r="398">
      <c r="J398">
        <f>IF(AND(ISNUMBER('Data'!$F$399),'Data'!$F$399&lt;&gt;999,'Data'!$F$399&lt;&gt;""),'Data'!$F$399,"")</f>
        <v/>
      </c>
      <c r="Z398" t="n">
        <v>1</v>
      </c>
      <c r="AA398">
        <f>IF(ISNUMBER('IN-CLASS_Lab Part C'!$J$398),'IN-CLASS_Lab Part C'!$J$398,NA())</f>
        <v/>
      </c>
    </row>
    <row r="399">
      <c r="J399">
        <f>IF(AND(ISNUMBER('Data'!$F$400),'Data'!$F$400&lt;&gt;999,'Data'!$F$400&lt;&gt;""),'Data'!$F$400,"")</f>
        <v/>
      </c>
      <c r="Z399" t="n">
        <v>1</v>
      </c>
      <c r="AA399">
        <f>IF(ISNUMBER('IN-CLASS_Lab Part C'!$J$399),'IN-CLASS_Lab Part C'!$J$399,NA())</f>
        <v/>
      </c>
    </row>
    <row r="400">
      <c r="J400">
        <f>IF(AND(ISNUMBER('Data'!$F$401),'Data'!$F$401&lt;&gt;999,'Data'!$F$401&lt;&gt;""),'Data'!$F$401,"")</f>
        <v/>
      </c>
      <c r="Z400" t="n">
        <v>1</v>
      </c>
      <c r="AA400">
        <f>IF(ISNUMBER('IN-CLASS_Lab Part C'!$J$400),'IN-CLASS_Lab Part C'!$J$400,NA())</f>
        <v/>
      </c>
    </row>
    <row r="401">
      <c r="J401">
        <f>IF(AND(ISNUMBER('Data'!$F$402),'Data'!$F$402&lt;&gt;999,'Data'!$F$402&lt;&gt;""),'Data'!$F$402,"")</f>
        <v/>
      </c>
      <c r="Z401" t="n">
        <v>1</v>
      </c>
      <c r="AA401">
        <f>IF(ISNUMBER('IN-CLASS_Lab Part C'!$J$401),'IN-CLASS_Lab Part C'!$J$401,NA())</f>
        <v/>
      </c>
    </row>
    <row r="402">
      <c r="J402">
        <f>IF(AND(ISNUMBER('Data'!$F$403),'Data'!$F$403&lt;&gt;999,'Data'!$F$403&lt;&gt;""),'Data'!$F$403,"")</f>
        <v/>
      </c>
      <c r="Z402" t="n">
        <v>1</v>
      </c>
      <c r="AA402">
        <f>IF(ISNUMBER('IN-CLASS_Lab Part C'!$J$402),'IN-CLASS_Lab Part C'!$J$402,NA())</f>
        <v/>
      </c>
    </row>
    <row r="403">
      <c r="J403">
        <f>IF(AND(ISNUMBER('Data'!$F$404),'Data'!$F$404&lt;&gt;999,'Data'!$F$404&lt;&gt;""),'Data'!$F$404,"")</f>
        <v/>
      </c>
      <c r="Z403" t="n">
        <v>1</v>
      </c>
      <c r="AA403">
        <f>IF(ISNUMBER('IN-CLASS_Lab Part C'!$J$403),'IN-CLASS_Lab Part C'!$J$403,NA())</f>
        <v/>
      </c>
    </row>
    <row r="404">
      <c r="J404">
        <f>IF(AND(ISNUMBER('Data'!$F$405),'Data'!$F$405&lt;&gt;999,'Data'!$F$405&lt;&gt;""),'Data'!$F$405,"")</f>
        <v/>
      </c>
      <c r="Z404" t="n">
        <v>1</v>
      </c>
      <c r="AA404">
        <f>IF(ISNUMBER('IN-CLASS_Lab Part C'!$J$404),'IN-CLASS_Lab Part C'!$J$404,NA())</f>
        <v/>
      </c>
    </row>
    <row r="405">
      <c r="J405">
        <f>IF(AND(ISNUMBER('Data'!$F$406),'Data'!$F$406&lt;&gt;999,'Data'!$F$406&lt;&gt;""),'Data'!$F$406,"")</f>
        <v/>
      </c>
      <c r="Z405" t="n">
        <v>1</v>
      </c>
      <c r="AA405">
        <f>IF(ISNUMBER('IN-CLASS_Lab Part C'!$J$405),'IN-CLASS_Lab Part C'!$J$405,NA())</f>
        <v/>
      </c>
    </row>
    <row r="406">
      <c r="J406">
        <f>IF(AND(ISNUMBER('Data'!$F$407),'Data'!$F$407&lt;&gt;999,'Data'!$F$407&lt;&gt;""),'Data'!$F$407,"")</f>
        <v/>
      </c>
      <c r="Z406" t="n">
        <v>1</v>
      </c>
      <c r="AA406">
        <f>IF(ISNUMBER('IN-CLASS_Lab Part C'!$J$406),'IN-CLASS_Lab Part C'!$J$406,NA())</f>
        <v/>
      </c>
    </row>
    <row r="407">
      <c r="J407">
        <f>IF(AND(ISNUMBER('Data'!$F$408),'Data'!$F$408&lt;&gt;999,'Data'!$F$408&lt;&gt;""),'Data'!$F$408,"")</f>
        <v/>
      </c>
      <c r="Z407" t="n">
        <v>1</v>
      </c>
      <c r="AA407">
        <f>IF(ISNUMBER('IN-CLASS_Lab Part C'!$J$407),'IN-CLASS_Lab Part C'!$J$407,NA())</f>
        <v/>
      </c>
    </row>
    <row r="408">
      <c r="J408">
        <f>IF(AND(ISNUMBER('Data'!$F$409),'Data'!$F$409&lt;&gt;999,'Data'!$F$409&lt;&gt;""),'Data'!$F$409,"")</f>
        <v/>
      </c>
      <c r="Z408" t="n">
        <v>1</v>
      </c>
      <c r="AA408">
        <f>IF(ISNUMBER('IN-CLASS_Lab Part C'!$J$408),'IN-CLASS_Lab Part C'!$J$408,NA())</f>
        <v/>
      </c>
    </row>
    <row r="409">
      <c r="J409">
        <f>IF(AND(ISNUMBER('Data'!$F$410),'Data'!$F$410&lt;&gt;999,'Data'!$F$410&lt;&gt;""),'Data'!$F$410,"")</f>
        <v/>
      </c>
      <c r="Z409" t="n">
        <v>1</v>
      </c>
      <c r="AA409">
        <f>IF(ISNUMBER('IN-CLASS_Lab Part C'!$J$409),'IN-CLASS_Lab Part C'!$J$409,NA())</f>
        <v/>
      </c>
    </row>
    <row r="410">
      <c r="J410">
        <f>IF(AND(ISNUMBER('Data'!$F$411),'Data'!$F$411&lt;&gt;999,'Data'!$F$411&lt;&gt;""),'Data'!$F$411,"")</f>
        <v/>
      </c>
      <c r="Z410" t="n">
        <v>1</v>
      </c>
      <c r="AA410">
        <f>IF(ISNUMBER('IN-CLASS_Lab Part C'!$J$410),'IN-CLASS_Lab Part C'!$J$410,NA())</f>
        <v/>
      </c>
    </row>
    <row r="411">
      <c r="J411">
        <f>IF(AND(ISNUMBER('Data'!$F$412),'Data'!$F$412&lt;&gt;999,'Data'!$F$412&lt;&gt;""),'Data'!$F$412,"")</f>
        <v/>
      </c>
      <c r="Z411" t="n">
        <v>1</v>
      </c>
      <c r="AA411">
        <f>IF(ISNUMBER('IN-CLASS_Lab Part C'!$J$411),'IN-CLASS_Lab Part C'!$J$411,NA())</f>
        <v/>
      </c>
    </row>
    <row r="412">
      <c r="J412">
        <f>IF(AND(ISNUMBER('Data'!$F$413),'Data'!$F$413&lt;&gt;999,'Data'!$F$413&lt;&gt;""),'Data'!$F$413,"")</f>
        <v/>
      </c>
      <c r="Z412" t="n">
        <v>1</v>
      </c>
      <c r="AA412">
        <f>IF(ISNUMBER('IN-CLASS_Lab Part C'!$J$412),'IN-CLASS_Lab Part C'!$J$412,NA())</f>
        <v/>
      </c>
    </row>
    <row r="413">
      <c r="J413">
        <f>IF(AND(ISNUMBER('Data'!$F$414),'Data'!$F$414&lt;&gt;999,'Data'!$F$414&lt;&gt;""),'Data'!$F$414,"")</f>
        <v/>
      </c>
      <c r="Z413" t="n">
        <v>1</v>
      </c>
      <c r="AA413">
        <f>IF(ISNUMBER('IN-CLASS_Lab Part C'!$J$413),'IN-CLASS_Lab Part C'!$J$413,NA())</f>
        <v/>
      </c>
    </row>
    <row r="414">
      <c r="J414">
        <f>IF(AND(ISNUMBER('Data'!$F$415),'Data'!$F$415&lt;&gt;999,'Data'!$F$415&lt;&gt;""),'Data'!$F$415,"")</f>
        <v/>
      </c>
      <c r="Z414" t="n">
        <v>1</v>
      </c>
      <c r="AA414">
        <f>IF(ISNUMBER('IN-CLASS_Lab Part C'!$J$414),'IN-CLASS_Lab Part C'!$J$414,NA())</f>
        <v/>
      </c>
    </row>
    <row r="415">
      <c r="J415">
        <f>IF(AND(ISNUMBER('Data'!$F$416),'Data'!$F$416&lt;&gt;999,'Data'!$F$416&lt;&gt;""),'Data'!$F$416,"")</f>
        <v/>
      </c>
      <c r="Z415" t="n">
        <v>1</v>
      </c>
      <c r="AA415">
        <f>IF(ISNUMBER('IN-CLASS_Lab Part C'!$J$415),'IN-CLASS_Lab Part C'!$J$415,NA())</f>
        <v/>
      </c>
    </row>
    <row r="416">
      <c r="J416">
        <f>IF(AND(ISNUMBER('Data'!$F$417),'Data'!$F$417&lt;&gt;999,'Data'!$F$417&lt;&gt;""),'Data'!$F$417,"")</f>
        <v/>
      </c>
      <c r="Z416" t="n">
        <v>1</v>
      </c>
      <c r="AA416">
        <f>IF(ISNUMBER('IN-CLASS_Lab Part C'!$J$416),'IN-CLASS_Lab Part C'!$J$416,NA())</f>
        <v/>
      </c>
    </row>
    <row r="417">
      <c r="J417">
        <f>IF(AND(ISNUMBER('Data'!$F$418),'Data'!$F$418&lt;&gt;999,'Data'!$F$418&lt;&gt;""),'Data'!$F$418,"")</f>
        <v/>
      </c>
      <c r="Z417" t="n">
        <v>1</v>
      </c>
      <c r="AA417">
        <f>IF(ISNUMBER('IN-CLASS_Lab Part C'!$J$417),'IN-CLASS_Lab Part C'!$J$417,NA())</f>
        <v/>
      </c>
    </row>
    <row r="418">
      <c r="J418">
        <f>IF(AND(ISNUMBER('Data'!$F$419),'Data'!$F$419&lt;&gt;999,'Data'!$F$419&lt;&gt;""),'Data'!$F$419,"")</f>
        <v/>
      </c>
      <c r="Z418" t="n">
        <v>1</v>
      </c>
      <c r="AA418">
        <f>IF(ISNUMBER('IN-CLASS_Lab Part C'!$J$418),'IN-CLASS_Lab Part C'!$J$418,NA())</f>
        <v/>
      </c>
    </row>
    <row r="419">
      <c r="J419">
        <f>IF(AND(ISNUMBER('Data'!$F$420),'Data'!$F$420&lt;&gt;999,'Data'!$F$420&lt;&gt;""),'Data'!$F$420,"")</f>
        <v/>
      </c>
      <c r="Z419" t="n">
        <v>1</v>
      </c>
      <c r="AA419">
        <f>IF(ISNUMBER('IN-CLASS_Lab Part C'!$J$419),'IN-CLASS_Lab Part C'!$J$419,NA())</f>
        <v/>
      </c>
    </row>
    <row r="420">
      <c r="J420">
        <f>IF(AND(ISNUMBER('Data'!$F$421),'Data'!$F$421&lt;&gt;999,'Data'!$F$421&lt;&gt;""),'Data'!$F$421,"")</f>
        <v/>
      </c>
      <c r="Z420" t="n">
        <v>1</v>
      </c>
      <c r="AA420">
        <f>IF(ISNUMBER('IN-CLASS_Lab Part C'!$J$420),'IN-CLASS_Lab Part C'!$J$420,NA())</f>
        <v/>
      </c>
    </row>
    <row r="421">
      <c r="J421">
        <f>IF(AND(ISNUMBER('Data'!$F$422),'Data'!$F$422&lt;&gt;999,'Data'!$F$422&lt;&gt;""),'Data'!$F$422,"")</f>
        <v/>
      </c>
      <c r="Z421" t="n">
        <v>1</v>
      </c>
      <c r="AA421">
        <f>IF(ISNUMBER('IN-CLASS_Lab Part C'!$J$421),'IN-CLASS_Lab Part C'!$J$421,NA())</f>
        <v/>
      </c>
    </row>
    <row r="422">
      <c r="J422">
        <f>IF(AND(ISNUMBER('Data'!$F$423),'Data'!$F$423&lt;&gt;999,'Data'!$F$423&lt;&gt;""),'Data'!$F$423,"")</f>
        <v/>
      </c>
      <c r="Z422" t="n">
        <v>1</v>
      </c>
      <c r="AA422">
        <f>IF(ISNUMBER('IN-CLASS_Lab Part C'!$J$422),'IN-CLASS_Lab Part C'!$J$422,NA())</f>
        <v/>
      </c>
    </row>
    <row r="423">
      <c r="J423">
        <f>IF(AND(ISNUMBER('Data'!$F$424),'Data'!$F$424&lt;&gt;999,'Data'!$F$424&lt;&gt;""),'Data'!$F$424,"")</f>
        <v/>
      </c>
      <c r="Z423" t="n">
        <v>1</v>
      </c>
      <c r="AA423">
        <f>IF(ISNUMBER('IN-CLASS_Lab Part C'!$J$423),'IN-CLASS_Lab Part C'!$J$423,NA())</f>
        <v/>
      </c>
    </row>
    <row r="424">
      <c r="J424">
        <f>IF(AND(ISNUMBER('Data'!$F$425),'Data'!$F$425&lt;&gt;999,'Data'!$F$425&lt;&gt;""),'Data'!$F$425,"")</f>
        <v/>
      </c>
      <c r="Z424" t="n">
        <v>1</v>
      </c>
      <c r="AA424">
        <f>IF(ISNUMBER('IN-CLASS_Lab Part C'!$J$424),'IN-CLASS_Lab Part C'!$J$424,NA())</f>
        <v/>
      </c>
    </row>
    <row r="425">
      <c r="J425">
        <f>IF(AND(ISNUMBER('Data'!$F$426),'Data'!$F$426&lt;&gt;999,'Data'!$F$426&lt;&gt;""),'Data'!$F$426,"")</f>
        <v/>
      </c>
      <c r="Z425" t="n">
        <v>1</v>
      </c>
      <c r="AA425">
        <f>IF(ISNUMBER('IN-CLASS_Lab Part C'!$J$425),'IN-CLASS_Lab Part C'!$J$425,NA())</f>
        <v/>
      </c>
    </row>
    <row r="426">
      <c r="J426">
        <f>IF(AND(ISNUMBER('Data'!$F$427),'Data'!$F$427&lt;&gt;999,'Data'!$F$427&lt;&gt;""),'Data'!$F$427,"")</f>
        <v/>
      </c>
      <c r="Z426" t="n">
        <v>1</v>
      </c>
      <c r="AA426">
        <f>IF(ISNUMBER('IN-CLASS_Lab Part C'!$J$426),'IN-CLASS_Lab Part C'!$J$426,NA())</f>
        <v/>
      </c>
    </row>
    <row r="427">
      <c r="J427">
        <f>IF(AND(ISNUMBER('Data'!$F$428),'Data'!$F$428&lt;&gt;999,'Data'!$F$428&lt;&gt;""),'Data'!$F$428,"")</f>
        <v/>
      </c>
      <c r="Z427" t="n">
        <v>1</v>
      </c>
      <c r="AA427">
        <f>IF(ISNUMBER('IN-CLASS_Lab Part C'!$J$427),'IN-CLASS_Lab Part C'!$J$427,NA())</f>
        <v/>
      </c>
    </row>
    <row r="428">
      <c r="J428">
        <f>IF(AND(ISNUMBER('Data'!$F$429),'Data'!$F$429&lt;&gt;999,'Data'!$F$429&lt;&gt;""),'Data'!$F$429,"")</f>
        <v/>
      </c>
      <c r="Z428" t="n">
        <v>1</v>
      </c>
      <c r="AA428">
        <f>IF(ISNUMBER('IN-CLASS_Lab Part C'!$J$428),'IN-CLASS_Lab Part C'!$J$428,NA())</f>
        <v/>
      </c>
    </row>
    <row r="429">
      <c r="J429">
        <f>IF(AND(ISNUMBER('Data'!$F$430),'Data'!$F$430&lt;&gt;999,'Data'!$F$430&lt;&gt;""),'Data'!$F$430,"")</f>
        <v/>
      </c>
      <c r="Z429" t="n">
        <v>1</v>
      </c>
      <c r="AA429">
        <f>IF(ISNUMBER('IN-CLASS_Lab Part C'!$J$429),'IN-CLASS_Lab Part C'!$J$429,NA())</f>
        <v/>
      </c>
    </row>
    <row r="430">
      <c r="J430">
        <f>IF(AND(ISNUMBER('Data'!$F$431),'Data'!$F$431&lt;&gt;999,'Data'!$F$431&lt;&gt;""),'Data'!$F$431,"")</f>
        <v/>
      </c>
      <c r="Z430" t="n">
        <v>1</v>
      </c>
      <c r="AA430">
        <f>IF(ISNUMBER('IN-CLASS_Lab Part C'!$J$430),'IN-CLASS_Lab Part C'!$J$430,NA())</f>
        <v/>
      </c>
    </row>
    <row r="431">
      <c r="J431">
        <f>IF(AND(ISNUMBER('Data'!$F$432),'Data'!$F$432&lt;&gt;999,'Data'!$F$432&lt;&gt;""),'Data'!$F$432,"")</f>
        <v/>
      </c>
      <c r="Z431" t="n">
        <v>1</v>
      </c>
      <c r="AA431">
        <f>IF(ISNUMBER('IN-CLASS_Lab Part C'!$J$431),'IN-CLASS_Lab Part C'!$J$431,NA())</f>
        <v/>
      </c>
    </row>
    <row r="432">
      <c r="J432">
        <f>IF(AND(ISNUMBER('Data'!$F$433),'Data'!$F$433&lt;&gt;999,'Data'!$F$433&lt;&gt;""),'Data'!$F$433,"")</f>
        <v/>
      </c>
      <c r="Z432" t="n">
        <v>1</v>
      </c>
      <c r="AA432">
        <f>IF(ISNUMBER('IN-CLASS_Lab Part C'!$J$432),'IN-CLASS_Lab Part C'!$J$432,NA())</f>
        <v/>
      </c>
    </row>
    <row r="433">
      <c r="J433">
        <f>IF(AND(ISNUMBER('Data'!$F$434),'Data'!$F$434&lt;&gt;999,'Data'!$F$434&lt;&gt;""),'Data'!$F$434,"")</f>
        <v/>
      </c>
      <c r="Z433" t="n">
        <v>1</v>
      </c>
      <c r="AA433">
        <f>IF(ISNUMBER('IN-CLASS_Lab Part C'!$J$433),'IN-CLASS_Lab Part C'!$J$433,NA())</f>
        <v/>
      </c>
    </row>
    <row r="434">
      <c r="J434">
        <f>IF(AND(ISNUMBER('Data'!$F$435),'Data'!$F$435&lt;&gt;999,'Data'!$F$435&lt;&gt;""),'Data'!$F$435,"")</f>
        <v/>
      </c>
      <c r="Z434" t="n">
        <v>1</v>
      </c>
      <c r="AA434">
        <f>IF(ISNUMBER('IN-CLASS_Lab Part C'!$J$434),'IN-CLASS_Lab Part C'!$J$434,NA())</f>
        <v/>
      </c>
    </row>
    <row r="435">
      <c r="J435">
        <f>IF(AND(ISNUMBER('Data'!$F$436),'Data'!$F$436&lt;&gt;999,'Data'!$F$436&lt;&gt;""),'Data'!$F$436,"")</f>
        <v/>
      </c>
      <c r="Z435" t="n">
        <v>1</v>
      </c>
      <c r="AA435">
        <f>IF(ISNUMBER('IN-CLASS_Lab Part C'!$J$435),'IN-CLASS_Lab Part C'!$J$435,NA())</f>
        <v/>
      </c>
    </row>
    <row r="436">
      <c r="J436">
        <f>IF(AND(ISNUMBER('Data'!$F$437),'Data'!$F$437&lt;&gt;999,'Data'!$F$437&lt;&gt;""),'Data'!$F$437,"")</f>
        <v/>
      </c>
      <c r="Z436" t="n">
        <v>1</v>
      </c>
      <c r="AA436">
        <f>IF(ISNUMBER('IN-CLASS_Lab Part C'!$J$436),'IN-CLASS_Lab Part C'!$J$436,NA())</f>
        <v/>
      </c>
    </row>
    <row r="437">
      <c r="J437">
        <f>IF(AND(ISNUMBER('Data'!$F$438),'Data'!$F$438&lt;&gt;999,'Data'!$F$438&lt;&gt;""),'Data'!$F$438,"")</f>
        <v/>
      </c>
      <c r="Z437" t="n">
        <v>1</v>
      </c>
      <c r="AA437">
        <f>IF(ISNUMBER('IN-CLASS_Lab Part C'!$J$437),'IN-CLASS_Lab Part C'!$J$437,NA())</f>
        <v/>
      </c>
    </row>
    <row r="438">
      <c r="J438">
        <f>IF(AND(ISNUMBER('Data'!$F$439),'Data'!$F$439&lt;&gt;999,'Data'!$F$439&lt;&gt;""),'Data'!$F$439,"")</f>
        <v/>
      </c>
      <c r="Z438" t="n">
        <v>1</v>
      </c>
      <c r="AA438">
        <f>IF(ISNUMBER('IN-CLASS_Lab Part C'!$J$438),'IN-CLASS_Lab Part C'!$J$438,NA())</f>
        <v/>
      </c>
    </row>
    <row r="439">
      <c r="J439">
        <f>IF(AND(ISNUMBER('Data'!$F$440),'Data'!$F$440&lt;&gt;999,'Data'!$F$440&lt;&gt;""),'Data'!$F$440,"")</f>
        <v/>
      </c>
      <c r="Z439" t="n">
        <v>1</v>
      </c>
      <c r="AA439">
        <f>IF(ISNUMBER('IN-CLASS_Lab Part C'!$J$439),'IN-CLASS_Lab Part C'!$J$439,NA())</f>
        <v/>
      </c>
    </row>
    <row r="440">
      <c r="J440">
        <f>IF(AND(ISNUMBER('Data'!$F$441),'Data'!$F$441&lt;&gt;999,'Data'!$F$441&lt;&gt;""),'Data'!$F$441,"")</f>
        <v/>
      </c>
      <c r="Z440" t="n">
        <v>1</v>
      </c>
      <c r="AA440">
        <f>IF(ISNUMBER('IN-CLASS_Lab Part C'!$J$440),'IN-CLASS_Lab Part C'!$J$440,NA())</f>
        <v/>
      </c>
    </row>
    <row r="441">
      <c r="J441">
        <f>IF(AND(ISNUMBER('Data'!$F$442),'Data'!$F$442&lt;&gt;999,'Data'!$F$442&lt;&gt;""),'Data'!$F$442,"")</f>
        <v/>
      </c>
      <c r="Z441" t="n">
        <v>1</v>
      </c>
      <c r="AA441">
        <f>IF(ISNUMBER('IN-CLASS_Lab Part C'!$J$441),'IN-CLASS_Lab Part C'!$J$441,NA())</f>
        <v/>
      </c>
    </row>
    <row r="442">
      <c r="J442">
        <f>IF(AND(ISNUMBER('Data'!$F$443),'Data'!$F$443&lt;&gt;999,'Data'!$F$443&lt;&gt;""),'Data'!$F$443,"")</f>
        <v/>
      </c>
      <c r="Z442" t="n">
        <v>1</v>
      </c>
      <c r="AA442">
        <f>IF(ISNUMBER('IN-CLASS_Lab Part C'!$J$442),'IN-CLASS_Lab Part C'!$J$442,NA())</f>
        <v/>
      </c>
    </row>
    <row r="443">
      <c r="J443">
        <f>IF(AND(ISNUMBER('Data'!$F$444),'Data'!$F$444&lt;&gt;999,'Data'!$F$444&lt;&gt;""),'Data'!$F$444,"")</f>
        <v/>
      </c>
      <c r="Z443" t="n">
        <v>1</v>
      </c>
      <c r="AA443">
        <f>IF(ISNUMBER('IN-CLASS_Lab Part C'!$J$443),'IN-CLASS_Lab Part C'!$J$443,NA())</f>
        <v/>
      </c>
    </row>
    <row r="444">
      <c r="J444">
        <f>IF(AND(ISNUMBER('Data'!$F$445),'Data'!$F$445&lt;&gt;999,'Data'!$F$445&lt;&gt;""),'Data'!$F$445,"")</f>
        <v/>
      </c>
      <c r="Z444" t="n">
        <v>1</v>
      </c>
      <c r="AA444">
        <f>IF(ISNUMBER('IN-CLASS_Lab Part C'!$J$444),'IN-CLASS_Lab Part C'!$J$444,NA())</f>
        <v/>
      </c>
    </row>
    <row r="445">
      <c r="J445">
        <f>IF(AND(ISNUMBER('Data'!$F$446),'Data'!$F$446&lt;&gt;999,'Data'!$F$446&lt;&gt;""),'Data'!$F$446,"")</f>
        <v/>
      </c>
      <c r="Z445" t="n">
        <v>1</v>
      </c>
      <c r="AA445">
        <f>IF(ISNUMBER('IN-CLASS_Lab Part C'!$J$445),'IN-CLASS_Lab Part C'!$J$445,NA())</f>
        <v/>
      </c>
    </row>
    <row r="446">
      <c r="J446">
        <f>IF(AND(ISNUMBER('Data'!$F$447),'Data'!$F$447&lt;&gt;999,'Data'!$F$447&lt;&gt;""),'Data'!$F$447,"")</f>
        <v/>
      </c>
      <c r="Z446" t="n">
        <v>1</v>
      </c>
      <c r="AA446">
        <f>IF(ISNUMBER('IN-CLASS_Lab Part C'!$J$446),'IN-CLASS_Lab Part C'!$J$446,NA())</f>
        <v/>
      </c>
    </row>
    <row r="447">
      <c r="J447">
        <f>IF(AND(ISNUMBER('Data'!$F$448),'Data'!$F$448&lt;&gt;999,'Data'!$F$448&lt;&gt;""),'Data'!$F$448,"")</f>
        <v/>
      </c>
      <c r="Z447" t="n">
        <v>1</v>
      </c>
      <c r="AA447">
        <f>IF(ISNUMBER('IN-CLASS_Lab Part C'!$J$447),'IN-CLASS_Lab Part C'!$J$447,NA())</f>
        <v/>
      </c>
    </row>
    <row r="448">
      <c r="J448">
        <f>IF(AND(ISNUMBER('Data'!$F$449),'Data'!$F$449&lt;&gt;999,'Data'!$F$449&lt;&gt;""),'Data'!$F$449,"")</f>
        <v/>
      </c>
      <c r="Z448" t="n">
        <v>1</v>
      </c>
      <c r="AA448">
        <f>IF(ISNUMBER('IN-CLASS_Lab Part C'!$J$448),'IN-CLASS_Lab Part C'!$J$448,NA())</f>
        <v/>
      </c>
    </row>
    <row r="449">
      <c r="J449">
        <f>IF(AND(ISNUMBER('Data'!$F$450),'Data'!$F$450&lt;&gt;999,'Data'!$F$450&lt;&gt;""),'Data'!$F$450,"")</f>
        <v/>
      </c>
      <c r="Z449" t="n">
        <v>1</v>
      </c>
      <c r="AA449">
        <f>IF(ISNUMBER('IN-CLASS_Lab Part C'!$J$449),'IN-CLASS_Lab Part C'!$J$449,NA())</f>
        <v/>
      </c>
    </row>
    <row r="450">
      <c r="J450">
        <f>IF(AND(ISNUMBER('Data'!$F$451),'Data'!$F$451&lt;&gt;999,'Data'!$F$451&lt;&gt;""),'Data'!$F$451,"")</f>
        <v/>
      </c>
      <c r="Z450" t="n">
        <v>1</v>
      </c>
      <c r="AA450">
        <f>IF(ISNUMBER('IN-CLASS_Lab Part C'!$J$450),'IN-CLASS_Lab Part C'!$J$450,NA())</f>
        <v/>
      </c>
    </row>
    <row r="451">
      <c r="J451">
        <f>IF(AND(ISNUMBER('Data'!$F$452),'Data'!$F$452&lt;&gt;999,'Data'!$F$452&lt;&gt;""),'Data'!$F$452,"")</f>
        <v/>
      </c>
      <c r="Z451" t="n">
        <v>1</v>
      </c>
      <c r="AA451">
        <f>IF(ISNUMBER('IN-CLASS_Lab Part C'!$J$451),'IN-CLASS_Lab Part C'!$J$451,NA())</f>
        <v/>
      </c>
    </row>
    <row r="452">
      <c r="J452">
        <f>IF(AND(ISNUMBER('Data'!$F$453),'Data'!$F$453&lt;&gt;999,'Data'!$F$453&lt;&gt;""),'Data'!$F$453,"")</f>
        <v/>
      </c>
      <c r="Z452" t="n">
        <v>1</v>
      </c>
      <c r="AA452">
        <f>IF(ISNUMBER('IN-CLASS_Lab Part C'!$J$452),'IN-CLASS_Lab Part C'!$J$452,NA())</f>
        <v/>
      </c>
    </row>
    <row r="453">
      <c r="J453">
        <f>IF(AND(ISNUMBER('Data'!$F$454),'Data'!$F$454&lt;&gt;999,'Data'!$F$454&lt;&gt;""),'Data'!$F$454,"")</f>
        <v/>
      </c>
      <c r="Z453" t="n">
        <v>1</v>
      </c>
      <c r="AA453">
        <f>IF(ISNUMBER('IN-CLASS_Lab Part C'!$J$453),'IN-CLASS_Lab Part C'!$J$453,NA())</f>
        <v/>
      </c>
    </row>
    <row r="454">
      <c r="J454">
        <f>IF(AND(ISNUMBER('Data'!$F$455),'Data'!$F$455&lt;&gt;999,'Data'!$F$455&lt;&gt;""),'Data'!$F$455,"")</f>
        <v/>
      </c>
      <c r="Z454" t="n">
        <v>1</v>
      </c>
      <c r="AA454">
        <f>IF(ISNUMBER('IN-CLASS_Lab Part C'!$J$454),'IN-CLASS_Lab Part C'!$J$454,NA())</f>
        <v/>
      </c>
    </row>
    <row r="455">
      <c r="J455">
        <f>IF(AND(ISNUMBER('Data'!$F$456),'Data'!$F$456&lt;&gt;999,'Data'!$F$456&lt;&gt;""),'Data'!$F$456,"")</f>
        <v/>
      </c>
      <c r="Z455" t="n">
        <v>1</v>
      </c>
      <c r="AA455">
        <f>IF(ISNUMBER('IN-CLASS_Lab Part C'!$J$455),'IN-CLASS_Lab Part C'!$J$455,NA())</f>
        <v/>
      </c>
    </row>
    <row r="456">
      <c r="J456">
        <f>IF(AND(ISNUMBER('Data'!$F$457),'Data'!$F$457&lt;&gt;999,'Data'!$F$457&lt;&gt;""),'Data'!$F$457,"")</f>
        <v/>
      </c>
      <c r="Z456" t="n">
        <v>1</v>
      </c>
      <c r="AA456">
        <f>IF(ISNUMBER('IN-CLASS_Lab Part C'!$J$456),'IN-CLASS_Lab Part C'!$J$456,NA())</f>
        <v/>
      </c>
    </row>
    <row r="457">
      <c r="J457">
        <f>IF(AND(ISNUMBER('Data'!$F$458),'Data'!$F$458&lt;&gt;999,'Data'!$F$458&lt;&gt;""),'Data'!$F$458,"")</f>
        <v/>
      </c>
      <c r="Z457" t="n">
        <v>1</v>
      </c>
      <c r="AA457">
        <f>IF(ISNUMBER('IN-CLASS_Lab Part C'!$J$457),'IN-CLASS_Lab Part C'!$J$457,NA())</f>
        <v/>
      </c>
    </row>
    <row r="458">
      <c r="J458">
        <f>IF(AND(ISNUMBER('Data'!$F$459),'Data'!$F$459&lt;&gt;999,'Data'!$F$459&lt;&gt;""),'Data'!$F$459,"")</f>
        <v/>
      </c>
      <c r="Z458" t="n">
        <v>1</v>
      </c>
      <c r="AA458">
        <f>IF(ISNUMBER('IN-CLASS_Lab Part C'!$J$458),'IN-CLASS_Lab Part C'!$J$458,NA())</f>
        <v/>
      </c>
    </row>
    <row r="459">
      <c r="J459">
        <f>IF(AND(ISNUMBER('Data'!$F$460),'Data'!$F$460&lt;&gt;999,'Data'!$F$460&lt;&gt;""),'Data'!$F$460,"")</f>
        <v/>
      </c>
      <c r="Z459" t="n">
        <v>1</v>
      </c>
      <c r="AA459">
        <f>IF(ISNUMBER('IN-CLASS_Lab Part C'!$J$459),'IN-CLASS_Lab Part C'!$J$459,NA())</f>
        <v/>
      </c>
    </row>
    <row r="460">
      <c r="J460">
        <f>IF(AND(ISNUMBER('Data'!$F$461),'Data'!$F$461&lt;&gt;999,'Data'!$F$461&lt;&gt;""),'Data'!$F$461,"")</f>
        <v/>
      </c>
      <c r="Z460" t="n">
        <v>1</v>
      </c>
      <c r="AA460">
        <f>IF(ISNUMBER('IN-CLASS_Lab Part C'!$J$460),'IN-CLASS_Lab Part C'!$J$460,NA())</f>
        <v/>
      </c>
    </row>
    <row r="461">
      <c r="J461">
        <f>IF(AND(ISNUMBER('Data'!$F$462),'Data'!$F$462&lt;&gt;999,'Data'!$F$462&lt;&gt;""),'Data'!$F$462,"")</f>
        <v/>
      </c>
      <c r="Z461" t="n">
        <v>1</v>
      </c>
      <c r="AA461">
        <f>IF(ISNUMBER('IN-CLASS_Lab Part C'!$J$461),'IN-CLASS_Lab Part C'!$J$461,NA())</f>
        <v/>
      </c>
    </row>
    <row r="462">
      <c r="J462">
        <f>IF(AND(ISNUMBER('Data'!$F$463),'Data'!$F$463&lt;&gt;999,'Data'!$F$463&lt;&gt;""),'Data'!$F$463,"")</f>
        <v/>
      </c>
      <c r="Z462" t="n">
        <v>1</v>
      </c>
      <c r="AA462">
        <f>IF(ISNUMBER('IN-CLASS_Lab Part C'!$J$462),'IN-CLASS_Lab Part C'!$J$462,NA())</f>
        <v/>
      </c>
    </row>
    <row r="463">
      <c r="J463">
        <f>IF(AND(ISNUMBER('Data'!$F$464),'Data'!$F$464&lt;&gt;999,'Data'!$F$464&lt;&gt;""),'Data'!$F$464,"")</f>
        <v/>
      </c>
      <c r="Z463" t="n">
        <v>1</v>
      </c>
      <c r="AA463">
        <f>IF(ISNUMBER('IN-CLASS_Lab Part C'!$J$463),'IN-CLASS_Lab Part C'!$J$463,NA())</f>
        <v/>
      </c>
    </row>
    <row r="464">
      <c r="J464">
        <f>IF(AND(ISNUMBER('Data'!$F$465),'Data'!$F$465&lt;&gt;999,'Data'!$F$465&lt;&gt;""),'Data'!$F$465,"")</f>
        <v/>
      </c>
      <c r="Z464" t="n">
        <v>1</v>
      </c>
      <c r="AA464">
        <f>IF(ISNUMBER('IN-CLASS_Lab Part C'!$J$464),'IN-CLASS_Lab Part C'!$J$464,NA())</f>
        <v/>
      </c>
    </row>
    <row r="465">
      <c r="J465">
        <f>IF(AND(ISNUMBER('Data'!$F$466),'Data'!$F$466&lt;&gt;999,'Data'!$F$466&lt;&gt;""),'Data'!$F$466,"")</f>
        <v/>
      </c>
      <c r="Z465" t="n">
        <v>1</v>
      </c>
      <c r="AA465">
        <f>IF(ISNUMBER('IN-CLASS_Lab Part C'!$J$465),'IN-CLASS_Lab Part C'!$J$465,NA())</f>
        <v/>
      </c>
    </row>
    <row r="466">
      <c r="J466">
        <f>IF(AND(ISNUMBER('Data'!$F$467),'Data'!$F$467&lt;&gt;999,'Data'!$F$467&lt;&gt;""),'Data'!$F$467,"")</f>
        <v/>
      </c>
      <c r="Z466" t="n">
        <v>1</v>
      </c>
      <c r="AA466">
        <f>IF(ISNUMBER('IN-CLASS_Lab Part C'!$J$466),'IN-CLASS_Lab Part C'!$J$466,NA())</f>
        <v/>
      </c>
    </row>
    <row r="467">
      <c r="J467">
        <f>IF(AND(ISNUMBER('Data'!$F$468),'Data'!$F$468&lt;&gt;999,'Data'!$F$468&lt;&gt;""),'Data'!$F$468,"")</f>
        <v/>
      </c>
      <c r="Z467" t="n">
        <v>1</v>
      </c>
      <c r="AA467">
        <f>IF(ISNUMBER('IN-CLASS_Lab Part C'!$J$467),'IN-CLASS_Lab Part C'!$J$467,NA())</f>
        <v/>
      </c>
    </row>
    <row r="468">
      <c r="J468">
        <f>IF(AND(ISNUMBER('Data'!$F$469),'Data'!$F$469&lt;&gt;999,'Data'!$F$469&lt;&gt;""),'Data'!$F$469,"")</f>
        <v/>
      </c>
      <c r="Z468" t="n">
        <v>1</v>
      </c>
      <c r="AA468">
        <f>IF(ISNUMBER('IN-CLASS_Lab Part C'!$J$468),'IN-CLASS_Lab Part C'!$J$468,NA())</f>
        <v/>
      </c>
    </row>
    <row r="469">
      <c r="J469">
        <f>IF(AND(ISNUMBER('Data'!$F$470),'Data'!$F$470&lt;&gt;999,'Data'!$F$470&lt;&gt;""),'Data'!$F$470,"")</f>
        <v/>
      </c>
      <c r="Z469" t="n">
        <v>1</v>
      </c>
      <c r="AA469">
        <f>IF(ISNUMBER('IN-CLASS_Lab Part C'!$J$469),'IN-CLASS_Lab Part C'!$J$469,NA())</f>
        <v/>
      </c>
    </row>
    <row r="470">
      <c r="J470">
        <f>IF(AND(ISNUMBER('Data'!$F$471),'Data'!$F$471&lt;&gt;999,'Data'!$F$471&lt;&gt;""),'Data'!$F$471,"")</f>
        <v/>
      </c>
      <c r="Z470" t="n">
        <v>1</v>
      </c>
      <c r="AA470">
        <f>IF(ISNUMBER('IN-CLASS_Lab Part C'!$J$470),'IN-CLASS_Lab Part C'!$J$470,NA())</f>
        <v/>
      </c>
    </row>
    <row r="471">
      <c r="J471">
        <f>IF(AND(ISNUMBER('Data'!$F$472),'Data'!$F$472&lt;&gt;999,'Data'!$F$472&lt;&gt;""),'Data'!$F$472,"")</f>
        <v/>
      </c>
      <c r="Z471" t="n">
        <v>1</v>
      </c>
      <c r="AA471">
        <f>IF(ISNUMBER('IN-CLASS_Lab Part C'!$J$471),'IN-CLASS_Lab Part C'!$J$471,NA())</f>
        <v/>
      </c>
    </row>
    <row r="472">
      <c r="J472">
        <f>IF(AND(ISNUMBER('Data'!$F$473),'Data'!$F$473&lt;&gt;999,'Data'!$F$473&lt;&gt;""),'Data'!$F$473,"")</f>
        <v/>
      </c>
      <c r="Z472" t="n">
        <v>1</v>
      </c>
      <c r="AA472">
        <f>IF(ISNUMBER('IN-CLASS_Lab Part C'!$J$472),'IN-CLASS_Lab Part C'!$J$472,NA())</f>
        <v/>
      </c>
    </row>
    <row r="473">
      <c r="J473">
        <f>IF(AND(ISNUMBER('Data'!$F$474),'Data'!$F$474&lt;&gt;999,'Data'!$F$474&lt;&gt;""),'Data'!$F$474,"")</f>
        <v/>
      </c>
      <c r="Z473" t="n">
        <v>1</v>
      </c>
      <c r="AA473">
        <f>IF(ISNUMBER('IN-CLASS_Lab Part C'!$J$473),'IN-CLASS_Lab Part C'!$J$473,NA())</f>
        <v/>
      </c>
    </row>
    <row r="474">
      <c r="J474">
        <f>IF(AND(ISNUMBER('Data'!$F$475),'Data'!$F$475&lt;&gt;999,'Data'!$F$475&lt;&gt;""),'Data'!$F$475,"")</f>
        <v/>
      </c>
      <c r="Z474" t="n">
        <v>1</v>
      </c>
      <c r="AA474">
        <f>IF(ISNUMBER('IN-CLASS_Lab Part C'!$J$474),'IN-CLASS_Lab Part C'!$J$474,NA())</f>
        <v/>
      </c>
    </row>
    <row r="475">
      <c r="J475">
        <f>IF(AND(ISNUMBER('Data'!$F$476),'Data'!$F$476&lt;&gt;999,'Data'!$F$476&lt;&gt;""),'Data'!$F$476,"")</f>
        <v/>
      </c>
      <c r="Z475" t="n">
        <v>1</v>
      </c>
      <c r="AA475">
        <f>IF(ISNUMBER('IN-CLASS_Lab Part C'!$J$475),'IN-CLASS_Lab Part C'!$J$475,NA())</f>
        <v/>
      </c>
    </row>
    <row r="476">
      <c r="J476">
        <f>IF(AND(ISNUMBER('Data'!$F$477),'Data'!$F$477&lt;&gt;999,'Data'!$F$477&lt;&gt;""),'Data'!$F$477,"")</f>
        <v/>
      </c>
      <c r="Z476" t="n">
        <v>1</v>
      </c>
      <c r="AA476">
        <f>IF(ISNUMBER('IN-CLASS_Lab Part C'!$J$476),'IN-CLASS_Lab Part C'!$J$476,NA())</f>
        <v/>
      </c>
    </row>
    <row r="477">
      <c r="J477">
        <f>IF(AND(ISNUMBER('Data'!$F$478),'Data'!$F$478&lt;&gt;999,'Data'!$F$478&lt;&gt;""),'Data'!$F$478,"")</f>
        <v/>
      </c>
      <c r="Z477" t="n">
        <v>1</v>
      </c>
      <c r="AA477">
        <f>IF(ISNUMBER('IN-CLASS_Lab Part C'!$J$477),'IN-CLASS_Lab Part C'!$J$477,NA())</f>
        <v/>
      </c>
    </row>
    <row r="478">
      <c r="J478">
        <f>IF(AND(ISNUMBER('Data'!$F$479),'Data'!$F$479&lt;&gt;999,'Data'!$F$479&lt;&gt;""),'Data'!$F$479,"")</f>
        <v/>
      </c>
      <c r="Z478" t="n">
        <v>1</v>
      </c>
      <c r="AA478">
        <f>IF(ISNUMBER('IN-CLASS_Lab Part C'!$J$478),'IN-CLASS_Lab Part C'!$J$478,NA())</f>
        <v/>
      </c>
    </row>
    <row r="479">
      <c r="J479">
        <f>IF(AND(ISNUMBER('Data'!$F$480),'Data'!$F$480&lt;&gt;999,'Data'!$F$480&lt;&gt;""),'Data'!$F$480,"")</f>
        <v/>
      </c>
      <c r="Z479" t="n">
        <v>1</v>
      </c>
      <c r="AA479">
        <f>IF(ISNUMBER('IN-CLASS_Lab Part C'!$J$479),'IN-CLASS_Lab Part C'!$J$479,NA())</f>
        <v/>
      </c>
    </row>
    <row r="480">
      <c r="J480">
        <f>IF(AND(ISNUMBER('Data'!$F$481),'Data'!$F$481&lt;&gt;999,'Data'!$F$481&lt;&gt;""),'Data'!$F$481,"")</f>
        <v/>
      </c>
      <c r="Z480" t="n">
        <v>1</v>
      </c>
      <c r="AA480">
        <f>IF(ISNUMBER('IN-CLASS_Lab Part C'!$J$480),'IN-CLASS_Lab Part C'!$J$480,NA())</f>
        <v/>
      </c>
    </row>
    <row r="481">
      <c r="J481">
        <f>IF(AND(ISNUMBER('Data'!$F$482),'Data'!$F$482&lt;&gt;999,'Data'!$F$482&lt;&gt;""),'Data'!$F$482,"")</f>
        <v/>
      </c>
      <c r="Z481" t="n">
        <v>1</v>
      </c>
      <c r="AA481">
        <f>IF(ISNUMBER('IN-CLASS_Lab Part C'!$J$481),'IN-CLASS_Lab Part C'!$J$481,NA())</f>
        <v/>
      </c>
    </row>
    <row r="482">
      <c r="J482">
        <f>IF(AND(ISNUMBER('Data'!$F$483),'Data'!$F$483&lt;&gt;999,'Data'!$F$483&lt;&gt;""),'Data'!$F$483,"")</f>
        <v/>
      </c>
      <c r="Z482" t="n">
        <v>1</v>
      </c>
      <c r="AA482">
        <f>IF(ISNUMBER('IN-CLASS_Lab Part C'!$J$482),'IN-CLASS_Lab Part C'!$J$482,NA())</f>
        <v/>
      </c>
    </row>
    <row r="483">
      <c r="J483">
        <f>IF(AND(ISNUMBER('Data'!$F$484),'Data'!$F$484&lt;&gt;999,'Data'!$F$484&lt;&gt;""),'Data'!$F$484,"")</f>
        <v/>
      </c>
      <c r="Z483" t="n">
        <v>1</v>
      </c>
      <c r="AA483">
        <f>IF(ISNUMBER('IN-CLASS_Lab Part C'!$J$483),'IN-CLASS_Lab Part C'!$J$483,NA())</f>
        <v/>
      </c>
    </row>
    <row r="484">
      <c r="J484">
        <f>IF(AND(ISNUMBER('Data'!$F$485),'Data'!$F$485&lt;&gt;999,'Data'!$F$485&lt;&gt;""),'Data'!$F$485,"")</f>
        <v/>
      </c>
      <c r="Z484" t="n">
        <v>1</v>
      </c>
      <c r="AA484">
        <f>IF(ISNUMBER('IN-CLASS_Lab Part C'!$J$484),'IN-CLASS_Lab Part C'!$J$484,NA())</f>
        <v/>
      </c>
    </row>
    <row r="485">
      <c r="J485">
        <f>IF(AND(ISNUMBER('Data'!$F$486),'Data'!$F$486&lt;&gt;999,'Data'!$F$486&lt;&gt;""),'Data'!$F$486,"")</f>
        <v/>
      </c>
      <c r="Z485" t="n">
        <v>1</v>
      </c>
      <c r="AA485">
        <f>IF(ISNUMBER('IN-CLASS_Lab Part C'!$J$485),'IN-CLASS_Lab Part C'!$J$485,NA())</f>
        <v/>
      </c>
    </row>
    <row r="486">
      <c r="J486">
        <f>IF(AND(ISNUMBER('Data'!$F$487),'Data'!$F$487&lt;&gt;999,'Data'!$F$487&lt;&gt;""),'Data'!$F$487,"")</f>
        <v/>
      </c>
      <c r="Z486" t="n">
        <v>1</v>
      </c>
      <c r="AA486">
        <f>IF(ISNUMBER('IN-CLASS_Lab Part C'!$J$486),'IN-CLASS_Lab Part C'!$J$486,NA())</f>
        <v/>
      </c>
    </row>
    <row r="487">
      <c r="J487">
        <f>IF(AND(ISNUMBER('Data'!$F$488),'Data'!$F$488&lt;&gt;999,'Data'!$F$488&lt;&gt;""),'Data'!$F$488,"")</f>
        <v/>
      </c>
      <c r="Z487" t="n">
        <v>1</v>
      </c>
      <c r="AA487">
        <f>IF(ISNUMBER('IN-CLASS_Lab Part C'!$J$487),'IN-CLASS_Lab Part C'!$J$487,NA())</f>
        <v/>
      </c>
    </row>
    <row r="488">
      <c r="J488">
        <f>IF(AND(ISNUMBER('Data'!$F$489),'Data'!$F$489&lt;&gt;999,'Data'!$F$489&lt;&gt;""),'Data'!$F$489,"")</f>
        <v/>
      </c>
      <c r="Z488" t="n">
        <v>1</v>
      </c>
      <c r="AA488">
        <f>IF(ISNUMBER('IN-CLASS_Lab Part C'!$J$488),'IN-CLASS_Lab Part C'!$J$488,NA())</f>
        <v/>
      </c>
    </row>
    <row r="489">
      <c r="J489">
        <f>IF(AND(ISNUMBER('Data'!$F$490),'Data'!$F$490&lt;&gt;999,'Data'!$F$490&lt;&gt;""),'Data'!$F$490,"")</f>
        <v/>
      </c>
      <c r="Z489" t="n">
        <v>1</v>
      </c>
      <c r="AA489">
        <f>IF(ISNUMBER('IN-CLASS_Lab Part C'!$J$489),'IN-CLASS_Lab Part C'!$J$489,NA())</f>
        <v/>
      </c>
    </row>
    <row r="490">
      <c r="J490">
        <f>IF(AND(ISNUMBER('Data'!$F$491),'Data'!$F$491&lt;&gt;999,'Data'!$F$491&lt;&gt;""),'Data'!$F$491,"")</f>
        <v/>
      </c>
      <c r="Z490" t="n">
        <v>1</v>
      </c>
      <c r="AA490">
        <f>IF(ISNUMBER('IN-CLASS_Lab Part C'!$J$490),'IN-CLASS_Lab Part C'!$J$490,NA())</f>
        <v/>
      </c>
    </row>
    <row r="491">
      <c r="J491">
        <f>IF(AND(ISNUMBER('Data'!$F$492),'Data'!$F$492&lt;&gt;999,'Data'!$F$492&lt;&gt;""),'Data'!$F$492,"")</f>
        <v/>
      </c>
      <c r="Z491" t="n">
        <v>1</v>
      </c>
      <c r="AA491">
        <f>IF(ISNUMBER('IN-CLASS_Lab Part C'!$J$491),'IN-CLASS_Lab Part C'!$J$491,NA())</f>
        <v/>
      </c>
    </row>
    <row r="492">
      <c r="J492">
        <f>IF(AND(ISNUMBER('Data'!$F$493),'Data'!$F$493&lt;&gt;999,'Data'!$F$493&lt;&gt;""),'Data'!$F$493,"")</f>
        <v/>
      </c>
      <c r="Z492" t="n">
        <v>1</v>
      </c>
      <c r="AA492">
        <f>IF(ISNUMBER('IN-CLASS_Lab Part C'!$J$492),'IN-CLASS_Lab Part C'!$J$492,NA())</f>
        <v/>
      </c>
    </row>
    <row r="493">
      <c r="J493">
        <f>IF(AND(ISNUMBER('Data'!$F$494),'Data'!$F$494&lt;&gt;999,'Data'!$F$494&lt;&gt;""),'Data'!$F$494,"")</f>
        <v/>
      </c>
      <c r="Z493" t="n">
        <v>1</v>
      </c>
      <c r="AA493">
        <f>IF(ISNUMBER('IN-CLASS_Lab Part C'!$J$493),'IN-CLASS_Lab Part C'!$J$493,NA())</f>
        <v/>
      </c>
    </row>
    <row r="494">
      <c r="J494">
        <f>IF(AND(ISNUMBER('Data'!$F$495),'Data'!$F$495&lt;&gt;999,'Data'!$F$495&lt;&gt;""),'Data'!$F$495,"")</f>
        <v/>
      </c>
      <c r="Z494" t="n">
        <v>1</v>
      </c>
      <c r="AA494">
        <f>IF(ISNUMBER('IN-CLASS_Lab Part C'!$J$494),'IN-CLASS_Lab Part C'!$J$494,NA())</f>
        <v/>
      </c>
    </row>
    <row r="495">
      <c r="J495">
        <f>IF(AND(ISNUMBER('Data'!$F$496),'Data'!$F$496&lt;&gt;999,'Data'!$F$496&lt;&gt;""),'Data'!$F$496,"")</f>
        <v/>
      </c>
      <c r="Z495" t="n">
        <v>1</v>
      </c>
      <c r="AA495">
        <f>IF(ISNUMBER('IN-CLASS_Lab Part C'!$J$495),'IN-CLASS_Lab Part C'!$J$495,NA())</f>
        <v/>
      </c>
    </row>
    <row r="496">
      <c r="J496">
        <f>IF(AND(ISNUMBER('Data'!$F$497),'Data'!$F$497&lt;&gt;999,'Data'!$F$497&lt;&gt;""),'Data'!$F$497,"")</f>
        <v/>
      </c>
      <c r="Z496" t="n">
        <v>1</v>
      </c>
      <c r="AA496">
        <f>IF(ISNUMBER('IN-CLASS_Lab Part C'!$J$496),'IN-CLASS_Lab Part C'!$J$496,NA())</f>
        <v/>
      </c>
    </row>
    <row r="497">
      <c r="J497">
        <f>IF(AND(ISNUMBER('Data'!$F$498),'Data'!$F$498&lt;&gt;999,'Data'!$F$498&lt;&gt;""),'Data'!$F$498,"")</f>
        <v/>
      </c>
      <c r="Z497" t="n">
        <v>1</v>
      </c>
      <c r="AA497">
        <f>IF(ISNUMBER('IN-CLASS_Lab Part C'!$J$497),'IN-CLASS_Lab Part C'!$J$497,NA())</f>
        <v/>
      </c>
    </row>
    <row r="498">
      <c r="J498">
        <f>IF(AND(ISNUMBER('Data'!$F$499),'Data'!$F$499&lt;&gt;999,'Data'!$F$499&lt;&gt;""),'Data'!$F$499,"")</f>
        <v/>
      </c>
      <c r="Z498" t="n">
        <v>1</v>
      </c>
      <c r="AA498">
        <f>IF(ISNUMBER('IN-CLASS_Lab Part C'!$J$498),'IN-CLASS_Lab Part C'!$J$498,NA())</f>
        <v/>
      </c>
    </row>
    <row r="499">
      <c r="J499">
        <f>IF(AND(ISNUMBER('Data'!$F$500),'Data'!$F$500&lt;&gt;999,'Data'!$F$500&lt;&gt;""),'Data'!$F$500,"")</f>
        <v/>
      </c>
      <c r="Z499" t="n">
        <v>1</v>
      </c>
      <c r="AA499">
        <f>IF(ISNUMBER('IN-CLASS_Lab Part C'!$J$499),'IN-CLASS_Lab Part C'!$J$499,NA())</f>
        <v/>
      </c>
    </row>
    <row r="500">
      <c r="J500">
        <f>IF(AND(ISNUMBER('Data'!$F$501),'Data'!$F$501&lt;&gt;999,'Data'!$F$501&lt;&gt;""),'Data'!$F$501,"")</f>
        <v/>
      </c>
      <c r="Z500" t="n">
        <v>1</v>
      </c>
      <c r="AA500">
        <f>IF(ISNUMBER('IN-CLASS_Lab Part C'!$J$500),'IN-CLASS_Lab Part C'!$J$500,NA())</f>
        <v/>
      </c>
    </row>
    <row r="501">
      <c r="J501">
        <f>IF(AND(ISNUMBER('Data'!$F$502),'Data'!$F$502&lt;&gt;999,'Data'!$F$502&lt;&gt;""),'Data'!$F$502,"")</f>
        <v/>
      </c>
      <c r="Z501" t="n">
        <v>1</v>
      </c>
      <c r="AA501">
        <f>IF(ISNUMBER('IN-CLASS_Lab Part C'!$J$501),'IN-CLASS_Lab Part C'!$J$501,NA())</f>
        <v/>
      </c>
    </row>
    <row r="502">
      <c r="J502">
        <f>IF(AND(ISNUMBER('Data'!$F$503),'Data'!$F$503&lt;&gt;999,'Data'!$F$503&lt;&gt;""),'Data'!$F$503,"")</f>
        <v/>
      </c>
      <c r="Z502" t="n">
        <v>1</v>
      </c>
      <c r="AA502">
        <f>IF(ISNUMBER('IN-CLASS_Lab Part C'!$J$502),'IN-CLASS_Lab Part C'!$J$502,NA())</f>
        <v/>
      </c>
    </row>
    <row r="503">
      <c r="J503">
        <f>IF(AND(ISNUMBER('Data'!$F$504),'Data'!$F$504&lt;&gt;999,'Data'!$F$504&lt;&gt;""),'Data'!$F$504,"")</f>
        <v/>
      </c>
      <c r="Z503" t="n">
        <v>1</v>
      </c>
      <c r="AA503">
        <f>IF(ISNUMBER('IN-CLASS_Lab Part C'!$J$503),'IN-CLASS_Lab Part C'!$J$503,NA())</f>
        <v/>
      </c>
    </row>
    <row r="504">
      <c r="J504">
        <f>IF(AND(ISNUMBER('Data'!$F$505),'Data'!$F$505&lt;&gt;999,'Data'!$F$505&lt;&gt;""),'Data'!$F$505,"")</f>
        <v/>
      </c>
      <c r="Z504" t="n">
        <v>1</v>
      </c>
      <c r="AA504">
        <f>IF(ISNUMBER('IN-CLASS_Lab Part C'!$J$504),'IN-CLASS_Lab Part C'!$J$504,NA())</f>
        <v/>
      </c>
    </row>
    <row r="505">
      <c r="J505">
        <f>IF(AND(ISNUMBER('Data'!$F$506),'Data'!$F$506&lt;&gt;999,'Data'!$F$506&lt;&gt;""),'Data'!$F$506,"")</f>
        <v/>
      </c>
      <c r="Z505" t="n">
        <v>1</v>
      </c>
      <c r="AA505">
        <f>IF(ISNUMBER('IN-CLASS_Lab Part C'!$J$505),'IN-CLASS_Lab Part C'!$J$505,NA())</f>
        <v/>
      </c>
    </row>
    <row r="506">
      <c r="J506">
        <f>IF(AND(ISNUMBER('Data'!$F$507),'Data'!$F$507&lt;&gt;999,'Data'!$F$507&lt;&gt;""),'Data'!$F$507,"")</f>
        <v/>
      </c>
      <c r="Z506" t="n">
        <v>1</v>
      </c>
      <c r="AA506">
        <f>IF(ISNUMBER('IN-CLASS_Lab Part C'!$J$506),'IN-CLASS_Lab Part C'!$J$506,NA())</f>
        <v/>
      </c>
    </row>
    <row r="507">
      <c r="J507">
        <f>IF(AND(ISNUMBER('Data'!$F$508),'Data'!$F$508&lt;&gt;999,'Data'!$F$508&lt;&gt;""),'Data'!$F$508,"")</f>
        <v/>
      </c>
      <c r="Z507" t="n">
        <v>1</v>
      </c>
      <c r="AA507">
        <f>IF(ISNUMBER('IN-CLASS_Lab Part C'!$J$507),'IN-CLASS_Lab Part C'!$J$507,NA())</f>
        <v/>
      </c>
    </row>
    <row r="508">
      <c r="J508">
        <f>IF(AND(ISNUMBER('Data'!$F$509),'Data'!$F$509&lt;&gt;999,'Data'!$F$509&lt;&gt;""),'Data'!$F$509,"")</f>
        <v/>
      </c>
      <c r="Z508" t="n">
        <v>1</v>
      </c>
      <c r="AA508">
        <f>IF(ISNUMBER('IN-CLASS_Lab Part C'!$J$508),'IN-CLASS_Lab Part C'!$J$508,NA())</f>
        <v/>
      </c>
    </row>
    <row r="509">
      <c r="J509">
        <f>IF(AND(ISNUMBER('Data'!$F$510),'Data'!$F$510&lt;&gt;999,'Data'!$F$510&lt;&gt;""),'Data'!$F$510,"")</f>
        <v/>
      </c>
      <c r="Z509" t="n">
        <v>1</v>
      </c>
      <c r="AA509">
        <f>IF(ISNUMBER('IN-CLASS_Lab Part C'!$J$509),'IN-CLASS_Lab Part C'!$J$509,NA())</f>
        <v/>
      </c>
    </row>
    <row r="510">
      <c r="J510">
        <f>IF(AND(ISNUMBER('Data'!$F$511),'Data'!$F$511&lt;&gt;999,'Data'!$F$511&lt;&gt;""),'Data'!$F$511,"")</f>
        <v/>
      </c>
      <c r="Z510" t="n">
        <v>1</v>
      </c>
      <c r="AA510">
        <f>IF(ISNUMBER('IN-CLASS_Lab Part C'!$J$510),'IN-CLASS_Lab Part C'!$J$510,NA())</f>
        <v/>
      </c>
    </row>
    <row r="511">
      <c r="J511">
        <f>IF(AND(ISNUMBER('Data'!$F$512),'Data'!$F$512&lt;&gt;999,'Data'!$F$512&lt;&gt;""),'Data'!$F$512,"")</f>
        <v/>
      </c>
      <c r="Z511" t="n">
        <v>1</v>
      </c>
      <c r="AA511">
        <f>IF(ISNUMBER('IN-CLASS_Lab Part C'!$J$511),'IN-CLASS_Lab Part C'!$J$511,NA())</f>
        <v/>
      </c>
    </row>
    <row r="512">
      <c r="J512">
        <f>IF(AND(ISNUMBER('Data'!$F$513),'Data'!$F$513&lt;&gt;999,'Data'!$F$513&lt;&gt;""),'Data'!$F$513,"")</f>
        <v/>
      </c>
      <c r="Z512" t="n">
        <v>1</v>
      </c>
      <c r="AA512">
        <f>IF(ISNUMBER('IN-CLASS_Lab Part C'!$J$512),'IN-CLASS_Lab Part C'!$J$512,NA())</f>
        <v/>
      </c>
    </row>
    <row r="513">
      <c r="J513">
        <f>IF(AND(ISNUMBER('Data'!$F$514),'Data'!$F$514&lt;&gt;999,'Data'!$F$514&lt;&gt;""),'Data'!$F$514,"")</f>
        <v/>
      </c>
      <c r="Z513" t="n">
        <v>1</v>
      </c>
      <c r="AA513">
        <f>IF(ISNUMBER('IN-CLASS_Lab Part C'!$J$513),'IN-CLASS_Lab Part C'!$J$513,NA())</f>
        <v/>
      </c>
    </row>
    <row r="514">
      <c r="J514">
        <f>IF(AND(ISNUMBER('Data'!$F$515),'Data'!$F$515&lt;&gt;999,'Data'!$F$515&lt;&gt;""),'Data'!$F$515,"")</f>
        <v/>
      </c>
      <c r="Z514" t="n">
        <v>1</v>
      </c>
      <c r="AA514">
        <f>IF(ISNUMBER('IN-CLASS_Lab Part C'!$J$514),'IN-CLASS_Lab Part C'!$J$514,NA())</f>
        <v/>
      </c>
    </row>
    <row r="515">
      <c r="J515">
        <f>IF(AND(ISNUMBER('Data'!$F$516),'Data'!$F$516&lt;&gt;999,'Data'!$F$516&lt;&gt;""),'Data'!$F$516,"")</f>
        <v/>
      </c>
      <c r="Z515" t="n">
        <v>1</v>
      </c>
      <c r="AA515">
        <f>IF(ISNUMBER('IN-CLASS_Lab Part C'!$J$515),'IN-CLASS_Lab Part C'!$J$515,NA())</f>
        <v/>
      </c>
    </row>
    <row r="516">
      <c r="J516">
        <f>IF(AND(ISNUMBER('Data'!$F$517),'Data'!$F$517&lt;&gt;999,'Data'!$F$517&lt;&gt;""),'Data'!$F$517,"")</f>
        <v/>
      </c>
      <c r="Z516" t="n">
        <v>1</v>
      </c>
      <c r="AA516">
        <f>IF(ISNUMBER('IN-CLASS_Lab Part C'!$J$516),'IN-CLASS_Lab Part C'!$J$516,NA())</f>
        <v/>
      </c>
    </row>
    <row r="517">
      <c r="J517">
        <f>IF(AND(ISNUMBER('Data'!$F$518),'Data'!$F$518&lt;&gt;999,'Data'!$F$518&lt;&gt;""),'Data'!$F$518,"")</f>
        <v/>
      </c>
      <c r="Z517" t="n">
        <v>1</v>
      </c>
      <c r="AA517">
        <f>IF(ISNUMBER('IN-CLASS_Lab Part C'!$J$517),'IN-CLASS_Lab Part C'!$J$517,NA())</f>
        <v/>
      </c>
    </row>
    <row r="518">
      <c r="J518">
        <f>IF(AND(ISNUMBER('Data'!$F$519),'Data'!$F$519&lt;&gt;999,'Data'!$F$519&lt;&gt;""),'Data'!$F$519,"")</f>
        <v/>
      </c>
      <c r="Z518" t="n">
        <v>1</v>
      </c>
      <c r="AA518">
        <f>IF(ISNUMBER('IN-CLASS_Lab Part C'!$J$518),'IN-CLASS_Lab Part C'!$J$518,NA())</f>
        <v/>
      </c>
    </row>
    <row r="519">
      <c r="J519">
        <f>IF(AND(ISNUMBER('Data'!$F$520),'Data'!$F$520&lt;&gt;999,'Data'!$F$520&lt;&gt;""),'Data'!$F$520,"")</f>
        <v/>
      </c>
      <c r="Z519" t="n">
        <v>1</v>
      </c>
      <c r="AA519">
        <f>IF(ISNUMBER('IN-CLASS_Lab Part C'!$J$519),'IN-CLASS_Lab Part C'!$J$519,NA())</f>
        <v/>
      </c>
    </row>
    <row r="520">
      <c r="J520">
        <f>IF(AND(ISNUMBER('Data'!$F$521),'Data'!$F$521&lt;&gt;999,'Data'!$F$521&lt;&gt;""),'Data'!$F$521,"")</f>
        <v/>
      </c>
      <c r="Z520" t="n">
        <v>1</v>
      </c>
      <c r="AA520">
        <f>IF(ISNUMBER('IN-CLASS_Lab Part C'!$J$520),'IN-CLASS_Lab Part C'!$J$520,NA())</f>
        <v/>
      </c>
    </row>
    <row r="521">
      <c r="J521">
        <f>IF(AND(ISNUMBER('Data'!$F$522),'Data'!$F$522&lt;&gt;999,'Data'!$F$522&lt;&gt;""),'Data'!$F$522,"")</f>
        <v/>
      </c>
      <c r="Z521" t="n">
        <v>1</v>
      </c>
      <c r="AA521">
        <f>IF(ISNUMBER('IN-CLASS_Lab Part C'!$J$521),'IN-CLASS_Lab Part C'!$J$521,NA())</f>
        <v/>
      </c>
    </row>
    <row r="522">
      <c r="J522">
        <f>IF(AND(ISNUMBER('Data'!$F$523),'Data'!$F$523&lt;&gt;999,'Data'!$F$523&lt;&gt;""),'Data'!$F$523,"")</f>
        <v/>
      </c>
      <c r="Z522" t="n">
        <v>1</v>
      </c>
      <c r="AA522">
        <f>IF(ISNUMBER('IN-CLASS_Lab Part C'!$J$522),'IN-CLASS_Lab Part C'!$J$522,NA())</f>
        <v/>
      </c>
    </row>
    <row r="523">
      <c r="J523">
        <f>IF(AND(ISNUMBER('Data'!$F$524),'Data'!$F$524&lt;&gt;999,'Data'!$F$524&lt;&gt;""),'Data'!$F$524,"")</f>
        <v/>
      </c>
      <c r="Z523" t="n">
        <v>1</v>
      </c>
      <c r="AA523">
        <f>IF(ISNUMBER('IN-CLASS_Lab Part C'!$J$523),'IN-CLASS_Lab Part C'!$J$523,NA())</f>
        <v/>
      </c>
    </row>
    <row r="524">
      <c r="J524">
        <f>IF(AND(ISNUMBER('Data'!$F$525),'Data'!$F$525&lt;&gt;999,'Data'!$F$525&lt;&gt;""),'Data'!$F$525,"")</f>
        <v/>
      </c>
      <c r="Z524" t="n">
        <v>1</v>
      </c>
      <c r="AA524">
        <f>IF(ISNUMBER('IN-CLASS_Lab Part C'!$J$524),'IN-CLASS_Lab Part C'!$J$524,NA())</f>
        <v/>
      </c>
    </row>
    <row r="525">
      <c r="J525">
        <f>IF(AND(ISNUMBER('Data'!$F$526),'Data'!$F$526&lt;&gt;999,'Data'!$F$526&lt;&gt;""),'Data'!$F$526,"")</f>
        <v/>
      </c>
      <c r="Z525" t="n">
        <v>1</v>
      </c>
      <c r="AA525">
        <f>IF(ISNUMBER('IN-CLASS_Lab Part C'!$J$525),'IN-CLASS_Lab Part C'!$J$525,NA())</f>
        <v/>
      </c>
    </row>
    <row r="526">
      <c r="J526">
        <f>IF(AND(ISNUMBER('Data'!$F$527),'Data'!$F$527&lt;&gt;999,'Data'!$F$527&lt;&gt;""),'Data'!$F$527,"")</f>
        <v/>
      </c>
      <c r="Z526" t="n">
        <v>1</v>
      </c>
      <c r="AA526">
        <f>IF(ISNUMBER('IN-CLASS_Lab Part C'!$J$526),'IN-CLASS_Lab Part C'!$J$526,NA())</f>
        <v/>
      </c>
    </row>
    <row r="527">
      <c r="J527">
        <f>IF(AND(ISNUMBER('Data'!$F$528),'Data'!$F$528&lt;&gt;999,'Data'!$F$528&lt;&gt;""),'Data'!$F$528,"")</f>
        <v/>
      </c>
      <c r="Z527" t="n">
        <v>1</v>
      </c>
      <c r="AA527">
        <f>IF(ISNUMBER('IN-CLASS_Lab Part C'!$J$527),'IN-CLASS_Lab Part C'!$J$527,NA())</f>
        <v/>
      </c>
    </row>
    <row r="528">
      <c r="J528">
        <f>IF(AND(ISNUMBER('Data'!$F$529),'Data'!$F$529&lt;&gt;999,'Data'!$F$529&lt;&gt;""),'Data'!$F$529,"")</f>
        <v/>
      </c>
      <c r="Z528" t="n">
        <v>1</v>
      </c>
      <c r="AA528">
        <f>IF(ISNUMBER('IN-CLASS_Lab Part C'!$J$528),'IN-CLASS_Lab Part C'!$J$528,NA())</f>
        <v/>
      </c>
    </row>
    <row r="529">
      <c r="J529">
        <f>IF(AND(ISNUMBER('Data'!$F$530),'Data'!$F$530&lt;&gt;999,'Data'!$F$530&lt;&gt;""),'Data'!$F$530,"")</f>
        <v/>
      </c>
      <c r="Z529" t="n">
        <v>1</v>
      </c>
      <c r="AA529">
        <f>IF(ISNUMBER('IN-CLASS_Lab Part C'!$J$529),'IN-CLASS_Lab Part C'!$J$529,NA())</f>
        <v/>
      </c>
    </row>
    <row r="530">
      <c r="J530">
        <f>IF(AND(ISNUMBER('Data'!$F$531),'Data'!$F$531&lt;&gt;999,'Data'!$F$531&lt;&gt;""),'Data'!$F$531,"")</f>
        <v/>
      </c>
      <c r="Z530" t="n">
        <v>1</v>
      </c>
      <c r="AA530">
        <f>IF(ISNUMBER('IN-CLASS_Lab Part C'!$J$530),'IN-CLASS_Lab Part C'!$J$530,NA())</f>
        <v/>
      </c>
    </row>
    <row r="531">
      <c r="J531">
        <f>IF(AND(ISNUMBER('Data'!$F$532),'Data'!$F$532&lt;&gt;999,'Data'!$F$532&lt;&gt;""),'Data'!$F$532,"")</f>
        <v/>
      </c>
      <c r="Z531" t="n">
        <v>1</v>
      </c>
      <c r="AA531">
        <f>IF(ISNUMBER('IN-CLASS_Lab Part C'!$J$531),'IN-CLASS_Lab Part C'!$J$531,NA())</f>
        <v/>
      </c>
    </row>
    <row r="532">
      <c r="J532">
        <f>IF(AND(ISNUMBER('Data'!$F$533),'Data'!$F$533&lt;&gt;999,'Data'!$F$533&lt;&gt;""),'Data'!$F$533,"")</f>
        <v/>
      </c>
      <c r="Z532" t="n">
        <v>1</v>
      </c>
      <c r="AA532">
        <f>IF(ISNUMBER('IN-CLASS_Lab Part C'!$J$532),'IN-CLASS_Lab Part C'!$J$532,NA())</f>
        <v/>
      </c>
    </row>
    <row r="533">
      <c r="J533">
        <f>IF(AND(ISNUMBER('Data'!$F$534),'Data'!$F$534&lt;&gt;999,'Data'!$F$534&lt;&gt;""),'Data'!$F$534,"")</f>
        <v/>
      </c>
      <c r="Z533" t="n">
        <v>1</v>
      </c>
      <c r="AA533">
        <f>IF(ISNUMBER('IN-CLASS_Lab Part C'!$J$533),'IN-CLASS_Lab Part C'!$J$533,NA())</f>
        <v/>
      </c>
    </row>
    <row r="534">
      <c r="J534">
        <f>IF(AND(ISNUMBER('Data'!$F$535),'Data'!$F$535&lt;&gt;999,'Data'!$F$535&lt;&gt;""),'Data'!$F$535,"")</f>
        <v/>
      </c>
      <c r="Z534" t="n">
        <v>1</v>
      </c>
      <c r="AA534">
        <f>IF(ISNUMBER('IN-CLASS_Lab Part C'!$J$534),'IN-CLASS_Lab Part C'!$J$534,NA())</f>
        <v/>
      </c>
    </row>
    <row r="535">
      <c r="J535">
        <f>IF(AND(ISNUMBER('Data'!$F$536),'Data'!$F$536&lt;&gt;999,'Data'!$F$536&lt;&gt;""),'Data'!$F$536,"")</f>
        <v/>
      </c>
      <c r="Z535" t="n">
        <v>1</v>
      </c>
      <c r="AA535">
        <f>IF(ISNUMBER('IN-CLASS_Lab Part C'!$J$535),'IN-CLASS_Lab Part C'!$J$535,NA())</f>
        <v/>
      </c>
    </row>
    <row r="536">
      <c r="J536">
        <f>IF(AND(ISNUMBER('Data'!$F$537),'Data'!$F$537&lt;&gt;999,'Data'!$F$537&lt;&gt;""),'Data'!$F$537,"")</f>
        <v/>
      </c>
      <c r="Z536" t="n">
        <v>1</v>
      </c>
      <c r="AA536">
        <f>IF(ISNUMBER('IN-CLASS_Lab Part C'!$J$536),'IN-CLASS_Lab Part C'!$J$536,NA())</f>
        <v/>
      </c>
    </row>
    <row r="537">
      <c r="J537">
        <f>IF(AND(ISNUMBER('Data'!$F$538),'Data'!$F$538&lt;&gt;999,'Data'!$F$538&lt;&gt;""),'Data'!$F$538,"")</f>
        <v/>
      </c>
      <c r="Z537" t="n">
        <v>1</v>
      </c>
      <c r="AA537">
        <f>IF(ISNUMBER('IN-CLASS_Lab Part C'!$J$537),'IN-CLASS_Lab Part C'!$J$537,NA())</f>
        <v/>
      </c>
    </row>
    <row r="538">
      <c r="J538">
        <f>IF(AND(ISNUMBER('Data'!$F$539),'Data'!$F$539&lt;&gt;999,'Data'!$F$539&lt;&gt;""),'Data'!$F$539,"")</f>
        <v/>
      </c>
      <c r="Z538" t="n">
        <v>1</v>
      </c>
      <c r="AA538">
        <f>IF(ISNUMBER('IN-CLASS_Lab Part C'!$J$538),'IN-CLASS_Lab Part C'!$J$538,NA())</f>
        <v/>
      </c>
    </row>
    <row r="539">
      <c r="J539">
        <f>IF(AND(ISNUMBER('Data'!$F$540),'Data'!$F$540&lt;&gt;999,'Data'!$F$540&lt;&gt;""),'Data'!$F$540,"")</f>
        <v/>
      </c>
      <c r="Z539" t="n">
        <v>1</v>
      </c>
      <c r="AA539">
        <f>IF(ISNUMBER('IN-CLASS_Lab Part C'!$J$539),'IN-CLASS_Lab Part C'!$J$539,NA())</f>
        <v/>
      </c>
    </row>
    <row r="540">
      <c r="J540">
        <f>IF(AND(ISNUMBER('Data'!$F$541),'Data'!$F$541&lt;&gt;999,'Data'!$F$541&lt;&gt;""),'Data'!$F$541,"")</f>
        <v/>
      </c>
      <c r="Z540" t="n">
        <v>1</v>
      </c>
      <c r="AA540">
        <f>IF(ISNUMBER('IN-CLASS_Lab Part C'!$J$540),'IN-CLASS_Lab Part C'!$J$540,NA())</f>
        <v/>
      </c>
    </row>
    <row r="541">
      <c r="J541">
        <f>IF(AND(ISNUMBER('Data'!$F$542),'Data'!$F$542&lt;&gt;999,'Data'!$F$542&lt;&gt;""),'Data'!$F$542,"")</f>
        <v/>
      </c>
      <c r="Z541" t="n">
        <v>1</v>
      </c>
      <c r="AA541">
        <f>IF(ISNUMBER('IN-CLASS_Lab Part C'!$J$541),'IN-CLASS_Lab Part C'!$J$541,NA())</f>
        <v/>
      </c>
    </row>
    <row r="542">
      <c r="J542">
        <f>IF(AND(ISNUMBER('Data'!$F$543),'Data'!$F$543&lt;&gt;999,'Data'!$F$543&lt;&gt;""),'Data'!$F$543,"")</f>
        <v/>
      </c>
      <c r="Z542" t="n">
        <v>1</v>
      </c>
      <c r="AA542">
        <f>IF(ISNUMBER('IN-CLASS_Lab Part C'!$J$542),'IN-CLASS_Lab Part C'!$J$542,NA())</f>
        <v/>
      </c>
    </row>
    <row r="543">
      <c r="J543">
        <f>IF(AND(ISNUMBER('Data'!$F$544),'Data'!$F$544&lt;&gt;999,'Data'!$F$544&lt;&gt;""),'Data'!$F$544,"")</f>
        <v/>
      </c>
      <c r="Z543" t="n">
        <v>1</v>
      </c>
      <c r="AA543">
        <f>IF(ISNUMBER('IN-CLASS_Lab Part C'!$J$543),'IN-CLASS_Lab Part C'!$J$543,NA())</f>
        <v/>
      </c>
    </row>
    <row r="544">
      <c r="J544">
        <f>IF(AND(ISNUMBER('Data'!$F$545),'Data'!$F$545&lt;&gt;999,'Data'!$F$545&lt;&gt;""),'Data'!$F$545,"")</f>
        <v/>
      </c>
      <c r="Z544" t="n">
        <v>1</v>
      </c>
      <c r="AA544">
        <f>IF(ISNUMBER('IN-CLASS_Lab Part C'!$J$544),'IN-CLASS_Lab Part C'!$J$544,NA())</f>
        <v/>
      </c>
    </row>
    <row r="545">
      <c r="J545">
        <f>IF(AND(ISNUMBER('Data'!$F$546),'Data'!$F$546&lt;&gt;999,'Data'!$F$546&lt;&gt;""),'Data'!$F$546,"")</f>
        <v/>
      </c>
      <c r="Z545" t="n">
        <v>1</v>
      </c>
      <c r="AA545">
        <f>IF(ISNUMBER('IN-CLASS_Lab Part C'!$J$545),'IN-CLASS_Lab Part C'!$J$545,NA())</f>
        <v/>
      </c>
    </row>
    <row r="546">
      <c r="J546">
        <f>IF(AND(ISNUMBER('Data'!$F$547),'Data'!$F$547&lt;&gt;999,'Data'!$F$547&lt;&gt;""),'Data'!$F$547,"")</f>
        <v/>
      </c>
      <c r="Z546" t="n">
        <v>1</v>
      </c>
      <c r="AA546">
        <f>IF(ISNUMBER('IN-CLASS_Lab Part C'!$J$546),'IN-CLASS_Lab Part C'!$J$546,NA())</f>
        <v/>
      </c>
    </row>
    <row r="547">
      <c r="J547">
        <f>IF(AND(ISNUMBER('Data'!$F$548),'Data'!$F$548&lt;&gt;999,'Data'!$F$548&lt;&gt;""),'Data'!$F$548,"")</f>
        <v/>
      </c>
      <c r="Z547" t="n">
        <v>1</v>
      </c>
      <c r="AA547">
        <f>IF(ISNUMBER('IN-CLASS_Lab Part C'!$J$547),'IN-CLASS_Lab Part C'!$J$547,NA())</f>
        <v/>
      </c>
    </row>
    <row r="548">
      <c r="J548">
        <f>IF(AND(ISNUMBER('Data'!$F$549),'Data'!$F$549&lt;&gt;999,'Data'!$F$549&lt;&gt;""),'Data'!$F$549,"")</f>
        <v/>
      </c>
      <c r="Z548" t="n">
        <v>1</v>
      </c>
      <c r="AA548">
        <f>IF(ISNUMBER('IN-CLASS_Lab Part C'!$J$548),'IN-CLASS_Lab Part C'!$J$548,NA())</f>
        <v/>
      </c>
    </row>
    <row r="549">
      <c r="J549">
        <f>IF(AND(ISNUMBER('Data'!$F$550),'Data'!$F$550&lt;&gt;999,'Data'!$F$550&lt;&gt;""),'Data'!$F$550,"")</f>
        <v/>
      </c>
      <c r="Z549" t="n">
        <v>1</v>
      </c>
      <c r="AA549">
        <f>IF(ISNUMBER('IN-CLASS_Lab Part C'!$J$549),'IN-CLASS_Lab Part C'!$J$549,NA())</f>
        <v/>
      </c>
    </row>
    <row r="550">
      <c r="J550">
        <f>IF(AND(ISNUMBER('Data'!$F$551),'Data'!$F$551&lt;&gt;999,'Data'!$F$551&lt;&gt;""),'Data'!$F$551,"")</f>
        <v/>
      </c>
      <c r="Z550" t="n">
        <v>1</v>
      </c>
      <c r="AA550">
        <f>IF(ISNUMBER('IN-CLASS_Lab Part C'!$J$550),'IN-CLASS_Lab Part C'!$J$550,NA())</f>
        <v/>
      </c>
    </row>
    <row r="551">
      <c r="J551">
        <f>IF(AND(ISNUMBER('Data'!$F$552),'Data'!$F$552&lt;&gt;999,'Data'!$F$552&lt;&gt;""),'Data'!$F$552,"")</f>
        <v/>
      </c>
      <c r="Z551" t="n">
        <v>1</v>
      </c>
      <c r="AA551">
        <f>IF(ISNUMBER('IN-CLASS_Lab Part C'!$J$551),'IN-CLASS_Lab Part C'!$J$551,NA())</f>
        <v/>
      </c>
    </row>
    <row r="552">
      <c r="J552">
        <f>IF(AND(ISNUMBER('Data'!$F$553),'Data'!$F$553&lt;&gt;999,'Data'!$F$553&lt;&gt;""),'Data'!$F$553,"")</f>
        <v/>
      </c>
      <c r="Z552" t="n">
        <v>1</v>
      </c>
      <c r="AA552">
        <f>IF(ISNUMBER('IN-CLASS_Lab Part C'!$J$552),'IN-CLASS_Lab Part C'!$J$552,NA())</f>
        <v/>
      </c>
    </row>
    <row r="553">
      <c r="J553">
        <f>IF(AND(ISNUMBER('Data'!$F$554),'Data'!$F$554&lt;&gt;999,'Data'!$F$554&lt;&gt;""),'Data'!$F$554,"")</f>
        <v/>
      </c>
      <c r="Z553" t="n">
        <v>1</v>
      </c>
      <c r="AA553">
        <f>IF(ISNUMBER('IN-CLASS_Lab Part C'!$J$553),'IN-CLASS_Lab Part C'!$J$553,NA())</f>
        <v/>
      </c>
    </row>
    <row r="554">
      <c r="J554">
        <f>IF(AND(ISNUMBER('Data'!$F$555),'Data'!$F$555&lt;&gt;999,'Data'!$F$555&lt;&gt;""),'Data'!$F$555,"")</f>
        <v/>
      </c>
      <c r="Z554" t="n">
        <v>1</v>
      </c>
      <c r="AA554">
        <f>IF(ISNUMBER('IN-CLASS_Lab Part C'!$J$554),'IN-CLASS_Lab Part C'!$J$554,NA())</f>
        <v/>
      </c>
    </row>
    <row r="555">
      <c r="J555">
        <f>IF(AND(ISNUMBER('Data'!$F$556),'Data'!$F$556&lt;&gt;999,'Data'!$F$556&lt;&gt;""),'Data'!$F$556,"")</f>
        <v/>
      </c>
      <c r="Z555" t="n">
        <v>1</v>
      </c>
      <c r="AA555">
        <f>IF(ISNUMBER('IN-CLASS_Lab Part C'!$J$555),'IN-CLASS_Lab Part C'!$J$555,NA())</f>
        <v/>
      </c>
    </row>
    <row r="556">
      <c r="J556">
        <f>IF(AND(ISNUMBER('Data'!$F$557),'Data'!$F$557&lt;&gt;999,'Data'!$F$557&lt;&gt;""),'Data'!$F$557,"")</f>
        <v/>
      </c>
      <c r="Z556" t="n">
        <v>1</v>
      </c>
      <c r="AA556">
        <f>IF(ISNUMBER('IN-CLASS_Lab Part C'!$J$556),'IN-CLASS_Lab Part C'!$J$556,NA())</f>
        <v/>
      </c>
    </row>
    <row r="557">
      <c r="J557">
        <f>IF(AND(ISNUMBER('Data'!$F$558),'Data'!$F$558&lt;&gt;999,'Data'!$F$558&lt;&gt;""),'Data'!$F$558,"")</f>
        <v/>
      </c>
      <c r="Z557" t="n">
        <v>1</v>
      </c>
      <c r="AA557">
        <f>IF(ISNUMBER('IN-CLASS_Lab Part C'!$J$557),'IN-CLASS_Lab Part C'!$J$557,NA())</f>
        <v/>
      </c>
    </row>
    <row r="558">
      <c r="J558">
        <f>IF(AND(ISNUMBER('Data'!$F$559),'Data'!$F$559&lt;&gt;999,'Data'!$F$559&lt;&gt;""),'Data'!$F$559,"")</f>
        <v/>
      </c>
      <c r="Z558" t="n">
        <v>1</v>
      </c>
      <c r="AA558">
        <f>IF(ISNUMBER('IN-CLASS_Lab Part C'!$J$558),'IN-CLASS_Lab Part C'!$J$558,NA())</f>
        <v/>
      </c>
    </row>
    <row r="559">
      <c r="J559">
        <f>IF(AND(ISNUMBER('Data'!$F$560),'Data'!$F$560&lt;&gt;999,'Data'!$F$560&lt;&gt;""),'Data'!$F$560,"")</f>
        <v/>
      </c>
      <c r="Z559" t="n">
        <v>1</v>
      </c>
      <c r="AA559">
        <f>IF(ISNUMBER('IN-CLASS_Lab Part C'!$J$559),'IN-CLASS_Lab Part C'!$J$559,NA())</f>
        <v/>
      </c>
    </row>
    <row r="560">
      <c r="J560">
        <f>IF(AND(ISNUMBER('Data'!$F$561),'Data'!$F$561&lt;&gt;999,'Data'!$F$561&lt;&gt;""),'Data'!$F$561,"")</f>
        <v/>
      </c>
      <c r="Z560" t="n">
        <v>1</v>
      </c>
      <c r="AA560">
        <f>IF(ISNUMBER('IN-CLASS_Lab Part C'!$J$560),'IN-CLASS_Lab Part C'!$J$560,NA())</f>
        <v/>
      </c>
    </row>
    <row r="561">
      <c r="J561">
        <f>IF(AND(ISNUMBER('Data'!$F$562),'Data'!$F$562&lt;&gt;999,'Data'!$F$562&lt;&gt;""),'Data'!$F$562,"")</f>
        <v/>
      </c>
      <c r="Z561" t="n">
        <v>1</v>
      </c>
      <c r="AA561">
        <f>IF(ISNUMBER('IN-CLASS_Lab Part C'!$J$561),'IN-CLASS_Lab Part C'!$J$561,NA())</f>
        <v/>
      </c>
    </row>
    <row r="562">
      <c r="J562">
        <f>IF(AND(ISNUMBER('Data'!$F$563),'Data'!$F$563&lt;&gt;999,'Data'!$F$563&lt;&gt;""),'Data'!$F$563,"")</f>
        <v/>
      </c>
      <c r="Z562" t="n">
        <v>1</v>
      </c>
      <c r="AA562">
        <f>IF(ISNUMBER('IN-CLASS_Lab Part C'!$J$562),'IN-CLASS_Lab Part C'!$J$562,NA())</f>
        <v/>
      </c>
    </row>
    <row r="563">
      <c r="J563">
        <f>IF(AND(ISNUMBER('Data'!$F$564),'Data'!$F$564&lt;&gt;999,'Data'!$F$564&lt;&gt;""),'Data'!$F$564,"")</f>
        <v/>
      </c>
      <c r="Z563" t="n">
        <v>1</v>
      </c>
      <c r="AA563">
        <f>IF(ISNUMBER('IN-CLASS_Lab Part C'!$J$563),'IN-CLASS_Lab Part C'!$J$563,NA())</f>
        <v/>
      </c>
    </row>
    <row r="564">
      <c r="J564">
        <f>IF(AND(ISNUMBER('Data'!$F$565),'Data'!$F$565&lt;&gt;999,'Data'!$F$565&lt;&gt;""),'Data'!$F$565,"")</f>
        <v/>
      </c>
      <c r="Z564" t="n">
        <v>1</v>
      </c>
      <c r="AA564">
        <f>IF(ISNUMBER('IN-CLASS_Lab Part C'!$J$564),'IN-CLASS_Lab Part C'!$J$564,NA())</f>
        <v/>
      </c>
    </row>
    <row r="565">
      <c r="J565">
        <f>IF(AND(ISNUMBER('Data'!$F$566),'Data'!$F$566&lt;&gt;999,'Data'!$F$566&lt;&gt;""),'Data'!$F$566,"")</f>
        <v/>
      </c>
      <c r="Z565" t="n">
        <v>1</v>
      </c>
      <c r="AA565">
        <f>IF(ISNUMBER('IN-CLASS_Lab Part C'!$J$565),'IN-CLASS_Lab Part C'!$J$565,NA())</f>
        <v/>
      </c>
    </row>
    <row r="566">
      <c r="J566">
        <f>IF(AND(ISNUMBER('Data'!$F$567),'Data'!$F$567&lt;&gt;999,'Data'!$F$567&lt;&gt;""),'Data'!$F$567,"")</f>
        <v/>
      </c>
      <c r="Z566" t="n">
        <v>1</v>
      </c>
      <c r="AA566">
        <f>IF(ISNUMBER('IN-CLASS_Lab Part C'!$J$566),'IN-CLASS_Lab Part C'!$J$566,NA())</f>
        <v/>
      </c>
    </row>
    <row r="567">
      <c r="J567">
        <f>IF(AND(ISNUMBER('Data'!$F$568),'Data'!$F$568&lt;&gt;999,'Data'!$F$568&lt;&gt;""),'Data'!$F$568,"")</f>
        <v/>
      </c>
      <c r="Z567" t="n">
        <v>1</v>
      </c>
      <c r="AA567">
        <f>IF(ISNUMBER('IN-CLASS_Lab Part C'!$J$567),'IN-CLASS_Lab Part C'!$J$567,NA())</f>
        <v/>
      </c>
    </row>
    <row r="568">
      <c r="J568">
        <f>IF(AND(ISNUMBER('Data'!$F$569),'Data'!$F$569&lt;&gt;999,'Data'!$F$569&lt;&gt;""),'Data'!$F$569,"")</f>
        <v/>
      </c>
      <c r="Z568" t="n">
        <v>1</v>
      </c>
      <c r="AA568">
        <f>IF(ISNUMBER('IN-CLASS_Lab Part C'!$J$568),'IN-CLASS_Lab Part C'!$J$568,NA())</f>
        <v/>
      </c>
    </row>
    <row r="569">
      <c r="J569">
        <f>IF(AND(ISNUMBER('Data'!$F$570),'Data'!$F$570&lt;&gt;999,'Data'!$F$570&lt;&gt;""),'Data'!$F$570,"")</f>
        <v/>
      </c>
      <c r="Z569" t="n">
        <v>1</v>
      </c>
      <c r="AA569">
        <f>IF(ISNUMBER('IN-CLASS_Lab Part C'!$J$569),'IN-CLASS_Lab Part C'!$J$569,NA())</f>
        <v/>
      </c>
    </row>
    <row r="570">
      <c r="J570">
        <f>IF(AND(ISNUMBER('Data'!$F$571),'Data'!$F$571&lt;&gt;999,'Data'!$F$571&lt;&gt;""),'Data'!$F$571,"")</f>
        <v/>
      </c>
      <c r="Z570" t="n">
        <v>1</v>
      </c>
      <c r="AA570">
        <f>IF(ISNUMBER('IN-CLASS_Lab Part C'!$J$570),'IN-CLASS_Lab Part C'!$J$570,NA())</f>
        <v/>
      </c>
    </row>
    <row r="571">
      <c r="J571">
        <f>IF(AND(ISNUMBER('Data'!$F$572),'Data'!$F$572&lt;&gt;999,'Data'!$F$572&lt;&gt;""),'Data'!$F$572,"")</f>
        <v/>
      </c>
      <c r="Z571" t="n">
        <v>1</v>
      </c>
      <c r="AA571">
        <f>IF(ISNUMBER('IN-CLASS_Lab Part C'!$J$571),'IN-CLASS_Lab Part C'!$J$571,NA())</f>
        <v/>
      </c>
    </row>
    <row r="572">
      <c r="J572">
        <f>IF(AND(ISNUMBER('Data'!$F$573),'Data'!$F$573&lt;&gt;999,'Data'!$F$573&lt;&gt;""),'Data'!$F$573,"")</f>
        <v/>
      </c>
      <c r="Z572" t="n">
        <v>1</v>
      </c>
      <c r="AA572">
        <f>IF(ISNUMBER('IN-CLASS_Lab Part C'!$J$572),'IN-CLASS_Lab Part C'!$J$572,NA())</f>
        <v/>
      </c>
    </row>
    <row r="573">
      <c r="J573">
        <f>IF(AND(ISNUMBER('Data'!$F$574),'Data'!$F$574&lt;&gt;999,'Data'!$F$574&lt;&gt;""),'Data'!$F$574,"")</f>
        <v/>
      </c>
      <c r="Z573" t="n">
        <v>1</v>
      </c>
      <c r="AA573">
        <f>IF(ISNUMBER('IN-CLASS_Lab Part C'!$J$573),'IN-CLASS_Lab Part C'!$J$573,NA())</f>
        <v/>
      </c>
    </row>
    <row r="574">
      <c r="J574">
        <f>IF(AND(ISNUMBER('Data'!$F$575),'Data'!$F$575&lt;&gt;999,'Data'!$F$575&lt;&gt;""),'Data'!$F$575,"")</f>
        <v/>
      </c>
      <c r="Z574" t="n">
        <v>1</v>
      </c>
      <c r="AA574">
        <f>IF(ISNUMBER('IN-CLASS_Lab Part C'!$J$574),'IN-CLASS_Lab Part C'!$J$574,NA())</f>
        <v/>
      </c>
    </row>
    <row r="575">
      <c r="J575">
        <f>IF(AND(ISNUMBER('Data'!$F$576),'Data'!$F$576&lt;&gt;999,'Data'!$F$576&lt;&gt;""),'Data'!$F$576,"")</f>
        <v/>
      </c>
      <c r="Z575" t="n">
        <v>1</v>
      </c>
      <c r="AA575">
        <f>IF(ISNUMBER('IN-CLASS_Lab Part C'!$J$575),'IN-CLASS_Lab Part C'!$J$575,NA())</f>
        <v/>
      </c>
    </row>
    <row r="576">
      <c r="J576">
        <f>IF(AND(ISNUMBER('Data'!$F$577),'Data'!$F$577&lt;&gt;999,'Data'!$F$577&lt;&gt;""),'Data'!$F$577,"")</f>
        <v/>
      </c>
      <c r="Z576" t="n">
        <v>1</v>
      </c>
      <c r="AA576">
        <f>IF(ISNUMBER('IN-CLASS_Lab Part C'!$J$576),'IN-CLASS_Lab Part C'!$J$576,NA())</f>
        <v/>
      </c>
    </row>
    <row r="577">
      <c r="J577">
        <f>IF(AND(ISNUMBER('Data'!$F$578),'Data'!$F$578&lt;&gt;999,'Data'!$F$578&lt;&gt;""),'Data'!$F$578,"")</f>
        <v/>
      </c>
      <c r="Z577" t="n">
        <v>1</v>
      </c>
      <c r="AA577">
        <f>IF(ISNUMBER('IN-CLASS_Lab Part C'!$J$577),'IN-CLASS_Lab Part C'!$J$577,NA())</f>
        <v/>
      </c>
    </row>
    <row r="578">
      <c r="J578">
        <f>IF(AND(ISNUMBER('Data'!$F$579),'Data'!$F$579&lt;&gt;999,'Data'!$F$579&lt;&gt;""),'Data'!$F$579,"")</f>
        <v/>
      </c>
      <c r="Z578" t="n">
        <v>1</v>
      </c>
      <c r="AA578">
        <f>IF(ISNUMBER('IN-CLASS_Lab Part C'!$J$578),'IN-CLASS_Lab Part C'!$J$578,NA())</f>
        <v/>
      </c>
    </row>
    <row r="579">
      <c r="J579">
        <f>IF(AND(ISNUMBER('Data'!$F$580),'Data'!$F$580&lt;&gt;999,'Data'!$F$580&lt;&gt;""),'Data'!$F$580,"")</f>
        <v/>
      </c>
      <c r="Z579" t="n">
        <v>1</v>
      </c>
      <c r="AA579">
        <f>IF(ISNUMBER('IN-CLASS_Lab Part C'!$J$579),'IN-CLASS_Lab Part C'!$J$579,NA())</f>
        <v/>
      </c>
    </row>
    <row r="580">
      <c r="J580">
        <f>IF(AND(ISNUMBER('Data'!$F$581),'Data'!$F$581&lt;&gt;999,'Data'!$F$581&lt;&gt;""),'Data'!$F$581,"")</f>
        <v/>
      </c>
      <c r="Z580" t="n">
        <v>1</v>
      </c>
      <c r="AA580">
        <f>IF(ISNUMBER('IN-CLASS_Lab Part C'!$J$580),'IN-CLASS_Lab Part C'!$J$580,NA())</f>
        <v/>
      </c>
    </row>
    <row r="581">
      <c r="J581">
        <f>IF(AND(ISNUMBER('Data'!$F$582),'Data'!$F$582&lt;&gt;999,'Data'!$F$582&lt;&gt;""),'Data'!$F$582,"")</f>
        <v/>
      </c>
      <c r="Z581" t="n">
        <v>1</v>
      </c>
      <c r="AA581">
        <f>IF(ISNUMBER('IN-CLASS_Lab Part C'!$J$581),'IN-CLASS_Lab Part C'!$J$581,NA())</f>
        <v/>
      </c>
    </row>
    <row r="582">
      <c r="J582">
        <f>IF(AND(ISNUMBER('Data'!$F$583),'Data'!$F$583&lt;&gt;999,'Data'!$F$583&lt;&gt;""),'Data'!$F$583,"")</f>
        <v/>
      </c>
      <c r="Z582" t="n">
        <v>1</v>
      </c>
      <c r="AA582">
        <f>IF(ISNUMBER('IN-CLASS_Lab Part C'!$J$582),'IN-CLASS_Lab Part C'!$J$582,NA())</f>
        <v/>
      </c>
    </row>
    <row r="583">
      <c r="J583">
        <f>IF(AND(ISNUMBER('Data'!$F$584),'Data'!$F$584&lt;&gt;999,'Data'!$F$584&lt;&gt;""),'Data'!$F$584,"")</f>
        <v/>
      </c>
      <c r="Z583" t="n">
        <v>1</v>
      </c>
      <c r="AA583">
        <f>IF(ISNUMBER('IN-CLASS_Lab Part C'!$J$583),'IN-CLASS_Lab Part C'!$J$583,NA())</f>
        <v/>
      </c>
    </row>
    <row r="584">
      <c r="J584">
        <f>IF(AND(ISNUMBER('Data'!$F$585),'Data'!$F$585&lt;&gt;999,'Data'!$F$585&lt;&gt;""),'Data'!$F$585,"")</f>
        <v/>
      </c>
      <c r="Z584" t="n">
        <v>1</v>
      </c>
      <c r="AA584">
        <f>IF(ISNUMBER('IN-CLASS_Lab Part C'!$J$584),'IN-CLASS_Lab Part C'!$J$584,NA())</f>
        <v/>
      </c>
    </row>
    <row r="585">
      <c r="J585">
        <f>IF(AND(ISNUMBER('Data'!$F$586),'Data'!$F$586&lt;&gt;999,'Data'!$F$586&lt;&gt;""),'Data'!$F$586,"")</f>
        <v/>
      </c>
      <c r="Z585" t="n">
        <v>1</v>
      </c>
      <c r="AA585">
        <f>IF(ISNUMBER('IN-CLASS_Lab Part C'!$J$585),'IN-CLASS_Lab Part C'!$J$585,NA())</f>
        <v/>
      </c>
    </row>
    <row r="586">
      <c r="J586">
        <f>IF(AND(ISNUMBER('Data'!$F$587),'Data'!$F$587&lt;&gt;999,'Data'!$F$587&lt;&gt;""),'Data'!$F$587,"")</f>
        <v/>
      </c>
      <c r="Z586" t="n">
        <v>1</v>
      </c>
      <c r="AA586">
        <f>IF(ISNUMBER('IN-CLASS_Lab Part C'!$J$586),'IN-CLASS_Lab Part C'!$J$586,NA())</f>
        <v/>
      </c>
    </row>
    <row r="587">
      <c r="J587">
        <f>IF(AND(ISNUMBER('Data'!$F$588),'Data'!$F$588&lt;&gt;999,'Data'!$F$588&lt;&gt;""),'Data'!$F$588,"")</f>
        <v/>
      </c>
      <c r="Z587" t="n">
        <v>1</v>
      </c>
      <c r="AA587">
        <f>IF(ISNUMBER('IN-CLASS_Lab Part C'!$J$587),'IN-CLASS_Lab Part C'!$J$587,NA())</f>
        <v/>
      </c>
    </row>
    <row r="588">
      <c r="J588">
        <f>IF(AND(ISNUMBER('Data'!$F$589),'Data'!$F$589&lt;&gt;999,'Data'!$F$589&lt;&gt;""),'Data'!$F$589,"")</f>
        <v/>
      </c>
      <c r="Z588" t="n">
        <v>1</v>
      </c>
      <c r="AA588">
        <f>IF(ISNUMBER('IN-CLASS_Lab Part C'!$J$588),'IN-CLASS_Lab Part C'!$J$588,NA())</f>
        <v/>
      </c>
    </row>
    <row r="589">
      <c r="J589">
        <f>IF(AND(ISNUMBER('Data'!$F$590),'Data'!$F$590&lt;&gt;999,'Data'!$F$590&lt;&gt;""),'Data'!$F$590,"")</f>
        <v/>
      </c>
      <c r="Z589" t="n">
        <v>1</v>
      </c>
      <c r="AA589">
        <f>IF(ISNUMBER('IN-CLASS_Lab Part C'!$J$589),'IN-CLASS_Lab Part C'!$J$589,NA())</f>
        <v/>
      </c>
    </row>
    <row r="590">
      <c r="J590">
        <f>IF(AND(ISNUMBER('Data'!$F$591),'Data'!$F$591&lt;&gt;999,'Data'!$F$591&lt;&gt;""),'Data'!$F$591,"")</f>
        <v/>
      </c>
      <c r="Z590" t="n">
        <v>1</v>
      </c>
      <c r="AA590">
        <f>IF(ISNUMBER('IN-CLASS_Lab Part C'!$J$590),'IN-CLASS_Lab Part C'!$J$590,NA())</f>
        <v/>
      </c>
    </row>
    <row r="591">
      <c r="J591">
        <f>IF(AND(ISNUMBER('Data'!$F$592),'Data'!$F$592&lt;&gt;999,'Data'!$F$592&lt;&gt;""),'Data'!$F$592,"")</f>
        <v/>
      </c>
      <c r="Z591" t="n">
        <v>1</v>
      </c>
      <c r="AA591">
        <f>IF(ISNUMBER('IN-CLASS_Lab Part C'!$J$591),'IN-CLASS_Lab Part C'!$J$591,NA())</f>
        <v/>
      </c>
    </row>
    <row r="592">
      <c r="J592">
        <f>IF(AND(ISNUMBER('Data'!$F$593),'Data'!$F$593&lt;&gt;999,'Data'!$F$593&lt;&gt;""),'Data'!$F$593,"")</f>
        <v/>
      </c>
      <c r="Z592" t="n">
        <v>1</v>
      </c>
      <c r="AA592">
        <f>IF(ISNUMBER('IN-CLASS_Lab Part C'!$J$592),'IN-CLASS_Lab Part C'!$J$592,NA())</f>
        <v/>
      </c>
    </row>
    <row r="593">
      <c r="J593">
        <f>IF(AND(ISNUMBER('Data'!$F$594),'Data'!$F$594&lt;&gt;999,'Data'!$F$594&lt;&gt;""),'Data'!$F$594,"")</f>
        <v/>
      </c>
      <c r="Z593" t="n">
        <v>1</v>
      </c>
      <c r="AA593">
        <f>IF(ISNUMBER('IN-CLASS_Lab Part C'!$J$593),'IN-CLASS_Lab Part C'!$J$593,NA())</f>
        <v/>
      </c>
    </row>
    <row r="594">
      <c r="J594">
        <f>IF(AND(ISNUMBER('Data'!$F$595),'Data'!$F$595&lt;&gt;999,'Data'!$F$595&lt;&gt;""),'Data'!$F$595,"")</f>
        <v/>
      </c>
      <c r="Z594" t="n">
        <v>1</v>
      </c>
      <c r="AA594">
        <f>IF(ISNUMBER('IN-CLASS_Lab Part C'!$J$594),'IN-CLASS_Lab Part C'!$J$594,NA())</f>
        <v/>
      </c>
    </row>
    <row r="595">
      <c r="J595">
        <f>IF(AND(ISNUMBER('Data'!$F$596),'Data'!$F$596&lt;&gt;999,'Data'!$F$596&lt;&gt;""),'Data'!$F$596,"")</f>
        <v/>
      </c>
      <c r="Z595" t="n">
        <v>1</v>
      </c>
      <c r="AA595">
        <f>IF(ISNUMBER('IN-CLASS_Lab Part C'!$J$595),'IN-CLASS_Lab Part C'!$J$595,NA())</f>
        <v/>
      </c>
    </row>
    <row r="596">
      <c r="J596">
        <f>IF(AND(ISNUMBER('Data'!$F$597),'Data'!$F$597&lt;&gt;999,'Data'!$F$597&lt;&gt;""),'Data'!$F$597,"")</f>
        <v/>
      </c>
      <c r="Z596" t="n">
        <v>1</v>
      </c>
      <c r="AA596">
        <f>IF(ISNUMBER('IN-CLASS_Lab Part C'!$J$596),'IN-CLASS_Lab Part C'!$J$596,NA())</f>
        <v/>
      </c>
    </row>
    <row r="597">
      <c r="J597">
        <f>IF(AND(ISNUMBER('Data'!$F$598),'Data'!$F$598&lt;&gt;999,'Data'!$F$598&lt;&gt;""),'Data'!$F$598,"")</f>
        <v/>
      </c>
      <c r="Z597" t="n">
        <v>1</v>
      </c>
      <c r="AA597">
        <f>IF(ISNUMBER('IN-CLASS_Lab Part C'!$J$597),'IN-CLASS_Lab Part C'!$J$597,NA())</f>
        <v/>
      </c>
    </row>
    <row r="598">
      <c r="J598">
        <f>IF(AND(ISNUMBER('Data'!$F$599),'Data'!$F$599&lt;&gt;999,'Data'!$F$599&lt;&gt;""),'Data'!$F$599,"")</f>
        <v/>
      </c>
      <c r="Z598" t="n">
        <v>1</v>
      </c>
      <c r="AA598">
        <f>IF(ISNUMBER('IN-CLASS_Lab Part C'!$J$598),'IN-CLASS_Lab Part C'!$J$598,NA())</f>
        <v/>
      </c>
    </row>
    <row r="599">
      <c r="J599">
        <f>IF(AND(ISNUMBER('Data'!$F$600),'Data'!$F$600&lt;&gt;999,'Data'!$F$600&lt;&gt;""),'Data'!$F$600,"")</f>
        <v/>
      </c>
      <c r="Z599" t="n">
        <v>1</v>
      </c>
      <c r="AA599">
        <f>IF(ISNUMBER('IN-CLASS_Lab Part C'!$J$599),'IN-CLASS_Lab Part C'!$J$599,NA())</f>
        <v/>
      </c>
    </row>
    <row r="600">
      <c r="J600">
        <f>IF(AND(ISNUMBER('Data'!$F$601),'Data'!$F$601&lt;&gt;999,'Data'!$F$601&lt;&gt;""),'Data'!$F$601,"")</f>
        <v/>
      </c>
      <c r="Z600" t="n">
        <v>1</v>
      </c>
      <c r="AA600">
        <f>IF(ISNUMBER('IN-CLASS_Lab Part C'!$J$600),'IN-CLASS_Lab Part C'!$J$600,NA())</f>
        <v/>
      </c>
    </row>
    <row r="601">
      <c r="J601">
        <f>IF(AND(ISNUMBER('Data'!$F$602),'Data'!$F$602&lt;&gt;999,'Data'!$F$602&lt;&gt;""),'Data'!$F$602,"")</f>
        <v/>
      </c>
      <c r="Z601" t="n">
        <v>1</v>
      </c>
      <c r="AA601">
        <f>IF(ISNUMBER('IN-CLASS_Lab Part C'!$J$601),'IN-CLASS_Lab Part C'!$J$601,NA())</f>
        <v/>
      </c>
    </row>
    <row r="602">
      <c r="J602">
        <f>IF(AND(ISNUMBER('Data'!$F$603),'Data'!$F$603&lt;&gt;999,'Data'!$F$603&lt;&gt;""),'Data'!$F$603,"")</f>
        <v/>
      </c>
      <c r="Z602" t="n">
        <v>1</v>
      </c>
      <c r="AA602">
        <f>IF(ISNUMBER('IN-CLASS_Lab Part C'!$J$602),'IN-CLASS_Lab Part C'!$J$602,NA())</f>
        <v/>
      </c>
    </row>
    <row r="603">
      <c r="J603">
        <f>IF(AND(ISNUMBER('Data'!$F$604),'Data'!$F$604&lt;&gt;999,'Data'!$F$604&lt;&gt;""),'Data'!$F$604,"")</f>
        <v/>
      </c>
      <c r="Z603" t="n">
        <v>1</v>
      </c>
      <c r="AA603">
        <f>IF(ISNUMBER('IN-CLASS_Lab Part C'!$J$603),'IN-CLASS_Lab Part C'!$J$603,NA())</f>
        <v/>
      </c>
    </row>
    <row r="604">
      <c r="J604">
        <f>IF(AND(ISNUMBER('Data'!$F$605),'Data'!$F$605&lt;&gt;999,'Data'!$F$605&lt;&gt;""),'Data'!$F$605,"")</f>
        <v/>
      </c>
      <c r="Z604" t="n">
        <v>1</v>
      </c>
      <c r="AA604">
        <f>IF(ISNUMBER('IN-CLASS_Lab Part C'!$J$604),'IN-CLASS_Lab Part C'!$J$604,NA())</f>
        <v/>
      </c>
    </row>
    <row r="605">
      <c r="J605">
        <f>IF(AND(ISNUMBER('Data'!$F$606),'Data'!$F$606&lt;&gt;999,'Data'!$F$606&lt;&gt;""),'Data'!$F$606,"")</f>
        <v/>
      </c>
      <c r="Z605" t="n">
        <v>1</v>
      </c>
      <c r="AA605">
        <f>IF(ISNUMBER('IN-CLASS_Lab Part C'!$J$605),'IN-CLASS_Lab Part C'!$J$605,NA())</f>
        <v/>
      </c>
    </row>
    <row r="606">
      <c r="J606">
        <f>IF(AND(ISNUMBER('Data'!$F$607),'Data'!$F$607&lt;&gt;999,'Data'!$F$607&lt;&gt;""),'Data'!$F$607,"")</f>
        <v/>
      </c>
      <c r="Z606" t="n">
        <v>1</v>
      </c>
      <c r="AA606">
        <f>IF(ISNUMBER('IN-CLASS_Lab Part C'!$J$606),'IN-CLASS_Lab Part C'!$J$606,NA())</f>
        <v/>
      </c>
    </row>
    <row r="607">
      <c r="J607">
        <f>IF(AND(ISNUMBER('Data'!$F$608),'Data'!$F$608&lt;&gt;999,'Data'!$F$608&lt;&gt;""),'Data'!$F$608,"")</f>
        <v/>
      </c>
      <c r="Z607" t="n">
        <v>1</v>
      </c>
      <c r="AA607">
        <f>IF(ISNUMBER('IN-CLASS_Lab Part C'!$J$607),'IN-CLASS_Lab Part C'!$J$607,NA())</f>
        <v/>
      </c>
    </row>
    <row r="608">
      <c r="J608">
        <f>IF(AND(ISNUMBER('Data'!$F$609),'Data'!$F$609&lt;&gt;999,'Data'!$F$609&lt;&gt;""),'Data'!$F$609,"")</f>
        <v/>
      </c>
      <c r="Z608" t="n">
        <v>1</v>
      </c>
      <c r="AA608">
        <f>IF(ISNUMBER('IN-CLASS_Lab Part C'!$J$608),'IN-CLASS_Lab Part C'!$J$608,NA())</f>
        <v/>
      </c>
    </row>
    <row r="609">
      <c r="J609">
        <f>IF(AND(ISNUMBER('Data'!$F$610),'Data'!$F$610&lt;&gt;999,'Data'!$F$610&lt;&gt;""),'Data'!$F$610,"")</f>
        <v/>
      </c>
      <c r="Z609" t="n">
        <v>1</v>
      </c>
      <c r="AA609">
        <f>IF(ISNUMBER('IN-CLASS_Lab Part C'!$J$609),'IN-CLASS_Lab Part C'!$J$609,NA())</f>
        <v/>
      </c>
    </row>
    <row r="610">
      <c r="J610">
        <f>IF(AND(ISNUMBER('Data'!$F$611),'Data'!$F$611&lt;&gt;999,'Data'!$F$611&lt;&gt;""),'Data'!$F$611,"")</f>
        <v/>
      </c>
      <c r="Z610" t="n">
        <v>1</v>
      </c>
      <c r="AA610">
        <f>IF(ISNUMBER('IN-CLASS_Lab Part C'!$J$610),'IN-CLASS_Lab Part C'!$J$610,NA())</f>
        <v/>
      </c>
    </row>
    <row r="611">
      <c r="J611">
        <f>IF(AND(ISNUMBER('Data'!$F$612),'Data'!$F$612&lt;&gt;999,'Data'!$F$612&lt;&gt;""),'Data'!$F$612,"")</f>
        <v/>
      </c>
      <c r="Z611" t="n">
        <v>1</v>
      </c>
      <c r="AA611">
        <f>IF(ISNUMBER('IN-CLASS_Lab Part C'!$J$611),'IN-CLASS_Lab Part C'!$J$611,NA())</f>
        <v/>
      </c>
    </row>
    <row r="612">
      <c r="J612">
        <f>IF(AND(ISNUMBER('Data'!$F$613),'Data'!$F$613&lt;&gt;999,'Data'!$F$613&lt;&gt;""),'Data'!$F$613,"")</f>
        <v/>
      </c>
      <c r="Z612" t="n">
        <v>1</v>
      </c>
      <c r="AA612">
        <f>IF(ISNUMBER('IN-CLASS_Lab Part C'!$J$612),'IN-CLASS_Lab Part C'!$J$612,NA())</f>
        <v/>
      </c>
    </row>
    <row r="613">
      <c r="J613">
        <f>IF(AND(ISNUMBER('Data'!$F$614),'Data'!$F$614&lt;&gt;999,'Data'!$F$614&lt;&gt;""),'Data'!$F$614,"")</f>
        <v/>
      </c>
      <c r="Z613" t="n">
        <v>1</v>
      </c>
      <c r="AA613">
        <f>IF(ISNUMBER('IN-CLASS_Lab Part C'!$J$613),'IN-CLASS_Lab Part C'!$J$613,NA())</f>
        <v/>
      </c>
    </row>
    <row r="614">
      <c r="J614">
        <f>IF(AND(ISNUMBER('Data'!$F$615),'Data'!$F$615&lt;&gt;999,'Data'!$F$615&lt;&gt;""),'Data'!$F$615,"")</f>
        <v/>
      </c>
      <c r="Z614" t="n">
        <v>1</v>
      </c>
      <c r="AA614">
        <f>IF(ISNUMBER('IN-CLASS_Lab Part C'!$J$614),'IN-CLASS_Lab Part C'!$J$614,NA())</f>
        <v/>
      </c>
    </row>
    <row r="615">
      <c r="J615">
        <f>IF(AND(ISNUMBER('Data'!$F$616),'Data'!$F$616&lt;&gt;999,'Data'!$F$616&lt;&gt;""),'Data'!$F$616,"")</f>
        <v/>
      </c>
      <c r="Z615" t="n">
        <v>1</v>
      </c>
      <c r="AA615">
        <f>IF(ISNUMBER('IN-CLASS_Lab Part C'!$J$615),'IN-CLASS_Lab Part C'!$J$615,NA())</f>
        <v/>
      </c>
    </row>
    <row r="616">
      <c r="J616">
        <f>IF(AND(ISNUMBER('Data'!$F$617),'Data'!$F$617&lt;&gt;999,'Data'!$F$617&lt;&gt;""),'Data'!$F$617,"")</f>
        <v/>
      </c>
      <c r="Z616" t="n">
        <v>1</v>
      </c>
      <c r="AA616">
        <f>IF(ISNUMBER('IN-CLASS_Lab Part C'!$J$616),'IN-CLASS_Lab Part C'!$J$616,NA())</f>
        <v/>
      </c>
    </row>
    <row r="617">
      <c r="J617">
        <f>IF(AND(ISNUMBER('Data'!$F$618),'Data'!$F$618&lt;&gt;999,'Data'!$F$618&lt;&gt;""),'Data'!$F$618,"")</f>
        <v/>
      </c>
      <c r="Z617" t="n">
        <v>1</v>
      </c>
      <c r="AA617">
        <f>IF(ISNUMBER('IN-CLASS_Lab Part C'!$J$617),'IN-CLASS_Lab Part C'!$J$617,NA())</f>
        <v/>
      </c>
    </row>
    <row r="618">
      <c r="J618">
        <f>IF(AND(ISNUMBER('Data'!$F$619),'Data'!$F$619&lt;&gt;999,'Data'!$F$619&lt;&gt;""),'Data'!$F$619,"")</f>
        <v/>
      </c>
      <c r="Z618" t="n">
        <v>1</v>
      </c>
      <c r="AA618">
        <f>IF(ISNUMBER('IN-CLASS_Lab Part C'!$J$618),'IN-CLASS_Lab Part C'!$J$618,NA())</f>
        <v/>
      </c>
    </row>
    <row r="619">
      <c r="J619">
        <f>IF(AND(ISNUMBER('Data'!$F$620),'Data'!$F$620&lt;&gt;999,'Data'!$F$620&lt;&gt;""),'Data'!$F$620,"")</f>
        <v/>
      </c>
      <c r="Z619" t="n">
        <v>1</v>
      </c>
      <c r="AA619">
        <f>IF(ISNUMBER('IN-CLASS_Lab Part C'!$J$619),'IN-CLASS_Lab Part C'!$J$619,NA())</f>
        <v/>
      </c>
    </row>
    <row r="620">
      <c r="J620">
        <f>IF(AND(ISNUMBER('Data'!$F$621),'Data'!$F$621&lt;&gt;999,'Data'!$F$621&lt;&gt;""),'Data'!$F$621,"")</f>
        <v/>
      </c>
      <c r="Z620" t="n">
        <v>1</v>
      </c>
      <c r="AA620">
        <f>IF(ISNUMBER('IN-CLASS_Lab Part C'!$J$620),'IN-CLASS_Lab Part C'!$J$620,NA())</f>
        <v/>
      </c>
    </row>
    <row r="621">
      <c r="J621">
        <f>IF(AND(ISNUMBER('Data'!$F$622),'Data'!$F$622&lt;&gt;999,'Data'!$F$622&lt;&gt;""),'Data'!$F$622,"")</f>
        <v/>
      </c>
      <c r="Z621" t="n">
        <v>1</v>
      </c>
      <c r="AA621">
        <f>IF(ISNUMBER('IN-CLASS_Lab Part C'!$J$621),'IN-CLASS_Lab Part C'!$J$621,NA())</f>
        <v/>
      </c>
    </row>
    <row r="622">
      <c r="J622">
        <f>IF(AND(ISNUMBER('Data'!$F$623),'Data'!$F$623&lt;&gt;999,'Data'!$F$623&lt;&gt;""),'Data'!$F$623,"")</f>
        <v/>
      </c>
      <c r="Z622" t="n">
        <v>1</v>
      </c>
      <c r="AA622">
        <f>IF(ISNUMBER('IN-CLASS_Lab Part C'!$J$622),'IN-CLASS_Lab Part C'!$J$622,NA())</f>
        <v/>
      </c>
    </row>
    <row r="623">
      <c r="J623">
        <f>IF(AND(ISNUMBER('Data'!$F$624),'Data'!$F$624&lt;&gt;999,'Data'!$F$624&lt;&gt;""),'Data'!$F$624,"")</f>
        <v/>
      </c>
      <c r="Z623" t="n">
        <v>1</v>
      </c>
      <c r="AA623">
        <f>IF(ISNUMBER('IN-CLASS_Lab Part C'!$J$623),'IN-CLASS_Lab Part C'!$J$623,NA())</f>
        <v/>
      </c>
    </row>
    <row r="624">
      <c r="J624">
        <f>IF(AND(ISNUMBER('Data'!$F$625),'Data'!$F$625&lt;&gt;999,'Data'!$F$625&lt;&gt;""),'Data'!$F$625,"")</f>
        <v/>
      </c>
      <c r="Z624" t="n">
        <v>1</v>
      </c>
      <c r="AA624">
        <f>IF(ISNUMBER('IN-CLASS_Lab Part C'!$J$624),'IN-CLASS_Lab Part C'!$J$624,NA())</f>
        <v/>
      </c>
    </row>
    <row r="625">
      <c r="J625">
        <f>IF(AND(ISNUMBER('Data'!$F$626),'Data'!$F$626&lt;&gt;999,'Data'!$F$626&lt;&gt;""),'Data'!$F$626,"")</f>
        <v/>
      </c>
      <c r="Z625" t="n">
        <v>1</v>
      </c>
      <c r="AA625">
        <f>IF(ISNUMBER('IN-CLASS_Lab Part C'!$J$625),'IN-CLASS_Lab Part C'!$J$625,NA())</f>
        <v/>
      </c>
    </row>
    <row r="626">
      <c r="J626">
        <f>IF(AND(ISNUMBER('Data'!$F$627),'Data'!$F$627&lt;&gt;999,'Data'!$F$627&lt;&gt;""),'Data'!$F$627,"")</f>
        <v/>
      </c>
      <c r="Z626" t="n">
        <v>1</v>
      </c>
      <c r="AA626">
        <f>IF(ISNUMBER('IN-CLASS_Lab Part C'!$J$626),'IN-CLASS_Lab Part C'!$J$626,NA())</f>
        <v/>
      </c>
    </row>
    <row r="627">
      <c r="J627">
        <f>IF(AND(ISNUMBER('Data'!$F$628),'Data'!$F$628&lt;&gt;999,'Data'!$F$628&lt;&gt;""),'Data'!$F$628,"")</f>
        <v/>
      </c>
      <c r="Z627" t="n">
        <v>1</v>
      </c>
      <c r="AA627">
        <f>IF(ISNUMBER('IN-CLASS_Lab Part C'!$J$627),'IN-CLASS_Lab Part C'!$J$627,NA())</f>
        <v/>
      </c>
    </row>
    <row r="628">
      <c r="J628">
        <f>IF(AND(ISNUMBER('Data'!$F$629),'Data'!$F$629&lt;&gt;999,'Data'!$F$629&lt;&gt;""),'Data'!$F$629,"")</f>
        <v/>
      </c>
      <c r="Z628" t="n">
        <v>1</v>
      </c>
      <c r="AA628">
        <f>IF(ISNUMBER('IN-CLASS_Lab Part C'!$J$628),'IN-CLASS_Lab Part C'!$J$628,NA())</f>
        <v/>
      </c>
    </row>
    <row r="629">
      <c r="J629">
        <f>IF(AND(ISNUMBER('Data'!$F$630),'Data'!$F$630&lt;&gt;999,'Data'!$F$630&lt;&gt;""),'Data'!$F$630,"")</f>
        <v/>
      </c>
      <c r="Z629" t="n">
        <v>1</v>
      </c>
      <c r="AA629">
        <f>IF(ISNUMBER('IN-CLASS_Lab Part C'!$J$629),'IN-CLASS_Lab Part C'!$J$629,NA())</f>
        <v/>
      </c>
    </row>
    <row r="630">
      <c r="J630">
        <f>IF(AND(ISNUMBER('Data'!$F$631),'Data'!$F$631&lt;&gt;999,'Data'!$F$631&lt;&gt;""),'Data'!$F$631,"")</f>
        <v/>
      </c>
      <c r="Z630" t="n">
        <v>1</v>
      </c>
      <c r="AA630">
        <f>IF(ISNUMBER('IN-CLASS_Lab Part C'!$J$630),'IN-CLASS_Lab Part C'!$J$630,NA())</f>
        <v/>
      </c>
    </row>
    <row r="631">
      <c r="J631">
        <f>IF(AND(ISNUMBER('Data'!$F$632),'Data'!$F$632&lt;&gt;999,'Data'!$F$632&lt;&gt;""),'Data'!$F$632,"")</f>
        <v/>
      </c>
      <c r="Z631" t="n">
        <v>1</v>
      </c>
      <c r="AA631">
        <f>IF(ISNUMBER('IN-CLASS_Lab Part C'!$J$631),'IN-CLASS_Lab Part C'!$J$631,NA())</f>
        <v/>
      </c>
    </row>
    <row r="632">
      <c r="J632">
        <f>IF(AND(ISNUMBER('Data'!$F$633),'Data'!$F$633&lt;&gt;999,'Data'!$F$633&lt;&gt;""),'Data'!$F$633,"")</f>
        <v/>
      </c>
      <c r="Z632" t="n">
        <v>1</v>
      </c>
      <c r="AA632">
        <f>IF(ISNUMBER('IN-CLASS_Lab Part C'!$J$632),'IN-CLASS_Lab Part C'!$J$632,NA())</f>
        <v/>
      </c>
    </row>
    <row r="633">
      <c r="J633">
        <f>IF(AND(ISNUMBER('Data'!$F$634),'Data'!$F$634&lt;&gt;999,'Data'!$F$634&lt;&gt;""),'Data'!$F$634,"")</f>
        <v/>
      </c>
      <c r="Z633" t="n">
        <v>1</v>
      </c>
      <c r="AA633">
        <f>IF(ISNUMBER('IN-CLASS_Lab Part C'!$J$633),'IN-CLASS_Lab Part C'!$J$633,NA())</f>
        <v/>
      </c>
    </row>
    <row r="634">
      <c r="J634">
        <f>IF(AND(ISNUMBER('Data'!$F$635),'Data'!$F$635&lt;&gt;999,'Data'!$F$635&lt;&gt;""),'Data'!$F$635,"")</f>
        <v/>
      </c>
      <c r="Z634" t="n">
        <v>1</v>
      </c>
      <c r="AA634">
        <f>IF(ISNUMBER('IN-CLASS_Lab Part C'!$J$634),'IN-CLASS_Lab Part C'!$J$634,NA())</f>
        <v/>
      </c>
    </row>
    <row r="635">
      <c r="J635">
        <f>IF(AND(ISNUMBER('Data'!$F$636),'Data'!$F$636&lt;&gt;999,'Data'!$F$636&lt;&gt;""),'Data'!$F$636,"")</f>
        <v/>
      </c>
      <c r="Z635" t="n">
        <v>1</v>
      </c>
      <c r="AA635">
        <f>IF(ISNUMBER('IN-CLASS_Lab Part C'!$J$635),'IN-CLASS_Lab Part C'!$J$635,NA())</f>
        <v/>
      </c>
    </row>
    <row r="636">
      <c r="J636">
        <f>IF(AND(ISNUMBER('Data'!$F$637),'Data'!$F$637&lt;&gt;999,'Data'!$F$637&lt;&gt;""),'Data'!$F$637,"")</f>
        <v/>
      </c>
      <c r="Z636" t="n">
        <v>1</v>
      </c>
      <c r="AA636">
        <f>IF(ISNUMBER('IN-CLASS_Lab Part C'!$J$636),'IN-CLASS_Lab Part C'!$J$636,NA())</f>
        <v/>
      </c>
    </row>
    <row r="637">
      <c r="J637">
        <f>IF(AND(ISNUMBER('Data'!$F$638),'Data'!$F$638&lt;&gt;999,'Data'!$F$638&lt;&gt;""),'Data'!$F$638,"")</f>
        <v/>
      </c>
      <c r="Z637" t="n">
        <v>1</v>
      </c>
      <c r="AA637">
        <f>IF(ISNUMBER('IN-CLASS_Lab Part C'!$J$637),'IN-CLASS_Lab Part C'!$J$637,NA())</f>
        <v/>
      </c>
    </row>
    <row r="638">
      <c r="J638">
        <f>IF(AND(ISNUMBER('Data'!$F$639),'Data'!$F$639&lt;&gt;999,'Data'!$F$639&lt;&gt;""),'Data'!$F$639,"")</f>
        <v/>
      </c>
      <c r="Z638" t="n">
        <v>1</v>
      </c>
      <c r="AA638">
        <f>IF(ISNUMBER('IN-CLASS_Lab Part C'!$J$638),'IN-CLASS_Lab Part C'!$J$638,NA())</f>
        <v/>
      </c>
    </row>
    <row r="639">
      <c r="J639">
        <f>IF(AND(ISNUMBER('Data'!$F$640),'Data'!$F$640&lt;&gt;999,'Data'!$F$640&lt;&gt;""),'Data'!$F$640,"")</f>
        <v/>
      </c>
      <c r="Z639" t="n">
        <v>1</v>
      </c>
      <c r="AA639">
        <f>IF(ISNUMBER('IN-CLASS_Lab Part C'!$J$639),'IN-CLASS_Lab Part C'!$J$639,NA())</f>
        <v/>
      </c>
    </row>
    <row r="640">
      <c r="J640">
        <f>IF(AND(ISNUMBER('Data'!$F$641),'Data'!$F$641&lt;&gt;999,'Data'!$F$641&lt;&gt;""),'Data'!$F$641,"")</f>
        <v/>
      </c>
      <c r="Z640" t="n">
        <v>1</v>
      </c>
      <c r="AA640">
        <f>IF(ISNUMBER('IN-CLASS_Lab Part C'!$J$640),'IN-CLASS_Lab Part C'!$J$640,NA())</f>
        <v/>
      </c>
    </row>
    <row r="641">
      <c r="J641">
        <f>IF(AND(ISNUMBER('Data'!$F$642),'Data'!$F$642&lt;&gt;999,'Data'!$F$642&lt;&gt;""),'Data'!$F$642,"")</f>
        <v/>
      </c>
      <c r="Z641" t="n">
        <v>1</v>
      </c>
      <c r="AA641">
        <f>IF(ISNUMBER('IN-CLASS_Lab Part C'!$J$641),'IN-CLASS_Lab Part C'!$J$641,NA())</f>
        <v/>
      </c>
    </row>
    <row r="642">
      <c r="J642">
        <f>IF(AND(ISNUMBER('Data'!$F$643),'Data'!$F$643&lt;&gt;999,'Data'!$F$643&lt;&gt;""),'Data'!$F$643,"")</f>
        <v/>
      </c>
      <c r="Z642" t="n">
        <v>1</v>
      </c>
      <c r="AA642">
        <f>IF(ISNUMBER('IN-CLASS_Lab Part C'!$J$642),'IN-CLASS_Lab Part C'!$J$642,NA())</f>
        <v/>
      </c>
    </row>
    <row r="643">
      <c r="J643">
        <f>IF(AND(ISNUMBER('Data'!$F$644),'Data'!$F$644&lt;&gt;999,'Data'!$F$644&lt;&gt;""),'Data'!$F$644,"")</f>
        <v/>
      </c>
      <c r="Z643" t="n">
        <v>1</v>
      </c>
      <c r="AA643">
        <f>IF(ISNUMBER('IN-CLASS_Lab Part C'!$J$643),'IN-CLASS_Lab Part C'!$J$643,NA())</f>
        <v/>
      </c>
    </row>
    <row r="644">
      <c r="J644">
        <f>IF(AND(ISNUMBER('Data'!$F$645),'Data'!$F$645&lt;&gt;999,'Data'!$F$645&lt;&gt;""),'Data'!$F$645,"")</f>
        <v/>
      </c>
      <c r="Z644" t="n">
        <v>1</v>
      </c>
      <c r="AA644">
        <f>IF(ISNUMBER('IN-CLASS_Lab Part C'!$J$644),'IN-CLASS_Lab Part C'!$J$644,NA())</f>
        <v/>
      </c>
    </row>
    <row r="645">
      <c r="J645">
        <f>IF(AND(ISNUMBER('Data'!$F$646),'Data'!$F$646&lt;&gt;999,'Data'!$F$646&lt;&gt;""),'Data'!$F$646,"")</f>
        <v/>
      </c>
      <c r="Z645" t="n">
        <v>1</v>
      </c>
      <c r="AA645">
        <f>IF(ISNUMBER('IN-CLASS_Lab Part C'!$J$645),'IN-CLASS_Lab Part C'!$J$645,NA())</f>
        <v/>
      </c>
    </row>
    <row r="646">
      <c r="J646">
        <f>IF(AND(ISNUMBER('Data'!$F$647),'Data'!$F$647&lt;&gt;999,'Data'!$F$647&lt;&gt;""),'Data'!$F$647,"")</f>
        <v/>
      </c>
      <c r="Z646" t="n">
        <v>1</v>
      </c>
      <c r="AA646">
        <f>IF(ISNUMBER('IN-CLASS_Lab Part C'!$J$646),'IN-CLASS_Lab Part C'!$J$646,NA())</f>
        <v/>
      </c>
    </row>
    <row r="647">
      <c r="J647">
        <f>IF(AND(ISNUMBER('Data'!$F$648),'Data'!$F$648&lt;&gt;999,'Data'!$F$648&lt;&gt;""),'Data'!$F$648,"")</f>
        <v/>
      </c>
      <c r="Z647" t="n">
        <v>1</v>
      </c>
      <c r="AA647">
        <f>IF(ISNUMBER('IN-CLASS_Lab Part C'!$J$647),'IN-CLASS_Lab Part C'!$J$647,NA())</f>
        <v/>
      </c>
    </row>
    <row r="648">
      <c r="J648">
        <f>IF(AND(ISNUMBER('Data'!$F$649),'Data'!$F$649&lt;&gt;999,'Data'!$F$649&lt;&gt;""),'Data'!$F$649,"")</f>
        <v/>
      </c>
      <c r="Z648" t="n">
        <v>1</v>
      </c>
      <c r="AA648">
        <f>IF(ISNUMBER('IN-CLASS_Lab Part C'!$J$648),'IN-CLASS_Lab Part C'!$J$648,NA())</f>
        <v/>
      </c>
    </row>
    <row r="649">
      <c r="J649">
        <f>IF(AND(ISNUMBER('Data'!$F$650),'Data'!$F$650&lt;&gt;999,'Data'!$F$650&lt;&gt;""),'Data'!$F$650,"")</f>
        <v/>
      </c>
      <c r="Z649" t="n">
        <v>1</v>
      </c>
      <c r="AA649">
        <f>IF(ISNUMBER('IN-CLASS_Lab Part C'!$J$649),'IN-CLASS_Lab Part C'!$J$649,NA())</f>
        <v/>
      </c>
    </row>
    <row r="650">
      <c r="J650">
        <f>IF(AND(ISNUMBER('Data'!$F$651),'Data'!$F$651&lt;&gt;999,'Data'!$F$651&lt;&gt;""),'Data'!$F$651,"")</f>
        <v/>
      </c>
      <c r="Z650" t="n">
        <v>1</v>
      </c>
      <c r="AA650">
        <f>IF(ISNUMBER('IN-CLASS_Lab Part C'!$J$650),'IN-CLASS_Lab Part C'!$J$650,NA())</f>
        <v/>
      </c>
    </row>
    <row r="651">
      <c r="J651">
        <f>IF(AND(ISNUMBER('Data'!$F$652),'Data'!$F$652&lt;&gt;999,'Data'!$F$652&lt;&gt;""),'Data'!$F$652,"")</f>
        <v/>
      </c>
      <c r="Z651" t="n">
        <v>1</v>
      </c>
      <c r="AA651">
        <f>IF(ISNUMBER('IN-CLASS_Lab Part C'!$J$651),'IN-CLASS_Lab Part C'!$J$651,NA())</f>
        <v/>
      </c>
    </row>
    <row r="652">
      <c r="J652">
        <f>IF(AND(ISNUMBER('Data'!$F$653),'Data'!$F$653&lt;&gt;999,'Data'!$F$653&lt;&gt;""),'Data'!$F$653,"")</f>
        <v/>
      </c>
      <c r="Z652" t="n">
        <v>1</v>
      </c>
      <c r="AA652">
        <f>IF(ISNUMBER('IN-CLASS_Lab Part C'!$J$652),'IN-CLASS_Lab Part C'!$J$652,NA())</f>
        <v/>
      </c>
    </row>
    <row r="653">
      <c r="J653">
        <f>IF(AND(ISNUMBER('Data'!$F$654),'Data'!$F$654&lt;&gt;999,'Data'!$F$654&lt;&gt;""),'Data'!$F$654,"")</f>
        <v/>
      </c>
      <c r="Z653" t="n">
        <v>1</v>
      </c>
      <c r="AA653">
        <f>IF(ISNUMBER('IN-CLASS_Lab Part C'!$J$653),'IN-CLASS_Lab Part C'!$J$653,NA())</f>
        <v/>
      </c>
    </row>
    <row r="654">
      <c r="J654">
        <f>IF(AND(ISNUMBER('Data'!$F$655),'Data'!$F$655&lt;&gt;999,'Data'!$F$655&lt;&gt;""),'Data'!$F$655,"")</f>
        <v/>
      </c>
      <c r="Z654" t="n">
        <v>1</v>
      </c>
      <c r="AA654">
        <f>IF(ISNUMBER('IN-CLASS_Lab Part C'!$J$654),'IN-CLASS_Lab Part C'!$J$654,NA())</f>
        <v/>
      </c>
    </row>
    <row r="655">
      <c r="J655">
        <f>IF(AND(ISNUMBER('Data'!$F$656),'Data'!$F$656&lt;&gt;999,'Data'!$F$656&lt;&gt;""),'Data'!$F$656,"")</f>
        <v/>
      </c>
      <c r="Z655" t="n">
        <v>1</v>
      </c>
      <c r="AA655">
        <f>IF(ISNUMBER('IN-CLASS_Lab Part C'!$J$655),'IN-CLASS_Lab Part C'!$J$655,NA())</f>
        <v/>
      </c>
    </row>
    <row r="656">
      <c r="J656">
        <f>IF(AND(ISNUMBER('Data'!$F$657),'Data'!$F$657&lt;&gt;999,'Data'!$F$657&lt;&gt;""),'Data'!$F$657,"")</f>
        <v/>
      </c>
      <c r="Z656" t="n">
        <v>1</v>
      </c>
      <c r="AA656">
        <f>IF(ISNUMBER('IN-CLASS_Lab Part C'!$J$656),'IN-CLASS_Lab Part C'!$J$656,NA())</f>
        <v/>
      </c>
    </row>
    <row r="657">
      <c r="J657">
        <f>IF(AND(ISNUMBER('Data'!$F$658),'Data'!$F$658&lt;&gt;999,'Data'!$F$658&lt;&gt;""),'Data'!$F$658,"")</f>
        <v/>
      </c>
      <c r="Z657" t="n">
        <v>1</v>
      </c>
      <c r="AA657">
        <f>IF(ISNUMBER('IN-CLASS_Lab Part C'!$J$657),'IN-CLASS_Lab Part C'!$J$657,NA())</f>
        <v/>
      </c>
    </row>
    <row r="658">
      <c r="J658">
        <f>IF(AND(ISNUMBER('Data'!$F$659),'Data'!$F$659&lt;&gt;999,'Data'!$F$659&lt;&gt;""),'Data'!$F$659,"")</f>
        <v/>
      </c>
      <c r="Z658" t="n">
        <v>1</v>
      </c>
      <c r="AA658">
        <f>IF(ISNUMBER('IN-CLASS_Lab Part C'!$J$658),'IN-CLASS_Lab Part C'!$J$658,NA())</f>
        <v/>
      </c>
    </row>
    <row r="659">
      <c r="J659">
        <f>IF(AND(ISNUMBER('Data'!$F$660),'Data'!$F$660&lt;&gt;999,'Data'!$F$660&lt;&gt;""),'Data'!$F$660,"")</f>
        <v/>
      </c>
      <c r="Z659" t="n">
        <v>1</v>
      </c>
      <c r="AA659">
        <f>IF(ISNUMBER('IN-CLASS_Lab Part C'!$J$659),'IN-CLASS_Lab Part C'!$J$659,NA())</f>
        <v/>
      </c>
    </row>
    <row r="660">
      <c r="J660">
        <f>IF(AND(ISNUMBER('Data'!$F$661),'Data'!$F$661&lt;&gt;999,'Data'!$F$661&lt;&gt;""),'Data'!$F$661,"")</f>
        <v/>
      </c>
      <c r="Z660" t="n">
        <v>1</v>
      </c>
      <c r="AA660">
        <f>IF(ISNUMBER('IN-CLASS_Lab Part C'!$J$660),'IN-CLASS_Lab Part C'!$J$660,NA())</f>
        <v/>
      </c>
    </row>
    <row r="661">
      <c r="J661">
        <f>IF(AND(ISNUMBER('Data'!$F$662),'Data'!$F$662&lt;&gt;999,'Data'!$F$662&lt;&gt;""),'Data'!$F$662,"")</f>
        <v/>
      </c>
      <c r="Z661" t="n">
        <v>1</v>
      </c>
      <c r="AA661">
        <f>IF(ISNUMBER('IN-CLASS_Lab Part C'!$J$661),'IN-CLASS_Lab Part C'!$J$661,NA())</f>
        <v/>
      </c>
    </row>
    <row r="662">
      <c r="J662">
        <f>IF(AND(ISNUMBER('Data'!$F$663),'Data'!$F$663&lt;&gt;999,'Data'!$F$663&lt;&gt;""),'Data'!$F$663,"")</f>
        <v/>
      </c>
      <c r="Z662" t="n">
        <v>1</v>
      </c>
      <c r="AA662">
        <f>IF(ISNUMBER('IN-CLASS_Lab Part C'!$J$662),'IN-CLASS_Lab Part C'!$J$662,NA())</f>
        <v/>
      </c>
    </row>
    <row r="663">
      <c r="J663">
        <f>IF(AND(ISNUMBER('Data'!$F$664),'Data'!$F$664&lt;&gt;999,'Data'!$F$664&lt;&gt;""),'Data'!$F$664,"")</f>
        <v/>
      </c>
      <c r="Z663" t="n">
        <v>1</v>
      </c>
      <c r="AA663">
        <f>IF(ISNUMBER('IN-CLASS_Lab Part C'!$J$663),'IN-CLASS_Lab Part C'!$J$663,NA())</f>
        <v/>
      </c>
    </row>
    <row r="664">
      <c r="J664">
        <f>IF(AND(ISNUMBER('Data'!$F$665),'Data'!$F$665&lt;&gt;999,'Data'!$F$665&lt;&gt;""),'Data'!$F$665,"")</f>
        <v/>
      </c>
      <c r="Z664" t="n">
        <v>1</v>
      </c>
      <c r="AA664">
        <f>IF(ISNUMBER('IN-CLASS_Lab Part C'!$J$664),'IN-CLASS_Lab Part C'!$J$664,NA())</f>
        <v/>
      </c>
    </row>
    <row r="665">
      <c r="J665">
        <f>IF(AND(ISNUMBER('Data'!$F$666),'Data'!$F$666&lt;&gt;999,'Data'!$F$666&lt;&gt;""),'Data'!$F$666,"")</f>
        <v/>
      </c>
      <c r="Z665" t="n">
        <v>1</v>
      </c>
      <c r="AA665">
        <f>IF(ISNUMBER('IN-CLASS_Lab Part C'!$J$665),'IN-CLASS_Lab Part C'!$J$665,NA())</f>
        <v/>
      </c>
    </row>
    <row r="666">
      <c r="J666">
        <f>IF(AND(ISNUMBER('Data'!$F$667),'Data'!$F$667&lt;&gt;999,'Data'!$F$667&lt;&gt;""),'Data'!$F$667,"")</f>
        <v/>
      </c>
      <c r="Z666" t="n">
        <v>1</v>
      </c>
      <c r="AA666">
        <f>IF(ISNUMBER('IN-CLASS_Lab Part C'!$J$666),'IN-CLASS_Lab Part C'!$J$666,NA())</f>
        <v/>
      </c>
    </row>
    <row r="667">
      <c r="J667">
        <f>IF(AND(ISNUMBER('Data'!$F$668),'Data'!$F$668&lt;&gt;999,'Data'!$F$668&lt;&gt;""),'Data'!$F$668,"")</f>
        <v/>
      </c>
      <c r="Z667" t="n">
        <v>1</v>
      </c>
      <c r="AA667">
        <f>IF(ISNUMBER('IN-CLASS_Lab Part C'!$J$667),'IN-CLASS_Lab Part C'!$J$667,NA())</f>
        <v/>
      </c>
    </row>
    <row r="668">
      <c r="J668">
        <f>IF(AND(ISNUMBER('Data'!$F$669),'Data'!$F$669&lt;&gt;999,'Data'!$F$669&lt;&gt;""),'Data'!$F$669,"")</f>
        <v/>
      </c>
      <c r="Z668" t="n">
        <v>1</v>
      </c>
      <c r="AA668">
        <f>IF(ISNUMBER('IN-CLASS_Lab Part C'!$J$668),'IN-CLASS_Lab Part C'!$J$668,NA())</f>
        <v/>
      </c>
    </row>
    <row r="669">
      <c r="J669">
        <f>IF(AND(ISNUMBER('Data'!$F$670),'Data'!$F$670&lt;&gt;999,'Data'!$F$670&lt;&gt;""),'Data'!$F$670,"")</f>
        <v/>
      </c>
      <c r="Z669" t="n">
        <v>1</v>
      </c>
      <c r="AA669">
        <f>IF(ISNUMBER('IN-CLASS_Lab Part C'!$J$669),'IN-CLASS_Lab Part C'!$J$669,NA())</f>
        <v/>
      </c>
    </row>
    <row r="670">
      <c r="J670">
        <f>IF(AND(ISNUMBER('Data'!$F$671),'Data'!$F$671&lt;&gt;999,'Data'!$F$671&lt;&gt;""),'Data'!$F$671,"")</f>
        <v/>
      </c>
      <c r="Z670" t="n">
        <v>1</v>
      </c>
      <c r="AA670">
        <f>IF(ISNUMBER('IN-CLASS_Lab Part C'!$J$670),'IN-CLASS_Lab Part C'!$J$670,NA())</f>
        <v/>
      </c>
    </row>
    <row r="671">
      <c r="J671">
        <f>IF(AND(ISNUMBER('Data'!$F$672),'Data'!$F$672&lt;&gt;999,'Data'!$F$672&lt;&gt;""),'Data'!$F$672,"")</f>
        <v/>
      </c>
      <c r="Z671" t="n">
        <v>1</v>
      </c>
      <c r="AA671">
        <f>IF(ISNUMBER('IN-CLASS_Lab Part C'!$J$671),'IN-CLASS_Lab Part C'!$J$671,NA())</f>
        <v/>
      </c>
    </row>
    <row r="672">
      <c r="J672">
        <f>IF(AND(ISNUMBER('Data'!$F$673),'Data'!$F$673&lt;&gt;999,'Data'!$F$673&lt;&gt;""),'Data'!$F$673,"")</f>
        <v/>
      </c>
      <c r="Z672" t="n">
        <v>1</v>
      </c>
      <c r="AA672">
        <f>IF(ISNUMBER('IN-CLASS_Lab Part C'!$J$672),'IN-CLASS_Lab Part C'!$J$672,NA())</f>
        <v/>
      </c>
    </row>
    <row r="673">
      <c r="J673">
        <f>IF(AND(ISNUMBER('Data'!$F$674),'Data'!$F$674&lt;&gt;999,'Data'!$F$674&lt;&gt;""),'Data'!$F$674,"")</f>
        <v/>
      </c>
      <c r="Z673" t="n">
        <v>1</v>
      </c>
      <c r="AA673">
        <f>IF(ISNUMBER('IN-CLASS_Lab Part C'!$J$673),'IN-CLASS_Lab Part C'!$J$673,NA())</f>
        <v/>
      </c>
    </row>
    <row r="674">
      <c r="J674">
        <f>IF(AND(ISNUMBER('Data'!$F$675),'Data'!$F$675&lt;&gt;999,'Data'!$F$675&lt;&gt;""),'Data'!$F$675,"")</f>
        <v/>
      </c>
      <c r="Z674" t="n">
        <v>1</v>
      </c>
      <c r="AA674">
        <f>IF(ISNUMBER('IN-CLASS_Lab Part C'!$J$674),'IN-CLASS_Lab Part C'!$J$674,NA())</f>
        <v/>
      </c>
    </row>
    <row r="675">
      <c r="J675">
        <f>IF(AND(ISNUMBER('Data'!$F$676),'Data'!$F$676&lt;&gt;999,'Data'!$F$676&lt;&gt;""),'Data'!$F$676,"")</f>
        <v/>
      </c>
      <c r="Z675" t="n">
        <v>1</v>
      </c>
      <c r="AA675">
        <f>IF(ISNUMBER('IN-CLASS_Lab Part C'!$J$675),'IN-CLASS_Lab Part C'!$J$675,NA())</f>
        <v/>
      </c>
    </row>
    <row r="676">
      <c r="J676">
        <f>IF(AND(ISNUMBER('Data'!$F$677),'Data'!$F$677&lt;&gt;999,'Data'!$F$677&lt;&gt;""),'Data'!$F$677,"")</f>
        <v/>
      </c>
      <c r="Z676" t="n">
        <v>1</v>
      </c>
      <c r="AA676">
        <f>IF(ISNUMBER('IN-CLASS_Lab Part C'!$J$676),'IN-CLASS_Lab Part C'!$J$676,NA())</f>
        <v/>
      </c>
    </row>
    <row r="677">
      <c r="J677">
        <f>IF(AND(ISNUMBER('Data'!$F$678),'Data'!$F$678&lt;&gt;999,'Data'!$F$678&lt;&gt;""),'Data'!$F$678,"")</f>
        <v/>
      </c>
      <c r="Z677" t="n">
        <v>1</v>
      </c>
      <c r="AA677">
        <f>IF(ISNUMBER('IN-CLASS_Lab Part C'!$J$677),'IN-CLASS_Lab Part C'!$J$677,NA())</f>
        <v/>
      </c>
    </row>
    <row r="678">
      <c r="J678">
        <f>IF(AND(ISNUMBER('Data'!$F$679),'Data'!$F$679&lt;&gt;999,'Data'!$F$679&lt;&gt;""),'Data'!$F$679,"")</f>
        <v/>
      </c>
      <c r="Z678" t="n">
        <v>1</v>
      </c>
      <c r="AA678">
        <f>IF(ISNUMBER('IN-CLASS_Lab Part C'!$J$678),'IN-CLASS_Lab Part C'!$J$678,NA())</f>
        <v/>
      </c>
    </row>
    <row r="679">
      <c r="J679">
        <f>IF(AND(ISNUMBER('Data'!$F$680),'Data'!$F$680&lt;&gt;999,'Data'!$F$680&lt;&gt;""),'Data'!$F$680,"")</f>
        <v/>
      </c>
      <c r="Z679" t="n">
        <v>1</v>
      </c>
      <c r="AA679">
        <f>IF(ISNUMBER('IN-CLASS_Lab Part C'!$J$679),'IN-CLASS_Lab Part C'!$J$679,NA())</f>
        <v/>
      </c>
    </row>
    <row r="680">
      <c r="J680">
        <f>IF(AND(ISNUMBER('Data'!$F$681),'Data'!$F$681&lt;&gt;999,'Data'!$F$681&lt;&gt;""),'Data'!$F$681,"")</f>
        <v/>
      </c>
      <c r="Z680" t="n">
        <v>1</v>
      </c>
      <c r="AA680">
        <f>IF(ISNUMBER('IN-CLASS_Lab Part C'!$J$680),'IN-CLASS_Lab Part C'!$J$680,NA())</f>
        <v/>
      </c>
    </row>
    <row r="681">
      <c r="J681">
        <f>IF(AND(ISNUMBER('Data'!$F$682),'Data'!$F$682&lt;&gt;999,'Data'!$F$682&lt;&gt;""),'Data'!$F$682,"")</f>
        <v/>
      </c>
      <c r="Z681" t="n">
        <v>1</v>
      </c>
      <c r="AA681">
        <f>IF(ISNUMBER('IN-CLASS_Lab Part C'!$J$681),'IN-CLASS_Lab Part C'!$J$681,NA())</f>
        <v/>
      </c>
    </row>
    <row r="682">
      <c r="J682">
        <f>IF(AND(ISNUMBER('Data'!$F$683),'Data'!$F$683&lt;&gt;999,'Data'!$F$683&lt;&gt;""),'Data'!$F$683,"")</f>
        <v/>
      </c>
      <c r="Z682" t="n">
        <v>1</v>
      </c>
      <c r="AA682">
        <f>IF(ISNUMBER('IN-CLASS_Lab Part C'!$J$682),'IN-CLASS_Lab Part C'!$J$682,NA())</f>
        <v/>
      </c>
    </row>
    <row r="683">
      <c r="J683">
        <f>IF(AND(ISNUMBER('Data'!$F$684),'Data'!$F$684&lt;&gt;999,'Data'!$F$684&lt;&gt;""),'Data'!$F$684,"")</f>
        <v/>
      </c>
      <c r="Z683" t="n">
        <v>1</v>
      </c>
      <c r="AA683">
        <f>IF(ISNUMBER('IN-CLASS_Lab Part C'!$J$683),'IN-CLASS_Lab Part C'!$J$683,NA())</f>
        <v/>
      </c>
    </row>
    <row r="684">
      <c r="J684">
        <f>IF(AND(ISNUMBER('Data'!$F$685),'Data'!$F$685&lt;&gt;999,'Data'!$F$685&lt;&gt;""),'Data'!$F$685,"")</f>
        <v/>
      </c>
      <c r="Z684" t="n">
        <v>1</v>
      </c>
      <c r="AA684">
        <f>IF(ISNUMBER('IN-CLASS_Lab Part C'!$J$684),'IN-CLASS_Lab Part C'!$J$684,NA())</f>
        <v/>
      </c>
    </row>
    <row r="685">
      <c r="J685">
        <f>IF(AND(ISNUMBER('Data'!$F$686),'Data'!$F$686&lt;&gt;999,'Data'!$F$686&lt;&gt;""),'Data'!$F$686,"")</f>
        <v/>
      </c>
      <c r="Z685" t="n">
        <v>1</v>
      </c>
      <c r="AA685">
        <f>IF(ISNUMBER('IN-CLASS_Lab Part C'!$J$685),'IN-CLASS_Lab Part C'!$J$685,NA())</f>
        <v/>
      </c>
    </row>
    <row r="686">
      <c r="J686">
        <f>IF(AND(ISNUMBER('Data'!$F$687),'Data'!$F$687&lt;&gt;999,'Data'!$F$687&lt;&gt;""),'Data'!$F$687,"")</f>
        <v/>
      </c>
      <c r="Z686" t="n">
        <v>1</v>
      </c>
      <c r="AA686">
        <f>IF(ISNUMBER('IN-CLASS_Lab Part C'!$J$686),'IN-CLASS_Lab Part C'!$J$686,NA())</f>
        <v/>
      </c>
    </row>
    <row r="687">
      <c r="J687">
        <f>IF(AND(ISNUMBER('Data'!$F$688),'Data'!$F$688&lt;&gt;999,'Data'!$F$688&lt;&gt;""),'Data'!$F$688,"")</f>
        <v/>
      </c>
      <c r="Z687" t="n">
        <v>1</v>
      </c>
      <c r="AA687">
        <f>IF(ISNUMBER('IN-CLASS_Lab Part C'!$J$687),'IN-CLASS_Lab Part C'!$J$687,NA())</f>
        <v/>
      </c>
    </row>
    <row r="688">
      <c r="J688">
        <f>IF(AND(ISNUMBER('Data'!$F$689),'Data'!$F$689&lt;&gt;999,'Data'!$F$689&lt;&gt;""),'Data'!$F$689,"")</f>
        <v/>
      </c>
      <c r="Z688" t="n">
        <v>1</v>
      </c>
      <c r="AA688">
        <f>IF(ISNUMBER('IN-CLASS_Lab Part C'!$J$688),'IN-CLASS_Lab Part C'!$J$688,NA())</f>
        <v/>
      </c>
    </row>
    <row r="689">
      <c r="J689">
        <f>IF(AND(ISNUMBER('Data'!$F$690),'Data'!$F$690&lt;&gt;999,'Data'!$F$690&lt;&gt;""),'Data'!$F$690,"")</f>
        <v/>
      </c>
      <c r="Z689" t="n">
        <v>1</v>
      </c>
      <c r="AA689">
        <f>IF(ISNUMBER('IN-CLASS_Lab Part C'!$J$689),'IN-CLASS_Lab Part C'!$J$689,NA())</f>
        <v/>
      </c>
    </row>
    <row r="690">
      <c r="J690">
        <f>IF(AND(ISNUMBER('Data'!$F$691),'Data'!$F$691&lt;&gt;999,'Data'!$F$691&lt;&gt;""),'Data'!$F$691,"")</f>
        <v/>
      </c>
      <c r="Z690" t="n">
        <v>1</v>
      </c>
      <c r="AA690">
        <f>IF(ISNUMBER('IN-CLASS_Lab Part C'!$J$690),'IN-CLASS_Lab Part C'!$J$690,NA())</f>
        <v/>
      </c>
    </row>
    <row r="691">
      <c r="J691">
        <f>IF(AND(ISNUMBER('Data'!$F$692),'Data'!$F$692&lt;&gt;999,'Data'!$F$692&lt;&gt;""),'Data'!$F$692,"")</f>
        <v/>
      </c>
      <c r="Z691" t="n">
        <v>1</v>
      </c>
      <c r="AA691">
        <f>IF(ISNUMBER('IN-CLASS_Lab Part C'!$J$691),'IN-CLASS_Lab Part C'!$J$691,NA())</f>
        <v/>
      </c>
    </row>
    <row r="692">
      <c r="J692">
        <f>IF(AND(ISNUMBER('Data'!$F$693),'Data'!$F$693&lt;&gt;999,'Data'!$F$693&lt;&gt;""),'Data'!$F$693,"")</f>
        <v/>
      </c>
      <c r="Z692" t="n">
        <v>1</v>
      </c>
      <c r="AA692">
        <f>IF(ISNUMBER('IN-CLASS_Lab Part C'!$J$692),'IN-CLASS_Lab Part C'!$J$692,NA())</f>
        <v/>
      </c>
    </row>
    <row r="693">
      <c r="J693">
        <f>IF(AND(ISNUMBER('Data'!$F$694),'Data'!$F$694&lt;&gt;999,'Data'!$F$694&lt;&gt;""),'Data'!$F$694,"")</f>
        <v/>
      </c>
      <c r="Z693" t="n">
        <v>1</v>
      </c>
      <c r="AA693">
        <f>IF(ISNUMBER('IN-CLASS_Lab Part C'!$J$693),'IN-CLASS_Lab Part C'!$J$693,NA())</f>
        <v/>
      </c>
    </row>
    <row r="694">
      <c r="J694">
        <f>IF(AND(ISNUMBER('Data'!$F$695),'Data'!$F$695&lt;&gt;999,'Data'!$F$695&lt;&gt;""),'Data'!$F$695,"")</f>
        <v/>
      </c>
      <c r="Z694" t="n">
        <v>1</v>
      </c>
      <c r="AA694">
        <f>IF(ISNUMBER('IN-CLASS_Lab Part C'!$J$694),'IN-CLASS_Lab Part C'!$J$694,NA())</f>
        <v/>
      </c>
    </row>
    <row r="695">
      <c r="J695">
        <f>IF(AND(ISNUMBER('Data'!$F$696),'Data'!$F$696&lt;&gt;999,'Data'!$F$696&lt;&gt;""),'Data'!$F$696,"")</f>
        <v/>
      </c>
      <c r="Z695" t="n">
        <v>1</v>
      </c>
      <c r="AA695">
        <f>IF(ISNUMBER('IN-CLASS_Lab Part C'!$J$695),'IN-CLASS_Lab Part C'!$J$695,NA())</f>
        <v/>
      </c>
    </row>
    <row r="696">
      <c r="J696">
        <f>IF(AND(ISNUMBER('Data'!$F$697),'Data'!$F$697&lt;&gt;999,'Data'!$F$697&lt;&gt;""),'Data'!$F$697,"")</f>
        <v/>
      </c>
      <c r="Z696" t="n">
        <v>1</v>
      </c>
      <c r="AA696">
        <f>IF(ISNUMBER('IN-CLASS_Lab Part C'!$J$696),'IN-CLASS_Lab Part C'!$J$696,NA())</f>
        <v/>
      </c>
    </row>
    <row r="697">
      <c r="J697">
        <f>IF(AND(ISNUMBER('Data'!$F$698),'Data'!$F$698&lt;&gt;999,'Data'!$F$698&lt;&gt;""),'Data'!$F$698,"")</f>
        <v/>
      </c>
      <c r="Z697" t="n">
        <v>1</v>
      </c>
      <c r="AA697">
        <f>IF(ISNUMBER('IN-CLASS_Lab Part C'!$J$697),'IN-CLASS_Lab Part C'!$J$697,NA())</f>
        <v/>
      </c>
    </row>
    <row r="698">
      <c r="J698">
        <f>IF(AND(ISNUMBER('Data'!$F$699),'Data'!$F$699&lt;&gt;999,'Data'!$F$699&lt;&gt;""),'Data'!$F$699,"")</f>
        <v/>
      </c>
      <c r="Z698" t="n">
        <v>1</v>
      </c>
      <c r="AA698">
        <f>IF(ISNUMBER('IN-CLASS_Lab Part C'!$J$698),'IN-CLASS_Lab Part C'!$J$698,NA())</f>
        <v/>
      </c>
    </row>
    <row r="699">
      <c r="J699">
        <f>IF(AND(ISNUMBER('Data'!$F$700),'Data'!$F$700&lt;&gt;999,'Data'!$F$700&lt;&gt;""),'Data'!$F$700,"")</f>
        <v/>
      </c>
      <c r="Z699" t="n">
        <v>1</v>
      </c>
      <c r="AA699">
        <f>IF(ISNUMBER('IN-CLASS_Lab Part C'!$J$699),'IN-CLASS_Lab Part C'!$J$699,NA())</f>
        <v/>
      </c>
    </row>
    <row r="700">
      <c r="J700">
        <f>IF(AND(ISNUMBER('Data'!$F$701),'Data'!$F$701&lt;&gt;999,'Data'!$F$701&lt;&gt;""),'Data'!$F$701,"")</f>
        <v/>
      </c>
      <c r="Z700" t="n">
        <v>1</v>
      </c>
      <c r="AA700">
        <f>IF(ISNUMBER('IN-CLASS_Lab Part C'!$J$700),'IN-CLASS_Lab Part C'!$J$700,NA())</f>
        <v/>
      </c>
    </row>
    <row r="701">
      <c r="J701">
        <f>IF(AND(ISNUMBER('Data'!$F$702),'Data'!$F$702&lt;&gt;999,'Data'!$F$702&lt;&gt;""),'Data'!$F$702,"")</f>
        <v/>
      </c>
      <c r="Z701" t="n">
        <v>1</v>
      </c>
      <c r="AA701">
        <f>IF(ISNUMBER('IN-CLASS_Lab Part C'!$J$701),'IN-CLASS_Lab Part C'!$J$701,NA())</f>
        <v/>
      </c>
    </row>
    <row r="702">
      <c r="J702">
        <f>IF(AND(ISNUMBER('Data'!$F$703),'Data'!$F$703&lt;&gt;999,'Data'!$F$703&lt;&gt;""),'Data'!$F$703,"")</f>
        <v/>
      </c>
      <c r="Z702" t="n">
        <v>1</v>
      </c>
      <c r="AA702">
        <f>IF(ISNUMBER('IN-CLASS_Lab Part C'!$J$702),'IN-CLASS_Lab Part C'!$J$702,NA())</f>
        <v/>
      </c>
    </row>
    <row r="703">
      <c r="J703">
        <f>IF(AND(ISNUMBER('Data'!$F$704),'Data'!$F$704&lt;&gt;999,'Data'!$F$704&lt;&gt;""),'Data'!$F$704,"")</f>
        <v/>
      </c>
      <c r="Z703" t="n">
        <v>1</v>
      </c>
      <c r="AA703">
        <f>IF(ISNUMBER('IN-CLASS_Lab Part C'!$J$703),'IN-CLASS_Lab Part C'!$J$703,NA())</f>
        <v/>
      </c>
    </row>
    <row r="704">
      <c r="J704">
        <f>IF(AND(ISNUMBER('Data'!$F$705),'Data'!$F$705&lt;&gt;999,'Data'!$F$705&lt;&gt;""),'Data'!$F$705,"")</f>
        <v/>
      </c>
      <c r="Z704" t="n">
        <v>1</v>
      </c>
      <c r="AA704">
        <f>IF(ISNUMBER('IN-CLASS_Lab Part C'!$J$704),'IN-CLASS_Lab Part C'!$J$704,NA())</f>
        <v/>
      </c>
    </row>
    <row r="705">
      <c r="J705">
        <f>IF(AND(ISNUMBER('Data'!$F$706),'Data'!$F$706&lt;&gt;999,'Data'!$F$706&lt;&gt;""),'Data'!$F$706,"")</f>
        <v/>
      </c>
      <c r="Z705" t="n">
        <v>1</v>
      </c>
      <c r="AA705">
        <f>IF(ISNUMBER('IN-CLASS_Lab Part C'!$J$705),'IN-CLASS_Lab Part C'!$J$705,NA())</f>
        <v/>
      </c>
    </row>
    <row r="706">
      <c r="J706">
        <f>IF(AND(ISNUMBER('Data'!$F$707),'Data'!$F$707&lt;&gt;999,'Data'!$F$707&lt;&gt;""),'Data'!$F$707,"")</f>
        <v/>
      </c>
      <c r="Z706" t="n">
        <v>1</v>
      </c>
      <c r="AA706">
        <f>IF(ISNUMBER('IN-CLASS_Lab Part C'!$J$706),'IN-CLASS_Lab Part C'!$J$706,NA())</f>
        <v/>
      </c>
    </row>
    <row r="707">
      <c r="J707">
        <f>IF(AND(ISNUMBER('Data'!$F$708),'Data'!$F$708&lt;&gt;999,'Data'!$F$708&lt;&gt;""),'Data'!$F$708,"")</f>
        <v/>
      </c>
      <c r="Z707" t="n">
        <v>1</v>
      </c>
      <c r="AA707">
        <f>IF(ISNUMBER('IN-CLASS_Lab Part C'!$J$707),'IN-CLASS_Lab Part C'!$J$707,NA())</f>
        <v/>
      </c>
    </row>
    <row r="708">
      <c r="J708">
        <f>IF(AND(ISNUMBER('Data'!$F$709),'Data'!$F$709&lt;&gt;999,'Data'!$F$709&lt;&gt;""),'Data'!$F$709,"")</f>
        <v/>
      </c>
      <c r="Z708" t="n">
        <v>1</v>
      </c>
      <c r="AA708">
        <f>IF(ISNUMBER('IN-CLASS_Lab Part C'!$J$708),'IN-CLASS_Lab Part C'!$J$708,NA())</f>
        <v/>
      </c>
    </row>
    <row r="709">
      <c r="J709">
        <f>IF(AND(ISNUMBER('Data'!$F$710),'Data'!$F$710&lt;&gt;999,'Data'!$F$710&lt;&gt;""),'Data'!$F$710,"")</f>
        <v/>
      </c>
      <c r="Z709" t="n">
        <v>1</v>
      </c>
      <c r="AA709">
        <f>IF(ISNUMBER('IN-CLASS_Lab Part C'!$J$709),'IN-CLASS_Lab Part C'!$J$709,NA())</f>
        <v/>
      </c>
    </row>
    <row r="710">
      <c r="J710">
        <f>IF(AND(ISNUMBER('Data'!$F$711),'Data'!$F$711&lt;&gt;999,'Data'!$F$711&lt;&gt;""),'Data'!$F$711,"")</f>
        <v/>
      </c>
      <c r="Z710" t="n">
        <v>1</v>
      </c>
      <c r="AA710">
        <f>IF(ISNUMBER('IN-CLASS_Lab Part C'!$J$710),'IN-CLASS_Lab Part C'!$J$710,NA())</f>
        <v/>
      </c>
    </row>
    <row r="711">
      <c r="J711">
        <f>IF(AND(ISNUMBER('Data'!$F$712),'Data'!$F$712&lt;&gt;999,'Data'!$F$712&lt;&gt;""),'Data'!$F$712,"")</f>
        <v/>
      </c>
      <c r="Z711" t="n">
        <v>1</v>
      </c>
      <c r="AA711">
        <f>IF(ISNUMBER('IN-CLASS_Lab Part C'!$J$711),'IN-CLASS_Lab Part C'!$J$711,NA())</f>
        <v/>
      </c>
    </row>
    <row r="712">
      <c r="J712">
        <f>IF(AND(ISNUMBER('Data'!$F$713),'Data'!$F$713&lt;&gt;999,'Data'!$F$713&lt;&gt;""),'Data'!$F$713,"")</f>
        <v/>
      </c>
      <c r="Z712" t="n">
        <v>1</v>
      </c>
      <c r="AA712">
        <f>IF(ISNUMBER('IN-CLASS_Lab Part C'!$J$712),'IN-CLASS_Lab Part C'!$J$712,NA())</f>
        <v/>
      </c>
    </row>
    <row r="713">
      <c r="J713">
        <f>IF(AND(ISNUMBER('Data'!$F$714),'Data'!$F$714&lt;&gt;999,'Data'!$F$714&lt;&gt;""),'Data'!$F$714,"")</f>
        <v/>
      </c>
      <c r="Z713" t="n">
        <v>1</v>
      </c>
      <c r="AA713">
        <f>IF(ISNUMBER('IN-CLASS_Lab Part C'!$J$713),'IN-CLASS_Lab Part C'!$J$713,NA())</f>
        <v/>
      </c>
    </row>
    <row r="714">
      <c r="J714">
        <f>IF(AND(ISNUMBER('Data'!$F$715),'Data'!$F$715&lt;&gt;999,'Data'!$F$715&lt;&gt;""),'Data'!$F$715,"")</f>
        <v/>
      </c>
      <c r="Z714" t="n">
        <v>1</v>
      </c>
      <c r="AA714">
        <f>IF(ISNUMBER('IN-CLASS_Lab Part C'!$J$714),'IN-CLASS_Lab Part C'!$J$714,NA())</f>
        <v/>
      </c>
    </row>
    <row r="715">
      <c r="J715">
        <f>IF(AND(ISNUMBER('Data'!$F$716),'Data'!$F$716&lt;&gt;999,'Data'!$F$716&lt;&gt;""),'Data'!$F$716,"")</f>
        <v/>
      </c>
      <c r="Z715" t="n">
        <v>1</v>
      </c>
      <c r="AA715">
        <f>IF(ISNUMBER('IN-CLASS_Lab Part C'!$J$715),'IN-CLASS_Lab Part C'!$J$715,NA())</f>
        <v/>
      </c>
    </row>
    <row r="716">
      <c r="J716">
        <f>IF(AND(ISNUMBER('Data'!$F$717),'Data'!$F$717&lt;&gt;999,'Data'!$F$717&lt;&gt;""),'Data'!$F$717,"")</f>
        <v/>
      </c>
      <c r="Z716" t="n">
        <v>1</v>
      </c>
      <c r="AA716">
        <f>IF(ISNUMBER('IN-CLASS_Lab Part C'!$J$716),'IN-CLASS_Lab Part C'!$J$716,NA())</f>
        <v/>
      </c>
    </row>
    <row r="717">
      <c r="J717">
        <f>IF(AND(ISNUMBER('Data'!$F$718),'Data'!$F$718&lt;&gt;999,'Data'!$F$718&lt;&gt;""),'Data'!$F$718,"")</f>
        <v/>
      </c>
      <c r="Z717" t="n">
        <v>1</v>
      </c>
      <c r="AA717">
        <f>IF(ISNUMBER('IN-CLASS_Lab Part C'!$J$717),'IN-CLASS_Lab Part C'!$J$717,NA())</f>
        <v/>
      </c>
    </row>
    <row r="718">
      <c r="J718">
        <f>IF(AND(ISNUMBER('Data'!$F$719),'Data'!$F$719&lt;&gt;999,'Data'!$F$719&lt;&gt;""),'Data'!$F$719,"")</f>
        <v/>
      </c>
      <c r="Z718" t="n">
        <v>1</v>
      </c>
      <c r="AA718">
        <f>IF(ISNUMBER('IN-CLASS_Lab Part C'!$J$718),'IN-CLASS_Lab Part C'!$J$718,NA())</f>
        <v/>
      </c>
    </row>
    <row r="719">
      <c r="J719">
        <f>IF(AND(ISNUMBER('Data'!$F$720),'Data'!$F$720&lt;&gt;999,'Data'!$F$720&lt;&gt;""),'Data'!$F$720,"")</f>
        <v/>
      </c>
      <c r="Z719" t="n">
        <v>1</v>
      </c>
      <c r="AA719">
        <f>IF(ISNUMBER('IN-CLASS_Lab Part C'!$J$719),'IN-CLASS_Lab Part C'!$J$719,NA())</f>
        <v/>
      </c>
    </row>
    <row r="720">
      <c r="J720">
        <f>IF(AND(ISNUMBER('Data'!$F$721),'Data'!$F$721&lt;&gt;999,'Data'!$F$721&lt;&gt;""),'Data'!$F$721,"")</f>
        <v/>
      </c>
      <c r="Z720" t="n">
        <v>1</v>
      </c>
      <c r="AA720">
        <f>IF(ISNUMBER('IN-CLASS_Lab Part C'!$J$720),'IN-CLASS_Lab Part C'!$J$720,NA())</f>
        <v/>
      </c>
    </row>
    <row r="721">
      <c r="J721">
        <f>IF(AND(ISNUMBER('Data'!$F$722),'Data'!$F$722&lt;&gt;999,'Data'!$F$722&lt;&gt;""),'Data'!$F$722,"")</f>
        <v/>
      </c>
      <c r="Z721" t="n">
        <v>1</v>
      </c>
      <c r="AA721">
        <f>IF(ISNUMBER('IN-CLASS_Lab Part C'!$J$721),'IN-CLASS_Lab Part C'!$J$721,NA())</f>
        <v/>
      </c>
    </row>
    <row r="722">
      <c r="J722">
        <f>IF(AND(ISNUMBER('Data'!$F$723),'Data'!$F$723&lt;&gt;999,'Data'!$F$723&lt;&gt;""),'Data'!$F$723,"")</f>
        <v/>
      </c>
      <c r="Z722" t="n">
        <v>1</v>
      </c>
      <c r="AA722">
        <f>IF(ISNUMBER('IN-CLASS_Lab Part C'!$J$722),'IN-CLASS_Lab Part C'!$J$722,NA())</f>
        <v/>
      </c>
    </row>
    <row r="723">
      <c r="J723">
        <f>IF(AND(ISNUMBER('Data'!$F$724),'Data'!$F$724&lt;&gt;999,'Data'!$F$724&lt;&gt;""),'Data'!$F$724,"")</f>
        <v/>
      </c>
      <c r="Z723" t="n">
        <v>1</v>
      </c>
      <c r="AA723">
        <f>IF(ISNUMBER('IN-CLASS_Lab Part C'!$J$723),'IN-CLASS_Lab Part C'!$J$723,NA())</f>
        <v/>
      </c>
    </row>
    <row r="724">
      <c r="J724">
        <f>IF(AND(ISNUMBER('Data'!$F$725),'Data'!$F$725&lt;&gt;999,'Data'!$F$725&lt;&gt;""),'Data'!$F$725,"")</f>
        <v/>
      </c>
      <c r="Z724" t="n">
        <v>1</v>
      </c>
      <c r="AA724">
        <f>IF(ISNUMBER('IN-CLASS_Lab Part C'!$J$724),'IN-CLASS_Lab Part C'!$J$724,NA())</f>
        <v/>
      </c>
    </row>
    <row r="725">
      <c r="J725">
        <f>IF(AND(ISNUMBER('Data'!$F$726),'Data'!$F$726&lt;&gt;999,'Data'!$F$726&lt;&gt;""),'Data'!$F$726,"")</f>
        <v/>
      </c>
      <c r="Z725" t="n">
        <v>1</v>
      </c>
      <c r="AA725">
        <f>IF(ISNUMBER('IN-CLASS_Lab Part C'!$J$725),'IN-CLASS_Lab Part C'!$J$725,NA())</f>
        <v/>
      </c>
    </row>
    <row r="726">
      <c r="J726">
        <f>IF(AND(ISNUMBER('Data'!$F$727),'Data'!$F$727&lt;&gt;999,'Data'!$F$727&lt;&gt;""),'Data'!$F$727,"")</f>
        <v/>
      </c>
      <c r="Z726" t="n">
        <v>1</v>
      </c>
      <c r="AA726">
        <f>IF(ISNUMBER('IN-CLASS_Lab Part C'!$J$726),'IN-CLASS_Lab Part C'!$J$726,NA())</f>
        <v/>
      </c>
    </row>
    <row r="727">
      <c r="J727">
        <f>IF(AND(ISNUMBER('Data'!$F$728),'Data'!$F$728&lt;&gt;999,'Data'!$F$728&lt;&gt;""),'Data'!$F$728,"")</f>
        <v/>
      </c>
      <c r="Z727" t="n">
        <v>1</v>
      </c>
      <c r="AA727">
        <f>IF(ISNUMBER('IN-CLASS_Lab Part C'!$J$727),'IN-CLASS_Lab Part C'!$J$727,NA())</f>
        <v/>
      </c>
    </row>
    <row r="728">
      <c r="J728">
        <f>IF(AND(ISNUMBER('Data'!$F$729),'Data'!$F$729&lt;&gt;999,'Data'!$F$729&lt;&gt;""),'Data'!$F$729,"")</f>
        <v/>
      </c>
      <c r="Z728" t="n">
        <v>1</v>
      </c>
      <c r="AA728">
        <f>IF(ISNUMBER('IN-CLASS_Lab Part C'!$J$728),'IN-CLASS_Lab Part C'!$J$728,NA())</f>
        <v/>
      </c>
    </row>
    <row r="729">
      <c r="J729">
        <f>IF(AND(ISNUMBER('Data'!$F$730),'Data'!$F$730&lt;&gt;999,'Data'!$F$730&lt;&gt;""),'Data'!$F$730,"")</f>
        <v/>
      </c>
      <c r="Z729" t="n">
        <v>1</v>
      </c>
      <c r="AA729">
        <f>IF(ISNUMBER('IN-CLASS_Lab Part C'!$J$729),'IN-CLASS_Lab Part C'!$J$729,NA())</f>
        <v/>
      </c>
    </row>
    <row r="730">
      <c r="J730">
        <f>IF(AND(ISNUMBER('Data'!$F$731),'Data'!$F$731&lt;&gt;999,'Data'!$F$731&lt;&gt;""),'Data'!$F$731,"")</f>
        <v/>
      </c>
      <c r="Z730" t="n">
        <v>1</v>
      </c>
      <c r="AA730">
        <f>IF(ISNUMBER('IN-CLASS_Lab Part C'!$J$730),'IN-CLASS_Lab Part C'!$J$730,NA())</f>
        <v/>
      </c>
    </row>
    <row r="731">
      <c r="J731">
        <f>IF(AND(ISNUMBER('Data'!$F$732),'Data'!$F$732&lt;&gt;999,'Data'!$F$732&lt;&gt;""),'Data'!$F$732,"")</f>
        <v/>
      </c>
      <c r="Z731" t="n">
        <v>1</v>
      </c>
      <c r="AA731">
        <f>IF(ISNUMBER('IN-CLASS_Lab Part C'!$J$731),'IN-CLASS_Lab Part C'!$J$731,NA())</f>
        <v/>
      </c>
    </row>
    <row r="732">
      <c r="J732">
        <f>IF(AND(ISNUMBER('Data'!$F$733),'Data'!$F$733&lt;&gt;999,'Data'!$F$733&lt;&gt;""),'Data'!$F$733,"")</f>
        <v/>
      </c>
      <c r="Z732" t="n">
        <v>1</v>
      </c>
      <c r="AA732">
        <f>IF(ISNUMBER('IN-CLASS_Lab Part C'!$J$732),'IN-CLASS_Lab Part C'!$J$732,NA())</f>
        <v/>
      </c>
    </row>
    <row r="733">
      <c r="J733">
        <f>IF(AND(ISNUMBER('Data'!$F$734),'Data'!$F$734&lt;&gt;999,'Data'!$F$734&lt;&gt;""),'Data'!$F$734,"")</f>
        <v/>
      </c>
      <c r="Z733" t="n">
        <v>1</v>
      </c>
      <c r="AA733">
        <f>IF(ISNUMBER('IN-CLASS_Lab Part C'!$J$733),'IN-CLASS_Lab Part C'!$J$733,NA())</f>
        <v/>
      </c>
    </row>
    <row r="734">
      <c r="J734">
        <f>IF(AND(ISNUMBER('Data'!$F$735),'Data'!$F$735&lt;&gt;999,'Data'!$F$735&lt;&gt;""),'Data'!$F$735,"")</f>
        <v/>
      </c>
      <c r="Z734" t="n">
        <v>1</v>
      </c>
      <c r="AA734">
        <f>IF(ISNUMBER('IN-CLASS_Lab Part C'!$J$734),'IN-CLASS_Lab Part C'!$J$734,NA())</f>
        <v/>
      </c>
    </row>
    <row r="735">
      <c r="J735">
        <f>IF(AND(ISNUMBER('Data'!$F$736),'Data'!$F$736&lt;&gt;999,'Data'!$F$736&lt;&gt;""),'Data'!$F$736,"")</f>
        <v/>
      </c>
      <c r="Z735" t="n">
        <v>1</v>
      </c>
      <c r="AA735">
        <f>IF(ISNUMBER('IN-CLASS_Lab Part C'!$J$735),'IN-CLASS_Lab Part C'!$J$735,NA())</f>
        <v/>
      </c>
    </row>
    <row r="736">
      <c r="J736">
        <f>IF(AND(ISNUMBER('Data'!$F$737),'Data'!$F$737&lt;&gt;999,'Data'!$F$737&lt;&gt;""),'Data'!$F$737,"")</f>
        <v/>
      </c>
      <c r="Z736" t="n">
        <v>1</v>
      </c>
      <c r="AA736">
        <f>IF(ISNUMBER('IN-CLASS_Lab Part C'!$J$736),'IN-CLASS_Lab Part C'!$J$736,NA())</f>
        <v/>
      </c>
    </row>
    <row r="737">
      <c r="J737">
        <f>IF(AND(ISNUMBER('Data'!$F$738),'Data'!$F$738&lt;&gt;999,'Data'!$F$738&lt;&gt;""),'Data'!$F$738,"")</f>
        <v/>
      </c>
      <c r="Z737" t="n">
        <v>1</v>
      </c>
      <c r="AA737">
        <f>IF(ISNUMBER('IN-CLASS_Lab Part C'!$J$737),'IN-CLASS_Lab Part C'!$J$737,NA())</f>
        <v/>
      </c>
    </row>
    <row r="738">
      <c r="J738">
        <f>IF(AND(ISNUMBER('Data'!$F$739),'Data'!$F$739&lt;&gt;999,'Data'!$F$739&lt;&gt;""),'Data'!$F$739,"")</f>
        <v/>
      </c>
      <c r="Z738" t="n">
        <v>1</v>
      </c>
      <c r="AA738">
        <f>IF(ISNUMBER('IN-CLASS_Lab Part C'!$J$738),'IN-CLASS_Lab Part C'!$J$738,NA())</f>
        <v/>
      </c>
    </row>
    <row r="739">
      <c r="J739">
        <f>IF(AND(ISNUMBER('Data'!$F$740),'Data'!$F$740&lt;&gt;999,'Data'!$F$740&lt;&gt;""),'Data'!$F$740,"")</f>
        <v/>
      </c>
      <c r="Z739" t="n">
        <v>1</v>
      </c>
      <c r="AA739">
        <f>IF(ISNUMBER('IN-CLASS_Lab Part C'!$J$739),'IN-CLASS_Lab Part C'!$J$739,NA())</f>
        <v/>
      </c>
    </row>
    <row r="740">
      <c r="J740">
        <f>IF(AND(ISNUMBER('Data'!$F$741),'Data'!$F$741&lt;&gt;999,'Data'!$F$741&lt;&gt;""),'Data'!$F$741,"")</f>
        <v/>
      </c>
      <c r="Z740" t="n">
        <v>1</v>
      </c>
      <c r="AA740">
        <f>IF(ISNUMBER('IN-CLASS_Lab Part C'!$J$740),'IN-CLASS_Lab Part C'!$J$740,NA())</f>
        <v/>
      </c>
    </row>
    <row r="741">
      <c r="J741">
        <f>IF(AND(ISNUMBER('Data'!$F$742),'Data'!$F$742&lt;&gt;999,'Data'!$F$742&lt;&gt;""),'Data'!$F$742,"")</f>
        <v/>
      </c>
      <c r="Z741" t="n">
        <v>1</v>
      </c>
      <c r="AA741">
        <f>IF(ISNUMBER('IN-CLASS_Lab Part C'!$J$741),'IN-CLASS_Lab Part C'!$J$741,NA())</f>
        <v/>
      </c>
    </row>
    <row r="742">
      <c r="J742">
        <f>IF(AND(ISNUMBER('Data'!$F$743),'Data'!$F$743&lt;&gt;999,'Data'!$F$743&lt;&gt;""),'Data'!$F$743,"")</f>
        <v/>
      </c>
      <c r="Z742" t="n">
        <v>1</v>
      </c>
      <c r="AA742">
        <f>IF(ISNUMBER('IN-CLASS_Lab Part C'!$J$742),'IN-CLASS_Lab Part C'!$J$742,NA())</f>
        <v/>
      </c>
    </row>
    <row r="743">
      <c r="J743">
        <f>IF(AND(ISNUMBER('Data'!$F$744),'Data'!$F$744&lt;&gt;999,'Data'!$F$744&lt;&gt;""),'Data'!$F$744,"")</f>
        <v/>
      </c>
      <c r="Z743" t="n">
        <v>1</v>
      </c>
      <c r="AA743">
        <f>IF(ISNUMBER('IN-CLASS_Lab Part C'!$J$743),'IN-CLASS_Lab Part C'!$J$743,NA())</f>
        <v/>
      </c>
    </row>
    <row r="744">
      <c r="J744">
        <f>IF(AND(ISNUMBER('Data'!$F$745),'Data'!$F$745&lt;&gt;999,'Data'!$F$745&lt;&gt;""),'Data'!$F$745,"")</f>
        <v/>
      </c>
      <c r="Z744" t="n">
        <v>1</v>
      </c>
      <c r="AA744">
        <f>IF(ISNUMBER('IN-CLASS_Lab Part C'!$J$744),'IN-CLASS_Lab Part C'!$J$744,NA())</f>
        <v/>
      </c>
    </row>
    <row r="745">
      <c r="J745">
        <f>IF(AND(ISNUMBER('Data'!$F$746),'Data'!$F$746&lt;&gt;999,'Data'!$F$746&lt;&gt;""),'Data'!$F$746,"")</f>
        <v/>
      </c>
      <c r="Z745" t="n">
        <v>1</v>
      </c>
      <c r="AA745">
        <f>IF(ISNUMBER('IN-CLASS_Lab Part C'!$J$745),'IN-CLASS_Lab Part C'!$J$745,NA())</f>
        <v/>
      </c>
    </row>
    <row r="746">
      <c r="J746">
        <f>IF(AND(ISNUMBER('Data'!$F$747),'Data'!$F$747&lt;&gt;999,'Data'!$F$747&lt;&gt;""),'Data'!$F$747,"")</f>
        <v/>
      </c>
      <c r="Z746" t="n">
        <v>1</v>
      </c>
      <c r="AA746">
        <f>IF(ISNUMBER('IN-CLASS_Lab Part C'!$J$746),'IN-CLASS_Lab Part C'!$J$746,NA())</f>
        <v/>
      </c>
    </row>
    <row r="747">
      <c r="J747">
        <f>IF(AND(ISNUMBER('Data'!$F$748),'Data'!$F$748&lt;&gt;999,'Data'!$F$748&lt;&gt;""),'Data'!$F$748,"")</f>
        <v/>
      </c>
      <c r="Z747" t="n">
        <v>1</v>
      </c>
      <c r="AA747">
        <f>IF(ISNUMBER('IN-CLASS_Lab Part C'!$J$747),'IN-CLASS_Lab Part C'!$J$747,NA())</f>
        <v/>
      </c>
    </row>
    <row r="748">
      <c r="J748">
        <f>IF(AND(ISNUMBER('Data'!$F$749),'Data'!$F$749&lt;&gt;999,'Data'!$F$749&lt;&gt;""),'Data'!$F$749,"")</f>
        <v/>
      </c>
      <c r="Z748" t="n">
        <v>1</v>
      </c>
      <c r="AA748">
        <f>IF(ISNUMBER('IN-CLASS_Lab Part C'!$J$748),'IN-CLASS_Lab Part C'!$J$748,NA())</f>
        <v/>
      </c>
    </row>
    <row r="749">
      <c r="J749">
        <f>IF(AND(ISNUMBER('Data'!$F$750),'Data'!$F$750&lt;&gt;999,'Data'!$F$750&lt;&gt;""),'Data'!$F$750,"")</f>
        <v/>
      </c>
      <c r="Z749" t="n">
        <v>1</v>
      </c>
      <c r="AA749">
        <f>IF(ISNUMBER('IN-CLASS_Lab Part C'!$J$749),'IN-CLASS_Lab Part C'!$J$749,NA())</f>
        <v/>
      </c>
    </row>
    <row r="750">
      <c r="J750">
        <f>IF(AND(ISNUMBER('Data'!$F$751),'Data'!$F$751&lt;&gt;999,'Data'!$F$751&lt;&gt;""),'Data'!$F$751,"")</f>
        <v/>
      </c>
      <c r="Z750" t="n">
        <v>1</v>
      </c>
      <c r="AA750">
        <f>IF(ISNUMBER('IN-CLASS_Lab Part C'!$J$750),'IN-CLASS_Lab Part C'!$J$750,NA())</f>
        <v/>
      </c>
    </row>
    <row r="751">
      <c r="J751">
        <f>IF(AND(ISNUMBER('Data'!$F$752),'Data'!$F$752&lt;&gt;999,'Data'!$F$752&lt;&gt;""),'Data'!$F$752,"")</f>
        <v/>
      </c>
      <c r="Z751" t="n">
        <v>1</v>
      </c>
      <c r="AA751">
        <f>IF(ISNUMBER('IN-CLASS_Lab Part C'!$J$751),'IN-CLASS_Lab Part C'!$J$751,NA())</f>
        <v/>
      </c>
    </row>
    <row r="752">
      <c r="J752">
        <f>IF(AND(ISNUMBER('Data'!$F$753),'Data'!$F$753&lt;&gt;999,'Data'!$F$753&lt;&gt;""),'Data'!$F$753,"")</f>
        <v/>
      </c>
      <c r="Z752" t="n">
        <v>1</v>
      </c>
      <c r="AA752">
        <f>IF(ISNUMBER('IN-CLASS_Lab Part C'!$J$752),'IN-CLASS_Lab Part C'!$J$752,NA())</f>
        <v/>
      </c>
    </row>
    <row r="753">
      <c r="J753">
        <f>IF(AND(ISNUMBER('Data'!$F$754),'Data'!$F$754&lt;&gt;999,'Data'!$F$754&lt;&gt;""),'Data'!$F$754,"")</f>
        <v/>
      </c>
      <c r="Z753" t="n">
        <v>1</v>
      </c>
      <c r="AA753">
        <f>IF(ISNUMBER('IN-CLASS_Lab Part C'!$J$753),'IN-CLASS_Lab Part C'!$J$753,NA())</f>
        <v/>
      </c>
    </row>
    <row r="754">
      <c r="J754">
        <f>IF(AND(ISNUMBER('Data'!$F$755),'Data'!$F$755&lt;&gt;999,'Data'!$F$755&lt;&gt;""),'Data'!$F$755,"")</f>
        <v/>
      </c>
      <c r="Z754" t="n">
        <v>1</v>
      </c>
      <c r="AA754">
        <f>IF(ISNUMBER('IN-CLASS_Lab Part C'!$J$754),'IN-CLASS_Lab Part C'!$J$754,NA())</f>
        <v/>
      </c>
    </row>
    <row r="755">
      <c r="J755">
        <f>IF(AND(ISNUMBER('Data'!$F$756),'Data'!$F$756&lt;&gt;999,'Data'!$F$756&lt;&gt;""),'Data'!$F$756,"")</f>
        <v/>
      </c>
      <c r="Z755" t="n">
        <v>1</v>
      </c>
      <c r="AA755">
        <f>IF(ISNUMBER('IN-CLASS_Lab Part C'!$J$755),'IN-CLASS_Lab Part C'!$J$755,NA())</f>
        <v/>
      </c>
    </row>
    <row r="756">
      <c r="J756">
        <f>IF(AND(ISNUMBER('Data'!$F$757),'Data'!$F$757&lt;&gt;999,'Data'!$F$757&lt;&gt;""),'Data'!$F$757,"")</f>
        <v/>
      </c>
      <c r="Z756" t="n">
        <v>1</v>
      </c>
      <c r="AA756">
        <f>IF(ISNUMBER('IN-CLASS_Lab Part C'!$J$756),'IN-CLASS_Lab Part C'!$J$756,NA())</f>
        <v/>
      </c>
    </row>
    <row r="757">
      <c r="J757">
        <f>IF(AND(ISNUMBER('Data'!$F$758),'Data'!$F$758&lt;&gt;999,'Data'!$F$758&lt;&gt;""),'Data'!$F$758,"")</f>
        <v/>
      </c>
      <c r="Z757" t="n">
        <v>1</v>
      </c>
      <c r="AA757">
        <f>IF(ISNUMBER('IN-CLASS_Lab Part C'!$J$757),'IN-CLASS_Lab Part C'!$J$757,NA())</f>
        <v/>
      </c>
    </row>
    <row r="758">
      <c r="J758">
        <f>IF(AND(ISNUMBER('Data'!$F$759),'Data'!$F$759&lt;&gt;999,'Data'!$F$759&lt;&gt;""),'Data'!$F$759,"")</f>
        <v/>
      </c>
      <c r="Z758" t="n">
        <v>1</v>
      </c>
      <c r="AA758">
        <f>IF(ISNUMBER('IN-CLASS_Lab Part C'!$J$758),'IN-CLASS_Lab Part C'!$J$758,NA())</f>
        <v/>
      </c>
    </row>
    <row r="759">
      <c r="J759">
        <f>IF(AND(ISNUMBER('Data'!$F$760),'Data'!$F$760&lt;&gt;999,'Data'!$F$760&lt;&gt;""),'Data'!$F$760,"")</f>
        <v/>
      </c>
      <c r="Z759" t="n">
        <v>1</v>
      </c>
      <c r="AA759">
        <f>IF(ISNUMBER('IN-CLASS_Lab Part C'!$J$759),'IN-CLASS_Lab Part C'!$J$759,NA())</f>
        <v/>
      </c>
    </row>
    <row r="760">
      <c r="J760">
        <f>IF(AND(ISNUMBER('Data'!$F$761),'Data'!$F$761&lt;&gt;999,'Data'!$F$761&lt;&gt;""),'Data'!$F$761,"")</f>
        <v/>
      </c>
      <c r="Z760" t="n">
        <v>1</v>
      </c>
      <c r="AA760">
        <f>IF(ISNUMBER('IN-CLASS_Lab Part C'!$J$760),'IN-CLASS_Lab Part C'!$J$760,NA())</f>
        <v/>
      </c>
    </row>
    <row r="761">
      <c r="J761">
        <f>IF(AND(ISNUMBER('Data'!$F$762),'Data'!$F$762&lt;&gt;999,'Data'!$F$762&lt;&gt;""),'Data'!$F$762,"")</f>
        <v/>
      </c>
      <c r="Z761" t="n">
        <v>1</v>
      </c>
      <c r="AA761">
        <f>IF(ISNUMBER('IN-CLASS_Lab Part C'!$J$761),'IN-CLASS_Lab Part C'!$J$761,NA())</f>
        <v/>
      </c>
    </row>
    <row r="762">
      <c r="J762">
        <f>IF(AND(ISNUMBER('Data'!$F$763),'Data'!$F$763&lt;&gt;999,'Data'!$F$763&lt;&gt;""),'Data'!$F$763,"")</f>
        <v/>
      </c>
      <c r="Z762" t="n">
        <v>1</v>
      </c>
      <c r="AA762">
        <f>IF(ISNUMBER('IN-CLASS_Lab Part C'!$J$762),'IN-CLASS_Lab Part C'!$J$762,NA())</f>
        <v/>
      </c>
    </row>
    <row r="763">
      <c r="J763">
        <f>IF(AND(ISNUMBER('Data'!$F$764),'Data'!$F$764&lt;&gt;999,'Data'!$F$764&lt;&gt;""),'Data'!$F$764,"")</f>
        <v/>
      </c>
      <c r="Z763" t="n">
        <v>1</v>
      </c>
      <c r="AA763">
        <f>IF(ISNUMBER('IN-CLASS_Lab Part C'!$J$763),'IN-CLASS_Lab Part C'!$J$763,NA())</f>
        <v/>
      </c>
    </row>
    <row r="764">
      <c r="J764">
        <f>IF(AND(ISNUMBER('Data'!$F$765),'Data'!$F$765&lt;&gt;999,'Data'!$F$765&lt;&gt;""),'Data'!$F$765,"")</f>
        <v/>
      </c>
      <c r="Z764" t="n">
        <v>1</v>
      </c>
      <c r="AA764">
        <f>IF(ISNUMBER('IN-CLASS_Lab Part C'!$J$764),'IN-CLASS_Lab Part C'!$J$764,NA())</f>
        <v/>
      </c>
    </row>
    <row r="765">
      <c r="J765">
        <f>IF(AND(ISNUMBER('Data'!$F$766),'Data'!$F$766&lt;&gt;999,'Data'!$F$766&lt;&gt;""),'Data'!$F$766,"")</f>
        <v/>
      </c>
      <c r="Z765" t="n">
        <v>1</v>
      </c>
      <c r="AA765">
        <f>IF(ISNUMBER('IN-CLASS_Lab Part C'!$J$765),'IN-CLASS_Lab Part C'!$J$765,NA())</f>
        <v/>
      </c>
    </row>
    <row r="766">
      <c r="J766">
        <f>IF(AND(ISNUMBER('Data'!$F$767),'Data'!$F$767&lt;&gt;999,'Data'!$F$767&lt;&gt;""),'Data'!$F$767,"")</f>
        <v/>
      </c>
      <c r="Z766" t="n">
        <v>1</v>
      </c>
      <c r="AA766">
        <f>IF(ISNUMBER('IN-CLASS_Lab Part C'!$J$766),'IN-CLASS_Lab Part C'!$J$766,NA())</f>
        <v/>
      </c>
    </row>
    <row r="767">
      <c r="J767">
        <f>IF(AND(ISNUMBER('Data'!$F$768),'Data'!$F$768&lt;&gt;999,'Data'!$F$768&lt;&gt;""),'Data'!$F$768,"")</f>
        <v/>
      </c>
      <c r="Z767" t="n">
        <v>1</v>
      </c>
      <c r="AA767">
        <f>IF(ISNUMBER('IN-CLASS_Lab Part C'!$J$767),'IN-CLASS_Lab Part C'!$J$767,NA())</f>
        <v/>
      </c>
    </row>
    <row r="768">
      <c r="J768">
        <f>IF(AND(ISNUMBER('Data'!$F$769),'Data'!$F$769&lt;&gt;999,'Data'!$F$769&lt;&gt;""),'Data'!$F$769,"")</f>
        <v/>
      </c>
      <c r="Z768" t="n">
        <v>1</v>
      </c>
      <c r="AA768">
        <f>IF(ISNUMBER('IN-CLASS_Lab Part C'!$J$768),'IN-CLASS_Lab Part C'!$J$768,NA())</f>
        <v/>
      </c>
    </row>
    <row r="769">
      <c r="J769">
        <f>IF(AND(ISNUMBER('Data'!$F$770),'Data'!$F$770&lt;&gt;999,'Data'!$F$770&lt;&gt;""),'Data'!$F$770,"")</f>
        <v/>
      </c>
      <c r="Z769" t="n">
        <v>1</v>
      </c>
      <c r="AA769">
        <f>IF(ISNUMBER('IN-CLASS_Lab Part C'!$J$769),'IN-CLASS_Lab Part C'!$J$769,NA())</f>
        <v/>
      </c>
    </row>
    <row r="770">
      <c r="J770">
        <f>IF(AND(ISNUMBER('Data'!$F$771),'Data'!$F$771&lt;&gt;999,'Data'!$F$771&lt;&gt;""),'Data'!$F$771,"")</f>
        <v/>
      </c>
      <c r="Z770" t="n">
        <v>1</v>
      </c>
      <c r="AA770">
        <f>IF(ISNUMBER('IN-CLASS_Lab Part C'!$J$770),'IN-CLASS_Lab Part C'!$J$770,NA())</f>
        <v/>
      </c>
    </row>
    <row r="771">
      <c r="J771">
        <f>IF(AND(ISNUMBER('Data'!$F$772),'Data'!$F$772&lt;&gt;999,'Data'!$F$772&lt;&gt;""),'Data'!$F$772,"")</f>
        <v/>
      </c>
      <c r="Z771" t="n">
        <v>1</v>
      </c>
      <c r="AA771">
        <f>IF(ISNUMBER('IN-CLASS_Lab Part C'!$J$771),'IN-CLASS_Lab Part C'!$J$771,NA())</f>
        <v/>
      </c>
    </row>
    <row r="772">
      <c r="J772">
        <f>IF(AND(ISNUMBER('Data'!$F$773),'Data'!$F$773&lt;&gt;999,'Data'!$F$773&lt;&gt;""),'Data'!$F$773,"")</f>
        <v/>
      </c>
      <c r="Z772" t="n">
        <v>1</v>
      </c>
      <c r="AA772">
        <f>IF(ISNUMBER('IN-CLASS_Lab Part C'!$J$772),'IN-CLASS_Lab Part C'!$J$772,NA())</f>
        <v/>
      </c>
    </row>
    <row r="773">
      <c r="J773">
        <f>IF(AND(ISNUMBER('Data'!$F$774),'Data'!$F$774&lt;&gt;999,'Data'!$F$774&lt;&gt;""),'Data'!$F$774,"")</f>
        <v/>
      </c>
      <c r="Z773" t="n">
        <v>1</v>
      </c>
      <c r="AA773">
        <f>IF(ISNUMBER('IN-CLASS_Lab Part C'!$J$773),'IN-CLASS_Lab Part C'!$J$773,NA())</f>
        <v/>
      </c>
    </row>
    <row r="774">
      <c r="J774">
        <f>IF(AND(ISNUMBER('Data'!$F$775),'Data'!$F$775&lt;&gt;999,'Data'!$F$775&lt;&gt;""),'Data'!$F$775,"")</f>
        <v/>
      </c>
      <c r="Z774" t="n">
        <v>1</v>
      </c>
      <c r="AA774">
        <f>IF(ISNUMBER('IN-CLASS_Lab Part C'!$J$774),'IN-CLASS_Lab Part C'!$J$774,NA())</f>
        <v/>
      </c>
    </row>
    <row r="775">
      <c r="J775">
        <f>IF(AND(ISNUMBER('Data'!$F$776),'Data'!$F$776&lt;&gt;999,'Data'!$F$776&lt;&gt;""),'Data'!$F$776,"")</f>
        <v/>
      </c>
      <c r="Z775" t="n">
        <v>1</v>
      </c>
      <c r="AA775">
        <f>IF(ISNUMBER('IN-CLASS_Lab Part C'!$J$775),'IN-CLASS_Lab Part C'!$J$775,NA())</f>
        <v/>
      </c>
    </row>
    <row r="776">
      <c r="J776">
        <f>IF(AND(ISNUMBER('Data'!$F$777),'Data'!$F$777&lt;&gt;999,'Data'!$F$777&lt;&gt;""),'Data'!$F$777,"")</f>
        <v/>
      </c>
      <c r="Z776" t="n">
        <v>1</v>
      </c>
      <c r="AA776">
        <f>IF(ISNUMBER('IN-CLASS_Lab Part C'!$J$776),'IN-CLASS_Lab Part C'!$J$776,NA())</f>
        <v/>
      </c>
    </row>
    <row r="777">
      <c r="J777">
        <f>IF(AND(ISNUMBER('Data'!$F$778),'Data'!$F$778&lt;&gt;999,'Data'!$F$778&lt;&gt;""),'Data'!$F$778,"")</f>
        <v/>
      </c>
      <c r="Z777" t="n">
        <v>1</v>
      </c>
      <c r="AA777">
        <f>IF(ISNUMBER('IN-CLASS_Lab Part C'!$J$777),'IN-CLASS_Lab Part C'!$J$777,NA())</f>
        <v/>
      </c>
    </row>
    <row r="778">
      <c r="J778">
        <f>IF(AND(ISNUMBER('Data'!$F$779),'Data'!$F$779&lt;&gt;999,'Data'!$F$779&lt;&gt;""),'Data'!$F$779,"")</f>
        <v/>
      </c>
      <c r="Z778" t="n">
        <v>1</v>
      </c>
      <c r="AA778">
        <f>IF(ISNUMBER('IN-CLASS_Lab Part C'!$J$778),'IN-CLASS_Lab Part C'!$J$778,NA())</f>
        <v/>
      </c>
    </row>
    <row r="779">
      <c r="J779">
        <f>IF(AND(ISNUMBER('Data'!$F$780),'Data'!$F$780&lt;&gt;999,'Data'!$F$780&lt;&gt;""),'Data'!$F$780,"")</f>
        <v/>
      </c>
      <c r="Z779" t="n">
        <v>1</v>
      </c>
      <c r="AA779">
        <f>IF(ISNUMBER('IN-CLASS_Lab Part C'!$J$779),'IN-CLASS_Lab Part C'!$J$779,NA())</f>
        <v/>
      </c>
    </row>
    <row r="780">
      <c r="J780">
        <f>IF(AND(ISNUMBER('Data'!$F$781),'Data'!$F$781&lt;&gt;999,'Data'!$F$781&lt;&gt;""),'Data'!$F$781,"")</f>
        <v/>
      </c>
      <c r="Z780" t="n">
        <v>1</v>
      </c>
      <c r="AA780">
        <f>IF(ISNUMBER('IN-CLASS_Lab Part C'!$J$780),'IN-CLASS_Lab Part C'!$J$780,NA())</f>
        <v/>
      </c>
    </row>
    <row r="781">
      <c r="J781">
        <f>IF(AND(ISNUMBER('Data'!$F$782),'Data'!$F$782&lt;&gt;999,'Data'!$F$782&lt;&gt;""),'Data'!$F$782,"")</f>
        <v/>
      </c>
      <c r="Z781" t="n">
        <v>1</v>
      </c>
      <c r="AA781">
        <f>IF(ISNUMBER('IN-CLASS_Lab Part C'!$J$781),'IN-CLASS_Lab Part C'!$J$781,NA())</f>
        <v/>
      </c>
    </row>
    <row r="782">
      <c r="J782">
        <f>IF(AND(ISNUMBER('Data'!$F$783),'Data'!$F$783&lt;&gt;999,'Data'!$F$783&lt;&gt;""),'Data'!$F$783,"")</f>
        <v/>
      </c>
      <c r="Z782" t="n">
        <v>1</v>
      </c>
      <c r="AA782">
        <f>IF(ISNUMBER('IN-CLASS_Lab Part C'!$J$782),'IN-CLASS_Lab Part C'!$J$782,NA())</f>
        <v/>
      </c>
    </row>
    <row r="783">
      <c r="J783">
        <f>IF(AND(ISNUMBER('Data'!$F$784),'Data'!$F$784&lt;&gt;999,'Data'!$F$784&lt;&gt;""),'Data'!$F$784,"")</f>
        <v/>
      </c>
      <c r="Z783" t="n">
        <v>1</v>
      </c>
      <c r="AA783">
        <f>IF(ISNUMBER('IN-CLASS_Lab Part C'!$J$783),'IN-CLASS_Lab Part C'!$J$783,NA())</f>
        <v/>
      </c>
    </row>
    <row r="784">
      <c r="J784">
        <f>IF(AND(ISNUMBER('Data'!$F$785),'Data'!$F$785&lt;&gt;999,'Data'!$F$785&lt;&gt;""),'Data'!$F$785,"")</f>
        <v/>
      </c>
      <c r="Z784" t="n">
        <v>1</v>
      </c>
      <c r="AA784">
        <f>IF(ISNUMBER('IN-CLASS_Lab Part C'!$J$784),'IN-CLASS_Lab Part C'!$J$784,NA())</f>
        <v/>
      </c>
    </row>
    <row r="785">
      <c r="J785">
        <f>IF(AND(ISNUMBER('Data'!$F$786),'Data'!$F$786&lt;&gt;999,'Data'!$F$786&lt;&gt;""),'Data'!$F$786,"")</f>
        <v/>
      </c>
      <c r="Z785" t="n">
        <v>1</v>
      </c>
      <c r="AA785">
        <f>IF(ISNUMBER('IN-CLASS_Lab Part C'!$J$785),'IN-CLASS_Lab Part C'!$J$785,NA())</f>
        <v/>
      </c>
    </row>
    <row r="786">
      <c r="J786">
        <f>IF(AND(ISNUMBER('Data'!$F$787),'Data'!$F$787&lt;&gt;999,'Data'!$F$787&lt;&gt;""),'Data'!$F$787,"")</f>
        <v/>
      </c>
      <c r="Z786" t="n">
        <v>1</v>
      </c>
      <c r="AA786">
        <f>IF(ISNUMBER('IN-CLASS_Lab Part C'!$J$786),'IN-CLASS_Lab Part C'!$J$786,NA())</f>
        <v/>
      </c>
    </row>
    <row r="787">
      <c r="J787">
        <f>IF(AND(ISNUMBER('Data'!$F$788),'Data'!$F$788&lt;&gt;999,'Data'!$F$788&lt;&gt;""),'Data'!$F$788,"")</f>
        <v/>
      </c>
      <c r="Z787" t="n">
        <v>1</v>
      </c>
      <c r="AA787">
        <f>IF(ISNUMBER('IN-CLASS_Lab Part C'!$J$787),'IN-CLASS_Lab Part C'!$J$787,NA())</f>
        <v/>
      </c>
    </row>
    <row r="788">
      <c r="J788">
        <f>IF(AND(ISNUMBER('Data'!$F$789),'Data'!$F$789&lt;&gt;999,'Data'!$F$789&lt;&gt;""),'Data'!$F$789,"")</f>
        <v/>
      </c>
      <c r="Z788" t="n">
        <v>1</v>
      </c>
      <c r="AA788">
        <f>IF(ISNUMBER('IN-CLASS_Lab Part C'!$J$788),'IN-CLASS_Lab Part C'!$J$788,NA())</f>
        <v/>
      </c>
    </row>
    <row r="789">
      <c r="J789">
        <f>IF(AND(ISNUMBER('Data'!$F$790),'Data'!$F$790&lt;&gt;999,'Data'!$F$790&lt;&gt;""),'Data'!$F$790,"")</f>
        <v/>
      </c>
      <c r="Z789" t="n">
        <v>1</v>
      </c>
      <c r="AA789">
        <f>IF(ISNUMBER('IN-CLASS_Lab Part C'!$J$789),'IN-CLASS_Lab Part C'!$J$789,NA())</f>
        <v/>
      </c>
    </row>
    <row r="790">
      <c r="J790">
        <f>IF(AND(ISNUMBER('Data'!$F$791),'Data'!$F$791&lt;&gt;999,'Data'!$F$791&lt;&gt;""),'Data'!$F$791,"")</f>
        <v/>
      </c>
      <c r="Z790" t="n">
        <v>1</v>
      </c>
      <c r="AA790">
        <f>IF(ISNUMBER('IN-CLASS_Lab Part C'!$J$790),'IN-CLASS_Lab Part C'!$J$790,NA())</f>
        <v/>
      </c>
    </row>
    <row r="791">
      <c r="J791">
        <f>IF(AND(ISNUMBER('Data'!$F$792),'Data'!$F$792&lt;&gt;999,'Data'!$F$792&lt;&gt;""),'Data'!$F$792,"")</f>
        <v/>
      </c>
      <c r="Z791" t="n">
        <v>1</v>
      </c>
      <c r="AA791">
        <f>IF(ISNUMBER('IN-CLASS_Lab Part C'!$J$791),'IN-CLASS_Lab Part C'!$J$791,NA())</f>
        <v/>
      </c>
    </row>
    <row r="792">
      <c r="J792">
        <f>IF(AND(ISNUMBER('Data'!$F$793),'Data'!$F$793&lt;&gt;999,'Data'!$F$793&lt;&gt;""),'Data'!$F$793,"")</f>
        <v/>
      </c>
      <c r="Z792" t="n">
        <v>1</v>
      </c>
      <c r="AA792">
        <f>IF(ISNUMBER('IN-CLASS_Lab Part C'!$J$792),'IN-CLASS_Lab Part C'!$J$792,NA())</f>
        <v/>
      </c>
    </row>
    <row r="793">
      <c r="J793">
        <f>IF(AND(ISNUMBER('Data'!$F$794),'Data'!$F$794&lt;&gt;999,'Data'!$F$794&lt;&gt;""),'Data'!$F$794,"")</f>
        <v/>
      </c>
      <c r="Z793" t="n">
        <v>1</v>
      </c>
      <c r="AA793">
        <f>IF(ISNUMBER('IN-CLASS_Lab Part C'!$J$793),'IN-CLASS_Lab Part C'!$J$793,NA())</f>
        <v/>
      </c>
    </row>
    <row r="794">
      <c r="J794">
        <f>IF(AND(ISNUMBER('Data'!$F$795),'Data'!$F$795&lt;&gt;999,'Data'!$F$795&lt;&gt;""),'Data'!$F$795,"")</f>
        <v/>
      </c>
      <c r="Z794" t="n">
        <v>1</v>
      </c>
      <c r="AA794">
        <f>IF(ISNUMBER('IN-CLASS_Lab Part C'!$J$794),'IN-CLASS_Lab Part C'!$J$794,NA())</f>
        <v/>
      </c>
    </row>
    <row r="795">
      <c r="J795">
        <f>IF(AND(ISNUMBER('Data'!$F$796),'Data'!$F$796&lt;&gt;999,'Data'!$F$796&lt;&gt;""),'Data'!$F$796,"")</f>
        <v/>
      </c>
      <c r="Z795" t="n">
        <v>1</v>
      </c>
      <c r="AA795">
        <f>IF(ISNUMBER('IN-CLASS_Lab Part C'!$J$795),'IN-CLASS_Lab Part C'!$J$795,NA())</f>
        <v/>
      </c>
    </row>
    <row r="796">
      <c r="J796">
        <f>IF(AND(ISNUMBER('Data'!$F$797),'Data'!$F$797&lt;&gt;999,'Data'!$F$797&lt;&gt;""),'Data'!$F$797,"")</f>
        <v/>
      </c>
      <c r="Z796" t="n">
        <v>1</v>
      </c>
      <c r="AA796">
        <f>IF(ISNUMBER('IN-CLASS_Lab Part C'!$J$796),'IN-CLASS_Lab Part C'!$J$796,NA())</f>
        <v/>
      </c>
    </row>
    <row r="797">
      <c r="J797">
        <f>IF(AND(ISNUMBER('Data'!$F$798),'Data'!$F$798&lt;&gt;999,'Data'!$F$798&lt;&gt;""),'Data'!$F$798,"")</f>
        <v/>
      </c>
      <c r="Z797" t="n">
        <v>1</v>
      </c>
      <c r="AA797">
        <f>IF(ISNUMBER('IN-CLASS_Lab Part C'!$J$797),'IN-CLASS_Lab Part C'!$J$797,NA())</f>
        <v/>
      </c>
    </row>
    <row r="798">
      <c r="J798">
        <f>IF(AND(ISNUMBER('Data'!$F$799),'Data'!$F$799&lt;&gt;999,'Data'!$F$799&lt;&gt;""),'Data'!$F$799,"")</f>
        <v/>
      </c>
      <c r="Z798" t="n">
        <v>1</v>
      </c>
      <c r="AA798">
        <f>IF(ISNUMBER('IN-CLASS_Lab Part C'!$J$798),'IN-CLASS_Lab Part C'!$J$798,NA())</f>
        <v/>
      </c>
    </row>
    <row r="799">
      <c r="J799">
        <f>IF(AND(ISNUMBER('Data'!$F$800),'Data'!$F$800&lt;&gt;999,'Data'!$F$800&lt;&gt;""),'Data'!$F$800,"")</f>
        <v/>
      </c>
      <c r="Z799" t="n">
        <v>1</v>
      </c>
      <c r="AA799">
        <f>IF(ISNUMBER('IN-CLASS_Lab Part C'!$J$799),'IN-CLASS_Lab Part C'!$J$799,NA())</f>
        <v/>
      </c>
    </row>
    <row r="800">
      <c r="J800">
        <f>IF(AND(ISNUMBER('Data'!$F$801),'Data'!$F$801&lt;&gt;999,'Data'!$F$801&lt;&gt;""),'Data'!$F$801,"")</f>
        <v/>
      </c>
      <c r="Z800" t="n">
        <v>1</v>
      </c>
      <c r="AA800">
        <f>IF(ISNUMBER('IN-CLASS_Lab Part C'!$J$800),'IN-CLASS_Lab Part C'!$J$800,NA())</f>
        <v/>
      </c>
    </row>
    <row r="801">
      <c r="J801">
        <f>IF(AND(ISNUMBER('Data'!$F$802),'Data'!$F$802&lt;&gt;999,'Data'!$F$802&lt;&gt;""),'Data'!$F$802,"")</f>
        <v/>
      </c>
      <c r="Z801" t="n">
        <v>1</v>
      </c>
      <c r="AA801">
        <f>IF(ISNUMBER('IN-CLASS_Lab Part C'!$J$801),'IN-CLASS_Lab Part C'!$J$801,NA())</f>
        <v/>
      </c>
    </row>
    <row r="802">
      <c r="J802">
        <f>IF(AND(ISNUMBER('Data'!$F$803),'Data'!$F$803&lt;&gt;999,'Data'!$F$803&lt;&gt;""),'Data'!$F$803,"")</f>
        <v/>
      </c>
      <c r="Z802" t="n">
        <v>1</v>
      </c>
      <c r="AA802">
        <f>IF(ISNUMBER('IN-CLASS_Lab Part C'!$J$802),'IN-CLASS_Lab Part C'!$J$802,NA())</f>
        <v/>
      </c>
    </row>
    <row r="803">
      <c r="J803">
        <f>IF(AND(ISNUMBER('Data'!$F$804),'Data'!$F$804&lt;&gt;999,'Data'!$F$804&lt;&gt;""),'Data'!$F$804,"")</f>
        <v/>
      </c>
      <c r="Z803" t="n">
        <v>1</v>
      </c>
      <c r="AA803">
        <f>IF(ISNUMBER('IN-CLASS_Lab Part C'!$J$803),'IN-CLASS_Lab Part C'!$J$803,NA())</f>
        <v/>
      </c>
    </row>
    <row r="804">
      <c r="J804">
        <f>IF(AND(ISNUMBER('Data'!$F$805),'Data'!$F$805&lt;&gt;999,'Data'!$F$805&lt;&gt;""),'Data'!$F$805,"")</f>
        <v/>
      </c>
      <c r="Z804" t="n">
        <v>1</v>
      </c>
      <c r="AA804">
        <f>IF(ISNUMBER('IN-CLASS_Lab Part C'!$J$804),'IN-CLASS_Lab Part C'!$J$804,NA())</f>
        <v/>
      </c>
    </row>
    <row r="805">
      <c r="J805">
        <f>IF(AND(ISNUMBER('Data'!$F$806),'Data'!$F$806&lt;&gt;999,'Data'!$F$806&lt;&gt;""),'Data'!$F$806,"")</f>
        <v/>
      </c>
      <c r="Z805" t="n">
        <v>1</v>
      </c>
      <c r="AA805">
        <f>IF(ISNUMBER('IN-CLASS_Lab Part C'!$J$805),'IN-CLASS_Lab Part C'!$J$805,NA())</f>
        <v/>
      </c>
    </row>
    <row r="806">
      <c r="J806">
        <f>IF(AND(ISNUMBER('Data'!$F$807),'Data'!$F$807&lt;&gt;999,'Data'!$F$807&lt;&gt;""),'Data'!$F$807,"")</f>
        <v/>
      </c>
      <c r="Z806" t="n">
        <v>1</v>
      </c>
      <c r="AA806">
        <f>IF(ISNUMBER('IN-CLASS_Lab Part C'!$J$806),'IN-CLASS_Lab Part C'!$J$806,NA())</f>
        <v/>
      </c>
    </row>
    <row r="807">
      <c r="J807">
        <f>IF(AND(ISNUMBER('Data'!$F$808),'Data'!$F$808&lt;&gt;999,'Data'!$F$808&lt;&gt;""),'Data'!$F$808,"")</f>
        <v/>
      </c>
      <c r="Z807" t="n">
        <v>1</v>
      </c>
      <c r="AA807">
        <f>IF(ISNUMBER('IN-CLASS_Lab Part C'!$J$807),'IN-CLASS_Lab Part C'!$J$807,NA())</f>
        <v/>
      </c>
    </row>
    <row r="808">
      <c r="J808">
        <f>IF(AND(ISNUMBER('Data'!$F$809),'Data'!$F$809&lt;&gt;999,'Data'!$F$809&lt;&gt;""),'Data'!$F$809,"")</f>
        <v/>
      </c>
      <c r="Z808" t="n">
        <v>1</v>
      </c>
      <c r="AA808">
        <f>IF(ISNUMBER('IN-CLASS_Lab Part C'!$J$808),'IN-CLASS_Lab Part C'!$J$808,NA())</f>
        <v/>
      </c>
    </row>
    <row r="809">
      <c r="J809">
        <f>IF(AND(ISNUMBER('Data'!$F$810),'Data'!$F$810&lt;&gt;999,'Data'!$F$810&lt;&gt;""),'Data'!$F$810,"")</f>
        <v/>
      </c>
      <c r="Z809" t="n">
        <v>1</v>
      </c>
      <c r="AA809">
        <f>IF(ISNUMBER('IN-CLASS_Lab Part C'!$J$809),'IN-CLASS_Lab Part C'!$J$809,NA())</f>
        <v/>
      </c>
    </row>
    <row r="810">
      <c r="J810">
        <f>IF(AND(ISNUMBER('Data'!$F$811),'Data'!$F$811&lt;&gt;999,'Data'!$F$811&lt;&gt;""),'Data'!$F$811,"")</f>
        <v/>
      </c>
      <c r="Z810" t="n">
        <v>1</v>
      </c>
      <c r="AA810">
        <f>IF(ISNUMBER('IN-CLASS_Lab Part C'!$J$810),'IN-CLASS_Lab Part C'!$J$810,NA())</f>
        <v/>
      </c>
    </row>
    <row r="811">
      <c r="J811">
        <f>IF(AND(ISNUMBER('Data'!$F$812),'Data'!$F$812&lt;&gt;999,'Data'!$F$812&lt;&gt;""),'Data'!$F$812,"")</f>
        <v/>
      </c>
      <c r="Z811" t="n">
        <v>1</v>
      </c>
      <c r="AA811">
        <f>IF(ISNUMBER('IN-CLASS_Lab Part C'!$J$811),'IN-CLASS_Lab Part C'!$J$811,NA())</f>
        <v/>
      </c>
    </row>
    <row r="812">
      <c r="J812">
        <f>IF(AND(ISNUMBER('Data'!$F$813),'Data'!$F$813&lt;&gt;999,'Data'!$F$813&lt;&gt;""),'Data'!$F$813,"")</f>
        <v/>
      </c>
      <c r="Z812" t="n">
        <v>1</v>
      </c>
      <c r="AA812">
        <f>IF(ISNUMBER('IN-CLASS_Lab Part C'!$J$812),'IN-CLASS_Lab Part C'!$J$812,NA())</f>
        <v/>
      </c>
    </row>
    <row r="813">
      <c r="J813">
        <f>IF(AND(ISNUMBER('Data'!$F$814),'Data'!$F$814&lt;&gt;999,'Data'!$F$814&lt;&gt;""),'Data'!$F$814,"")</f>
        <v/>
      </c>
      <c r="Z813" t="n">
        <v>1</v>
      </c>
      <c r="AA813">
        <f>IF(ISNUMBER('IN-CLASS_Lab Part C'!$J$813),'IN-CLASS_Lab Part C'!$J$813,NA())</f>
        <v/>
      </c>
    </row>
    <row r="814">
      <c r="J814">
        <f>IF(AND(ISNUMBER('Data'!$F$815),'Data'!$F$815&lt;&gt;999,'Data'!$F$815&lt;&gt;""),'Data'!$F$815,"")</f>
        <v/>
      </c>
      <c r="Z814" t="n">
        <v>1</v>
      </c>
      <c r="AA814">
        <f>IF(ISNUMBER('IN-CLASS_Lab Part C'!$J$814),'IN-CLASS_Lab Part C'!$J$814,NA())</f>
        <v/>
      </c>
    </row>
    <row r="815">
      <c r="J815">
        <f>IF(AND(ISNUMBER('Data'!$F$816),'Data'!$F$816&lt;&gt;999,'Data'!$F$816&lt;&gt;""),'Data'!$F$816,"")</f>
        <v/>
      </c>
      <c r="Z815" t="n">
        <v>1</v>
      </c>
      <c r="AA815">
        <f>IF(ISNUMBER('IN-CLASS_Lab Part C'!$J$815),'IN-CLASS_Lab Part C'!$J$815,NA())</f>
        <v/>
      </c>
    </row>
    <row r="816">
      <c r="J816">
        <f>IF(AND(ISNUMBER('Data'!$F$817),'Data'!$F$817&lt;&gt;999,'Data'!$F$817&lt;&gt;""),'Data'!$F$817,"")</f>
        <v/>
      </c>
      <c r="Z816" t="n">
        <v>1</v>
      </c>
      <c r="AA816">
        <f>IF(ISNUMBER('IN-CLASS_Lab Part C'!$J$816),'IN-CLASS_Lab Part C'!$J$816,NA())</f>
        <v/>
      </c>
    </row>
    <row r="817">
      <c r="J817">
        <f>IF(AND(ISNUMBER('Data'!$F$818),'Data'!$F$818&lt;&gt;999,'Data'!$F$818&lt;&gt;""),'Data'!$F$818,"")</f>
        <v/>
      </c>
      <c r="Z817" t="n">
        <v>1</v>
      </c>
      <c r="AA817">
        <f>IF(ISNUMBER('IN-CLASS_Lab Part C'!$J$817),'IN-CLASS_Lab Part C'!$J$817,NA())</f>
        <v/>
      </c>
    </row>
    <row r="818">
      <c r="J818">
        <f>IF(AND(ISNUMBER('Data'!$F$819),'Data'!$F$819&lt;&gt;999,'Data'!$F$819&lt;&gt;""),'Data'!$F$819,"")</f>
        <v/>
      </c>
      <c r="Z818" t="n">
        <v>1</v>
      </c>
      <c r="AA818">
        <f>IF(ISNUMBER('IN-CLASS_Lab Part C'!$J$818),'IN-CLASS_Lab Part C'!$J$818,NA())</f>
        <v/>
      </c>
    </row>
    <row r="819">
      <c r="J819">
        <f>IF(AND(ISNUMBER('Data'!$F$820),'Data'!$F$820&lt;&gt;999,'Data'!$F$820&lt;&gt;""),'Data'!$F$820,"")</f>
        <v/>
      </c>
      <c r="Z819" t="n">
        <v>1</v>
      </c>
      <c r="AA819">
        <f>IF(ISNUMBER('IN-CLASS_Lab Part C'!$J$819),'IN-CLASS_Lab Part C'!$J$819,NA())</f>
        <v/>
      </c>
    </row>
    <row r="820">
      <c r="J820">
        <f>IF(AND(ISNUMBER('Data'!$F$821),'Data'!$F$821&lt;&gt;999,'Data'!$F$821&lt;&gt;""),'Data'!$F$821,"")</f>
        <v/>
      </c>
      <c r="Z820" t="n">
        <v>1</v>
      </c>
      <c r="AA820">
        <f>IF(ISNUMBER('IN-CLASS_Lab Part C'!$J$820),'IN-CLASS_Lab Part C'!$J$820,NA())</f>
        <v/>
      </c>
    </row>
    <row r="821">
      <c r="J821">
        <f>IF(AND(ISNUMBER('Data'!$F$822),'Data'!$F$822&lt;&gt;999,'Data'!$F$822&lt;&gt;""),'Data'!$F$822,"")</f>
        <v/>
      </c>
      <c r="Z821" t="n">
        <v>1</v>
      </c>
      <c r="AA821">
        <f>IF(ISNUMBER('IN-CLASS_Lab Part C'!$J$821),'IN-CLASS_Lab Part C'!$J$821,NA())</f>
        <v/>
      </c>
    </row>
    <row r="822">
      <c r="J822">
        <f>IF(AND(ISNUMBER('Data'!$F$823),'Data'!$F$823&lt;&gt;999,'Data'!$F$823&lt;&gt;""),'Data'!$F$823,"")</f>
        <v/>
      </c>
      <c r="Z822" t="n">
        <v>1</v>
      </c>
      <c r="AA822">
        <f>IF(ISNUMBER('IN-CLASS_Lab Part C'!$J$822),'IN-CLASS_Lab Part C'!$J$822,NA())</f>
        <v/>
      </c>
    </row>
    <row r="823">
      <c r="J823">
        <f>IF(AND(ISNUMBER('Data'!$F$824),'Data'!$F$824&lt;&gt;999,'Data'!$F$824&lt;&gt;""),'Data'!$F$824,"")</f>
        <v/>
      </c>
      <c r="Z823" t="n">
        <v>1</v>
      </c>
      <c r="AA823">
        <f>IF(ISNUMBER('IN-CLASS_Lab Part C'!$J$823),'IN-CLASS_Lab Part C'!$J$823,NA())</f>
        <v/>
      </c>
    </row>
    <row r="824">
      <c r="J824">
        <f>IF(AND(ISNUMBER('Data'!$F$825),'Data'!$F$825&lt;&gt;999,'Data'!$F$825&lt;&gt;""),'Data'!$F$825,"")</f>
        <v/>
      </c>
      <c r="Z824" t="n">
        <v>1</v>
      </c>
      <c r="AA824">
        <f>IF(ISNUMBER('IN-CLASS_Lab Part C'!$J$824),'IN-CLASS_Lab Part C'!$J$824,NA())</f>
        <v/>
      </c>
    </row>
    <row r="825">
      <c r="J825">
        <f>IF(AND(ISNUMBER('Data'!$F$826),'Data'!$F$826&lt;&gt;999,'Data'!$F$826&lt;&gt;""),'Data'!$F$826,"")</f>
        <v/>
      </c>
      <c r="Z825" t="n">
        <v>1</v>
      </c>
      <c r="AA825">
        <f>IF(ISNUMBER('IN-CLASS_Lab Part C'!$J$825),'IN-CLASS_Lab Part C'!$J$825,NA())</f>
        <v/>
      </c>
    </row>
    <row r="826">
      <c r="J826">
        <f>IF(AND(ISNUMBER('Data'!$F$827),'Data'!$F$827&lt;&gt;999,'Data'!$F$827&lt;&gt;""),'Data'!$F$827,"")</f>
        <v/>
      </c>
      <c r="Z826" t="n">
        <v>1</v>
      </c>
      <c r="AA826">
        <f>IF(ISNUMBER('IN-CLASS_Lab Part C'!$J$826),'IN-CLASS_Lab Part C'!$J$826,NA())</f>
        <v/>
      </c>
    </row>
    <row r="827">
      <c r="J827">
        <f>IF(AND(ISNUMBER('Data'!$F$828),'Data'!$F$828&lt;&gt;999,'Data'!$F$828&lt;&gt;""),'Data'!$F$828,"")</f>
        <v/>
      </c>
      <c r="Z827" t="n">
        <v>1</v>
      </c>
      <c r="AA827">
        <f>IF(ISNUMBER('IN-CLASS_Lab Part C'!$J$827),'IN-CLASS_Lab Part C'!$J$827,NA())</f>
        <v/>
      </c>
    </row>
    <row r="828">
      <c r="J828">
        <f>IF(AND(ISNUMBER('Data'!$F$829),'Data'!$F$829&lt;&gt;999,'Data'!$F$829&lt;&gt;""),'Data'!$F$829,"")</f>
        <v/>
      </c>
      <c r="Z828" t="n">
        <v>1</v>
      </c>
      <c r="AA828">
        <f>IF(ISNUMBER('IN-CLASS_Lab Part C'!$J$828),'IN-CLASS_Lab Part C'!$J$828,NA())</f>
        <v/>
      </c>
    </row>
    <row r="829">
      <c r="J829">
        <f>IF(AND(ISNUMBER('Data'!$F$830),'Data'!$F$830&lt;&gt;999,'Data'!$F$830&lt;&gt;""),'Data'!$F$830,"")</f>
        <v/>
      </c>
      <c r="Z829" t="n">
        <v>1</v>
      </c>
      <c r="AA829">
        <f>IF(ISNUMBER('IN-CLASS_Lab Part C'!$J$829),'IN-CLASS_Lab Part C'!$J$829,NA())</f>
        <v/>
      </c>
    </row>
    <row r="830">
      <c r="J830">
        <f>IF(AND(ISNUMBER('Data'!$F$831),'Data'!$F$831&lt;&gt;999,'Data'!$F$831&lt;&gt;""),'Data'!$F$831,"")</f>
        <v/>
      </c>
      <c r="Z830" t="n">
        <v>1</v>
      </c>
      <c r="AA830">
        <f>IF(ISNUMBER('IN-CLASS_Lab Part C'!$J$830),'IN-CLASS_Lab Part C'!$J$830,NA())</f>
        <v/>
      </c>
    </row>
    <row r="831">
      <c r="J831">
        <f>IF(AND(ISNUMBER('Data'!$F$832),'Data'!$F$832&lt;&gt;999,'Data'!$F$832&lt;&gt;""),'Data'!$F$832,"")</f>
        <v/>
      </c>
      <c r="Z831" t="n">
        <v>1</v>
      </c>
      <c r="AA831">
        <f>IF(ISNUMBER('IN-CLASS_Lab Part C'!$J$831),'IN-CLASS_Lab Part C'!$J$831,NA())</f>
        <v/>
      </c>
    </row>
    <row r="832">
      <c r="J832">
        <f>IF(AND(ISNUMBER('Data'!$F$833),'Data'!$F$833&lt;&gt;999,'Data'!$F$833&lt;&gt;""),'Data'!$F$833,"")</f>
        <v/>
      </c>
      <c r="Z832" t="n">
        <v>1</v>
      </c>
      <c r="AA832">
        <f>IF(ISNUMBER('IN-CLASS_Lab Part C'!$J$832),'IN-CLASS_Lab Part C'!$J$832,NA())</f>
        <v/>
      </c>
    </row>
    <row r="833">
      <c r="J833">
        <f>IF(AND(ISNUMBER('Data'!$F$834),'Data'!$F$834&lt;&gt;999,'Data'!$F$834&lt;&gt;""),'Data'!$F$834,"")</f>
        <v/>
      </c>
      <c r="Z833" t="n">
        <v>1</v>
      </c>
      <c r="AA833">
        <f>IF(ISNUMBER('IN-CLASS_Lab Part C'!$J$833),'IN-CLASS_Lab Part C'!$J$833,NA())</f>
        <v/>
      </c>
    </row>
    <row r="834">
      <c r="J834">
        <f>IF(AND(ISNUMBER('Data'!$F$835),'Data'!$F$835&lt;&gt;999,'Data'!$F$835&lt;&gt;""),'Data'!$F$835,"")</f>
        <v/>
      </c>
      <c r="Z834" t="n">
        <v>1</v>
      </c>
      <c r="AA834">
        <f>IF(ISNUMBER('IN-CLASS_Lab Part C'!$J$834),'IN-CLASS_Lab Part C'!$J$834,NA())</f>
        <v/>
      </c>
    </row>
    <row r="835">
      <c r="J835">
        <f>IF(AND(ISNUMBER('Data'!$F$836),'Data'!$F$836&lt;&gt;999,'Data'!$F$836&lt;&gt;""),'Data'!$F$836,"")</f>
        <v/>
      </c>
      <c r="Z835" t="n">
        <v>1</v>
      </c>
      <c r="AA835">
        <f>IF(ISNUMBER('IN-CLASS_Lab Part C'!$J$835),'IN-CLASS_Lab Part C'!$J$835,NA())</f>
        <v/>
      </c>
    </row>
    <row r="836">
      <c r="J836">
        <f>IF(AND(ISNUMBER('Data'!$F$837),'Data'!$F$837&lt;&gt;999,'Data'!$F$837&lt;&gt;""),'Data'!$F$837,"")</f>
        <v/>
      </c>
      <c r="Z836" t="n">
        <v>1</v>
      </c>
      <c r="AA836">
        <f>IF(ISNUMBER('IN-CLASS_Lab Part C'!$J$836),'IN-CLASS_Lab Part C'!$J$836,NA())</f>
        <v/>
      </c>
    </row>
    <row r="837">
      <c r="J837">
        <f>IF(AND(ISNUMBER('Data'!$F$838),'Data'!$F$838&lt;&gt;999,'Data'!$F$838&lt;&gt;""),'Data'!$F$838,"")</f>
        <v/>
      </c>
      <c r="Z837" t="n">
        <v>1</v>
      </c>
      <c r="AA837">
        <f>IF(ISNUMBER('IN-CLASS_Lab Part C'!$J$837),'IN-CLASS_Lab Part C'!$J$837,NA())</f>
        <v/>
      </c>
    </row>
    <row r="838">
      <c r="J838">
        <f>IF(AND(ISNUMBER('Data'!$F$839),'Data'!$F$839&lt;&gt;999,'Data'!$F$839&lt;&gt;""),'Data'!$F$839,"")</f>
        <v/>
      </c>
      <c r="Z838" t="n">
        <v>1</v>
      </c>
      <c r="AA838">
        <f>IF(ISNUMBER('IN-CLASS_Lab Part C'!$J$838),'IN-CLASS_Lab Part C'!$J$838,NA())</f>
        <v/>
      </c>
    </row>
    <row r="839">
      <c r="J839">
        <f>IF(AND(ISNUMBER('Data'!$F$840),'Data'!$F$840&lt;&gt;999,'Data'!$F$840&lt;&gt;""),'Data'!$F$840,"")</f>
        <v/>
      </c>
      <c r="Z839" t="n">
        <v>1</v>
      </c>
      <c r="AA839">
        <f>IF(ISNUMBER('IN-CLASS_Lab Part C'!$J$839),'IN-CLASS_Lab Part C'!$J$839,NA())</f>
        <v/>
      </c>
    </row>
    <row r="840">
      <c r="J840">
        <f>IF(AND(ISNUMBER('Data'!$F$841),'Data'!$F$841&lt;&gt;999,'Data'!$F$841&lt;&gt;""),'Data'!$F$841,"")</f>
        <v/>
      </c>
      <c r="Z840" t="n">
        <v>1</v>
      </c>
      <c r="AA840">
        <f>IF(ISNUMBER('IN-CLASS_Lab Part C'!$J$840),'IN-CLASS_Lab Part C'!$J$840,NA())</f>
        <v/>
      </c>
    </row>
    <row r="841">
      <c r="J841">
        <f>IF(AND(ISNUMBER('Data'!$F$842),'Data'!$F$842&lt;&gt;999,'Data'!$F$842&lt;&gt;""),'Data'!$F$842,"")</f>
        <v/>
      </c>
      <c r="Z841" t="n">
        <v>1</v>
      </c>
      <c r="AA841">
        <f>IF(ISNUMBER('IN-CLASS_Lab Part C'!$J$841),'IN-CLASS_Lab Part C'!$J$841,NA())</f>
        <v/>
      </c>
    </row>
    <row r="842">
      <c r="J842">
        <f>IF(AND(ISNUMBER('Data'!$F$843),'Data'!$F$843&lt;&gt;999,'Data'!$F$843&lt;&gt;""),'Data'!$F$843,"")</f>
        <v/>
      </c>
      <c r="Z842" t="n">
        <v>1</v>
      </c>
      <c r="AA842">
        <f>IF(ISNUMBER('IN-CLASS_Lab Part C'!$J$842),'IN-CLASS_Lab Part C'!$J$842,NA())</f>
        <v/>
      </c>
    </row>
    <row r="843">
      <c r="J843">
        <f>IF(AND(ISNUMBER('Data'!$F$844),'Data'!$F$844&lt;&gt;999,'Data'!$F$844&lt;&gt;""),'Data'!$F$844,"")</f>
        <v/>
      </c>
      <c r="Z843" t="n">
        <v>1</v>
      </c>
      <c r="AA843">
        <f>IF(ISNUMBER('IN-CLASS_Lab Part C'!$J$843),'IN-CLASS_Lab Part C'!$J$843,NA())</f>
        <v/>
      </c>
    </row>
    <row r="844">
      <c r="J844">
        <f>IF(AND(ISNUMBER('Data'!$F$845),'Data'!$F$845&lt;&gt;999,'Data'!$F$845&lt;&gt;""),'Data'!$F$845,"")</f>
        <v/>
      </c>
      <c r="Z844" t="n">
        <v>1</v>
      </c>
      <c r="AA844">
        <f>IF(ISNUMBER('IN-CLASS_Lab Part C'!$J$844),'IN-CLASS_Lab Part C'!$J$844,NA())</f>
        <v/>
      </c>
    </row>
    <row r="845">
      <c r="J845">
        <f>IF(AND(ISNUMBER('Data'!$F$846),'Data'!$F$846&lt;&gt;999,'Data'!$F$846&lt;&gt;""),'Data'!$F$846,"")</f>
        <v/>
      </c>
      <c r="Z845" t="n">
        <v>1</v>
      </c>
      <c r="AA845">
        <f>IF(ISNUMBER('IN-CLASS_Lab Part C'!$J$845),'IN-CLASS_Lab Part C'!$J$845,NA())</f>
        <v/>
      </c>
    </row>
    <row r="846">
      <c r="J846">
        <f>IF(AND(ISNUMBER('Data'!$F$847),'Data'!$F$847&lt;&gt;999,'Data'!$F$847&lt;&gt;""),'Data'!$F$847,"")</f>
        <v/>
      </c>
      <c r="Z846" t="n">
        <v>1</v>
      </c>
      <c r="AA846">
        <f>IF(ISNUMBER('IN-CLASS_Lab Part C'!$J$846),'IN-CLASS_Lab Part C'!$J$846,NA())</f>
        <v/>
      </c>
    </row>
    <row r="847">
      <c r="J847">
        <f>IF(AND(ISNUMBER('Data'!$F$848),'Data'!$F$848&lt;&gt;999,'Data'!$F$848&lt;&gt;""),'Data'!$F$848,"")</f>
        <v/>
      </c>
      <c r="Z847" t="n">
        <v>1</v>
      </c>
      <c r="AA847">
        <f>IF(ISNUMBER('IN-CLASS_Lab Part C'!$J$847),'IN-CLASS_Lab Part C'!$J$847,NA())</f>
        <v/>
      </c>
    </row>
    <row r="848">
      <c r="J848">
        <f>IF(AND(ISNUMBER('Data'!$F$849),'Data'!$F$849&lt;&gt;999,'Data'!$F$849&lt;&gt;""),'Data'!$F$849,"")</f>
        <v/>
      </c>
      <c r="Z848" t="n">
        <v>1</v>
      </c>
      <c r="AA848">
        <f>IF(ISNUMBER('IN-CLASS_Lab Part C'!$J$848),'IN-CLASS_Lab Part C'!$J$848,NA())</f>
        <v/>
      </c>
    </row>
    <row r="849">
      <c r="J849">
        <f>IF(AND(ISNUMBER('Data'!$F$850),'Data'!$F$850&lt;&gt;999,'Data'!$F$850&lt;&gt;""),'Data'!$F$850,"")</f>
        <v/>
      </c>
      <c r="Z849" t="n">
        <v>1</v>
      </c>
      <c r="AA849">
        <f>IF(ISNUMBER('IN-CLASS_Lab Part C'!$J$849),'IN-CLASS_Lab Part C'!$J$849,NA())</f>
        <v/>
      </c>
    </row>
    <row r="850">
      <c r="J850">
        <f>IF(AND(ISNUMBER('Data'!$F$851),'Data'!$F$851&lt;&gt;999,'Data'!$F$851&lt;&gt;""),'Data'!$F$851,"")</f>
        <v/>
      </c>
      <c r="Z850" t="n">
        <v>1</v>
      </c>
      <c r="AA850">
        <f>IF(ISNUMBER('IN-CLASS_Lab Part C'!$J$850),'IN-CLASS_Lab Part C'!$J$850,NA())</f>
        <v/>
      </c>
    </row>
    <row r="851">
      <c r="J851">
        <f>IF(AND(ISNUMBER('Data'!$F$852),'Data'!$F$852&lt;&gt;999,'Data'!$F$852&lt;&gt;""),'Data'!$F$852,"")</f>
        <v/>
      </c>
      <c r="Z851" t="n">
        <v>1</v>
      </c>
      <c r="AA851">
        <f>IF(ISNUMBER('IN-CLASS_Lab Part C'!$J$851),'IN-CLASS_Lab Part C'!$J$851,NA())</f>
        <v/>
      </c>
    </row>
    <row r="852">
      <c r="J852">
        <f>IF(AND(ISNUMBER('Data'!$F$853),'Data'!$F$853&lt;&gt;999,'Data'!$F$853&lt;&gt;""),'Data'!$F$853,"")</f>
        <v/>
      </c>
      <c r="Z852" t="n">
        <v>1</v>
      </c>
      <c r="AA852">
        <f>IF(ISNUMBER('IN-CLASS_Lab Part C'!$J$852),'IN-CLASS_Lab Part C'!$J$852,NA())</f>
        <v/>
      </c>
    </row>
    <row r="853">
      <c r="J853">
        <f>IF(AND(ISNUMBER('Data'!$F$854),'Data'!$F$854&lt;&gt;999,'Data'!$F$854&lt;&gt;""),'Data'!$F$854,"")</f>
        <v/>
      </c>
      <c r="Z853" t="n">
        <v>1</v>
      </c>
      <c r="AA853">
        <f>IF(ISNUMBER('IN-CLASS_Lab Part C'!$J$853),'IN-CLASS_Lab Part C'!$J$853,NA())</f>
        <v/>
      </c>
    </row>
    <row r="854">
      <c r="J854">
        <f>IF(AND(ISNUMBER('Data'!$F$855),'Data'!$F$855&lt;&gt;999,'Data'!$F$855&lt;&gt;""),'Data'!$F$855,"")</f>
        <v/>
      </c>
      <c r="Z854" t="n">
        <v>1</v>
      </c>
      <c r="AA854">
        <f>IF(ISNUMBER('IN-CLASS_Lab Part C'!$J$854),'IN-CLASS_Lab Part C'!$J$854,NA())</f>
        <v/>
      </c>
    </row>
    <row r="855">
      <c r="J855">
        <f>IF(AND(ISNUMBER('Data'!$F$856),'Data'!$F$856&lt;&gt;999,'Data'!$F$856&lt;&gt;""),'Data'!$F$856,"")</f>
        <v/>
      </c>
      <c r="Z855" t="n">
        <v>1</v>
      </c>
      <c r="AA855">
        <f>IF(ISNUMBER('IN-CLASS_Lab Part C'!$J$855),'IN-CLASS_Lab Part C'!$J$855,NA())</f>
        <v/>
      </c>
    </row>
    <row r="856">
      <c r="J856">
        <f>IF(AND(ISNUMBER('Data'!$F$857),'Data'!$F$857&lt;&gt;999,'Data'!$F$857&lt;&gt;""),'Data'!$F$857,"")</f>
        <v/>
      </c>
      <c r="Z856" t="n">
        <v>1</v>
      </c>
      <c r="AA856">
        <f>IF(ISNUMBER('IN-CLASS_Lab Part C'!$J$856),'IN-CLASS_Lab Part C'!$J$856,NA())</f>
        <v/>
      </c>
    </row>
    <row r="857">
      <c r="J857">
        <f>IF(AND(ISNUMBER('Data'!$F$858),'Data'!$F$858&lt;&gt;999,'Data'!$F$858&lt;&gt;""),'Data'!$F$858,"")</f>
        <v/>
      </c>
      <c r="Z857" t="n">
        <v>1</v>
      </c>
      <c r="AA857">
        <f>IF(ISNUMBER('IN-CLASS_Lab Part C'!$J$857),'IN-CLASS_Lab Part C'!$J$857,NA())</f>
        <v/>
      </c>
    </row>
    <row r="858">
      <c r="J858">
        <f>IF(AND(ISNUMBER('Data'!$F$859),'Data'!$F$859&lt;&gt;999,'Data'!$F$859&lt;&gt;""),'Data'!$F$859,"")</f>
        <v/>
      </c>
      <c r="Z858" t="n">
        <v>1</v>
      </c>
      <c r="AA858">
        <f>IF(ISNUMBER('IN-CLASS_Lab Part C'!$J$858),'IN-CLASS_Lab Part C'!$J$858,NA())</f>
        <v/>
      </c>
    </row>
    <row r="859">
      <c r="J859">
        <f>IF(AND(ISNUMBER('Data'!$F$860),'Data'!$F$860&lt;&gt;999,'Data'!$F$860&lt;&gt;""),'Data'!$F$860,"")</f>
        <v/>
      </c>
      <c r="Z859" t="n">
        <v>1</v>
      </c>
      <c r="AA859">
        <f>IF(ISNUMBER('IN-CLASS_Lab Part C'!$J$859),'IN-CLASS_Lab Part C'!$J$859,NA())</f>
        <v/>
      </c>
    </row>
    <row r="860">
      <c r="J860">
        <f>IF(AND(ISNUMBER('Data'!$F$861),'Data'!$F$861&lt;&gt;999,'Data'!$F$861&lt;&gt;""),'Data'!$F$861,"")</f>
        <v/>
      </c>
      <c r="Z860" t="n">
        <v>1</v>
      </c>
      <c r="AA860">
        <f>IF(ISNUMBER('IN-CLASS_Lab Part C'!$J$860),'IN-CLASS_Lab Part C'!$J$860,NA())</f>
        <v/>
      </c>
    </row>
    <row r="861">
      <c r="J861">
        <f>IF(AND(ISNUMBER('Data'!$F$862),'Data'!$F$862&lt;&gt;999,'Data'!$F$862&lt;&gt;""),'Data'!$F$862,"")</f>
        <v/>
      </c>
      <c r="Z861" t="n">
        <v>1</v>
      </c>
      <c r="AA861">
        <f>IF(ISNUMBER('IN-CLASS_Lab Part C'!$J$861),'IN-CLASS_Lab Part C'!$J$861,NA())</f>
        <v/>
      </c>
    </row>
    <row r="862">
      <c r="J862">
        <f>IF(AND(ISNUMBER('Data'!$F$863),'Data'!$F$863&lt;&gt;999,'Data'!$F$863&lt;&gt;""),'Data'!$F$863,"")</f>
        <v/>
      </c>
      <c r="Z862" t="n">
        <v>1</v>
      </c>
      <c r="AA862">
        <f>IF(ISNUMBER('IN-CLASS_Lab Part C'!$J$862),'IN-CLASS_Lab Part C'!$J$862,NA())</f>
        <v/>
      </c>
    </row>
    <row r="863">
      <c r="J863">
        <f>IF(AND(ISNUMBER('Data'!$F$864),'Data'!$F$864&lt;&gt;999,'Data'!$F$864&lt;&gt;""),'Data'!$F$864,"")</f>
        <v/>
      </c>
      <c r="Z863" t="n">
        <v>1</v>
      </c>
      <c r="AA863">
        <f>IF(ISNUMBER('IN-CLASS_Lab Part C'!$J$863),'IN-CLASS_Lab Part C'!$J$863,NA())</f>
        <v/>
      </c>
    </row>
    <row r="864">
      <c r="J864">
        <f>IF(AND(ISNUMBER('Data'!$F$865),'Data'!$F$865&lt;&gt;999,'Data'!$F$865&lt;&gt;""),'Data'!$F$865,"")</f>
        <v/>
      </c>
      <c r="Z864" t="n">
        <v>1</v>
      </c>
      <c r="AA864">
        <f>IF(ISNUMBER('IN-CLASS_Lab Part C'!$J$864),'IN-CLASS_Lab Part C'!$J$864,NA())</f>
        <v/>
      </c>
    </row>
    <row r="865">
      <c r="J865">
        <f>IF(AND(ISNUMBER('Data'!$F$866),'Data'!$F$866&lt;&gt;999,'Data'!$F$866&lt;&gt;""),'Data'!$F$866,"")</f>
        <v/>
      </c>
      <c r="Z865" t="n">
        <v>1</v>
      </c>
      <c r="AA865">
        <f>IF(ISNUMBER('IN-CLASS_Lab Part C'!$J$865),'IN-CLASS_Lab Part C'!$J$865,NA())</f>
        <v/>
      </c>
    </row>
    <row r="866">
      <c r="J866">
        <f>IF(AND(ISNUMBER('Data'!$F$867),'Data'!$F$867&lt;&gt;999,'Data'!$F$867&lt;&gt;""),'Data'!$F$867,"")</f>
        <v/>
      </c>
      <c r="Z866" t="n">
        <v>1</v>
      </c>
      <c r="AA866">
        <f>IF(ISNUMBER('IN-CLASS_Lab Part C'!$J$866),'IN-CLASS_Lab Part C'!$J$866,NA())</f>
        <v/>
      </c>
    </row>
    <row r="867">
      <c r="J867">
        <f>IF(AND(ISNUMBER('Data'!$F$868),'Data'!$F$868&lt;&gt;999,'Data'!$F$868&lt;&gt;""),'Data'!$F$868,"")</f>
        <v/>
      </c>
      <c r="Z867" t="n">
        <v>1</v>
      </c>
      <c r="AA867">
        <f>IF(ISNUMBER('IN-CLASS_Lab Part C'!$J$867),'IN-CLASS_Lab Part C'!$J$867,NA())</f>
        <v/>
      </c>
    </row>
    <row r="868">
      <c r="J868">
        <f>IF(AND(ISNUMBER('Data'!$F$869),'Data'!$F$869&lt;&gt;999,'Data'!$F$869&lt;&gt;""),'Data'!$F$869,"")</f>
        <v/>
      </c>
      <c r="Z868" t="n">
        <v>1</v>
      </c>
      <c r="AA868">
        <f>IF(ISNUMBER('IN-CLASS_Lab Part C'!$J$868),'IN-CLASS_Lab Part C'!$J$868,NA())</f>
        <v/>
      </c>
    </row>
    <row r="869">
      <c r="J869">
        <f>IF(AND(ISNUMBER('Data'!$F$870),'Data'!$F$870&lt;&gt;999,'Data'!$F$870&lt;&gt;""),'Data'!$F$870,"")</f>
        <v/>
      </c>
      <c r="Z869" t="n">
        <v>1</v>
      </c>
      <c r="AA869">
        <f>IF(ISNUMBER('IN-CLASS_Lab Part C'!$J$869),'IN-CLASS_Lab Part C'!$J$869,NA())</f>
        <v/>
      </c>
    </row>
    <row r="870">
      <c r="J870">
        <f>IF(AND(ISNUMBER('Data'!$F$871),'Data'!$F$871&lt;&gt;999,'Data'!$F$871&lt;&gt;""),'Data'!$F$871,"")</f>
        <v/>
      </c>
      <c r="Z870" t="n">
        <v>1</v>
      </c>
      <c r="AA870">
        <f>IF(ISNUMBER('IN-CLASS_Lab Part C'!$J$870),'IN-CLASS_Lab Part C'!$J$870,NA())</f>
        <v/>
      </c>
    </row>
    <row r="871">
      <c r="J871">
        <f>IF(AND(ISNUMBER('Data'!$F$872),'Data'!$F$872&lt;&gt;999,'Data'!$F$872&lt;&gt;""),'Data'!$F$872,"")</f>
        <v/>
      </c>
      <c r="Z871" t="n">
        <v>1</v>
      </c>
      <c r="AA871">
        <f>IF(ISNUMBER('IN-CLASS_Lab Part C'!$J$871),'IN-CLASS_Lab Part C'!$J$871,NA())</f>
        <v/>
      </c>
    </row>
    <row r="872">
      <c r="J872">
        <f>IF(AND(ISNUMBER('Data'!$F$873),'Data'!$F$873&lt;&gt;999,'Data'!$F$873&lt;&gt;""),'Data'!$F$873,"")</f>
        <v/>
      </c>
      <c r="Z872" t="n">
        <v>1</v>
      </c>
      <c r="AA872">
        <f>IF(ISNUMBER('IN-CLASS_Lab Part C'!$J$872),'IN-CLASS_Lab Part C'!$J$872,NA())</f>
        <v/>
      </c>
    </row>
    <row r="873">
      <c r="J873">
        <f>IF(AND(ISNUMBER('Data'!$F$874),'Data'!$F$874&lt;&gt;999,'Data'!$F$874&lt;&gt;""),'Data'!$F$874,"")</f>
        <v/>
      </c>
      <c r="Z873" t="n">
        <v>1</v>
      </c>
      <c r="AA873">
        <f>IF(ISNUMBER('IN-CLASS_Lab Part C'!$J$873),'IN-CLASS_Lab Part C'!$J$873,NA())</f>
        <v/>
      </c>
    </row>
    <row r="874">
      <c r="J874">
        <f>IF(AND(ISNUMBER('Data'!$F$875),'Data'!$F$875&lt;&gt;999,'Data'!$F$875&lt;&gt;""),'Data'!$F$875,"")</f>
        <v/>
      </c>
      <c r="Z874" t="n">
        <v>1</v>
      </c>
      <c r="AA874">
        <f>IF(ISNUMBER('IN-CLASS_Lab Part C'!$J$874),'IN-CLASS_Lab Part C'!$J$874,NA())</f>
        <v/>
      </c>
    </row>
    <row r="875">
      <c r="J875">
        <f>IF(AND(ISNUMBER('Data'!$F$876),'Data'!$F$876&lt;&gt;999,'Data'!$F$876&lt;&gt;""),'Data'!$F$876,"")</f>
        <v/>
      </c>
      <c r="Z875" t="n">
        <v>1</v>
      </c>
      <c r="AA875">
        <f>IF(ISNUMBER('IN-CLASS_Lab Part C'!$J$875),'IN-CLASS_Lab Part C'!$J$875,NA())</f>
        <v/>
      </c>
    </row>
    <row r="876">
      <c r="J876">
        <f>IF(AND(ISNUMBER('Data'!$F$877),'Data'!$F$877&lt;&gt;999,'Data'!$F$877&lt;&gt;""),'Data'!$F$877,"")</f>
        <v/>
      </c>
      <c r="Z876" t="n">
        <v>1</v>
      </c>
      <c r="AA876">
        <f>IF(ISNUMBER('IN-CLASS_Lab Part C'!$J$876),'IN-CLASS_Lab Part C'!$J$876,NA())</f>
        <v/>
      </c>
    </row>
    <row r="877">
      <c r="J877">
        <f>IF(AND(ISNUMBER('Data'!$F$878),'Data'!$F$878&lt;&gt;999,'Data'!$F$878&lt;&gt;""),'Data'!$F$878,"")</f>
        <v/>
      </c>
      <c r="Z877" t="n">
        <v>1</v>
      </c>
      <c r="AA877">
        <f>IF(ISNUMBER('IN-CLASS_Lab Part C'!$J$877),'IN-CLASS_Lab Part C'!$J$877,NA())</f>
        <v/>
      </c>
    </row>
    <row r="878">
      <c r="J878">
        <f>IF(AND(ISNUMBER('Data'!$F$879),'Data'!$F$879&lt;&gt;999,'Data'!$F$879&lt;&gt;""),'Data'!$F$879,"")</f>
        <v/>
      </c>
      <c r="Z878" t="n">
        <v>1</v>
      </c>
      <c r="AA878">
        <f>IF(ISNUMBER('IN-CLASS_Lab Part C'!$J$878),'IN-CLASS_Lab Part C'!$J$878,NA())</f>
        <v/>
      </c>
    </row>
    <row r="879">
      <c r="J879">
        <f>IF(AND(ISNUMBER('Data'!$F$880),'Data'!$F$880&lt;&gt;999,'Data'!$F$880&lt;&gt;""),'Data'!$F$880,"")</f>
        <v/>
      </c>
      <c r="Z879" t="n">
        <v>1</v>
      </c>
      <c r="AA879">
        <f>IF(ISNUMBER('IN-CLASS_Lab Part C'!$J$879),'IN-CLASS_Lab Part C'!$J$879,NA())</f>
        <v/>
      </c>
    </row>
    <row r="880">
      <c r="J880">
        <f>IF(AND(ISNUMBER('Data'!$F$881),'Data'!$F$881&lt;&gt;999,'Data'!$F$881&lt;&gt;""),'Data'!$F$881,"")</f>
        <v/>
      </c>
      <c r="Z880" t="n">
        <v>1</v>
      </c>
      <c r="AA880">
        <f>IF(ISNUMBER('IN-CLASS_Lab Part C'!$J$880),'IN-CLASS_Lab Part C'!$J$880,NA())</f>
        <v/>
      </c>
    </row>
    <row r="881">
      <c r="J881">
        <f>IF(AND(ISNUMBER('Data'!$F$882),'Data'!$F$882&lt;&gt;999,'Data'!$F$882&lt;&gt;""),'Data'!$F$882,"")</f>
        <v/>
      </c>
      <c r="Z881" t="n">
        <v>1</v>
      </c>
      <c r="AA881">
        <f>IF(ISNUMBER('IN-CLASS_Lab Part C'!$J$881),'IN-CLASS_Lab Part C'!$J$881,NA())</f>
        <v/>
      </c>
    </row>
    <row r="882">
      <c r="J882">
        <f>IF(AND(ISNUMBER('Data'!$F$883),'Data'!$F$883&lt;&gt;999,'Data'!$F$883&lt;&gt;""),'Data'!$F$883,"")</f>
        <v/>
      </c>
      <c r="Z882" t="n">
        <v>1</v>
      </c>
      <c r="AA882">
        <f>IF(ISNUMBER('IN-CLASS_Lab Part C'!$J$882),'IN-CLASS_Lab Part C'!$J$882,NA())</f>
        <v/>
      </c>
    </row>
    <row r="883">
      <c r="J883">
        <f>IF(AND(ISNUMBER('Data'!$F$884),'Data'!$F$884&lt;&gt;999,'Data'!$F$884&lt;&gt;""),'Data'!$F$884,"")</f>
        <v/>
      </c>
      <c r="Z883" t="n">
        <v>1</v>
      </c>
      <c r="AA883">
        <f>IF(ISNUMBER('IN-CLASS_Lab Part C'!$J$883),'IN-CLASS_Lab Part C'!$J$883,NA())</f>
        <v/>
      </c>
    </row>
    <row r="884">
      <c r="J884">
        <f>IF(AND(ISNUMBER('Data'!$F$885),'Data'!$F$885&lt;&gt;999,'Data'!$F$885&lt;&gt;""),'Data'!$F$885,"")</f>
        <v/>
      </c>
      <c r="Z884" t="n">
        <v>1</v>
      </c>
      <c r="AA884">
        <f>IF(ISNUMBER('IN-CLASS_Lab Part C'!$J$884),'IN-CLASS_Lab Part C'!$J$884,NA())</f>
        <v/>
      </c>
    </row>
    <row r="885">
      <c r="J885">
        <f>IF(AND(ISNUMBER('Data'!$F$886),'Data'!$F$886&lt;&gt;999,'Data'!$F$886&lt;&gt;""),'Data'!$F$886,"")</f>
        <v/>
      </c>
      <c r="Z885" t="n">
        <v>1</v>
      </c>
      <c r="AA885">
        <f>IF(ISNUMBER('IN-CLASS_Lab Part C'!$J$885),'IN-CLASS_Lab Part C'!$J$885,NA())</f>
        <v/>
      </c>
    </row>
    <row r="886">
      <c r="J886">
        <f>IF(AND(ISNUMBER('Data'!$F$887),'Data'!$F$887&lt;&gt;999,'Data'!$F$887&lt;&gt;""),'Data'!$F$887,"")</f>
        <v/>
      </c>
      <c r="Z886" t="n">
        <v>1</v>
      </c>
      <c r="AA886">
        <f>IF(ISNUMBER('IN-CLASS_Lab Part C'!$J$886),'IN-CLASS_Lab Part C'!$J$886,NA())</f>
        <v/>
      </c>
    </row>
    <row r="887">
      <c r="J887">
        <f>IF(AND(ISNUMBER('Data'!$F$888),'Data'!$F$888&lt;&gt;999,'Data'!$F$888&lt;&gt;""),'Data'!$F$888,"")</f>
        <v/>
      </c>
      <c r="Z887" t="n">
        <v>1</v>
      </c>
      <c r="AA887">
        <f>IF(ISNUMBER('IN-CLASS_Lab Part C'!$J$887),'IN-CLASS_Lab Part C'!$J$887,NA())</f>
        <v/>
      </c>
    </row>
    <row r="888">
      <c r="J888">
        <f>IF(AND(ISNUMBER('Data'!$F$889),'Data'!$F$889&lt;&gt;999,'Data'!$F$889&lt;&gt;""),'Data'!$F$889,"")</f>
        <v/>
      </c>
      <c r="Z888" t="n">
        <v>1</v>
      </c>
      <c r="AA888">
        <f>IF(ISNUMBER('IN-CLASS_Lab Part C'!$J$888),'IN-CLASS_Lab Part C'!$J$888,NA())</f>
        <v/>
      </c>
    </row>
    <row r="889">
      <c r="J889">
        <f>IF(AND(ISNUMBER('Data'!$F$890),'Data'!$F$890&lt;&gt;999,'Data'!$F$890&lt;&gt;""),'Data'!$F$890,"")</f>
        <v/>
      </c>
      <c r="Z889" t="n">
        <v>1</v>
      </c>
      <c r="AA889">
        <f>IF(ISNUMBER('IN-CLASS_Lab Part C'!$J$889),'IN-CLASS_Lab Part C'!$J$889,NA())</f>
        <v/>
      </c>
    </row>
    <row r="890">
      <c r="J890">
        <f>IF(AND(ISNUMBER('Data'!$F$891),'Data'!$F$891&lt;&gt;999,'Data'!$F$891&lt;&gt;""),'Data'!$F$891,"")</f>
        <v/>
      </c>
      <c r="Z890" t="n">
        <v>1</v>
      </c>
      <c r="AA890">
        <f>IF(ISNUMBER('IN-CLASS_Lab Part C'!$J$890),'IN-CLASS_Lab Part C'!$J$890,NA())</f>
        <v/>
      </c>
    </row>
    <row r="891">
      <c r="J891">
        <f>IF(AND(ISNUMBER('Data'!$F$892),'Data'!$F$892&lt;&gt;999,'Data'!$F$892&lt;&gt;""),'Data'!$F$892,"")</f>
        <v/>
      </c>
      <c r="Z891" t="n">
        <v>1</v>
      </c>
      <c r="AA891">
        <f>IF(ISNUMBER('IN-CLASS_Lab Part C'!$J$891),'IN-CLASS_Lab Part C'!$J$891,NA())</f>
        <v/>
      </c>
    </row>
    <row r="892">
      <c r="J892">
        <f>IF(AND(ISNUMBER('Data'!$F$893),'Data'!$F$893&lt;&gt;999,'Data'!$F$893&lt;&gt;""),'Data'!$F$893,"")</f>
        <v/>
      </c>
      <c r="Z892" t="n">
        <v>1</v>
      </c>
      <c r="AA892">
        <f>IF(ISNUMBER('IN-CLASS_Lab Part C'!$J$892),'IN-CLASS_Lab Part C'!$J$892,NA())</f>
        <v/>
      </c>
    </row>
    <row r="893">
      <c r="J893">
        <f>IF(AND(ISNUMBER('Data'!$F$894),'Data'!$F$894&lt;&gt;999,'Data'!$F$894&lt;&gt;""),'Data'!$F$894,"")</f>
        <v/>
      </c>
      <c r="Z893" t="n">
        <v>1</v>
      </c>
      <c r="AA893">
        <f>IF(ISNUMBER('IN-CLASS_Lab Part C'!$J$893),'IN-CLASS_Lab Part C'!$J$893,NA())</f>
        <v/>
      </c>
    </row>
    <row r="894">
      <c r="J894">
        <f>IF(AND(ISNUMBER('Data'!$F$895),'Data'!$F$895&lt;&gt;999,'Data'!$F$895&lt;&gt;""),'Data'!$F$895,"")</f>
        <v/>
      </c>
      <c r="Z894" t="n">
        <v>1</v>
      </c>
      <c r="AA894">
        <f>IF(ISNUMBER('IN-CLASS_Lab Part C'!$J$894),'IN-CLASS_Lab Part C'!$J$894,NA())</f>
        <v/>
      </c>
    </row>
    <row r="895">
      <c r="J895">
        <f>IF(AND(ISNUMBER('Data'!$F$896),'Data'!$F$896&lt;&gt;999,'Data'!$F$896&lt;&gt;""),'Data'!$F$896,"")</f>
        <v/>
      </c>
      <c r="Z895" t="n">
        <v>1</v>
      </c>
      <c r="AA895">
        <f>IF(ISNUMBER('IN-CLASS_Lab Part C'!$J$895),'IN-CLASS_Lab Part C'!$J$895,NA())</f>
        <v/>
      </c>
    </row>
    <row r="896">
      <c r="J896">
        <f>IF(AND(ISNUMBER('Data'!$F$897),'Data'!$F$897&lt;&gt;999,'Data'!$F$897&lt;&gt;""),'Data'!$F$897,"")</f>
        <v/>
      </c>
      <c r="Z896" t="n">
        <v>1</v>
      </c>
      <c r="AA896">
        <f>IF(ISNUMBER('IN-CLASS_Lab Part C'!$J$896),'IN-CLASS_Lab Part C'!$J$896,NA())</f>
        <v/>
      </c>
    </row>
    <row r="897">
      <c r="J897">
        <f>IF(AND(ISNUMBER('Data'!$F$898),'Data'!$F$898&lt;&gt;999,'Data'!$F$898&lt;&gt;""),'Data'!$F$898,"")</f>
        <v/>
      </c>
      <c r="Z897" t="n">
        <v>1</v>
      </c>
      <c r="AA897">
        <f>IF(ISNUMBER('IN-CLASS_Lab Part C'!$J$897),'IN-CLASS_Lab Part C'!$J$897,NA())</f>
        <v/>
      </c>
    </row>
    <row r="898">
      <c r="J898">
        <f>IF(AND(ISNUMBER('Data'!$F$899),'Data'!$F$899&lt;&gt;999,'Data'!$F$899&lt;&gt;""),'Data'!$F$899,"")</f>
        <v/>
      </c>
      <c r="Z898" t="n">
        <v>1</v>
      </c>
      <c r="AA898">
        <f>IF(ISNUMBER('IN-CLASS_Lab Part C'!$J$898),'IN-CLASS_Lab Part C'!$J$898,NA())</f>
        <v/>
      </c>
    </row>
    <row r="899">
      <c r="J899">
        <f>IF(AND(ISNUMBER('Data'!$F$900),'Data'!$F$900&lt;&gt;999,'Data'!$F$900&lt;&gt;""),'Data'!$F$900,"")</f>
        <v/>
      </c>
      <c r="Z899" t="n">
        <v>1</v>
      </c>
      <c r="AA899">
        <f>IF(ISNUMBER('IN-CLASS_Lab Part C'!$J$899),'IN-CLASS_Lab Part C'!$J$899,NA())</f>
        <v/>
      </c>
    </row>
    <row r="900">
      <c r="J900">
        <f>IF(AND(ISNUMBER('Data'!$F$901),'Data'!$F$901&lt;&gt;999,'Data'!$F$901&lt;&gt;""),'Data'!$F$901,"")</f>
        <v/>
      </c>
      <c r="Z900" t="n">
        <v>1</v>
      </c>
      <c r="AA900">
        <f>IF(ISNUMBER('IN-CLASS_Lab Part C'!$J$900),'IN-CLASS_Lab Part C'!$J$900,NA())</f>
        <v/>
      </c>
    </row>
    <row r="901">
      <c r="J901">
        <f>IF(AND(ISNUMBER('Data'!$F$902),'Data'!$F$902&lt;&gt;999,'Data'!$F$902&lt;&gt;""),'Data'!$F$902,"")</f>
        <v/>
      </c>
      <c r="Z901" t="n">
        <v>1</v>
      </c>
      <c r="AA901">
        <f>IF(ISNUMBER('IN-CLASS_Lab Part C'!$J$901),'IN-CLASS_Lab Part C'!$J$901,NA())</f>
        <v/>
      </c>
    </row>
    <row r="902">
      <c r="J902">
        <f>IF(AND(ISNUMBER('Data'!$F$903),'Data'!$F$903&lt;&gt;999,'Data'!$F$903&lt;&gt;""),'Data'!$F$903,"")</f>
        <v/>
      </c>
      <c r="Z902" t="n">
        <v>1</v>
      </c>
      <c r="AA902">
        <f>IF(ISNUMBER('IN-CLASS_Lab Part C'!$J$902),'IN-CLASS_Lab Part C'!$J$902,NA())</f>
        <v/>
      </c>
    </row>
    <row r="903">
      <c r="J903">
        <f>IF(AND(ISNUMBER('Data'!$F$904),'Data'!$F$904&lt;&gt;999,'Data'!$F$904&lt;&gt;""),'Data'!$F$904,"")</f>
        <v/>
      </c>
      <c r="Z903" t="n">
        <v>1</v>
      </c>
      <c r="AA903">
        <f>IF(ISNUMBER('IN-CLASS_Lab Part C'!$J$903),'IN-CLASS_Lab Part C'!$J$903,NA())</f>
        <v/>
      </c>
    </row>
    <row r="904">
      <c r="J904">
        <f>IF(AND(ISNUMBER('Data'!$F$905),'Data'!$F$905&lt;&gt;999,'Data'!$F$905&lt;&gt;""),'Data'!$F$905,"")</f>
        <v/>
      </c>
      <c r="Z904" t="n">
        <v>1</v>
      </c>
      <c r="AA904">
        <f>IF(ISNUMBER('IN-CLASS_Lab Part C'!$J$904),'IN-CLASS_Lab Part C'!$J$904,NA())</f>
        <v/>
      </c>
    </row>
    <row r="905">
      <c r="J905">
        <f>IF(AND(ISNUMBER('Data'!$F$906),'Data'!$F$906&lt;&gt;999,'Data'!$F$906&lt;&gt;""),'Data'!$F$906,"")</f>
        <v/>
      </c>
      <c r="Z905" t="n">
        <v>1</v>
      </c>
      <c r="AA905">
        <f>IF(ISNUMBER('IN-CLASS_Lab Part C'!$J$905),'IN-CLASS_Lab Part C'!$J$905,NA())</f>
        <v/>
      </c>
    </row>
    <row r="906">
      <c r="J906">
        <f>IF(AND(ISNUMBER('Data'!$F$907),'Data'!$F$907&lt;&gt;999,'Data'!$F$907&lt;&gt;""),'Data'!$F$907,"")</f>
        <v/>
      </c>
      <c r="Z906" t="n">
        <v>1</v>
      </c>
      <c r="AA906">
        <f>IF(ISNUMBER('IN-CLASS_Lab Part C'!$J$906),'IN-CLASS_Lab Part C'!$J$906,NA())</f>
        <v/>
      </c>
    </row>
    <row r="907">
      <c r="J907">
        <f>IF(AND(ISNUMBER('Data'!$F$908),'Data'!$F$908&lt;&gt;999,'Data'!$F$908&lt;&gt;""),'Data'!$F$908,"")</f>
        <v/>
      </c>
      <c r="Z907" t="n">
        <v>1</v>
      </c>
      <c r="AA907">
        <f>IF(ISNUMBER('IN-CLASS_Lab Part C'!$J$907),'IN-CLASS_Lab Part C'!$J$907,NA())</f>
        <v/>
      </c>
    </row>
    <row r="908">
      <c r="J908">
        <f>IF(AND(ISNUMBER('Data'!$F$909),'Data'!$F$909&lt;&gt;999,'Data'!$F$909&lt;&gt;""),'Data'!$F$909,"")</f>
        <v/>
      </c>
      <c r="Z908" t="n">
        <v>1</v>
      </c>
      <c r="AA908">
        <f>IF(ISNUMBER('IN-CLASS_Lab Part C'!$J$908),'IN-CLASS_Lab Part C'!$J$908,NA())</f>
        <v/>
      </c>
    </row>
    <row r="909">
      <c r="J909">
        <f>IF(AND(ISNUMBER('Data'!$F$910),'Data'!$F$910&lt;&gt;999,'Data'!$F$910&lt;&gt;""),'Data'!$F$910,"")</f>
        <v/>
      </c>
      <c r="Z909" t="n">
        <v>1</v>
      </c>
      <c r="AA909">
        <f>IF(ISNUMBER('IN-CLASS_Lab Part C'!$J$909),'IN-CLASS_Lab Part C'!$J$909,NA())</f>
        <v/>
      </c>
    </row>
    <row r="910">
      <c r="J910">
        <f>IF(AND(ISNUMBER('Data'!$F$911),'Data'!$F$911&lt;&gt;999,'Data'!$F$911&lt;&gt;""),'Data'!$F$911,"")</f>
        <v/>
      </c>
      <c r="Z910" t="n">
        <v>1</v>
      </c>
      <c r="AA910">
        <f>IF(ISNUMBER('IN-CLASS_Lab Part C'!$J$910),'IN-CLASS_Lab Part C'!$J$910,NA())</f>
        <v/>
      </c>
    </row>
    <row r="911">
      <c r="J911">
        <f>IF(AND(ISNUMBER('Data'!$F$912),'Data'!$F$912&lt;&gt;999,'Data'!$F$912&lt;&gt;""),'Data'!$F$912,"")</f>
        <v/>
      </c>
      <c r="Z911" t="n">
        <v>1</v>
      </c>
      <c r="AA911">
        <f>IF(ISNUMBER('IN-CLASS_Lab Part C'!$J$911),'IN-CLASS_Lab Part C'!$J$911,NA())</f>
        <v/>
      </c>
    </row>
    <row r="912">
      <c r="J912">
        <f>IF(AND(ISNUMBER('Data'!$F$913),'Data'!$F$913&lt;&gt;999,'Data'!$F$913&lt;&gt;""),'Data'!$F$913,"")</f>
        <v/>
      </c>
      <c r="Z912" t="n">
        <v>1</v>
      </c>
      <c r="AA912">
        <f>IF(ISNUMBER('IN-CLASS_Lab Part C'!$J$912),'IN-CLASS_Lab Part C'!$J$912,NA())</f>
        <v/>
      </c>
    </row>
    <row r="913">
      <c r="J913">
        <f>IF(AND(ISNUMBER('Data'!$F$914),'Data'!$F$914&lt;&gt;999,'Data'!$F$914&lt;&gt;""),'Data'!$F$914,"")</f>
        <v/>
      </c>
      <c r="Z913" t="n">
        <v>1</v>
      </c>
      <c r="AA913">
        <f>IF(ISNUMBER('IN-CLASS_Lab Part C'!$J$913),'IN-CLASS_Lab Part C'!$J$913,NA())</f>
        <v/>
      </c>
    </row>
    <row r="914">
      <c r="J914">
        <f>IF(AND(ISNUMBER('Data'!$F$915),'Data'!$F$915&lt;&gt;999,'Data'!$F$915&lt;&gt;""),'Data'!$F$915,"")</f>
        <v/>
      </c>
      <c r="Z914" t="n">
        <v>1</v>
      </c>
      <c r="AA914">
        <f>IF(ISNUMBER('IN-CLASS_Lab Part C'!$J$914),'IN-CLASS_Lab Part C'!$J$914,NA())</f>
        <v/>
      </c>
    </row>
    <row r="915">
      <c r="J915">
        <f>IF(AND(ISNUMBER('Data'!$F$916),'Data'!$F$916&lt;&gt;999,'Data'!$F$916&lt;&gt;""),'Data'!$F$916,"")</f>
        <v/>
      </c>
      <c r="Z915" t="n">
        <v>1</v>
      </c>
      <c r="AA915">
        <f>IF(ISNUMBER('IN-CLASS_Lab Part C'!$J$915),'IN-CLASS_Lab Part C'!$J$915,NA())</f>
        <v/>
      </c>
    </row>
    <row r="916">
      <c r="J916">
        <f>IF(AND(ISNUMBER('Data'!$F$917),'Data'!$F$917&lt;&gt;999,'Data'!$F$917&lt;&gt;""),'Data'!$F$917,"")</f>
        <v/>
      </c>
      <c r="Z916" t="n">
        <v>1</v>
      </c>
      <c r="AA916">
        <f>IF(ISNUMBER('IN-CLASS_Lab Part C'!$J$916),'IN-CLASS_Lab Part C'!$J$916,NA())</f>
        <v/>
      </c>
    </row>
    <row r="917">
      <c r="J917">
        <f>IF(AND(ISNUMBER('Data'!$F$918),'Data'!$F$918&lt;&gt;999,'Data'!$F$918&lt;&gt;""),'Data'!$F$918,"")</f>
        <v/>
      </c>
      <c r="Z917" t="n">
        <v>1</v>
      </c>
      <c r="AA917">
        <f>IF(ISNUMBER('IN-CLASS_Lab Part C'!$J$917),'IN-CLASS_Lab Part C'!$J$917,NA())</f>
        <v/>
      </c>
    </row>
    <row r="918">
      <c r="J918">
        <f>IF(AND(ISNUMBER('Data'!$F$919),'Data'!$F$919&lt;&gt;999,'Data'!$F$919&lt;&gt;""),'Data'!$F$919,"")</f>
        <v/>
      </c>
      <c r="Z918" t="n">
        <v>1</v>
      </c>
      <c r="AA918">
        <f>IF(ISNUMBER('IN-CLASS_Lab Part C'!$J$918),'IN-CLASS_Lab Part C'!$J$918,NA())</f>
        <v/>
      </c>
    </row>
    <row r="919">
      <c r="J919">
        <f>IF(AND(ISNUMBER('Data'!$F$920),'Data'!$F$920&lt;&gt;999,'Data'!$F$920&lt;&gt;""),'Data'!$F$920,"")</f>
        <v/>
      </c>
      <c r="Z919" t="n">
        <v>1</v>
      </c>
      <c r="AA919">
        <f>IF(ISNUMBER('IN-CLASS_Lab Part C'!$J$919),'IN-CLASS_Lab Part C'!$J$919,NA())</f>
        <v/>
      </c>
    </row>
    <row r="920">
      <c r="J920">
        <f>IF(AND(ISNUMBER('Data'!$F$921),'Data'!$F$921&lt;&gt;999,'Data'!$F$921&lt;&gt;""),'Data'!$F$921,"")</f>
        <v/>
      </c>
      <c r="Z920" t="n">
        <v>1</v>
      </c>
      <c r="AA920">
        <f>IF(ISNUMBER('IN-CLASS_Lab Part C'!$J$920),'IN-CLASS_Lab Part C'!$J$920,NA())</f>
        <v/>
      </c>
    </row>
    <row r="921">
      <c r="J921">
        <f>IF(AND(ISNUMBER('Data'!$F$922),'Data'!$F$922&lt;&gt;999,'Data'!$F$922&lt;&gt;""),'Data'!$F$922,"")</f>
        <v/>
      </c>
      <c r="Z921" t="n">
        <v>1</v>
      </c>
      <c r="AA921">
        <f>IF(ISNUMBER('IN-CLASS_Lab Part C'!$J$921),'IN-CLASS_Lab Part C'!$J$921,NA())</f>
        <v/>
      </c>
    </row>
    <row r="922">
      <c r="J922">
        <f>IF(AND(ISNUMBER('Data'!$F$923),'Data'!$F$923&lt;&gt;999,'Data'!$F$923&lt;&gt;""),'Data'!$F$923,"")</f>
        <v/>
      </c>
      <c r="Z922" t="n">
        <v>1</v>
      </c>
      <c r="AA922">
        <f>IF(ISNUMBER('IN-CLASS_Lab Part C'!$J$922),'IN-CLASS_Lab Part C'!$J$922,NA())</f>
        <v/>
      </c>
    </row>
    <row r="923">
      <c r="J923">
        <f>IF(AND(ISNUMBER('Data'!$F$924),'Data'!$F$924&lt;&gt;999,'Data'!$F$924&lt;&gt;""),'Data'!$F$924,"")</f>
        <v/>
      </c>
      <c r="Z923" t="n">
        <v>1</v>
      </c>
      <c r="AA923">
        <f>IF(ISNUMBER('IN-CLASS_Lab Part C'!$J$923),'IN-CLASS_Lab Part C'!$J$923,NA())</f>
        <v/>
      </c>
    </row>
    <row r="924">
      <c r="J924">
        <f>IF(AND(ISNUMBER('Data'!$F$925),'Data'!$F$925&lt;&gt;999,'Data'!$F$925&lt;&gt;""),'Data'!$F$925,"")</f>
        <v/>
      </c>
      <c r="Z924" t="n">
        <v>1</v>
      </c>
      <c r="AA924">
        <f>IF(ISNUMBER('IN-CLASS_Lab Part C'!$J$924),'IN-CLASS_Lab Part C'!$J$924,NA())</f>
        <v/>
      </c>
    </row>
    <row r="925">
      <c r="J925">
        <f>IF(AND(ISNUMBER('Data'!$F$926),'Data'!$F$926&lt;&gt;999,'Data'!$F$926&lt;&gt;""),'Data'!$F$926,"")</f>
        <v/>
      </c>
      <c r="Z925" t="n">
        <v>1</v>
      </c>
      <c r="AA925">
        <f>IF(ISNUMBER('IN-CLASS_Lab Part C'!$J$925),'IN-CLASS_Lab Part C'!$J$925,NA())</f>
        <v/>
      </c>
    </row>
    <row r="926">
      <c r="J926">
        <f>IF(AND(ISNUMBER('Data'!$F$927),'Data'!$F$927&lt;&gt;999,'Data'!$F$927&lt;&gt;""),'Data'!$F$927,"")</f>
        <v/>
      </c>
      <c r="Z926" t="n">
        <v>1</v>
      </c>
      <c r="AA926">
        <f>IF(ISNUMBER('IN-CLASS_Lab Part C'!$J$926),'IN-CLASS_Lab Part C'!$J$926,NA())</f>
        <v/>
      </c>
    </row>
    <row r="927">
      <c r="J927">
        <f>IF(AND(ISNUMBER('Data'!$F$928),'Data'!$F$928&lt;&gt;999,'Data'!$F$928&lt;&gt;""),'Data'!$F$928,"")</f>
        <v/>
      </c>
      <c r="Z927" t="n">
        <v>1</v>
      </c>
      <c r="AA927">
        <f>IF(ISNUMBER('IN-CLASS_Lab Part C'!$J$927),'IN-CLASS_Lab Part C'!$J$927,NA())</f>
        <v/>
      </c>
    </row>
    <row r="928">
      <c r="J928">
        <f>IF(AND(ISNUMBER('Data'!$F$929),'Data'!$F$929&lt;&gt;999,'Data'!$F$929&lt;&gt;""),'Data'!$F$929,"")</f>
        <v/>
      </c>
      <c r="Z928" t="n">
        <v>1</v>
      </c>
      <c r="AA928">
        <f>IF(ISNUMBER('IN-CLASS_Lab Part C'!$J$928),'IN-CLASS_Lab Part C'!$J$928,NA())</f>
        <v/>
      </c>
    </row>
    <row r="929">
      <c r="J929">
        <f>IF(AND(ISNUMBER('Data'!$F$930),'Data'!$F$930&lt;&gt;999,'Data'!$F$930&lt;&gt;""),'Data'!$F$930,"")</f>
        <v/>
      </c>
      <c r="Z929" t="n">
        <v>1</v>
      </c>
      <c r="AA929">
        <f>IF(ISNUMBER('IN-CLASS_Lab Part C'!$J$929),'IN-CLASS_Lab Part C'!$J$929,NA())</f>
        <v/>
      </c>
    </row>
    <row r="930">
      <c r="J930">
        <f>IF(AND(ISNUMBER('Data'!$F$931),'Data'!$F$931&lt;&gt;999,'Data'!$F$931&lt;&gt;""),'Data'!$F$931,"")</f>
        <v/>
      </c>
      <c r="Z930" t="n">
        <v>1</v>
      </c>
      <c r="AA930">
        <f>IF(ISNUMBER('IN-CLASS_Lab Part C'!$J$930),'IN-CLASS_Lab Part C'!$J$930,NA())</f>
        <v/>
      </c>
    </row>
    <row r="931">
      <c r="J931">
        <f>IF(AND(ISNUMBER('Data'!$F$932),'Data'!$F$932&lt;&gt;999,'Data'!$F$932&lt;&gt;""),'Data'!$F$932,"")</f>
        <v/>
      </c>
      <c r="Z931" t="n">
        <v>1</v>
      </c>
      <c r="AA931">
        <f>IF(ISNUMBER('IN-CLASS_Lab Part C'!$J$931),'IN-CLASS_Lab Part C'!$J$931,NA())</f>
        <v/>
      </c>
    </row>
    <row r="932">
      <c r="J932">
        <f>IF(AND(ISNUMBER('Data'!$F$933),'Data'!$F$933&lt;&gt;999,'Data'!$F$933&lt;&gt;""),'Data'!$F$933,"")</f>
        <v/>
      </c>
      <c r="Z932" t="n">
        <v>1</v>
      </c>
      <c r="AA932">
        <f>IF(ISNUMBER('IN-CLASS_Lab Part C'!$J$932),'IN-CLASS_Lab Part C'!$J$932,NA())</f>
        <v/>
      </c>
    </row>
    <row r="933">
      <c r="J933">
        <f>IF(AND(ISNUMBER('Data'!$F$934),'Data'!$F$934&lt;&gt;999,'Data'!$F$934&lt;&gt;""),'Data'!$F$934,"")</f>
        <v/>
      </c>
      <c r="Z933" t="n">
        <v>1</v>
      </c>
      <c r="AA933">
        <f>IF(ISNUMBER('IN-CLASS_Lab Part C'!$J$933),'IN-CLASS_Lab Part C'!$J$933,NA())</f>
        <v/>
      </c>
    </row>
    <row r="934">
      <c r="J934">
        <f>IF(AND(ISNUMBER('Data'!$F$935),'Data'!$F$935&lt;&gt;999,'Data'!$F$935&lt;&gt;""),'Data'!$F$935,"")</f>
        <v/>
      </c>
      <c r="Z934" t="n">
        <v>1</v>
      </c>
      <c r="AA934">
        <f>IF(ISNUMBER('IN-CLASS_Lab Part C'!$J$934),'IN-CLASS_Lab Part C'!$J$934,NA())</f>
        <v/>
      </c>
    </row>
    <row r="935">
      <c r="J935">
        <f>IF(AND(ISNUMBER('Data'!$F$936),'Data'!$F$936&lt;&gt;999,'Data'!$F$936&lt;&gt;""),'Data'!$F$936,"")</f>
        <v/>
      </c>
      <c r="Z935" t="n">
        <v>1</v>
      </c>
      <c r="AA935">
        <f>IF(ISNUMBER('IN-CLASS_Lab Part C'!$J$935),'IN-CLASS_Lab Part C'!$J$935,NA())</f>
        <v/>
      </c>
    </row>
    <row r="936">
      <c r="J936">
        <f>IF(AND(ISNUMBER('Data'!$F$937),'Data'!$F$937&lt;&gt;999,'Data'!$F$937&lt;&gt;""),'Data'!$F$937,"")</f>
        <v/>
      </c>
      <c r="Z936" t="n">
        <v>1</v>
      </c>
      <c r="AA936">
        <f>IF(ISNUMBER('IN-CLASS_Lab Part C'!$J$936),'IN-CLASS_Lab Part C'!$J$936,NA())</f>
        <v/>
      </c>
    </row>
    <row r="937">
      <c r="J937">
        <f>IF(AND(ISNUMBER('Data'!$F$938),'Data'!$F$938&lt;&gt;999,'Data'!$F$938&lt;&gt;""),'Data'!$F$938,"")</f>
        <v/>
      </c>
      <c r="Z937" t="n">
        <v>1</v>
      </c>
      <c r="AA937">
        <f>IF(ISNUMBER('IN-CLASS_Lab Part C'!$J$937),'IN-CLASS_Lab Part C'!$J$937,NA())</f>
        <v/>
      </c>
    </row>
    <row r="938">
      <c r="J938">
        <f>IF(AND(ISNUMBER('Data'!$F$939),'Data'!$F$939&lt;&gt;999,'Data'!$F$939&lt;&gt;""),'Data'!$F$939,"")</f>
        <v/>
      </c>
      <c r="Z938" t="n">
        <v>1</v>
      </c>
      <c r="AA938">
        <f>IF(ISNUMBER('IN-CLASS_Lab Part C'!$J$938),'IN-CLASS_Lab Part C'!$J$938,NA())</f>
        <v/>
      </c>
    </row>
    <row r="939">
      <c r="J939">
        <f>IF(AND(ISNUMBER('Data'!$F$940),'Data'!$F$940&lt;&gt;999,'Data'!$F$940&lt;&gt;""),'Data'!$F$940,"")</f>
        <v/>
      </c>
      <c r="Z939" t="n">
        <v>1</v>
      </c>
      <c r="AA939">
        <f>IF(ISNUMBER('IN-CLASS_Lab Part C'!$J$939),'IN-CLASS_Lab Part C'!$J$939,NA())</f>
        <v/>
      </c>
    </row>
    <row r="940">
      <c r="J940">
        <f>IF(AND(ISNUMBER('Data'!$F$941),'Data'!$F$941&lt;&gt;999,'Data'!$F$941&lt;&gt;""),'Data'!$F$941,"")</f>
        <v/>
      </c>
      <c r="Z940" t="n">
        <v>1</v>
      </c>
      <c r="AA940">
        <f>IF(ISNUMBER('IN-CLASS_Lab Part C'!$J$940),'IN-CLASS_Lab Part C'!$J$940,NA())</f>
        <v/>
      </c>
    </row>
    <row r="941">
      <c r="J941">
        <f>IF(AND(ISNUMBER('Data'!$F$942),'Data'!$F$942&lt;&gt;999,'Data'!$F$942&lt;&gt;""),'Data'!$F$942,"")</f>
        <v/>
      </c>
      <c r="Z941" t="n">
        <v>1</v>
      </c>
      <c r="AA941">
        <f>IF(ISNUMBER('IN-CLASS_Lab Part C'!$J$941),'IN-CLASS_Lab Part C'!$J$941,NA())</f>
        <v/>
      </c>
    </row>
    <row r="942">
      <c r="J942">
        <f>IF(AND(ISNUMBER('Data'!$F$943),'Data'!$F$943&lt;&gt;999,'Data'!$F$943&lt;&gt;""),'Data'!$F$943,"")</f>
        <v/>
      </c>
      <c r="Z942" t="n">
        <v>1</v>
      </c>
      <c r="AA942">
        <f>IF(ISNUMBER('IN-CLASS_Lab Part C'!$J$942),'IN-CLASS_Lab Part C'!$J$942,NA())</f>
        <v/>
      </c>
    </row>
    <row r="943">
      <c r="J943">
        <f>IF(AND(ISNUMBER('Data'!$F$944),'Data'!$F$944&lt;&gt;999,'Data'!$F$944&lt;&gt;""),'Data'!$F$944,"")</f>
        <v/>
      </c>
      <c r="Z943" t="n">
        <v>1</v>
      </c>
      <c r="AA943">
        <f>IF(ISNUMBER('IN-CLASS_Lab Part C'!$J$943),'IN-CLASS_Lab Part C'!$J$943,NA())</f>
        <v/>
      </c>
    </row>
    <row r="944">
      <c r="J944">
        <f>IF(AND(ISNUMBER('Data'!$F$945),'Data'!$F$945&lt;&gt;999,'Data'!$F$945&lt;&gt;""),'Data'!$F$945,"")</f>
        <v/>
      </c>
      <c r="Z944" t="n">
        <v>1</v>
      </c>
      <c r="AA944">
        <f>IF(ISNUMBER('IN-CLASS_Lab Part C'!$J$944),'IN-CLASS_Lab Part C'!$J$944,NA())</f>
        <v/>
      </c>
    </row>
    <row r="945">
      <c r="J945">
        <f>IF(AND(ISNUMBER('Data'!$F$946),'Data'!$F$946&lt;&gt;999,'Data'!$F$946&lt;&gt;""),'Data'!$F$946,"")</f>
        <v/>
      </c>
      <c r="Z945" t="n">
        <v>1</v>
      </c>
      <c r="AA945">
        <f>IF(ISNUMBER('IN-CLASS_Lab Part C'!$J$945),'IN-CLASS_Lab Part C'!$J$945,NA())</f>
        <v/>
      </c>
    </row>
    <row r="946">
      <c r="J946">
        <f>IF(AND(ISNUMBER('Data'!$F$947),'Data'!$F$947&lt;&gt;999,'Data'!$F$947&lt;&gt;""),'Data'!$F$947,"")</f>
        <v/>
      </c>
      <c r="Z946" t="n">
        <v>1</v>
      </c>
      <c r="AA946">
        <f>IF(ISNUMBER('IN-CLASS_Lab Part C'!$J$946),'IN-CLASS_Lab Part C'!$J$946,NA())</f>
        <v/>
      </c>
    </row>
    <row r="947">
      <c r="J947">
        <f>IF(AND(ISNUMBER('Data'!$F$948),'Data'!$F$948&lt;&gt;999,'Data'!$F$948&lt;&gt;""),'Data'!$F$948,"")</f>
        <v/>
      </c>
      <c r="Z947" t="n">
        <v>1</v>
      </c>
      <c r="AA947">
        <f>IF(ISNUMBER('IN-CLASS_Lab Part C'!$J$947),'IN-CLASS_Lab Part C'!$J$947,NA())</f>
        <v/>
      </c>
    </row>
    <row r="948">
      <c r="J948">
        <f>IF(AND(ISNUMBER('Data'!$F$949),'Data'!$F$949&lt;&gt;999,'Data'!$F$949&lt;&gt;""),'Data'!$F$949,"")</f>
        <v/>
      </c>
      <c r="Z948" t="n">
        <v>1</v>
      </c>
      <c r="AA948">
        <f>IF(ISNUMBER('IN-CLASS_Lab Part C'!$J$948),'IN-CLASS_Lab Part C'!$J$948,NA())</f>
        <v/>
      </c>
    </row>
    <row r="949">
      <c r="J949">
        <f>IF(AND(ISNUMBER('Data'!$F$950),'Data'!$F$950&lt;&gt;999,'Data'!$F$950&lt;&gt;""),'Data'!$F$950,"")</f>
        <v/>
      </c>
      <c r="Z949" t="n">
        <v>1</v>
      </c>
      <c r="AA949">
        <f>IF(ISNUMBER('IN-CLASS_Lab Part C'!$J$949),'IN-CLASS_Lab Part C'!$J$949,NA())</f>
        <v/>
      </c>
    </row>
    <row r="950">
      <c r="J950">
        <f>IF(AND(ISNUMBER('Data'!$F$951),'Data'!$F$951&lt;&gt;999,'Data'!$F$951&lt;&gt;""),'Data'!$F$951,"")</f>
        <v/>
      </c>
      <c r="Z950" t="n">
        <v>1</v>
      </c>
      <c r="AA950">
        <f>IF(ISNUMBER('IN-CLASS_Lab Part C'!$J$950),'IN-CLASS_Lab Part C'!$J$950,NA())</f>
        <v/>
      </c>
    </row>
    <row r="951">
      <c r="J951">
        <f>IF(AND(ISNUMBER('Data'!$F$952),'Data'!$F$952&lt;&gt;999,'Data'!$F$952&lt;&gt;""),'Data'!$F$952,"")</f>
        <v/>
      </c>
      <c r="Z951" t="n">
        <v>1</v>
      </c>
      <c r="AA951">
        <f>IF(ISNUMBER('IN-CLASS_Lab Part C'!$J$951),'IN-CLASS_Lab Part C'!$J$951,NA())</f>
        <v/>
      </c>
    </row>
    <row r="952">
      <c r="J952">
        <f>IF(AND(ISNUMBER('Data'!$F$953),'Data'!$F$953&lt;&gt;999,'Data'!$F$953&lt;&gt;""),'Data'!$F$953,"")</f>
        <v/>
      </c>
      <c r="Z952" t="n">
        <v>1</v>
      </c>
      <c r="AA952">
        <f>IF(ISNUMBER('IN-CLASS_Lab Part C'!$J$952),'IN-CLASS_Lab Part C'!$J$952,NA())</f>
        <v/>
      </c>
    </row>
    <row r="953">
      <c r="J953">
        <f>IF(AND(ISNUMBER('Data'!$F$954),'Data'!$F$954&lt;&gt;999,'Data'!$F$954&lt;&gt;""),'Data'!$F$954,"")</f>
        <v/>
      </c>
      <c r="Z953" t="n">
        <v>1</v>
      </c>
      <c r="AA953">
        <f>IF(ISNUMBER('IN-CLASS_Lab Part C'!$J$953),'IN-CLASS_Lab Part C'!$J$953,NA())</f>
        <v/>
      </c>
    </row>
    <row r="954">
      <c r="J954">
        <f>IF(AND(ISNUMBER('Data'!$F$955),'Data'!$F$955&lt;&gt;999,'Data'!$F$955&lt;&gt;""),'Data'!$F$955,"")</f>
        <v/>
      </c>
      <c r="Z954" t="n">
        <v>1</v>
      </c>
      <c r="AA954">
        <f>IF(ISNUMBER('IN-CLASS_Lab Part C'!$J$954),'IN-CLASS_Lab Part C'!$J$954,NA())</f>
        <v/>
      </c>
    </row>
    <row r="955">
      <c r="J955">
        <f>IF(AND(ISNUMBER('Data'!$F$956),'Data'!$F$956&lt;&gt;999,'Data'!$F$956&lt;&gt;""),'Data'!$F$956,"")</f>
        <v/>
      </c>
      <c r="Z955" t="n">
        <v>1</v>
      </c>
      <c r="AA955">
        <f>IF(ISNUMBER('IN-CLASS_Lab Part C'!$J$955),'IN-CLASS_Lab Part C'!$J$955,NA())</f>
        <v/>
      </c>
    </row>
    <row r="956">
      <c r="J956">
        <f>IF(AND(ISNUMBER('Data'!$F$957),'Data'!$F$957&lt;&gt;999,'Data'!$F$957&lt;&gt;""),'Data'!$F$957,"")</f>
        <v/>
      </c>
      <c r="Z956" t="n">
        <v>1</v>
      </c>
      <c r="AA956">
        <f>IF(ISNUMBER('IN-CLASS_Lab Part C'!$J$956),'IN-CLASS_Lab Part C'!$J$956,NA())</f>
        <v/>
      </c>
    </row>
    <row r="957">
      <c r="J957">
        <f>IF(AND(ISNUMBER('Data'!$F$958),'Data'!$F$958&lt;&gt;999,'Data'!$F$958&lt;&gt;""),'Data'!$F$958,"")</f>
        <v/>
      </c>
      <c r="Z957" t="n">
        <v>1</v>
      </c>
      <c r="AA957">
        <f>IF(ISNUMBER('IN-CLASS_Lab Part C'!$J$957),'IN-CLASS_Lab Part C'!$J$957,NA())</f>
        <v/>
      </c>
    </row>
    <row r="958">
      <c r="J958">
        <f>IF(AND(ISNUMBER('Data'!$F$959),'Data'!$F$959&lt;&gt;999,'Data'!$F$959&lt;&gt;""),'Data'!$F$959,"")</f>
        <v/>
      </c>
      <c r="Z958" t="n">
        <v>1</v>
      </c>
      <c r="AA958">
        <f>IF(ISNUMBER('IN-CLASS_Lab Part C'!$J$958),'IN-CLASS_Lab Part C'!$J$958,NA())</f>
        <v/>
      </c>
    </row>
    <row r="959">
      <c r="J959">
        <f>IF(AND(ISNUMBER('Data'!$F$960),'Data'!$F$960&lt;&gt;999,'Data'!$F$960&lt;&gt;""),'Data'!$F$960,"")</f>
        <v/>
      </c>
      <c r="Z959" t="n">
        <v>1</v>
      </c>
      <c r="AA959">
        <f>IF(ISNUMBER('IN-CLASS_Lab Part C'!$J$959),'IN-CLASS_Lab Part C'!$J$959,NA())</f>
        <v/>
      </c>
    </row>
    <row r="960">
      <c r="J960">
        <f>IF(AND(ISNUMBER('Data'!$F$961),'Data'!$F$961&lt;&gt;999,'Data'!$F$961&lt;&gt;""),'Data'!$F$961,"")</f>
        <v/>
      </c>
      <c r="Z960" t="n">
        <v>1</v>
      </c>
      <c r="AA960">
        <f>IF(ISNUMBER('IN-CLASS_Lab Part C'!$J$960),'IN-CLASS_Lab Part C'!$J$960,NA())</f>
        <v/>
      </c>
    </row>
    <row r="961">
      <c r="J961">
        <f>IF(AND(ISNUMBER('Data'!$F$962),'Data'!$F$962&lt;&gt;999,'Data'!$F$962&lt;&gt;""),'Data'!$F$962,"")</f>
        <v/>
      </c>
      <c r="Z961" t="n">
        <v>1</v>
      </c>
      <c r="AA961">
        <f>IF(ISNUMBER('IN-CLASS_Lab Part C'!$J$961),'IN-CLASS_Lab Part C'!$J$961,NA())</f>
        <v/>
      </c>
    </row>
    <row r="962">
      <c r="J962">
        <f>IF(AND(ISNUMBER('Data'!$F$963),'Data'!$F$963&lt;&gt;999,'Data'!$F$963&lt;&gt;""),'Data'!$F$963,"")</f>
        <v/>
      </c>
      <c r="Z962" t="n">
        <v>1</v>
      </c>
      <c r="AA962">
        <f>IF(ISNUMBER('IN-CLASS_Lab Part C'!$J$962),'IN-CLASS_Lab Part C'!$J$962,NA())</f>
        <v/>
      </c>
    </row>
    <row r="963">
      <c r="J963">
        <f>IF(AND(ISNUMBER('Data'!$F$964),'Data'!$F$964&lt;&gt;999,'Data'!$F$964&lt;&gt;""),'Data'!$F$964,"")</f>
        <v/>
      </c>
      <c r="Z963" t="n">
        <v>1</v>
      </c>
      <c r="AA963">
        <f>IF(ISNUMBER('IN-CLASS_Lab Part C'!$J$963),'IN-CLASS_Lab Part C'!$J$963,NA())</f>
        <v/>
      </c>
    </row>
    <row r="964">
      <c r="J964">
        <f>IF(AND(ISNUMBER('Data'!$F$965),'Data'!$F$965&lt;&gt;999,'Data'!$F$965&lt;&gt;""),'Data'!$F$965,"")</f>
        <v/>
      </c>
      <c r="Z964" t="n">
        <v>1</v>
      </c>
      <c r="AA964">
        <f>IF(ISNUMBER('IN-CLASS_Lab Part C'!$J$964),'IN-CLASS_Lab Part C'!$J$964,NA())</f>
        <v/>
      </c>
    </row>
    <row r="965">
      <c r="J965">
        <f>IF(AND(ISNUMBER('Data'!$F$966),'Data'!$F$966&lt;&gt;999,'Data'!$F$966&lt;&gt;""),'Data'!$F$966,"")</f>
        <v/>
      </c>
      <c r="Z965" t="n">
        <v>1</v>
      </c>
      <c r="AA965">
        <f>IF(ISNUMBER('IN-CLASS_Lab Part C'!$J$965),'IN-CLASS_Lab Part C'!$J$965,NA())</f>
        <v/>
      </c>
    </row>
    <row r="966">
      <c r="J966">
        <f>IF(AND(ISNUMBER('Data'!$F$967),'Data'!$F$967&lt;&gt;999,'Data'!$F$967&lt;&gt;""),'Data'!$F$967,"")</f>
        <v/>
      </c>
      <c r="Z966" t="n">
        <v>1</v>
      </c>
      <c r="AA966">
        <f>IF(ISNUMBER('IN-CLASS_Lab Part C'!$J$966),'IN-CLASS_Lab Part C'!$J$966,NA())</f>
        <v/>
      </c>
    </row>
    <row r="967">
      <c r="J967">
        <f>IF(AND(ISNUMBER('Data'!$F$968),'Data'!$F$968&lt;&gt;999,'Data'!$F$968&lt;&gt;""),'Data'!$F$968,"")</f>
        <v/>
      </c>
      <c r="Z967" t="n">
        <v>1</v>
      </c>
      <c r="AA967">
        <f>IF(ISNUMBER('IN-CLASS_Lab Part C'!$J$967),'IN-CLASS_Lab Part C'!$J$967,NA())</f>
        <v/>
      </c>
    </row>
    <row r="968">
      <c r="J968">
        <f>IF(AND(ISNUMBER('Data'!$F$969),'Data'!$F$969&lt;&gt;999,'Data'!$F$969&lt;&gt;""),'Data'!$F$969,"")</f>
        <v/>
      </c>
      <c r="Z968" t="n">
        <v>1</v>
      </c>
      <c r="AA968">
        <f>IF(ISNUMBER('IN-CLASS_Lab Part C'!$J$968),'IN-CLASS_Lab Part C'!$J$968,NA())</f>
        <v/>
      </c>
    </row>
    <row r="969">
      <c r="J969">
        <f>IF(AND(ISNUMBER('Data'!$F$970),'Data'!$F$970&lt;&gt;999,'Data'!$F$970&lt;&gt;""),'Data'!$F$970,"")</f>
        <v/>
      </c>
      <c r="Z969" t="n">
        <v>1</v>
      </c>
      <c r="AA969">
        <f>IF(ISNUMBER('IN-CLASS_Lab Part C'!$J$969),'IN-CLASS_Lab Part C'!$J$969,NA())</f>
        <v/>
      </c>
    </row>
    <row r="970">
      <c r="J970">
        <f>IF(AND(ISNUMBER('Data'!$F$971),'Data'!$F$971&lt;&gt;999,'Data'!$F$971&lt;&gt;""),'Data'!$F$971,"")</f>
        <v/>
      </c>
      <c r="Z970" t="n">
        <v>1</v>
      </c>
      <c r="AA970">
        <f>IF(ISNUMBER('IN-CLASS_Lab Part C'!$J$970),'IN-CLASS_Lab Part C'!$J$970,NA())</f>
        <v/>
      </c>
    </row>
    <row r="971">
      <c r="J971">
        <f>IF(AND(ISNUMBER('Data'!$F$972),'Data'!$F$972&lt;&gt;999,'Data'!$F$972&lt;&gt;""),'Data'!$F$972,"")</f>
        <v/>
      </c>
      <c r="Z971" t="n">
        <v>1</v>
      </c>
      <c r="AA971">
        <f>IF(ISNUMBER('IN-CLASS_Lab Part C'!$J$971),'IN-CLASS_Lab Part C'!$J$971,NA())</f>
        <v/>
      </c>
    </row>
    <row r="972">
      <c r="J972">
        <f>IF(AND(ISNUMBER('Data'!$F$973),'Data'!$F$973&lt;&gt;999,'Data'!$F$973&lt;&gt;""),'Data'!$F$973,"")</f>
        <v/>
      </c>
      <c r="Z972" t="n">
        <v>1</v>
      </c>
      <c r="AA972">
        <f>IF(ISNUMBER('IN-CLASS_Lab Part C'!$J$972),'IN-CLASS_Lab Part C'!$J$972,NA())</f>
        <v/>
      </c>
    </row>
    <row r="973">
      <c r="J973">
        <f>IF(AND(ISNUMBER('Data'!$F$974),'Data'!$F$974&lt;&gt;999,'Data'!$F$974&lt;&gt;""),'Data'!$F$974,"")</f>
        <v/>
      </c>
      <c r="Z973" t="n">
        <v>1</v>
      </c>
      <c r="AA973">
        <f>IF(ISNUMBER('IN-CLASS_Lab Part C'!$J$973),'IN-CLASS_Lab Part C'!$J$973,NA())</f>
        <v/>
      </c>
    </row>
    <row r="974">
      <c r="J974">
        <f>IF(AND(ISNUMBER('Data'!$F$975),'Data'!$F$975&lt;&gt;999,'Data'!$F$975&lt;&gt;""),'Data'!$F$975,"")</f>
        <v/>
      </c>
      <c r="Z974" t="n">
        <v>1</v>
      </c>
      <c r="AA974">
        <f>IF(ISNUMBER('IN-CLASS_Lab Part C'!$J$974),'IN-CLASS_Lab Part C'!$J$974,NA())</f>
        <v/>
      </c>
    </row>
    <row r="975">
      <c r="J975">
        <f>IF(AND(ISNUMBER('Data'!$F$976),'Data'!$F$976&lt;&gt;999,'Data'!$F$976&lt;&gt;""),'Data'!$F$976,"")</f>
        <v/>
      </c>
      <c r="Z975" t="n">
        <v>1</v>
      </c>
      <c r="AA975">
        <f>IF(ISNUMBER('IN-CLASS_Lab Part C'!$J$975),'IN-CLASS_Lab Part C'!$J$975,NA())</f>
        <v/>
      </c>
    </row>
    <row r="976">
      <c r="J976">
        <f>IF(AND(ISNUMBER('Data'!$F$977),'Data'!$F$977&lt;&gt;999,'Data'!$F$977&lt;&gt;""),'Data'!$F$977,"")</f>
        <v/>
      </c>
      <c r="Z976" t="n">
        <v>1</v>
      </c>
      <c r="AA976">
        <f>IF(ISNUMBER('IN-CLASS_Lab Part C'!$J$976),'IN-CLASS_Lab Part C'!$J$976,NA())</f>
        <v/>
      </c>
    </row>
    <row r="977">
      <c r="J977">
        <f>IF(AND(ISNUMBER('Data'!$F$978),'Data'!$F$978&lt;&gt;999,'Data'!$F$978&lt;&gt;""),'Data'!$F$978,"")</f>
        <v/>
      </c>
      <c r="Z977" t="n">
        <v>1</v>
      </c>
      <c r="AA977">
        <f>IF(ISNUMBER('IN-CLASS_Lab Part C'!$J$977),'IN-CLASS_Lab Part C'!$J$977,NA())</f>
        <v/>
      </c>
    </row>
    <row r="978">
      <c r="J978">
        <f>IF(AND(ISNUMBER('Data'!$F$979),'Data'!$F$979&lt;&gt;999,'Data'!$F$979&lt;&gt;""),'Data'!$F$979,"")</f>
        <v/>
      </c>
      <c r="Z978" t="n">
        <v>1</v>
      </c>
      <c r="AA978">
        <f>IF(ISNUMBER('IN-CLASS_Lab Part C'!$J$978),'IN-CLASS_Lab Part C'!$J$978,NA())</f>
        <v/>
      </c>
    </row>
    <row r="979">
      <c r="J979">
        <f>IF(AND(ISNUMBER('Data'!$F$980),'Data'!$F$980&lt;&gt;999,'Data'!$F$980&lt;&gt;""),'Data'!$F$980,"")</f>
        <v/>
      </c>
      <c r="Z979" t="n">
        <v>1</v>
      </c>
      <c r="AA979">
        <f>IF(ISNUMBER('IN-CLASS_Lab Part C'!$J$979),'IN-CLASS_Lab Part C'!$J$979,NA())</f>
        <v/>
      </c>
    </row>
    <row r="980">
      <c r="J980">
        <f>IF(AND(ISNUMBER('Data'!$F$981),'Data'!$F$981&lt;&gt;999,'Data'!$F$981&lt;&gt;""),'Data'!$F$981,"")</f>
        <v/>
      </c>
      <c r="Z980" t="n">
        <v>1</v>
      </c>
      <c r="AA980">
        <f>IF(ISNUMBER('IN-CLASS_Lab Part C'!$J$980),'IN-CLASS_Lab Part C'!$J$980,NA())</f>
        <v/>
      </c>
    </row>
    <row r="981">
      <c r="J981">
        <f>IF(AND(ISNUMBER('Data'!$F$982),'Data'!$F$982&lt;&gt;999,'Data'!$F$982&lt;&gt;""),'Data'!$F$982,"")</f>
        <v/>
      </c>
      <c r="Z981" t="n">
        <v>1</v>
      </c>
      <c r="AA981">
        <f>IF(ISNUMBER('IN-CLASS_Lab Part C'!$J$981),'IN-CLASS_Lab Part C'!$J$981,NA())</f>
        <v/>
      </c>
    </row>
    <row r="982">
      <c r="J982">
        <f>IF(AND(ISNUMBER('Data'!$F$983),'Data'!$F$983&lt;&gt;999,'Data'!$F$983&lt;&gt;""),'Data'!$F$983,"")</f>
        <v/>
      </c>
      <c r="Z982" t="n">
        <v>1</v>
      </c>
      <c r="AA982">
        <f>IF(ISNUMBER('IN-CLASS_Lab Part C'!$J$982),'IN-CLASS_Lab Part C'!$J$982,NA())</f>
        <v/>
      </c>
    </row>
    <row r="983">
      <c r="J983">
        <f>IF(AND(ISNUMBER('Data'!$F$984),'Data'!$F$984&lt;&gt;999,'Data'!$F$984&lt;&gt;""),'Data'!$F$984,"")</f>
        <v/>
      </c>
      <c r="Z983" t="n">
        <v>1</v>
      </c>
      <c r="AA983">
        <f>IF(ISNUMBER('IN-CLASS_Lab Part C'!$J$983),'IN-CLASS_Lab Part C'!$J$983,NA())</f>
        <v/>
      </c>
    </row>
    <row r="984">
      <c r="J984">
        <f>IF(AND(ISNUMBER('Data'!$F$985),'Data'!$F$985&lt;&gt;999,'Data'!$F$985&lt;&gt;""),'Data'!$F$985,"")</f>
        <v/>
      </c>
      <c r="Z984" t="n">
        <v>1</v>
      </c>
      <c r="AA984">
        <f>IF(ISNUMBER('IN-CLASS_Lab Part C'!$J$984),'IN-CLASS_Lab Part C'!$J$984,NA())</f>
        <v/>
      </c>
    </row>
    <row r="985">
      <c r="J985">
        <f>IF(AND(ISNUMBER('Data'!$F$986),'Data'!$F$986&lt;&gt;999,'Data'!$F$986&lt;&gt;""),'Data'!$F$986,"")</f>
        <v/>
      </c>
      <c r="Z985" t="n">
        <v>1</v>
      </c>
      <c r="AA985">
        <f>IF(ISNUMBER('IN-CLASS_Lab Part C'!$J$985),'IN-CLASS_Lab Part C'!$J$985,NA())</f>
        <v/>
      </c>
    </row>
    <row r="986">
      <c r="J986">
        <f>IF(AND(ISNUMBER('Data'!$F$987),'Data'!$F$987&lt;&gt;999,'Data'!$F$987&lt;&gt;""),'Data'!$F$987,"")</f>
        <v/>
      </c>
      <c r="Z986" t="n">
        <v>1</v>
      </c>
      <c r="AA986">
        <f>IF(ISNUMBER('IN-CLASS_Lab Part C'!$J$986),'IN-CLASS_Lab Part C'!$J$986,NA())</f>
        <v/>
      </c>
    </row>
    <row r="987">
      <c r="J987">
        <f>IF(AND(ISNUMBER('Data'!$F$988),'Data'!$F$988&lt;&gt;999,'Data'!$F$988&lt;&gt;""),'Data'!$F$988,"")</f>
        <v/>
      </c>
      <c r="Z987" t="n">
        <v>1</v>
      </c>
      <c r="AA987">
        <f>IF(ISNUMBER('IN-CLASS_Lab Part C'!$J$987),'IN-CLASS_Lab Part C'!$J$987,NA())</f>
        <v/>
      </c>
    </row>
    <row r="988">
      <c r="J988">
        <f>IF(AND(ISNUMBER('Data'!$F$989),'Data'!$F$989&lt;&gt;999,'Data'!$F$989&lt;&gt;""),'Data'!$F$989,"")</f>
        <v/>
      </c>
      <c r="Z988" t="n">
        <v>1</v>
      </c>
      <c r="AA988">
        <f>IF(ISNUMBER('IN-CLASS_Lab Part C'!$J$988),'IN-CLASS_Lab Part C'!$J$988,NA())</f>
        <v/>
      </c>
    </row>
    <row r="989">
      <c r="J989">
        <f>IF(AND(ISNUMBER('Data'!$F$990),'Data'!$F$990&lt;&gt;999,'Data'!$F$990&lt;&gt;""),'Data'!$F$990,"")</f>
        <v/>
      </c>
      <c r="Z989" t="n">
        <v>1</v>
      </c>
      <c r="AA989">
        <f>IF(ISNUMBER('IN-CLASS_Lab Part C'!$J$989),'IN-CLASS_Lab Part C'!$J$989,NA())</f>
        <v/>
      </c>
    </row>
    <row r="990">
      <c r="J990">
        <f>IF(AND(ISNUMBER('Data'!$F$991),'Data'!$F$991&lt;&gt;999,'Data'!$F$991&lt;&gt;""),'Data'!$F$991,"")</f>
        <v/>
      </c>
      <c r="Z990" t="n">
        <v>1</v>
      </c>
      <c r="AA990">
        <f>IF(ISNUMBER('IN-CLASS_Lab Part C'!$J$990),'IN-CLASS_Lab Part C'!$J$990,NA())</f>
        <v/>
      </c>
    </row>
    <row r="991">
      <c r="J991">
        <f>IF(AND(ISNUMBER('Data'!$F$992),'Data'!$F$992&lt;&gt;999,'Data'!$F$992&lt;&gt;""),'Data'!$F$992,"")</f>
        <v/>
      </c>
      <c r="Z991" t="n">
        <v>1</v>
      </c>
      <c r="AA991">
        <f>IF(ISNUMBER('IN-CLASS_Lab Part C'!$J$991),'IN-CLASS_Lab Part C'!$J$991,NA())</f>
        <v/>
      </c>
    </row>
    <row r="992">
      <c r="J992">
        <f>IF(AND(ISNUMBER('Data'!$F$993),'Data'!$F$993&lt;&gt;999,'Data'!$F$993&lt;&gt;""),'Data'!$F$993,"")</f>
        <v/>
      </c>
      <c r="Z992" t="n">
        <v>1</v>
      </c>
      <c r="AA992">
        <f>IF(ISNUMBER('IN-CLASS_Lab Part C'!$J$992),'IN-CLASS_Lab Part C'!$J$992,NA())</f>
        <v/>
      </c>
    </row>
    <row r="993">
      <c r="J993">
        <f>IF(AND(ISNUMBER('Data'!$F$994),'Data'!$F$994&lt;&gt;999,'Data'!$F$994&lt;&gt;""),'Data'!$F$994,"")</f>
        <v/>
      </c>
      <c r="Z993" t="n">
        <v>1</v>
      </c>
      <c r="AA993">
        <f>IF(ISNUMBER('IN-CLASS_Lab Part C'!$J$993),'IN-CLASS_Lab Part C'!$J$993,NA())</f>
        <v/>
      </c>
    </row>
    <row r="994">
      <c r="J994">
        <f>IF(AND(ISNUMBER('Data'!$F$995),'Data'!$F$995&lt;&gt;999,'Data'!$F$995&lt;&gt;""),'Data'!$F$995,"")</f>
        <v/>
      </c>
      <c r="Z994" t="n">
        <v>1</v>
      </c>
      <c r="AA994">
        <f>IF(ISNUMBER('IN-CLASS_Lab Part C'!$J$994),'IN-CLASS_Lab Part C'!$J$994,NA())</f>
        <v/>
      </c>
    </row>
    <row r="995">
      <c r="J995">
        <f>IF(AND(ISNUMBER('Data'!$F$996),'Data'!$F$996&lt;&gt;999,'Data'!$F$996&lt;&gt;""),'Data'!$F$996,"")</f>
        <v/>
      </c>
      <c r="Z995" t="n">
        <v>1</v>
      </c>
      <c r="AA995">
        <f>IF(ISNUMBER('IN-CLASS_Lab Part C'!$J$995),'IN-CLASS_Lab Part C'!$J$995,NA())</f>
        <v/>
      </c>
    </row>
    <row r="996">
      <c r="J996">
        <f>IF(AND(ISNUMBER('Data'!$F$997),'Data'!$F$997&lt;&gt;999,'Data'!$F$997&lt;&gt;""),'Data'!$F$997,"")</f>
        <v/>
      </c>
      <c r="Z996" t="n">
        <v>1</v>
      </c>
      <c r="AA996">
        <f>IF(ISNUMBER('IN-CLASS_Lab Part C'!$J$996),'IN-CLASS_Lab Part C'!$J$996,NA())</f>
        <v/>
      </c>
    </row>
    <row r="997">
      <c r="J997">
        <f>IF(AND(ISNUMBER('Data'!$F$998),'Data'!$F$998&lt;&gt;999,'Data'!$F$998&lt;&gt;""),'Data'!$F$998,"")</f>
        <v/>
      </c>
      <c r="Z997" t="n">
        <v>1</v>
      </c>
      <c r="AA997">
        <f>IF(ISNUMBER('IN-CLASS_Lab Part C'!$J$997),'IN-CLASS_Lab Part C'!$J$997,NA())</f>
        <v/>
      </c>
    </row>
    <row r="998">
      <c r="J998">
        <f>IF(AND(ISNUMBER('Data'!$F$999),'Data'!$F$999&lt;&gt;999,'Data'!$F$999&lt;&gt;""),'Data'!$F$999,"")</f>
        <v/>
      </c>
      <c r="Z998" t="n">
        <v>1</v>
      </c>
      <c r="AA998">
        <f>IF(ISNUMBER('IN-CLASS_Lab Part C'!$J$998),'IN-CLASS_Lab Part C'!$J$998,NA())</f>
        <v/>
      </c>
    </row>
    <row r="999">
      <c r="J999">
        <f>IF(AND(ISNUMBER('Data'!$F$1000),'Data'!$F$1000&lt;&gt;999,'Data'!$F$1000&lt;&gt;""),'Data'!$F$1000,"")</f>
        <v/>
      </c>
      <c r="Z999" t="n">
        <v>1</v>
      </c>
      <c r="AA999">
        <f>IF(ISNUMBER('IN-CLASS_Lab Part C'!$J$999),'IN-CLASS_Lab Part C'!$J$999,NA())</f>
        <v/>
      </c>
    </row>
    <row r="1000">
      <c r="J1000">
        <f>IF(AND(ISNUMBER('Data'!$F$1001),'Data'!$F$1001&lt;&gt;999,'Data'!$F$1001&lt;&gt;""),'Data'!$F$1001,"")</f>
        <v/>
      </c>
      <c r="Z1000" t="n">
        <v>1</v>
      </c>
      <c r="AA1000">
        <f>IF(ISNUMBER('IN-CLASS_Lab Part C'!$J$1000),'IN-CLASS_Lab Part C'!$J$1000,NA())</f>
        <v/>
      </c>
    </row>
    <row r="1001">
      <c r="J1001">
        <f>IF(AND(ISNUMBER('Data'!$F$1002),'Data'!$F$1002&lt;&gt;999,'Data'!$F$1002&lt;&gt;""),'Data'!$F$1002,"")</f>
        <v/>
      </c>
      <c r="Z1001" t="n">
        <v>1</v>
      </c>
      <c r="AA1001">
        <f>IF(ISNUMBER('IN-CLASS_Lab Part C'!$J$1001),'IN-CLASS_Lab Part C'!$J$1001,NA())</f>
        <v/>
      </c>
    </row>
    <row r="1002">
      <c r="J1002">
        <f>IF(AND(ISNUMBER('Data'!$F$1003),'Data'!$F$1003&lt;&gt;999,'Data'!$F$1003&lt;&gt;""),'Data'!$F$1003,"")</f>
        <v/>
      </c>
      <c r="Z1002" t="n">
        <v>1</v>
      </c>
      <c r="AA1002">
        <f>IF(ISNUMBER('IN-CLASS_Lab Part C'!$J$1002),'IN-CLASS_Lab Part C'!$J$1002,NA())</f>
        <v/>
      </c>
    </row>
    <row r="1003">
      <c r="J1003">
        <f>IF(AND(ISNUMBER('Data'!$F$1004),'Data'!$F$1004&lt;&gt;999,'Data'!$F$1004&lt;&gt;""),'Data'!$F$1004,"")</f>
        <v/>
      </c>
      <c r="Z1003" t="n">
        <v>1</v>
      </c>
      <c r="AA1003">
        <f>IF(ISNUMBER('IN-CLASS_Lab Part C'!$J$1003),'IN-CLASS_Lab Part C'!$J$1003,NA())</f>
        <v/>
      </c>
    </row>
    <row r="1004">
      <c r="J1004">
        <f>IF(AND(ISNUMBER('Data'!$F$1005),'Data'!$F$1005&lt;&gt;999,'Data'!$F$1005&lt;&gt;""),'Data'!$F$1005,"")</f>
        <v/>
      </c>
      <c r="Z1004" t="n">
        <v>1</v>
      </c>
      <c r="AA1004">
        <f>IF(ISNUMBER('IN-CLASS_Lab Part C'!$J$1004),'IN-CLASS_Lab Part C'!$J$1004,NA())</f>
        <v/>
      </c>
    </row>
    <row r="1005">
      <c r="J1005">
        <f>IF(AND(ISNUMBER('Data'!$F$1006),'Data'!$F$1006&lt;&gt;999,'Data'!$F$1006&lt;&gt;""),'Data'!$F$1006,"")</f>
        <v/>
      </c>
      <c r="Z1005" t="n">
        <v>1</v>
      </c>
      <c r="AA1005">
        <f>IF(ISNUMBER('IN-CLASS_Lab Part C'!$J$1005),'IN-CLASS_Lab Part C'!$J$1005,NA())</f>
        <v/>
      </c>
    </row>
    <row r="1006">
      <c r="J1006">
        <f>IF(AND(ISNUMBER('Data'!$F$1007),'Data'!$F$1007&lt;&gt;999,'Data'!$F$1007&lt;&gt;""),'Data'!$F$1007,"")</f>
        <v/>
      </c>
      <c r="Z1006" t="n">
        <v>1</v>
      </c>
      <c r="AA1006">
        <f>IF(ISNUMBER('IN-CLASS_Lab Part C'!$J$1006),'IN-CLASS_Lab Part C'!$J$1006,NA())</f>
        <v/>
      </c>
    </row>
    <row r="1007">
      <c r="J1007">
        <f>IF(AND(ISNUMBER('Data'!$F$1008),'Data'!$F$1008&lt;&gt;999,'Data'!$F$1008&lt;&gt;""),'Data'!$F$1008,"")</f>
        <v/>
      </c>
      <c r="Z1007" t="n">
        <v>1</v>
      </c>
      <c r="AA1007">
        <f>IF(ISNUMBER('IN-CLASS_Lab Part C'!$J$1007),'IN-CLASS_Lab Part C'!$J$1007,NA())</f>
        <v/>
      </c>
    </row>
    <row r="1008">
      <c r="J1008">
        <f>IF(AND(ISNUMBER('Data'!$F$1009),'Data'!$F$1009&lt;&gt;999,'Data'!$F$1009&lt;&gt;""),'Data'!$F$1009,"")</f>
        <v/>
      </c>
      <c r="Z1008" t="n">
        <v>1</v>
      </c>
      <c r="AA1008">
        <f>IF(ISNUMBER('IN-CLASS_Lab Part C'!$J$1008),'IN-CLASS_Lab Part C'!$J$1008,NA())</f>
        <v/>
      </c>
    </row>
    <row r="1009">
      <c r="J1009">
        <f>IF(AND(ISNUMBER('Data'!$F$1010),'Data'!$F$1010&lt;&gt;999,'Data'!$F$1010&lt;&gt;""),'Data'!$F$1010,"")</f>
        <v/>
      </c>
      <c r="Z1009" t="n">
        <v>1</v>
      </c>
      <c r="AA1009">
        <f>IF(ISNUMBER('IN-CLASS_Lab Part C'!$J$1009),'IN-CLASS_Lab Part C'!$J$1009,NA())</f>
        <v/>
      </c>
    </row>
    <row r="1010">
      <c r="J1010">
        <f>IF(AND(ISNUMBER('Data'!$F$1011),'Data'!$F$1011&lt;&gt;999,'Data'!$F$1011&lt;&gt;""),'Data'!$F$1011,"")</f>
        <v/>
      </c>
      <c r="Z1010" t="n">
        <v>1</v>
      </c>
      <c r="AA1010">
        <f>IF(ISNUMBER('IN-CLASS_Lab Part C'!$J$1010),'IN-CLASS_Lab Part C'!$J$1010,NA())</f>
        <v/>
      </c>
    </row>
    <row r="1011">
      <c r="J1011">
        <f>IF(AND(ISNUMBER('Data'!$F$1012),'Data'!$F$1012&lt;&gt;999,'Data'!$F$1012&lt;&gt;""),'Data'!$F$1012,"")</f>
        <v/>
      </c>
      <c r="Z1011" t="n">
        <v>1</v>
      </c>
      <c r="AA1011">
        <f>IF(ISNUMBER('IN-CLASS_Lab Part C'!$J$1011),'IN-CLASS_Lab Part C'!$J$1011,NA())</f>
        <v/>
      </c>
    </row>
    <row r="1012">
      <c r="J1012">
        <f>IF(AND(ISNUMBER('Data'!$F$1013),'Data'!$F$1013&lt;&gt;999,'Data'!$F$1013&lt;&gt;""),'Data'!$F$1013,"")</f>
        <v/>
      </c>
      <c r="Z1012" t="n">
        <v>1</v>
      </c>
      <c r="AA1012">
        <f>IF(ISNUMBER('IN-CLASS_Lab Part C'!$J$1012),'IN-CLASS_Lab Part C'!$J$1012,NA())</f>
        <v/>
      </c>
    </row>
    <row r="1013">
      <c r="J1013">
        <f>IF(AND(ISNUMBER('Data'!$F$1014),'Data'!$F$1014&lt;&gt;999,'Data'!$F$1014&lt;&gt;""),'Data'!$F$1014,"")</f>
        <v/>
      </c>
      <c r="Z1013" t="n">
        <v>1</v>
      </c>
      <c r="AA1013">
        <f>IF(ISNUMBER('IN-CLASS_Lab Part C'!$J$1013),'IN-CLASS_Lab Part C'!$J$1013,NA())</f>
        <v/>
      </c>
    </row>
    <row r="1014">
      <c r="J1014">
        <f>IF(AND(ISNUMBER('Data'!$F$1015),'Data'!$F$1015&lt;&gt;999,'Data'!$F$1015&lt;&gt;""),'Data'!$F$1015,"")</f>
        <v/>
      </c>
      <c r="Z1014" t="n">
        <v>1</v>
      </c>
      <c r="AA1014">
        <f>IF(ISNUMBER('IN-CLASS_Lab Part C'!$J$1014),'IN-CLASS_Lab Part C'!$J$1014,NA())</f>
        <v/>
      </c>
    </row>
    <row r="1015">
      <c r="J1015">
        <f>IF(AND(ISNUMBER('Data'!$F$1016),'Data'!$F$1016&lt;&gt;999,'Data'!$F$1016&lt;&gt;""),'Data'!$F$1016,"")</f>
        <v/>
      </c>
      <c r="Z1015" t="n">
        <v>1</v>
      </c>
      <c r="AA1015">
        <f>IF(ISNUMBER('IN-CLASS_Lab Part C'!$J$1015),'IN-CLASS_Lab Part C'!$J$1015,NA())</f>
        <v/>
      </c>
    </row>
    <row r="1016">
      <c r="J1016">
        <f>IF(AND(ISNUMBER('Data'!$F$1017),'Data'!$F$1017&lt;&gt;999,'Data'!$F$1017&lt;&gt;""),'Data'!$F$1017,"")</f>
        <v/>
      </c>
      <c r="Z1016" t="n">
        <v>1</v>
      </c>
      <c r="AA1016">
        <f>IF(ISNUMBER('IN-CLASS_Lab Part C'!$J$1016),'IN-CLASS_Lab Part C'!$J$1016,NA())</f>
        <v/>
      </c>
    </row>
    <row r="1017">
      <c r="J1017">
        <f>IF(AND(ISNUMBER('Data'!$F$1018),'Data'!$F$1018&lt;&gt;999,'Data'!$F$1018&lt;&gt;""),'Data'!$F$1018,"")</f>
        <v/>
      </c>
      <c r="Z1017" t="n">
        <v>1</v>
      </c>
      <c r="AA1017">
        <f>IF(ISNUMBER('IN-CLASS_Lab Part C'!$J$1017),'IN-CLASS_Lab Part C'!$J$1017,NA())</f>
        <v/>
      </c>
    </row>
    <row r="1018">
      <c r="J1018">
        <f>IF(AND(ISNUMBER('Data'!$F$1019),'Data'!$F$1019&lt;&gt;999,'Data'!$F$1019&lt;&gt;""),'Data'!$F$1019,"")</f>
        <v/>
      </c>
      <c r="Z1018" t="n">
        <v>1</v>
      </c>
      <c r="AA1018">
        <f>IF(ISNUMBER('IN-CLASS_Lab Part C'!$J$1018),'IN-CLASS_Lab Part C'!$J$1018,NA())</f>
        <v/>
      </c>
    </row>
    <row r="1019">
      <c r="J1019">
        <f>IF(AND(ISNUMBER('Data'!$F$1020),'Data'!$F$1020&lt;&gt;999,'Data'!$F$1020&lt;&gt;""),'Data'!$F$1020,"")</f>
        <v/>
      </c>
      <c r="Z1019" t="n">
        <v>1</v>
      </c>
      <c r="AA1019">
        <f>IF(ISNUMBER('IN-CLASS_Lab Part C'!$J$1019),'IN-CLASS_Lab Part C'!$J$1019,NA())</f>
        <v/>
      </c>
    </row>
    <row r="1020">
      <c r="J1020">
        <f>IF(AND(ISNUMBER('Data'!$F$1021),'Data'!$F$1021&lt;&gt;999,'Data'!$F$1021&lt;&gt;""),'Data'!$F$1021,"")</f>
        <v/>
      </c>
      <c r="Z1020" t="n">
        <v>1</v>
      </c>
      <c r="AA1020">
        <f>IF(ISNUMBER('IN-CLASS_Lab Part C'!$J$1020),'IN-CLASS_Lab Part C'!$J$1020,NA())</f>
        <v/>
      </c>
    </row>
    <row r="1021">
      <c r="J1021">
        <f>IF(AND(ISNUMBER('Data'!$F$1022),'Data'!$F$1022&lt;&gt;999,'Data'!$F$1022&lt;&gt;""),'Data'!$F$1022,"")</f>
        <v/>
      </c>
      <c r="Z1021" t="n">
        <v>1</v>
      </c>
      <c r="AA1021">
        <f>IF(ISNUMBER('IN-CLASS_Lab Part C'!$J$1021),'IN-CLASS_Lab Part C'!$J$1021,NA())</f>
        <v/>
      </c>
    </row>
    <row r="1022">
      <c r="J1022">
        <f>IF(AND(ISNUMBER('Data'!$F$1023),'Data'!$F$1023&lt;&gt;999,'Data'!$F$1023&lt;&gt;""),'Data'!$F$1023,"")</f>
        <v/>
      </c>
      <c r="Z1022" t="n">
        <v>1</v>
      </c>
      <c r="AA1022">
        <f>IF(ISNUMBER('IN-CLASS_Lab Part C'!$J$1022),'IN-CLASS_Lab Part C'!$J$1022,NA())</f>
        <v/>
      </c>
    </row>
    <row r="1023">
      <c r="J1023">
        <f>IF(AND(ISNUMBER('Data'!$F$1024),'Data'!$F$1024&lt;&gt;999,'Data'!$F$1024&lt;&gt;""),'Data'!$F$1024,"")</f>
        <v/>
      </c>
      <c r="Z1023" t="n">
        <v>1</v>
      </c>
      <c r="AA1023">
        <f>IF(ISNUMBER('IN-CLASS_Lab Part C'!$J$1023),'IN-CLASS_Lab Part C'!$J$1023,NA())</f>
        <v/>
      </c>
    </row>
    <row r="1024">
      <c r="J1024">
        <f>IF(AND(ISNUMBER('Data'!$F$1025),'Data'!$F$1025&lt;&gt;999,'Data'!$F$1025&lt;&gt;""),'Data'!$F$1025,"")</f>
        <v/>
      </c>
      <c r="Z1024" t="n">
        <v>1</v>
      </c>
      <c r="AA1024">
        <f>IF(ISNUMBER('IN-CLASS_Lab Part C'!$J$1024),'IN-CLASS_Lab Part C'!$J$1024,NA())</f>
        <v/>
      </c>
    </row>
    <row r="1025">
      <c r="J1025">
        <f>IF(AND(ISNUMBER('Data'!$F$1026),'Data'!$F$1026&lt;&gt;999,'Data'!$F$1026&lt;&gt;""),'Data'!$F$1026,"")</f>
        <v/>
      </c>
      <c r="Z1025" t="n">
        <v>1</v>
      </c>
      <c r="AA1025">
        <f>IF(ISNUMBER('IN-CLASS_Lab Part C'!$J$1025),'IN-CLASS_Lab Part C'!$J$1025,NA())</f>
        <v/>
      </c>
    </row>
    <row r="1026">
      <c r="J1026">
        <f>IF(AND(ISNUMBER('Data'!$F$1027),'Data'!$F$1027&lt;&gt;999,'Data'!$F$1027&lt;&gt;""),'Data'!$F$1027,"")</f>
        <v/>
      </c>
      <c r="Z1026" t="n">
        <v>1</v>
      </c>
      <c r="AA1026">
        <f>IF(ISNUMBER('IN-CLASS_Lab Part C'!$J$1026),'IN-CLASS_Lab Part C'!$J$1026,NA())</f>
        <v/>
      </c>
    </row>
    <row r="1027">
      <c r="J1027">
        <f>IF(AND(ISNUMBER('Data'!$F$1028),'Data'!$F$1028&lt;&gt;999,'Data'!$F$1028&lt;&gt;""),'Data'!$F$1028,"")</f>
        <v/>
      </c>
      <c r="Z1027" t="n">
        <v>1</v>
      </c>
      <c r="AA1027">
        <f>IF(ISNUMBER('IN-CLASS_Lab Part C'!$J$1027),'IN-CLASS_Lab Part C'!$J$1027,NA())</f>
        <v/>
      </c>
    </row>
    <row r="1028">
      <c r="J1028">
        <f>IF(AND(ISNUMBER('Data'!$F$1029),'Data'!$F$1029&lt;&gt;999,'Data'!$F$1029&lt;&gt;""),'Data'!$F$1029,"")</f>
        <v/>
      </c>
      <c r="Z1028" t="n">
        <v>1</v>
      </c>
      <c r="AA1028">
        <f>IF(ISNUMBER('IN-CLASS_Lab Part C'!$J$1028),'IN-CLASS_Lab Part C'!$J$1028,NA())</f>
        <v/>
      </c>
    </row>
    <row r="1029">
      <c r="J1029">
        <f>IF(AND(ISNUMBER('Data'!$F$1030),'Data'!$F$1030&lt;&gt;999,'Data'!$F$1030&lt;&gt;""),'Data'!$F$1030,"")</f>
        <v/>
      </c>
      <c r="Z1029" t="n">
        <v>1</v>
      </c>
      <c r="AA1029">
        <f>IF(ISNUMBER('IN-CLASS_Lab Part C'!$J$1029),'IN-CLASS_Lab Part C'!$J$1029,NA())</f>
        <v/>
      </c>
    </row>
    <row r="1030">
      <c r="J1030">
        <f>IF(AND(ISNUMBER('Data'!$F$1031),'Data'!$F$1031&lt;&gt;999,'Data'!$F$1031&lt;&gt;""),'Data'!$F$1031,"")</f>
        <v/>
      </c>
      <c r="Z1030" t="n">
        <v>1</v>
      </c>
      <c r="AA1030">
        <f>IF(ISNUMBER('IN-CLASS_Lab Part C'!$J$1030),'IN-CLASS_Lab Part C'!$J$1030,NA())</f>
        <v/>
      </c>
    </row>
    <row r="1031">
      <c r="J1031">
        <f>IF(AND(ISNUMBER('Data'!$F$1032),'Data'!$F$1032&lt;&gt;999,'Data'!$F$1032&lt;&gt;""),'Data'!$F$1032,"")</f>
        <v/>
      </c>
      <c r="Z1031" t="n">
        <v>1</v>
      </c>
      <c r="AA1031">
        <f>IF(ISNUMBER('IN-CLASS_Lab Part C'!$J$1031),'IN-CLASS_Lab Part C'!$J$1031,NA())</f>
        <v/>
      </c>
    </row>
    <row r="1032">
      <c r="J1032">
        <f>IF(AND(ISNUMBER('Data'!$F$1033),'Data'!$F$1033&lt;&gt;999,'Data'!$F$1033&lt;&gt;""),'Data'!$F$1033,"")</f>
        <v/>
      </c>
      <c r="Z1032" t="n">
        <v>1</v>
      </c>
      <c r="AA1032">
        <f>IF(ISNUMBER('IN-CLASS_Lab Part C'!$J$1032),'IN-CLASS_Lab Part C'!$J$1032,NA())</f>
        <v/>
      </c>
    </row>
    <row r="1033">
      <c r="J1033">
        <f>IF(AND(ISNUMBER('Data'!$F$1034),'Data'!$F$1034&lt;&gt;999,'Data'!$F$1034&lt;&gt;""),'Data'!$F$1034,"")</f>
        <v/>
      </c>
      <c r="Z1033" t="n">
        <v>1</v>
      </c>
      <c r="AA1033">
        <f>IF(ISNUMBER('IN-CLASS_Lab Part C'!$J$1033),'IN-CLASS_Lab Part C'!$J$1033,NA())</f>
        <v/>
      </c>
    </row>
    <row r="1034">
      <c r="J1034">
        <f>IF(AND(ISNUMBER('Data'!$F$1035),'Data'!$F$1035&lt;&gt;999,'Data'!$F$1035&lt;&gt;""),'Data'!$F$1035,"")</f>
        <v/>
      </c>
      <c r="Z1034" t="n">
        <v>1</v>
      </c>
      <c r="AA1034">
        <f>IF(ISNUMBER('IN-CLASS_Lab Part C'!$J$1034),'IN-CLASS_Lab Part C'!$J$1034,NA())</f>
        <v/>
      </c>
    </row>
    <row r="1035">
      <c r="J1035">
        <f>IF(AND(ISNUMBER('Data'!$F$1036),'Data'!$F$1036&lt;&gt;999,'Data'!$F$1036&lt;&gt;""),'Data'!$F$1036,"")</f>
        <v/>
      </c>
      <c r="Z1035" t="n">
        <v>1</v>
      </c>
      <c r="AA1035">
        <f>IF(ISNUMBER('IN-CLASS_Lab Part C'!$J$1035),'IN-CLASS_Lab Part C'!$J$1035,NA())</f>
        <v/>
      </c>
    </row>
    <row r="1036">
      <c r="J1036">
        <f>IF(AND(ISNUMBER('Data'!$F$1037),'Data'!$F$1037&lt;&gt;999,'Data'!$F$1037&lt;&gt;""),'Data'!$F$1037,"")</f>
        <v/>
      </c>
      <c r="Z1036" t="n">
        <v>1</v>
      </c>
      <c r="AA1036">
        <f>IF(ISNUMBER('IN-CLASS_Lab Part C'!$J$1036),'IN-CLASS_Lab Part C'!$J$1036,NA())</f>
        <v/>
      </c>
    </row>
    <row r="1037">
      <c r="J1037">
        <f>IF(AND(ISNUMBER('Data'!$F$1038),'Data'!$F$1038&lt;&gt;999,'Data'!$F$1038&lt;&gt;""),'Data'!$F$1038,"")</f>
        <v/>
      </c>
      <c r="Z1037" t="n">
        <v>1</v>
      </c>
      <c r="AA1037">
        <f>IF(ISNUMBER('IN-CLASS_Lab Part C'!$J$1037),'IN-CLASS_Lab Part C'!$J$1037,NA())</f>
        <v/>
      </c>
    </row>
    <row r="1038">
      <c r="J1038">
        <f>IF(AND(ISNUMBER('Data'!$F$1039),'Data'!$F$1039&lt;&gt;999,'Data'!$F$1039&lt;&gt;""),'Data'!$F$1039,"")</f>
        <v/>
      </c>
      <c r="Z1038" t="n">
        <v>1</v>
      </c>
      <c r="AA1038">
        <f>IF(ISNUMBER('IN-CLASS_Lab Part C'!$J$1038),'IN-CLASS_Lab Part C'!$J$1038,NA())</f>
        <v/>
      </c>
    </row>
    <row r="1039">
      <c r="J1039">
        <f>IF(AND(ISNUMBER('Data'!$F$1040),'Data'!$F$1040&lt;&gt;999,'Data'!$F$1040&lt;&gt;""),'Data'!$F$1040,"")</f>
        <v/>
      </c>
      <c r="Z1039" t="n">
        <v>1</v>
      </c>
      <c r="AA1039">
        <f>IF(ISNUMBER('IN-CLASS_Lab Part C'!$J$1039),'IN-CLASS_Lab Part C'!$J$1039,NA())</f>
        <v/>
      </c>
    </row>
    <row r="1040">
      <c r="J1040">
        <f>IF(AND(ISNUMBER('Data'!$F$1041),'Data'!$F$1041&lt;&gt;999,'Data'!$F$1041&lt;&gt;""),'Data'!$F$1041,"")</f>
        <v/>
      </c>
      <c r="Z1040" t="n">
        <v>1</v>
      </c>
      <c r="AA1040">
        <f>IF(ISNUMBER('IN-CLASS_Lab Part C'!$J$1040),'IN-CLASS_Lab Part C'!$J$1040,NA())</f>
        <v/>
      </c>
    </row>
    <row r="1041">
      <c r="J1041">
        <f>IF(AND(ISNUMBER('Data'!$F$1042),'Data'!$F$1042&lt;&gt;999,'Data'!$F$1042&lt;&gt;""),'Data'!$F$1042,"")</f>
        <v/>
      </c>
      <c r="Z1041" t="n">
        <v>1</v>
      </c>
      <c r="AA1041">
        <f>IF(ISNUMBER('IN-CLASS_Lab Part C'!$J$1041),'IN-CLASS_Lab Part C'!$J$1041,NA())</f>
        <v/>
      </c>
    </row>
    <row r="1042">
      <c r="J1042">
        <f>IF(AND(ISNUMBER('Data'!$F$1043),'Data'!$F$1043&lt;&gt;999,'Data'!$F$1043&lt;&gt;""),'Data'!$F$1043,"")</f>
        <v/>
      </c>
      <c r="Z1042" t="n">
        <v>1</v>
      </c>
      <c r="AA1042">
        <f>IF(ISNUMBER('IN-CLASS_Lab Part C'!$J$1042),'IN-CLASS_Lab Part C'!$J$1042,NA())</f>
        <v/>
      </c>
    </row>
    <row r="1043">
      <c r="J1043">
        <f>IF(AND(ISNUMBER('Data'!$F$1044),'Data'!$F$1044&lt;&gt;999,'Data'!$F$1044&lt;&gt;""),'Data'!$F$1044,"")</f>
        <v/>
      </c>
      <c r="Z1043" t="n">
        <v>1</v>
      </c>
      <c r="AA1043">
        <f>IF(ISNUMBER('IN-CLASS_Lab Part C'!$J$1043),'IN-CLASS_Lab Part C'!$J$1043,NA())</f>
        <v/>
      </c>
    </row>
    <row r="1044">
      <c r="J1044">
        <f>IF(AND(ISNUMBER('Data'!$F$1045),'Data'!$F$1045&lt;&gt;999,'Data'!$F$1045&lt;&gt;""),'Data'!$F$1045,"")</f>
        <v/>
      </c>
      <c r="Z1044" t="n">
        <v>1</v>
      </c>
      <c r="AA1044">
        <f>IF(ISNUMBER('IN-CLASS_Lab Part C'!$J$1044),'IN-CLASS_Lab Part C'!$J$1044,NA())</f>
        <v/>
      </c>
    </row>
    <row r="1045">
      <c r="J1045">
        <f>IF(AND(ISNUMBER('Data'!$F$1046),'Data'!$F$1046&lt;&gt;999,'Data'!$F$1046&lt;&gt;""),'Data'!$F$1046,"")</f>
        <v/>
      </c>
      <c r="Z1045" t="n">
        <v>1</v>
      </c>
      <c r="AA1045">
        <f>IF(ISNUMBER('IN-CLASS_Lab Part C'!$J$1045),'IN-CLASS_Lab Part C'!$J$1045,NA())</f>
        <v/>
      </c>
    </row>
    <row r="1046">
      <c r="J1046">
        <f>IF(AND(ISNUMBER('Data'!$F$1047),'Data'!$F$1047&lt;&gt;999,'Data'!$F$1047&lt;&gt;""),'Data'!$F$1047,"")</f>
        <v/>
      </c>
      <c r="Z1046" t="n">
        <v>1</v>
      </c>
      <c r="AA1046">
        <f>IF(ISNUMBER('IN-CLASS_Lab Part C'!$J$1046),'IN-CLASS_Lab Part C'!$J$1046,NA())</f>
        <v/>
      </c>
    </row>
    <row r="1047">
      <c r="J1047">
        <f>IF(AND(ISNUMBER('Data'!$F$1048),'Data'!$F$1048&lt;&gt;999,'Data'!$F$1048&lt;&gt;""),'Data'!$F$1048,"")</f>
        <v/>
      </c>
      <c r="Z1047" t="n">
        <v>1</v>
      </c>
      <c r="AA1047">
        <f>IF(ISNUMBER('IN-CLASS_Lab Part C'!$J$1047),'IN-CLASS_Lab Part C'!$J$1047,NA())</f>
        <v/>
      </c>
    </row>
    <row r="1048">
      <c r="J1048">
        <f>IF(AND(ISNUMBER('Data'!$F$1049),'Data'!$F$1049&lt;&gt;999,'Data'!$F$1049&lt;&gt;""),'Data'!$F$1049,"")</f>
        <v/>
      </c>
      <c r="Z1048" t="n">
        <v>1</v>
      </c>
      <c r="AA1048">
        <f>IF(ISNUMBER('IN-CLASS_Lab Part C'!$J$1048),'IN-CLASS_Lab Part C'!$J$1048,NA())</f>
        <v/>
      </c>
    </row>
    <row r="1049">
      <c r="J1049">
        <f>IF(AND(ISNUMBER('Data'!$F$1050),'Data'!$F$1050&lt;&gt;999,'Data'!$F$1050&lt;&gt;""),'Data'!$F$1050,"")</f>
        <v/>
      </c>
      <c r="Z1049" t="n">
        <v>1</v>
      </c>
      <c r="AA1049">
        <f>IF(ISNUMBER('IN-CLASS_Lab Part C'!$J$1049),'IN-CLASS_Lab Part C'!$J$1049,NA())</f>
        <v/>
      </c>
    </row>
    <row r="1050">
      <c r="J1050">
        <f>IF(AND(ISNUMBER('Data'!$F$1051),'Data'!$F$1051&lt;&gt;999,'Data'!$F$1051&lt;&gt;""),'Data'!$F$1051,"")</f>
        <v/>
      </c>
      <c r="Z1050" t="n">
        <v>1</v>
      </c>
      <c r="AA1050">
        <f>IF(ISNUMBER('IN-CLASS_Lab Part C'!$J$1050),'IN-CLASS_Lab Part C'!$J$1050,NA())</f>
        <v/>
      </c>
    </row>
    <row r="1051">
      <c r="J1051">
        <f>IF(AND(ISNUMBER('Data'!$F$1052),'Data'!$F$1052&lt;&gt;999,'Data'!$F$1052&lt;&gt;""),'Data'!$F$1052,"")</f>
        <v/>
      </c>
      <c r="Z1051" t="n">
        <v>1</v>
      </c>
      <c r="AA1051">
        <f>IF(ISNUMBER('IN-CLASS_Lab Part C'!$J$1051),'IN-CLASS_Lab Part C'!$J$1051,NA())</f>
        <v/>
      </c>
    </row>
    <row r="1052">
      <c r="J1052">
        <f>IF(AND(ISNUMBER('Data'!$F$1053),'Data'!$F$1053&lt;&gt;999,'Data'!$F$1053&lt;&gt;""),'Data'!$F$1053,"")</f>
        <v/>
      </c>
      <c r="Z1052" t="n">
        <v>1</v>
      </c>
      <c r="AA1052">
        <f>IF(ISNUMBER('IN-CLASS_Lab Part C'!$J$1052),'IN-CLASS_Lab Part C'!$J$1052,NA())</f>
        <v/>
      </c>
    </row>
    <row r="1053">
      <c r="J1053">
        <f>IF(AND(ISNUMBER('Data'!$F$1054),'Data'!$F$1054&lt;&gt;999,'Data'!$F$1054&lt;&gt;""),'Data'!$F$1054,"")</f>
        <v/>
      </c>
      <c r="Z1053" t="n">
        <v>1</v>
      </c>
      <c r="AA1053">
        <f>IF(ISNUMBER('IN-CLASS_Lab Part C'!$J$1053),'IN-CLASS_Lab Part C'!$J$1053,NA())</f>
        <v/>
      </c>
    </row>
    <row r="1054">
      <c r="J1054">
        <f>IF(AND(ISNUMBER('Data'!$F$1055),'Data'!$F$1055&lt;&gt;999,'Data'!$F$1055&lt;&gt;""),'Data'!$F$1055,"")</f>
        <v/>
      </c>
      <c r="Z1054" t="n">
        <v>1</v>
      </c>
      <c r="AA1054">
        <f>IF(ISNUMBER('IN-CLASS_Lab Part C'!$J$1054),'IN-CLASS_Lab Part C'!$J$1054,NA())</f>
        <v/>
      </c>
    </row>
    <row r="1055">
      <c r="J1055">
        <f>IF(AND(ISNUMBER('Data'!$F$1056),'Data'!$F$1056&lt;&gt;999,'Data'!$F$1056&lt;&gt;""),'Data'!$F$1056,"")</f>
        <v/>
      </c>
      <c r="Z1055" t="n">
        <v>1</v>
      </c>
      <c r="AA1055">
        <f>IF(ISNUMBER('IN-CLASS_Lab Part C'!$J$1055),'IN-CLASS_Lab Part C'!$J$1055,NA())</f>
        <v/>
      </c>
    </row>
    <row r="1056">
      <c r="J1056">
        <f>IF(AND(ISNUMBER('Data'!$F$1057),'Data'!$F$1057&lt;&gt;999,'Data'!$F$1057&lt;&gt;""),'Data'!$F$1057,"")</f>
        <v/>
      </c>
      <c r="Z1056" t="n">
        <v>1</v>
      </c>
      <c r="AA1056">
        <f>IF(ISNUMBER('IN-CLASS_Lab Part C'!$J$1056),'IN-CLASS_Lab Part C'!$J$1056,NA())</f>
        <v/>
      </c>
    </row>
    <row r="1057">
      <c r="J1057">
        <f>IF(AND(ISNUMBER('Data'!$F$1058),'Data'!$F$1058&lt;&gt;999,'Data'!$F$1058&lt;&gt;""),'Data'!$F$1058,"")</f>
        <v/>
      </c>
      <c r="Z1057" t="n">
        <v>1</v>
      </c>
      <c r="AA1057">
        <f>IF(ISNUMBER('IN-CLASS_Lab Part C'!$J$1057),'IN-CLASS_Lab Part C'!$J$1057,NA())</f>
        <v/>
      </c>
    </row>
    <row r="1058">
      <c r="J1058">
        <f>IF(AND(ISNUMBER('Data'!$F$1059),'Data'!$F$1059&lt;&gt;999,'Data'!$F$1059&lt;&gt;""),'Data'!$F$1059,"")</f>
        <v/>
      </c>
      <c r="Z1058" t="n">
        <v>1</v>
      </c>
      <c r="AA1058">
        <f>IF(ISNUMBER('IN-CLASS_Lab Part C'!$J$1058),'IN-CLASS_Lab Part C'!$J$1058,NA())</f>
        <v/>
      </c>
    </row>
    <row r="1059">
      <c r="J1059">
        <f>IF(AND(ISNUMBER('Data'!$F$1060),'Data'!$F$1060&lt;&gt;999,'Data'!$F$1060&lt;&gt;""),'Data'!$F$1060,"")</f>
        <v/>
      </c>
      <c r="Z1059" t="n">
        <v>1</v>
      </c>
      <c r="AA1059">
        <f>IF(ISNUMBER('IN-CLASS_Lab Part C'!$J$1059),'IN-CLASS_Lab Part C'!$J$1059,NA())</f>
        <v/>
      </c>
    </row>
    <row r="1060">
      <c r="J1060">
        <f>IF(AND(ISNUMBER('Data'!$F$1061),'Data'!$F$1061&lt;&gt;999,'Data'!$F$1061&lt;&gt;""),'Data'!$F$1061,"")</f>
        <v/>
      </c>
      <c r="Z1060" t="n">
        <v>1</v>
      </c>
      <c r="AA1060">
        <f>IF(ISNUMBER('IN-CLASS_Lab Part C'!$J$1060),'IN-CLASS_Lab Part C'!$J$1060,NA())</f>
        <v/>
      </c>
    </row>
    <row r="1061">
      <c r="J1061">
        <f>IF(AND(ISNUMBER('Data'!$F$1062),'Data'!$F$1062&lt;&gt;999,'Data'!$F$1062&lt;&gt;""),'Data'!$F$1062,"")</f>
        <v/>
      </c>
      <c r="Z1061" t="n">
        <v>1</v>
      </c>
      <c r="AA1061">
        <f>IF(ISNUMBER('IN-CLASS_Lab Part C'!$J$1061),'IN-CLASS_Lab Part C'!$J$1061,NA())</f>
        <v/>
      </c>
    </row>
    <row r="1062">
      <c r="J1062">
        <f>IF(AND(ISNUMBER('Data'!$F$1063),'Data'!$F$1063&lt;&gt;999,'Data'!$F$1063&lt;&gt;""),'Data'!$F$1063,"")</f>
        <v/>
      </c>
      <c r="Z1062" t="n">
        <v>1</v>
      </c>
      <c r="AA1062">
        <f>IF(ISNUMBER('IN-CLASS_Lab Part C'!$J$1062),'IN-CLASS_Lab Part C'!$J$1062,NA())</f>
        <v/>
      </c>
    </row>
    <row r="1063">
      <c r="J1063">
        <f>IF(AND(ISNUMBER('Data'!$F$1064),'Data'!$F$1064&lt;&gt;999,'Data'!$F$1064&lt;&gt;""),'Data'!$F$1064,"")</f>
        <v/>
      </c>
      <c r="Z1063" t="n">
        <v>1</v>
      </c>
      <c r="AA1063">
        <f>IF(ISNUMBER('IN-CLASS_Lab Part C'!$J$1063),'IN-CLASS_Lab Part C'!$J$1063,NA())</f>
        <v/>
      </c>
    </row>
    <row r="1064">
      <c r="J1064">
        <f>IF(AND(ISNUMBER('Data'!$F$1065),'Data'!$F$1065&lt;&gt;999,'Data'!$F$1065&lt;&gt;""),'Data'!$F$1065,"")</f>
        <v/>
      </c>
      <c r="Z1064" t="n">
        <v>1</v>
      </c>
      <c r="AA1064">
        <f>IF(ISNUMBER('IN-CLASS_Lab Part C'!$J$1064),'IN-CLASS_Lab Part C'!$J$1064,NA())</f>
        <v/>
      </c>
    </row>
    <row r="1065">
      <c r="J1065">
        <f>IF(AND(ISNUMBER('Data'!$F$1066),'Data'!$F$1066&lt;&gt;999,'Data'!$F$1066&lt;&gt;""),'Data'!$F$1066,"")</f>
        <v/>
      </c>
      <c r="Z1065" t="n">
        <v>1</v>
      </c>
      <c r="AA1065">
        <f>IF(ISNUMBER('IN-CLASS_Lab Part C'!$J$1065),'IN-CLASS_Lab Part C'!$J$1065,NA())</f>
        <v/>
      </c>
    </row>
    <row r="1066">
      <c r="J1066">
        <f>IF(AND(ISNUMBER('Data'!$F$1067),'Data'!$F$1067&lt;&gt;999,'Data'!$F$1067&lt;&gt;""),'Data'!$F$1067,"")</f>
        <v/>
      </c>
      <c r="Z1066" t="n">
        <v>1</v>
      </c>
      <c r="AA1066">
        <f>IF(ISNUMBER('IN-CLASS_Lab Part C'!$J$1066),'IN-CLASS_Lab Part C'!$J$1066,NA())</f>
        <v/>
      </c>
    </row>
    <row r="1067">
      <c r="J1067">
        <f>IF(AND(ISNUMBER('Data'!$F$1068),'Data'!$F$1068&lt;&gt;999,'Data'!$F$1068&lt;&gt;""),'Data'!$F$1068,"")</f>
        <v/>
      </c>
      <c r="Z1067" t="n">
        <v>1</v>
      </c>
      <c r="AA1067">
        <f>IF(ISNUMBER('IN-CLASS_Lab Part C'!$J$1067),'IN-CLASS_Lab Part C'!$J$1067,NA())</f>
        <v/>
      </c>
    </row>
    <row r="1068">
      <c r="J1068">
        <f>IF(AND(ISNUMBER('Data'!$F$1069),'Data'!$F$1069&lt;&gt;999,'Data'!$F$1069&lt;&gt;""),'Data'!$F$1069,"")</f>
        <v/>
      </c>
      <c r="Z1068" t="n">
        <v>1</v>
      </c>
      <c r="AA1068">
        <f>IF(ISNUMBER('IN-CLASS_Lab Part C'!$J$1068),'IN-CLASS_Lab Part C'!$J$1068,NA())</f>
        <v/>
      </c>
    </row>
    <row r="1069">
      <c r="J1069">
        <f>IF(AND(ISNUMBER('Data'!$F$1070),'Data'!$F$1070&lt;&gt;999,'Data'!$F$1070&lt;&gt;""),'Data'!$F$1070,"")</f>
        <v/>
      </c>
      <c r="Z1069" t="n">
        <v>1</v>
      </c>
      <c r="AA1069">
        <f>IF(ISNUMBER('IN-CLASS_Lab Part C'!$J$1069),'IN-CLASS_Lab Part C'!$J$1069,NA())</f>
        <v/>
      </c>
    </row>
    <row r="1070">
      <c r="J1070">
        <f>IF(AND(ISNUMBER('Data'!$F$1071),'Data'!$F$1071&lt;&gt;999,'Data'!$F$1071&lt;&gt;""),'Data'!$F$1071,"")</f>
        <v/>
      </c>
      <c r="Z1070" t="n">
        <v>1</v>
      </c>
      <c r="AA1070">
        <f>IF(ISNUMBER('IN-CLASS_Lab Part C'!$J$1070),'IN-CLASS_Lab Part C'!$J$1070,NA())</f>
        <v/>
      </c>
    </row>
    <row r="1071">
      <c r="J1071">
        <f>IF(AND(ISNUMBER('Data'!$F$1072),'Data'!$F$1072&lt;&gt;999,'Data'!$F$1072&lt;&gt;""),'Data'!$F$1072,"")</f>
        <v/>
      </c>
      <c r="Z1071" t="n">
        <v>1</v>
      </c>
      <c r="AA1071">
        <f>IF(ISNUMBER('IN-CLASS_Lab Part C'!$J$1071),'IN-CLASS_Lab Part C'!$J$1071,NA())</f>
        <v/>
      </c>
    </row>
    <row r="1072">
      <c r="J1072">
        <f>IF(AND(ISNUMBER('Data'!$F$1073),'Data'!$F$1073&lt;&gt;999,'Data'!$F$1073&lt;&gt;""),'Data'!$F$1073,"")</f>
        <v/>
      </c>
      <c r="Z1072" t="n">
        <v>1</v>
      </c>
      <c r="AA1072">
        <f>IF(ISNUMBER('IN-CLASS_Lab Part C'!$J$1072),'IN-CLASS_Lab Part C'!$J$1072,NA())</f>
        <v/>
      </c>
    </row>
    <row r="1073">
      <c r="J1073">
        <f>IF(AND(ISNUMBER('Data'!$F$1074),'Data'!$F$1074&lt;&gt;999,'Data'!$F$1074&lt;&gt;""),'Data'!$F$1074,"")</f>
        <v/>
      </c>
      <c r="Z1073" t="n">
        <v>1</v>
      </c>
      <c r="AA1073">
        <f>IF(ISNUMBER('IN-CLASS_Lab Part C'!$J$1073),'IN-CLASS_Lab Part C'!$J$1073,NA())</f>
        <v/>
      </c>
    </row>
    <row r="1074">
      <c r="J1074">
        <f>IF(AND(ISNUMBER('Data'!$F$1075),'Data'!$F$1075&lt;&gt;999,'Data'!$F$1075&lt;&gt;""),'Data'!$F$1075,"")</f>
        <v/>
      </c>
      <c r="Z1074" t="n">
        <v>1</v>
      </c>
      <c r="AA1074">
        <f>IF(ISNUMBER('IN-CLASS_Lab Part C'!$J$1074),'IN-CLASS_Lab Part C'!$J$1074,NA())</f>
        <v/>
      </c>
    </row>
    <row r="1075">
      <c r="J1075">
        <f>IF(AND(ISNUMBER('Data'!$F$1076),'Data'!$F$1076&lt;&gt;999,'Data'!$F$1076&lt;&gt;""),'Data'!$F$1076,"")</f>
        <v/>
      </c>
      <c r="Z1075" t="n">
        <v>1</v>
      </c>
      <c r="AA1075">
        <f>IF(ISNUMBER('IN-CLASS_Lab Part C'!$J$1075),'IN-CLASS_Lab Part C'!$J$1075,NA())</f>
        <v/>
      </c>
    </row>
    <row r="1076">
      <c r="J1076">
        <f>IF(AND(ISNUMBER('Data'!$F$1077),'Data'!$F$1077&lt;&gt;999,'Data'!$F$1077&lt;&gt;""),'Data'!$F$1077,"")</f>
        <v/>
      </c>
      <c r="Z1076" t="n">
        <v>1</v>
      </c>
      <c r="AA1076">
        <f>IF(ISNUMBER('IN-CLASS_Lab Part C'!$J$1076),'IN-CLASS_Lab Part C'!$J$1076,NA())</f>
        <v/>
      </c>
    </row>
    <row r="1077">
      <c r="J1077">
        <f>IF(AND(ISNUMBER('Data'!$F$1078),'Data'!$F$1078&lt;&gt;999,'Data'!$F$1078&lt;&gt;""),'Data'!$F$1078,"")</f>
        <v/>
      </c>
      <c r="Z1077" t="n">
        <v>1</v>
      </c>
      <c r="AA1077">
        <f>IF(ISNUMBER('IN-CLASS_Lab Part C'!$J$1077),'IN-CLASS_Lab Part C'!$J$1077,NA())</f>
        <v/>
      </c>
    </row>
    <row r="1078">
      <c r="J1078">
        <f>IF(AND(ISNUMBER('Data'!$F$1079),'Data'!$F$1079&lt;&gt;999,'Data'!$F$1079&lt;&gt;""),'Data'!$F$1079,"")</f>
        <v/>
      </c>
      <c r="Z1078" t="n">
        <v>1</v>
      </c>
      <c r="AA1078">
        <f>IF(ISNUMBER('IN-CLASS_Lab Part C'!$J$1078),'IN-CLASS_Lab Part C'!$J$1078,NA())</f>
        <v/>
      </c>
    </row>
    <row r="1079">
      <c r="J1079">
        <f>IF(AND(ISNUMBER('Data'!$F$1080),'Data'!$F$1080&lt;&gt;999,'Data'!$F$1080&lt;&gt;""),'Data'!$F$1080,"")</f>
        <v/>
      </c>
      <c r="Z1079" t="n">
        <v>1</v>
      </c>
      <c r="AA1079">
        <f>IF(ISNUMBER('IN-CLASS_Lab Part C'!$J$1079),'IN-CLASS_Lab Part C'!$J$1079,NA())</f>
        <v/>
      </c>
    </row>
    <row r="1080">
      <c r="J1080">
        <f>IF(AND(ISNUMBER('Data'!$F$1081),'Data'!$F$1081&lt;&gt;999,'Data'!$F$1081&lt;&gt;""),'Data'!$F$1081,"")</f>
        <v/>
      </c>
      <c r="Z1080" t="n">
        <v>1</v>
      </c>
      <c r="AA1080">
        <f>IF(ISNUMBER('IN-CLASS_Lab Part C'!$J$1080),'IN-CLASS_Lab Part C'!$J$1080,NA())</f>
        <v/>
      </c>
    </row>
    <row r="1081">
      <c r="J1081">
        <f>IF(AND(ISNUMBER('Data'!$F$1082),'Data'!$F$1082&lt;&gt;999,'Data'!$F$1082&lt;&gt;""),'Data'!$F$1082,"")</f>
        <v/>
      </c>
      <c r="Z1081" t="n">
        <v>1</v>
      </c>
      <c r="AA1081">
        <f>IF(ISNUMBER('IN-CLASS_Lab Part C'!$J$1081),'IN-CLASS_Lab Part C'!$J$1081,NA())</f>
        <v/>
      </c>
    </row>
    <row r="1082">
      <c r="J1082">
        <f>IF(AND(ISNUMBER('Data'!$F$1083),'Data'!$F$1083&lt;&gt;999,'Data'!$F$1083&lt;&gt;""),'Data'!$F$1083,"")</f>
        <v/>
      </c>
      <c r="Z1082" t="n">
        <v>1</v>
      </c>
      <c r="AA1082">
        <f>IF(ISNUMBER('IN-CLASS_Lab Part C'!$J$1082),'IN-CLASS_Lab Part C'!$J$1082,NA())</f>
        <v/>
      </c>
    </row>
    <row r="1083">
      <c r="J1083">
        <f>IF(AND(ISNUMBER('Data'!$F$1084),'Data'!$F$1084&lt;&gt;999,'Data'!$F$1084&lt;&gt;""),'Data'!$F$1084,"")</f>
        <v/>
      </c>
      <c r="Z1083" t="n">
        <v>1</v>
      </c>
      <c r="AA1083">
        <f>IF(ISNUMBER('IN-CLASS_Lab Part C'!$J$1083),'IN-CLASS_Lab Part C'!$J$1083,NA())</f>
        <v/>
      </c>
    </row>
    <row r="1084">
      <c r="J1084">
        <f>IF(AND(ISNUMBER('Data'!$F$1085),'Data'!$F$1085&lt;&gt;999,'Data'!$F$1085&lt;&gt;""),'Data'!$F$1085,"")</f>
        <v/>
      </c>
      <c r="Z1084" t="n">
        <v>1</v>
      </c>
      <c r="AA1084">
        <f>IF(ISNUMBER('IN-CLASS_Lab Part C'!$J$1084),'IN-CLASS_Lab Part C'!$J$1084,NA())</f>
        <v/>
      </c>
    </row>
    <row r="1085">
      <c r="J1085">
        <f>IF(AND(ISNUMBER('Data'!$F$1086),'Data'!$F$1086&lt;&gt;999,'Data'!$F$1086&lt;&gt;""),'Data'!$F$1086,"")</f>
        <v/>
      </c>
      <c r="Z1085" t="n">
        <v>1</v>
      </c>
      <c r="AA1085">
        <f>IF(ISNUMBER('IN-CLASS_Lab Part C'!$J$1085),'IN-CLASS_Lab Part C'!$J$1085,NA())</f>
        <v/>
      </c>
    </row>
    <row r="1086">
      <c r="J1086">
        <f>IF(AND(ISNUMBER('Data'!$F$1087),'Data'!$F$1087&lt;&gt;999,'Data'!$F$1087&lt;&gt;""),'Data'!$F$1087,"")</f>
        <v/>
      </c>
      <c r="Z1086" t="n">
        <v>1</v>
      </c>
      <c r="AA1086">
        <f>IF(ISNUMBER('IN-CLASS_Lab Part C'!$J$1086),'IN-CLASS_Lab Part C'!$J$1086,NA())</f>
        <v/>
      </c>
    </row>
    <row r="1087">
      <c r="J1087">
        <f>IF(AND(ISNUMBER('Data'!$F$1088),'Data'!$F$1088&lt;&gt;999,'Data'!$F$1088&lt;&gt;""),'Data'!$F$1088,"")</f>
        <v/>
      </c>
      <c r="Z1087" t="n">
        <v>1</v>
      </c>
      <c r="AA1087">
        <f>IF(ISNUMBER('IN-CLASS_Lab Part C'!$J$1087),'IN-CLASS_Lab Part C'!$J$1087,NA())</f>
        <v/>
      </c>
    </row>
    <row r="1088">
      <c r="J1088">
        <f>IF(AND(ISNUMBER('Data'!$F$1089),'Data'!$F$1089&lt;&gt;999,'Data'!$F$1089&lt;&gt;""),'Data'!$F$1089,"")</f>
        <v/>
      </c>
      <c r="Z1088" t="n">
        <v>1</v>
      </c>
      <c r="AA1088">
        <f>IF(ISNUMBER('IN-CLASS_Lab Part C'!$J$1088),'IN-CLASS_Lab Part C'!$J$1088,NA())</f>
        <v/>
      </c>
    </row>
    <row r="1089">
      <c r="J1089">
        <f>IF(AND(ISNUMBER('Data'!$F$1090),'Data'!$F$1090&lt;&gt;999,'Data'!$F$1090&lt;&gt;""),'Data'!$F$1090,"")</f>
        <v/>
      </c>
      <c r="Z1089" t="n">
        <v>1</v>
      </c>
      <c r="AA1089">
        <f>IF(ISNUMBER('IN-CLASS_Lab Part C'!$J$1089),'IN-CLASS_Lab Part C'!$J$1089,NA())</f>
        <v/>
      </c>
    </row>
    <row r="1090">
      <c r="J1090">
        <f>IF(AND(ISNUMBER('Data'!$F$1091),'Data'!$F$1091&lt;&gt;999,'Data'!$F$1091&lt;&gt;""),'Data'!$F$1091,"")</f>
        <v/>
      </c>
      <c r="Z1090" t="n">
        <v>1</v>
      </c>
      <c r="AA1090">
        <f>IF(ISNUMBER('IN-CLASS_Lab Part C'!$J$1090),'IN-CLASS_Lab Part C'!$J$1090,NA())</f>
        <v/>
      </c>
    </row>
    <row r="1091">
      <c r="J1091">
        <f>IF(AND(ISNUMBER('Data'!$F$1092),'Data'!$F$1092&lt;&gt;999,'Data'!$F$1092&lt;&gt;""),'Data'!$F$1092,"")</f>
        <v/>
      </c>
      <c r="Z1091" t="n">
        <v>1</v>
      </c>
      <c r="AA1091">
        <f>IF(ISNUMBER('IN-CLASS_Lab Part C'!$J$1091),'IN-CLASS_Lab Part C'!$J$1091,NA())</f>
        <v/>
      </c>
    </row>
    <row r="1092">
      <c r="J1092">
        <f>IF(AND(ISNUMBER('Data'!$F$1093),'Data'!$F$1093&lt;&gt;999,'Data'!$F$1093&lt;&gt;""),'Data'!$F$1093,"")</f>
        <v/>
      </c>
      <c r="Z1092" t="n">
        <v>1</v>
      </c>
      <c r="AA1092">
        <f>IF(ISNUMBER('IN-CLASS_Lab Part C'!$J$1092),'IN-CLASS_Lab Part C'!$J$1092,NA())</f>
        <v/>
      </c>
    </row>
    <row r="1093">
      <c r="J1093">
        <f>IF(AND(ISNUMBER('Data'!$F$1094),'Data'!$F$1094&lt;&gt;999,'Data'!$F$1094&lt;&gt;""),'Data'!$F$1094,"")</f>
        <v/>
      </c>
      <c r="Z1093" t="n">
        <v>1</v>
      </c>
      <c r="AA1093">
        <f>IF(ISNUMBER('IN-CLASS_Lab Part C'!$J$1093),'IN-CLASS_Lab Part C'!$J$1093,NA())</f>
        <v/>
      </c>
    </row>
    <row r="1094">
      <c r="J1094">
        <f>IF(AND(ISNUMBER('Data'!$F$1095),'Data'!$F$1095&lt;&gt;999,'Data'!$F$1095&lt;&gt;""),'Data'!$F$1095,"")</f>
        <v/>
      </c>
      <c r="Z1094" t="n">
        <v>1</v>
      </c>
      <c r="AA1094">
        <f>IF(ISNUMBER('IN-CLASS_Lab Part C'!$J$1094),'IN-CLASS_Lab Part C'!$J$1094,NA())</f>
        <v/>
      </c>
    </row>
    <row r="1095">
      <c r="J1095">
        <f>IF(AND(ISNUMBER('Data'!$F$1096),'Data'!$F$1096&lt;&gt;999,'Data'!$F$1096&lt;&gt;""),'Data'!$F$1096,"")</f>
        <v/>
      </c>
      <c r="Z1095" t="n">
        <v>1</v>
      </c>
      <c r="AA1095">
        <f>IF(ISNUMBER('IN-CLASS_Lab Part C'!$J$1095),'IN-CLASS_Lab Part C'!$J$1095,NA())</f>
        <v/>
      </c>
    </row>
    <row r="1096">
      <c r="J1096">
        <f>IF(AND(ISNUMBER('Data'!$F$1097),'Data'!$F$1097&lt;&gt;999,'Data'!$F$1097&lt;&gt;""),'Data'!$F$1097,"")</f>
        <v/>
      </c>
      <c r="Z1096" t="n">
        <v>1</v>
      </c>
      <c r="AA1096">
        <f>IF(ISNUMBER('IN-CLASS_Lab Part C'!$J$1096),'IN-CLASS_Lab Part C'!$J$1096,NA())</f>
        <v/>
      </c>
    </row>
    <row r="1097">
      <c r="J1097">
        <f>IF(AND(ISNUMBER('Data'!$F$1098),'Data'!$F$1098&lt;&gt;999,'Data'!$F$1098&lt;&gt;""),'Data'!$F$1098,"")</f>
        <v/>
      </c>
      <c r="Z1097" t="n">
        <v>1</v>
      </c>
      <c r="AA1097">
        <f>IF(ISNUMBER('IN-CLASS_Lab Part C'!$J$1097),'IN-CLASS_Lab Part C'!$J$1097,NA())</f>
        <v/>
      </c>
    </row>
    <row r="1098">
      <c r="J1098">
        <f>IF(AND(ISNUMBER('Data'!$F$1099),'Data'!$F$1099&lt;&gt;999,'Data'!$F$1099&lt;&gt;""),'Data'!$F$1099,"")</f>
        <v/>
      </c>
      <c r="Z1098" t="n">
        <v>1</v>
      </c>
      <c r="AA1098">
        <f>IF(ISNUMBER('IN-CLASS_Lab Part C'!$J$1098),'IN-CLASS_Lab Part C'!$J$1098,NA())</f>
        <v/>
      </c>
    </row>
    <row r="1099">
      <c r="J1099">
        <f>IF(AND(ISNUMBER('Data'!$F$1100),'Data'!$F$1100&lt;&gt;999,'Data'!$F$1100&lt;&gt;""),'Data'!$F$1100,"")</f>
        <v/>
      </c>
      <c r="Z1099" t="n">
        <v>1</v>
      </c>
      <c r="AA1099">
        <f>IF(ISNUMBER('IN-CLASS_Lab Part C'!$J$1099),'IN-CLASS_Lab Part C'!$J$1099,NA())</f>
        <v/>
      </c>
    </row>
    <row r="1100">
      <c r="J1100">
        <f>IF(AND(ISNUMBER('Data'!$F$1101),'Data'!$F$1101&lt;&gt;999,'Data'!$F$1101&lt;&gt;""),'Data'!$F$1101,"")</f>
        <v/>
      </c>
      <c r="Z1100" t="n">
        <v>1</v>
      </c>
      <c r="AA1100">
        <f>IF(ISNUMBER('IN-CLASS_Lab Part C'!$J$1100),'IN-CLASS_Lab Part C'!$J$1100,NA())</f>
        <v/>
      </c>
    </row>
    <row r="1101">
      <c r="J1101">
        <f>IF(AND(ISNUMBER('Data'!$F$1102),'Data'!$F$1102&lt;&gt;999,'Data'!$F$1102&lt;&gt;""),'Data'!$F$1102,"")</f>
        <v/>
      </c>
      <c r="Z1101" t="n">
        <v>1</v>
      </c>
      <c r="AA1101">
        <f>IF(ISNUMBER('IN-CLASS_Lab Part C'!$J$1101),'IN-CLASS_Lab Part C'!$J$1101,NA())</f>
        <v/>
      </c>
    </row>
    <row r="1102">
      <c r="J1102">
        <f>IF(AND(ISNUMBER('Data'!$F$1103),'Data'!$F$1103&lt;&gt;999,'Data'!$F$1103&lt;&gt;""),'Data'!$F$1103,"")</f>
        <v/>
      </c>
      <c r="Z1102" t="n">
        <v>1</v>
      </c>
      <c r="AA1102">
        <f>IF(ISNUMBER('IN-CLASS_Lab Part C'!$J$1102),'IN-CLASS_Lab Part C'!$J$1102,NA())</f>
        <v/>
      </c>
    </row>
    <row r="1103">
      <c r="J1103">
        <f>IF(AND(ISNUMBER('Data'!$F$1104),'Data'!$F$1104&lt;&gt;999,'Data'!$F$1104&lt;&gt;""),'Data'!$F$1104,"")</f>
        <v/>
      </c>
      <c r="Z1103" t="n">
        <v>1</v>
      </c>
      <c r="AA1103">
        <f>IF(ISNUMBER('IN-CLASS_Lab Part C'!$J$1103),'IN-CLASS_Lab Part C'!$J$1103,NA())</f>
        <v/>
      </c>
    </row>
    <row r="1104">
      <c r="J1104">
        <f>IF(AND(ISNUMBER('Data'!$F$1105),'Data'!$F$1105&lt;&gt;999,'Data'!$F$1105&lt;&gt;""),'Data'!$F$1105,"")</f>
        <v/>
      </c>
      <c r="Z1104" t="n">
        <v>1</v>
      </c>
      <c r="AA1104">
        <f>IF(ISNUMBER('IN-CLASS_Lab Part C'!$J$1104),'IN-CLASS_Lab Part C'!$J$1104,NA())</f>
        <v/>
      </c>
    </row>
    <row r="1105">
      <c r="J1105">
        <f>IF(AND(ISNUMBER('Data'!$F$1106),'Data'!$F$1106&lt;&gt;999,'Data'!$F$1106&lt;&gt;""),'Data'!$F$1106,"")</f>
        <v/>
      </c>
      <c r="Z1105" t="n">
        <v>1</v>
      </c>
      <c r="AA1105">
        <f>IF(ISNUMBER('IN-CLASS_Lab Part C'!$J$1105),'IN-CLASS_Lab Part C'!$J$1105,NA())</f>
        <v/>
      </c>
    </row>
    <row r="1106">
      <c r="J1106">
        <f>IF(AND(ISNUMBER('Data'!$F$1107),'Data'!$F$1107&lt;&gt;999,'Data'!$F$1107&lt;&gt;""),'Data'!$F$1107,"")</f>
        <v/>
      </c>
      <c r="Z1106" t="n">
        <v>1</v>
      </c>
      <c r="AA1106">
        <f>IF(ISNUMBER('IN-CLASS_Lab Part C'!$J$1106),'IN-CLASS_Lab Part C'!$J$1106,NA())</f>
        <v/>
      </c>
    </row>
    <row r="1107">
      <c r="J1107">
        <f>IF(AND(ISNUMBER('Data'!$F$1108),'Data'!$F$1108&lt;&gt;999,'Data'!$F$1108&lt;&gt;""),'Data'!$F$1108,"")</f>
        <v/>
      </c>
      <c r="Z1107" t="n">
        <v>1</v>
      </c>
      <c r="AA1107">
        <f>IF(ISNUMBER('IN-CLASS_Lab Part C'!$J$1107),'IN-CLASS_Lab Part C'!$J$1107,NA())</f>
        <v/>
      </c>
    </row>
    <row r="1108">
      <c r="J1108">
        <f>IF(AND(ISNUMBER('Data'!$F$1109),'Data'!$F$1109&lt;&gt;999,'Data'!$F$1109&lt;&gt;""),'Data'!$F$1109,"")</f>
        <v/>
      </c>
      <c r="Z1108" t="n">
        <v>1</v>
      </c>
      <c r="AA1108">
        <f>IF(ISNUMBER('IN-CLASS_Lab Part C'!$J$1108),'IN-CLASS_Lab Part C'!$J$1108,NA())</f>
        <v/>
      </c>
    </row>
    <row r="1109">
      <c r="J1109">
        <f>IF(AND(ISNUMBER('Data'!$F$1110),'Data'!$F$1110&lt;&gt;999,'Data'!$F$1110&lt;&gt;""),'Data'!$F$1110,"")</f>
        <v/>
      </c>
      <c r="Z1109" t="n">
        <v>1</v>
      </c>
      <c r="AA1109">
        <f>IF(ISNUMBER('IN-CLASS_Lab Part C'!$J$1109),'IN-CLASS_Lab Part C'!$J$1109,NA())</f>
        <v/>
      </c>
    </row>
    <row r="1110">
      <c r="J1110">
        <f>IF(AND(ISNUMBER('Data'!$F$1111),'Data'!$F$1111&lt;&gt;999,'Data'!$F$1111&lt;&gt;""),'Data'!$F$1111,"")</f>
        <v/>
      </c>
      <c r="Z1110" t="n">
        <v>1</v>
      </c>
      <c r="AA1110">
        <f>IF(ISNUMBER('IN-CLASS_Lab Part C'!$J$1110),'IN-CLASS_Lab Part C'!$J$1110,NA())</f>
        <v/>
      </c>
    </row>
    <row r="1111">
      <c r="J1111">
        <f>IF(AND(ISNUMBER('Data'!$F$1112),'Data'!$F$1112&lt;&gt;999,'Data'!$F$1112&lt;&gt;""),'Data'!$F$1112,"")</f>
        <v/>
      </c>
      <c r="Z1111" t="n">
        <v>1</v>
      </c>
      <c r="AA1111">
        <f>IF(ISNUMBER('IN-CLASS_Lab Part C'!$J$1111),'IN-CLASS_Lab Part C'!$J$1111,NA())</f>
        <v/>
      </c>
    </row>
    <row r="1112">
      <c r="J1112">
        <f>IF(AND(ISNUMBER('Data'!$F$1113),'Data'!$F$1113&lt;&gt;999,'Data'!$F$1113&lt;&gt;""),'Data'!$F$1113,"")</f>
        <v/>
      </c>
      <c r="Z1112" t="n">
        <v>1</v>
      </c>
      <c r="AA1112">
        <f>IF(ISNUMBER('IN-CLASS_Lab Part C'!$J$1112),'IN-CLASS_Lab Part C'!$J$1112,NA())</f>
        <v/>
      </c>
    </row>
    <row r="1113">
      <c r="J1113">
        <f>IF(AND(ISNUMBER('Data'!$F$1114),'Data'!$F$1114&lt;&gt;999,'Data'!$F$1114&lt;&gt;""),'Data'!$F$1114,"")</f>
        <v/>
      </c>
      <c r="Z1113" t="n">
        <v>1</v>
      </c>
      <c r="AA1113">
        <f>IF(ISNUMBER('IN-CLASS_Lab Part C'!$J$1113),'IN-CLASS_Lab Part C'!$J$1113,NA())</f>
        <v/>
      </c>
    </row>
    <row r="1114">
      <c r="J1114">
        <f>IF(AND(ISNUMBER('Data'!$F$1115),'Data'!$F$1115&lt;&gt;999,'Data'!$F$1115&lt;&gt;""),'Data'!$F$1115,"")</f>
        <v/>
      </c>
      <c r="Z1114" t="n">
        <v>1</v>
      </c>
      <c r="AA1114">
        <f>IF(ISNUMBER('IN-CLASS_Lab Part C'!$J$1114),'IN-CLASS_Lab Part C'!$J$1114,NA())</f>
        <v/>
      </c>
    </row>
    <row r="1115">
      <c r="J1115">
        <f>IF(AND(ISNUMBER('Data'!$F$1116),'Data'!$F$1116&lt;&gt;999,'Data'!$F$1116&lt;&gt;""),'Data'!$F$1116,"")</f>
        <v/>
      </c>
      <c r="Z1115" t="n">
        <v>1</v>
      </c>
      <c r="AA1115">
        <f>IF(ISNUMBER('IN-CLASS_Lab Part C'!$J$1115),'IN-CLASS_Lab Part C'!$J$1115,NA())</f>
        <v/>
      </c>
    </row>
    <row r="1116">
      <c r="J1116">
        <f>IF(AND(ISNUMBER('Data'!$F$1117),'Data'!$F$1117&lt;&gt;999,'Data'!$F$1117&lt;&gt;""),'Data'!$F$1117,"")</f>
        <v/>
      </c>
      <c r="Z1116" t="n">
        <v>1</v>
      </c>
      <c r="AA1116">
        <f>IF(ISNUMBER('IN-CLASS_Lab Part C'!$J$1116),'IN-CLASS_Lab Part C'!$J$1116,NA())</f>
        <v/>
      </c>
    </row>
    <row r="1117">
      <c r="J1117">
        <f>IF(AND(ISNUMBER('Data'!$F$1118),'Data'!$F$1118&lt;&gt;999,'Data'!$F$1118&lt;&gt;""),'Data'!$F$1118,"")</f>
        <v/>
      </c>
      <c r="Z1117" t="n">
        <v>1</v>
      </c>
      <c r="AA1117">
        <f>IF(ISNUMBER('IN-CLASS_Lab Part C'!$J$1117),'IN-CLASS_Lab Part C'!$J$1117,NA())</f>
        <v/>
      </c>
    </row>
    <row r="1118">
      <c r="J1118">
        <f>IF(AND(ISNUMBER('Data'!$F$1119),'Data'!$F$1119&lt;&gt;999,'Data'!$F$1119&lt;&gt;""),'Data'!$F$1119,"")</f>
        <v/>
      </c>
      <c r="Z1118" t="n">
        <v>1</v>
      </c>
      <c r="AA1118">
        <f>IF(ISNUMBER('IN-CLASS_Lab Part C'!$J$1118),'IN-CLASS_Lab Part C'!$J$1118,NA())</f>
        <v/>
      </c>
    </row>
    <row r="1119">
      <c r="J1119">
        <f>IF(AND(ISNUMBER('Data'!$F$1120),'Data'!$F$1120&lt;&gt;999,'Data'!$F$1120&lt;&gt;""),'Data'!$F$1120,"")</f>
        <v/>
      </c>
      <c r="Z1119" t="n">
        <v>1</v>
      </c>
      <c r="AA1119">
        <f>IF(ISNUMBER('IN-CLASS_Lab Part C'!$J$1119),'IN-CLASS_Lab Part C'!$J$1119,NA())</f>
        <v/>
      </c>
    </row>
    <row r="1120">
      <c r="J1120">
        <f>IF(AND(ISNUMBER('Data'!$F$1121),'Data'!$F$1121&lt;&gt;999,'Data'!$F$1121&lt;&gt;""),'Data'!$F$1121,"")</f>
        <v/>
      </c>
      <c r="Z1120" t="n">
        <v>1</v>
      </c>
      <c r="AA1120">
        <f>IF(ISNUMBER('IN-CLASS_Lab Part C'!$J$1120),'IN-CLASS_Lab Part C'!$J$1120,NA())</f>
        <v/>
      </c>
    </row>
    <row r="1121">
      <c r="J1121">
        <f>IF(AND(ISNUMBER('Data'!$F$1122),'Data'!$F$1122&lt;&gt;999,'Data'!$F$1122&lt;&gt;""),'Data'!$F$1122,"")</f>
        <v/>
      </c>
      <c r="Z1121" t="n">
        <v>1</v>
      </c>
      <c r="AA1121">
        <f>IF(ISNUMBER('IN-CLASS_Lab Part C'!$J$1121),'IN-CLASS_Lab Part C'!$J$1121,NA())</f>
        <v/>
      </c>
    </row>
    <row r="1122">
      <c r="J1122">
        <f>IF(AND(ISNUMBER('Data'!$F$1123),'Data'!$F$1123&lt;&gt;999,'Data'!$F$1123&lt;&gt;""),'Data'!$F$1123,"")</f>
        <v/>
      </c>
      <c r="Z1122" t="n">
        <v>1</v>
      </c>
      <c r="AA1122">
        <f>IF(ISNUMBER('IN-CLASS_Lab Part C'!$J$1122),'IN-CLASS_Lab Part C'!$J$1122,NA())</f>
        <v/>
      </c>
    </row>
    <row r="1123">
      <c r="J1123">
        <f>IF(AND(ISNUMBER('Data'!$F$1124),'Data'!$F$1124&lt;&gt;999,'Data'!$F$1124&lt;&gt;""),'Data'!$F$1124,"")</f>
        <v/>
      </c>
      <c r="Z1123" t="n">
        <v>1</v>
      </c>
      <c r="AA1123">
        <f>IF(ISNUMBER('IN-CLASS_Lab Part C'!$J$1123),'IN-CLASS_Lab Part C'!$J$1123,NA())</f>
        <v/>
      </c>
    </row>
    <row r="1124">
      <c r="J1124">
        <f>IF(AND(ISNUMBER('Data'!$F$1125),'Data'!$F$1125&lt;&gt;999,'Data'!$F$1125&lt;&gt;""),'Data'!$F$1125,"")</f>
        <v/>
      </c>
      <c r="Z1124" t="n">
        <v>1</v>
      </c>
      <c r="AA1124">
        <f>IF(ISNUMBER('IN-CLASS_Lab Part C'!$J$1124),'IN-CLASS_Lab Part C'!$J$1124,NA())</f>
        <v/>
      </c>
    </row>
    <row r="1125">
      <c r="J1125">
        <f>IF(AND(ISNUMBER('Data'!$F$1126),'Data'!$F$1126&lt;&gt;999,'Data'!$F$1126&lt;&gt;""),'Data'!$F$1126,"")</f>
        <v/>
      </c>
      <c r="Z1125" t="n">
        <v>1</v>
      </c>
      <c r="AA1125">
        <f>IF(ISNUMBER('IN-CLASS_Lab Part C'!$J$1125),'IN-CLASS_Lab Part C'!$J$1125,NA())</f>
        <v/>
      </c>
    </row>
    <row r="1126">
      <c r="J1126">
        <f>IF(AND(ISNUMBER('Data'!$F$1127),'Data'!$F$1127&lt;&gt;999,'Data'!$F$1127&lt;&gt;""),'Data'!$F$1127,"")</f>
        <v/>
      </c>
      <c r="Z1126" t="n">
        <v>1</v>
      </c>
      <c r="AA1126">
        <f>IF(ISNUMBER('IN-CLASS_Lab Part C'!$J$1126),'IN-CLASS_Lab Part C'!$J$1126,NA())</f>
        <v/>
      </c>
    </row>
    <row r="1127">
      <c r="J1127">
        <f>IF(AND(ISNUMBER('Data'!$F$1128),'Data'!$F$1128&lt;&gt;999,'Data'!$F$1128&lt;&gt;""),'Data'!$F$1128,"")</f>
        <v/>
      </c>
      <c r="Z1127" t="n">
        <v>1</v>
      </c>
      <c r="AA1127">
        <f>IF(ISNUMBER('IN-CLASS_Lab Part C'!$J$1127),'IN-CLASS_Lab Part C'!$J$1127,NA())</f>
        <v/>
      </c>
    </row>
    <row r="1128">
      <c r="J1128">
        <f>IF(AND(ISNUMBER('Data'!$F$1129),'Data'!$F$1129&lt;&gt;999,'Data'!$F$1129&lt;&gt;""),'Data'!$F$1129,"")</f>
        <v/>
      </c>
      <c r="Z1128" t="n">
        <v>1</v>
      </c>
      <c r="AA1128">
        <f>IF(ISNUMBER('IN-CLASS_Lab Part C'!$J$1128),'IN-CLASS_Lab Part C'!$J$1128,NA())</f>
        <v/>
      </c>
    </row>
    <row r="1129">
      <c r="J1129">
        <f>IF(AND(ISNUMBER('Data'!$F$1130),'Data'!$F$1130&lt;&gt;999,'Data'!$F$1130&lt;&gt;""),'Data'!$F$1130,"")</f>
        <v/>
      </c>
      <c r="Z1129" t="n">
        <v>1</v>
      </c>
      <c r="AA1129">
        <f>IF(ISNUMBER('IN-CLASS_Lab Part C'!$J$1129),'IN-CLASS_Lab Part C'!$J$1129,NA())</f>
        <v/>
      </c>
    </row>
    <row r="1130">
      <c r="J1130">
        <f>IF(AND(ISNUMBER('Data'!$F$1131),'Data'!$F$1131&lt;&gt;999,'Data'!$F$1131&lt;&gt;""),'Data'!$F$1131,"")</f>
        <v/>
      </c>
      <c r="Z1130" t="n">
        <v>1</v>
      </c>
      <c r="AA1130">
        <f>IF(ISNUMBER('IN-CLASS_Lab Part C'!$J$1130),'IN-CLASS_Lab Part C'!$J$1130,NA())</f>
        <v/>
      </c>
    </row>
    <row r="1131">
      <c r="J1131">
        <f>IF(AND(ISNUMBER('Data'!$F$1132),'Data'!$F$1132&lt;&gt;999,'Data'!$F$1132&lt;&gt;""),'Data'!$F$1132,"")</f>
        <v/>
      </c>
      <c r="Z1131" t="n">
        <v>1</v>
      </c>
      <c r="AA1131">
        <f>IF(ISNUMBER('IN-CLASS_Lab Part C'!$J$1131),'IN-CLASS_Lab Part C'!$J$1131,NA())</f>
        <v/>
      </c>
    </row>
    <row r="1132">
      <c r="J1132">
        <f>IF(AND(ISNUMBER('Data'!$F$1133),'Data'!$F$1133&lt;&gt;999,'Data'!$F$1133&lt;&gt;""),'Data'!$F$1133,"")</f>
        <v/>
      </c>
      <c r="Z1132" t="n">
        <v>1</v>
      </c>
      <c r="AA1132">
        <f>IF(ISNUMBER('IN-CLASS_Lab Part C'!$J$1132),'IN-CLASS_Lab Part C'!$J$1132,NA())</f>
        <v/>
      </c>
    </row>
    <row r="1133">
      <c r="J1133">
        <f>IF(AND(ISNUMBER('Data'!$F$1134),'Data'!$F$1134&lt;&gt;999,'Data'!$F$1134&lt;&gt;""),'Data'!$F$1134,"")</f>
        <v/>
      </c>
      <c r="Z1133" t="n">
        <v>1</v>
      </c>
      <c r="AA1133">
        <f>IF(ISNUMBER('IN-CLASS_Lab Part C'!$J$1133),'IN-CLASS_Lab Part C'!$J$1133,NA())</f>
        <v/>
      </c>
    </row>
    <row r="1134">
      <c r="J1134">
        <f>IF(AND(ISNUMBER('Data'!$F$1135),'Data'!$F$1135&lt;&gt;999,'Data'!$F$1135&lt;&gt;""),'Data'!$F$1135,"")</f>
        <v/>
      </c>
      <c r="Z1134" t="n">
        <v>1</v>
      </c>
      <c r="AA1134">
        <f>IF(ISNUMBER('IN-CLASS_Lab Part C'!$J$1134),'IN-CLASS_Lab Part C'!$J$1134,NA())</f>
        <v/>
      </c>
    </row>
    <row r="1135">
      <c r="J1135">
        <f>IF(AND(ISNUMBER('Data'!$F$1136),'Data'!$F$1136&lt;&gt;999,'Data'!$F$1136&lt;&gt;""),'Data'!$F$1136,"")</f>
        <v/>
      </c>
      <c r="Z1135" t="n">
        <v>1</v>
      </c>
      <c r="AA1135">
        <f>IF(ISNUMBER('IN-CLASS_Lab Part C'!$J$1135),'IN-CLASS_Lab Part C'!$J$1135,NA())</f>
        <v/>
      </c>
    </row>
    <row r="1136">
      <c r="J1136">
        <f>IF(AND(ISNUMBER('Data'!$F$1137),'Data'!$F$1137&lt;&gt;999,'Data'!$F$1137&lt;&gt;""),'Data'!$F$1137,"")</f>
        <v/>
      </c>
      <c r="Z1136" t="n">
        <v>1</v>
      </c>
      <c r="AA1136">
        <f>IF(ISNUMBER('IN-CLASS_Lab Part C'!$J$1136),'IN-CLASS_Lab Part C'!$J$1136,NA())</f>
        <v/>
      </c>
    </row>
    <row r="1137">
      <c r="J1137">
        <f>IF(AND(ISNUMBER('Data'!$F$1138),'Data'!$F$1138&lt;&gt;999,'Data'!$F$1138&lt;&gt;""),'Data'!$F$1138,"")</f>
        <v/>
      </c>
      <c r="Z1137" t="n">
        <v>1</v>
      </c>
      <c r="AA1137">
        <f>IF(ISNUMBER('IN-CLASS_Lab Part C'!$J$1137),'IN-CLASS_Lab Part C'!$J$1137,NA())</f>
        <v/>
      </c>
    </row>
    <row r="1138">
      <c r="J1138">
        <f>IF(AND(ISNUMBER('Data'!$F$1139),'Data'!$F$1139&lt;&gt;999,'Data'!$F$1139&lt;&gt;""),'Data'!$F$1139,"")</f>
        <v/>
      </c>
      <c r="Z1138" t="n">
        <v>1</v>
      </c>
      <c r="AA1138">
        <f>IF(ISNUMBER('IN-CLASS_Lab Part C'!$J$1138),'IN-CLASS_Lab Part C'!$J$1138,NA())</f>
        <v/>
      </c>
    </row>
    <row r="1139">
      <c r="J1139">
        <f>IF(AND(ISNUMBER('Data'!$F$1140),'Data'!$F$1140&lt;&gt;999,'Data'!$F$1140&lt;&gt;""),'Data'!$F$1140,"")</f>
        <v/>
      </c>
      <c r="Z1139" t="n">
        <v>1</v>
      </c>
      <c r="AA1139">
        <f>IF(ISNUMBER('IN-CLASS_Lab Part C'!$J$1139),'IN-CLASS_Lab Part C'!$J$1139,NA())</f>
        <v/>
      </c>
    </row>
    <row r="1140">
      <c r="J1140">
        <f>IF(AND(ISNUMBER('Data'!$F$1141),'Data'!$F$1141&lt;&gt;999,'Data'!$F$1141&lt;&gt;""),'Data'!$F$1141,"")</f>
        <v/>
      </c>
      <c r="Z1140" t="n">
        <v>1</v>
      </c>
      <c r="AA1140">
        <f>IF(ISNUMBER('IN-CLASS_Lab Part C'!$J$1140),'IN-CLASS_Lab Part C'!$J$1140,NA())</f>
        <v/>
      </c>
    </row>
    <row r="1141">
      <c r="J1141">
        <f>IF(AND(ISNUMBER('Data'!$F$1142),'Data'!$F$1142&lt;&gt;999,'Data'!$F$1142&lt;&gt;""),'Data'!$F$1142,"")</f>
        <v/>
      </c>
      <c r="Z1141" t="n">
        <v>1</v>
      </c>
      <c r="AA1141">
        <f>IF(ISNUMBER('IN-CLASS_Lab Part C'!$J$1141),'IN-CLASS_Lab Part C'!$J$1141,NA())</f>
        <v/>
      </c>
    </row>
    <row r="1142">
      <c r="J1142">
        <f>IF(AND(ISNUMBER('Data'!$F$1143),'Data'!$F$1143&lt;&gt;999,'Data'!$F$1143&lt;&gt;""),'Data'!$F$1143,"")</f>
        <v/>
      </c>
      <c r="Z1142" t="n">
        <v>1</v>
      </c>
      <c r="AA1142">
        <f>IF(ISNUMBER('IN-CLASS_Lab Part C'!$J$1142),'IN-CLASS_Lab Part C'!$J$1142,NA())</f>
        <v/>
      </c>
    </row>
    <row r="1143">
      <c r="J1143">
        <f>IF(AND(ISNUMBER('Data'!$F$1144),'Data'!$F$1144&lt;&gt;999,'Data'!$F$1144&lt;&gt;""),'Data'!$F$1144,"")</f>
        <v/>
      </c>
      <c r="Z1143" t="n">
        <v>1</v>
      </c>
      <c r="AA1143">
        <f>IF(ISNUMBER('IN-CLASS_Lab Part C'!$J$1143),'IN-CLASS_Lab Part C'!$J$1143,NA())</f>
        <v/>
      </c>
    </row>
    <row r="1144">
      <c r="J1144">
        <f>IF(AND(ISNUMBER('Data'!$F$1145),'Data'!$F$1145&lt;&gt;999,'Data'!$F$1145&lt;&gt;""),'Data'!$F$1145,"")</f>
        <v/>
      </c>
      <c r="Z1144" t="n">
        <v>1</v>
      </c>
      <c r="AA1144">
        <f>IF(ISNUMBER('IN-CLASS_Lab Part C'!$J$1144),'IN-CLASS_Lab Part C'!$J$1144,NA())</f>
        <v/>
      </c>
    </row>
    <row r="1145">
      <c r="J1145">
        <f>IF(AND(ISNUMBER('Data'!$F$1146),'Data'!$F$1146&lt;&gt;999,'Data'!$F$1146&lt;&gt;""),'Data'!$F$1146,"")</f>
        <v/>
      </c>
      <c r="Z1145" t="n">
        <v>1</v>
      </c>
      <c r="AA1145">
        <f>IF(ISNUMBER('IN-CLASS_Lab Part C'!$J$1145),'IN-CLASS_Lab Part C'!$J$1145,NA())</f>
        <v/>
      </c>
    </row>
    <row r="1146">
      <c r="J1146">
        <f>IF(AND(ISNUMBER('Data'!$F$1147),'Data'!$F$1147&lt;&gt;999,'Data'!$F$1147&lt;&gt;""),'Data'!$F$1147,"")</f>
        <v/>
      </c>
      <c r="Z1146" t="n">
        <v>1</v>
      </c>
      <c r="AA1146">
        <f>IF(ISNUMBER('IN-CLASS_Lab Part C'!$J$1146),'IN-CLASS_Lab Part C'!$J$1146,NA())</f>
        <v/>
      </c>
    </row>
    <row r="1147">
      <c r="J1147">
        <f>IF(AND(ISNUMBER('Data'!$F$1148),'Data'!$F$1148&lt;&gt;999,'Data'!$F$1148&lt;&gt;""),'Data'!$F$1148,"")</f>
        <v/>
      </c>
      <c r="Z1147" t="n">
        <v>1</v>
      </c>
      <c r="AA1147">
        <f>IF(ISNUMBER('IN-CLASS_Lab Part C'!$J$1147),'IN-CLASS_Lab Part C'!$J$1147,NA())</f>
        <v/>
      </c>
    </row>
    <row r="1148">
      <c r="J1148">
        <f>IF(AND(ISNUMBER('Data'!$F$1149),'Data'!$F$1149&lt;&gt;999,'Data'!$F$1149&lt;&gt;""),'Data'!$F$1149,"")</f>
        <v/>
      </c>
      <c r="Z1148" t="n">
        <v>1</v>
      </c>
      <c r="AA1148">
        <f>IF(ISNUMBER('IN-CLASS_Lab Part C'!$J$1148),'IN-CLASS_Lab Part C'!$J$1148,NA())</f>
        <v/>
      </c>
    </row>
    <row r="1149">
      <c r="J1149">
        <f>IF(AND(ISNUMBER('Data'!$F$1150),'Data'!$F$1150&lt;&gt;999,'Data'!$F$1150&lt;&gt;""),'Data'!$F$1150,"")</f>
        <v/>
      </c>
      <c r="Z1149" t="n">
        <v>1</v>
      </c>
      <c r="AA1149">
        <f>IF(ISNUMBER('IN-CLASS_Lab Part C'!$J$1149),'IN-CLASS_Lab Part C'!$J$1149,NA())</f>
        <v/>
      </c>
    </row>
    <row r="1150">
      <c r="J1150">
        <f>IF(AND(ISNUMBER('Data'!$F$1151),'Data'!$F$1151&lt;&gt;999,'Data'!$F$1151&lt;&gt;""),'Data'!$F$1151,"")</f>
        <v/>
      </c>
      <c r="Z1150" t="n">
        <v>1</v>
      </c>
      <c r="AA1150">
        <f>IF(ISNUMBER('IN-CLASS_Lab Part C'!$J$1150),'IN-CLASS_Lab Part C'!$J$1150,NA())</f>
        <v/>
      </c>
    </row>
    <row r="1151">
      <c r="J1151">
        <f>IF(AND(ISNUMBER('Data'!$F$1152),'Data'!$F$1152&lt;&gt;999,'Data'!$F$1152&lt;&gt;""),'Data'!$F$1152,"")</f>
        <v/>
      </c>
      <c r="Z1151" t="n">
        <v>1</v>
      </c>
      <c r="AA1151">
        <f>IF(ISNUMBER('IN-CLASS_Lab Part C'!$J$1151),'IN-CLASS_Lab Part C'!$J$1151,NA())</f>
        <v/>
      </c>
    </row>
    <row r="1152">
      <c r="J1152">
        <f>IF(AND(ISNUMBER('Data'!$F$1153),'Data'!$F$1153&lt;&gt;999,'Data'!$F$1153&lt;&gt;""),'Data'!$F$1153,"")</f>
        <v/>
      </c>
      <c r="Z1152" t="n">
        <v>1</v>
      </c>
      <c r="AA1152">
        <f>IF(ISNUMBER('IN-CLASS_Lab Part C'!$J$1152),'IN-CLASS_Lab Part C'!$J$1152,NA())</f>
        <v/>
      </c>
    </row>
    <row r="1153">
      <c r="J1153">
        <f>IF(AND(ISNUMBER('Data'!$F$1154),'Data'!$F$1154&lt;&gt;999,'Data'!$F$1154&lt;&gt;""),'Data'!$F$1154,"")</f>
        <v/>
      </c>
      <c r="Z1153" t="n">
        <v>1</v>
      </c>
      <c r="AA1153">
        <f>IF(ISNUMBER('IN-CLASS_Lab Part C'!$J$1153),'IN-CLASS_Lab Part C'!$J$1153,NA())</f>
        <v/>
      </c>
    </row>
    <row r="1154">
      <c r="J1154">
        <f>IF(AND(ISNUMBER('Data'!$F$1155),'Data'!$F$1155&lt;&gt;999,'Data'!$F$1155&lt;&gt;""),'Data'!$F$1155,"")</f>
        <v/>
      </c>
      <c r="Z1154" t="n">
        <v>1</v>
      </c>
      <c r="AA1154">
        <f>IF(ISNUMBER('IN-CLASS_Lab Part C'!$J$1154),'IN-CLASS_Lab Part C'!$J$1154,NA())</f>
        <v/>
      </c>
    </row>
    <row r="1155">
      <c r="J1155">
        <f>IF(AND(ISNUMBER('Data'!$F$1156),'Data'!$F$1156&lt;&gt;999,'Data'!$F$1156&lt;&gt;""),'Data'!$F$1156,"")</f>
        <v/>
      </c>
      <c r="Z1155" t="n">
        <v>1</v>
      </c>
      <c r="AA1155">
        <f>IF(ISNUMBER('IN-CLASS_Lab Part C'!$J$1155),'IN-CLASS_Lab Part C'!$J$1155,NA())</f>
        <v/>
      </c>
    </row>
    <row r="1156">
      <c r="J1156">
        <f>IF(AND(ISNUMBER('Data'!$F$1157),'Data'!$F$1157&lt;&gt;999,'Data'!$F$1157&lt;&gt;""),'Data'!$F$1157,"")</f>
        <v/>
      </c>
      <c r="Z1156" t="n">
        <v>1</v>
      </c>
      <c r="AA1156">
        <f>IF(ISNUMBER('IN-CLASS_Lab Part C'!$J$1156),'IN-CLASS_Lab Part C'!$J$1156,NA())</f>
        <v/>
      </c>
    </row>
    <row r="1157">
      <c r="J1157">
        <f>IF(AND(ISNUMBER('Data'!$F$1158),'Data'!$F$1158&lt;&gt;999,'Data'!$F$1158&lt;&gt;""),'Data'!$F$1158,"")</f>
        <v/>
      </c>
      <c r="Z1157" t="n">
        <v>1</v>
      </c>
      <c r="AA1157">
        <f>IF(ISNUMBER('IN-CLASS_Lab Part C'!$J$1157),'IN-CLASS_Lab Part C'!$J$1157,NA())</f>
        <v/>
      </c>
    </row>
    <row r="1158">
      <c r="J1158">
        <f>IF(AND(ISNUMBER('Data'!$F$1159),'Data'!$F$1159&lt;&gt;999,'Data'!$F$1159&lt;&gt;""),'Data'!$F$1159,"")</f>
        <v/>
      </c>
      <c r="Z1158" t="n">
        <v>1</v>
      </c>
      <c r="AA1158">
        <f>IF(ISNUMBER('IN-CLASS_Lab Part C'!$J$1158),'IN-CLASS_Lab Part C'!$J$1158,NA())</f>
        <v/>
      </c>
    </row>
    <row r="1159">
      <c r="J1159">
        <f>IF(AND(ISNUMBER('Data'!$F$1160),'Data'!$F$1160&lt;&gt;999,'Data'!$F$1160&lt;&gt;""),'Data'!$F$1160,"")</f>
        <v/>
      </c>
      <c r="Z1159" t="n">
        <v>1</v>
      </c>
      <c r="AA1159">
        <f>IF(ISNUMBER('IN-CLASS_Lab Part C'!$J$1159),'IN-CLASS_Lab Part C'!$J$1159,NA())</f>
        <v/>
      </c>
    </row>
    <row r="1160">
      <c r="J1160">
        <f>IF(AND(ISNUMBER('Data'!$F$1161),'Data'!$F$1161&lt;&gt;999,'Data'!$F$1161&lt;&gt;""),'Data'!$F$1161,"")</f>
        <v/>
      </c>
      <c r="Z1160" t="n">
        <v>1</v>
      </c>
      <c r="AA1160">
        <f>IF(ISNUMBER('IN-CLASS_Lab Part C'!$J$1160),'IN-CLASS_Lab Part C'!$J$1160,NA())</f>
        <v/>
      </c>
    </row>
    <row r="1161">
      <c r="J1161">
        <f>IF(AND(ISNUMBER('Data'!$F$1162),'Data'!$F$1162&lt;&gt;999,'Data'!$F$1162&lt;&gt;""),'Data'!$F$1162,"")</f>
        <v/>
      </c>
      <c r="Z1161" t="n">
        <v>1</v>
      </c>
      <c r="AA1161">
        <f>IF(ISNUMBER('IN-CLASS_Lab Part C'!$J$1161),'IN-CLASS_Lab Part C'!$J$1161,NA())</f>
        <v/>
      </c>
    </row>
    <row r="1162">
      <c r="J1162">
        <f>IF(AND(ISNUMBER('Data'!$F$1163),'Data'!$F$1163&lt;&gt;999,'Data'!$F$1163&lt;&gt;""),'Data'!$F$1163,"")</f>
        <v/>
      </c>
      <c r="Z1162" t="n">
        <v>1</v>
      </c>
      <c r="AA1162">
        <f>IF(ISNUMBER('IN-CLASS_Lab Part C'!$J$1162),'IN-CLASS_Lab Part C'!$J$1162,NA())</f>
        <v/>
      </c>
    </row>
    <row r="1163">
      <c r="J1163">
        <f>IF(AND(ISNUMBER('Data'!$F$1164),'Data'!$F$1164&lt;&gt;999,'Data'!$F$1164&lt;&gt;""),'Data'!$F$1164,"")</f>
        <v/>
      </c>
      <c r="Z1163" t="n">
        <v>1</v>
      </c>
      <c r="AA1163">
        <f>IF(ISNUMBER('IN-CLASS_Lab Part C'!$J$1163),'IN-CLASS_Lab Part C'!$J$1163,NA())</f>
        <v/>
      </c>
    </row>
    <row r="1164">
      <c r="J1164">
        <f>IF(AND(ISNUMBER('Data'!$F$1165),'Data'!$F$1165&lt;&gt;999,'Data'!$F$1165&lt;&gt;""),'Data'!$F$1165,"")</f>
        <v/>
      </c>
      <c r="Z1164" t="n">
        <v>1</v>
      </c>
      <c r="AA1164">
        <f>IF(ISNUMBER('IN-CLASS_Lab Part C'!$J$1164),'IN-CLASS_Lab Part C'!$J$1164,NA())</f>
        <v/>
      </c>
    </row>
    <row r="1165">
      <c r="J1165">
        <f>IF(AND(ISNUMBER('Data'!$F$1166),'Data'!$F$1166&lt;&gt;999,'Data'!$F$1166&lt;&gt;""),'Data'!$F$1166,"")</f>
        <v/>
      </c>
      <c r="Z1165" t="n">
        <v>1</v>
      </c>
      <c r="AA1165">
        <f>IF(ISNUMBER('IN-CLASS_Lab Part C'!$J$1165),'IN-CLASS_Lab Part C'!$J$1165,NA())</f>
        <v/>
      </c>
    </row>
    <row r="1166">
      <c r="J1166">
        <f>IF(AND(ISNUMBER('Data'!$F$1167),'Data'!$F$1167&lt;&gt;999,'Data'!$F$1167&lt;&gt;""),'Data'!$F$1167,"")</f>
        <v/>
      </c>
      <c r="Z1166" t="n">
        <v>1</v>
      </c>
      <c r="AA1166">
        <f>IF(ISNUMBER('IN-CLASS_Lab Part C'!$J$1166),'IN-CLASS_Lab Part C'!$J$1166,NA())</f>
        <v/>
      </c>
    </row>
    <row r="1167">
      <c r="J1167">
        <f>IF(AND(ISNUMBER('Data'!$F$1168),'Data'!$F$1168&lt;&gt;999,'Data'!$F$1168&lt;&gt;""),'Data'!$F$1168,"")</f>
        <v/>
      </c>
      <c r="Z1167" t="n">
        <v>1</v>
      </c>
      <c r="AA1167">
        <f>IF(ISNUMBER('IN-CLASS_Lab Part C'!$J$1167),'IN-CLASS_Lab Part C'!$J$1167,NA())</f>
        <v/>
      </c>
    </row>
    <row r="1168">
      <c r="J1168">
        <f>IF(AND(ISNUMBER('Data'!$F$1169),'Data'!$F$1169&lt;&gt;999,'Data'!$F$1169&lt;&gt;""),'Data'!$F$1169,"")</f>
        <v/>
      </c>
      <c r="Z1168" t="n">
        <v>1</v>
      </c>
      <c r="AA1168">
        <f>IF(ISNUMBER('IN-CLASS_Lab Part C'!$J$1168),'IN-CLASS_Lab Part C'!$J$1168,NA())</f>
        <v/>
      </c>
    </row>
    <row r="1169">
      <c r="J1169">
        <f>IF(AND(ISNUMBER('Data'!$F$1170),'Data'!$F$1170&lt;&gt;999,'Data'!$F$1170&lt;&gt;""),'Data'!$F$1170,"")</f>
        <v/>
      </c>
      <c r="Z1169" t="n">
        <v>1</v>
      </c>
      <c r="AA1169">
        <f>IF(ISNUMBER('IN-CLASS_Lab Part C'!$J$1169),'IN-CLASS_Lab Part C'!$J$1169,NA())</f>
        <v/>
      </c>
    </row>
    <row r="1170">
      <c r="J1170">
        <f>IF(AND(ISNUMBER('Data'!$F$1171),'Data'!$F$1171&lt;&gt;999,'Data'!$F$1171&lt;&gt;""),'Data'!$F$1171,"")</f>
        <v/>
      </c>
      <c r="Z1170" t="n">
        <v>1</v>
      </c>
      <c r="AA1170">
        <f>IF(ISNUMBER('IN-CLASS_Lab Part C'!$J$1170),'IN-CLASS_Lab Part C'!$J$1170,NA())</f>
        <v/>
      </c>
    </row>
    <row r="1171">
      <c r="J1171">
        <f>IF(AND(ISNUMBER('Data'!$F$1172),'Data'!$F$1172&lt;&gt;999,'Data'!$F$1172&lt;&gt;""),'Data'!$F$1172,"")</f>
        <v/>
      </c>
      <c r="Z1171" t="n">
        <v>1</v>
      </c>
      <c r="AA1171">
        <f>IF(ISNUMBER('IN-CLASS_Lab Part C'!$J$1171),'IN-CLASS_Lab Part C'!$J$1171,NA())</f>
        <v/>
      </c>
    </row>
    <row r="1172">
      <c r="J1172">
        <f>IF(AND(ISNUMBER('Data'!$F$1173),'Data'!$F$1173&lt;&gt;999,'Data'!$F$1173&lt;&gt;""),'Data'!$F$1173,"")</f>
        <v/>
      </c>
      <c r="Z1172" t="n">
        <v>1</v>
      </c>
      <c r="AA1172">
        <f>IF(ISNUMBER('IN-CLASS_Lab Part C'!$J$1172),'IN-CLASS_Lab Part C'!$J$1172,NA())</f>
        <v/>
      </c>
    </row>
    <row r="1173">
      <c r="J1173">
        <f>IF(AND(ISNUMBER('Data'!$F$1174),'Data'!$F$1174&lt;&gt;999,'Data'!$F$1174&lt;&gt;""),'Data'!$F$1174,"")</f>
        <v/>
      </c>
      <c r="Z1173" t="n">
        <v>1</v>
      </c>
      <c r="AA1173">
        <f>IF(ISNUMBER('IN-CLASS_Lab Part C'!$J$1173),'IN-CLASS_Lab Part C'!$J$1173,NA())</f>
        <v/>
      </c>
    </row>
    <row r="1174">
      <c r="J1174">
        <f>IF(AND(ISNUMBER('Data'!$F$1175),'Data'!$F$1175&lt;&gt;999,'Data'!$F$1175&lt;&gt;""),'Data'!$F$1175,"")</f>
        <v/>
      </c>
      <c r="Z1174" t="n">
        <v>1</v>
      </c>
      <c r="AA1174">
        <f>IF(ISNUMBER('IN-CLASS_Lab Part C'!$J$1174),'IN-CLASS_Lab Part C'!$J$1174,NA())</f>
        <v/>
      </c>
    </row>
    <row r="1175">
      <c r="J1175">
        <f>IF(AND(ISNUMBER('Data'!$F$1176),'Data'!$F$1176&lt;&gt;999,'Data'!$F$1176&lt;&gt;""),'Data'!$F$1176,"")</f>
        <v/>
      </c>
      <c r="Z1175" t="n">
        <v>1</v>
      </c>
      <c r="AA1175">
        <f>IF(ISNUMBER('IN-CLASS_Lab Part C'!$J$1175),'IN-CLASS_Lab Part C'!$J$1175,NA())</f>
        <v/>
      </c>
    </row>
    <row r="1176">
      <c r="J1176">
        <f>IF(AND(ISNUMBER('Data'!$F$1177),'Data'!$F$1177&lt;&gt;999,'Data'!$F$1177&lt;&gt;""),'Data'!$F$1177,"")</f>
        <v/>
      </c>
      <c r="Z1176" t="n">
        <v>1</v>
      </c>
      <c r="AA1176">
        <f>IF(ISNUMBER('IN-CLASS_Lab Part C'!$J$1176),'IN-CLASS_Lab Part C'!$J$1176,NA())</f>
        <v/>
      </c>
    </row>
    <row r="1177">
      <c r="J1177">
        <f>IF(AND(ISNUMBER('Data'!$F$1178),'Data'!$F$1178&lt;&gt;999,'Data'!$F$1178&lt;&gt;""),'Data'!$F$1178,"")</f>
        <v/>
      </c>
      <c r="Z1177" t="n">
        <v>1</v>
      </c>
      <c r="AA1177">
        <f>IF(ISNUMBER('IN-CLASS_Lab Part C'!$J$1177),'IN-CLASS_Lab Part C'!$J$1177,NA())</f>
        <v/>
      </c>
    </row>
    <row r="1178">
      <c r="J1178">
        <f>IF(AND(ISNUMBER('Data'!$F$1179),'Data'!$F$1179&lt;&gt;999,'Data'!$F$1179&lt;&gt;""),'Data'!$F$1179,"")</f>
        <v/>
      </c>
      <c r="Z1178" t="n">
        <v>1</v>
      </c>
      <c r="AA1178">
        <f>IF(ISNUMBER('IN-CLASS_Lab Part C'!$J$1178),'IN-CLASS_Lab Part C'!$J$1178,NA())</f>
        <v/>
      </c>
    </row>
    <row r="1179">
      <c r="J1179">
        <f>IF(AND(ISNUMBER('Data'!$F$1180),'Data'!$F$1180&lt;&gt;999,'Data'!$F$1180&lt;&gt;""),'Data'!$F$1180,"")</f>
        <v/>
      </c>
      <c r="Z1179" t="n">
        <v>1</v>
      </c>
      <c r="AA1179">
        <f>IF(ISNUMBER('IN-CLASS_Lab Part C'!$J$1179),'IN-CLASS_Lab Part C'!$J$1179,NA())</f>
        <v/>
      </c>
    </row>
    <row r="1180">
      <c r="J1180">
        <f>IF(AND(ISNUMBER('Data'!$F$1181),'Data'!$F$1181&lt;&gt;999,'Data'!$F$1181&lt;&gt;""),'Data'!$F$1181,"")</f>
        <v/>
      </c>
      <c r="Z1180" t="n">
        <v>1</v>
      </c>
      <c r="AA1180">
        <f>IF(ISNUMBER('IN-CLASS_Lab Part C'!$J$1180),'IN-CLASS_Lab Part C'!$J$1180,NA())</f>
        <v/>
      </c>
    </row>
    <row r="1181">
      <c r="J1181">
        <f>IF(AND(ISNUMBER('Data'!$F$1182),'Data'!$F$1182&lt;&gt;999,'Data'!$F$1182&lt;&gt;""),'Data'!$F$1182,"")</f>
        <v/>
      </c>
      <c r="Z1181" t="n">
        <v>1</v>
      </c>
      <c r="AA1181">
        <f>IF(ISNUMBER('IN-CLASS_Lab Part C'!$J$1181),'IN-CLASS_Lab Part C'!$J$1181,NA())</f>
        <v/>
      </c>
    </row>
    <row r="1182">
      <c r="J1182">
        <f>IF(AND(ISNUMBER('Data'!$F$1183),'Data'!$F$1183&lt;&gt;999,'Data'!$F$1183&lt;&gt;""),'Data'!$F$1183,"")</f>
        <v/>
      </c>
      <c r="Z1182" t="n">
        <v>1</v>
      </c>
      <c r="AA1182">
        <f>IF(ISNUMBER('IN-CLASS_Lab Part C'!$J$1182),'IN-CLASS_Lab Part C'!$J$1182,NA())</f>
        <v/>
      </c>
    </row>
    <row r="1183">
      <c r="J1183">
        <f>IF(AND(ISNUMBER('Data'!$F$1184),'Data'!$F$1184&lt;&gt;999,'Data'!$F$1184&lt;&gt;""),'Data'!$F$1184,"")</f>
        <v/>
      </c>
      <c r="Z1183" t="n">
        <v>1</v>
      </c>
      <c r="AA1183">
        <f>IF(ISNUMBER('IN-CLASS_Lab Part C'!$J$1183),'IN-CLASS_Lab Part C'!$J$1183,NA())</f>
        <v/>
      </c>
    </row>
    <row r="1184">
      <c r="J1184">
        <f>IF(AND(ISNUMBER('Data'!$F$1185),'Data'!$F$1185&lt;&gt;999,'Data'!$F$1185&lt;&gt;""),'Data'!$F$1185,"")</f>
        <v/>
      </c>
      <c r="Z1184" t="n">
        <v>1</v>
      </c>
      <c r="AA1184">
        <f>IF(ISNUMBER('IN-CLASS_Lab Part C'!$J$1184),'IN-CLASS_Lab Part C'!$J$1184,NA())</f>
        <v/>
      </c>
    </row>
    <row r="1185">
      <c r="J1185">
        <f>IF(AND(ISNUMBER('Data'!$F$1186),'Data'!$F$1186&lt;&gt;999,'Data'!$F$1186&lt;&gt;""),'Data'!$F$1186,"")</f>
        <v/>
      </c>
      <c r="Z1185" t="n">
        <v>1</v>
      </c>
      <c r="AA1185">
        <f>IF(ISNUMBER('IN-CLASS_Lab Part C'!$J$1185),'IN-CLASS_Lab Part C'!$J$1185,NA())</f>
        <v/>
      </c>
    </row>
    <row r="1186">
      <c r="J1186">
        <f>IF(AND(ISNUMBER('Data'!$F$1187),'Data'!$F$1187&lt;&gt;999,'Data'!$F$1187&lt;&gt;""),'Data'!$F$1187,"")</f>
        <v/>
      </c>
      <c r="Z1186" t="n">
        <v>1</v>
      </c>
      <c r="AA1186">
        <f>IF(ISNUMBER('IN-CLASS_Lab Part C'!$J$1186),'IN-CLASS_Lab Part C'!$J$1186,NA())</f>
        <v/>
      </c>
    </row>
    <row r="1187">
      <c r="J1187">
        <f>IF(AND(ISNUMBER('Data'!$F$1188),'Data'!$F$1188&lt;&gt;999,'Data'!$F$1188&lt;&gt;""),'Data'!$F$1188,"")</f>
        <v/>
      </c>
      <c r="Z1187" t="n">
        <v>1</v>
      </c>
      <c r="AA1187">
        <f>IF(ISNUMBER('IN-CLASS_Lab Part C'!$J$1187),'IN-CLASS_Lab Part C'!$J$1187,NA())</f>
        <v/>
      </c>
    </row>
    <row r="1188">
      <c r="J1188">
        <f>IF(AND(ISNUMBER('Data'!$F$1189),'Data'!$F$1189&lt;&gt;999,'Data'!$F$1189&lt;&gt;""),'Data'!$F$1189,"")</f>
        <v/>
      </c>
      <c r="Z1188" t="n">
        <v>1</v>
      </c>
      <c r="AA1188">
        <f>IF(ISNUMBER('IN-CLASS_Lab Part C'!$J$1188),'IN-CLASS_Lab Part C'!$J$1188,NA())</f>
        <v/>
      </c>
    </row>
    <row r="1189">
      <c r="J1189">
        <f>IF(AND(ISNUMBER('Data'!$F$1190),'Data'!$F$1190&lt;&gt;999,'Data'!$F$1190&lt;&gt;""),'Data'!$F$1190,"")</f>
        <v/>
      </c>
      <c r="Z1189" t="n">
        <v>1</v>
      </c>
      <c r="AA1189">
        <f>IF(ISNUMBER('IN-CLASS_Lab Part C'!$J$1189),'IN-CLASS_Lab Part C'!$J$1189,NA())</f>
        <v/>
      </c>
    </row>
    <row r="1190">
      <c r="J1190">
        <f>IF(AND(ISNUMBER('Data'!$F$1191),'Data'!$F$1191&lt;&gt;999,'Data'!$F$1191&lt;&gt;""),'Data'!$F$1191,"")</f>
        <v/>
      </c>
      <c r="Z1190" t="n">
        <v>1</v>
      </c>
      <c r="AA1190">
        <f>IF(ISNUMBER('IN-CLASS_Lab Part C'!$J$1190),'IN-CLASS_Lab Part C'!$J$1190,NA())</f>
        <v/>
      </c>
    </row>
    <row r="1191">
      <c r="J1191">
        <f>IF(AND(ISNUMBER('Data'!$F$1192),'Data'!$F$1192&lt;&gt;999,'Data'!$F$1192&lt;&gt;""),'Data'!$F$1192,"")</f>
        <v/>
      </c>
      <c r="Z1191" t="n">
        <v>1</v>
      </c>
      <c r="AA1191">
        <f>IF(ISNUMBER('IN-CLASS_Lab Part C'!$J$1191),'IN-CLASS_Lab Part C'!$J$1191,NA())</f>
        <v/>
      </c>
    </row>
    <row r="1192">
      <c r="J1192">
        <f>IF(AND(ISNUMBER('Data'!$F$1193),'Data'!$F$1193&lt;&gt;999,'Data'!$F$1193&lt;&gt;""),'Data'!$F$1193,"")</f>
        <v/>
      </c>
      <c r="Z1192" t="n">
        <v>1</v>
      </c>
      <c r="AA1192">
        <f>IF(ISNUMBER('IN-CLASS_Lab Part C'!$J$1192),'IN-CLASS_Lab Part C'!$J$1192,NA())</f>
        <v/>
      </c>
    </row>
    <row r="1193">
      <c r="J1193">
        <f>IF(AND(ISNUMBER('Data'!$F$1194),'Data'!$F$1194&lt;&gt;999,'Data'!$F$1194&lt;&gt;""),'Data'!$F$1194,"")</f>
        <v/>
      </c>
      <c r="Z1193" t="n">
        <v>1</v>
      </c>
      <c r="AA1193">
        <f>IF(ISNUMBER('IN-CLASS_Lab Part C'!$J$1193),'IN-CLASS_Lab Part C'!$J$1193,NA())</f>
        <v/>
      </c>
    </row>
    <row r="1194">
      <c r="J1194">
        <f>IF(AND(ISNUMBER('Data'!$F$1195),'Data'!$F$1195&lt;&gt;999,'Data'!$F$1195&lt;&gt;""),'Data'!$F$1195,"")</f>
        <v/>
      </c>
      <c r="Z1194" t="n">
        <v>1</v>
      </c>
      <c r="AA1194">
        <f>IF(ISNUMBER('IN-CLASS_Lab Part C'!$J$1194),'IN-CLASS_Lab Part C'!$J$1194,NA())</f>
        <v/>
      </c>
    </row>
    <row r="1195">
      <c r="J1195">
        <f>IF(AND(ISNUMBER('Data'!$F$1196),'Data'!$F$1196&lt;&gt;999,'Data'!$F$1196&lt;&gt;""),'Data'!$F$1196,"")</f>
        <v/>
      </c>
      <c r="Z1195" t="n">
        <v>1</v>
      </c>
      <c r="AA1195">
        <f>IF(ISNUMBER('IN-CLASS_Lab Part C'!$J$1195),'IN-CLASS_Lab Part C'!$J$1195,NA())</f>
        <v/>
      </c>
    </row>
    <row r="1196">
      <c r="J1196">
        <f>IF(AND(ISNUMBER('Data'!$F$1197),'Data'!$F$1197&lt;&gt;999,'Data'!$F$1197&lt;&gt;""),'Data'!$F$1197,"")</f>
        <v/>
      </c>
      <c r="Z1196" t="n">
        <v>1</v>
      </c>
      <c r="AA1196">
        <f>IF(ISNUMBER('IN-CLASS_Lab Part C'!$J$1196),'IN-CLASS_Lab Part C'!$J$1196,NA())</f>
        <v/>
      </c>
    </row>
    <row r="1197">
      <c r="J1197">
        <f>IF(AND(ISNUMBER('Data'!$F$1198),'Data'!$F$1198&lt;&gt;999,'Data'!$F$1198&lt;&gt;""),'Data'!$F$1198,"")</f>
        <v/>
      </c>
      <c r="Z1197" t="n">
        <v>1</v>
      </c>
      <c r="AA1197">
        <f>IF(ISNUMBER('IN-CLASS_Lab Part C'!$J$1197),'IN-CLASS_Lab Part C'!$J$1197,NA())</f>
        <v/>
      </c>
    </row>
    <row r="1198">
      <c r="J1198">
        <f>IF(AND(ISNUMBER('Data'!$F$1199),'Data'!$F$1199&lt;&gt;999,'Data'!$F$1199&lt;&gt;""),'Data'!$F$1199,"")</f>
        <v/>
      </c>
      <c r="Z1198" t="n">
        <v>1</v>
      </c>
      <c r="AA1198">
        <f>IF(ISNUMBER('IN-CLASS_Lab Part C'!$J$1198),'IN-CLASS_Lab Part C'!$J$1198,NA())</f>
        <v/>
      </c>
    </row>
    <row r="1199">
      <c r="J1199">
        <f>IF(AND(ISNUMBER('Data'!$F$1200),'Data'!$F$1200&lt;&gt;999,'Data'!$F$1200&lt;&gt;""),'Data'!$F$1200,"")</f>
        <v/>
      </c>
      <c r="Z1199" t="n">
        <v>1</v>
      </c>
      <c r="AA1199">
        <f>IF(ISNUMBER('IN-CLASS_Lab Part C'!$J$1199),'IN-CLASS_Lab Part C'!$J$1199,NA())</f>
        <v/>
      </c>
    </row>
    <row r="1200">
      <c r="J1200">
        <f>IF(AND(ISNUMBER('Data'!$F$1201),'Data'!$F$1201&lt;&gt;999,'Data'!$F$1201&lt;&gt;""),'Data'!$F$1201,"")</f>
        <v/>
      </c>
      <c r="Z1200" t="n">
        <v>1</v>
      </c>
      <c r="AA1200">
        <f>IF(ISNUMBER('IN-CLASS_Lab Part C'!$J$1200),'IN-CLASS_Lab Part C'!$J$1200,NA())</f>
        <v/>
      </c>
    </row>
    <row r="1201">
      <c r="J1201">
        <f>IF(AND(ISNUMBER('Data'!$F$1202),'Data'!$F$1202&lt;&gt;999,'Data'!$F$1202&lt;&gt;""),'Data'!$F$1202,"")</f>
        <v/>
      </c>
      <c r="Z1201" t="n">
        <v>1</v>
      </c>
      <c r="AA1201">
        <f>IF(ISNUMBER('IN-CLASS_Lab Part C'!$J$1201),'IN-CLASS_Lab Part C'!$J$1201,NA())</f>
        <v/>
      </c>
    </row>
    <row r="1202">
      <c r="J1202">
        <f>IF(AND(ISNUMBER('Data'!$F$1203),'Data'!$F$1203&lt;&gt;999,'Data'!$F$1203&lt;&gt;""),'Data'!$F$1203,"")</f>
        <v/>
      </c>
      <c r="Z1202" t="n">
        <v>1</v>
      </c>
      <c r="AA1202">
        <f>IF(ISNUMBER('IN-CLASS_Lab Part C'!$J$1202),'IN-CLASS_Lab Part C'!$J$1202,NA())</f>
        <v/>
      </c>
    </row>
    <row r="1203">
      <c r="J1203">
        <f>IF(AND(ISNUMBER('Data'!$F$1204),'Data'!$F$1204&lt;&gt;999,'Data'!$F$1204&lt;&gt;""),'Data'!$F$1204,"")</f>
        <v/>
      </c>
      <c r="Z1203" t="n">
        <v>1</v>
      </c>
      <c r="AA1203">
        <f>IF(ISNUMBER('IN-CLASS_Lab Part C'!$J$1203),'IN-CLASS_Lab Part C'!$J$1203,NA())</f>
        <v/>
      </c>
    </row>
    <row r="1204">
      <c r="J1204">
        <f>IF(AND(ISNUMBER('Data'!$F$1205),'Data'!$F$1205&lt;&gt;999,'Data'!$F$1205&lt;&gt;""),'Data'!$F$1205,"")</f>
        <v/>
      </c>
      <c r="Z1204" t="n">
        <v>1</v>
      </c>
      <c r="AA1204">
        <f>IF(ISNUMBER('IN-CLASS_Lab Part C'!$J$1204),'IN-CLASS_Lab Part C'!$J$1204,NA())</f>
        <v/>
      </c>
    </row>
    <row r="1205">
      <c r="J1205">
        <f>IF(AND(ISNUMBER('Data'!$F$1206),'Data'!$F$1206&lt;&gt;999,'Data'!$F$1206&lt;&gt;""),'Data'!$F$1206,"")</f>
        <v/>
      </c>
      <c r="Z1205" t="n">
        <v>1</v>
      </c>
      <c r="AA1205">
        <f>IF(ISNUMBER('IN-CLASS_Lab Part C'!$J$1205),'IN-CLASS_Lab Part C'!$J$1205,NA())</f>
        <v/>
      </c>
    </row>
    <row r="1206">
      <c r="J1206">
        <f>IF(AND(ISNUMBER('Data'!$F$1207),'Data'!$F$1207&lt;&gt;999,'Data'!$F$1207&lt;&gt;""),'Data'!$F$1207,"")</f>
        <v/>
      </c>
      <c r="Z1206" t="n">
        <v>1</v>
      </c>
      <c r="AA1206">
        <f>IF(ISNUMBER('IN-CLASS_Lab Part C'!$J$1206),'IN-CLASS_Lab Part C'!$J$1206,NA())</f>
        <v/>
      </c>
    </row>
    <row r="1207">
      <c r="J1207">
        <f>IF(AND(ISNUMBER('Data'!$F$1208),'Data'!$F$1208&lt;&gt;999,'Data'!$F$1208&lt;&gt;""),'Data'!$F$1208,"")</f>
        <v/>
      </c>
      <c r="Z1207" t="n">
        <v>1</v>
      </c>
      <c r="AA1207">
        <f>IF(ISNUMBER('IN-CLASS_Lab Part C'!$J$1207),'IN-CLASS_Lab Part C'!$J$1207,NA())</f>
        <v/>
      </c>
    </row>
    <row r="1208">
      <c r="J1208">
        <f>IF(AND(ISNUMBER('Data'!$F$1209),'Data'!$F$1209&lt;&gt;999,'Data'!$F$1209&lt;&gt;""),'Data'!$F$1209,"")</f>
        <v/>
      </c>
      <c r="Z1208" t="n">
        <v>1</v>
      </c>
      <c r="AA1208">
        <f>IF(ISNUMBER('IN-CLASS_Lab Part C'!$J$1208),'IN-CLASS_Lab Part C'!$J$1208,NA())</f>
        <v/>
      </c>
    </row>
    <row r="1209">
      <c r="J1209">
        <f>IF(AND(ISNUMBER('Data'!$F$1210),'Data'!$F$1210&lt;&gt;999,'Data'!$F$1210&lt;&gt;""),'Data'!$F$1210,"")</f>
        <v/>
      </c>
      <c r="Z1209" t="n">
        <v>1</v>
      </c>
      <c r="AA1209">
        <f>IF(ISNUMBER('IN-CLASS_Lab Part C'!$J$1209),'IN-CLASS_Lab Part C'!$J$1209,NA())</f>
        <v/>
      </c>
    </row>
    <row r="1210">
      <c r="J1210">
        <f>IF(AND(ISNUMBER('Data'!$F$1211),'Data'!$F$1211&lt;&gt;999,'Data'!$F$1211&lt;&gt;""),'Data'!$F$1211,"")</f>
        <v/>
      </c>
      <c r="Z1210" t="n">
        <v>1</v>
      </c>
      <c r="AA1210">
        <f>IF(ISNUMBER('IN-CLASS_Lab Part C'!$J$1210),'IN-CLASS_Lab Part C'!$J$1210,NA())</f>
        <v/>
      </c>
    </row>
    <row r="1211">
      <c r="J1211">
        <f>IF(AND(ISNUMBER('Data'!$F$1212),'Data'!$F$1212&lt;&gt;999,'Data'!$F$1212&lt;&gt;""),'Data'!$F$1212,"")</f>
        <v/>
      </c>
      <c r="Z1211" t="n">
        <v>1</v>
      </c>
      <c r="AA1211">
        <f>IF(ISNUMBER('IN-CLASS_Lab Part C'!$J$1211),'IN-CLASS_Lab Part C'!$J$1211,NA())</f>
        <v/>
      </c>
    </row>
    <row r="1212">
      <c r="J1212">
        <f>IF(AND(ISNUMBER('Data'!$F$1213),'Data'!$F$1213&lt;&gt;999,'Data'!$F$1213&lt;&gt;""),'Data'!$F$1213,"")</f>
        <v/>
      </c>
      <c r="Z1212" t="n">
        <v>1</v>
      </c>
      <c r="AA1212">
        <f>IF(ISNUMBER('IN-CLASS_Lab Part C'!$J$1212),'IN-CLASS_Lab Part C'!$J$1212,NA())</f>
        <v/>
      </c>
    </row>
    <row r="1213">
      <c r="J1213">
        <f>IF(AND(ISNUMBER('Data'!$F$1214),'Data'!$F$1214&lt;&gt;999,'Data'!$F$1214&lt;&gt;""),'Data'!$F$1214,"")</f>
        <v/>
      </c>
      <c r="Z1213" t="n">
        <v>1</v>
      </c>
      <c r="AA1213">
        <f>IF(ISNUMBER('IN-CLASS_Lab Part C'!$J$1213),'IN-CLASS_Lab Part C'!$J$1213,NA())</f>
        <v/>
      </c>
    </row>
    <row r="1214">
      <c r="J1214">
        <f>IF(AND(ISNUMBER('Data'!$F$1215),'Data'!$F$1215&lt;&gt;999,'Data'!$F$1215&lt;&gt;""),'Data'!$F$1215,"")</f>
        <v/>
      </c>
      <c r="Z1214" t="n">
        <v>1</v>
      </c>
      <c r="AA1214">
        <f>IF(ISNUMBER('IN-CLASS_Lab Part C'!$J$1214),'IN-CLASS_Lab Part C'!$J$1214,NA())</f>
        <v/>
      </c>
    </row>
    <row r="1215">
      <c r="J1215">
        <f>IF(AND(ISNUMBER('Data'!$F$1216),'Data'!$F$1216&lt;&gt;999,'Data'!$F$1216&lt;&gt;""),'Data'!$F$1216,"")</f>
        <v/>
      </c>
      <c r="Z1215" t="n">
        <v>1</v>
      </c>
      <c r="AA1215">
        <f>IF(ISNUMBER('IN-CLASS_Lab Part C'!$J$1215),'IN-CLASS_Lab Part C'!$J$1215,NA())</f>
        <v/>
      </c>
    </row>
    <row r="1216">
      <c r="J1216">
        <f>IF(AND(ISNUMBER('Data'!$F$1217),'Data'!$F$1217&lt;&gt;999,'Data'!$F$1217&lt;&gt;""),'Data'!$F$1217,"")</f>
        <v/>
      </c>
      <c r="Z1216" t="n">
        <v>1</v>
      </c>
      <c r="AA1216">
        <f>IF(ISNUMBER('IN-CLASS_Lab Part C'!$J$1216),'IN-CLASS_Lab Part C'!$J$1216,NA())</f>
        <v/>
      </c>
    </row>
    <row r="1217">
      <c r="J1217">
        <f>IF(AND(ISNUMBER('Data'!$F$1218),'Data'!$F$1218&lt;&gt;999,'Data'!$F$1218&lt;&gt;""),'Data'!$F$1218,"")</f>
        <v/>
      </c>
      <c r="Z1217" t="n">
        <v>1</v>
      </c>
      <c r="AA1217">
        <f>IF(ISNUMBER('IN-CLASS_Lab Part C'!$J$1217),'IN-CLASS_Lab Part C'!$J$1217,NA())</f>
        <v/>
      </c>
    </row>
    <row r="1218">
      <c r="J1218">
        <f>IF(AND(ISNUMBER('Data'!$F$1219),'Data'!$F$1219&lt;&gt;999,'Data'!$F$1219&lt;&gt;""),'Data'!$F$1219,"")</f>
        <v/>
      </c>
      <c r="Z1218" t="n">
        <v>1</v>
      </c>
      <c r="AA1218">
        <f>IF(ISNUMBER('IN-CLASS_Lab Part C'!$J$1218),'IN-CLASS_Lab Part C'!$J$1218,NA())</f>
        <v/>
      </c>
    </row>
    <row r="1219">
      <c r="J1219">
        <f>IF(AND(ISNUMBER('Data'!$F$1220),'Data'!$F$1220&lt;&gt;999,'Data'!$F$1220&lt;&gt;""),'Data'!$F$1220,"")</f>
        <v/>
      </c>
      <c r="Z1219" t="n">
        <v>1</v>
      </c>
      <c r="AA1219">
        <f>IF(ISNUMBER('IN-CLASS_Lab Part C'!$J$1219),'IN-CLASS_Lab Part C'!$J$1219,NA())</f>
        <v/>
      </c>
    </row>
    <row r="1220">
      <c r="J1220">
        <f>IF(AND(ISNUMBER('Data'!$F$1221),'Data'!$F$1221&lt;&gt;999,'Data'!$F$1221&lt;&gt;""),'Data'!$F$1221,"")</f>
        <v/>
      </c>
      <c r="Z1220" t="n">
        <v>1</v>
      </c>
      <c r="AA1220">
        <f>IF(ISNUMBER('IN-CLASS_Lab Part C'!$J$1220),'IN-CLASS_Lab Part C'!$J$1220,NA())</f>
        <v/>
      </c>
    </row>
    <row r="1221">
      <c r="J1221">
        <f>IF(AND(ISNUMBER('Data'!$F$1222),'Data'!$F$1222&lt;&gt;999,'Data'!$F$1222&lt;&gt;""),'Data'!$F$1222,"")</f>
        <v/>
      </c>
      <c r="Z1221" t="n">
        <v>1</v>
      </c>
      <c r="AA1221">
        <f>IF(ISNUMBER('IN-CLASS_Lab Part C'!$J$1221),'IN-CLASS_Lab Part C'!$J$1221,NA())</f>
        <v/>
      </c>
    </row>
    <row r="1222">
      <c r="J1222">
        <f>IF(AND(ISNUMBER('Data'!$F$1223),'Data'!$F$1223&lt;&gt;999,'Data'!$F$1223&lt;&gt;""),'Data'!$F$1223,"")</f>
        <v/>
      </c>
      <c r="Z1222" t="n">
        <v>1</v>
      </c>
      <c r="AA1222">
        <f>IF(ISNUMBER('IN-CLASS_Lab Part C'!$J$1222),'IN-CLASS_Lab Part C'!$J$1222,NA())</f>
        <v/>
      </c>
    </row>
    <row r="1223">
      <c r="J1223">
        <f>IF(AND(ISNUMBER('Data'!$F$1224),'Data'!$F$1224&lt;&gt;999,'Data'!$F$1224&lt;&gt;""),'Data'!$F$1224,"")</f>
        <v/>
      </c>
      <c r="Z1223" t="n">
        <v>1</v>
      </c>
      <c r="AA1223">
        <f>IF(ISNUMBER('IN-CLASS_Lab Part C'!$J$1223),'IN-CLASS_Lab Part C'!$J$1223,NA())</f>
        <v/>
      </c>
    </row>
    <row r="1224">
      <c r="J1224">
        <f>IF(AND(ISNUMBER('Data'!$F$1225),'Data'!$F$1225&lt;&gt;999,'Data'!$F$1225&lt;&gt;""),'Data'!$F$1225,"")</f>
        <v/>
      </c>
      <c r="Z1224" t="n">
        <v>1</v>
      </c>
      <c r="AA1224">
        <f>IF(ISNUMBER('IN-CLASS_Lab Part C'!$J$1224),'IN-CLASS_Lab Part C'!$J$1224,NA())</f>
        <v/>
      </c>
    </row>
    <row r="1225">
      <c r="J1225">
        <f>IF(AND(ISNUMBER('Data'!$F$1226),'Data'!$F$1226&lt;&gt;999,'Data'!$F$1226&lt;&gt;""),'Data'!$F$1226,"")</f>
        <v/>
      </c>
      <c r="Z1225" t="n">
        <v>1</v>
      </c>
      <c r="AA1225">
        <f>IF(ISNUMBER('IN-CLASS_Lab Part C'!$J$1225),'IN-CLASS_Lab Part C'!$J$1225,NA())</f>
        <v/>
      </c>
    </row>
    <row r="1226">
      <c r="J1226">
        <f>IF(AND(ISNUMBER('Data'!$F$1227),'Data'!$F$1227&lt;&gt;999,'Data'!$F$1227&lt;&gt;""),'Data'!$F$1227,"")</f>
        <v/>
      </c>
      <c r="Z1226" t="n">
        <v>1</v>
      </c>
      <c r="AA1226">
        <f>IF(ISNUMBER('IN-CLASS_Lab Part C'!$J$1226),'IN-CLASS_Lab Part C'!$J$1226,NA())</f>
        <v/>
      </c>
    </row>
    <row r="1227">
      <c r="J1227">
        <f>IF(AND(ISNUMBER('Data'!$F$1228),'Data'!$F$1228&lt;&gt;999,'Data'!$F$1228&lt;&gt;""),'Data'!$F$1228,"")</f>
        <v/>
      </c>
      <c r="Z1227" t="n">
        <v>1</v>
      </c>
      <c r="AA1227">
        <f>IF(ISNUMBER('IN-CLASS_Lab Part C'!$J$1227),'IN-CLASS_Lab Part C'!$J$1227,NA())</f>
        <v/>
      </c>
    </row>
    <row r="1228">
      <c r="J1228">
        <f>IF(AND(ISNUMBER('Data'!$F$1229),'Data'!$F$1229&lt;&gt;999,'Data'!$F$1229&lt;&gt;""),'Data'!$F$1229,"")</f>
        <v/>
      </c>
      <c r="Z1228" t="n">
        <v>1</v>
      </c>
      <c r="AA1228">
        <f>IF(ISNUMBER('IN-CLASS_Lab Part C'!$J$1228),'IN-CLASS_Lab Part C'!$J$1228,NA())</f>
        <v/>
      </c>
    </row>
    <row r="1229">
      <c r="J1229">
        <f>IF(AND(ISNUMBER('Data'!$F$1230),'Data'!$F$1230&lt;&gt;999,'Data'!$F$1230&lt;&gt;""),'Data'!$F$1230,"")</f>
        <v/>
      </c>
      <c r="Z1229" t="n">
        <v>1</v>
      </c>
      <c r="AA1229">
        <f>IF(ISNUMBER('IN-CLASS_Lab Part C'!$J$1229),'IN-CLASS_Lab Part C'!$J$1229,NA())</f>
        <v/>
      </c>
    </row>
    <row r="1230">
      <c r="J1230">
        <f>IF(AND(ISNUMBER('Data'!$F$1231),'Data'!$F$1231&lt;&gt;999,'Data'!$F$1231&lt;&gt;""),'Data'!$F$1231,"")</f>
        <v/>
      </c>
      <c r="Z1230" t="n">
        <v>1</v>
      </c>
      <c r="AA1230">
        <f>IF(ISNUMBER('IN-CLASS_Lab Part C'!$J$1230),'IN-CLASS_Lab Part C'!$J$1230,NA())</f>
        <v/>
      </c>
    </row>
    <row r="1231">
      <c r="J1231">
        <f>IF(AND(ISNUMBER('Data'!$F$1232),'Data'!$F$1232&lt;&gt;999,'Data'!$F$1232&lt;&gt;""),'Data'!$F$1232,"")</f>
        <v/>
      </c>
      <c r="Z1231" t="n">
        <v>1</v>
      </c>
      <c r="AA1231">
        <f>IF(ISNUMBER('IN-CLASS_Lab Part C'!$J$1231),'IN-CLASS_Lab Part C'!$J$1231,NA())</f>
        <v/>
      </c>
    </row>
    <row r="1232">
      <c r="J1232">
        <f>IF(AND(ISNUMBER('Data'!$F$1233),'Data'!$F$1233&lt;&gt;999,'Data'!$F$1233&lt;&gt;""),'Data'!$F$1233,"")</f>
        <v/>
      </c>
      <c r="Z1232" t="n">
        <v>1</v>
      </c>
      <c r="AA1232">
        <f>IF(ISNUMBER('IN-CLASS_Lab Part C'!$J$1232),'IN-CLASS_Lab Part C'!$J$1232,NA())</f>
        <v/>
      </c>
    </row>
    <row r="1233">
      <c r="J1233">
        <f>IF(AND(ISNUMBER('Data'!$F$1234),'Data'!$F$1234&lt;&gt;999,'Data'!$F$1234&lt;&gt;""),'Data'!$F$1234,"")</f>
        <v/>
      </c>
      <c r="Z1233" t="n">
        <v>1</v>
      </c>
      <c r="AA1233">
        <f>IF(ISNUMBER('IN-CLASS_Lab Part C'!$J$1233),'IN-CLASS_Lab Part C'!$J$1233,NA())</f>
        <v/>
      </c>
    </row>
    <row r="1234">
      <c r="J1234">
        <f>IF(AND(ISNUMBER('Data'!$F$1235),'Data'!$F$1235&lt;&gt;999,'Data'!$F$1235&lt;&gt;""),'Data'!$F$1235,"")</f>
        <v/>
      </c>
      <c r="Z1234" t="n">
        <v>1</v>
      </c>
      <c r="AA1234">
        <f>IF(ISNUMBER('IN-CLASS_Lab Part C'!$J$1234),'IN-CLASS_Lab Part C'!$J$1234,NA())</f>
        <v/>
      </c>
    </row>
    <row r="1235">
      <c r="J1235">
        <f>IF(AND(ISNUMBER('Data'!$F$1236),'Data'!$F$1236&lt;&gt;999,'Data'!$F$1236&lt;&gt;""),'Data'!$F$1236,"")</f>
        <v/>
      </c>
      <c r="Z1235" t="n">
        <v>1</v>
      </c>
      <c r="AA1235">
        <f>IF(ISNUMBER('IN-CLASS_Lab Part C'!$J$1235),'IN-CLASS_Lab Part C'!$J$1235,NA())</f>
        <v/>
      </c>
    </row>
    <row r="1236">
      <c r="J1236">
        <f>IF(AND(ISNUMBER('Data'!$F$1237),'Data'!$F$1237&lt;&gt;999,'Data'!$F$1237&lt;&gt;""),'Data'!$F$1237,"")</f>
        <v/>
      </c>
      <c r="Z1236" t="n">
        <v>1</v>
      </c>
      <c r="AA1236">
        <f>IF(ISNUMBER('IN-CLASS_Lab Part C'!$J$1236),'IN-CLASS_Lab Part C'!$J$1236,NA())</f>
        <v/>
      </c>
    </row>
    <row r="1237">
      <c r="J1237">
        <f>IF(AND(ISNUMBER('Data'!$F$1238),'Data'!$F$1238&lt;&gt;999,'Data'!$F$1238&lt;&gt;""),'Data'!$F$1238,"")</f>
        <v/>
      </c>
      <c r="Z1237" t="n">
        <v>1</v>
      </c>
      <c r="AA1237">
        <f>IF(ISNUMBER('IN-CLASS_Lab Part C'!$J$1237),'IN-CLASS_Lab Part C'!$J$1237,NA())</f>
        <v/>
      </c>
    </row>
    <row r="1238">
      <c r="J1238">
        <f>IF(AND(ISNUMBER('Data'!$F$1239),'Data'!$F$1239&lt;&gt;999,'Data'!$F$1239&lt;&gt;""),'Data'!$F$1239,"")</f>
        <v/>
      </c>
      <c r="Z1238" t="n">
        <v>1</v>
      </c>
      <c r="AA1238">
        <f>IF(ISNUMBER('IN-CLASS_Lab Part C'!$J$1238),'IN-CLASS_Lab Part C'!$J$1238,NA())</f>
        <v/>
      </c>
    </row>
    <row r="1239">
      <c r="J1239">
        <f>IF(AND(ISNUMBER('Data'!$F$1240),'Data'!$F$1240&lt;&gt;999,'Data'!$F$1240&lt;&gt;""),'Data'!$F$1240,"")</f>
        <v/>
      </c>
      <c r="Z1239" t="n">
        <v>1</v>
      </c>
      <c r="AA1239">
        <f>IF(ISNUMBER('IN-CLASS_Lab Part C'!$J$1239),'IN-CLASS_Lab Part C'!$J$1239,NA())</f>
        <v/>
      </c>
    </row>
    <row r="1240">
      <c r="J1240">
        <f>IF(AND(ISNUMBER('Data'!$F$1241),'Data'!$F$1241&lt;&gt;999,'Data'!$F$1241&lt;&gt;""),'Data'!$F$1241,"")</f>
        <v/>
      </c>
      <c r="Z1240" t="n">
        <v>1</v>
      </c>
      <c r="AA1240">
        <f>IF(ISNUMBER('IN-CLASS_Lab Part C'!$J$1240),'IN-CLASS_Lab Part C'!$J$1240,NA())</f>
        <v/>
      </c>
    </row>
    <row r="1241">
      <c r="J1241">
        <f>IF(AND(ISNUMBER('Data'!$F$1242),'Data'!$F$1242&lt;&gt;999,'Data'!$F$1242&lt;&gt;""),'Data'!$F$1242,"")</f>
        <v/>
      </c>
      <c r="Z1241" t="n">
        <v>1</v>
      </c>
      <c r="AA1241">
        <f>IF(ISNUMBER('IN-CLASS_Lab Part C'!$J$1241),'IN-CLASS_Lab Part C'!$J$1241,NA())</f>
        <v/>
      </c>
    </row>
    <row r="1242">
      <c r="J1242">
        <f>IF(AND(ISNUMBER('Data'!$F$1243),'Data'!$F$1243&lt;&gt;999,'Data'!$F$1243&lt;&gt;""),'Data'!$F$1243,"")</f>
        <v/>
      </c>
      <c r="Z1242" t="n">
        <v>1</v>
      </c>
      <c r="AA1242">
        <f>IF(ISNUMBER('IN-CLASS_Lab Part C'!$J$1242),'IN-CLASS_Lab Part C'!$J$1242,NA())</f>
        <v/>
      </c>
    </row>
    <row r="1243">
      <c r="J1243">
        <f>IF(AND(ISNUMBER('Data'!$F$1244),'Data'!$F$1244&lt;&gt;999,'Data'!$F$1244&lt;&gt;""),'Data'!$F$1244,"")</f>
        <v/>
      </c>
      <c r="Z1243" t="n">
        <v>1</v>
      </c>
      <c r="AA1243">
        <f>IF(ISNUMBER('IN-CLASS_Lab Part C'!$J$1243),'IN-CLASS_Lab Part C'!$J$1243,NA())</f>
        <v/>
      </c>
    </row>
    <row r="1244">
      <c r="J1244">
        <f>IF(AND(ISNUMBER('Data'!$F$1245),'Data'!$F$1245&lt;&gt;999,'Data'!$F$1245&lt;&gt;""),'Data'!$F$1245,"")</f>
        <v/>
      </c>
      <c r="Z1244" t="n">
        <v>1</v>
      </c>
      <c r="AA1244">
        <f>IF(ISNUMBER('IN-CLASS_Lab Part C'!$J$1244),'IN-CLASS_Lab Part C'!$J$1244,NA())</f>
        <v/>
      </c>
    </row>
    <row r="1245">
      <c r="J1245">
        <f>IF(AND(ISNUMBER('Data'!$F$1246),'Data'!$F$1246&lt;&gt;999,'Data'!$F$1246&lt;&gt;""),'Data'!$F$1246,"")</f>
        <v/>
      </c>
      <c r="Z1245" t="n">
        <v>1</v>
      </c>
      <c r="AA1245">
        <f>IF(ISNUMBER('IN-CLASS_Lab Part C'!$J$1245),'IN-CLASS_Lab Part C'!$J$1245,NA())</f>
        <v/>
      </c>
    </row>
    <row r="1246">
      <c r="J1246">
        <f>IF(AND(ISNUMBER('Data'!$F$1247),'Data'!$F$1247&lt;&gt;999,'Data'!$F$1247&lt;&gt;""),'Data'!$F$1247,"")</f>
        <v/>
      </c>
      <c r="Z1246" t="n">
        <v>1</v>
      </c>
      <c r="AA1246">
        <f>IF(ISNUMBER('IN-CLASS_Lab Part C'!$J$1246),'IN-CLASS_Lab Part C'!$J$1246,NA())</f>
        <v/>
      </c>
    </row>
    <row r="1247">
      <c r="J1247">
        <f>IF(AND(ISNUMBER('Data'!$F$1248),'Data'!$F$1248&lt;&gt;999,'Data'!$F$1248&lt;&gt;""),'Data'!$F$1248,"")</f>
        <v/>
      </c>
      <c r="Z1247" t="n">
        <v>1</v>
      </c>
      <c r="AA1247">
        <f>IF(ISNUMBER('IN-CLASS_Lab Part C'!$J$1247),'IN-CLASS_Lab Part C'!$J$1247,NA())</f>
        <v/>
      </c>
    </row>
    <row r="1248">
      <c r="J1248">
        <f>IF(AND(ISNUMBER('Data'!$F$1249),'Data'!$F$1249&lt;&gt;999,'Data'!$F$1249&lt;&gt;""),'Data'!$F$1249,"")</f>
        <v/>
      </c>
      <c r="Z1248" t="n">
        <v>1</v>
      </c>
      <c r="AA1248">
        <f>IF(ISNUMBER('IN-CLASS_Lab Part C'!$J$1248),'IN-CLASS_Lab Part C'!$J$1248,NA())</f>
        <v/>
      </c>
    </row>
    <row r="1249">
      <c r="J1249">
        <f>IF(AND(ISNUMBER('Data'!$F$1250),'Data'!$F$1250&lt;&gt;999,'Data'!$F$1250&lt;&gt;""),'Data'!$F$1250,"")</f>
        <v/>
      </c>
      <c r="Z1249" t="n">
        <v>1</v>
      </c>
      <c r="AA1249">
        <f>IF(ISNUMBER('IN-CLASS_Lab Part C'!$J$1249),'IN-CLASS_Lab Part C'!$J$1249,NA())</f>
        <v/>
      </c>
    </row>
    <row r="1250">
      <c r="J1250">
        <f>IF(AND(ISNUMBER('Data'!$F$1251),'Data'!$F$1251&lt;&gt;999,'Data'!$F$1251&lt;&gt;""),'Data'!$F$1251,"")</f>
        <v/>
      </c>
      <c r="Z1250" t="n">
        <v>1</v>
      </c>
      <c r="AA1250">
        <f>IF(ISNUMBER('IN-CLASS_Lab Part C'!$J$1250),'IN-CLASS_Lab Part C'!$J$1250,NA())</f>
        <v/>
      </c>
    </row>
    <row r="1251">
      <c r="J1251">
        <f>IF(AND(ISNUMBER('Data'!$F$1252),'Data'!$F$1252&lt;&gt;999,'Data'!$F$1252&lt;&gt;""),'Data'!$F$1252,"")</f>
        <v/>
      </c>
      <c r="Z1251" t="n">
        <v>1</v>
      </c>
      <c r="AA1251">
        <f>IF(ISNUMBER('IN-CLASS_Lab Part C'!$J$1251),'IN-CLASS_Lab Part C'!$J$1251,NA())</f>
        <v/>
      </c>
    </row>
    <row r="1252">
      <c r="J1252">
        <f>IF(AND(ISNUMBER('Data'!$F$1253),'Data'!$F$1253&lt;&gt;999,'Data'!$F$1253&lt;&gt;""),'Data'!$F$1253,"")</f>
        <v/>
      </c>
      <c r="Z1252" t="n">
        <v>1</v>
      </c>
      <c r="AA1252">
        <f>IF(ISNUMBER('IN-CLASS_Lab Part C'!$J$1252),'IN-CLASS_Lab Part C'!$J$1252,NA())</f>
        <v/>
      </c>
    </row>
    <row r="1253">
      <c r="J1253">
        <f>IF(AND(ISNUMBER('Data'!$F$1254),'Data'!$F$1254&lt;&gt;999,'Data'!$F$1254&lt;&gt;""),'Data'!$F$1254,"")</f>
        <v/>
      </c>
      <c r="Z1253" t="n">
        <v>1</v>
      </c>
      <c r="AA1253">
        <f>IF(ISNUMBER('IN-CLASS_Lab Part C'!$J$1253),'IN-CLASS_Lab Part C'!$J$1253,NA())</f>
        <v/>
      </c>
    </row>
    <row r="1254">
      <c r="J1254">
        <f>IF(AND(ISNUMBER('Data'!$F$1255),'Data'!$F$1255&lt;&gt;999,'Data'!$F$1255&lt;&gt;""),'Data'!$F$1255,"")</f>
        <v/>
      </c>
      <c r="Z1254" t="n">
        <v>1</v>
      </c>
      <c r="AA1254">
        <f>IF(ISNUMBER('IN-CLASS_Lab Part C'!$J$1254),'IN-CLASS_Lab Part C'!$J$1254,NA())</f>
        <v/>
      </c>
    </row>
    <row r="1255">
      <c r="J1255">
        <f>IF(AND(ISNUMBER('Data'!$F$1256),'Data'!$F$1256&lt;&gt;999,'Data'!$F$1256&lt;&gt;""),'Data'!$F$1256,"")</f>
        <v/>
      </c>
      <c r="Z1255" t="n">
        <v>1</v>
      </c>
      <c r="AA1255">
        <f>IF(ISNUMBER('IN-CLASS_Lab Part C'!$J$1255),'IN-CLASS_Lab Part C'!$J$1255,NA())</f>
        <v/>
      </c>
    </row>
    <row r="1256">
      <c r="J1256">
        <f>IF(AND(ISNUMBER('Data'!$F$1257),'Data'!$F$1257&lt;&gt;999,'Data'!$F$1257&lt;&gt;""),'Data'!$F$1257,"")</f>
        <v/>
      </c>
      <c r="Z1256" t="n">
        <v>1</v>
      </c>
      <c r="AA1256">
        <f>IF(ISNUMBER('IN-CLASS_Lab Part C'!$J$1256),'IN-CLASS_Lab Part C'!$J$1256,NA())</f>
        <v/>
      </c>
    </row>
    <row r="1257">
      <c r="J1257">
        <f>IF(AND(ISNUMBER('Data'!$F$1258),'Data'!$F$1258&lt;&gt;999,'Data'!$F$1258&lt;&gt;""),'Data'!$F$1258,"")</f>
        <v/>
      </c>
      <c r="Z1257" t="n">
        <v>1</v>
      </c>
      <c r="AA1257">
        <f>IF(ISNUMBER('IN-CLASS_Lab Part C'!$J$1257),'IN-CLASS_Lab Part C'!$J$1257,NA())</f>
        <v/>
      </c>
    </row>
    <row r="1258">
      <c r="J1258">
        <f>IF(AND(ISNUMBER('Data'!$F$1259),'Data'!$F$1259&lt;&gt;999,'Data'!$F$1259&lt;&gt;""),'Data'!$F$1259,"")</f>
        <v/>
      </c>
      <c r="Z1258" t="n">
        <v>1</v>
      </c>
      <c r="AA1258">
        <f>IF(ISNUMBER('IN-CLASS_Lab Part C'!$J$1258),'IN-CLASS_Lab Part C'!$J$1258,NA())</f>
        <v/>
      </c>
    </row>
    <row r="1259">
      <c r="J1259">
        <f>IF(AND(ISNUMBER('Data'!$F$1260),'Data'!$F$1260&lt;&gt;999,'Data'!$F$1260&lt;&gt;""),'Data'!$F$1260,"")</f>
        <v/>
      </c>
      <c r="Z1259" t="n">
        <v>1</v>
      </c>
      <c r="AA1259">
        <f>IF(ISNUMBER('IN-CLASS_Lab Part C'!$J$1259),'IN-CLASS_Lab Part C'!$J$1259,NA())</f>
        <v/>
      </c>
    </row>
    <row r="1260">
      <c r="J1260">
        <f>IF(AND(ISNUMBER('Data'!$F$1261),'Data'!$F$1261&lt;&gt;999,'Data'!$F$1261&lt;&gt;""),'Data'!$F$1261,"")</f>
        <v/>
      </c>
      <c r="Z1260" t="n">
        <v>1</v>
      </c>
      <c r="AA1260">
        <f>IF(ISNUMBER('IN-CLASS_Lab Part C'!$J$1260),'IN-CLASS_Lab Part C'!$J$1260,NA())</f>
        <v/>
      </c>
    </row>
    <row r="1261">
      <c r="J1261">
        <f>IF(AND(ISNUMBER('Data'!$F$1262),'Data'!$F$1262&lt;&gt;999,'Data'!$F$1262&lt;&gt;""),'Data'!$F$1262,"")</f>
        <v/>
      </c>
      <c r="Z1261" t="n">
        <v>1</v>
      </c>
      <c r="AA1261">
        <f>IF(ISNUMBER('IN-CLASS_Lab Part C'!$J$1261),'IN-CLASS_Lab Part C'!$J$1261,NA())</f>
        <v/>
      </c>
    </row>
    <row r="1262">
      <c r="J1262">
        <f>IF(AND(ISNUMBER('Data'!$F$1263),'Data'!$F$1263&lt;&gt;999,'Data'!$F$1263&lt;&gt;""),'Data'!$F$1263,"")</f>
        <v/>
      </c>
      <c r="Z1262" t="n">
        <v>1</v>
      </c>
      <c r="AA1262">
        <f>IF(ISNUMBER('IN-CLASS_Lab Part C'!$J$1262),'IN-CLASS_Lab Part C'!$J$1262,NA())</f>
        <v/>
      </c>
    </row>
    <row r="1263">
      <c r="J1263">
        <f>IF(AND(ISNUMBER('Data'!$F$1264),'Data'!$F$1264&lt;&gt;999,'Data'!$F$1264&lt;&gt;""),'Data'!$F$1264,"")</f>
        <v/>
      </c>
      <c r="Z1263" t="n">
        <v>1</v>
      </c>
      <c r="AA1263">
        <f>IF(ISNUMBER('IN-CLASS_Lab Part C'!$J$1263),'IN-CLASS_Lab Part C'!$J$1263,NA())</f>
        <v/>
      </c>
    </row>
    <row r="1264">
      <c r="J1264">
        <f>IF(AND(ISNUMBER('Data'!$F$1265),'Data'!$F$1265&lt;&gt;999,'Data'!$F$1265&lt;&gt;""),'Data'!$F$1265,"")</f>
        <v/>
      </c>
      <c r="Z1264" t="n">
        <v>1</v>
      </c>
      <c r="AA1264">
        <f>IF(ISNUMBER('IN-CLASS_Lab Part C'!$J$1264),'IN-CLASS_Lab Part C'!$J$1264,NA())</f>
        <v/>
      </c>
    </row>
    <row r="1265">
      <c r="J1265">
        <f>IF(AND(ISNUMBER('Data'!$F$1266),'Data'!$F$1266&lt;&gt;999,'Data'!$F$1266&lt;&gt;""),'Data'!$F$1266,"")</f>
        <v/>
      </c>
      <c r="Z1265" t="n">
        <v>1</v>
      </c>
      <c r="AA1265">
        <f>IF(ISNUMBER('IN-CLASS_Lab Part C'!$J$1265),'IN-CLASS_Lab Part C'!$J$1265,NA())</f>
        <v/>
      </c>
    </row>
    <row r="1266">
      <c r="J1266">
        <f>IF(AND(ISNUMBER('Data'!$F$1267),'Data'!$F$1267&lt;&gt;999,'Data'!$F$1267&lt;&gt;""),'Data'!$F$1267,"")</f>
        <v/>
      </c>
      <c r="Z1266" t="n">
        <v>1</v>
      </c>
      <c r="AA1266">
        <f>IF(ISNUMBER('IN-CLASS_Lab Part C'!$J$1266),'IN-CLASS_Lab Part C'!$J$1266,NA())</f>
        <v/>
      </c>
    </row>
    <row r="1267">
      <c r="J1267">
        <f>IF(AND(ISNUMBER('Data'!$F$1268),'Data'!$F$1268&lt;&gt;999,'Data'!$F$1268&lt;&gt;""),'Data'!$F$1268,"")</f>
        <v/>
      </c>
      <c r="Z1267" t="n">
        <v>1</v>
      </c>
      <c r="AA1267">
        <f>IF(ISNUMBER('IN-CLASS_Lab Part C'!$J$1267),'IN-CLASS_Lab Part C'!$J$1267,NA())</f>
        <v/>
      </c>
    </row>
    <row r="1268">
      <c r="J1268">
        <f>IF(AND(ISNUMBER('Data'!$F$1269),'Data'!$F$1269&lt;&gt;999,'Data'!$F$1269&lt;&gt;""),'Data'!$F$1269,"")</f>
        <v/>
      </c>
      <c r="Z1268" t="n">
        <v>1</v>
      </c>
      <c r="AA1268">
        <f>IF(ISNUMBER('IN-CLASS_Lab Part C'!$J$1268),'IN-CLASS_Lab Part C'!$J$1268,NA())</f>
        <v/>
      </c>
    </row>
    <row r="1269">
      <c r="J1269">
        <f>IF(AND(ISNUMBER('Data'!$F$1270),'Data'!$F$1270&lt;&gt;999,'Data'!$F$1270&lt;&gt;""),'Data'!$F$1270,"")</f>
        <v/>
      </c>
      <c r="Z1269" t="n">
        <v>1</v>
      </c>
      <c r="AA1269">
        <f>IF(ISNUMBER('IN-CLASS_Lab Part C'!$J$1269),'IN-CLASS_Lab Part C'!$J$1269,NA())</f>
        <v/>
      </c>
    </row>
    <row r="1270">
      <c r="J1270">
        <f>IF(AND(ISNUMBER('Data'!$F$1271),'Data'!$F$1271&lt;&gt;999,'Data'!$F$1271&lt;&gt;""),'Data'!$F$1271,"")</f>
        <v/>
      </c>
      <c r="Z1270" t="n">
        <v>1</v>
      </c>
      <c r="AA1270">
        <f>IF(ISNUMBER('IN-CLASS_Lab Part C'!$J$1270),'IN-CLASS_Lab Part C'!$J$1270,NA())</f>
        <v/>
      </c>
    </row>
    <row r="1271">
      <c r="J1271">
        <f>IF(AND(ISNUMBER('Data'!$F$1272),'Data'!$F$1272&lt;&gt;999,'Data'!$F$1272&lt;&gt;""),'Data'!$F$1272,"")</f>
        <v/>
      </c>
      <c r="Z1271" t="n">
        <v>1</v>
      </c>
      <c r="AA1271">
        <f>IF(ISNUMBER('IN-CLASS_Lab Part C'!$J$1271),'IN-CLASS_Lab Part C'!$J$1271,NA())</f>
        <v/>
      </c>
    </row>
    <row r="1272">
      <c r="J1272">
        <f>IF(AND(ISNUMBER('Data'!$F$1273),'Data'!$F$1273&lt;&gt;999,'Data'!$F$1273&lt;&gt;""),'Data'!$F$1273,"")</f>
        <v/>
      </c>
      <c r="Z1272" t="n">
        <v>1</v>
      </c>
      <c r="AA1272">
        <f>IF(ISNUMBER('IN-CLASS_Lab Part C'!$J$1272),'IN-CLASS_Lab Part C'!$J$1272,NA())</f>
        <v/>
      </c>
    </row>
    <row r="1273">
      <c r="J1273">
        <f>IF(AND(ISNUMBER('Data'!$F$1274),'Data'!$F$1274&lt;&gt;999,'Data'!$F$1274&lt;&gt;""),'Data'!$F$1274,"")</f>
        <v/>
      </c>
      <c r="Z1273" t="n">
        <v>1</v>
      </c>
      <c r="AA1273">
        <f>IF(ISNUMBER('IN-CLASS_Lab Part C'!$J$1273),'IN-CLASS_Lab Part C'!$J$1273,NA())</f>
        <v/>
      </c>
    </row>
    <row r="1274">
      <c r="J1274">
        <f>IF(AND(ISNUMBER('Data'!$F$1275),'Data'!$F$1275&lt;&gt;999,'Data'!$F$1275&lt;&gt;""),'Data'!$F$1275,"")</f>
        <v/>
      </c>
      <c r="Z1274" t="n">
        <v>1</v>
      </c>
      <c r="AA1274">
        <f>IF(ISNUMBER('IN-CLASS_Lab Part C'!$J$1274),'IN-CLASS_Lab Part C'!$J$1274,NA())</f>
        <v/>
      </c>
    </row>
    <row r="1275">
      <c r="J1275">
        <f>IF(AND(ISNUMBER('Data'!$F$1276),'Data'!$F$1276&lt;&gt;999,'Data'!$F$1276&lt;&gt;""),'Data'!$F$1276,"")</f>
        <v/>
      </c>
      <c r="Z1275" t="n">
        <v>1</v>
      </c>
      <c r="AA1275">
        <f>IF(ISNUMBER('IN-CLASS_Lab Part C'!$J$1275),'IN-CLASS_Lab Part C'!$J$1275,NA())</f>
        <v/>
      </c>
    </row>
    <row r="1276">
      <c r="J1276">
        <f>IF(AND(ISNUMBER('Data'!$F$1277),'Data'!$F$1277&lt;&gt;999,'Data'!$F$1277&lt;&gt;""),'Data'!$F$1277,"")</f>
        <v/>
      </c>
      <c r="Z1276" t="n">
        <v>1</v>
      </c>
      <c r="AA1276">
        <f>IF(ISNUMBER('IN-CLASS_Lab Part C'!$J$1276),'IN-CLASS_Lab Part C'!$J$1276,NA())</f>
        <v/>
      </c>
    </row>
    <row r="1277">
      <c r="J1277">
        <f>IF(AND(ISNUMBER('Data'!$F$1278),'Data'!$F$1278&lt;&gt;999,'Data'!$F$1278&lt;&gt;""),'Data'!$F$1278,"")</f>
        <v/>
      </c>
      <c r="Z1277" t="n">
        <v>1</v>
      </c>
      <c r="AA1277">
        <f>IF(ISNUMBER('IN-CLASS_Lab Part C'!$J$1277),'IN-CLASS_Lab Part C'!$J$1277,NA())</f>
        <v/>
      </c>
    </row>
    <row r="1278">
      <c r="J1278">
        <f>IF(AND(ISNUMBER('Data'!$F$1279),'Data'!$F$1279&lt;&gt;999,'Data'!$F$1279&lt;&gt;""),'Data'!$F$1279,"")</f>
        <v/>
      </c>
      <c r="Z1278" t="n">
        <v>1</v>
      </c>
      <c r="AA1278">
        <f>IF(ISNUMBER('IN-CLASS_Lab Part C'!$J$1278),'IN-CLASS_Lab Part C'!$J$1278,NA())</f>
        <v/>
      </c>
    </row>
    <row r="1279">
      <c r="J1279">
        <f>IF(AND(ISNUMBER('Data'!$F$1280),'Data'!$F$1280&lt;&gt;999,'Data'!$F$1280&lt;&gt;""),'Data'!$F$1280,"")</f>
        <v/>
      </c>
      <c r="Z1279" t="n">
        <v>1</v>
      </c>
      <c r="AA1279">
        <f>IF(ISNUMBER('IN-CLASS_Lab Part C'!$J$1279),'IN-CLASS_Lab Part C'!$J$1279,NA())</f>
        <v/>
      </c>
    </row>
    <row r="1280">
      <c r="J1280">
        <f>IF(AND(ISNUMBER('Data'!$F$1281),'Data'!$F$1281&lt;&gt;999,'Data'!$F$1281&lt;&gt;""),'Data'!$F$1281,"")</f>
        <v/>
      </c>
      <c r="Z1280" t="n">
        <v>1</v>
      </c>
      <c r="AA1280">
        <f>IF(ISNUMBER('IN-CLASS_Lab Part C'!$J$1280),'IN-CLASS_Lab Part C'!$J$1280,NA())</f>
        <v/>
      </c>
    </row>
    <row r="1281">
      <c r="J1281">
        <f>IF(AND(ISNUMBER('Data'!$F$1282),'Data'!$F$1282&lt;&gt;999,'Data'!$F$1282&lt;&gt;""),'Data'!$F$1282,"")</f>
        <v/>
      </c>
      <c r="Z1281" t="n">
        <v>1</v>
      </c>
      <c r="AA1281">
        <f>IF(ISNUMBER('IN-CLASS_Lab Part C'!$J$1281),'IN-CLASS_Lab Part C'!$J$1281,NA())</f>
        <v/>
      </c>
    </row>
    <row r="1282">
      <c r="J1282">
        <f>IF(AND(ISNUMBER('Data'!$F$1283),'Data'!$F$1283&lt;&gt;999,'Data'!$F$1283&lt;&gt;""),'Data'!$F$1283,"")</f>
        <v/>
      </c>
      <c r="Z1282" t="n">
        <v>1</v>
      </c>
      <c r="AA1282">
        <f>IF(ISNUMBER('IN-CLASS_Lab Part C'!$J$1282),'IN-CLASS_Lab Part C'!$J$1282,NA())</f>
        <v/>
      </c>
    </row>
    <row r="1283">
      <c r="J1283">
        <f>IF(AND(ISNUMBER('Data'!$F$1284),'Data'!$F$1284&lt;&gt;999,'Data'!$F$1284&lt;&gt;""),'Data'!$F$1284,"")</f>
        <v/>
      </c>
      <c r="Z1283" t="n">
        <v>1</v>
      </c>
      <c r="AA1283">
        <f>IF(ISNUMBER('IN-CLASS_Lab Part C'!$J$1283),'IN-CLASS_Lab Part C'!$J$1283,NA())</f>
        <v/>
      </c>
    </row>
    <row r="1284">
      <c r="J1284">
        <f>IF(AND(ISNUMBER('Data'!$F$1285),'Data'!$F$1285&lt;&gt;999,'Data'!$F$1285&lt;&gt;""),'Data'!$F$1285,"")</f>
        <v/>
      </c>
      <c r="Z1284" t="n">
        <v>1</v>
      </c>
      <c r="AA1284">
        <f>IF(ISNUMBER('IN-CLASS_Lab Part C'!$J$1284),'IN-CLASS_Lab Part C'!$J$1284,NA())</f>
        <v/>
      </c>
    </row>
    <row r="1285">
      <c r="J1285">
        <f>IF(AND(ISNUMBER('Data'!$F$1286),'Data'!$F$1286&lt;&gt;999,'Data'!$F$1286&lt;&gt;""),'Data'!$F$1286,"")</f>
        <v/>
      </c>
      <c r="Z1285" t="n">
        <v>1</v>
      </c>
      <c r="AA1285">
        <f>IF(ISNUMBER('IN-CLASS_Lab Part C'!$J$1285),'IN-CLASS_Lab Part C'!$J$1285,NA())</f>
        <v/>
      </c>
    </row>
    <row r="1286">
      <c r="J1286">
        <f>IF(AND(ISNUMBER('Data'!$F$1287),'Data'!$F$1287&lt;&gt;999,'Data'!$F$1287&lt;&gt;""),'Data'!$F$1287,"")</f>
        <v/>
      </c>
      <c r="Z1286" t="n">
        <v>1</v>
      </c>
      <c r="AA1286">
        <f>IF(ISNUMBER('IN-CLASS_Lab Part C'!$J$1286),'IN-CLASS_Lab Part C'!$J$1286,NA())</f>
        <v/>
      </c>
    </row>
    <row r="1287">
      <c r="J1287">
        <f>IF(AND(ISNUMBER('Data'!$F$1288),'Data'!$F$1288&lt;&gt;999,'Data'!$F$1288&lt;&gt;""),'Data'!$F$1288,"")</f>
        <v/>
      </c>
      <c r="Z1287" t="n">
        <v>1</v>
      </c>
      <c r="AA1287">
        <f>IF(ISNUMBER('IN-CLASS_Lab Part C'!$J$1287),'IN-CLASS_Lab Part C'!$J$1287,NA())</f>
        <v/>
      </c>
    </row>
    <row r="1288">
      <c r="J1288">
        <f>IF(AND(ISNUMBER('Data'!$F$1289),'Data'!$F$1289&lt;&gt;999,'Data'!$F$1289&lt;&gt;""),'Data'!$F$1289,"")</f>
        <v/>
      </c>
      <c r="Z1288" t="n">
        <v>1</v>
      </c>
      <c r="AA1288">
        <f>IF(ISNUMBER('IN-CLASS_Lab Part C'!$J$1288),'IN-CLASS_Lab Part C'!$J$1288,NA())</f>
        <v/>
      </c>
    </row>
    <row r="1289">
      <c r="J1289">
        <f>IF(AND(ISNUMBER('Data'!$F$1290),'Data'!$F$1290&lt;&gt;999,'Data'!$F$1290&lt;&gt;""),'Data'!$F$1290,"")</f>
        <v/>
      </c>
      <c r="Z1289" t="n">
        <v>1</v>
      </c>
      <c r="AA1289">
        <f>IF(ISNUMBER('IN-CLASS_Lab Part C'!$J$1289),'IN-CLASS_Lab Part C'!$J$1289,NA())</f>
        <v/>
      </c>
    </row>
    <row r="1290">
      <c r="J1290">
        <f>IF(AND(ISNUMBER('Data'!$F$1291),'Data'!$F$1291&lt;&gt;999,'Data'!$F$1291&lt;&gt;""),'Data'!$F$1291,"")</f>
        <v/>
      </c>
      <c r="Z1290" t="n">
        <v>1</v>
      </c>
      <c r="AA1290">
        <f>IF(ISNUMBER('IN-CLASS_Lab Part C'!$J$1290),'IN-CLASS_Lab Part C'!$J$1290,NA())</f>
        <v/>
      </c>
    </row>
    <row r="1291">
      <c r="J1291">
        <f>IF(AND(ISNUMBER('Data'!$F$1292),'Data'!$F$1292&lt;&gt;999,'Data'!$F$1292&lt;&gt;""),'Data'!$F$1292,"")</f>
        <v/>
      </c>
      <c r="Z1291" t="n">
        <v>1</v>
      </c>
      <c r="AA1291">
        <f>IF(ISNUMBER('IN-CLASS_Lab Part C'!$J$1291),'IN-CLASS_Lab Part C'!$J$1291,NA())</f>
        <v/>
      </c>
    </row>
    <row r="1292">
      <c r="J1292">
        <f>IF(AND(ISNUMBER('Data'!$F$1293),'Data'!$F$1293&lt;&gt;999,'Data'!$F$1293&lt;&gt;""),'Data'!$F$1293,"")</f>
        <v/>
      </c>
      <c r="Z1292" t="n">
        <v>1</v>
      </c>
      <c r="AA1292">
        <f>IF(ISNUMBER('IN-CLASS_Lab Part C'!$J$1292),'IN-CLASS_Lab Part C'!$J$1292,NA())</f>
        <v/>
      </c>
    </row>
    <row r="1293">
      <c r="J1293">
        <f>IF(AND(ISNUMBER('Data'!$F$1294),'Data'!$F$1294&lt;&gt;999,'Data'!$F$1294&lt;&gt;""),'Data'!$F$1294,"")</f>
        <v/>
      </c>
      <c r="Z1293" t="n">
        <v>1</v>
      </c>
      <c r="AA1293">
        <f>IF(ISNUMBER('IN-CLASS_Lab Part C'!$J$1293),'IN-CLASS_Lab Part C'!$J$1293,NA())</f>
        <v/>
      </c>
    </row>
    <row r="1294">
      <c r="J1294">
        <f>IF(AND(ISNUMBER('Data'!$F$1295),'Data'!$F$1295&lt;&gt;999,'Data'!$F$1295&lt;&gt;""),'Data'!$F$1295,"")</f>
        <v/>
      </c>
      <c r="Z1294" t="n">
        <v>1</v>
      </c>
      <c r="AA1294">
        <f>IF(ISNUMBER('IN-CLASS_Lab Part C'!$J$1294),'IN-CLASS_Lab Part C'!$J$1294,NA())</f>
        <v/>
      </c>
    </row>
    <row r="1295">
      <c r="J1295">
        <f>IF(AND(ISNUMBER('Data'!$F$1296),'Data'!$F$1296&lt;&gt;999,'Data'!$F$1296&lt;&gt;""),'Data'!$F$1296,"")</f>
        <v/>
      </c>
      <c r="Z1295" t="n">
        <v>1</v>
      </c>
      <c r="AA1295">
        <f>IF(ISNUMBER('IN-CLASS_Lab Part C'!$J$1295),'IN-CLASS_Lab Part C'!$J$1295,NA())</f>
        <v/>
      </c>
    </row>
    <row r="1296">
      <c r="J1296">
        <f>IF(AND(ISNUMBER('Data'!$F$1297),'Data'!$F$1297&lt;&gt;999,'Data'!$F$1297&lt;&gt;""),'Data'!$F$1297,"")</f>
        <v/>
      </c>
      <c r="Z1296" t="n">
        <v>1</v>
      </c>
      <c r="AA1296">
        <f>IF(ISNUMBER('IN-CLASS_Lab Part C'!$J$1296),'IN-CLASS_Lab Part C'!$J$1296,NA())</f>
        <v/>
      </c>
    </row>
    <row r="1297">
      <c r="J1297">
        <f>IF(AND(ISNUMBER('Data'!$F$1298),'Data'!$F$1298&lt;&gt;999,'Data'!$F$1298&lt;&gt;""),'Data'!$F$1298,"")</f>
        <v/>
      </c>
      <c r="Z1297" t="n">
        <v>1</v>
      </c>
      <c r="AA1297">
        <f>IF(ISNUMBER('IN-CLASS_Lab Part C'!$J$1297),'IN-CLASS_Lab Part C'!$J$1297,NA())</f>
        <v/>
      </c>
    </row>
    <row r="1298">
      <c r="J1298">
        <f>IF(AND(ISNUMBER('Data'!$F$1299),'Data'!$F$1299&lt;&gt;999,'Data'!$F$1299&lt;&gt;""),'Data'!$F$1299,"")</f>
        <v/>
      </c>
      <c r="Z1298" t="n">
        <v>1</v>
      </c>
      <c r="AA1298">
        <f>IF(ISNUMBER('IN-CLASS_Lab Part C'!$J$1298),'IN-CLASS_Lab Part C'!$J$1298,NA())</f>
        <v/>
      </c>
    </row>
    <row r="1299">
      <c r="J1299">
        <f>IF(AND(ISNUMBER('Data'!$F$1300),'Data'!$F$1300&lt;&gt;999,'Data'!$F$1300&lt;&gt;""),'Data'!$F$1300,"")</f>
        <v/>
      </c>
      <c r="Z1299" t="n">
        <v>1</v>
      </c>
      <c r="AA1299">
        <f>IF(ISNUMBER('IN-CLASS_Lab Part C'!$J$1299),'IN-CLASS_Lab Part C'!$J$1299,NA())</f>
        <v/>
      </c>
    </row>
    <row r="1300">
      <c r="J1300">
        <f>IF(AND(ISNUMBER('Data'!$F$1301),'Data'!$F$1301&lt;&gt;999,'Data'!$F$1301&lt;&gt;""),'Data'!$F$1301,"")</f>
        <v/>
      </c>
      <c r="Z1300" t="n">
        <v>1</v>
      </c>
      <c r="AA1300">
        <f>IF(ISNUMBER('IN-CLASS_Lab Part C'!$J$1300),'IN-CLASS_Lab Part C'!$J$1300,NA())</f>
        <v/>
      </c>
    </row>
    <row r="1301">
      <c r="J1301">
        <f>IF(AND(ISNUMBER('Data'!$F$1302),'Data'!$F$1302&lt;&gt;999,'Data'!$F$1302&lt;&gt;""),'Data'!$F$1302,"")</f>
        <v/>
      </c>
      <c r="Z1301" t="n">
        <v>1</v>
      </c>
      <c r="AA1301">
        <f>IF(ISNUMBER('IN-CLASS_Lab Part C'!$J$1301),'IN-CLASS_Lab Part C'!$J$1301,NA())</f>
        <v/>
      </c>
    </row>
    <row r="1302">
      <c r="J1302">
        <f>IF(AND(ISNUMBER('Data'!$F$1303),'Data'!$F$1303&lt;&gt;999,'Data'!$F$1303&lt;&gt;""),'Data'!$F$1303,"")</f>
        <v/>
      </c>
      <c r="Z1302" t="n">
        <v>1</v>
      </c>
      <c r="AA1302">
        <f>IF(ISNUMBER('IN-CLASS_Lab Part C'!$J$1302),'IN-CLASS_Lab Part C'!$J$1302,NA())</f>
        <v/>
      </c>
    </row>
    <row r="1303">
      <c r="J1303">
        <f>IF(AND(ISNUMBER('Data'!$F$1304),'Data'!$F$1304&lt;&gt;999,'Data'!$F$1304&lt;&gt;""),'Data'!$F$1304,"")</f>
        <v/>
      </c>
      <c r="Z1303" t="n">
        <v>1</v>
      </c>
      <c r="AA1303">
        <f>IF(ISNUMBER('IN-CLASS_Lab Part C'!$J$1303),'IN-CLASS_Lab Part C'!$J$1303,NA())</f>
        <v/>
      </c>
    </row>
    <row r="1304">
      <c r="J1304">
        <f>IF(AND(ISNUMBER('Data'!$F$1305),'Data'!$F$1305&lt;&gt;999,'Data'!$F$1305&lt;&gt;""),'Data'!$F$1305,"")</f>
        <v/>
      </c>
      <c r="Z1304" t="n">
        <v>1</v>
      </c>
      <c r="AA1304">
        <f>IF(ISNUMBER('IN-CLASS_Lab Part C'!$J$1304),'IN-CLASS_Lab Part C'!$J$1304,NA())</f>
        <v/>
      </c>
    </row>
    <row r="1305">
      <c r="J1305">
        <f>IF(AND(ISNUMBER('Data'!$F$1306),'Data'!$F$1306&lt;&gt;999,'Data'!$F$1306&lt;&gt;""),'Data'!$F$1306,"")</f>
        <v/>
      </c>
      <c r="Z1305" t="n">
        <v>1</v>
      </c>
      <c r="AA1305">
        <f>IF(ISNUMBER('IN-CLASS_Lab Part C'!$J$1305),'IN-CLASS_Lab Part C'!$J$1305,NA())</f>
        <v/>
      </c>
    </row>
    <row r="1306">
      <c r="J1306">
        <f>IF(AND(ISNUMBER('Data'!$F$1307),'Data'!$F$1307&lt;&gt;999,'Data'!$F$1307&lt;&gt;""),'Data'!$F$1307,"")</f>
        <v/>
      </c>
      <c r="Z1306" t="n">
        <v>1</v>
      </c>
      <c r="AA1306">
        <f>IF(ISNUMBER('IN-CLASS_Lab Part C'!$J$1306),'IN-CLASS_Lab Part C'!$J$1306,NA())</f>
        <v/>
      </c>
    </row>
    <row r="1307">
      <c r="J1307">
        <f>IF(AND(ISNUMBER('Data'!$F$1308),'Data'!$F$1308&lt;&gt;999,'Data'!$F$1308&lt;&gt;""),'Data'!$F$1308,"")</f>
        <v/>
      </c>
      <c r="Z1307" t="n">
        <v>1</v>
      </c>
      <c r="AA1307">
        <f>IF(ISNUMBER('IN-CLASS_Lab Part C'!$J$1307),'IN-CLASS_Lab Part C'!$J$1307,NA())</f>
        <v/>
      </c>
    </row>
    <row r="1308">
      <c r="J1308">
        <f>IF(AND(ISNUMBER('Data'!$F$1309),'Data'!$F$1309&lt;&gt;999,'Data'!$F$1309&lt;&gt;""),'Data'!$F$1309,"")</f>
        <v/>
      </c>
      <c r="Z1308" t="n">
        <v>1</v>
      </c>
      <c r="AA1308">
        <f>IF(ISNUMBER('IN-CLASS_Lab Part C'!$J$1308),'IN-CLASS_Lab Part C'!$J$1308,NA())</f>
        <v/>
      </c>
    </row>
    <row r="1309">
      <c r="J1309">
        <f>IF(AND(ISNUMBER('Data'!$F$1310),'Data'!$F$1310&lt;&gt;999,'Data'!$F$1310&lt;&gt;""),'Data'!$F$1310,"")</f>
        <v/>
      </c>
      <c r="Z1309" t="n">
        <v>1</v>
      </c>
      <c r="AA1309">
        <f>IF(ISNUMBER('IN-CLASS_Lab Part C'!$J$1309),'IN-CLASS_Lab Part C'!$J$1309,NA())</f>
        <v/>
      </c>
    </row>
    <row r="1310">
      <c r="J1310">
        <f>IF(AND(ISNUMBER('Data'!$F$1311),'Data'!$F$1311&lt;&gt;999,'Data'!$F$1311&lt;&gt;""),'Data'!$F$1311,"")</f>
        <v/>
      </c>
      <c r="Z1310" t="n">
        <v>1</v>
      </c>
      <c r="AA1310">
        <f>IF(ISNUMBER('IN-CLASS_Lab Part C'!$J$1310),'IN-CLASS_Lab Part C'!$J$1310,NA())</f>
        <v/>
      </c>
    </row>
    <row r="1311">
      <c r="J1311">
        <f>IF(AND(ISNUMBER('Data'!$F$1312),'Data'!$F$1312&lt;&gt;999,'Data'!$F$1312&lt;&gt;""),'Data'!$F$1312,"")</f>
        <v/>
      </c>
      <c r="Z1311" t="n">
        <v>1</v>
      </c>
      <c r="AA1311">
        <f>IF(ISNUMBER('IN-CLASS_Lab Part C'!$J$1311),'IN-CLASS_Lab Part C'!$J$1311,NA())</f>
        <v/>
      </c>
    </row>
    <row r="1312">
      <c r="J1312">
        <f>IF(AND(ISNUMBER('Data'!$F$1313),'Data'!$F$1313&lt;&gt;999,'Data'!$F$1313&lt;&gt;""),'Data'!$F$1313,"")</f>
        <v/>
      </c>
      <c r="Z1312" t="n">
        <v>1</v>
      </c>
      <c r="AA1312">
        <f>IF(ISNUMBER('IN-CLASS_Lab Part C'!$J$1312),'IN-CLASS_Lab Part C'!$J$1312,NA())</f>
        <v/>
      </c>
    </row>
    <row r="1313">
      <c r="J1313">
        <f>IF(AND(ISNUMBER('Data'!$F$1314),'Data'!$F$1314&lt;&gt;999,'Data'!$F$1314&lt;&gt;""),'Data'!$F$1314,"")</f>
        <v/>
      </c>
      <c r="Z1313" t="n">
        <v>1</v>
      </c>
      <c r="AA1313">
        <f>IF(ISNUMBER('IN-CLASS_Lab Part C'!$J$1313),'IN-CLASS_Lab Part C'!$J$1313,NA())</f>
        <v/>
      </c>
    </row>
    <row r="1314">
      <c r="J1314">
        <f>IF(AND(ISNUMBER('Data'!$F$1315),'Data'!$F$1315&lt;&gt;999,'Data'!$F$1315&lt;&gt;""),'Data'!$F$1315,"")</f>
        <v/>
      </c>
      <c r="Z1314" t="n">
        <v>1</v>
      </c>
      <c r="AA1314">
        <f>IF(ISNUMBER('IN-CLASS_Lab Part C'!$J$1314),'IN-CLASS_Lab Part C'!$J$1314,NA())</f>
        <v/>
      </c>
    </row>
    <row r="1315">
      <c r="J1315">
        <f>IF(AND(ISNUMBER('Data'!$F$1316),'Data'!$F$1316&lt;&gt;999,'Data'!$F$1316&lt;&gt;""),'Data'!$F$1316,"")</f>
        <v/>
      </c>
      <c r="Z1315" t="n">
        <v>1</v>
      </c>
      <c r="AA1315">
        <f>IF(ISNUMBER('IN-CLASS_Lab Part C'!$J$1315),'IN-CLASS_Lab Part C'!$J$1315,NA())</f>
        <v/>
      </c>
    </row>
    <row r="1316">
      <c r="J1316">
        <f>IF(AND(ISNUMBER('Data'!$F$1317),'Data'!$F$1317&lt;&gt;999,'Data'!$F$1317&lt;&gt;""),'Data'!$F$1317,"")</f>
        <v/>
      </c>
      <c r="Z1316" t="n">
        <v>1</v>
      </c>
      <c r="AA1316">
        <f>IF(ISNUMBER('IN-CLASS_Lab Part C'!$J$1316),'IN-CLASS_Lab Part C'!$J$1316,NA())</f>
        <v/>
      </c>
    </row>
    <row r="1317">
      <c r="J1317">
        <f>IF(AND(ISNUMBER('Data'!$F$1318),'Data'!$F$1318&lt;&gt;999,'Data'!$F$1318&lt;&gt;""),'Data'!$F$1318,"")</f>
        <v/>
      </c>
      <c r="Z1317" t="n">
        <v>1</v>
      </c>
      <c r="AA1317">
        <f>IF(ISNUMBER('IN-CLASS_Lab Part C'!$J$1317),'IN-CLASS_Lab Part C'!$J$1317,NA())</f>
        <v/>
      </c>
    </row>
    <row r="1318">
      <c r="J1318">
        <f>IF(AND(ISNUMBER('Data'!$F$1319),'Data'!$F$1319&lt;&gt;999,'Data'!$F$1319&lt;&gt;""),'Data'!$F$1319,"")</f>
        <v/>
      </c>
      <c r="Z1318" t="n">
        <v>1</v>
      </c>
      <c r="AA1318">
        <f>IF(ISNUMBER('IN-CLASS_Lab Part C'!$J$1318),'IN-CLASS_Lab Part C'!$J$1318,NA())</f>
        <v/>
      </c>
    </row>
    <row r="1319">
      <c r="J1319">
        <f>IF(AND(ISNUMBER('Data'!$F$1320),'Data'!$F$1320&lt;&gt;999,'Data'!$F$1320&lt;&gt;""),'Data'!$F$1320,"")</f>
        <v/>
      </c>
      <c r="Z1319" t="n">
        <v>1</v>
      </c>
      <c r="AA1319">
        <f>IF(ISNUMBER('IN-CLASS_Lab Part C'!$J$1319),'IN-CLASS_Lab Part C'!$J$1319,NA())</f>
        <v/>
      </c>
    </row>
    <row r="1320">
      <c r="J1320">
        <f>IF(AND(ISNUMBER('Data'!$F$1321),'Data'!$F$1321&lt;&gt;999,'Data'!$F$1321&lt;&gt;""),'Data'!$F$1321,"")</f>
        <v/>
      </c>
      <c r="Z1320" t="n">
        <v>1</v>
      </c>
      <c r="AA1320">
        <f>IF(ISNUMBER('IN-CLASS_Lab Part C'!$J$1320),'IN-CLASS_Lab Part C'!$J$1320,NA())</f>
        <v/>
      </c>
    </row>
    <row r="1321">
      <c r="J1321">
        <f>IF(AND(ISNUMBER('Data'!$F$1322),'Data'!$F$1322&lt;&gt;999,'Data'!$F$1322&lt;&gt;""),'Data'!$F$1322,"")</f>
        <v/>
      </c>
      <c r="Z1321" t="n">
        <v>1</v>
      </c>
      <c r="AA1321">
        <f>IF(ISNUMBER('IN-CLASS_Lab Part C'!$J$1321),'IN-CLASS_Lab Part C'!$J$1321,NA())</f>
        <v/>
      </c>
    </row>
    <row r="1322">
      <c r="J1322">
        <f>IF(AND(ISNUMBER('Data'!$F$1323),'Data'!$F$1323&lt;&gt;999,'Data'!$F$1323&lt;&gt;""),'Data'!$F$1323,"")</f>
        <v/>
      </c>
      <c r="Z1322" t="n">
        <v>1</v>
      </c>
      <c r="AA1322">
        <f>IF(ISNUMBER('IN-CLASS_Lab Part C'!$J$1322),'IN-CLASS_Lab Part C'!$J$1322,NA())</f>
        <v/>
      </c>
    </row>
    <row r="1323">
      <c r="J1323">
        <f>IF(AND(ISNUMBER('Data'!$F$1324),'Data'!$F$1324&lt;&gt;999,'Data'!$F$1324&lt;&gt;""),'Data'!$F$1324,"")</f>
        <v/>
      </c>
      <c r="Z1323" t="n">
        <v>1</v>
      </c>
      <c r="AA1323">
        <f>IF(ISNUMBER('IN-CLASS_Lab Part C'!$J$1323),'IN-CLASS_Lab Part C'!$J$1323,NA())</f>
        <v/>
      </c>
    </row>
    <row r="1324">
      <c r="J1324">
        <f>IF(AND(ISNUMBER('Data'!$F$1325),'Data'!$F$1325&lt;&gt;999,'Data'!$F$1325&lt;&gt;""),'Data'!$F$1325,"")</f>
        <v/>
      </c>
      <c r="Z1324" t="n">
        <v>1</v>
      </c>
      <c r="AA1324">
        <f>IF(ISNUMBER('IN-CLASS_Lab Part C'!$J$1324),'IN-CLASS_Lab Part C'!$J$1324,NA())</f>
        <v/>
      </c>
    </row>
    <row r="1325">
      <c r="J1325">
        <f>IF(AND(ISNUMBER('Data'!$F$1326),'Data'!$F$1326&lt;&gt;999,'Data'!$F$1326&lt;&gt;""),'Data'!$F$1326,"")</f>
        <v/>
      </c>
      <c r="Z1325" t="n">
        <v>1</v>
      </c>
      <c r="AA1325">
        <f>IF(ISNUMBER('IN-CLASS_Lab Part C'!$J$1325),'IN-CLASS_Lab Part C'!$J$1325,NA())</f>
        <v/>
      </c>
    </row>
    <row r="1326">
      <c r="J1326">
        <f>IF(AND(ISNUMBER('Data'!$F$1327),'Data'!$F$1327&lt;&gt;999,'Data'!$F$1327&lt;&gt;""),'Data'!$F$1327,"")</f>
        <v/>
      </c>
      <c r="Z1326" t="n">
        <v>1</v>
      </c>
      <c r="AA1326">
        <f>IF(ISNUMBER('IN-CLASS_Lab Part C'!$J$1326),'IN-CLASS_Lab Part C'!$J$1326,NA())</f>
        <v/>
      </c>
    </row>
    <row r="1327">
      <c r="J1327">
        <f>IF(AND(ISNUMBER('Data'!$F$1328),'Data'!$F$1328&lt;&gt;999,'Data'!$F$1328&lt;&gt;""),'Data'!$F$1328,"")</f>
        <v/>
      </c>
      <c r="Z1327" t="n">
        <v>1</v>
      </c>
      <c r="AA1327">
        <f>IF(ISNUMBER('IN-CLASS_Lab Part C'!$J$1327),'IN-CLASS_Lab Part C'!$J$1327,NA())</f>
        <v/>
      </c>
    </row>
    <row r="1328">
      <c r="J1328">
        <f>IF(AND(ISNUMBER('Data'!$F$1329),'Data'!$F$1329&lt;&gt;999,'Data'!$F$1329&lt;&gt;""),'Data'!$F$1329,"")</f>
        <v/>
      </c>
      <c r="Z1328" t="n">
        <v>1</v>
      </c>
      <c r="AA1328">
        <f>IF(ISNUMBER('IN-CLASS_Lab Part C'!$J$1328),'IN-CLASS_Lab Part C'!$J$1328,NA())</f>
        <v/>
      </c>
    </row>
    <row r="1329">
      <c r="J1329">
        <f>IF(AND(ISNUMBER('Data'!$F$1330),'Data'!$F$1330&lt;&gt;999,'Data'!$F$1330&lt;&gt;""),'Data'!$F$1330,"")</f>
        <v/>
      </c>
      <c r="Z1329" t="n">
        <v>1</v>
      </c>
      <c r="AA1329">
        <f>IF(ISNUMBER('IN-CLASS_Lab Part C'!$J$1329),'IN-CLASS_Lab Part C'!$J$1329,NA())</f>
        <v/>
      </c>
    </row>
    <row r="1330">
      <c r="J1330">
        <f>IF(AND(ISNUMBER('Data'!$F$1331),'Data'!$F$1331&lt;&gt;999,'Data'!$F$1331&lt;&gt;""),'Data'!$F$1331,"")</f>
        <v/>
      </c>
      <c r="Z1330" t="n">
        <v>1</v>
      </c>
      <c r="AA1330">
        <f>IF(ISNUMBER('IN-CLASS_Lab Part C'!$J$1330),'IN-CLASS_Lab Part C'!$J$1330,NA())</f>
        <v/>
      </c>
    </row>
    <row r="1331">
      <c r="J1331">
        <f>IF(AND(ISNUMBER('Data'!$F$1332),'Data'!$F$1332&lt;&gt;999,'Data'!$F$1332&lt;&gt;""),'Data'!$F$1332,"")</f>
        <v/>
      </c>
      <c r="Z1331" t="n">
        <v>1</v>
      </c>
      <c r="AA1331">
        <f>IF(ISNUMBER('IN-CLASS_Lab Part C'!$J$1331),'IN-CLASS_Lab Part C'!$J$1331,NA())</f>
        <v/>
      </c>
    </row>
    <row r="1332">
      <c r="J1332">
        <f>IF(AND(ISNUMBER('Data'!$F$1333),'Data'!$F$1333&lt;&gt;999,'Data'!$F$1333&lt;&gt;""),'Data'!$F$1333,"")</f>
        <v/>
      </c>
      <c r="Z1332" t="n">
        <v>1</v>
      </c>
      <c r="AA1332">
        <f>IF(ISNUMBER('IN-CLASS_Lab Part C'!$J$1332),'IN-CLASS_Lab Part C'!$J$1332,NA())</f>
        <v/>
      </c>
    </row>
    <row r="1333">
      <c r="J1333">
        <f>IF(AND(ISNUMBER('Data'!$F$1334),'Data'!$F$1334&lt;&gt;999,'Data'!$F$1334&lt;&gt;""),'Data'!$F$1334,"")</f>
        <v/>
      </c>
      <c r="Z1333" t="n">
        <v>1</v>
      </c>
      <c r="AA1333">
        <f>IF(ISNUMBER('IN-CLASS_Lab Part C'!$J$1333),'IN-CLASS_Lab Part C'!$J$1333,NA())</f>
        <v/>
      </c>
    </row>
    <row r="1334">
      <c r="J1334">
        <f>IF(AND(ISNUMBER('Data'!$F$1335),'Data'!$F$1335&lt;&gt;999,'Data'!$F$1335&lt;&gt;""),'Data'!$F$1335,"")</f>
        <v/>
      </c>
      <c r="Z1334" t="n">
        <v>1</v>
      </c>
      <c r="AA1334">
        <f>IF(ISNUMBER('IN-CLASS_Lab Part C'!$J$1334),'IN-CLASS_Lab Part C'!$J$1334,NA())</f>
        <v/>
      </c>
    </row>
    <row r="1335">
      <c r="J1335">
        <f>IF(AND(ISNUMBER('Data'!$F$1336),'Data'!$F$1336&lt;&gt;999,'Data'!$F$1336&lt;&gt;""),'Data'!$F$1336,"")</f>
        <v/>
      </c>
      <c r="Z1335" t="n">
        <v>1</v>
      </c>
      <c r="AA1335">
        <f>IF(ISNUMBER('IN-CLASS_Lab Part C'!$J$1335),'IN-CLASS_Lab Part C'!$J$1335,NA())</f>
        <v/>
      </c>
    </row>
    <row r="1336">
      <c r="J1336">
        <f>IF(AND(ISNUMBER('Data'!$F$1337),'Data'!$F$1337&lt;&gt;999,'Data'!$F$1337&lt;&gt;""),'Data'!$F$1337,"")</f>
        <v/>
      </c>
      <c r="Z1336" t="n">
        <v>1</v>
      </c>
      <c r="AA1336">
        <f>IF(ISNUMBER('IN-CLASS_Lab Part C'!$J$1336),'IN-CLASS_Lab Part C'!$J$1336,NA())</f>
        <v/>
      </c>
    </row>
    <row r="1337">
      <c r="J1337">
        <f>IF(AND(ISNUMBER('Data'!$F$1338),'Data'!$F$1338&lt;&gt;999,'Data'!$F$1338&lt;&gt;""),'Data'!$F$1338,"")</f>
        <v/>
      </c>
      <c r="Z1337" t="n">
        <v>1</v>
      </c>
      <c r="AA1337">
        <f>IF(ISNUMBER('IN-CLASS_Lab Part C'!$J$1337),'IN-CLASS_Lab Part C'!$J$1337,NA())</f>
        <v/>
      </c>
    </row>
    <row r="1338">
      <c r="J1338">
        <f>IF(AND(ISNUMBER('Data'!$F$1339),'Data'!$F$1339&lt;&gt;999,'Data'!$F$1339&lt;&gt;""),'Data'!$F$1339,"")</f>
        <v/>
      </c>
      <c r="Z1338" t="n">
        <v>1</v>
      </c>
      <c r="AA1338">
        <f>IF(ISNUMBER('IN-CLASS_Lab Part C'!$J$1338),'IN-CLASS_Lab Part C'!$J$1338,NA())</f>
        <v/>
      </c>
    </row>
    <row r="1339">
      <c r="J1339">
        <f>IF(AND(ISNUMBER('Data'!$F$1340),'Data'!$F$1340&lt;&gt;999,'Data'!$F$1340&lt;&gt;""),'Data'!$F$1340,"")</f>
        <v/>
      </c>
      <c r="Z1339" t="n">
        <v>1</v>
      </c>
      <c r="AA1339">
        <f>IF(ISNUMBER('IN-CLASS_Lab Part C'!$J$1339),'IN-CLASS_Lab Part C'!$J$1339,NA())</f>
        <v/>
      </c>
    </row>
    <row r="1340">
      <c r="J1340">
        <f>IF(AND(ISNUMBER('Data'!$F$1341),'Data'!$F$1341&lt;&gt;999,'Data'!$F$1341&lt;&gt;""),'Data'!$F$1341,"")</f>
        <v/>
      </c>
      <c r="Z1340" t="n">
        <v>1</v>
      </c>
      <c r="AA1340">
        <f>IF(ISNUMBER('IN-CLASS_Lab Part C'!$J$1340),'IN-CLASS_Lab Part C'!$J$1340,NA())</f>
        <v/>
      </c>
    </row>
    <row r="1341">
      <c r="J1341">
        <f>IF(AND(ISNUMBER('Data'!$F$1342),'Data'!$F$1342&lt;&gt;999,'Data'!$F$1342&lt;&gt;""),'Data'!$F$1342,"")</f>
        <v/>
      </c>
      <c r="Z1341" t="n">
        <v>1</v>
      </c>
      <c r="AA1341">
        <f>IF(ISNUMBER('IN-CLASS_Lab Part C'!$J$1341),'IN-CLASS_Lab Part C'!$J$1341,NA())</f>
        <v/>
      </c>
    </row>
    <row r="1342">
      <c r="J1342">
        <f>IF(AND(ISNUMBER('Data'!$F$1343),'Data'!$F$1343&lt;&gt;999,'Data'!$F$1343&lt;&gt;""),'Data'!$F$1343,"")</f>
        <v/>
      </c>
      <c r="Z1342" t="n">
        <v>1</v>
      </c>
      <c r="AA1342">
        <f>IF(ISNUMBER('IN-CLASS_Lab Part C'!$J$1342),'IN-CLASS_Lab Part C'!$J$1342,NA())</f>
        <v/>
      </c>
    </row>
    <row r="1343">
      <c r="J1343">
        <f>IF(AND(ISNUMBER('Data'!$F$1344),'Data'!$F$1344&lt;&gt;999,'Data'!$F$1344&lt;&gt;""),'Data'!$F$1344,"")</f>
        <v/>
      </c>
      <c r="Z1343" t="n">
        <v>1</v>
      </c>
      <c r="AA1343">
        <f>IF(ISNUMBER('IN-CLASS_Lab Part C'!$J$1343),'IN-CLASS_Lab Part C'!$J$1343,NA())</f>
        <v/>
      </c>
    </row>
    <row r="1344">
      <c r="J1344">
        <f>IF(AND(ISNUMBER('Data'!$F$1345),'Data'!$F$1345&lt;&gt;999,'Data'!$F$1345&lt;&gt;""),'Data'!$F$1345,"")</f>
        <v/>
      </c>
      <c r="Z1344" t="n">
        <v>1</v>
      </c>
      <c r="AA1344">
        <f>IF(ISNUMBER('IN-CLASS_Lab Part C'!$J$1344),'IN-CLASS_Lab Part C'!$J$1344,NA())</f>
        <v/>
      </c>
    </row>
    <row r="1345">
      <c r="J1345">
        <f>IF(AND(ISNUMBER('Data'!$F$1346),'Data'!$F$1346&lt;&gt;999,'Data'!$F$1346&lt;&gt;""),'Data'!$F$1346,"")</f>
        <v/>
      </c>
      <c r="Z1345" t="n">
        <v>1</v>
      </c>
      <c r="AA1345">
        <f>IF(ISNUMBER('IN-CLASS_Lab Part C'!$J$1345),'IN-CLASS_Lab Part C'!$J$1345,NA())</f>
        <v/>
      </c>
    </row>
    <row r="1346">
      <c r="J1346">
        <f>IF(AND(ISNUMBER('Data'!$F$1347),'Data'!$F$1347&lt;&gt;999,'Data'!$F$1347&lt;&gt;""),'Data'!$F$1347,"")</f>
        <v/>
      </c>
      <c r="Z1346" t="n">
        <v>1</v>
      </c>
      <c r="AA1346">
        <f>IF(ISNUMBER('IN-CLASS_Lab Part C'!$J$1346),'IN-CLASS_Lab Part C'!$J$1346,NA())</f>
        <v/>
      </c>
    </row>
    <row r="1347">
      <c r="J1347">
        <f>IF(AND(ISNUMBER('Data'!$F$1348),'Data'!$F$1348&lt;&gt;999,'Data'!$F$1348&lt;&gt;""),'Data'!$F$1348,"")</f>
        <v/>
      </c>
      <c r="Z1347" t="n">
        <v>1</v>
      </c>
      <c r="AA1347">
        <f>IF(ISNUMBER('IN-CLASS_Lab Part C'!$J$1347),'IN-CLASS_Lab Part C'!$J$1347,NA())</f>
        <v/>
      </c>
    </row>
    <row r="1348">
      <c r="J1348">
        <f>IF(AND(ISNUMBER('Data'!$F$1349),'Data'!$F$1349&lt;&gt;999,'Data'!$F$1349&lt;&gt;""),'Data'!$F$1349,"")</f>
        <v/>
      </c>
      <c r="Z1348" t="n">
        <v>1</v>
      </c>
      <c r="AA1348">
        <f>IF(ISNUMBER('IN-CLASS_Lab Part C'!$J$1348),'IN-CLASS_Lab Part C'!$J$1348,NA())</f>
        <v/>
      </c>
    </row>
    <row r="1349">
      <c r="J1349">
        <f>IF(AND(ISNUMBER('Data'!$F$1350),'Data'!$F$1350&lt;&gt;999,'Data'!$F$1350&lt;&gt;""),'Data'!$F$1350,"")</f>
        <v/>
      </c>
      <c r="Z1349" t="n">
        <v>1</v>
      </c>
      <c r="AA1349">
        <f>IF(ISNUMBER('IN-CLASS_Lab Part C'!$J$1349),'IN-CLASS_Lab Part C'!$J$1349,NA())</f>
        <v/>
      </c>
    </row>
    <row r="1350">
      <c r="J1350">
        <f>IF(AND(ISNUMBER('Data'!$F$1351),'Data'!$F$1351&lt;&gt;999,'Data'!$F$1351&lt;&gt;""),'Data'!$F$1351,"")</f>
        <v/>
      </c>
      <c r="Z1350" t="n">
        <v>1</v>
      </c>
      <c r="AA1350">
        <f>IF(ISNUMBER('IN-CLASS_Lab Part C'!$J$1350),'IN-CLASS_Lab Part C'!$J$1350,NA())</f>
        <v/>
      </c>
    </row>
    <row r="1351">
      <c r="J1351">
        <f>IF(AND(ISNUMBER('Data'!$F$1352),'Data'!$F$1352&lt;&gt;999,'Data'!$F$1352&lt;&gt;""),'Data'!$F$1352,"")</f>
        <v/>
      </c>
      <c r="Z1351" t="n">
        <v>1</v>
      </c>
      <c r="AA1351">
        <f>IF(ISNUMBER('IN-CLASS_Lab Part C'!$J$1351),'IN-CLASS_Lab Part C'!$J$1351,NA())</f>
        <v/>
      </c>
    </row>
    <row r="1352">
      <c r="J1352">
        <f>IF(AND(ISNUMBER('Data'!$F$1353),'Data'!$F$1353&lt;&gt;999,'Data'!$F$1353&lt;&gt;""),'Data'!$F$1353,"")</f>
        <v/>
      </c>
      <c r="Z1352" t="n">
        <v>1</v>
      </c>
      <c r="AA1352">
        <f>IF(ISNUMBER('IN-CLASS_Lab Part C'!$J$1352),'IN-CLASS_Lab Part C'!$J$1352,NA())</f>
        <v/>
      </c>
    </row>
    <row r="1353">
      <c r="J1353">
        <f>IF(AND(ISNUMBER('Data'!$F$1354),'Data'!$F$1354&lt;&gt;999,'Data'!$F$1354&lt;&gt;""),'Data'!$F$1354,"")</f>
        <v/>
      </c>
      <c r="Z1353" t="n">
        <v>1</v>
      </c>
      <c r="AA1353">
        <f>IF(ISNUMBER('IN-CLASS_Lab Part C'!$J$1353),'IN-CLASS_Lab Part C'!$J$1353,NA())</f>
        <v/>
      </c>
    </row>
    <row r="1354">
      <c r="J1354">
        <f>IF(AND(ISNUMBER('Data'!$F$1355),'Data'!$F$1355&lt;&gt;999,'Data'!$F$1355&lt;&gt;""),'Data'!$F$1355,"")</f>
        <v/>
      </c>
      <c r="Z1354" t="n">
        <v>1</v>
      </c>
      <c r="AA1354">
        <f>IF(ISNUMBER('IN-CLASS_Lab Part C'!$J$1354),'IN-CLASS_Lab Part C'!$J$1354,NA())</f>
        <v/>
      </c>
    </row>
    <row r="1355">
      <c r="J1355">
        <f>IF(AND(ISNUMBER('Data'!$F$1356),'Data'!$F$1356&lt;&gt;999,'Data'!$F$1356&lt;&gt;""),'Data'!$F$1356,"")</f>
        <v/>
      </c>
      <c r="Z1355" t="n">
        <v>1</v>
      </c>
      <c r="AA1355">
        <f>IF(ISNUMBER('IN-CLASS_Lab Part C'!$J$1355),'IN-CLASS_Lab Part C'!$J$1355,NA())</f>
        <v/>
      </c>
    </row>
    <row r="1356">
      <c r="J1356">
        <f>IF(AND(ISNUMBER('Data'!$F$1357),'Data'!$F$1357&lt;&gt;999,'Data'!$F$1357&lt;&gt;""),'Data'!$F$1357,"")</f>
        <v/>
      </c>
      <c r="Z1356" t="n">
        <v>1</v>
      </c>
      <c r="AA1356">
        <f>IF(ISNUMBER('IN-CLASS_Lab Part C'!$J$1356),'IN-CLASS_Lab Part C'!$J$1356,NA())</f>
        <v/>
      </c>
    </row>
    <row r="1357">
      <c r="J1357">
        <f>IF(AND(ISNUMBER('Data'!$F$1358),'Data'!$F$1358&lt;&gt;999,'Data'!$F$1358&lt;&gt;""),'Data'!$F$1358,"")</f>
        <v/>
      </c>
      <c r="Z1357" t="n">
        <v>1</v>
      </c>
      <c r="AA1357">
        <f>IF(ISNUMBER('IN-CLASS_Lab Part C'!$J$1357),'IN-CLASS_Lab Part C'!$J$1357,NA())</f>
        <v/>
      </c>
    </row>
    <row r="1358">
      <c r="J1358">
        <f>IF(AND(ISNUMBER('Data'!$F$1359),'Data'!$F$1359&lt;&gt;999,'Data'!$F$1359&lt;&gt;""),'Data'!$F$1359,"")</f>
        <v/>
      </c>
      <c r="Z1358" t="n">
        <v>1</v>
      </c>
      <c r="AA1358">
        <f>IF(ISNUMBER('IN-CLASS_Lab Part C'!$J$1358),'IN-CLASS_Lab Part C'!$J$1358,NA())</f>
        <v/>
      </c>
    </row>
    <row r="1359">
      <c r="J1359">
        <f>IF(AND(ISNUMBER('Data'!$F$1360),'Data'!$F$1360&lt;&gt;999,'Data'!$F$1360&lt;&gt;""),'Data'!$F$1360,"")</f>
        <v/>
      </c>
      <c r="Z1359" t="n">
        <v>1</v>
      </c>
      <c r="AA1359">
        <f>IF(ISNUMBER('IN-CLASS_Lab Part C'!$J$1359),'IN-CLASS_Lab Part C'!$J$1359,NA())</f>
        <v/>
      </c>
    </row>
    <row r="1360">
      <c r="J1360">
        <f>IF(AND(ISNUMBER('Data'!$F$1361),'Data'!$F$1361&lt;&gt;999,'Data'!$F$1361&lt;&gt;""),'Data'!$F$1361,"")</f>
        <v/>
      </c>
      <c r="Z1360" t="n">
        <v>1</v>
      </c>
      <c r="AA1360">
        <f>IF(ISNUMBER('IN-CLASS_Lab Part C'!$J$1360),'IN-CLASS_Lab Part C'!$J$1360,NA())</f>
        <v/>
      </c>
    </row>
    <row r="1361">
      <c r="J1361">
        <f>IF(AND(ISNUMBER('Data'!$F$1362),'Data'!$F$1362&lt;&gt;999,'Data'!$F$1362&lt;&gt;""),'Data'!$F$1362,"")</f>
        <v/>
      </c>
      <c r="Z1361" t="n">
        <v>1</v>
      </c>
      <c r="AA1361">
        <f>IF(ISNUMBER('IN-CLASS_Lab Part C'!$J$1361),'IN-CLASS_Lab Part C'!$J$1361,NA())</f>
        <v/>
      </c>
    </row>
    <row r="1362">
      <c r="J1362">
        <f>IF(AND(ISNUMBER('Data'!$F$1363),'Data'!$F$1363&lt;&gt;999,'Data'!$F$1363&lt;&gt;""),'Data'!$F$1363,"")</f>
        <v/>
      </c>
      <c r="Z1362" t="n">
        <v>1</v>
      </c>
      <c r="AA1362">
        <f>IF(ISNUMBER('IN-CLASS_Lab Part C'!$J$1362),'IN-CLASS_Lab Part C'!$J$1362,NA())</f>
        <v/>
      </c>
    </row>
    <row r="1363">
      <c r="J1363">
        <f>IF(AND(ISNUMBER('Data'!$F$1364),'Data'!$F$1364&lt;&gt;999,'Data'!$F$1364&lt;&gt;""),'Data'!$F$1364,"")</f>
        <v/>
      </c>
      <c r="Z1363" t="n">
        <v>1</v>
      </c>
      <c r="AA1363">
        <f>IF(ISNUMBER('IN-CLASS_Lab Part C'!$J$1363),'IN-CLASS_Lab Part C'!$J$1363,NA())</f>
        <v/>
      </c>
    </row>
    <row r="1364">
      <c r="J1364">
        <f>IF(AND(ISNUMBER('Data'!$F$1365),'Data'!$F$1365&lt;&gt;999,'Data'!$F$1365&lt;&gt;""),'Data'!$F$1365,"")</f>
        <v/>
      </c>
      <c r="Z1364" t="n">
        <v>1</v>
      </c>
      <c r="AA1364">
        <f>IF(ISNUMBER('IN-CLASS_Lab Part C'!$J$1364),'IN-CLASS_Lab Part C'!$J$1364,NA())</f>
        <v/>
      </c>
    </row>
    <row r="1365">
      <c r="J1365">
        <f>IF(AND(ISNUMBER('Data'!$F$1366),'Data'!$F$1366&lt;&gt;999,'Data'!$F$1366&lt;&gt;""),'Data'!$F$1366,"")</f>
        <v/>
      </c>
      <c r="Z1365" t="n">
        <v>1</v>
      </c>
      <c r="AA1365">
        <f>IF(ISNUMBER('IN-CLASS_Lab Part C'!$J$1365),'IN-CLASS_Lab Part C'!$J$1365,NA())</f>
        <v/>
      </c>
    </row>
    <row r="1366">
      <c r="J1366">
        <f>IF(AND(ISNUMBER('Data'!$F$1367),'Data'!$F$1367&lt;&gt;999,'Data'!$F$1367&lt;&gt;""),'Data'!$F$1367,"")</f>
        <v/>
      </c>
      <c r="Z1366" t="n">
        <v>1</v>
      </c>
      <c r="AA1366">
        <f>IF(ISNUMBER('IN-CLASS_Lab Part C'!$J$1366),'IN-CLASS_Lab Part C'!$J$1366,NA())</f>
        <v/>
      </c>
    </row>
    <row r="1367">
      <c r="J1367">
        <f>IF(AND(ISNUMBER('Data'!$F$1368),'Data'!$F$1368&lt;&gt;999,'Data'!$F$1368&lt;&gt;""),'Data'!$F$1368,"")</f>
        <v/>
      </c>
      <c r="Z1367" t="n">
        <v>1</v>
      </c>
      <c r="AA1367">
        <f>IF(ISNUMBER('IN-CLASS_Lab Part C'!$J$1367),'IN-CLASS_Lab Part C'!$J$1367,NA())</f>
        <v/>
      </c>
    </row>
    <row r="1368">
      <c r="J1368">
        <f>IF(AND(ISNUMBER('Data'!$F$1369),'Data'!$F$1369&lt;&gt;999,'Data'!$F$1369&lt;&gt;""),'Data'!$F$1369,"")</f>
        <v/>
      </c>
      <c r="Z1368" t="n">
        <v>1</v>
      </c>
      <c r="AA1368">
        <f>IF(ISNUMBER('IN-CLASS_Lab Part C'!$J$1368),'IN-CLASS_Lab Part C'!$J$1368,NA())</f>
        <v/>
      </c>
    </row>
    <row r="1369">
      <c r="J1369">
        <f>IF(AND(ISNUMBER('Data'!$F$1370),'Data'!$F$1370&lt;&gt;999,'Data'!$F$1370&lt;&gt;""),'Data'!$F$1370,"")</f>
        <v/>
      </c>
      <c r="Z1369" t="n">
        <v>1</v>
      </c>
      <c r="AA1369">
        <f>IF(ISNUMBER('IN-CLASS_Lab Part C'!$J$1369),'IN-CLASS_Lab Part C'!$J$1369,NA())</f>
        <v/>
      </c>
    </row>
    <row r="1370">
      <c r="J1370">
        <f>IF(AND(ISNUMBER('Data'!$F$1371),'Data'!$F$1371&lt;&gt;999,'Data'!$F$1371&lt;&gt;""),'Data'!$F$1371,"")</f>
        <v/>
      </c>
      <c r="Z1370" t="n">
        <v>1</v>
      </c>
      <c r="AA1370">
        <f>IF(ISNUMBER('IN-CLASS_Lab Part C'!$J$1370),'IN-CLASS_Lab Part C'!$J$1370,NA())</f>
        <v/>
      </c>
    </row>
    <row r="1371">
      <c r="J1371">
        <f>IF(AND(ISNUMBER('Data'!$F$1372),'Data'!$F$1372&lt;&gt;999,'Data'!$F$1372&lt;&gt;""),'Data'!$F$1372,"")</f>
        <v/>
      </c>
      <c r="Z1371" t="n">
        <v>1</v>
      </c>
      <c r="AA1371">
        <f>IF(ISNUMBER('IN-CLASS_Lab Part C'!$J$1371),'IN-CLASS_Lab Part C'!$J$1371,NA())</f>
        <v/>
      </c>
    </row>
    <row r="1372">
      <c r="J1372">
        <f>IF(AND(ISNUMBER('Data'!$F$1373),'Data'!$F$1373&lt;&gt;999,'Data'!$F$1373&lt;&gt;""),'Data'!$F$1373,"")</f>
        <v/>
      </c>
      <c r="Z1372" t="n">
        <v>1</v>
      </c>
      <c r="AA1372">
        <f>IF(ISNUMBER('IN-CLASS_Lab Part C'!$J$1372),'IN-CLASS_Lab Part C'!$J$1372,NA())</f>
        <v/>
      </c>
    </row>
    <row r="1373">
      <c r="J1373">
        <f>IF(AND(ISNUMBER('Data'!$F$1374),'Data'!$F$1374&lt;&gt;999,'Data'!$F$1374&lt;&gt;""),'Data'!$F$1374,"")</f>
        <v/>
      </c>
      <c r="Z1373" t="n">
        <v>1</v>
      </c>
      <c r="AA1373">
        <f>IF(ISNUMBER('IN-CLASS_Lab Part C'!$J$1373),'IN-CLASS_Lab Part C'!$J$1373,NA())</f>
        <v/>
      </c>
    </row>
    <row r="1374">
      <c r="J1374">
        <f>IF(AND(ISNUMBER('Data'!$F$1375),'Data'!$F$1375&lt;&gt;999,'Data'!$F$1375&lt;&gt;""),'Data'!$F$1375,"")</f>
        <v/>
      </c>
      <c r="Z1374" t="n">
        <v>1</v>
      </c>
      <c r="AA1374">
        <f>IF(ISNUMBER('IN-CLASS_Lab Part C'!$J$1374),'IN-CLASS_Lab Part C'!$J$1374,NA())</f>
        <v/>
      </c>
    </row>
    <row r="1375">
      <c r="J1375">
        <f>IF(AND(ISNUMBER('Data'!$F$1376),'Data'!$F$1376&lt;&gt;999,'Data'!$F$1376&lt;&gt;""),'Data'!$F$1376,"")</f>
        <v/>
      </c>
      <c r="Z1375" t="n">
        <v>1</v>
      </c>
      <c r="AA1375">
        <f>IF(ISNUMBER('IN-CLASS_Lab Part C'!$J$1375),'IN-CLASS_Lab Part C'!$J$1375,NA())</f>
        <v/>
      </c>
    </row>
    <row r="1376">
      <c r="J1376">
        <f>IF(AND(ISNUMBER('Data'!$F$1377),'Data'!$F$1377&lt;&gt;999,'Data'!$F$1377&lt;&gt;""),'Data'!$F$1377,"")</f>
        <v/>
      </c>
      <c r="Z1376" t="n">
        <v>1</v>
      </c>
      <c r="AA1376">
        <f>IF(ISNUMBER('IN-CLASS_Lab Part C'!$J$1376),'IN-CLASS_Lab Part C'!$J$1376,NA())</f>
        <v/>
      </c>
    </row>
    <row r="1377">
      <c r="J1377">
        <f>IF(AND(ISNUMBER('Data'!$F$1378),'Data'!$F$1378&lt;&gt;999,'Data'!$F$1378&lt;&gt;""),'Data'!$F$1378,"")</f>
        <v/>
      </c>
      <c r="Z1377" t="n">
        <v>1</v>
      </c>
      <c r="AA1377">
        <f>IF(ISNUMBER('IN-CLASS_Lab Part C'!$J$1377),'IN-CLASS_Lab Part C'!$J$1377,NA())</f>
        <v/>
      </c>
    </row>
    <row r="1378">
      <c r="J1378">
        <f>IF(AND(ISNUMBER('Data'!$F$1379),'Data'!$F$1379&lt;&gt;999,'Data'!$F$1379&lt;&gt;""),'Data'!$F$1379,"")</f>
        <v/>
      </c>
      <c r="Z1378" t="n">
        <v>1</v>
      </c>
      <c r="AA1378">
        <f>IF(ISNUMBER('IN-CLASS_Lab Part C'!$J$1378),'IN-CLASS_Lab Part C'!$J$1378,NA())</f>
        <v/>
      </c>
    </row>
    <row r="1379">
      <c r="J1379">
        <f>IF(AND(ISNUMBER('Data'!$F$1380),'Data'!$F$1380&lt;&gt;999,'Data'!$F$1380&lt;&gt;""),'Data'!$F$1380,"")</f>
        <v/>
      </c>
      <c r="Z1379" t="n">
        <v>1</v>
      </c>
      <c r="AA1379">
        <f>IF(ISNUMBER('IN-CLASS_Lab Part C'!$J$1379),'IN-CLASS_Lab Part C'!$J$1379,NA())</f>
        <v/>
      </c>
    </row>
    <row r="1380">
      <c r="J1380">
        <f>IF(AND(ISNUMBER('Data'!$F$1381),'Data'!$F$1381&lt;&gt;999,'Data'!$F$1381&lt;&gt;""),'Data'!$F$1381,"")</f>
        <v/>
      </c>
      <c r="Z1380" t="n">
        <v>1</v>
      </c>
      <c r="AA1380">
        <f>IF(ISNUMBER('IN-CLASS_Lab Part C'!$J$1380),'IN-CLASS_Lab Part C'!$J$1380,NA())</f>
        <v/>
      </c>
    </row>
    <row r="1381">
      <c r="J1381">
        <f>IF(AND(ISNUMBER('Data'!$F$1382),'Data'!$F$1382&lt;&gt;999,'Data'!$F$1382&lt;&gt;""),'Data'!$F$1382,"")</f>
        <v/>
      </c>
      <c r="Z1381" t="n">
        <v>1</v>
      </c>
      <c r="AA1381">
        <f>IF(ISNUMBER('IN-CLASS_Lab Part C'!$J$1381),'IN-CLASS_Lab Part C'!$J$1381,NA())</f>
        <v/>
      </c>
    </row>
    <row r="1382">
      <c r="J1382">
        <f>IF(AND(ISNUMBER('Data'!$F$1383),'Data'!$F$1383&lt;&gt;999,'Data'!$F$1383&lt;&gt;""),'Data'!$F$1383,"")</f>
        <v/>
      </c>
      <c r="Z1382" t="n">
        <v>1</v>
      </c>
      <c r="AA1382">
        <f>IF(ISNUMBER('IN-CLASS_Lab Part C'!$J$1382),'IN-CLASS_Lab Part C'!$J$1382,NA())</f>
        <v/>
      </c>
    </row>
    <row r="1383">
      <c r="J1383">
        <f>IF(AND(ISNUMBER('Data'!$F$1384),'Data'!$F$1384&lt;&gt;999,'Data'!$F$1384&lt;&gt;""),'Data'!$F$1384,"")</f>
        <v/>
      </c>
      <c r="Z1383" t="n">
        <v>1</v>
      </c>
      <c r="AA1383">
        <f>IF(ISNUMBER('IN-CLASS_Lab Part C'!$J$1383),'IN-CLASS_Lab Part C'!$J$1383,NA())</f>
        <v/>
      </c>
    </row>
    <row r="1384">
      <c r="J1384">
        <f>IF(AND(ISNUMBER('Data'!$F$1385),'Data'!$F$1385&lt;&gt;999,'Data'!$F$1385&lt;&gt;""),'Data'!$F$1385,"")</f>
        <v/>
      </c>
      <c r="Z1384" t="n">
        <v>1</v>
      </c>
      <c r="AA1384">
        <f>IF(ISNUMBER('IN-CLASS_Lab Part C'!$J$1384),'IN-CLASS_Lab Part C'!$J$1384,NA())</f>
        <v/>
      </c>
    </row>
    <row r="1385">
      <c r="J1385">
        <f>IF(AND(ISNUMBER('Data'!$F$1386),'Data'!$F$1386&lt;&gt;999,'Data'!$F$1386&lt;&gt;""),'Data'!$F$1386,"")</f>
        <v/>
      </c>
      <c r="Z1385" t="n">
        <v>1</v>
      </c>
      <c r="AA1385">
        <f>IF(ISNUMBER('IN-CLASS_Lab Part C'!$J$1385),'IN-CLASS_Lab Part C'!$J$1385,NA())</f>
        <v/>
      </c>
    </row>
    <row r="1386">
      <c r="J1386">
        <f>IF(AND(ISNUMBER('Data'!$F$1387),'Data'!$F$1387&lt;&gt;999,'Data'!$F$1387&lt;&gt;""),'Data'!$F$1387,"")</f>
        <v/>
      </c>
      <c r="Z1386" t="n">
        <v>1</v>
      </c>
      <c r="AA1386">
        <f>IF(ISNUMBER('IN-CLASS_Lab Part C'!$J$1386),'IN-CLASS_Lab Part C'!$J$1386,NA())</f>
        <v/>
      </c>
    </row>
    <row r="1387">
      <c r="J1387">
        <f>IF(AND(ISNUMBER('Data'!$F$1388),'Data'!$F$1388&lt;&gt;999,'Data'!$F$1388&lt;&gt;""),'Data'!$F$1388,"")</f>
        <v/>
      </c>
      <c r="Z1387" t="n">
        <v>1</v>
      </c>
      <c r="AA1387">
        <f>IF(ISNUMBER('IN-CLASS_Lab Part C'!$J$1387),'IN-CLASS_Lab Part C'!$J$1387,NA())</f>
        <v/>
      </c>
    </row>
    <row r="1388">
      <c r="J1388">
        <f>IF(AND(ISNUMBER('Data'!$F$1389),'Data'!$F$1389&lt;&gt;999,'Data'!$F$1389&lt;&gt;""),'Data'!$F$1389,"")</f>
        <v/>
      </c>
      <c r="Z1388" t="n">
        <v>1</v>
      </c>
      <c r="AA1388">
        <f>IF(ISNUMBER('IN-CLASS_Lab Part C'!$J$1388),'IN-CLASS_Lab Part C'!$J$1388,NA())</f>
        <v/>
      </c>
    </row>
    <row r="1389">
      <c r="J1389">
        <f>IF(AND(ISNUMBER('Data'!$F$1390),'Data'!$F$1390&lt;&gt;999,'Data'!$F$1390&lt;&gt;""),'Data'!$F$1390,"")</f>
        <v/>
      </c>
      <c r="Z1389" t="n">
        <v>1</v>
      </c>
      <c r="AA1389">
        <f>IF(ISNUMBER('IN-CLASS_Lab Part C'!$J$1389),'IN-CLASS_Lab Part C'!$J$1389,NA())</f>
        <v/>
      </c>
    </row>
    <row r="1390">
      <c r="J1390">
        <f>IF(AND(ISNUMBER('Data'!$F$1391),'Data'!$F$1391&lt;&gt;999,'Data'!$F$1391&lt;&gt;""),'Data'!$F$1391,"")</f>
        <v/>
      </c>
      <c r="Z1390" t="n">
        <v>1</v>
      </c>
      <c r="AA1390">
        <f>IF(ISNUMBER('IN-CLASS_Lab Part C'!$J$1390),'IN-CLASS_Lab Part C'!$J$1390,NA())</f>
        <v/>
      </c>
    </row>
    <row r="1391">
      <c r="J1391">
        <f>IF(AND(ISNUMBER('Data'!$F$1392),'Data'!$F$1392&lt;&gt;999,'Data'!$F$1392&lt;&gt;""),'Data'!$F$1392,"")</f>
        <v/>
      </c>
      <c r="Z1391" t="n">
        <v>1</v>
      </c>
      <c r="AA1391">
        <f>IF(ISNUMBER('IN-CLASS_Lab Part C'!$J$1391),'IN-CLASS_Lab Part C'!$J$1391,NA())</f>
        <v/>
      </c>
    </row>
    <row r="1392">
      <c r="J1392">
        <f>IF(AND(ISNUMBER('Data'!$F$1393),'Data'!$F$1393&lt;&gt;999,'Data'!$F$1393&lt;&gt;""),'Data'!$F$1393,"")</f>
        <v/>
      </c>
      <c r="Z1392" t="n">
        <v>1</v>
      </c>
      <c r="AA1392">
        <f>IF(ISNUMBER('IN-CLASS_Lab Part C'!$J$1392),'IN-CLASS_Lab Part C'!$J$1392,NA())</f>
        <v/>
      </c>
    </row>
    <row r="1393">
      <c r="J1393">
        <f>IF(AND(ISNUMBER('Data'!$F$1394),'Data'!$F$1394&lt;&gt;999,'Data'!$F$1394&lt;&gt;""),'Data'!$F$1394,"")</f>
        <v/>
      </c>
      <c r="Z1393" t="n">
        <v>1</v>
      </c>
      <c r="AA1393">
        <f>IF(ISNUMBER('IN-CLASS_Lab Part C'!$J$1393),'IN-CLASS_Lab Part C'!$J$1393,NA())</f>
        <v/>
      </c>
    </row>
    <row r="1394">
      <c r="J1394">
        <f>IF(AND(ISNUMBER('Data'!$F$1395),'Data'!$F$1395&lt;&gt;999,'Data'!$F$1395&lt;&gt;""),'Data'!$F$1395,"")</f>
        <v/>
      </c>
      <c r="Z1394" t="n">
        <v>1</v>
      </c>
      <c r="AA1394">
        <f>IF(ISNUMBER('IN-CLASS_Lab Part C'!$J$1394),'IN-CLASS_Lab Part C'!$J$1394,NA())</f>
        <v/>
      </c>
    </row>
    <row r="1395">
      <c r="J1395">
        <f>IF(AND(ISNUMBER('Data'!$F$1396),'Data'!$F$1396&lt;&gt;999,'Data'!$F$1396&lt;&gt;""),'Data'!$F$1396,"")</f>
        <v/>
      </c>
      <c r="Z1395" t="n">
        <v>1</v>
      </c>
      <c r="AA1395">
        <f>IF(ISNUMBER('IN-CLASS_Lab Part C'!$J$1395),'IN-CLASS_Lab Part C'!$J$1395,NA())</f>
        <v/>
      </c>
    </row>
    <row r="1396">
      <c r="J1396">
        <f>IF(AND(ISNUMBER('Data'!$F$1397),'Data'!$F$1397&lt;&gt;999,'Data'!$F$1397&lt;&gt;""),'Data'!$F$1397,"")</f>
        <v/>
      </c>
      <c r="Z1396" t="n">
        <v>1</v>
      </c>
      <c r="AA1396">
        <f>IF(ISNUMBER('IN-CLASS_Lab Part C'!$J$1396),'IN-CLASS_Lab Part C'!$J$1396,NA())</f>
        <v/>
      </c>
    </row>
    <row r="1397">
      <c r="J1397">
        <f>IF(AND(ISNUMBER('Data'!$F$1398),'Data'!$F$1398&lt;&gt;999,'Data'!$F$1398&lt;&gt;""),'Data'!$F$1398,"")</f>
        <v/>
      </c>
      <c r="Z1397" t="n">
        <v>1</v>
      </c>
      <c r="AA1397">
        <f>IF(ISNUMBER('IN-CLASS_Lab Part C'!$J$1397),'IN-CLASS_Lab Part C'!$J$1397,NA())</f>
        <v/>
      </c>
    </row>
    <row r="1398">
      <c r="J1398">
        <f>IF(AND(ISNUMBER('Data'!$F$1399),'Data'!$F$1399&lt;&gt;999,'Data'!$F$1399&lt;&gt;""),'Data'!$F$1399,"")</f>
        <v/>
      </c>
      <c r="Z1398" t="n">
        <v>1</v>
      </c>
      <c r="AA1398">
        <f>IF(ISNUMBER('IN-CLASS_Lab Part C'!$J$1398),'IN-CLASS_Lab Part C'!$J$1398,NA())</f>
        <v/>
      </c>
    </row>
    <row r="1399">
      <c r="J1399">
        <f>IF(AND(ISNUMBER('Data'!$F$1400),'Data'!$F$1400&lt;&gt;999,'Data'!$F$1400&lt;&gt;""),'Data'!$F$1400,"")</f>
        <v/>
      </c>
      <c r="Z1399" t="n">
        <v>1</v>
      </c>
      <c r="AA1399">
        <f>IF(ISNUMBER('IN-CLASS_Lab Part C'!$J$1399),'IN-CLASS_Lab Part C'!$J$1399,NA())</f>
        <v/>
      </c>
    </row>
    <row r="1400">
      <c r="J1400">
        <f>IF(AND(ISNUMBER('Data'!$F$1401),'Data'!$F$1401&lt;&gt;999,'Data'!$F$1401&lt;&gt;""),'Data'!$F$1401,"")</f>
        <v/>
      </c>
      <c r="Z1400" t="n">
        <v>1</v>
      </c>
      <c r="AA1400">
        <f>IF(ISNUMBER('IN-CLASS_Lab Part C'!$J$1400),'IN-CLASS_Lab Part C'!$J$1400,NA())</f>
        <v/>
      </c>
    </row>
    <row r="1401">
      <c r="J1401">
        <f>IF(AND(ISNUMBER('Data'!$F$1402),'Data'!$F$1402&lt;&gt;999,'Data'!$F$1402&lt;&gt;""),'Data'!$F$1402,"")</f>
        <v/>
      </c>
      <c r="Z1401" t="n">
        <v>1</v>
      </c>
      <c r="AA1401">
        <f>IF(ISNUMBER('IN-CLASS_Lab Part C'!$J$1401),'IN-CLASS_Lab Part C'!$J$1401,NA())</f>
        <v/>
      </c>
    </row>
    <row r="1402">
      <c r="J1402">
        <f>IF(AND(ISNUMBER('Data'!$F$1403),'Data'!$F$1403&lt;&gt;999,'Data'!$F$1403&lt;&gt;""),'Data'!$F$1403,"")</f>
        <v/>
      </c>
      <c r="Z1402" t="n">
        <v>1</v>
      </c>
      <c r="AA1402">
        <f>IF(ISNUMBER('IN-CLASS_Lab Part C'!$J$1402),'IN-CLASS_Lab Part C'!$J$1402,NA())</f>
        <v/>
      </c>
    </row>
    <row r="1403">
      <c r="J1403">
        <f>IF(AND(ISNUMBER('Data'!$F$1404),'Data'!$F$1404&lt;&gt;999,'Data'!$F$1404&lt;&gt;""),'Data'!$F$1404,"")</f>
        <v/>
      </c>
      <c r="Z1403" t="n">
        <v>1</v>
      </c>
      <c r="AA1403">
        <f>IF(ISNUMBER('IN-CLASS_Lab Part C'!$J$1403),'IN-CLASS_Lab Part C'!$J$1403,NA())</f>
        <v/>
      </c>
    </row>
    <row r="1404">
      <c r="J1404">
        <f>IF(AND(ISNUMBER('Data'!$F$1405),'Data'!$F$1405&lt;&gt;999,'Data'!$F$1405&lt;&gt;""),'Data'!$F$1405,"")</f>
        <v/>
      </c>
      <c r="Z1404" t="n">
        <v>1</v>
      </c>
      <c r="AA1404">
        <f>IF(ISNUMBER('IN-CLASS_Lab Part C'!$J$1404),'IN-CLASS_Lab Part C'!$J$1404,NA())</f>
        <v/>
      </c>
    </row>
    <row r="1405">
      <c r="J1405">
        <f>IF(AND(ISNUMBER('Data'!$F$1406),'Data'!$F$1406&lt;&gt;999,'Data'!$F$1406&lt;&gt;""),'Data'!$F$1406,"")</f>
        <v/>
      </c>
      <c r="Z1405" t="n">
        <v>1</v>
      </c>
      <c r="AA1405">
        <f>IF(ISNUMBER('IN-CLASS_Lab Part C'!$J$1405),'IN-CLASS_Lab Part C'!$J$1405,NA())</f>
        <v/>
      </c>
    </row>
    <row r="1406">
      <c r="J1406">
        <f>IF(AND(ISNUMBER('Data'!$F$1407),'Data'!$F$1407&lt;&gt;999,'Data'!$F$1407&lt;&gt;""),'Data'!$F$1407,"")</f>
        <v/>
      </c>
      <c r="Z1406" t="n">
        <v>1</v>
      </c>
      <c r="AA1406">
        <f>IF(ISNUMBER('IN-CLASS_Lab Part C'!$J$1406),'IN-CLASS_Lab Part C'!$J$1406,NA())</f>
        <v/>
      </c>
    </row>
    <row r="1407">
      <c r="J1407">
        <f>IF(AND(ISNUMBER('Data'!$F$1408),'Data'!$F$1408&lt;&gt;999,'Data'!$F$1408&lt;&gt;""),'Data'!$F$1408,"")</f>
        <v/>
      </c>
      <c r="Z1407" t="n">
        <v>1</v>
      </c>
      <c r="AA1407">
        <f>IF(ISNUMBER('IN-CLASS_Lab Part C'!$J$1407),'IN-CLASS_Lab Part C'!$J$1407,NA())</f>
        <v/>
      </c>
    </row>
    <row r="1408">
      <c r="J1408">
        <f>IF(AND(ISNUMBER('Data'!$F$1409),'Data'!$F$1409&lt;&gt;999,'Data'!$F$1409&lt;&gt;""),'Data'!$F$1409,"")</f>
        <v/>
      </c>
      <c r="Z1408" t="n">
        <v>1</v>
      </c>
      <c r="AA1408">
        <f>IF(ISNUMBER('IN-CLASS_Lab Part C'!$J$1408),'IN-CLASS_Lab Part C'!$J$1408,NA())</f>
        <v/>
      </c>
    </row>
    <row r="1409">
      <c r="J1409">
        <f>IF(AND(ISNUMBER('Data'!$F$1410),'Data'!$F$1410&lt;&gt;999,'Data'!$F$1410&lt;&gt;""),'Data'!$F$1410,"")</f>
        <v/>
      </c>
      <c r="Z1409" t="n">
        <v>1</v>
      </c>
      <c r="AA1409">
        <f>IF(ISNUMBER('IN-CLASS_Lab Part C'!$J$1409),'IN-CLASS_Lab Part C'!$J$1409,NA())</f>
        <v/>
      </c>
    </row>
    <row r="1410">
      <c r="J1410">
        <f>IF(AND(ISNUMBER('Data'!$F$1411),'Data'!$F$1411&lt;&gt;999,'Data'!$F$1411&lt;&gt;""),'Data'!$F$1411,"")</f>
        <v/>
      </c>
      <c r="Z1410" t="n">
        <v>1</v>
      </c>
      <c r="AA1410">
        <f>IF(ISNUMBER('IN-CLASS_Lab Part C'!$J$1410),'IN-CLASS_Lab Part C'!$J$1410,NA())</f>
        <v/>
      </c>
    </row>
    <row r="1411">
      <c r="J1411">
        <f>IF(AND(ISNUMBER('Data'!$F$1412),'Data'!$F$1412&lt;&gt;999,'Data'!$F$1412&lt;&gt;""),'Data'!$F$1412,"")</f>
        <v/>
      </c>
      <c r="Z1411" t="n">
        <v>1</v>
      </c>
      <c r="AA1411">
        <f>IF(ISNUMBER('IN-CLASS_Lab Part C'!$J$1411),'IN-CLASS_Lab Part C'!$J$1411,NA())</f>
        <v/>
      </c>
    </row>
    <row r="1412">
      <c r="J1412">
        <f>IF(AND(ISNUMBER('Data'!$F$1413),'Data'!$F$1413&lt;&gt;999,'Data'!$F$1413&lt;&gt;""),'Data'!$F$1413,"")</f>
        <v/>
      </c>
      <c r="Z1412" t="n">
        <v>1</v>
      </c>
      <c r="AA1412">
        <f>IF(ISNUMBER('IN-CLASS_Lab Part C'!$J$1412),'IN-CLASS_Lab Part C'!$J$1412,NA())</f>
        <v/>
      </c>
    </row>
    <row r="1413">
      <c r="J1413">
        <f>IF(AND(ISNUMBER('Data'!$F$1414),'Data'!$F$1414&lt;&gt;999,'Data'!$F$1414&lt;&gt;""),'Data'!$F$1414,"")</f>
        <v/>
      </c>
      <c r="Z1413" t="n">
        <v>1</v>
      </c>
      <c r="AA1413">
        <f>IF(ISNUMBER('IN-CLASS_Lab Part C'!$J$1413),'IN-CLASS_Lab Part C'!$J$1413,NA())</f>
        <v/>
      </c>
    </row>
    <row r="1414">
      <c r="J1414">
        <f>IF(AND(ISNUMBER('Data'!$F$1415),'Data'!$F$1415&lt;&gt;999,'Data'!$F$1415&lt;&gt;""),'Data'!$F$1415,"")</f>
        <v/>
      </c>
      <c r="Z1414" t="n">
        <v>1</v>
      </c>
      <c r="AA1414">
        <f>IF(ISNUMBER('IN-CLASS_Lab Part C'!$J$1414),'IN-CLASS_Lab Part C'!$J$1414,NA())</f>
        <v/>
      </c>
    </row>
    <row r="1415">
      <c r="J1415">
        <f>IF(AND(ISNUMBER('Data'!$F$1416),'Data'!$F$1416&lt;&gt;999,'Data'!$F$1416&lt;&gt;""),'Data'!$F$1416,"")</f>
        <v/>
      </c>
      <c r="Z1415" t="n">
        <v>1</v>
      </c>
      <c r="AA1415">
        <f>IF(ISNUMBER('IN-CLASS_Lab Part C'!$J$1415),'IN-CLASS_Lab Part C'!$J$1415,NA())</f>
        <v/>
      </c>
    </row>
    <row r="1416">
      <c r="J1416">
        <f>IF(AND(ISNUMBER('Data'!$F$1417),'Data'!$F$1417&lt;&gt;999,'Data'!$F$1417&lt;&gt;""),'Data'!$F$1417,"")</f>
        <v/>
      </c>
      <c r="Z1416" t="n">
        <v>1</v>
      </c>
      <c r="AA1416">
        <f>IF(ISNUMBER('IN-CLASS_Lab Part C'!$J$1416),'IN-CLASS_Lab Part C'!$J$1416,NA())</f>
        <v/>
      </c>
    </row>
    <row r="1417">
      <c r="J1417">
        <f>IF(AND(ISNUMBER('Data'!$F$1418),'Data'!$F$1418&lt;&gt;999,'Data'!$F$1418&lt;&gt;""),'Data'!$F$1418,"")</f>
        <v/>
      </c>
      <c r="Z1417" t="n">
        <v>1</v>
      </c>
      <c r="AA1417">
        <f>IF(ISNUMBER('IN-CLASS_Lab Part C'!$J$1417),'IN-CLASS_Lab Part C'!$J$1417,NA())</f>
        <v/>
      </c>
    </row>
    <row r="1418">
      <c r="J1418">
        <f>IF(AND(ISNUMBER('Data'!$F$1419),'Data'!$F$1419&lt;&gt;999,'Data'!$F$1419&lt;&gt;""),'Data'!$F$1419,"")</f>
        <v/>
      </c>
      <c r="Z1418" t="n">
        <v>1</v>
      </c>
      <c r="AA1418">
        <f>IF(ISNUMBER('IN-CLASS_Lab Part C'!$J$1418),'IN-CLASS_Lab Part C'!$J$1418,NA())</f>
        <v/>
      </c>
    </row>
    <row r="1419">
      <c r="J1419">
        <f>IF(AND(ISNUMBER('Data'!$F$1420),'Data'!$F$1420&lt;&gt;999,'Data'!$F$1420&lt;&gt;""),'Data'!$F$1420,"")</f>
        <v/>
      </c>
      <c r="Z1419" t="n">
        <v>1</v>
      </c>
      <c r="AA1419">
        <f>IF(ISNUMBER('IN-CLASS_Lab Part C'!$J$1419),'IN-CLASS_Lab Part C'!$J$1419,NA())</f>
        <v/>
      </c>
    </row>
    <row r="1420">
      <c r="J1420">
        <f>IF(AND(ISNUMBER('Data'!$F$1421),'Data'!$F$1421&lt;&gt;999,'Data'!$F$1421&lt;&gt;""),'Data'!$F$1421,"")</f>
        <v/>
      </c>
      <c r="Z1420" t="n">
        <v>1</v>
      </c>
      <c r="AA1420">
        <f>IF(ISNUMBER('IN-CLASS_Lab Part C'!$J$1420),'IN-CLASS_Lab Part C'!$J$1420,NA())</f>
        <v/>
      </c>
    </row>
    <row r="1421">
      <c r="J1421">
        <f>IF(AND(ISNUMBER('Data'!$F$1422),'Data'!$F$1422&lt;&gt;999,'Data'!$F$1422&lt;&gt;""),'Data'!$F$1422,"")</f>
        <v/>
      </c>
      <c r="Z1421" t="n">
        <v>1</v>
      </c>
      <c r="AA1421">
        <f>IF(ISNUMBER('IN-CLASS_Lab Part C'!$J$1421),'IN-CLASS_Lab Part C'!$J$1421,NA())</f>
        <v/>
      </c>
    </row>
    <row r="1422">
      <c r="J1422">
        <f>IF(AND(ISNUMBER('Data'!$F$1423),'Data'!$F$1423&lt;&gt;999,'Data'!$F$1423&lt;&gt;""),'Data'!$F$1423,"")</f>
        <v/>
      </c>
      <c r="Z1422" t="n">
        <v>1</v>
      </c>
      <c r="AA1422">
        <f>IF(ISNUMBER('IN-CLASS_Lab Part C'!$J$1422),'IN-CLASS_Lab Part C'!$J$1422,NA())</f>
        <v/>
      </c>
    </row>
    <row r="1423">
      <c r="J1423">
        <f>IF(AND(ISNUMBER('Data'!$F$1424),'Data'!$F$1424&lt;&gt;999,'Data'!$F$1424&lt;&gt;""),'Data'!$F$1424,"")</f>
        <v/>
      </c>
      <c r="Z1423" t="n">
        <v>1</v>
      </c>
      <c r="AA1423">
        <f>IF(ISNUMBER('IN-CLASS_Lab Part C'!$J$1423),'IN-CLASS_Lab Part C'!$J$1423,NA())</f>
        <v/>
      </c>
    </row>
    <row r="1424">
      <c r="J1424">
        <f>IF(AND(ISNUMBER('Data'!$F$1425),'Data'!$F$1425&lt;&gt;999,'Data'!$F$1425&lt;&gt;""),'Data'!$F$1425,"")</f>
        <v/>
      </c>
      <c r="Z1424" t="n">
        <v>1</v>
      </c>
      <c r="AA1424">
        <f>IF(ISNUMBER('IN-CLASS_Lab Part C'!$J$1424),'IN-CLASS_Lab Part C'!$J$1424,NA())</f>
        <v/>
      </c>
    </row>
    <row r="1425">
      <c r="J1425">
        <f>IF(AND(ISNUMBER('Data'!$F$1426),'Data'!$F$1426&lt;&gt;999,'Data'!$F$1426&lt;&gt;""),'Data'!$F$1426,"")</f>
        <v/>
      </c>
      <c r="Z1425" t="n">
        <v>1</v>
      </c>
      <c r="AA1425">
        <f>IF(ISNUMBER('IN-CLASS_Lab Part C'!$J$1425),'IN-CLASS_Lab Part C'!$J$1425,NA())</f>
        <v/>
      </c>
    </row>
    <row r="1426">
      <c r="J1426">
        <f>IF(AND(ISNUMBER('Data'!$F$1427),'Data'!$F$1427&lt;&gt;999,'Data'!$F$1427&lt;&gt;""),'Data'!$F$1427,"")</f>
        <v/>
      </c>
      <c r="Z1426" t="n">
        <v>1</v>
      </c>
      <c r="AA1426">
        <f>IF(ISNUMBER('IN-CLASS_Lab Part C'!$J$1426),'IN-CLASS_Lab Part C'!$J$1426,NA())</f>
        <v/>
      </c>
    </row>
    <row r="1427">
      <c r="J1427">
        <f>IF(AND(ISNUMBER('Data'!$F$1428),'Data'!$F$1428&lt;&gt;999,'Data'!$F$1428&lt;&gt;""),'Data'!$F$1428,"")</f>
        <v/>
      </c>
      <c r="Z1427" t="n">
        <v>1</v>
      </c>
      <c r="AA1427">
        <f>IF(ISNUMBER('IN-CLASS_Lab Part C'!$J$1427),'IN-CLASS_Lab Part C'!$J$1427,NA())</f>
        <v/>
      </c>
    </row>
    <row r="1428">
      <c r="J1428">
        <f>IF(AND(ISNUMBER('Data'!$F$1429),'Data'!$F$1429&lt;&gt;999,'Data'!$F$1429&lt;&gt;""),'Data'!$F$1429,"")</f>
        <v/>
      </c>
      <c r="Z1428" t="n">
        <v>1</v>
      </c>
      <c r="AA1428">
        <f>IF(ISNUMBER('IN-CLASS_Lab Part C'!$J$1428),'IN-CLASS_Lab Part C'!$J$1428,NA())</f>
        <v/>
      </c>
    </row>
    <row r="1429">
      <c r="J1429">
        <f>IF(AND(ISNUMBER('Data'!$F$1430),'Data'!$F$1430&lt;&gt;999,'Data'!$F$1430&lt;&gt;""),'Data'!$F$1430,"")</f>
        <v/>
      </c>
      <c r="Z1429" t="n">
        <v>1</v>
      </c>
      <c r="AA1429">
        <f>IF(ISNUMBER('IN-CLASS_Lab Part C'!$J$1429),'IN-CLASS_Lab Part C'!$J$1429,NA())</f>
        <v/>
      </c>
    </row>
    <row r="1430">
      <c r="J1430">
        <f>IF(AND(ISNUMBER('Data'!$F$1431),'Data'!$F$1431&lt;&gt;999,'Data'!$F$1431&lt;&gt;""),'Data'!$F$1431,"")</f>
        <v/>
      </c>
      <c r="Z1430" t="n">
        <v>1</v>
      </c>
      <c r="AA1430">
        <f>IF(ISNUMBER('IN-CLASS_Lab Part C'!$J$1430),'IN-CLASS_Lab Part C'!$J$1430,NA())</f>
        <v/>
      </c>
    </row>
    <row r="1431">
      <c r="J1431">
        <f>IF(AND(ISNUMBER('Data'!$F$1432),'Data'!$F$1432&lt;&gt;999,'Data'!$F$1432&lt;&gt;""),'Data'!$F$1432,"")</f>
        <v/>
      </c>
      <c r="Z1431" t="n">
        <v>1</v>
      </c>
      <c r="AA1431">
        <f>IF(ISNUMBER('IN-CLASS_Lab Part C'!$J$1431),'IN-CLASS_Lab Part C'!$J$1431,NA())</f>
        <v/>
      </c>
    </row>
    <row r="1432">
      <c r="J1432">
        <f>IF(AND(ISNUMBER('Data'!$F$1433),'Data'!$F$1433&lt;&gt;999,'Data'!$F$1433&lt;&gt;""),'Data'!$F$1433,"")</f>
        <v/>
      </c>
      <c r="Z1432" t="n">
        <v>1</v>
      </c>
      <c r="AA1432">
        <f>IF(ISNUMBER('IN-CLASS_Lab Part C'!$J$1432),'IN-CLASS_Lab Part C'!$J$1432,NA())</f>
        <v/>
      </c>
    </row>
    <row r="1433">
      <c r="J1433">
        <f>IF(AND(ISNUMBER('Data'!$F$1434),'Data'!$F$1434&lt;&gt;999,'Data'!$F$1434&lt;&gt;""),'Data'!$F$1434,"")</f>
        <v/>
      </c>
      <c r="Z1433" t="n">
        <v>1</v>
      </c>
      <c r="AA1433">
        <f>IF(ISNUMBER('IN-CLASS_Lab Part C'!$J$1433),'IN-CLASS_Lab Part C'!$J$1433,NA())</f>
        <v/>
      </c>
    </row>
    <row r="1434">
      <c r="J1434">
        <f>IF(AND(ISNUMBER('Data'!$F$1435),'Data'!$F$1435&lt;&gt;999,'Data'!$F$1435&lt;&gt;""),'Data'!$F$1435,"")</f>
        <v/>
      </c>
      <c r="Z1434" t="n">
        <v>1</v>
      </c>
      <c r="AA1434">
        <f>IF(ISNUMBER('IN-CLASS_Lab Part C'!$J$1434),'IN-CLASS_Lab Part C'!$J$1434,NA())</f>
        <v/>
      </c>
    </row>
    <row r="1435">
      <c r="J1435">
        <f>IF(AND(ISNUMBER('Data'!$F$1436),'Data'!$F$1436&lt;&gt;999,'Data'!$F$1436&lt;&gt;""),'Data'!$F$1436,"")</f>
        <v/>
      </c>
      <c r="Z1435" t="n">
        <v>1</v>
      </c>
      <c r="AA1435">
        <f>IF(ISNUMBER('IN-CLASS_Lab Part C'!$J$1435),'IN-CLASS_Lab Part C'!$J$1435,NA())</f>
        <v/>
      </c>
    </row>
    <row r="1436">
      <c r="J1436">
        <f>IF(AND(ISNUMBER('Data'!$F$1437),'Data'!$F$1437&lt;&gt;999,'Data'!$F$1437&lt;&gt;""),'Data'!$F$1437,"")</f>
        <v/>
      </c>
      <c r="Z1436" t="n">
        <v>1</v>
      </c>
      <c r="AA1436">
        <f>IF(ISNUMBER('IN-CLASS_Lab Part C'!$J$1436),'IN-CLASS_Lab Part C'!$J$1436,NA())</f>
        <v/>
      </c>
    </row>
    <row r="1437">
      <c r="J1437">
        <f>IF(AND(ISNUMBER('Data'!$F$1438),'Data'!$F$1438&lt;&gt;999,'Data'!$F$1438&lt;&gt;""),'Data'!$F$1438,"")</f>
        <v/>
      </c>
      <c r="Z1437" t="n">
        <v>1</v>
      </c>
      <c r="AA1437">
        <f>IF(ISNUMBER('IN-CLASS_Lab Part C'!$J$1437),'IN-CLASS_Lab Part C'!$J$1437,NA())</f>
        <v/>
      </c>
    </row>
    <row r="1438">
      <c r="J1438">
        <f>IF(AND(ISNUMBER('Data'!$F$1439),'Data'!$F$1439&lt;&gt;999,'Data'!$F$1439&lt;&gt;""),'Data'!$F$1439,"")</f>
        <v/>
      </c>
      <c r="Z1438" t="n">
        <v>1</v>
      </c>
      <c r="AA1438">
        <f>IF(ISNUMBER('IN-CLASS_Lab Part C'!$J$1438),'IN-CLASS_Lab Part C'!$J$1438,NA())</f>
        <v/>
      </c>
    </row>
    <row r="1439">
      <c r="J1439">
        <f>IF(AND(ISNUMBER('Data'!$F$1440),'Data'!$F$1440&lt;&gt;999,'Data'!$F$1440&lt;&gt;""),'Data'!$F$1440,"")</f>
        <v/>
      </c>
      <c r="Z1439" t="n">
        <v>1</v>
      </c>
      <c r="AA1439">
        <f>IF(ISNUMBER('IN-CLASS_Lab Part C'!$J$1439),'IN-CLASS_Lab Part C'!$J$1439,NA())</f>
        <v/>
      </c>
    </row>
    <row r="1440">
      <c r="J1440">
        <f>IF(AND(ISNUMBER('Data'!$F$1441),'Data'!$F$1441&lt;&gt;999,'Data'!$F$1441&lt;&gt;""),'Data'!$F$1441,"")</f>
        <v/>
      </c>
      <c r="Z1440" t="n">
        <v>1</v>
      </c>
      <c r="AA1440">
        <f>IF(ISNUMBER('IN-CLASS_Lab Part C'!$J$1440),'IN-CLASS_Lab Part C'!$J$1440,NA())</f>
        <v/>
      </c>
    </row>
    <row r="1441">
      <c r="J1441">
        <f>IF(AND(ISNUMBER('Data'!$F$1442),'Data'!$F$1442&lt;&gt;999,'Data'!$F$1442&lt;&gt;""),'Data'!$F$1442,"")</f>
        <v/>
      </c>
      <c r="Z1441" t="n">
        <v>1</v>
      </c>
      <c r="AA1441">
        <f>IF(ISNUMBER('IN-CLASS_Lab Part C'!$J$1441),'IN-CLASS_Lab Part C'!$J$1441,NA())</f>
        <v/>
      </c>
    </row>
    <row r="1442">
      <c r="J1442">
        <f>IF(AND(ISNUMBER('Data'!$F$1443),'Data'!$F$1443&lt;&gt;999,'Data'!$F$1443&lt;&gt;""),'Data'!$F$1443,"")</f>
        <v/>
      </c>
      <c r="Z1442" t="n">
        <v>1</v>
      </c>
      <c r="AA1442">
        <f>IF(ISNUMBER('IN-CLASS_Lab Part C'!$J$1442),'IN-CLASS_Lab Part C'!$J$1442,NA())</f>
        <v/>
      </c>
    </row>
    <row r="1443">
      <c r="J1443">
        <f>IF(AND(ISNUMBER('Data'!$F$1444),'Data'!$F$1444&lt;&gt;999,'Data'!$F$1444&lt;&gt;""),'Data'!$F$1444,"")</f>
        <v/>
      </c>
      <c r="Z1443" t="n">
        <v>1</v>
      </c>
      <c r="AA1443">
        <f>IF(ISNUMBER('IN-CLASS_Lab Part C'!$J$1443),'IN-CLASS_Lab Part C'!$J$1443,NA())</f>
        <v/>
      </c>
    </row>
    <row r="1444">
      <c r="J1444">
        <f>IF(AND(ISNUMBER('Data'!$F$1445),'Data'!$F$1445&lt;&gt;999,'Data'!$F$1445&lt;&gt;""),'Data'!$F$1445,"")</f>
        <v/>
      </c>
      <c r="Z1444" t="n">
        <v>1</v>
      </c>
      <c r="AA1444">
        <f>IF(ISNUMBER('IN-CLASS_Lab Part C'!$J$1444),'IN-CLASS_Lab Part C'!$J$1444,NA())</f>
        <v/>
      </c>
    </row>
    <row r="1445">
      <c r="J1445">
        <f>IF(AND(ISNUMBER('Data'!$F$1446),'Data'!$F$1446&lt;&gt;999,'Data'!$F$1446&lt;&gt;""),'Data'!$F$1446,"")</f>
        <v/>
      </c>
      <c r="Z1445" t="n">
        <v>1</v>
      </c>
      <c r="AA1445">
        <f>IF(ISNUMBER('IN-CLASS_Lab Part C'!$J$1445),'IN-CLASS_Lab Part C'!$J$1445,NA())</f>
        <v/>
      </c>
    </row>
    <row r="1446">
      <c r="J1446">
        <f>IF(AND(ISNUMBER('Data'!$F$1447),'Data'!$F$1447&lt;&gt;999,'Data'!$F$1447&lt;&gt;""),'Data'!$F$1447,"")</f>
        <v/>
      </c>
      <c r="Z1446" t="n">
        <v>1</v>
      </c>
      <c r="AA1446">
        <f>IF(ISNUMBER('IN-CLASS_Lab Part C'!$J$1446),'IN-CLASS_Lab Part C'!$J$1446,NA())</f>
        <v/>
      </c>
    </row>
    <row r="1447">
      <c r="J1447">
        <f>IF(AND(ISNUMBER('Data'!$F$1448),'Data'!$F$1448&lt;&gt;999,'Data'!$F$1448&lt;&gt;""),'Data'!$F$1448,"")</f>
        <v/>
      </c>
      <c r="Z1447" t="n">
        <v>1</v>
      </c>
      <c r="AA1447">
        <f>IF(ISNUMBER('IN-CLASS_Lab Part C'!$J$1447),'IN-CLASS_Lab Part C'!$J$1447,NA())</f>
        <v/>
      </c>
    </row>
    <row r="1448">
      <c r="J1448">
        <f>IF(AND(ISNUMBER('Data'!$F$1449),'Data'!$F$1449&lt;&gt;999,'Data'!$F$1449&lt;&gt;""),'Data'!$F$1449,"")</f>
        <v/>
      </c>
      <c r="Z1448" t="n">
        <v>1</v>
      </c>
      <c r="AA1448">
        <f>IF(ISNUMBER('IN-CLASS_Lab Part C'!$J$1448),'IN-CLASS_Lab Part C'!$J$1448,NA())</f>
        <v/>
      </c>
    </row>
    <row r="1449">
      <c r="J1449">
        <f>IF(AND(ISNUMBER('Data'!$F$1450),'Data'!$F$1450&lt;&gt;999,'Data'!$F$1450&lt;&gt;""),'Data'!$F$1450,"")</f>
        <v/>
      </c>
      <c r="Z1449" t="n">
        <v>1</v>
      </c>
      <c r="AA1449">
        <f>IF(ISNUMBER('IN-CLASS_Lab Part C'!$J$1449),'IN-CLASS_Lab Part C'!$J$1449,NA())</f>
        <v/>
      </c>
    </row>
    <row r="1450">
      <c r="J1450">
        <f>IF(AND(ISNUMBER('Data'!$F$1451),'Data'!$F$1451&lt;&gt;999,'Data'!$F$1451&lt;&gt;""),'Data'!$F$1451,"")</f>
        <v/>
      </c>
      <c r="Z1450" t="n">
        <v>1</v>
      </c>
      <c r="AA1450">
        <f>IF(ISNUMBER('IN-CLASS_Lab Part C'!$J$1450),'IN-CLASS_Lab Part C'!$J$1450,NA())</f>
        <v/>
      </c>
    </row>
    <row r="1451">
      <c r="J1451">
        <f>IF(AND(ISNUMBER('Data'!$F$1452),'Data'!$F$1452&lt;&gt;999,'Data'!$F$1452&lt;&gt;""),'Data'!$F$1452,"")</f>
        <v/>
      </c>
      <c r="Z1451" t="n">
        <v>1</v>
      </c>
      <c r="AA1451">
        <f>IF(ISNUMBER('IN-CLASS_Lab Part C'!$J$1451),'IN-CLASS_Lab Part C'!$J$1451,NA())</f>
        <v/>
      </c>
    </row>
    <row r="1452">
      <c r="J1452">
        <f>IF(AND(ISNUMBER('Data'!$F$1453),'Data'!$F$1453&lt;&gt;999,'Data'!$F$1453&lt;&gt;""),'Data'!$F$1453,"")</f>
        <v/>
      </c>
      <c r="Z1452" t="n">
        <v>1</v>
      </c>
      <c r="AA1452">
        <f>IF(ISNUMBER('IN-CLASS_Lab Part C'!$J$1452),'IN-CLASS_Lab Part C'!$J$1452,NA())</f>
        <v/>
      </c>
    </row>
    <row r="1453">
      <c r="J1453">
        <f>IF(AND(ISNUMBER('Data'!$F$1454),'Data'!$F$1454&lt;&gt;999,'Data'!$F$1454&lt;&gt;""),'Data'!$F$1454,"")</f>
        <v/>
      </c>
      <c r="Z1453" t="n">
        <v>1</v>
      </c>
      <c r="AA1453">
        <f>IF(ISNUMBER('IN-CLASS_Lab Part C'!$J$1453),'IN-CLASS_Lab Part C'!$J$1453,NA())</f>
        <v/>
      </c>
    </row>
    <row r="1454">
      <c r="J1454">
        <f>IF(AND(ISNUMBER('Data'!$F$1455),'Data'!$F$1455&lt;&gt;999,'Data'!$F$1455&lt;&gt;""),'Data'!$F$1455,"")</f>
        <v/>
      </c>
      <c r="Z1454" t="n">
        <v>1</v>
      </c>
      <c r="AA1454">
        <f>IF(ISNUMBER('IN-CLASS_Lab Part C'!$J$1454),'IN-CLASS_Lab Part C'!$J$1454,NA())</f>
        <v/>
      </c>
    </row>
    <row r="1455">
      <c r="J1455">
        <f>IF(AND(ISNUMBER('Data'!$F$1456),'Data'!$F$1456&lt;&gt;999,'Data'!$F$1456&lt;&gt;""),'Data'!$F$1456,"")</f>
        <v/>
      </c>
      <c r="Z1455" t="n">
        <v>1</v>
      </c>
      <c r="AA1455">
        <f>IF(ISNUMBER('IN-CLASS_Lab Part C'!$J$1455),'IN-CLASS_Lab Part C'!$J$1455,NA())</f>
        <v/>
      </c>
    </row>
    <row r="1456">
      <c r="J1456">
        <f>IF(AND(ISNUMBER('Data'!$F$1457),'Data'!$F$1457&lt;&gt;999,'Data'!$F$1457&lt;&gt;""),'Data'!$F$1457,"")</f>
        <v/>
      </c>
      <c r="Z1456" t="n">
        <v>1</v>
      </c>
      <c r="AA1456">
        <f>IF(ISNUMBER('IN-CLASS_Lab Part C'!$J$1456),'IN-CLASS_Lab Part C'!$J$1456,NA())</f>
        <v/>
      </c>
    </row>
    <row r="1457">
      <c r="J1457">
        <f>IF(AND(ISNUMBER('Data'!$F$1458),'Data'!$F$1458&lt;&gt;999,'Data'!$F$1458&lt;&gt;""),'Data'!$F$1458,"")</f>
        <v/>
      </c>
      <c r="Z1457" t="n">
        <v>1</v>
      </c>
      <c r="AA1457">
        <f>IF(ISNUMBER('IN-CLASS_Lab Part C'!$J$1457),'IN-CLASS_Lab Part C'!$J$1457,NA())</f>
        <v/>
      </c>
    </row>
    <row r="1458">
      <c r="J1458">
        <f>IF(AND(ISNUMBER('Data'!$F$1459),'Data'!$F$1459&lt;&gt;999,'Data'!$F$1459&lt;&gt;""),'Data'!$F$1459,"")</f>
        <v/>
      </c>
      <c r="Z1458" t="n">
        <v>1</v>
      </c>
      <c r="AA1458">
        <f>IF(ISNUMBER('IN-CLASS_Lab Part C'!$J$1458),'IN-CLASS_Lab Part C'!$J$1458,NA())</f>
        <v/>
      </c>
    </row>
    <row r="1459">
      <c r="J1459">
        <f>IF(AND(ISNUMBER('Data'!$F$1460),'Data'!$F$1460&lt;&gt;999,'Data'!$F$1460&lt;&gt;""),'Data'!$F$1460,"")</f>
        <v/>
      </c>
      <c r="Z1459" t="n">
        <v>1</v>
      </c>
      <c r="AA1459">
        <f>IF(ISNUMBER('IN-CLASS_Lab Part C'!$J$1459),'IN-CLASS_Lab Part C'!$J$1459,NA())</f>
        <v/>
      </c>
    </row>
    <row r="1460">
      <c r="J1460">
        <f>IF(AND(ISNUMBER('Data'!$F$1461),'Data'!$F$1461&lt;&gt;999,'Data'!$F$1461&lt;&gt;""),'Data'!$F$1461,"")</f>
        <v/>
      </c>
      <c r="Z1460" t="n">
        <v>1</v>
      </c>
      <c r="AA1460">
        <f>IF(ISNUMBER('IN-CLASS_Lab Part C'!$J$1460),'IN-CLASS_Lab Part C'!$J$1460,NA())</f>
        <v/>
      </c>
    </row>
    <row r="1461">
      <c r="J1461">
        <f>IF(AND(ISNUMBER('Data'!$F$1462),'Data'!$F$1462&lt;&gt;999,'Data'!$F$1462&lt;&gt;""),'Data'!$F$1462,"")</f>
        <v/>
      </c>
      <c r="Z1461" t="n">
        <v>1</v>
      </c>
      <c r="AA1461">
        <f>IF(ISNUMBER('IN-CLASS_Lab Part C'!$J$1461),'IN-CLASS_Lab Part C'!$J$1461,NA())</f>
        <v/>
      </c>
    </row>
    <row r="1462">
      <c r="J1462">
        <f>IF(AND(ISNUMBER('Data'!$F$1463),'Data'!$F$1463&lt;&gt;999,'Data'!$F$1463&lt;&gt;""),'Data'!$F$1463,"")</f>
        <v/>
      </c>
      <c r="Z1462" t="n">
        <v>1</v>
      </c>
      <c r="AA1462">
        <f>IF(ISNUMBER('IN-CLASS_Lab Part C'!$J$1462),'IN-CLASS_Lab Part C'!$J$1462,NA())</f>
        <v/>
      </c>
    </row>
    <row r="1463">
      <c r="J1463">
        <f>IF(AND(ISNUMBER('Data'!$F$1464),'Data'!$F$1464&lt;&gt;999,'Data'!$F$1464&lt;&gt;""),'Data'!$F$1464,"")</f>
        <v/>
      </c>
      <c r="Z1463" t="n">
        <v>1</v>
      </c>
      <c r="AA1463">
        <f>IF(ISNUMBER('IN-CLASS_Lab Part C'!$J$1463),'IN-CLASS_Lab Part C'!$J$1463,NA())</f>
        <v/>
      </c>
    </row>
    <row r="1464">
      <c r="J1464">
        <f>IF(AND(ISNUMBER('Data'!$F$1465),'Data'!$F$1465&lt;&gt;999,'Data'!$F$1465&lt;&gt;""),'Data'!$F$1465,"")</f>
        <v/>
      </c>
      <c r="Z1464" t="n">
        <v>1</v>
      </c>
      <c r="AA1464">
        <f>IF(ISNUMBER('IN-CLASS_Lab Part C'!$J$1464),'IN-CLASS_Lab Part C'!$J$1464,NA())</f>
        <v/>
      </c>
    </row>
    <row r="1465">
      <c r="J1465">
        <f>IF(AND(ISNUMBER('Data'!$F$1466),'Data'!$F$1466&lt;&gt;999,'Data'!$F$1466&lt;&gt;""),'Data'!$F$1466,"")</f>
        <v/>
      </c>
      <c r="Z1465" t="n">
        <v>1</v>
      </c>
      <c r="AA1465">
        <f>IF(ISNUMBER('IN-CLASS_Lab Part C'!$J$1465),'IN-CLASS_Lab Part C'!$J$1465,NA())</f>
        <v/>
      </c>
    </row>
    <row r="1466">
      <c r="J1466">
        <f>IF(AND(ISNUMBER('Data'!$F$1467),'Data'!$F$1467&lt;&gt;999,'Data'!$F$1467&lt;&gt;""),'Data'!$F$1467,"")</f>
        <v/>
      </c>
      <c r="Z1466" t="n">
        <v>1</v>
      </c>
      <c r="AA1466">
        <f>IF(ISNUMBER('IN-CLASS_Lab Part C'!$J$1466),'IN-CLASS_Lab Part C'!$J$1466,NA())</f>
        <v/>
      </c>
    </row>
    <row r="1467">
      <c r="J1467">
        <f>IF(AND(ISNUMBER('Data'!$F$1468),'Data'!$F$1468&lt;&gt;999,'Data'!$F$1468&lt;&gt;""),'Data'!$F$1468,"")</f>
        <v/>
      </c>
      <c r="Z1467" t="n">
        <v>1</v>
      </c>
      <c r="AA1467">
        <f>IF(ISNUMBER('IN-CLASS_Lab Part C'!$J$1467),'IN-CLASS_Lab Part C'!$J$1467,NA())</f>
        <v/>
      </c>
    </row>
    <row r="1468">
      <c r="J1468">
        <f>IF(AND(ISNUMBER('Data'!$F$1469),'Data'!$F$1469&lt;&gt;999,'Data'!$F$1469&lt;&gt;""),'Data'!$F$1469,"")</f>
        <v/>
      </c>
      <c r="Z1468" t="n">
        <v>1</v>
      </c>
      <c r="AA1468">
        <f>IF(ISNUMBER('IN-CLASS_Lab Part C'!$J$1468),'IN-CLASS_Lab Part C'!$J$1468,NA())</f>
        <v/>
      </c>
    </row>
    <row r="1469">
      <c r="J1469">
        <f>IF(AND(ISNUMBER('Data'!$F$1470),'Data'!$F$1470&lt;&gt;999,'Data'!$F$1470&lt;&gt;""),'Data'!$F$1470,"")</f>
        <v/>
      </c>
      <c r="Z1469" t="n">
        <v>1</v>
      </c>
      <c r="AA1469">
        <f>IF(ISNUMBER('IN-CLASS_Lab Part C'!$J$1469),'IN-CLASS_Lab Part C'!$J$1469,NA())</f>
        <v/>
      </c>
    </row>
    <row r="1470">
      <c r="J1470">
        <f>IF(AND(ISNUMBER('Data'!$F$1471),'Data'!$F$1471&lt;&gt;999,'Data'!$F$1471&lt;&gt;""),'Data'!$F$1471,"")</f>
        <v/>
      </c>
      <c r="Z1470" t="n">
        <v>1</v>
      </c>
      <c r="AA1470">
        <f>IF(ISNUMBER('IN-CLASS_Lab Part C'!$J$1470),'IN-CLASS_Lab Part C'!$J$1470,NA())</f>
        <v/>
      </c>
    </row>
    <row r="1471">
      <c r="J1471">
        <f>IF(AND(ISNUMBER('Data'!$F$1472),'Data'!$F$1472&lt;&gt;999,'Data'!$F$1472&lt;&gt;""),'Data'!$F$1472,"")</f>
        <v/>
      </c>
      <c r="Z1471" t="n">
        <v>1</v>
      </c>
      <c r="AA1471">
        <f>IF(ISNUMBER('IN-CLASS_Lab Part C'!$J$1471),'IN-CLASS_Lab Part C'!$J$1471,NA())</f>
        <v/>
      </c>
    </row>
    <row r="1472">
      <c r="J1472">
        <f>IF(AND(ISNUMBER('Data'!$F$1473),'Data'!$F$1473&lt;&gt;999,'Data'!$F$1473&lt;&gt;""),'Data'!$F$1473,"")</f>
        <v/>
      </c>
      <c r="Z1472" t="n">
        <v>1</v>
      </c>
      <c r="AA1472">
        <f>IF(ISNUMBER('IN-CLASS_Lab Part C'!$J$1472),'IN-CLASS_Lab Part C'!$J$1472,NA())</f>
        <v/>
      </c>
    </row>
    <row r="1473">
      <c r="J1473">
        <f>IF(AND(ISNUMBER('Data'!$F$1474),'Data'!$F$1474&lt;&gt;999,'Data'!$F$1474&lt;&gt;""),'Data'!$F$1474,"")</f>
        <v/>
      </c>
      <c r="Z1473" t="n">
        <v>1</v>
      </c>
      <c r="AA1473">
        <f>IF(ISNUMBER('IN-CLASS_Lab Part C'!$J$1473),'IN-CLASS_Lab Part C'!$J$1473,NA())</f>
        <v/>
      </c>
    </row>
    <row r="1474">
      <c r="J1474">
        <f>IF(AND(ISNUMBER('Data'!$F$1475),'Data'!$F$1475&lt;&gt;999,'Data'!$F$1475&lt;&gt;""),'Data'!$F$1475,"")</f>
        <v/>
      </c>
      <c r="Z1474" t="n">
        <v>1</v>
      </c>
      <c r="AA1474">
        <f>IF(ISNUMBER('IN-CLASS_Lab Part C'!$J$1474),'IN-CLASS_Lab Part C'!$J$1474,NA())</f>
        <v/>
      </c>
    </row>
    <row r="1475">
      <c r="J1475">
        <f>IF(AND(ISNUMBER('Data'!$F$1476),'Data'!$F$1476&lt;&gt;999,'Data'!$F$1476&lt;&gt;""),'Data'!$F$1476,"")</f>
        <v/>
      </c>
      <c r="Z1475" t="n">
        <v>1</v>
      </c>
      <c r="AA1475">
        <f>IF(ISNUMBER('IN-CLASS_Lab Part C'!$J$1475),'IN-CLASS_Lab Part C'!$J$1475,NA())</f>
        <v/>
      </c>
    </row>
    <row r="1476">
      <c r="J1476">
        <f>IF(AND(ISNUMBER('Data'!$F$1477),'Data'!$F$1477&lt;&gt;999,'Data'!$F$1477&lt;&gt;""),'Data'!$F$1477,"")</f>
        <v/>
      </c>
      <c r="Z1476" t="n">
        <v>1</v>
      </c>
      <c r="AA1476">
        <f>IF(ISNUMBER('IN-CLASS_Lab Part C'!$J$1476),'IN-CLASS_Lab Part C'!$J$1476,NA())</f>
        <v/>
      </c>
    </row>
    <row r="1477">
      <c r="J1477">
        <f>IF(AND(ISNUMBER('Data'!$F$1478),'Data'!$F$1478&lt;&gt;999,'Data'!$F$1478&lt;&gt;""),'Data'!$F$1478,"")</f>
        <v/>
      </c>
      <c r="Z1477" t="n">
        <v>1</v>
      </c>
      <c r="AA1477">
        <f>IF(ISNUMBER('IN-CLASS_Lab Part C'!$J$1477),'IN-CLASS_Lab Part C'!$J$1477,NA())</f>
        <v/>
      </c>
    </row>
    <row r="1478">
      <c r="J1478">
        <f>IF(AND(ISNUMBER('Data'!$F$1479),'Data'!$F$1479&lt;&gt;999,'Data'!$F$1479&lt;&gt;""),'Data'!$F$1479,"")</f>
        <v/>
      </c>
      <c r="Z1478" t="n">
        <v>1</v>
      </c>
      <c r="AA1478">
        <f>IF(ISNUMBER('IN-CLASS_Lab Part C'!$J$1478),'IN-CLASS_Lab Part C'!$J$1478,NA())</f>
        <v/>
      </c>
    </row>
    <row r="1479">
      <c r="J1479">
        <f>IF(AND(ISNUMBER('Data'!$F$1480),'Data'!$F$1480&lt;&gt;999,'Data'!$F$1480&lt;&gt;""),'Data'!$F$1480,"")</f>
        <v/>
      </c>
      <c r="Z1479" t="n">
        <v>1</v>
      </c>
      <c r="AA1479">
        <f>IF(ISNUMBER('IN-CLASS_Lab Part C'!$J$1479),'IN-CLASS_Lab Part C'!$J$1479,NA())</f>
        <v/>
      </c>
    </row>
    <row r="1480">
      <c r="J1480">
        <f>IF(AND(ISNUMBER('Data'!$F$1481),'Data'!$F$1481&lt;&gt;999,'Data'!$F$1481&lt;&gt;""),'Data'!$F$1481,"")</f>
        <v/>
      </c>
      <c r="Z1480" t="n">
        <v>1</v>
      </c>
      <c r="AA1480">
        <f>IF(ISNUMBER('IN-CLASS_Lab Part C'!$J$1480),'IN-CLASS_Lab Part C'!$J$1480,NA())</f>
        <v/>
      </c>
    </row>
    <row r="1481">
      <c r="J1481">
        <f>IF(AND(ISNUMBER('Data'!$F$1482),'Data'!$F$1482&lt;&gt;999,'Data'!$F$1482&lt;&gt;""),'Data'!$F$1482,"")</f>
        <v/>
      </c>
      <c r="Z1481" t="n">
        <v>1</v>
      </c>
      <c r="AA1481">
        <f>IF(ISNUMBER('IN-CLASS_Lab Part C'!$J$1481),'IN-CLASS_Lab Part C'!$J$1481,NA())</f>
        <v/>
      </c>
    </row>
    <row r="1482">
      <c r="J1482">
        <f>IF(AND(ISNUMBER('Data'!$F$1483),'Data'!$F$1483&lt;&gt;999,'Data'!$F$1483&lt;&gt;""),'Data'!$F$1483,"")</f>
        <v/>
      </c>
      <c r="Z1482" t="n">
        <v>1</v>
      </c>
      <c r="AA1482">
        <f>IF(ISNUMBER('IN-CLASS_Lab Part C'!$J$1482),'IN-CLASS_Lab Part C'!$J$1482,NA())</f>
        <v/>
      </c>
    </row>
    <row r="1483">
      <c r="J1483">
        <f>IF(AND(ISNUMBER('Data'!$F$1484),'Data'!$F$1484&lt;&gt;999,'Data'!$F$1484&lt;&gt;""),'Data'!$F$1484,"")</f>
        <v/>
      </c>
      <c r="Z1483" t="n">
        <v>1</v>
      </c>
      <c r="AA1483">
        <f>IF(ISNUMBER('IN-CLASS_Lab Part C'!$J$1483),'IN-CLASS_Lab Part C'!$J$1483,NA())</f>
        <v/>
      </c>
    </row>
    <row r="1484">
      <c r="J1484">
        <f>IF(AND(ISNUMBER('Data'!$F$1485),'Data'!$F$1485&lt;&gt;999,'Data'!$F$1485&lt;&gt;""),'Data'!$F$1485,"")</f>
        <v/>
      </c>
      <c r="Z1484" t="n">
        <v>1</v>
      </c>
      <c r="AA1484">
        <f>IF(ISNUMBER('IN-CLASS_Lab Part C'!$J$1484),'IN-CLASS_Lab Part C'!$J$1484,NA())</f>
        <v/>
      </c>
    </row>
    <row r="1485">
      <c r="J1485">
        <f>IF(AND(ISNUMBER('Data'!$F$1486),'Data'!$F$1486&lt;&gt;999,'Data'!$F$1486&lt;&gt;""),'Data'!$F$1486,"")</f>
        <v/>
      </c>
      <c r="Z1485" t="n">
        <v>1</v>
      </c>
      <c r="AA1485">
        <f>IF(ISNUMBER('IN-CLASS_Lab Part C'!$J$1485),'IN-CLASS_Lab Part C'!$J$1485,NA())</f>
        <v/>
      </c>
    </row>
    <row r="1486">
      <c r="J1486">
        <f>IF(AND(ISNUMBER('Data'!$F$1487),'Data'!$F$1487&lt;&gt;999,'Data'!$F$1487&lt;&gt;""),'Data'!$F$1487,"")</f>
        <v/>
      </c>
      <c r="Z1486" t="n">
        <v>1</v>
      </c>
      <c r="AA1486">
        <f>IF(ISNUMBER('IN-CLASS_Lab Part C'!$J$1486),'IN-CLASS_Lab Part C'!$J$1486,NA())</f>
        <v/>
      </c>
    </row>
    <row r="1487">
      <c r="J1487">
        <f>IF(AND(ISNUMBER('Data'!$F$1488),'Data'!$F$1488&lt;&gt;999,'Data'!$F$1488&lt;&gt;""),'Data'!$F$1488,"")</f>
        <v/>
      </c>
      <c r="Z1487" t="n">
        <v>1</v>
      </c>
      <c r="AA1487">
        <f>IF(ISNUMBER('IN-CLASS_Lab Part C'!$J$1487),'IN-CLASS_Lab Part C'!$J$1487,NA())</f>
        <v/>
      </c>
    </row>
    <row r="1488">
      <c r="J1488">
        <f>IF(AND(ISNUMBER('Data'!$F$1489),'Data'!$F$1489&lt;&gt;999,'Data'!$F$1489&lt;&gt;""),'Data'!$F$1489,"")</f>
        <v/>
      </c>
      <c r="Z1488" t="n">
        <v>1</v>
      </c>
      <c r="AA1488">
        <f>IF(ISNUMBER('IN-CLASS_Lab Part C'!$J$1488),'IN-CLASS_Lab Part C'!$J$1488,NA())</f>
        <v/>
      </c>
    </row>
    <row r="1489">
      <c r="J1489">
        <f>IF(AND(ISNUMBER('Data'!$F$1490),'Data'!$F$1490&lt;&gt;999,'Data'!$F$1490&lt;&gt;""),'Data'!$F$1490,"")</f>
        <v/>
      </c>
      <c r="Z1489" t="n">
        <v>1</v>
      </c>
      <c r="AA1489">
        <f>IF(ISNUMBER('IN-CLASS_Lab Part C'!$J$1489),'IN-CLASS_Lab Part C'!$J$1489,NA())</f>
        <v/>
      </c>
    </row>
    <row r="1490">
      <c r="J1490">
        <f>IF(AND(ISNUMBER('Data'!$F$1491),'Data'!$F$1491&lt;&gt;999,'Data'!$F$1491&lt;&gt;""),'Data'!$F$1491,"")</f>
        <v/>
      </c>
      <c r="Z1490" t="n">
        <v>1</v>
      </c>
      <c r="AA1490">
        <f>IF(ISNUMBER('IN-CLASS_Lab Part C'!$J$1490),'IN-CLASS_Lab Part C'!$J$1490,NA())</f>
        <v/>
      </c>
    </row>
    <row r="1491">
      <c r="J1491">
        <f>IF(AND(ISNUMBER('Data'!$F$1492),'Data'!$F$1492&lt;&gt;999,'Data'!$F$1492&lt;&gt;""),'Data'!$F$1492,"")</f>
        <v/>
      </c>
      <c r="Z1491" t="n">
        <v>1</v>
      </c>
      <c r="AA1491">
        <f>IF(ISNUMBER('IN-CLASS_Lab Part C'!$J$1491),'IN-CLASS_Lab Part C'!$J$1491,NA())</f>
        <v/>
      </c>
    </row>
    <row r="1492">
      <c r="J1492">
        <f>IF(AND(ISNUMBER('Data'!$F$1493),'Data'!$F$1493&lt;&gt;999,'Data'!$F$1493&lt;&gt;""),'Data'!$F$1493,"")</f>
        <v/>
      </c>
      <c r="Z1492" t="n">
        <v>1</v>
      </c>
      <c r="AA1492">
        <f>IF(ISNUMBER('IN-CLASS_Lab Part C'!$J$1492),'IN-CLASS_Lab Part C'!$J$1492,NA())</f>
        <v/>
      </c>
    </row>
    <row r="1493">
      <c r="J1493">
        <f>IF(AND(ISNUMBER('Data'!$F$1494),'Data'!$F$1494&lt;&gt;999,'Data'!$F$1494&lt;&gt;""),'Data'!$F$1494,"")</f>
        <v/>
      </c>
      <c r="Z1493" t="n">
        <v>1</v>
      </c>
      <c r="AA1493">
        <f>IF(ISNUMBER('IN-CLASS_Lab Part C'!$J$1493),'IN-CLASS_Lab Part C'!$J$1493,NA())</f>
        <v/>
      </c>
    </row>
    <row r="1494">
      <c r="J1494">
        <f>IF(AND(ISNUMBER('Data'!$F$1495),'Data'!$F$1495&lt;&gt;999,'Data'!$F$1495&lt;&gt;""),'Data'!$F$1495,"")</f>
        <v/>
      </c>
      <c r="Z1494" t="n">
        <v>1</v>
      </c>
      <c r="AA1494">
        <f>IF(ISNUMBER('IN-CLASS_Lab Part C'!$J$1494),'IN-CLASS_Lab Part C'!$J$1494,NA())</f>
        <v/>
      </c>
    </row>
    <row r="1495">
      <c r="J1495">
        <f>IF(AND(ISNUMBER('Data'!$F$1496),'Data'!$F$1496&lt;&gt;999,'Data'!$F$1496&lt;&gt;""),'Data'!$F$1496,"")</f>
        <v/>
      </c>
      <c r="Z1495" t="n">
        <v>1</v>
      </c>
      <c r="AA1495">
        <f>IF(ISNUMBER('IN-CLASS_Lab Part C'!$J$1495),'IN-CLASS_Lab Part C'!$J$1495,NA())</f>
        <v/>
      </c>
    </row>
    <row r="1496">
      <c r="J1496">
        <f>IF(AND(ISNUMBER('Data'!$F$1497),'Data'!$F$1497&lt;&gt;999,'Data'!$F$1497&lt;&gt;""),'Data'!$F$1497,"")</f>
        <v/>
      </c>
      <c r="Z1496" t="n">
        <v>1</v>
      </c>
      <c r="AA1496">
        <f>IF(ISNUMBER('IN-CLASS_Lab Part C'!$J$1496),'IN-CLASS_Lab Part C'!$J$1496,NA())</f>
        <v/>
      </c>
    </row>
    <row r="1497">
      <c r="J1497">
        <f>IF(AND(ISNUMBER('Data'!$F$1498),'Data'!$F$1498&lt;&gt;999,'Data'!$F$1498&lt;&gt;""),'Data'!$F$1498,"")</f>
        <v/>
      </c>
      <c r="Z1497" t="n">
        <v>1</v>
      </c>
      <c r="AA1497">
        <f>IF(ISNUMBER('IN-CLASS_Lab Part C'!$J$1497),'IN-CLASS_Lab Part C'!$J$1497,NA())</f>
        <v/>
      </c>
    </row>
    <row r="1498">
      <c r="J1498">
        <f>IF(AND(ISNUMBER('Data'!$F$1499),'Data'!$F$1499&lt;&gt;999,'Data'!$F$1499&lt;&gt;""),'Data'!$F$1499,"")</f>
        <v/>
      </c>
      <c r="Z1498" t="n">
        <v>1</v>
      </c>
      <c r="AA1498">
        <f>IF(ISNUMBER('IN-CLASS_Lab Part C'!$J$1498),'IN-CLASS_Lab Part C'!$J$1498,NA())</f>
        <v/>
      </c>
    </row>
    <row r="1499">
      <c r="J1499">
        <f>IF(AND(ISNUMBER('Data'!$F$1500),'Data'!$F$1500&lt;&gt;999,'Data'!$F$1500&lt;&gt;""),'Data'!$F$1500,"")</f>
        <v/>
      </c>
      <c r="Z1499" t="n">
        <v>1</v>
      </c>
      <c r="AA1499">
        <f>IF(ISNUMBER('IN-CLASS_Lab Part C'!$J$1499),'IN-CLASS_Lab Part C'!$J$1499,NA())</f>
        <v/>
      </c>
    </row>
    <row r="1500">
      <c r="J1500">
        <f>IF(AND(ISNUMBER('Data'!$F$1501),'Data'!$F$1501&lt;&gt;999,'Data'!$F$1501&lt;&gt;""),'Data'!$F$1501,"")</f>
        <v/>
      </c>
      <c r="Z1500" t="n">
        <v>1</v>
      </c>
      <c r="AA1500">
        <f>IF(ISNUMBER('IN-CLASS_Lab Part C'!$J$1500),'IN-CLASS_Lab Part C'!$J$1500,NA())</f>
        <v/>
      </c>
    </row>
    <row r="1501">
      <c r="J1501">
        <f>IF(AND(ISNUMBER('Data'!$F$1502),'Data'!$F$1502&lt;&gt;999,'Data'!$F$1502&lt;&gt;""),'Data'!$F$1502,"")</f>
        <v/>
      </c>
      <c r="Z1501" t="n">
        <v>1</v>
      </c>
      <c r="AA1501">
        <f>IF(ISNUMBER('IN-CLASS_Lab Part C'!$J$1501),'IN-CLASS_Lab Part C'!$J$1501,NA())</f>
        <v/>
      </c>
    </row>
    <row r="1502">
      <c r="J1502">
        <f>IF(AND(ISNUMBER('Data'!$F$1503),'Data'!$F$1503&lt;&gt;999,'Data'!$F$1503&lt;&gt;""),'Data'!$F$1503,"")</f>
        <v/>
      </c>
      <c r="Z1502" t="n">
        <v>1</v>
      </c>
      <c r="AA1502">
        <f>IF(ISNUMBER('IN-CLASS_Lab Part C'!$J$1502),'IN-CLASS_Lab Part C'!$J$1502,NA())</f>
        <v/>
      </c>
    </row>
    <row r="1503">
      <c r="J1503">
        <f>IF(AND(ISNUMBER('Data'!$F$1504),'Data'!$F$1504&lt;&gt;999,'Data'!$F$1504&lt;&gt;""),'Data'!$F$1504,"")</f>
        <v/>
      </c>
      <c r="Z1503" t="n">
        <v>1</v>
      </c>
      <c r="AA1503">
        <f>IF(ISNUMBER('IN-CLASS_Lab Part C'!$J$1503),'IN-CLASS_Lab Part C'!$J$1503,NA())</f>
        <v/>
      </c>
    </row>
    <row r="1504">
      <c r="J1504">
        <f>IF(AND(ISNUMBER('Data'!$F$1505),'Data'!$F$1505&lt;&gt;999,'Data'!$F$1505&lt;&gt;""),'Data'!$F$1505,"")</f>
        <v/>
      </c>
      <c r="Z1504" t="n">
        <v>1</v>
      </c>
      <c r="AA1504">
        <f>IF(ISNUMBER('IN-CLASS_Lab Part C'!$J$1504),'IN-CLASS_Lab Part C'!$J$1504,NA())</f>
        <v/>
      </c>
    </row>
    <row r="1505">
      <c r="J1505">
        <f>IF(AND(ISNUMBER('Data'!$F$1506),'Data'!$F$1506&lt;&gt;999,'Data'!$F$1506&lt;&gt;""),'Data'!$F$1506,"")</f>
        <v/>
      </c>
      <c r="Z1505" t="n">
        <v>1</v>
      </c>
      <c r="AA1505">
        <f>IF(ISNUMBER('IN-CLASS_Lab Part C'!$J$1505),'IN-CLASS_Lab Part C'!$J$1505,NA())</f>
        <v/>
      </c>
    </row>
    <row r="1506">
      <c r="J1506">
        <f>IF(AND(ISNUMBER('Data'!$F$1507),'Data'!$F$1507&lt;&gt;999,'Data'!$F$1507&lt;&gt;""),'Data'!$F$1507,"")</f>
        <v/>
      </c>
      <c r="Z1506" t="n">
        <v>1</v>
      </c>
      <c r="AA1506">
        <f>IF(ISNUMBER('IN-CLASS_Lab Part C'!$J$1506),'IN-CLASS_Lab Part C'!$J$1506,NA())</f>
        <v/>
      </c>
    </row>
    <row r="1507">
      <c r="J1507">
        <f>IF(AND(ISNUMBER('Data'!$F$1508),'Data'!$F$1508&lt;&gt;999,'Data'!$F$1508&lt;&gt;""),'Data'!$F$1508,"")</f>
        <v/>
      </c>
      <c r="Z1507" t="n">
        <v>1</v>
      </c>
      <c r="AA1507">
        <f>IF(ISNUMBER('IN-CLASS_Lab Part C'!$J$1507),'IN-CLASS_Lab Part C'!$J$1507,NA())</f>
        <v/>
      </c>
    </row>
    <row r="1508">
      <c r="J1508">
        <f>IF(AND(ISNUMBER('Data'!$F$1509),'Data'!$F$1509&lt;&gt;999,'Data'!$F$1509&lt;&gt;""),'Data'!$F$1509,"")</f>
        <v/>
      </c>
      <c r="Z1508" t="n">
        <v>1</v>
      </c>
      <c r="AA1508">
        <f>IF(ISNUMBER('IN-CLASS_Lab Part C'!$J$1508),'IN-CLASS_Lab Part C'!$J$1508,NA())</f>
        <v/>
      </c>
    </row>
    <row r="1509">
      <c r="J1509">
        <f>IF(AND(ISNUMBER('Data'!$F$1510),'Data'!$F$1510&lt;&gt;999,'Data'!$F$1510&lt;&gt;""),'Data'!$F$1510,"")</f>
        <v/>
      </c>
      <c r="Z1509" t="n">
        <v>1</v>
      </c>
      <c r="AA1509">
        <f>IF(ISNUMBER('IN-CLASS_Lab Part C'!$J$1509),'IN-CLASS_Lab Part C'!$J$1509,NA())</f>
        <v/>
      </c>
    </row>
    <row r="1510">
      <c r="J1510">
        <f>IF(AND(ISNUMBER('Data'!$F$1511),'Data'!$F$1511&lt;&gt;999,'Data'!$F$1511&lt;&gt;""),'Data'!$F$1511,"")</f>
        <v/>
      </c>
      <c r="Z1510" t="n">
        <v>1</v>
      </c>
      <c r="AA1510">
        <f>IF(ISNUMBER('IN-CLASS_Lab Part C'!$J$1510),'IN-CLASS_Lab Part C'!$J$1510,NA())</f>
        <v/>
      </c>
    </row>
    <row r="1511">
      <c r="J1511">
        <f>IF(AND(ISNUMBER('Data'!$F$1512),'Data'!$F$1512&lt;&gt;999,'Data'!$F$1512&lt;&gt;""),'Data'!$F$1512,"")</f>
        <v/>
      </c>
      <c r="Z1511" t="n">
        <v>1</v>
      </c>
      <c r="AA1511">
        <f>IF(ISNUMBER('IN-CLASS_Lab Part C'!$J$1511),'IN-CLASS_Lab Part C'!$J$1511,NA())</f>
        <v/>
      </c>
    </row>
    <row r="1512">
      <c r="J1512">
        <f>IF(AND(ISNUMBER('Data'!$F$1513),'Data'!$F$1513&lt;&gt;999,'Data'!$F$1513&lt;&gt;""),'Data'!$F$1513,"")</f>
        <v/>
      </c>
      <c r="Z1512" t="n">
        <v>1</v>
      </c>
      <c r="AA1512">
        <f>IF(ISNUMBER('IN-CLASS_Lab Part C'!$J$1512),'IN-CLASS_Lab Part C'!$J$1512,NA())</f>
        <v/>
      </c>
    </row>
    <row r="1513">
      <c r="J1513">
        <f>IF(AND(ISNUMBER('Data'!$F$1514),'Data'!$F$1514&lt;&gt;999,'Data'!$F$1514&lt;&gt;""),'Data'!$F$1514,"")</f>
        <v/>
      </c>
      <c r="Z1513" t="n">
        <v>1</v>
      </c>
      <c r="AA1513">
        <f>IF(ISNUMBER('IN-CLASS_Lab Part C'!$J$1513),'IN-CLASS_Lab Part C'!$J$1513,NA())</f>
        <v/>
      </c>
    </row>
    <row r="1514">
      <c r="J1514">
        <f>IF(AND(ISNUMBER('Data'!$F$1515),'Data'!$F$1515&lt;&gt;999,'Data'!$F$1515&lt;&gt;""),'Data'!$F$1515,"")</f>
        <v/>
      </c>
      <c r="Z1514" t="n">
        <v>1</v>
      </c>
      <c r="AA1514">
        <f>IF(ISNUMBER('IN-CLASS_Lab Part C'!$J$1514),'IN-CLASS_Lab Part C'!$J$1514,NA())</f>
        <v/>
      </c>
    </row>
    <row r="1515">
      <c r="J1515">
        <f>IF(AND(ISNUMBER('Data'!$F$1516),'Data'!$F$1516&lt;&gt;999,'Data'!$F$1516&lt;&gt;""),'Data'!$F$1516,"")</f>
        <v/>
      </c>
      <c r="Z1515" t="n">
        <v>1</v>
      </c>
      <c r="AA1515">
        <f>IF(ISNUMBER('IN-CLASS_Lab Part C'!$J$1515),'IN-CLASS_Lab Part C'!$J$1515,NA())</f>
        <v/>
      </c>
    </row>
    <row r="1516">
      <c r="J1516">
        <f>IF(AND(ISNUMBER('Data'!$F$1517),'Data'!$F$1517&lt;&gt;999,'Data'!$F$1517&lt;&gt;""),'Data'!$F$1517,"")</f>
        <v/>
      </c>
      <c r="Z1516" t="n">
        <v>1</v>
      </c>
      <c r="AA1516">
        <f>IF(ISNUMBER('IN-CLASS_Lab Part C'!$J$1516),'IN-CLASS_Lab Part C'!$J$1516,NA())</f>
        <v/>
      </c>
    </row>
    <row r="1517">
      <c r="J1517">
        <f>IF(AND(ISNUMBER('Data'!$F$1518),'Data'!$F$1518&lt;&gt;999,'Data'!$F$1518&lt;&gt;""),'Data'!$F$1518,"")</f>
        <v/>
      </c>
      <c r="Z1517" t="n">
        <v>1</v>
      </c>
      <c r="AA1517">
        <f>IF(ISNUMBER('IN-CLASS_Lab Part C'!$J$1517),'IN-CLASS_Lab Part C'!$J$1517,NA())</f>
        <v/>
      </c>
    </row>
    <row r="1518">
      <c r="J1518">
        <f>IF(AND(ISNUMBER('Data'!$F$1519),'Data'!$F$1519&lt;&gt;999,'Data'!$F$1519&lt;&gt;""),'Data'!$F$1519,"")</f>
        <v/>
      </c>
      <c r="Z1518" t="n">
        <v>1</v>
      </c>
      <c r="AA1518">
        <f>IF(ISNUMBER('IN-CLASS_Lab Part C'!$J$1518),'IN-CLASS_Lab Part C'!$J$1518,NA())</f>
        <v/>
      </c>
    </row>
    <row r="1519">
      <c r="J1519">
        <f>IF(AND(ISNUMBER('Data'!$F$1520),'Data'!$F$1520&lt;&gt;999,'Data'!$F$1520&lt;&gt;""),'Data'!$F$1520,"")</f>
        <v/>
      </c>
      <c r="Z1519" t="n">
        <v>1</v>
      </c>
      <c r="AA1519">
        <f>IF(ISNUMBER('IN-CLASS_Lab Part C'!$J$1519),'IN-CLASS_Lab Part C'!$J$1519,NA())</f>
        <v/>
      </c>
    </row>
    <row r="1520">
      <c r="J1520">
        <f>IF(AND(ISNUMBER('Data'!$F$1521),'Data'!$F$1521&lt;&gt;999,'Data'!$F$1521&lt;&gt;""),'Data'!$F$1521,"")</f>
        <v/>
      </c>
      <c r="Z1520" t="n">
        <v>1</v>
      </c>
      <c r="AA1520">
        <f>IF(ISNUMBER('IN-CLASS_Lab Part C'!$J$1520),'IN-CLASS_Lab Part C'!$J$1520,NA())</f>
        <v/>
      </c>
    </row>
    <row r="1521">
      <c r="J1521">
        <f>IF(AND(ISNUMBER('Data'!$F$1522),'Data'!$F$1522&lt;&gt;999,'Data'!$F$1522&lt;&gt;""),'Data'!$F$1522,"")</f>
        <v/>
      </c>
      <c r="Z1521" t="n">
        <v>1</v>
      </c>
      <c r="AA1521">
        <f>IF(ISNUMBER('IN-CLASS_Lab Part C'!$J$1521),'IN-CLASS_Lab Part C'!$J$1521,NA())</f>
        <v/>
      </c>
    </row>
    <row r="1522">
      <c r="J1522">
        <f>IF(AND(ISNUMBER('Data'!$F$1523),'Data'!$F$1523&lt;&gt;999,'Data'!$F$1523&lt;&gt;""),'Data'!$F$1523,"")</f>
        <v/>
      </c>
      <c r="Z1522" t="n">
        <v>1</v>
      </c>
      <c r="AA1522">
        <f>IF(ISNUMBER('IN-CLASS_Lab Part C'!$J$1522),'IN-CLASS_Lab Part C'!$J$1522,NA())</f>
        <v/>
      </c>
    </row>
    <row r="1523">
      <c r="J1523">
        <f>IF(AND(ISNUMBER('Data'!$F$1524),'Data'!$F$1524&lt;&gt;999,'Data'!$F$1524&lt;&gt;""),'Data'!$F$1524,"")</f>
        <v/>
      </c>
      <c r="Z1523" t="n">
        <v>1</v>
      </c>
      <c r="AA1523">
        <f>IF(ISNUMBER('IN-CLASS_Lab Part C'!$J$1523),'IN-CLASS_Lab Part C'!$J$1523,NA())</f>
        <v/>
      </c>
    </row>
    <row r="1524">
      <c r="J1524">
        <f>IF(AND(ISNUMBER('Data'!$F$1525),'Data'!$F$1525&lt;&gt;999,'Data'!$F$1525&lt;&gt;""),'Data'!$F$1525,"")</f>
        <v/>
      </c>
      <c r="Z1524" t="n">
        <v>1</v>
      </c>
      <c r="AA1524">
        <f>IF(ISNUMBER('IN-CLASS_Lab Part C'!$J$1524),'IN-CLASS_Lab Part C'!$J$1524,NA())</f>
        <v/>
      </c>
    </row>
    <row r="1525">
      <c r="J1525">
        <f>IF(AND(ISNUMBER('Data'!$F$1526),'Data'!$F$1526&lt;&gt;999,'Data'!$F$1526&lt;&gt;""),'Data'!$F$1526,"")</f>
        <v/>
      </c>
      <c r="Z1525" t="n">
        <v>1</v>
      </c>
      <c r="AA1525">
        <f>IF(ISNUMBER('IN-CLASS_Lab Part C'!$J$1525),'IN-CLASS_Lab Part C'!$J$1525,NA())</f>
        <v/>
      </c>
    </row>
    <row r="1526">
      <c r="J1526">
        <f>IF(AND(ISNUMBER('Data'!$F$1527),'Data'!$F$1527&lt;&gt;999,'Data'!$F$1527&lt;&gt;""),'Data'!$F$1527,"")</f>
        <v/>
      </c>
      <c r="Z1526" t="n">
        <v>1</v>
      </c>
      <c r="AA1526">
        <f>IF(ISNUMBER('IN-CLASS_Lab Part C'!$J$1526),'IN-CLASS_Lab Part C'!$J$1526,NA())</f>
        <v/>
      </c>
    </row>
    <row r="1527">
      <c r="J1527">
        <f>IF(AND(ISNUMBER('Data'!$F$1528),'Data'!$F$1528&lt;&gt;999,'Data'!$F$1528&lt;&gt;""),'Data'!$F$1528,"")</f>
        <v/>
      </c>
      <c r="Z1527" t="n">
        <v>1</v>
      </c>
      <c r="AA1527">
        <f>IF(ISNUMBER('IN-CLASS_Lab Part C'!$J$1527),'IN-CLASS_Lab Part C'!$J$1527,NA())</f>
        <v/>
      </c>
    </row>
    <row r="1528">
      <c r="J1528">
        <f>IF(AND(ISNUMBER('Data'!$F$1529),'Data'!$F$1529&lt;&gt;999,'Data'!$F$1529&lt;&gt;""),'Data'!$F$1529,"")</f>
        <v/>
      </c>
      <c r="Z1528" t="n">
        <v>1</v>
      </c>
      <c r="AA1528">
        <f>IF(ISNUMBER('IN-CLASS_Lab Part C'!$J$1528),'IN-CLASS_Lab Part C'!$J$1528,NA())</f>
        <v/>
      </c>
    </row>
    <row r="1529">
      <c r="J1529">
        <f>IF(AND(ISNUMBER('Data'!$F$1530),'Data'!$F$1530&lt;&gt;999,'Data'!$F$1530&lt;&gt;""),'Data'!$F$1530,"")</f>
        <v/>
      </c>
      <c r="Z1529" t="n">
        <v>1</v>
      </c>
      <c r="AA1529">
        <f>IF(ISNUMBER('IN-CLASS_Lab Part C'!$J$1529),'IN-CLASS_Lab Part C'!$J$1529,NA())</f>
        <v/>
      </c>
    </row>
    <row r="1530">
      <c r="J1530">
        <f>IF(AND(ISNUMBER('Data'!$F$1531),'Data'!$F$1531&lt;&gt;999,'Data'!$F$1531&lt;&gt;""),'Data'!$F$1531,"")</f>
        <v/>
      </c>
      <c r="Z1530" t="n">
        <v>1</v>
      </c>
      <c r="AA1530">
        <f>IF(ISNUMBER('IN-CLASS_Lab Part C'!$J$1530),'IN-CLASS_Lab Part C'!$J$1530,NA())</f>
        <v/>
      </c>
    </row>
    <row r="1531">
      <c r="J1531">
        <f>IF(AND(ISNUMBER('Data'!$F$1532),'Data'!$F$1532&lt;&gt;999,'Data'!$F$1532&lt;&gt;""),'Data'!$F$1532,"")</f>
        <v/>
      </c>
      <c r="Z1531" t="n">
        <v>1</v>
      </c>
      <c r="AA1531">
        <f>IF(ISNUMBER('IN-CLASS_Lab Part C'!$J$1531),'IN-CLASS_Lab Part C'!$J$1531,NA())</f>
        <v/>
      </c>
    </row>
    <row r="1532">
      <c r="J1532">
        <f>IF(AND(ISNUMBER('Data'!$F$1533),'Data'!$F$1533&lt;&gt;999,'Data'!$F$1533&lt;&gt;""),'Data'!$F$1533,"")</f>
        <v/>
      </c>
      <c r="Z1532" t="n">
        <v>1</v>
      </c>
      <c r="AA1532">
        <f>IF(ISNUMBER('IN-CLASS_Lab Part C'!$J$1532),'IN-CLASS_Lab Part C'!$J$1532,NA())</f>
        <v/>
      </c>
    </row>
    <row r="1533">
      <c r="J1533">
        <f>IF(AND(ISNUMBER('Data'!$F$1534),'Data'!$F$1534&lt;&gt;999,'Data'!$F$1534&lt;&gt;""),'Data'!$F$1534,"")</f>
        <v/>
      </c>
      <c r="Z1533" t="n">
        <v>1</v>
      </c>
      <c r="AA1533">
        <f>IF(ISNUMBER('IN-CLASS_Lab Part C'!$J$1533),'IN-CLASS_Lab Part C'!$J$1533,NA())</f>
        <v/>
      </c>
    </row>
    <row r="1534">
      <c r="J1534">
        <f>IF(AND(ISNUMBER('Data'!$F$1535),'Data'!$F$1535&lt;&gt;999,'Data'!$F$1535&lt;&gt;""),'Data'!$F$1535,"")</f>
        <v/>
      </c>
      <c r="Z1534" t="n">
        <v>1</v>
      </c>
      <c r="AA1534">
        <f>IF(ISNUMBER('IN-CLASS_Lab Part C'!$J$1534),'IN-CLASS_Lab Part C'!$J$1534,NA())</f>
        <v/>
      </c>
    </row>
    <row r="1535">
      <c r="J1535">
        <f>IF(AND(ISNUMBER('Data'!$F$1536),'Data'!$F$1536&lt;&gt;999,'Data'!$F$1536&lt;&gt;""),'Data'!$F$1536,"")</f>
        <v/>
      </c>
      <c r="Z1535" t="n">
        <v>1</v>
      </c>
      <c r="AA1535">
        <f>IF(ISNUMBER('IN-CLASS_Lab Part C'!$J$1535),'IN-CLASS_Lab Part C'!$J$1535,NA())</f>
        <v/>
      </c>
    </row>
    <row r="1536">
      <c r="J1536">
        <f>IF(AND(ISNUMBER('Data'!$F$1537),'Data'!$F$1537&lt;&gt;999,'Data'!$F$1537&lt;&gt;""),'Data'!$F$1537,"")</f>
        <v/>
      </c>
      <c r="Z1536" t="n">
        <v>1</v>
      </c>
      <c r="AA1536">
        <f>IF(ISNUMBER('IN-CLASS_Lab Part C'!$J$1536),'IN-CLASS_Lab Part C'!$J$1536,NA())</f>
        <v/>
      </c>
    </row>
    <row r="1537">
      <c r="J1537">
        <f>IF(AND(ISNUMBER('Data'!$F$1538),'Data'!$F$1538&lt;&gt;999,'Data'!$F$1538&lt;&gt;""),'Data'!$F$1538,"")</f>
        <v/>
      </c>
      <c r="Z1537" t="n">
        <v>1</v>
      </c>
      <c r="AA1537">
        <f>IF(ISNUMBER('IN-CLASS_Lab Part C'!$J$1537),'IN-CLASS_Lab Part C'!$J$1537,NA())</f>
        <v/>
      </c>
    </row>
    <row r="1538">
      <c r="J1538">
        <f>IF(AND(ISNUMBER('Data'!$F$1539),'Data'!$F$1539&lt;&gt;999,'Data'!$F$1539&lt;&gt;""),'Data'!$F$1539,"")</f>
        <v/>
      </c>
      <c r="Z1538" t="n">
        <v>1</v>
      </c>
      <c r="AA1538">
        <f>IF(ISNUMBER('IN-CLASS_Lab Part C'!$J$1538),'IN-CLASS_Lab Part C'!$J$1538,NA())</f>
        <v/>
      </c>
    </row>
    <row r="1539">
      <c r="J1539">
        <f>IF(AND(ISNUMBER('Data'!$F$1540),'Data'!$F$1540&lt;&gt;999,'Data'!$F$1540&lt;&gt;""),'Data'!$F$1540,"")</f>
        <v/>
      </c>
      <c r="Z1539" t="n">
        <v>1</v>
      </c>
      <c r="AA1539">
        <f>IF(ISNUMBER('IN-CLASS_Lab Part C'!$J$1539),'IN-CLASS_Lab Part C'!$J$1539,NA())</f>
        <v/>
      </c>
    </row>
    <row r="1540">
      <c r="J1540">
        <f>IF(AND(ISNUMBER('Data'!$F$1541),'Data'!$F$1541&lt;&gt;999,'Data'!$F$1541&lt;&gt;""),'Data'!$F$1541,"")</f>
        <v/>
      </c>
      <c r="Z1540" t="n">
        <v>1</v>
      </c>
      <c r="AA1540">
        <f>IF(ISNUMBER('IN-CLASS_Lab Part C'!$J$1540),'IN-CLASS_Lab Part C'!$J$1540,NA())</f>
        <v/>
      </c>
    </row>
    <row r="1541">
      <c r="J1541">
        <f>IF(AND(ISNUMBER('Data'!$F$1542),'Data'!$F$1542&lt;&gt;999,'Data'!$F$1542&lt;&gt;""),'Data'!$F$1542,"")</f>
        <v/>
      </c>
      <c r="Z1541" t="n">
        <v>1</v>
      </c>
      <c r="AA1541">
        <f>IF(ISNUMBER('IN-CLASS_Lab Part C'!$J$1541),'IN-CLASS_Lab Part C'!$J$1541,NA())</f>
        <v/>
      </c>
    </row>
    <row r="1542">
      <c r="J1542">
        <f>IF(AND(ISNUMBER('Data'!$F$1543),'Data'!$F$1543&lt;&gt;999,'Data'!$F$1543&lt;&gt;""),'Data'!$F$1543,"")</f>
        <v/>
      </c>
      <c r="Z1542" t="n">
        <v>1</v>
      </c>
      <c r="AA1542">
        <f>IF(ISNUMBER('IN-CLASS_Lab Part C'!$J$1542),'IN-CLASS_Lab Part C'!$J$1542,NA())</f>
        <v/>
      </c>
    </row>
    <row r="1543">
      <c r="J1543">
        <f>IF(AND(ISNUMBER('Data'!$F$1544),'Data'!$F$1544&lt;&gt;999,'Data'!$F$1544&lt;&gt;""),'Data'!$F$1544,"")</f>
        <v/>
      </c>
      <c r="Z1543" t="n">
        <v>1</v>
      </c>
      <c r="AA1543">
        <f>IF(ISNUMBER('IN-CLASS_Lab Part C'!$J$1543),'IN-CLASS_Lab Part C'!$J$1543,NA())</f>
        <v/>
      </c>
    </row>
    <row r="1544">
      <c r="J1544">
        <f>IF(AND(ISNUMBER('Data'!$F$1545),'Data'!$F$1545&lt;&gt;999,'Data'!$F$1545&lt;&gt;""),'Data'!$F$1545,"")</f>
        <v/>
      </c>
      <c r="Z1544" t="n">
        <v>1</v>
      </c>
      <c r="AA1544">
        <f>IF(ISNUMBER('IN-CLASS_Lab Part C'!$J$1544),'IN-CLASS_Lab Part C'!$J$1544,NA())</f>
        <v/>
      </c>
    </row>
    <row r="1545">
      <c r="J1545">
        <f>IF(AND(ISNUMBER('Data'!$F$1546),'Data'!$F$1546&lt;&gt;999,'Data'!$F$1546&lt;&gt;""),'Data'!$F$1546,"")</f>
        <v/>
      </c>
      <c r="Z1545" t="n">
        <v>1</v>
      </c>
      <c r="AA1545">
        <f>IF(ISNUMBER('IN-CLASS_Lab Part C'!$J$1545),'IN-CLASS_Lab Part C'!$J$1545,NA())</f>
        <v/>
      </c>
    </row>
    <row r="1546">
      <c r="J1546">
        <f>IF(AND(ISNUMBER('Data'!$F$1547),'Data'!$F$1547&lt;&gt;999,'Data'!$F$1547&lt;&gt;""),'Data'!$F$1547,"")</f>
        <v/>
      </c>
      <c r="Z1546" t="n">
        <v>1</v>
      </c>
      <c r="AA1546">
        <f>IF(ISNUMBER('IN-CLASS_Lab Part C'!$J$1546),'IN-CLASS_Lab Part C'!$J$1546,NA())</f>
        <v/>
      </c>
    </row>
    <row r="1547">
      <c r="J1547">
        <f>IF(AND(ISNUMBER('Data'!$F$1548),'Data'!$F$1548&lt;&gt;999,'Data'!$F$1548&lt;&gt;""),'Data'!$F$1548,"")</f>
        <v/>
      </c>
      <c r="Z1547" t="n">
        <v>1</v>
      </c>
      <c r="AA1547">
        <f>IF(ISNUMBER('IN-CLASS_Lab Part C'!$J$1547),'IN-CLASS_Lab Part C'!$J$1547,NA())</f>
        <v/>
      </c>
    </row>
    <row r="1548">
      <c r="J1548">
        <f>IF(AND(ISNUMBER('Data'!$F$1549),'Data'!$F$1549&lt;&gt;999,'Data'!$F$1549&lt;&gt;""),'Data'!$F$1549,"")</f>
        <v/>
      </c>
      <c r="Z1548" t="n">
        <v>1</v>
      </c>
      <c r="AA1548">
        <f>IF(ISNUMBER('IN-CLASS_Lab Part C'!$J$1548),'IN-CLASS_Lab Part C'!$J$1548,NA())</f>
        <v/>
      </c>
    </row>
    <row r="1549">
      <c r="J1549">
        <f>IF(AND(ISNUMBER('Data'!$F$1550),'Data'!$F$1550&lt;&gt;999,'Data'!$F$1550&lt;&gt;""),'Data'!$F$1550,"")</f>
        <v/>
      </c>
      <c r="Z1549" t="n">
        <v>1</v>
      </c>
      <c r="AA1549">
        <f>IF(ISNUMBER('IN-CLASS_Lab Part C'!$J$1549),'IN-CLASS_Lab Part C'!$J$1549,NA())</f>
        <v/>
      </c>
    </row>
    <row r="1550">
      <c r="J1550">
        <f>IF(AND(ISNUMBER('Data'!$F$1551),'Data'!$F$1551&lt;&gt;999,'Data'!$F$1551&lt;&gt;""),'Data'!$F$1551,"")</f>
        <v/>
      </c>
      <c r="Z1550" t="n">
        <v>1</v>
      </c>
      <c r="AA1550">
        <f>IF(ISNUMBER('IN-CLASS_Lab Part C'!$J$1550),'IN-CLASS_Lab Part C'!$J$1550,NA())</f>
        <v/>
      </c>
    </row>
    <row r="1551">
      <c r="J1551">
        <f>IF(AND(ISNUMBER('Data'!$F$1552),'Data'!$F$1552&lt;&gt;999,'Data'!$F$1552&lt;&gt;""),'Data'!$F$1552,"")</f>
        <v/>
      </c>
      <c r="Z1551" t="n">
        <v>1</v>
      </c>
      <c r="AA1551">
        <f>IF(ISNUMBER('IN-CLASS_Lab Part C'!$J$1551),'IN-CLASS_Lab Part C'!$J$1551,NA())</f>
        <v/>
      </c>
    </row>
    <row r="1552">
      <c r="J1552">
        <f>IF(AND(ISNUMBER('Data'!$F$1553),'Data'!$F$1553&lt;&gt;999,'Data'!$F$1553&lt;&gt;""),'Data'!$F$1553,"")</f>
        <v/>
      </c>
      <c r="Z1552" t="n">
        <v>1</v>
      </c>
      <c r="AA1552">
        <f>IF(ISNUMBER('IN-CLASS_Lab Part C'!$J$1552),'IN-CLASS_Lab Part C'!$J$1552,NA())</f>
        <v/>
      </c>
    </row>
    <row r="1553">
      <c r="J1553">
        <f>IF(AND(ISNUMBER('Data'!$F$1554),'Data'!$F$1554&lt;&gt;999,'Data'!$F$1554&lt;&gt;""),'Data'!$F$1554,"")</f>
        <v/>
      </c>
      <c r="Z1553" t="n">
        <v>1</v>
      </c>
      <c r="AA1553">
        <f>IF(ISNUMBER('IN-CLASS_Lab Part C'!$J$1553),'IN-CLASS_Lab Part C'!$J$1553,NA())</f>
        <v/>
      </c>
    </row>
    <row r="1554">
      <c r="J1554">
        <f>IF(AND(ISNUMBER('Data'!$F$1555),'Data'!$F$1555&lt;&gt;999,'Data'!$F$1555&lt;&gt;""),'Data'!$F$1555,"")</f>
        <v/>
      </c>
      <c r="Z1554" t="n">
        <v>1</v>
      </c>
      <c r="AA1554">
        <f>IF(ISNUMBER('IN-CLASS_Lab Part C'!$J$1554),'IN-CLASS_Lab Part C'!$J$1554,NA())</f>
        <v/>
      </c>
    </row>
    <row r="1555">
      <c r="J1555">
        <f>IF(AND(ISNUMBER('Data'!$F$1556),'Data'!$F$1556&lt;&gt;999,'Data'!$F$1556&lt;&gt;""),'Data'!$F$1556,"")</f>
        <v/>
      </c>
      <c r="Z1555" t="n">
        <v>1</v>
      </c>
      <c r="AA1555">
        <f>IF(ISNUMBER('IN-CLASS_Lab Part C'!$J$1555),'IN-CLASS_Lab Part C'!$J$1555,NA())</f>
        <v/>
      </c>
    </row>
    <row r="1556">
      <c r="J1556">
        <f>IF(AND(ISNUMBER('Data'!$F$1557),'Data'!$F$1557&lt;&gt;999,'Data'!$F$1557&lt;&gt;""),'Data'!$F$1557,"")</f>
        <v/>
      </c>
      <c r="Z1556" t="n">
        <v>1</v>
      </c>
      <c r="AA1556">
        <f>IF(ISNUMBER('IN-CLASS_Lab Part C'!$J$1556),'IN-CLASS_Lab Part C'!$J$1556,NA())</f>
        <v/>
      </c>
    </row>
    <row r="1557">
      <c r="J1557">
        <f>IF(AND(ISNUMBER('Data'!$F$1558),'Data'!$F$1558&lt;&gt;999,'Data'!$F$1558&lt;&gt;""),'Data'!$F$1558,"")</f>
        <v/>
      </c>
      <c r="Z1557" t="n">
        <v>1</v>
      </c>
      <c r="AA1557">
        <f>IF(ISNUMBER('IN-CLASS_Lab Part C'!$J$1557),'IN-CLASS_Lab Part C'!$J$1557,NA())</f>
        <v/>
      </c>
    </row>
    <row r="1558">
      <c r="J1558">
        <f>IF(AND(ISNUMBER('Data'!$F$1559),'Data'!$F$1559&lt;&gt;999,'Data'!$F$1559&lt;&gt;""),'Data'!$F$1559,"")</f>
        <v/>
      </c>
      <c r="Z1558" t="n">
        <v>1</v>
      </c>
      <c r="AA1558">
        <f>IF(ISNUMBER('IN-CLASS_Lab Part C'!$J$1558),'IN-CLASS_Lab Part C'!$J$1558,NA())</f>
        <v/>
      </c>
    </row>
    <row r="1559">
      <c r="J1559">
        <f>IF(AND(ISNUMBER('Data'!$F$1560),'Data'!$F$1560&lt;&gt;999,'Data'!$F$1560&lt;&gt;""),'Data'!$F$1560,"")</f>
        <v/>
      </c>
      <c r="Z1559" t="n">
        <v>1</v>
      </c>
      <c r="AA1559">
        <f>IF(ISNUMBER('IN-CLASS_Lab Part C'!$J$1559),'IN-CLASS_Lab Part C'!$J$1559,NA())</f>
        <v/>
      </c>
    </row>
    <row r="1560">
      <c r="J1560">
        <f>IF(AND(ISNUMBER('Data'!$F$1561),'Data'!$F$1561&lt;&gt;999,'Data'!$F$1561&lt;&gt;""),'Data'!$F$1561,"")</f>
        <v/>
      </c>
      <c r="Z1560" t="n">
        <v>1</v>
      </c>
      <c r="AA1560">
        <f>IF(ISNUMBER('IN-CLASS_Lab Part C'!$J$1560),'IN-CLASS_Lab Part C'!$J$1560,NA())</f>
        <v/>
      </c>
    </row>
    <row r="1561">
      <c r="J1561">
        <f>IF(AND(ISNUMBER('Data'!$F$1562),'Data'!$F$1562&lt;&gt;999,'Data'!$F$1562&lt;&gt;""),'Data'!$F$1562,"")</f>
        <v/>
      </c>
      <c r="Z1561" t="n">
        <v>1</v>
      </c>
      <c r="AA1561">
        <f>IF(ISNUMBER('IN-CLASS_Lab Part C'!$J$1561),'IN-CLASS_Lab Part C'!$J$1561,NA())</f>
        <v/>
      </c>
    </row>
    <row r="1562">
      <c r="J1562">
        <f>IF(AND(ISNUMBER('Data'!$F$1563),'Data'!$F$1563&lt;&gt;999,'Data'!$F$1563&lt;&gt;""),'Data'!$F$1563,"")</f>
        <v/>
      </c>
      <c r="Z1562" t="n">
        <v>1</v>
      </c>
      <c r="AA1562">
        <f>IF(ISNUMBER('IN-CLASS_Lab Part C'!$J$1562),'IN-CLASS_Lab Part C'!$J$1562,NA())</f>
        <v/>
      </c>
    </row>
    <row r="1563">
      <c r="J1563">
        <f>IF(AND(ISNUMBER('Data'!$F$1564),'Data'!$F$1564&lt;&gt;999,'Data'!$F$1564&lt;&gt;""),'Data'!$F$1564,"")</f>
        <v/>
      </c>
      <c r="Z1563" t="n">
        <v>1</v>
      </c>
      <c r="AA1563">
        <f>IF(ISNUMBER('IN-CLASS_Lab Part C'!$J$1563),'IN-CLASS_Lab Part C'!$J$1563,NA())</f>
        <v/>
      </c>
    </row>
    <row r="1564">
      <c r="J1564">
        <f>IF(AND(ISNUMBER('Data'!$F$1565),'Data'!$F$1565&lt;&gt;999,'Data'!$F$1565&lt;&gt;""),'Data'!$F$1565,"")</f>
        <v/>
      </c>
      <c r="Z1564" t="n">
        <v>1</v>
      </c>
      <c r="AA1564">
        <f>IF(ISNUMBER('IN-CLASS_Lab Part C'!$J$1564),'IN-CLASS_Lab Part C'!$J$1564,NA())</f>
        <v/>
      </c>
    </row>
    <row r="1565">
      <c r="J1565">
        <f>IF(AND(ISNUMBER('Data'!$F$1566),'Data'!$F$1566&lt;&gt;999,'Data'!$F$1566&lt;&gt;""),'Data'!$F$1566,"")</f>
        <v/>
      </c>
      <c r="Z1565" t="n">
        <v>1</v>
      </c>
      <c r="AA1565">
        <f>IF(ISNUMBER('IN-CLASS_Lab Part C'!$J$1565),'IN-CLASS_Lab Part C'!$J$1565,NA())</f>
        <v/>
      </c>
    </row>
    <row r="1566">
      <c r="J1566">
        <f>IF(AND(ISNUMBER('Data'!$F$1567),'Data'!$F$1567&lt;&gt;999,'Data'!$F$1567&lt;&gt;""),'Data'!$F$1567,"")</f>
        <v/>
      </c>
      <c r="Z1566" t="n">
        <v>1</v>
      </c>
      <c r="AA1566">
        <f>IF(ISNUMBER('IN-CLASS_Lab Part C'!$J$1566),'IN-CLASS_Lab Part C'!$J$1566,NA())</f>
        <v/>
      </c>
    </row>
    <row r="1567">
      <c r="J1567">
        <f>IF(AND(ISNUMBER('Data'!$F$1568),'Data'!$F$1568&lt;&gt;999,'Data'!$F$1568&lt;&gt;""),'Data'!$F$1568,"")</f>
        <v/>
      </c>
      <c r="Z1567" t="n">
        <v>1</v>
      </c>
      <c r="AA1567">
        <f>IF(ISNUMBER('IN-CLASS_Lab Part C'!$J$1567),'IN-CLASS_Lab Part C'!$J$1567,NA())</f>
        <v/>
      </c>
    </row>
    <row r="1568">
      <c r="J1568">
        <f>IF(AND(ISNUMBER('Data'!$F$1569),'Data'!$F$1569&lt;&gt;999,'Data'!$F$1569&lt;&gt;""),'Data'!$F$1569,"")</f>
        <v/>
      </c>
      <c r="Z1568" t="n">
        <v>1</v>
      </c>
      <c r="AA1568">
        <f>IF(ISNUMBER('IN-CLASS_Lab Part C'!$J$1568),'IN-CLASS_Lab Part C'!$J$1568,NA())</f>
        <v/>
      </c>
    </row>
    <row r="1569">
      <c r="J1569">
        <f>IF(AND(ISNUMBER('Data'!$F$1570),'Data'!$F$1570&lt;&gt;999,'Data'!$F$1570&lt;&gt;""),'Data'!$F$1570,"")</f>
        <v/>
      </c>
      <c r="Z1569" t="n">
        <v>1</v>
      </c>
      <c r="AA1569">
        <f>IF(ISNUMBER('IN-CLASS_Lab Part C'!$J$1569),'IN-CLASS_Lab Part C'!$J$1569,NA())</f>
        <v/>
      </c>
    </row>
    <row r="1570">
      <c r="J1570">
        <f>IF(AND(ISNUMBER('Data'!$F$1571),'Data'!$F$1571&lt;&gt;999,'Data'!$F$1571&lt;&gt;""),'Data'!$F$1571,"")</f>
        <v/>
      </c>
      <c r="Z1570" t="n">
        <v>1</v>
      </c>
      <c r="AA1570">
        <f>IF(ISNUMBER('IN-CLASS_Lab Part C'!$J$1570),'IN-CLASS_Lab Part C'!$J$1570,NA())</f>
        <v/>
      </c>
    </row>
    <row r="1571">
      <c r="J1571">
        <f>IF(AND(ISNUMBER('Data'!$F$1572),'Data'!$F$1572&lt;&gt;999,'Data'!$F$1572&lt;&gt;""),'Data'!$F$1572,"")</f>
        <v/>
      </c>
      <c r="Z1571" t="n">
        <v>1</v>
      </c>
      <c r="AA1571">
        <f>IF(ISNUMBER('IN-CLASS_Lab Part C'!$J$1571),'IN-CLASS_Lab Part C'!$J$1571,NA())</f>
        <v/>
      </c>
    </row>
    <row r="1572">
      <c r="J1572">
        <f>IF(AND(ISNUMBER('Data'!$F$1573),'Data'!$F$1573&lt;&gt;999,'Data'!$F$1573&lt;&gt;""),'Data'!$F$1573,"")</f>
        <v/>
      </c>
      <c r="Z1572" t="n">
        <v>1</v>
      </c>
      <c r="AA1572">
        <f>IF(ISNUMBER('IN-CLASS_Lab Part C'!$J$1572),'IN-CLASS_Lab Part C'!$J$1572,NA())</f>
        <v/>
      </c>
    </row>
    <row r="1573">
      <c r="J1573">
        <f>IF(AND(ISNUMBER('Data'!$F$1574),'Data'!$F$1574&lt;&gt;999,'Data'!$F$1574&lt;&gt;""),'Data'!$F$1574,"")</f>
        <v/>
      </c>
      <c r="Z1573" t="n">
        <v>1</v>
      </c>
      <c r="AA1573">
        <f>IF(ISNUMBER('IN-CLASS_Lab Part C'!$J$1573),'IN-CLASS_Lab Part C'!$J$1573,NA())</f>
        <v/>
      </c>
    </row>
    <row r="1574">
      <c r="J1574">
        <f>IF(AND(ISNUMBER('Data'!$F$1575),'Data'!$F$1575&lt;&gt;999,'Data'!$F$1575&lt;&gt;""),'Data'!$F$1575,"")</f>
        <v/>
      </c>
      <c r="Z1574" t="n">
        <v>1</v>
      </c>
      <c r="AA1574">
        <f>IF(ISNUMBER('IN-CLASS_Lab Part C'!$J$1574),'IN-CLASS_Lab Part C'!$J$1574,NA())</f>
        <v/>
      </c>
    </row>
    <row r="1575">
      <c r="J1575">
        <f>IF(AND(ISNUMBER('Data'!$F$1576),'Data'!$F$1576&lt;&gt;999,'Data'!$F$1576&lt;&gt;""),'Data'!$F$1576,"")</f>
        <v/>
      </c>
      <c r="Z1575" t="n">
        <v>1</v>
      </c>
      <c r="AA1575">
        <f>IF(ISNUMBER('IN-CLASS_Lab Part C'!$J$1575),'IN-CLASS_Lab Part C'!$J$1575,NA())</f>
        <v/>
      </c>
    </row>
    <row r="1576">
      <c r="J1576">
        <f>IF(AND(ISNUMBER('Data'!$F$1577),'Data'!$F$1577&lt;&gt;999,'Data'!$F$1577&lt;&gt;""),'Data'!$F$1577,"")</f>
        <v/>
      </c>
      <c r="Z1576" t="n">
        <v>1</v>
      </c>
      <c r="AA1576">
        <f>IF(ISNUMBER('IN-CLASS_Lab Part C'!$J$1576),'IN-CLASS_Lab Part C'!$J$1576,NA())</f>
        <v/>
      </c>
    </row>
    <row r="1577">
      <c r="J1577">
        <f>IF(AND(ISNUMBER('Data'!$F$1578),'Data'!$F$1578&lt;&gt;999,'Data'!$F$1578&lt;&gt;""),'Data'!$F$1578,"")</f>
        <v/>
      </c>
      <c r="Z1577" t="n">
        <v>1</v>
      </c>
      <c r="AA1577">
        <f>IF(ISNUMBER('IN-CLASS_Lab Part C'!$J$1577),'IN-CLASS_Lab Part C'!$J$1577,NA())</f>
        <v/>
      </c>
    </row>
    <row r="1578">
      <c r="J1578">
        <f>IF(AND(ISNUMBER('Data'!$F$1579),'Data'!$F$1579&lt;&gt;999,'Data'!$F$1579&lt;&gt;""),'Data'!$F$1579,"")</f>
        <v/>
      </c>
      <c r="Z1578" t="n">
        <v>1</v>
      </c>
      <c r="AA1578">
        <f>IF(ISNUMBER('IN-CLASS_Lab Part C'!$J$1578),'IN-CLASS_Lab Part C'!$J$1578,NA())</f>
        <v/>
      </c>
    </row>
    <row r="1579">
      <c r="J1579">
        <f>IF(AND(ISNUMBER('Data'!$F$1580),'Data'!$F$1580&lt;&gt;999,'Data'!$F$1580&lt;&gt;""),'Data'!$F$1580,"")</f>
        <v/>
      </c>
      <c r="Z1579" t="n">
        <v>1</v>
      </c>
      <c r="AA1579">
        <f>IF(ISNUMBER('IN-CLASS_Lab Part C'!$J$1579),'IN-CLASS_Lab Part C'!$J$1579,NA())</f>
        <v/>
      </c>
    </row>
    <row r="1580">
      <c r="J1580">
        <f>IF(AND(ISNUMBER('Data'!$F$1581),'Data'!$F$1581&lt;&gt;999,'Data'!$F$1581&lt;&gt;""),'Data'!$F$1581,"")</f>
        <v/>
      </c>
      <c r="Z1580" t="n">
        <v>1</v>
      </c>
      <c r="AA1580">
        <f>IF(ISNUMBER('IN-CLASS_Lab Part C'!$J$1580),'IN-CLASS_Lab Part C'!$J$1580,NA())</f>
        <v/>
      </c>
    </row>
    <row r="1581">
      <c r="J1581">
        <f>IF(AND(ISNUMBER('Data'!$F$1582),'Data'!$F$1582&lt;&gt;999,'Data'!$F$1582&lt;&gt;""),'Data'!$F$1582,"")</f>
        <v/>
      </c>
      <c r="Z1581" t="n">
        <v>1</v>
      </c>
      <c r="AA1581">
        <f>IF(ISNUMBER('IN-CLASS_Lab Part C'!$J$1581),'IN-CLASS_Lab Part C'!$J$1581,NA())</f>
        <v/>
      </c>
    </row>
    <row r="1582">
      <c r="J1582">
        <f>IF(AND(ISNUMBER('Data'!$F$1583),'Data'!$F$1583&lt;&gt;999,'Data'!$F$1583&lt;&gt;""),'Data'!$F$1583,"")</f>
        <v/>
      </c>
      <c r="Z1582" t="n">
        <v>1</v>
      </c>
      <c r="AA1582">
        <f>IF(ISNUMBER('IN-CLASS_Lab Part C'!$J$1582),'IN-CLASS_Lab Part C'!$J$1582,NA())</f>
        <v/>
      </c>
    </row>
    <row r="1583">
      <c r="J1583">
        <f>IF(AND(ISNUMBER('Data'!$F$1584),'Data'!$F$1584&lt;&gt;999,'Data'!$F$1584&lt;&gt;""),'Data'!$F$1584,"")</f>
        <v/>
      </c>
      <c r="Z1583" t="n">
        <v>1</v>
      </c>
      <c r="AA1583">
        <f>IF(ISNUMBER('IN-CLASS_Lab Part C'!$J$1583),'IN-CLASS_Lab Part C'!$J$1583,NA())</f>
        <v/>
      </c>
    </row>
    <row r="1584">
      <c r="J1584">
        <f>IF(AND(ISNUMBER('Data'!$F$1585),'Data'!$F$1585&lt;&gt;999,'Data'!$F$1585&lt;&gt;""),'Data'!$F$1585,"")</f>
        <v/>
      </c>
      <c r="Z1584" t="n">
        <v>1</v>
      </c>
      <c r="AA1584">
        <f>IF(ISNUMBER('IN-CLASS_Lab Part C'!$J$1584),'IN-CLASS_Lab Part C'!$J$1584,NA())</f>
        <v/>
      </c>
    </row>
    <row r="1585">
      <c r="J1585">
        <f>IF(AND(ISNUMBER('Data'!$F$1586),'Data'!$F$1586&lt;&gt;999,'Data'!$F$1586&lt;&gt;""),'Data'!$F$1586,"")</f>
        <v/>
      </c>
      <c r="Z1585" t="n">
        <v>1</v>
      </c>
      <c r="AA1585">
        <f>IF(ISNUMBER('IN-CLASS_Lab Part C'!$J$1585),'IN-CLASS_Lab Part C'!$J$1585,NA())</f>
        <v/>
      </c>
    </row>
    <row r="1586">
      <c r="J1586">
        <f>IF(AND(ISNUMBER('Data'!$F$1587),'Data'!$F$1587&lt;&gt;999,'Data'!$F$1587&lt;&gt;""),'Data'!$F$1587,"")</f>
        <v/>
      </c>
      <c r="Z1586" t="n">
        <v>1</v>
      </c>
      <c r="AA1586">
        <f>IF(ISNUMBER('IN-CLASS_Lab Part C'!$J$1586),'IN-CLASS_Lab Part C'!$J$1586,NA())</f>
        <v/>
      </c>
    </row>
    <row r="1587">
      <c r="J1587">
        <f>IF(AND(ISNUMBER('Data'!$F$1588),'Data'!$F$1588&lt;&gt;999,'Data'!$F$1588&lt;&gt;""),'Data'!$F$1588,"")</f>
        <v/>
      </c>
      <c r="Z1587" t="n">
        <v>1</v>
      </c>
      <c r="AA1587">
        <f>IF(ISNUMBER('IN-CLASS_Lab Part C'!$J$1587),'IN-CLASS_Lab Part C'!$J$1587,NA())</f>
        <v/>
      </c>
    </row>
    <row r="1588">
      <c r="J1588">
        <f>IF(AND(ISNUMBER('Data'!$F$1589),'Data'!$F$1589&lt;&gt;999,'Data'!$F$1589&lt;&gt;""),'Data'!$F$1589,"")</f>
        <v/>
      </c>
      <c r="Z1588" t="n">
        <v>1</v>
      </c>
      <c r="AA1588">
        <f>IF(ISNUMBER('IN-CLASS_Lab Part C'!$J$1588),'IN-CLASS_Lab Part C'!$J$1588,NA())</f>
        <v/>
      </c>
    </row>
    <row r="1589">
      <c r="J1589">
        <f>IF(AND(ISNUMBER('Data'!$F$1590),'Data'!$F$1590&lt;&gt;999,'Data'!$F$1590&lt;&gt;""),'Data'!$F$1590,"")</f>
        <v/>
      </c>
      <c r="Z1589" t="n">
        <v>1</v>
      </c>
      <c r="AA1589">
        <f>IF(ISNUMBER('IN-CLASS_Lab Part C'!$J$1589),'IN-CLASS_Lab Part C'!$J$1589,NA())</f>
        <v/>
      </c>
    </row>
    <row r="1590">
      <c r="J1590">
        <f>IF(AND(ISNUMBER('Data'!$F$1591),'Data'!$F$1591&lt;&gt;999,'Data'!$F$1591&lt;&gt;""),'Data'!$F$1591,"")</f>
        <v/>
      </c>
      <c r="Z1590" t="n">
        <v>1</v>
      </c>
      <c r="AA1590">
        <f>IF(ISNUMBER('IN-CLASS_Lab Part C'!$J$1590),'IN-CLASS_Lab Part C'!$J$1590,NA())</f>
        <v/>
      </c>
    </row>
    <row r="1591">
      <c r="J1591">
        <f>IF(AND(ISNUMBER('Data'!$F$1592),'Data'!$F$1592&lt;&gt;999,'Data'!$F$1592&lt;&gt;""),'Data'!$F$1592,"")</f>
        <v/>
      </c>
      <c r="Z1591" t="n">
        <v>1</v>
      </c>
      <c r="AA1591">
        <f>IF(ISNUMBER('IN-CLASS_Lab Part C'!$J$1591),'IN-CLASS_Lab Part C'!$J$1591,NA())</f>
        <v/>
      </c>
    </row>
    <row r="1592">
      <c r="J1592">
        <f>IF(AND(ISNUMBER('Data'!$F$1593),'Data'!$F$1593&lt;&gt;999,'Data'!$F$1593&lt;&gt;""),'Data'!$F$1593,"")</f>
        <v/>
      </c>
      <c r="Z1592" t="n">
        <v>1</v>
      </c>
      <c r="AA1592">
        <f>IF(ISNUMBER('IN-CLASS_Lab Part C'!$J$1592),'IN-CLASS_Lab Part C'!$J$1592,NA())</f>
        <v/>
      </c>
    </row>
    <row r="1593">
      <c r="J1593">
        <f>IF(AND(ISNUMBER('Data'!$F$1594),'Data'!$F$1594&lt;&gt;999,'Data'!$F$1594&lt;&gt;""),'Data'!$F$1594,"")</f>
        <v/>
      </c>
      <c r="Z1593" t="n">
        <v>1</v>
      </c>
      <c r="AA1593">
        <f>IF(ISNUMBER('IN-CLASS_Lab Part C'!$J$1593),'IN-CLASS_Lab Part C'!$J$1593,NA())</f>
        <v/>
      </c>
    </row>
    <row r="1594">
      <c r="J1594">
        <f>IF(AND(ISNUMBER('Data'!$F$1595),'Data'!$F$1595&lt;&gt;999,'Data'!$F$1595&lt;&gt;""),'Data'!$F$1595,"")</f>
        <v/>
      </c>
      <c r="Z1594" t="n">
        <v>1</v>
      </c>
      <c r="AA1594">
        <f>IF(ISNUMBER('IN-CLASS_Lab Part C'!$J$1594),'IN-CLASS_Lab Part C'!$J$1594,NA())</f>
        <v/>
      </c>
    </row>
    <row r="1595">
      <c r="J1595">
        <f>IF(AND(ISNUMBER('Data'!$F$1596),'Data'!$F$1596&lt;&gt;999,'Data'!$F$1596&lt;&gt;""),'Data'!$F$1596,"")</f>
        <v/>
      </c>
      <c r="Z1595" t="n">
        <v>1</v>
      </c>
      <c r="AA1595">
        <f>IF(ISNUMBER('IN-CLASS_Lab Part C'!$J$1595),'IN-CLASS_Lab Part C'!$J$1595,NA())</f>
        <v/>
      </c>
    </row>
    <row r="1596">
      <c r="J1596">
        <f>IF(AND(ISNUMBER('Data'!$F$1597),'Data'!$F$1597&lt;&gt;999,'Data'!$F$1597&lt;&gt;""),'Data'!$F$1597,"")</f>
        <v/>
      </c>
      <c r="Z1596" t="n">
        <v>1</v>
      </c>
      <c r="AA1596">
        <f>IF(ISNUMBER('IN-CLASS_Lab Part C'!$J$1596),'IN-CLASS_Lab Part C'!$J$1596,NA())</f>
        <v/>
      </c>
    </row>
    <row r="1597">
      <c r="J1597">
        <f>IF(AND(ISNUMBER('Data'!$F$1598),'Data'!$F$1598&lt;&gt;999,'Data'!$F$1598&lt;&gt;""),'Data'!$F$1598,"")</f>
        <v/>
      </c>
      <c r="Z1597" t="n">
        <v>1</v>
      </c>
      <c r="AA1597">
        <f>IF(ISNUMBER('IN-CLASS_Lab Part C'!$J$1597),'IN-CLASS_Lab Part C'!$J$1597,NA())</f>
        <v/>
      </c>
    </row>
    <row r="1598">
      <c r="J1598">
        <f>IF(AND(ISNUMBER('Data'!$F$1599),'Data'!$F$1599&lt;&gt;999,'Data'!$F$1599&lt;&gt;""),'Data'!$F$1599,"")</f>
        <v/>
      </c>
      <c r="Z1598" t="n">
        <v>1</v>
      </c>
      <c r="AA1598">
        <f>IF(ISNUMBER('IN-CLASS_Lab Part C'!$J$1598),'IN-CLASS_Lab Part C'!$J$1598,NA())</f>
        <v/>
      </c>
    </row>
    <row r="1599">
      <c r="J1599">
        <f>IF(AND(ISNUMBER('Data'!$F$1600),'Data'!$F$1600&lt;&gt;999,'Data'!$F$1600&lt;&gt;""),'Data'!$F$1600,"")</f>
        <v/>
      </c>
      <c r="Z1599" t="n">
        <v>1</v>
      </c>
      <c r="AA1599">
        <f>IF(ISNUMBER('IN-CLASS_Lab Part C'!$J$1599),'IN-CLASS_Lab Part C'!$J$1599,NA())</f>
        <v/>
      </c>
    </row>
    <row r="1600">
      <c r="J1600">
        <f>IF(AND(ISNUMBER('Data'!$F$1601),'Data'!$F$1601&lt;&gt;999,'Data'!$F$1601&lt;&gt;""),'Data'!$F$1601,"")</f>
        <v/>
      </c>
      <c r="Z1600" t="n">
        <v>1</v>
      </c>
      <c r="AA1600">
        <f>IF(ISNUMBER('IN-CLASS_Lab Part C'!$J$1600),'IN-CLASS_Lab Part C'!$J$1600,NA())</f>
        <v/>
      </c>
    </row>
    <row r="1601">
      <c r="J1601">
        <f>IF(AND(ISNUMBER('Data'!$F$1602),'Data'!$F$1602&lt;&gt;999,'Data'!$F$1602&lt;&gt;""),'Data'!$F$1602,"")</f>
        <v/>
      </c>
      <c r="Z1601" t="n">
        <v>1</v>
      </c>
      <c r="AA1601">
        <f>IF(ISNUMBER('IN-CLASS_Lab Part C'!$J$1601),'IN-CLASS_Lab Part C'!$J$1601,NA())</f>
        <v/>
      </c>
    </row>
    <row r="1602">
      <c r="J1602">
        <f>IF(AND(ISNUMBER('Data'!$F$1603),'Data'!$F$1603&lt;&gt;999,'Data'!$F$1603&lt;&gt;""),'Data'!$F$1603,"")</f>
        <v/>
      </c>
      <c r="Z1602" t="n">
        <v>1</v>
      </c>
      <c r="AA1602">
        <f>IF(ISNUMBER('IN-CLASS_Lab Part C'!$J$1602),'IN-CLASS_Lab Part C'!$J$1602,NA())</f>
        <v/>
      </c>
    </row>
    <row r="1603">
      <c r="J1603">
        <f>IF(AND(ISNUMBER('Data'!$F$1604),'Data'!$F$1604&lt;&gt;999,'Data'!$F$1604&lt;&gt;""),'Data'!$F$1604,"")</f>
        <v/>
      </c>
      <c r="Z1603" t="n">
        <v>1</v>
      </c>
      <c r="AA1603">
        <f>IF(ISNUMBER('IN-CLASS_Lab Part C'!$J$1603),'IN-CLASS_Lab Part C'!$J$1603,NA())</f>
        <v/>
      </c>
    </row>
    <row r="1604">
      <c r="J1604">
        <f>IF(AND(ISNUMBER('Data'!$F$1605),'Data'!$F$1605&lt;&gt;999,'Data'!$F$1605&lt;&gt;""),'Data'!$F$1605,"")</f>
        <v/>
      </c>
      <c r="Z1604" t="n">
        <v>1</v>
      </c>
      <c r="AA1604">
        <f>IF(ISNUMBER('IN-CLASS_Lab Part C'!$J$1604),'IN-CLASS_Lab Part C'!$J$1604,NA())</f>
        <v/>
      </c>
    </row>
    <row r="1605">
      <c r="J1605">
        <f>IF(AND(ISNUMBER('Data'!$F$1606),'Data'!$F$1606&lt;&gt;999,'Data'!$F$1606&lt;&gt;""),'Data'!$F$1606,"")</f>
        <v/>
      </c>
      <c r="Z1605" t="n">
        <v>1</v>
      </c>
      <c r="AA1605">
        <f>IF(ISNUMBER('IN-CLASS_Lab Part C'!$J$1605),'IN-CLASS_Lab Part C'!$J$1605,NA())</f>
        <v/>
      </c>
    </row>
    <row r="1606">
      <c r="J1606">
        <f>IF(AND(ISNUMBER('Data'!$F$1607),'Data'!$F$1607&lt;&gt;999,'Data'!$F$1607&lt;&gt;""),'Data'!$F$1607,"")</f>
        <v/>
      </c>
      <c r="Z1606" t="n">
        <v>1</v>
      </c>
      <c r="AA1606">
        <f>IF(ISNUMBER('IN-CLASS_Lab Part C'!$J$1606),'IN-CLASS_Lab Part C'!$J$1606,NA())</f>
        <v/>
      </c>
    </row>
    <row r="1607">
      <c r="J1607">
        <f>IF(AND(ISNUMBER('Data'!$F$1608),'Data'!$F$1608&lt;&gt;999,'Data'!$F$1608&lt;&gt;""),'Data'!$F$1608,"")</f>
        <v/>
      </c>
      <c r="Z1607" t="n">
        <v>1</v>
      </c>
      <c r="AA1607">
        <f>IF(ISNUMBER('IN-CLASS_Lab Part C'!$J$1607),'IN-CLASS_Lab Part C'!$J$1607,NA())</f>
        <v/>
      </c>
    </row>
    <row r="1608">
      <c r="J1608">
        <f>IF(AND(ISNUMBER('Data'!$F$1609),'Data'!$F$1609&lt;&gt;999,'Data'!$F$1609&lt;&gt;""),'Data'!$F$1609,"")</f>
        <v/>
      </c>
      <c r="Z1608" t="n">
        <v>1</v>
      </c>
      <c r="AA1608">
        <f>IF(ISNUMBER('IN-CLASS_Lab Part C'!$J$1608),'IN-CLASS_Lab Part C'!$J$1608,NA())</f>
        <v/>
      </c>
    </row>
    <row r="1609">
      <c r="J1609">
        <f>IF(AND(ISNUMBER('Data'!$F$1610),'Data'!$F$1610&lt;&gt;999,'Data'!$F$1610&lt;&gt;""),'Data'!$F$1610,"")</f>
        <v/>
      </c>
      <c r="Z1609" t="n">
        <v>1</v>
      </c>
      <c r="AA1609">
        <f>IF(ISNUMBER('IN-CLASS_Lab Part C'!$J$1609),'IN-CLASS_Lab Part C'!$J$1609,NA())</f>
        <v/>
      </c>
    </row>
    <row r="1610">
      <c r="J1610">
        <f>IF(AND(ISNUMBER('Data'!$F$1611),'Data'!$F$1611&lt;&gt;999,'Data'!$F$1611&lt;&gt;""),'Data'!$F$1611,"")</f>
        <v/>
      </c>
      <c r="Z1610" t="n">
        <v>1</v>
      </c>
      <c r="AA1610">
        <f>IF(ISNUMBER('IN-CLASS_Lab Part C'!$J$1610),'IN-CLASS_Lab Part C'!$J$1610,NA())</f>
        <v/>
      </c>
    </row>
    <row r="1611">
      <c r="J1611">
        <f>IF(AND(ISNUMBER('Data'!$F$1612),'Data'!$F$1612&lt;&gt;999,'Data'!$F$1612&lt;&gt;""),'Data'!$F$1612,"")</f>
        <v/>
      </c>
      <c r="Z1611" t="n">
        <v>1</v>
      </c>
      <c r="AA1611">
        <f>IF(ISNUMBER('IN-CLASS_Lab Part C'!$J$1611),'IN-CLASS_Lab Part C'!$J$1611,NA())</f>
        <v/>
      </c>
    </row>
    <row r="1612">
      <c r="J1612">
        <f>IF(AND(ISNUMBER('Data'!$F$1613),'Data'!$F$1613&lt;&gt;999,'Data'!$F$1613&lt;&gt;""),'Data'!$F$1613,"")</f>
        <v/>
      </c>
      <c r="Z1612" t="n">
        <v>1</v>
      </c>
      <c r="AA1612">
        <f>IF(ISNUMBER('IN-CLASS_Lab Part C'!$J$1612),'IN-CLASS_Lab Part C'!$J$1612,NA())</f>
        <v/>
      </c>
    </row>
    <row r="1613">
      <c r="J1613">
        <f>IF(AND(ISNUMBER('Data'!$F$1614),'Data'!$F$1614&lt;&gt;999,'Data'!$F$1614&lt;&gt;""),'Data'!$F$1614,"")</f>
        <v/>
      </c>
      <c r="Z1613" t="n">
        <v>1</v>
      </c>
      <c r="AA1613">
        <f>IF(ISNUMBER('IN-CLASS_Lab Part C'!$J$1613),'IN-CLASS_Lab Part C'!$J$1613,NA())</f>
        <v/>
      </c>
    </row>
    <row r="1614">
      <c r="J1614">
        <f>IF(AND(ISNUMBER('Data'!$F$1615),'Data'!$F$1615&lt;&gt;999,'Data'!$F$1615&lt;&gt;""),'Data'!$F$1615,"")</f>
        <v/>
      </c>
      <c r="Z1614" t="n">
        <v>1</v>
      </c>
      <c r="AA1614">
        <f>IF(ISNUMBER('IN-CLASS_Lab Part C'!$J$1614),'IN-CLASS_Lab Part C'!$J$1614,NA())</f>
        <v/>
      </c>
    </row>
    <row r="1615">
      <c r="J1615">
        <f>IF(AND(ISNUMBER('Data'!$F$1616),'Data'!$F$1616&lt;&gt;999,'Data'!$F$1616&lt;&gt;""),'Data'!$F$1616,"")</f>
        <v/>
      </c>
      <c r="Z1615" t="n">
        <v>1</v>
      </c>
      <c r="AA1615">
        <f>IF(ISNUMBER('IN-CLASS_Lab Part C'!$J$1615),'IN-CLASS_Lab Part C'!$J$1615,NA())</f>
        <v/>
      </c>
    </row>
    <row r="1616">
      <c r="J1616">
        <f>IF(AND(ISNUMBER('Data'!$F$1617),'Data'!$F$1617&lt;&gt;999,'Data'!$F$1617&lt;&gt;""),'Data'!$F$1617,"")</f>
        <v/>
      </c>
      <c r="Z1616" t="n">
        <v>1</v>
      </c>
      <c r="AA1616">
        <f>IF(ISNUMBER('IN-CLASS_Lab Part C'!$J$1616),'IN-CLASS_Lab Part C'!$J$1616,NA())</f>
        <v/>
      </c>
    </row>
    <row r="1617">
      <c r="J1617">
        <f>IF(AND(ISNUMBER('Data'!$F$1618),'Data'!$F$1618&lt;&gt;999,'Data'!$F$1618&lt;&gt;""),'Data'!$F$1618,"")</f>
        <v/>
      </c>
      <c r="Z1617" t="n">
        <v>1</v>
      </c>
      <c r="AA1617">
        <f>IF(ISNUMBER('IN-CLASS_Lab Part C'!$J$1617),'IN-CLASS_Lab Part C'!$J$1617,NA())</f>
        <v/>
      </c>
    </row>
    <row r="1618">
      <c r="J1618">
        <f>IF(AND(ISNUMBER('Data'!$F$1619),'Data'!$F$1619&lt;&gt;999,'Data'!$F$1619&lt;&gt;""),'Data'!$F$1619,"")</f>
        <v/>
      </c>
      <c r="Z1618" t="n">
        <v>1</v>
      </c>
      <c r="AA1618">
        <f>IF(ISNUMBER('IN-CLASS_Lab Part C'!$J$1618),'IN-CLASS_Lab Part C'!$J$1618,NA())</f>
        <v/>
      </c>
    </row>
    <row r="1619">
      <c r="J1619">
        <f>IF(AND(ISNUMBER('Data'!$F$1620),'Data'!$F$1620&lt;&gt;999,'Data'!$F$1620&lt;&gt;""),'Data'!$F$1620,"")</f>
        <v/>
      </c>
      <c r="Z1619" t="n">
        <v>1</v>
      </c>
      <c r="AA1619">
        <f>IF(ISNUMBER('IN-CLASS_Lab Part C'!$J$1619),'IN-CLASS_Lab Part C'!$J$1619,NA())</f>
        <v/>
      </c>
    </row>
    <row r="1620">
      <c r="J1620">
        <f>IF(AND(ISNUMBER('Data'!$F$1621),'Data'!$F$1621&lt;&gt;999,'Data'!$F$1621&lt;&gt;""),'Data'!$F$1621,"")</f>
        <v/>
      </c>
      <c r="Z1620" t="n">
        <v>1</v>
      </c>
      <c r="AA1620">
        <f>IF(ISNUMBER('IN-CLASS_Lab Part C'!$J$1620),'IN-CLASS_Lab Part C'!$J$1620,NA())</f>
        <v/>
      </c>
    </row>
    <row r="1621">
      <c r="J1621">
        <f>IF(AND(ISNUMBER('Data'!$F$1622),'Data'!$F$1622&lt;&gt;999,'Data'!$F$1622&lt;&gt;""),'Data'!$F$1622,"")</f>
        <v/>
      </c>
      <c r="Z1621" t="n">
        <v>1</v>
      </c>
      <c r="AA1621">
        <f>IF(ISNUMBER('IN-CLASS_Lab Part C'!$J$1621),'IN-CLASS_Lab Part C'!$J$1621,NA())</f>
        <v/>
      </c>
    </row>
    <row r="1622">
      <c r="J1622">
        <f>IF(AND(ISNUMBER('Data'!$F$1623),'Data'!$F$1623&lt;&gt;999,'Data'!$F$1623&lt;&gt;""),'Data'!$F$1623,"")</f>
        <v/>
      </c>
      <c r="Z1622" t="n">
        <v>1</v>
      </c>
      <c r="AA1622">
        <f>IF(ISNUMBER('IN-CLASS_Lab Part C'!$J$1622),'IN-CLASS_Lab Part C'!$J$1622,NA())</f>
        <v/>
      </c>
    </row>
    <row r="1623">
      <c r="J1623">
        <f>IF(AND(ISNUMBER('Data'!$F$1624),'Data'!$F$1624&lt;&gt;999,'Data'!$F$1624&lt;&gt;""),'Data'!$F$1624,"")</f>
        <v/>
      </c>
      <c r="Z1623" t="n">
        <v>1</v>
      </c>
      <c r="AA1623">
        <f>IF(ISNUMBER('IN-CLASS_Lab Part C'!$J$1623),'IN-CLASS_Lab Part C'!$J$1623,NA())</f>
        <v/>
      </c>
    </row>
    <row r="1624">
      <c r="J1624">
        <f>IF(AND(ISNUMBER('Data'!$F$1625),'Data'!$F$1625&lt;&gt;999,'Data'!$F$1625&lt;&gt;""),'Data'!$F$1625,"")</f>
        <v/>
      </c>
      <c r="Z1624" t="n">
        <v>1</v>
      </c>
      <c r="AA1624">
        <f>IF(ISNUMBER('IN-CLASS_Lab Part C'!$J$1624),'IN-CLASS_Lab Part C'!$J$1624,NA())</f>
        <v/>
      </c>
    </row>
    <row r="1625">
      <c r="J1625">
        <f>IF(AND(ISNUMBER('Data'!$F$1626),'Data'!$F$1626&lt;&gt;999,'Data'!$F$1626&lt;&gt;""),'Data'!$F$1626,"")</f>
        <v/>
      </c>
      <c r="Z1625" t="n">
        <v>1</v>
      </c>
      <c r="AA1625">
        <f>IF(ISNUMBER('IN-CLASS_Lab Part C'!$J$1625),'IN-CLASS_Lab Part C'!$J$1625,NA())</f>
        <v/>
      </c>
    </row>
    <row r="1626">
      <c r="J1626">
        <f>IF(AND(ISNUMBER('Data'!$F$1627),'Data'!$F$1627&lt;&gt;999,'Data'!$F$1627&lt;&gt;""),'Data'!$F$1627,"")</f>
        <v/>
      </c>
      <c r="Z1626" t="n">
        <v>1</v>
      </c>
      <c r="AA1626">
        <f>IF(ISNUMBER('IN-CLASS_Lab Part C'!$J$1626),'IN-CLASS_Lab Part C'!$J$1626,NA())</f>
        <v/>
      </c>
    </row>
    <row r="1627">
      <c r="J1627">
        <f>IF(AND(ISNUMBER('Data'!$F$1628),'Data'!$F$1628&lt;&gt;999,'Data'!$F$1628&lt;&gt;""),'Data'!$F$1628,"")</f>
        <v/>
      </c>
      <c r="Z1627" t="n">
        <v>1</v>
      </c>
      <c r="AA1627">
        <f>IF(ISNUMBER('IN-CLASS_Lab Part C'!$J$1627),'IN-CLASS_Lab Part C'!$J$1627,NA())</f>
        <v/>
      </c>
    </row>
    <row r="1628">
      <c r="J1628">
        <f>IF(AND(ISNUMBER('Data'!$F$1629),'Data'!$F$1629&lt;&gt;999,'Data'!$F$1629&lt;&gt;""),'Data'!$F$1629,"")</f>
        <v/>
      </c>
      <c r="Z1628" t="n">
        <v>1</v>
      </c>
      <c r="AA1628">
        <f>IF(ISNUMBER('IN-CLASS_Lab Part C'!$J$1628),'IN-CLASS_Lab Part C'!$J$1628,NA())</f>
        <v/>
      </c>
    </row>
    <row r="1629">
      <c r="J1629">
        <f>IF(AND(ISNUMBER('Data'!$F$1630),'Data'!$F$1630&lt;&gt;999,'Data'!$F$1630&lt;&gt;""),'Data'!$F$1630,"")</f>
        <v/>
      </c>
      <c r="Z1629" t="n">
        <v>1</v>
      </c>
      <c r="AA1629">
        <f>IF(ISNUMBER('IN-CLASS_Lab Part C'!$J$1629),'IN-CLASS_Lab Part C'!$J$1629,NA())</f>
        <v/>
      </c>
    </row>
    <row r="1630">
      <c r="J1630">
        <f>IF(AND(ISNUMBER('Data'!$F$1631),'Data'!$F$1631&lt;&gt;999,'Data'!$F$1631&lt;&gt;""),'Data'!$F$1631,"")</f>
        <v/>
      </c>
      <c r="Z1630" t="n">
        <v>1</v>
      </c>
      <c r="AA1630">
        <f>IF(ISNUMBER('IN-CLASS_Lab Part C'!$J$1630),'IN-CLASS_Lab Part C'!$J$1630,NA())</f>
        <v/>
      </c>
    </row>
    <row r="1631">
      <c r="J1631">
        <f>IF(AND(ISNUMBER('Data'!$F$1632),'Data'!$F$1632&lt;&gt;999,'Data'!$F$1632&lt;&gt;""),'Data'!$F$1632,"")</f>
        <v/>
      </c>
      <c r="Z1631" t="n">
        <v>1</v>
      </c>
      <c r="AA1631">
        <f>IF(ISNUMBER('IN-CLASS_Lab Part C'!$J$1631),'IN-CLASS_Lab Part C'!$J$1631,NA())</f>
        <v/>
      </c>
    </row>
    <row r="1632">
      <c r="J1632">
        <f>IF(AND(ISNUMBER('Data'!$F$1633),'Data'!$F$1633&lt;&gt;999,'Data'!$F$1633&lt;&gt;""),'Data'!$F$1633,"")</f>
        <v/>
      </c>
      <c r="Z1632" t="n">
        <v>1</v>
      </c>
      <c r="AA1632">
        <f>IF(ISNUMBER('IN-CLASS_Lab Part C'!$J$1632),'IN-CLASS_Lab Part C'!$J$1632,NA())</f>
        <v/>
      </c>
    </row>
    <row r="1633">
      <c r="J1633">
        <f>IF(AND(ISNUMBER('Data'!$F$1634),'Data'!$F$1634&lt;&gt;999,'Data'!$F$1634&lt;&gt;""),'Data'!$F$1634,"")</f>
        <v/>
      </c>
      <c r="Z1633" t="n">
        <v>1</v>
      </c>
      <c r="AA1633">
        <f>IF(ISNUMBER('IN-CLASS_Lab Part C'!$J$1633),'IN-CLASS_Lab Part C'!$J$1633,NA())</f>
        <v/>
      </c>
    </row>
    <row r="1634">
      <c r="J1634">
        <f>IF(AND(ISNUMBER('Data'!$F$1635),'Data'!$F$1635&lt;&gt;999,'Data'!$F$1635&lt;&gt;""),'Data'!$F$1635,"")</f>
        <v/>
      </c>
      <c r="Z1634" t="n">
        <v>1</v>
      </c>
      <c r="AA1634">
        <f>IF(ISNUMBER('IN-CLASS_Lab Part C'!$J$1634),'IN-CLASS_Lab Part C'!$J$1634,NA())</f>
        <v/>
      </c>
    </row>
    <row r="1635">
      <c r="J1635">
        <f>IF(AND(ISNUMBER('Data'!$F$1636),'Data'!$F$1636&lt;&gt;999,'Data'!$F$1636&lt;&gt;""),'Data'!$F$1636,"")</f>
        <v/>
      </c>
      <c r="Z1635" t="n">
        <v>1</v>
      </c>
      <c r="AA1635">
        <f>IF(ISNUMBER('IN-CLASS_Lab Part C'!$J$1635),'IN-CLASS_Lab Part C'!$J$1635,NA())</f>
        <v/>
      </c>
    </row>
    <row r="1636">
      <c r="J1636">
        <f>IF(AND(ISNUMBER('Data'!$F$1637),'Data'!$F$1637&lt;&gt;999,'Data'!$F$1637&lt;&gt;""),'Data'!$F$1637,"")</f>
        <v/>
      </c>
      <c r="Z1636" t="n">
        <v>1</v>
      </c>
      <c r="AA1636">
        <f>IF(ISNUMBER('IN-CLASS_Lab Part C'!$J$1636),'IN-CLASS_Lab Part C'!$J$1636,NA())</f>
        <v/>
      </c>
    </row>
    <row r="1637">
      <c r="J1637">
        <f>IF(AND(ISNUMBER('Data'!$F$1638),'Data'!$F$1638&lt;&gt;999,'Data'!$F$1638&lt;&gt;""),'Data'!$F$1638,"")</f>
        <v/>
      </c>
      <c r="Z1637" t="n">
        <v>1</v>
      </c>
      <c r="AA1637">
        <f>IF(ISNUMBER('IN-CLASS_Lab Part C'!$J$1637),'IN-CLASS_Lab Part C'!$J$1637,NA())</f>
        <v/>
      </c>
    </row>
    <row r="1638">
      <c r="J1638">
        <f>IF(AND(ISNUMBER('Data'!$F$1639),'Data'!$F$1639&lt;&gt;999,'Data'!$F$1639&lt;&gt;""),'Data'!$F$1639,"")</f>
        <v/>
      </c>
      <c r="Z1638" t="n">
        <v>1</v>
      </c>
      <c r="AA1638">
        <f>IF(ISNUMBER('IN-CLASS_Lab Part C'!$J$1638),'IN-CLASS_Lab Part C'!$J$1638,NA())</f>
        <v/>
      </c>
    </row>
    <row r="1639">
      <c r="J1639">
        <f>IF(AND(ISNUMBER('Data'!$F$1640),'Data'!$F$1640&lt;&gt;999,'Data'!$F$1640&lt;&gt;""),'Data'!$F$1640,"")</f>
        <v/>
      </c>
      <c r="Z1639" t="n">
        <v>1</v>
      </c>
      <c r="AA1639">
        <f>IF(ISNUMBER('IN-CLASS_Lab Part C'!$J$1639),'IN-CLASS_Lab Part C'!$J$1639,NA())</f>
        <v/>
      </c>
    </row>
    <row r="1640">
      <c r="J1640">
        <f>IF(AND(ISNUMBER('Data'!$F$1641),'Data'!$F$1641&lt;&gt;999,'Data'!$F$1641&lt;&gt;""),'Data'!$F$1641,"")</f>
        <v/>
      </c>
      <c r="Z1640" t="n">
        <v>1</v>
      </c>
      <c r="AA1640">
        <f>IF(ISNUMBER('IN-CLASS_Lab Part C'!$J$1640),'IN-CLASS_Lab Part C'!$J$1640,NA())</f>
        <v/>
      </c>
    </row>
    <row r="1641">
      <c r="J1641">
        <f>IF(AND(ISNUMBER('Data'!$F$1642),'Data'!$F$1642&lt;&gt;999,'Data'!$F$1642&lt;&gt;""),'Data'!$F$1642,"")</f>
        <v/>
      </c>
      <c r="Z1641" t="n">
        <v>1</v>
      </c>
      <c r="AA1641">
        <f>IF(ISNUMBER('IN-CLASS_Lab Part C'!$J$1641),'IN-CLASS_Lab Part C'!$J$1641,NA())</f>
        <v/>
      </c>
    </row>
    <row r="1642">
      <c r="J1642">
        <f>IF(AND(ISNUMBER('Data'!$F$1643),'Data'!$F$1643&lt;&gt;999,'Data'!$F$1643&lt;&gt;""),'Data'!$F$1643,"")</f>
        <v/>
      </c>
      <c r="Z1642" t="n">
        <v>1</v>
      </c>
      <c r="AA1642">
        <f>IF(ISNUMBER('IN-CLASS_Lab Part C'!$J$1642),'IN-CLASS_Lab Part C'!$J$1642,NA())</f>
        <v/>
      </c>
    </row>
    <row r="1643">
      <c r="J1643">
        <f>IF(AND(ISNUMBER('Data'!$F$1644),'Data'!$F$1644&lt;&gt;999,'Data'!$F$1644&lt;&gt;""),'Data'!$F$1644,"")</f>
        <v/>
      </c>
      <c r="Z1643" t="n">
        <v>1</v>
      </c>
      <c r="AA1643">
        <f>IF(ISNUMBER('IN-CLASS_Lab Part C'!$J$1643),'IN-CLASS_Lab Part C'!$J$1643,NA())</f>
        <v/>
      </c>
    </row>
    <row r="1644">
      <c r="J1644">
        <f>IF(AND(ISNUMBER('Data'!$F$1645),'Data'!$F$1645&lt;&gt;999,'Data'!$F$1645&lt;&gt;""),'Data'!$F$1645,"")</f>
        <v/>
      </c>
      <c r="Z1644" t="n">
        <v>1</v>
      </c>
      <c r="AA1644">
        <f>IF(ISNUMBER('IN-CLASS_Lab Part C'!$J$1644),'IN-CLASS_Lab Part C'!$J$1644,NA())</f>
        <v/>
      </c>
    </row>
    <row r="1645">
      <c r="J1645">
        <f>IF(AND(ISNUMBER('Data'!$F$1646),'Data'!$F$1646&lt;&gt;999,'Data'!$F$1646&lt;&gt;""),'Data'!$F$1646,"")</f>
        <v/>
      </c>
      <c r="Z1645" t="n">
        <v>1</v>
      </c>
      <c r="AA1645">
        <f>IF(ISNUMBER('IN-CLASS_Lab Part C'!$J$1645),'IN-CLASS_Lab Part C'!$J$1645,NA())</f>
        <v/>
      </c>
    </row>
    <row r="1646">
      <c r="J1646">
        <f>IF(AND(ISNUMBER('Data'!$F$1647),'Data'!$F$1647&lt;&gt;999,'Data'!$F$1647&lt;&gt;""),'Data'!$F$1647,"")</f>
        <v/>
      </c>
      <c r="Z1646" t="n">
        <v>1</v>
      </c>
      <c r="AA1646">
        <f>IF(ISNUMBER('IN-CLASS_Lab Part C'!$J$1646),'IN-CLASS_Lab Part C'!$J$1646,NA())</f>
        <v/>
      </c>
    </row>
    <row r="1647">
      <c r="J1647">
        <f>IF(AND(ISNUMBER('Data'!$F$1648),'Data'!$F$1648&lt;&gt;999,'Data'!$F$1648&lt;&gt;""),'Data'!$F$1648,"")</f>
        <v/>
      </c>
      <c r="Z1647" t="n">
        <v>1</v>
      </c>
      <c r="AA1647">
        <f>IF(ISNUMBER('IN-CLASS_Lab Part C'!$J$1647),'IN-CLASS_Lab Part C'!$J$1647,NA())</f>
        <v/>
      </c>
    </row>
    <row r="1648">
      <c r="J1648">
        <f>IF(AND(ISNUMBER('Data'!$F$1649),'Data'!$F$1649&lt;&gt;999,'Data'!$F$1649&lt;&gt;""),'Data'!$F$1649,"")</f>
        <v/>
      </c>
      <c r="Z1648" t="n">
        <v>1</v>
      </c>
      <c r="AA1648">
        <f>IF(ISNUMBER('IN-CLASS_Lab Part C'!$J$1648),'IN-CLASS_Lab Part C'!$J$1648,NA())</f>
        <v/>
      </c>
    </row>
    <row r="1649">
      <c r="J1649">
        <f>IF(AND(ISNUMBER('Data'!$F$1650),'Data'!$F$1650&lt;&gt;999,'Data'!$F$1650&lt;&gt;""),'Data'!$F$1650,"")</f>
        <v/>
      </c>
      <c r="Z1649" t="n">
        <v>1</v>
      </c>
      <c r="AA1649">
        <f>IF(ISNUMBER('IN-CLASS_Lab Part C'!$J$1649),'IN-CLASS_Lab Part C'!$J$1649,NA())</f>
        <v/>
      </c>
    </row>
    <row r="1650">
      <c r="J1650">
        <f>IF(AND(ISNUMBER('Data'!$F$1651),'Data'!$F$1651&lt;&gt;999,'Data'!$F$1651&lt;&gt;""),'Data'!$F$1651,"")</f>
        <v/>
      </c>
      <c r="Z1650" t="n">
        <v>1</v>
      </c>
      <c r="AA1650">
        <f>IF(ISNUMBER('IN-CLASS_Lab Part C'!$J$1650),'IN-CLASS_Lab Part C'!$J$1650,NA())</f>
        <v/>
      </c>
    </row>
    <row r="1651">
      <c r="J1651">
        <f>IF(AND(ISNUMBER('Data'!$F$1652),'Data'!$F$1652&lt;&gt;999,'Data'!$F$1652&lt;&gt;""),'Data'!$F$1652,"")</f>
        <v/>
      </c>
      <c r="Z1651" t="n">
        <v>1</v>
      </c>
      <c r="AA1651">
        <f>IF(ISNUMBER('IN-CLASS_Lab Part C'!$J$1651),'IN-CLASS_Lab Part C'!$J$1651,NA())</f>
        <v/>
      </c>
    </row>
    <row r="1652">
      <c r="J1652">
        <f>IF(AND(ISNUMBER('Data'!$F$1653),'Data'!$F$1653&lt;&gt;999,'Data'!$F$1653&lt;&gt;""),'Data'!$F$1653,"")</f>
        <v/>
      </c>
      <c r="Z1652" t="n">
        <v>1</v>
      </c>
      <c r="AA1652">
        <f>IF(ISNUMBER('IN-CLASS_Lab Part C'!$J$1652),'IN-CLASS_Lab Part C'!$J$1652,NA())</f>
        <v/>
      </c>
    </row>
    <row r="1653">
      <c r="J1653">
        <f>IF(AND(ISNUMBER('Data'!$F$1654),'Data'!$F$1654&lt;&gt;999,'Data'!$F$1654&lt;&gt;""),'Data'!$F$1654,"")</f>
        <v/>
      </c>
      <c r="Z1653" t="n">
        <v>1</v>
      </c>
      <c r="AA1653">
        <f>IF(ISNUMBER('IN-CLASS_Lab Part C'!$J$1653),'IN-CLASS_Lab Part C'!$J$1653,NA())</f>
        <v/>
      </c>
    </row>
    <row r="1654">
      <c r="J1654">
        <f>IF(AND(ISNUMBER('Data'!$F$1655),'Data'!$F$1655&lt;&gt;999,'Data'!$F$1655&lt;&gt;""),'Data'!$F$1655,"")</f>
        <v/>
      </c>
      <c r="Z1654" t="n">
        <v>1</v>
      </c>
      <c r="AA1654">
        <f>IF(ISNUMBER('IN-CLASS_Lab Part C'!$J$1654),'IN-CLASS_Lab Part C'!$J$1654,NA())</f>
        <v/>
      </c>
    </row>
    <row r="1655">
      <c r="J1655">
        <f>IF(AND(ISNUMBER('Data'!$F$1656),'Data'!$F$1656&lt;&gt;999,'Data'!$F$1656&lt;&gt;""),'Data'!$F$1656,"")</f>
        <v/>
      </c>
      <c r="Z1655" t="n">
        <v>1</v>
      </c>
      <c r="AA1655">
        <f>IF(ISNUMBER('IN-CLASS_Lab Part C'!$J$1655),'IN-CLASS_Lab Part C'!$J$1655,NA())</f>
        <v/>
      </c>
    </row>
    <row r="1656">
      <c r="J1656">
        <f>IF(AND(ISNUMBER('Data'!$F$1657),'Data'!$F$1657&lt;&gt;999,'Data'!$F$1657&lt;&gt;""),'Data'!$F$1657,"")</f>
        <v/>
      </c>
      <c r="Z1656" t="n">
        <v>1</v>
      </c>
      <c r="AA1656">
        <f>IF(ISNUMBER('IN-CLASS_Lab Part C'!$J$1656),'IN-CLASS_Lab Part C'!$J$1656,NA())</f>
        <v/>
      </c>
    </row>
    <row r="1657">
      <c r="J1657">
        <f>IF(AND(ISNUMBER('Data'!$F$1658),'Data'!$F$1658&lt;&gt;999,'Data'!$F$1658&lt;&gt;""),'Data'!$F$1658,"")</f>
        <v/>
      </c>
      <c r="Z1657" t="n">
        <v>1</v>
      </c>
      <c r="AA1657">
        <f>IF(ISNUMBER('IN-CLASS_Lab Part C'!$J$1657),'IN-CLASS_Lab Part C'!$J$1657,NA())</f>
        <v/>
      </c>
    </row>
    <row r="1658">
      <c r="J1658">
        <f>IF(AND(ISNUMBER('Data'!$F$1659),'Data'!$F$1659&lt;&gt;999,'Data'!$F$1659&lt;&gt;""),'Data'!$F$1659,"")</f>
        <v/>
      </c>
      <c r="Z1658" t="n">
        <v>1</v>
      </c>
      <c r="AA1658">
        <f>IF(ISNUMBER('IN-CLASS_Lab Part C'!$J$1658),'IN-CLASS_Lab Part C'!$J$1658,NA())</f>
        <v/>
      </c>
    </row>
    <row r="1659">
      <c r="J1659">
        <f>IF(AND(ISNUMBER('Data'!$F$1660),'Data'!$F$1660&lt;&gt;999,'Data'!$F$1660&lt;&gt;""),'Data'!$F$1660,"")</f>
        <v/>
      </c>
      <c r="Z1659" t="n">
        <v>1</v>
      </c>
      <c r="AA1659">
        <f>IF(ISNUMBER('IN-CLASS_Lab Part C'!$J$1659),'IN-CLASS_Lab Part C'!$J$1659,NA())</f>
        <v/>
      </c>
    </row>
    <row r="1660">
      <c r="J1660">
        <f>IF(AND(ISNUMBER('Data'!$F$1661),'Data'!$F$1661&lt;&gt;999,'Data'!$F$1661&lt;&gt;""),'Data'!$F$1661,"")</f>
        <v/>
      </c>
      <c r="Z1660" t="n">
        <v>1</v>
      </c>
      <c r="AA1660">
        <f>IF(ISNUMBER('IN-CLASS_Lab Part C'!$J$1660),'IN-CLASS_Lab Part C'!$J$1660,NA())</f>
        <v/>
      </c>
    </row>
    <row r="1661">
      <c r="J1661">
        <f>IF(AND(ISNUMBER('Data'!$F$1662),'Data'!$F$1662&lt;&gt;999,'Data'!$F$1662&lt;&gt;""),'Data'!$F$1662,"")</f>
        <v/>
      </c>
      <c r="Z1661" t="n">
        <v>1</v>
      </c>
      <c r="AA1661">
        <f>IF(ISNUMBER('IN-CLASS_Lab Part C'!$J$1661),'IN-CLASS_Lab Part C'!$J$1661,NA())</f>
        <v/>
      </c>
    </row>
    <row r="1662">
      <c r="J1662">
        <f>IF(AND(ISNUMBER('Data'!$F$1663),'Data'!$F$1663&lt;&gt;999,'Data'!$F$1663&lt;&gt;""),'Data'!$F$1663,"")</f>
        <v/>
      </c>
      <c r="Z1662" t="n">
        <v>1</v>
      </c>
      <c r="AA1662">
        <f>IF(ISNUMBER('IN-CLASS_Lab Part C'!$J$1662),'IN-CLASS_Lab Part C'!$J$1662,NA())</f>
        <v/>
      </c>
    </row>
    <row r="1663">
      <c r="J1663">
        <f>IF(AND(ISNUMBER('Data'!$F$1664),'Data'!$F$1664&lt;&gt;999,'Data'!$F$1664&lt;&gt;""),'Data'!$F$1664,"")</f>
        <v/>
      </c>
      <c r="Z1663" t="n">
        <v>1</v>
      </c>
      <c r="AA1663">
        <f>IF(ISNUMBER('IN-CLASS_Lab Part C'!$J$1663),'IN-CLASS_Lab Part C'!$J$1663,NA())</f>
        <v/>
      </c>
    </row>
    <row r="1664">
      <c r="J1664">
        <f>IF(AND(ISNUMBER('Data'!$F$1665),'Data'!$F$1665&lt;&gt;999,'Data'!$F$1665&lt;&gt;""),'Data'!$F$1665,"")</f>
        <v/>
      </c>
      <c r="Z1664" t="n">
        <v>1</v>
      </c>
      <c r="AA1664">
        <f>IF(ISNUMBER('IN-CLASS_Lab Part C'!$J$1664),'IN-CLASS_Lab Part C'!$J$1664,NA())</f>
        <v/>
      </c>
    </row>
    <row r="1665">
      <c r="J1665">
        <f>IF(AND(ISNUMBER('Data'!$F$1666),'Data'!$F$1666&lt;&gt;999,'Data'!$F$1666&lt;&gt;""),'Data'!$F$1666,"")</f>
        <v/>
      </c>
      <c r="Z1665" t="n">
        <v>1</v>
      </c>
      <c r="AA1665">
        <f>IF(ISNUMBER('IN-CLASS_Lab Part C'!$J$1665),'IN-CLASS_Lab Part C'!$J$1665,NA())</f>
        <v/>
      </c>
    </row>
    <row r="1666">
      <c r="J1666">
        <f>IF(AND(ISNUMBER('Data'!$F$1667),'Data'!$F$1667&lt;&gt;999,'Data'!$F$1667&lt;&gt;""),'Data'!$F$1667,"")</f>
        <v/>
      </c>
      <c r="Z1666" t="n">
        <v>1</v>
      </c>
      <c r="AA1666">
        <f>IF(ISNUMBER('IN-CLASS_Lab Part C'!$J$1666),'IN-CLASS_Lab Part C'!$J$1666,NA())</f>
        <v/>
      </c>
    </row>
    <row r="1667">
      <c r="J1667">
        <f>IF(AND(ISNUMBER('Data'!$F$1668),'Data'!$F$1668&lt;&gt;999,'Data'!$F$1668&lt;&gt;""),'Data'!$F$1668,"")</f>
        <v/>
      </c>
      <c r="Z1667" t="n">
        <v>1</v>
      </c>
      <c r="AA1667">
        <f>IF(ISNUMBER('IN-CLASS_Lab Part C'!$J$1667),'IN-CLASS_Lab Part C'!$J$1667,NA())</f>
        <v/>
      </c>
    </row>
    <row r="1668">
      <c r="J1668">
        <f>IF(AND(ISNUMBER('Data'!$F$1669),'Data'!$F$1669&lt;&gt;999,'Data'!$F$1669&lt;&gt;""),'Data'!$F$1669,"")</f>
        <v/>
      </c>
      <c r="Z1668" t="n">
        <v>1</v>
      </c>
      <c r="AA1668">
        <f>IF(ISNUMBER('IN-CLASS_Lab Part C'!$J$1668),'IN-CLASS_Lab Part C'!$J$1668,NA())</f>
        <v/>
      </c>
    </row>
    <row r="1669">
      <c r="J1669">
        <f>IF(AND(ISNUMBER('Data'!$F$1670),'Data'!$F$1670&lt;&gt;999,'Data'!$F$1670&lt;&gt;""),'Data'!$F$1670,"")</f>
        <v/>
      </c>
      <c r="Z1669" t="n">
        <v>1</v>
      </c>
      <c r="AA1669">
        <f>IF(ISNUMBER('IN-CLASS_Lab Part C'!$J$1669),'IN-CLASS_Lab Part C'!$J$1669,NA())</f>
        <v/>
      </c>
    </row>
    <row r="1670">
      <c r="J1670">
        <f>IF(AND(ISNUMBER('Data'!$F$1671),'Data'!$F$1671&lt;&gt;999,'Data'!$F$1671&lt;&gt;""),'Data'!$F$1671,"")</f>
        <v/>
      </c>
      <c r="Z1670" t="n">
        <v>1</v>
      </c>
      <c r="AA1670">
        <f>IF(ISNUMBER('IN-CLASS_Lab Part C'!$J$1670),'IN-CLASS_Lab Part C'!$J$1670,NA())</f>
        <v/>
      </c>
    </row>
    <row r="1671">
      <c r="J1671">
        <f>IF(AND(ISNUMBER('Data'!$F$1672),'Data'!$F$1672&lt;&gt;999,'Data'!$F$1672&lt;&gt;""),'Data'!$F$1672,"")</f>
        <v/>
      </c>
      <c r="Z1671" t="n">
        <v>1</v>
      </c>
      <c r="AA1671">
        <f>IF(ISNUMBER('IN-CLASS_Lab Part C'!$J$1671),'IN-CLASS_Lab Part C'!$J$1671,NA())</f>
        <v/>
      </c>
    </row>
    <row r="1672">
      <c r="J1672">
        <f>IF(AND(ISNUMBER('Data'!$F$1673),'Data'!$F$1673&lt;&gt;999,'Data'!$F$1673&lt;&gt;""),'Data'!$F$1673,"")</f>
        <v/>
      </c>
      <c r="Z1672" t="n">
        <v>1</v>
      </c>
      <c r="AA1672">
        <f>IF(ISNUMBER('IN-CLASS_Lab Part C'!$J$1672),'IN-CLASS_Lab Part C'!$J$1672,NA())</f>
        <v/>
      </c>
    </row>
    <row r="1673">
      <c r="J1673">
        <f>IF(AND(ISNUMBER('Data'!$F$1674),'Data'!$F$1674&lt;&gt;999,'Data'!$F$1674&lt;&gt;""),'Data'!$F$1674,"")</f>
        <v/>
      </c>
      <c r="Z1673" t="n">
        <v>1</v>
      </c>
      <c r="AA1673">
        <f>IF(ISNUMBER('IN-CLASS_Lab Part C'!$J$1673),'IN-CLASS_Lab Part C'!$J$1673,NA())</f>
        <v/>
      </c>
    </row>
    <row r="1674">
      <c r="J1674">
        <f>IF(AND(ISNUMBER('Data'!$F$1675),'Data'!$F$1675&lt;&gt;999,'Data'!$F$1675&lt;&gt;""),'Data'!$F$1675,"")</f>
        <v/>
      </c>
      <c r="Z1674" t="n">
        <v>1</v>
      </c>
      <c r="AA1674">
        <f>IF(ISNUMBER('IN-CLASS_Lab Part C'!$J$1674),'IN-CLASS_Lab Part C'!$J$1674,NA())</f>
        <v/>
      </c>
    </row>
    <row r="1675">
      <c r="J1675">
        <f>IF(AND(ISNUMBER('Data'!$F$1676),'Data'!$F$1676&lt;&gt;999,'Data'!$F$1676&lt;&gt;""),'Data'!$F$1676,"")</f>
        <v/>
      </c>
      <c r="Z1675" t="n">
        <v>1</v>
      </c>
      <c r="AA1675">
        <f>IF(ISNUMBER('IN-CLASS_Lab Part C'!$J$1675),'IN-CLASS_Lab Part C'!$J$1675,NA())</f>
        <v/>
      </c>
    </row>
    <row r="1676">
      <c r="J1676">
        <f>IF(AND(ISNUMBER('Data'!$F$1677),'Data'!$F$1677&lt;&gt;999,'Data'!$F$1677&lt;&gt;""),'Data'!$F$1677,"")</f>
        <v/>
      </c>
      <c r="Z1676" t="n">
        <v>1</v>
      </c>
      <c r="AA1676">
        <f>IF(ISNUMBER('IN-CLASS_Lab Part C'!$J$1676),'IN-CLASS_Lab Part C'!$J$1676,NA())</f>
        <v/>
      </c>
    </row>
    <row r="1677">
      <c r="J1677">
        <f>IF(AND(ISNUMBER('Data'!$F$1678),'Data'!$F$1678&lt;&gt;999,'Data'!$F$1678&lt;&gt;""),'Data'!$F$1678,"")</f>
        <v/>
      </c>
      <c r="Z1677" t="n">
        <v>1</v>
      </c>
      <c r="AA1677">
        <f>IF(ISNUMBER('IN-CLASS_Lab Part C'!$J$1677),'IN-CLASS_Lab Part C'!$J$1677,NA())</f>
        <v/>
      </c>
    </row>
    <row r="1678">
      <c r="J1678">
        <f>IF(AND(ISNUMBER('Data'!$F$1679),'Data'!$F$1679&lt;&gt;999,'Data'!$F$1679&lt;&gt;""),'Data'!$F$1679,"")</f>
        <v/>
      </c>
      <c r="Z1678" t="n">
        <v>1</v>
      </c>
      <c r="AA1678">
        <f>IF(ISNUMBER('IN-CLASS_Lab Part C'!$J$1678),'IN-CLASS_Lab Part C'!$J$1678,NA())</f>
        <v/>
      </c>
    </row>
    <row r="1679">
      <c r="J1679">
        <f>IF(AND(ISNUMBER('Data'!$F$1680),'Data'!$F$1680&lt;&gt;999,'Data'!$F$1680&lt;&gt;""),'Data'!$F$1680,"")</f>
        <v/>
      </c>
      <c r="Z1679" t="n">
        <v>1</v>
      </c>
      <c r="AA1679">
        <f>IF(ISNUMBER('IN-CLASS_Lab Part C'!$J$1679),'IN-CLASS_Lab Part C'!$J$1679,NA())</f>
        <v/>
      </c>
    </row>
    <row r="1680">
      <c r="J1680">
        <f>IF(AND(ISNUMBER('Data'!$F$1681),'Data'!$F$1681&lt;&gt;999,'Data'!$F$1681&lt;&gt;""),'Data'!$F$1681,"")</f>
        <v/>
      </c>
      <c r="Z1680" t="n">
        <v>1</v>
      </c>
      <c r="AA1680">
        <f>IF(ISNUMBER('IN-CLASS_Lab Part C'!$J$1680),'IN-CLASS_Lab Part C'!$J$1680,NA())</f>
        <v/>
      </c>
    </row>
    <row r="1681">
      <c r="J1681">
        <f>IF(AND(ISNUMBER('Data'!$F$1682),'Data'!$F$1682&lt;&gt;999,'Data'!$F$1682&lt;&gt;""),'Data'!$F$1682,"")</f>
        <v/>
      </c>
      <c r="Z1681" t="n">
        <v>1</v>
      </c>
      <c r="AA1681">
        <f>IF(ISNUMBER('IN-CLASS_Lab Part C'!$J$1681),'IN-CLASS_Lab Part C'!$J$1681,NA())</f>
        <v/>
      </c>
    </row>
    <row r="1682">
      <c r="J1682">
        <f>IF(AND(ISNUMBER('Data'!$F$1683),'Data'!$F$1683&lt;&gt;999,'Data'!$F$1683&lt;&gt;""),'Data'!$F$1683,"")</f>
        <v/>
      </c>
      <c r="Z1682" t="n">
        <v>1</v>
      </c>
      <c r="AA1682">
        <f>IF(ISNUMBER('IN-CLASS_Lab Part C'!$J$1682),'IN-CLASS_Lab Part C'!$J$1682,NA())</f>
        <v/>
      </c>
    </row>
    <row r="1683">
      <c r="J1683">
        <f>IF(AND(ISNUMBER('Data'!$F$1684),'Data'!$F$1684&lt;&gt;999,'Data'!$F$1684&lt;&gt;""),'Data'!$F$1684,"")</f>
        <v/>
      </c>
      <c r="Z1683" t="n">
        <v>1</v>
      </c>
      <c r="AA1683">
        <f>IF(ISNUMBER('IN-CLASS_Lab Part C'!$J$1683),'IN-CLASS_Lab Part C'!$J$1683,NA())</f>
        <v/>
      </c>
    </row>
    <row r="1684">
      <c r="J1684">
        <f>IF(AND(ISNUMBER('Data'!$F$1685),'Data'!$F$1685&lt;&gt;999,'Data'!$F$1685&lt;&gt;""),'Data'!$F$1685,"")</f>
        <v/>
      </c>
      <c r="Z1684" t="n">
        <v>1</v>
      </c>
      <c r="AA1684">
        <f>IF(ISNUMBER('IN-CLASS_Lab Part C'!$J$1684),'IN-CLASS_Lab Part C'!$J$1684,NA())</f>
        <v/>
      </c>
    </row>
    <row r="1685">
      <c r="J1685">
        <f>IF(AND(ISNUMBER('Data'!$F$1686),'Data'!$F$1686&lt;&gt;999,'Data'!$F$1686&lt;&gt;""),'Data'!$F$1686,"")</f>
        <v/>
      </c>
      <c r="Z1685" t="n">
        <v>1</v>
      </c>
      <c r="AA1685">
        <f>IF(ISNUMBER('IN-CLASS_Lab Part C'!$J$1685),'IN-CLASS_Lab Part C'!$J$1685,NA())</f>
        <v/>
      </c>
    </row>
    <row r="1686">
      <c r="J1686">
        <f>IF(AND(ISNUMBER('Data'!$F$1687),'Data'!$F$1687&lt;&gt;999,'Data'!$F$1687&lt;&gt;""),'Data'!$F$1687,"")</f>
        <v/>
      </c>
      <c r="Z1686" t="n">
        <v>1</v>
      </c>
      <c r="AA1686">
        <f>IF(ISNUMBER('IN-CLASS_Lab Part C'!$J$1686),'IN-CLASS_Lab Part C'!$J$1686,NA())</f>
        <v/>
      </c>
    </row>
    <row r="1687">
      <c r="J1687">
        <f>IF(AND(ISNUMBER('Data'!$F$1688),'Data'!$F$1688&lt;&gt;999,'Data'!$F$1688&lt;&gt;""),'Data'!$F$1688,"")</f>
        <v/>
      </c>
      <c r="Z1687" t="n">
        <v>1</v>
      </c>
      <c r="AA1687">
        <f>IF(ISNUMBER('IN-CLASS_Lab Part C'!$J$1687),'IN-CLASS_Lab Part C'!$J$1687,NA())</f>
        <v/>
      </c>
    </row>
    <row r="1688">
      <c r="J1688">
        <f>IF(AND(ISNUMBER('Data'!$F$1689),'Data'!$F$1689&lt;&gt;999,'Data'!$F$1689&lt;&gt;""),'Data'!$F$1689,"")</f>
        <v/>
      </c>
      <c r="Z1688" t="n">
        <v>1</v>
      </c>
      <c r="AA1688">
        <f>IF(ISNUMBER('IN-CLASS_Lab Part C'!$J$1688),'IN-CLASS_Lab Part C'!$J$1688,NA())</f>
        <v/>
      </c>
    </row>
    <row r="1689">
      <c r="J1689">
        <f>IF(AND(ISNUMBER('Data'!$F$1690),'Data'!$F$1690&lt;&gt;999,'Data'!$F$1690&lt;&gt;""),'Data'!$F$1690,"")</f>
        <v/>
      </c>
      <c r="Z1689" t="n">
        <v>1</v>
      </c>
      <c r="AA1689">
        <f>IF(ISNUMBER('IN-CLASS_Lab Part C'!$J$1689),'IN-CLASS_Lab Part C'!$J$1689,NA())</f>
        <v/>
      </c>
    </row>
    <row r="1690">
      <c r="J1690">
        <f>IF(AND(ISNUMBER('Data'!$F$1691),'Data'!$F$1691&lt;&gt;999,'Data'!$F$1691&lt;&gt;""),'Data'!$F$1691,"")</f>
        <v/>
      </c>
      <c r="Z1690" t="n">
        <v>1</v>
      </c>
      <c r="AA1690">
        <f>IF(ISNUMBER('IN-CLASS_Lab Part C'!$J$1690),'IN-CLASS_Lab Part C'!$J$1690,NA())</f>
        <v/>
      </c>
    </row>
    <row r="1691">
      <c r="J1691">
        <f>IF(AND(ISNUMBER('Data'!$F$1692),'Data'!$F$1692&lt;&gt;999,'Data'!$F$1692&lt;&gt;""),'Data'!$F$1692,"")</f>
        <v/>
      </c>
      <c r="Z1691" t="n">
        <v>1</v>
      </c>
      <c r="AA1691">
        <f>IF(ISNUMBER('IN-CLASS_Lab Part C'!$J$1691),'IN-CLASS_Lab Part C'!$J$1691,NA())</f>
        <v/>
      </c>
    </row>
    <row r="1692">
      <c r="J1692">
        <f>IF(AND(ISNUMBER('Data'!$F$1693),'Data'!$F$1693&lt;&gt;999,'Data'!$F$1693&lt;&gt;""),'Data'!$F$1693,"")</f>
        <v/>
      </c>
      <c r="Z1692" t="n">
        <v>1</v>
      </c>
      <c r="AA1692">
        <f>IF(ISNUMBER('IN-CLASS_Lab Part C'!$J$1692),'IN-CLASS_Lab Part C'!$J$1692,NA())</f>
        <v/>
      </c>
    </row>
    <row r="1693">
      <c r="J1693">
        <f>IF(AND(ISNUMBER('Data'!$F$1694),'Data'!$F$1694&lt;&gt;999,'Data'!$F$1694&lt;&gt;""),'Data'!$F$1694,"")</f>
        <v/>
      </c>
      <c r="Z1693" t="n">
        <v>1</v>
      </c>
      <c r="AA1693">
        <f>IF(ISNUMBER('IN-CLASS_Lab Part C'!$J$1693),'IN-CLASS_Lab Part C'!$J$1693,NA())</f>
        <v/>
      </c>
    </row>
    <row r="1694">
      <c r="J1694">
        <f>IF(AND(ISNUMBER('Data'!$F$1695),'Data'!$F$1695&lt;&gt;999,'Data'!$F$1695&lt;&gt;""),'Data'!$F$1695,"")</f>
        <v/>
      </c>
      <c r="Z1694" t="n">
        <v>1</v>
      </c>
      <c r="AA1694">
        <f>IF(ISNUMBER('IN-CLASS_Lab Part C'!$J$1694),'IN-CLASS_Lab Part C'!$J$1694,NA())</f>
        <v/>
      </c>
    </row>
    <row r="1695">
      <c r="J1695">
        <f>IF(AND(ISNUMBER('Data'!$F$1696),'Data'!$F$1696&lt;&gt;999,'Data'!$F$1696&lt;&gt;""),'Data'!$F$1696,"")</f>
        <v/>
      </c>
      <c r="Z1695" t="n">
        <v>1</v>
      </c>
      <c r="AA1695">
        <f>IF(ISNUMBER('IN-CLASS_Lab Part C'!$J$1695),'IN-CLASS_Lab Part C'!$J$1695,NA())</f>
        <v/>
      </c>
    </row>
    <row r="1696">
      <c r="J1696">
        <f>IF(AND(ISNUMBER('Data'!$F$1697),'Data'!$F$1697&lt;&gt;999,'Data'!$F$1697&lt;&gt;""),'Data'!$F$1697,"")</f>
        <v/>
      </c>
      <c r="Z1696" t="n">
        <v>1</v>
      </c>
      <c r="AA1696">
        <f>IF(ISNUMBER('IN-CLASS_Lab Part C'!$J$1696),'IN-CLASS_Lab Part C'!$J$1696,NA())</f>
        <v/>
      </c>
    </row>
    <row r="1697">
      <c r="J1697">
        <f>IF(AND(ISNUMBER('Data'!$F$1698),'Data'!$F$1698&lt;&gt;999,'Data'!$F$1698&lt;&gt;""),'Data'!$F$1698,"")</f>
        <v/>
      </c>
      <c r="Z1697" t="n">
        <v>1</v>
      </c>
      <c r="AA1697">
        <f>IF(ISNUMBER('IN-CLASS_Lab Part C'!$J$1697),'IN-CLASS_Lab Part C'!$J$1697,NA())</f>
        <v/>
      </c>
    </row>
    <row r="1698">
      <c r="J1698">
        <f>IF(AND(ISNUMBER('Data'!$F$1699),'Data'!$F$1699&lt;&gt;999,'Data'!$F$1699&lt;&gt;""),'Data'!$F$1699,"")</f>
        <v/>
      </c>
      <c r="Z1698" t="n">
        <v>1</v>
      </c>
      <c r="AA1698">
        <f>IF(ISNUMBER('IN-CLASS_Lab Part C'!$J$1698),'IN-CLASS_Lab Part C'!$J$1698,NA())</f>
        <v/>
      </c>
    </row>
    <row r="1699">
      <c r="J1699">
        <f>IF(AND(ISNUMBER('Data'!$F$1700),'Data'!$F$1700&lt;&gt;999,'Data'!$F$1700&lt;&gt;""),'Data'!$F$1700,"")</f>
        <v/>
      </c>
      <c r="Z1699" t="n">
        <v>1</v>
      </c>
      <c r="AA1699">
        <f>IF(ISNUMBER('IN-CLASS_Lab Part C'!$J$1699),'IN-CLASS_Lab Part C'!$J$1699,NA())</f>
        <v/>
      </c>
    </row>
    <row r="1700">
      <c r="J1700">
        <f>IF(AND(ISNUMBER('Data'!$F$1701),'Data'!$F$1701&lt;&gt;999,'Data'!$F$1701&lt;&gt;""),'Data'!$F$1701,"")</f>
        <v/>
      </c>
      <c r="Z1700" t="n">
        <v>1</v>
      </c>
      <c r="AA1700">
        <f>IF(ISNUMBER('IN-CLASS_Lab Part C'!$J$1700),'IN-CLASS_Lab Part C'!$J$1700,NA())</f>
        <v/>
      </c>
    </row>
    <row r="1701">
      <c r="J1701">
        <f>IF(AND(ISNUMBER('Data'!$F$1702),'Data'!$F$1702&lt;&gt;999,'Data'!$F$1702&lt;&gt;""),'Data'!$F$1702,"")</f>
        <v/>
      </c>
      <c r="Z1701" t="n">
        <v>1</v>
      </c>
      <c r="AA1701">
        <f>IF(ISNUMBER('IN-CLASS_Lab Part C'!$J$1701),'IN-CLASS_Lab Part C'!$J$1701,NA())</f>
        <v/>
      </c>
    </row>
    <row r="1702">
      <c r="J1702">
        <f>IF(AND(ISNUMBER('Data'!$F$1703),'Data'!$F$1703&lt;&gt;999,'Data'!$F$1703&lt;&gt;""),'Data'!$F$1703,"")</f>
        <v/>
      </c>
      <c r="Z1702" t="n">
        <v>1</v>
      </c>
      <c r="AA1702">
        <f>IF(ISNUMBER('IN-CLASS_Lab Part C'!$J$1702),'IN-CLASS_Lab Part C'!$J$1702,NA())</f>
        <v/>
      </c>
    </row>
    <row r="1703">
      <c r="J1703">
        <f>IF(AND(ISNUMBER('Data'!$F$1704),'Data'!$F$1704&lt;&gt;999,'Data'!$F$1704&lt;&gt;""),'Data'!$F$1704,"")</f>
        <v/>
      </c>
      <c r="Z1703" t="n">
        <v>1</v>
      </c>
      <c r="AA1703">
        <f>IF(ISNUMBER('IN-CLASS_Lab Part C'!$J$1703),'IN-CLASS_Lab Part C'!$J$1703,NA())</f>
        <v/>
      </c>
    </row>
    <row r="1704">
      <c r="J1704">
        <f>IF(AND(ISNUMBER('Data'!$F$1705),'Data'!$F$1705&lt;&gt;999,'Data'!$F$1705&lt;&gt;""),'Data'!$F$1705,"")</f>
        <v/>
      </c>
      <c r="Z1704" t="n">
        <v>1</v>
      </c>
      <c r="AA1704">
        <f>IF(ISNUMBER('IN-CLASS_Lab Part C'!$J$1704),'IN-CLASS_Lab Part C'!$J$1704,NA())</f>
        <v/>
      </c>
    </row>
    <row r="1705">
      <c r="J1705">
        <f>IF(AND(ISNUMBER('Data'!$F$1706),'Data'!$F$1706&lt;&gt;999,'Data'!$F$1706&lt;&gt;""),'Data'!$F$1706,"")</f>
        <v/>
      </c>
      <c r="Z1705" t="n">
        <v>1</v>
      </c>
      <c r="AA1705">
        <f>IF(ISNUMBER('IN-CLASS_Lab Part C'!$J$1705),'IN-CLASS_Lab Part C'!$J$1705,NA())</f>
        <v/>
      </c>
    </row>
    <row r="1706">
      <c r="J1706">
        <f>IF(AND(ISNUMBER('Data'!$F$1707),'Data'!$F$1707&lt;&gt;999,'Data'!$F$1707&lt;&gt;""),'Data'!$F$1707,"")</f>
        <v/>
      </c>
      <c r="Z1706" t="n">
        <v>1</v>
      </c>
      <c r="AA1706">
        <f>IF(ISNUMBER('IN-CLASS_Lab Part C'!$J$1706),'IN-CLASS_Lab Part C'!$J$1706,NA())</f>
        <v/>
      </c>
    </row>
    <row r="1707">
      <c r="J1707">
        <f>IF(AND(ISNUMBER('Data'!$F$1708),'Data'!$F$1708&lt;&gt;999,'Data'!$F$1708&lt;&gt;""),'Data'!$F$1708,"")</f>
        <v/>
      </c>
      <c r="Z1707" t="n">
        <v>1</v>
      </c>
      <c r="AA1707">
        <f>IF(ISNUMBER('IN-CLASS_Lab Part C'!$J$1707),'IN-CLASS_Lab Part C'!$J$1707,NA())</f>
        <v/>
      </c>
    </row>
    <row r="1708">
      <c r="J1708">
        <f>IF(AND(ISNUMBER('Data'!$F$1709),'Data'!$F$1709&lt;&gt;999,'Data'!$F$1709&lt;&gt;""),'Data'!$F$1709,"")</f>
        <v/>
      </c>
      <c r="Z1708" t="n">
        <v>1</v>
      </c>
      <c r="AA1708">
        <f>IF(ISNUMBER('IN-CLASS_Lab Part C'!$J$1708),'IN-CLASS_Lab Part C'!$J$1708,NA())</f>
        <v/>
      </c>
    </row>
    <row r="1709">
      <c r="J1709">
        <f>IF(AND(ISNUMBER('Data'!$F$1710),'Data'!$F$1710&lt;&gt;999,'Data'!$F$1710&lt;&gt;""),'Data'!$F$1710,"")</f>
        <v/>
      </c>
      <c r="Z1709" t="n">
        <v>1</v>
      </c>
      <c r="AA1709">
        <f>IF(ISNUMBER('IN-CLASS_Lab Part C'!$J$1709),'IN-CLASS_Lab Part C'!$J$1709,NA())</f>
        <v/>
      </c>
    </row>
    <row r="1710">
      <c r="J1710">
        <f>IF(AND(ISNUMBER('Data'!$F$1711),'Data'!$F$1711&lt;&gt;999,'Data'!$F$1711&lt;&gt;""),'Data'!$F$1711,"")</f>
        <v/>
      </c>
      <c r="Z1710" t="n">
        <v>1</v>
      </c>
      <c r="AA1710">
        <f>IF(ISNUMBER('IN-CLASS_Lab Part C'!$J$1710),'IN-CLASS_Lab Part C'!$J$1710,NA())</f>
        <v/>
      </c>
    </row>
    <row r="1711">
      <c r="J1711">
        <f>IF(AND(ISNUMBER('Data'!$F$1712),'Data'!$F$1712&lt;&gt;999,'Data'!$F$1712&lt;&gt;""),'Data'!$F$1712,"")</f>
        <v/>
      </c>
      <c r="Z1711" t="n">
        <v>1</v>
      </c>
      <c r="AA1711">
        <f>IF(ISNUMBER('IN-CLASS_Lab Part C'!$J$1711),'IN-CLASS_Lab Part C'!$J$1711,NA())</f>
        <v/>
      </c>
    </row>
    <row r="1712">
      <c r="J1712">
        <f>IF(AND(ISNUMBER('Data'!$F$1713),'Data'!$F$1713&lt;&gt;999,'Data'!$F$1713&lt;&gt;""),'Data'!$F$1713,"")</f>
        <v/>
      </c>
      <c r="Z1712" t="n">
        <v>1</v>
      </c>
      <c r="AA1712">
        <f>IF(ISNUMBER('IN-CLASS_Lab Part C'!$J$1712),'IN-CLASS_Lab Part C'!$J$1712,NA())</f>
        <v/>
      </c>
    </row>
    <row r="1713">
      <c r="J1713">
        <f>IF(AND(ISNUMBER('Data'!$F$1714),'Data'!$F$1714&lt;&gt;999,'Data'!$F$1714&lt;&gt;""),'Data'!$F$1714,"")</f>
        <v/>
      </c>
      <c r="Z1713" t="n">
        <v>1</v>
      </c>
      <c r="AA1713">
        <f>IF(ISNUMBER('IN-CLASS_Lab Part C'!$J$1713),'IN-CLASS_Lab Part C'!$J$1713,NA())</f>
        <v/>
      </c>
    </row>
    <row r="1714">
      <c r="J1714">
        <f>IF(AND(ISNUMBER('Data'!$F$1715),'Data'!$F$1715&lt;&gt;999,'Data'!$F$1715&lt;&gt;""),'Data'!$F$1715,"")</f>
        <v/>
      </c>
      <c r="Z1714" t="n">
        <v>1</v>
      </c>
      <c r="AA1714">
        <f>IF(ISNUMBER('IN-CLASS_Lab Part C'!$J$1714),'IN-CLASS_Lab Part C'!$J$1714,NA())</f>
        <v/>
      </c>
    </row>
    <row r="1715">
      <c r="J1715">
        <f>IF(AND(ISNUMBER('Data'!$F$1716),'Data'!$F$1716&lt;&gt;999,'Data'!$F$1716&lt;&gt;""),'Data'!$F$1716,"")</f>
        <v/>
      </c>
      <c r="Z1715" t="n">
        <v>1</v>
      </c>
      <c r="AA1715">
        <f>IF(ISNUMBER('IN-CLASS_Lab Part C'!$J$1715),'IN-CLASS_Lab Part C'!$J$1715,NA())</f>
        <v/>
      </c>
    </row>
    <row r="1716">
      <c r="J1716">
        <f>IF(AND(ISNUMBER('Data'!$F$1717),'Data'!$F$1717&lt;&gt;999,'Data'!$F$1717&lt;&gt;""),'Data'!$F$1717,"")</f>
        <v/>
      </c>
      <c r="Z1716" t="n">
        <v>1</v>
      </c>
      <c r="AA1716">
        <f>IF(ISNUMBER('IN-CLASS_Lab Part C'!$J$1716),'IN-CLASS_Lab Part C'!$J$1716,NA())</f>
        <v/>
      </c>
    </row>
    <row r="1717">
      <c r="J1717">
        <f>IF(AND(ISNUMBER('Data'!$F$1718),'Data'!$F$1718&lt;&gt;999,'Data'!$F$1718&lt;&gt;""),'Data'!$F$1718,"")</f>
        <v/>
      </c>
      <c r="Z1717" t="n">
        <v>1</v>
      </c>
      <c r="AA1717">
        <f>IF(ISNUMBER('IN-CLASS_Lab Part C'!$J$1717),'IN-CLASS_Lab Part C'!$J$1717,NA())</f>
        <v/>
      </c>
    </row>
    <row r="1718">
      <c r="J1718">
        <f>IF(AND(ISNUMBER('Data'!$F$1719),'Data'!$F$1719&lt;&gt;999,'Data'!$F$1719&lt;&gt;""),'Data'!$F$1719,"")</f>
        <v/>
      </c>
      <c r="Z1718" t="n">
        <v>1</v>
      </c>
      <c r="AA1718">
        <f>IF(ISNUMBER('IN-CLASS_Lab Part C'!$J$1718),'IN-CLASS_Lab Part C'!$J$1718,NA())</f>
        <v/>
      </c>
    </row>
    <row r="1719">
      <c r="J1719">
        <f>IF(AND(ISNUMBER('Data'!$F$1720),'Data'!$F$1720&lt;&gt;999,'Data'!$F$1720&lt;&gt;""),'Data'!$F$1720,"")</f>
        <v/>
      </c>
      <c r="Z1719" t="n">
        <v>1</v>
      </c>
      <c r="AA1719">
        <f>IF(ISNUMBER('IN-CLASS_Lab Part C'!$J$1719),'IN-CLASS_Lab Part C'!$J$1719,NA())</f>
        <v/>
      </c>
    </row>
    <row r="1720">
      <c r="J1720">
        <f>IF(AND(ISNUMBER('Data'!$F$1721),'Data'!$F$1721&lt;&gt;999,'Data'!$F$1721&lt;&gt;""),'Data'!$F$1721,"")</f>
        <v/>
      </c>
      <c r="Z1720" t="n">
        <v>1</v>
      </c>
      <c r="AA1720">
        <f>IF(ISNUMBER('IN-CLASS_Lab Part C'!$J$1720),'IN-CLASS_Lab Part C'!$J$1720,NA())</f>
        <v/>
      </c>
    </row>
    <row r="1721">
      <c r="J1721">
        <f>IF(AND(ISNUMBER('Data'!$F$1722),'Data'!$F$1722&lt;&gt;999,'Data'!$F$1722&lt;&gt;""),'Data'!$F$1722,"")</f>
        <v/>
      </c>
      <c r="Z1721" t="n">
        <v>1</v>
      </c>
      <c r="AA1721">
        <f>IF(ISNUMBER('IN-CLASS_Lab Part C'!$J$1721),'IN-CLASS_Lab Part C'!$J$1721,NA())</f>
        <v/>
      </c>
    </row>
    <row r="1722">
      <c r="J1722">
        <f>IF(AND(ISNUMBER('Data'!$F$1723),'Data'!$F$1723&lt;&gt;999,'Data'!$F$1723&lt;&gt;""),'Data'!$F$1723,"")</f>
        <v/>
      </c>
      <c r="Z1722" t="n">
        <v>1</v>
      </c>
      <c r="AA1722">
        <f>IF(ISNUMBER('IN-CLASS_Lab Part C'!$J$1722),'IN-CLASS_Lab Part C'!$J$1722,NA())</f>
        <v/>
      </c>
    </row>
    <row r="1723">
      <c r="J1723">
        <f>IF(AND(ISNUMBER('Data'!$F$1724),'Data'!$F$1724&lt;&gt;999,'Data'!$F$1724&lt;&gt;""),'Data'!$F$1724,"")</f>
        <v/>
      </c>
      <c r="Z1723" t="n">
        <v>1</v>
      </c>
      <c r="AA1723">
        <f>IF(ISNUMBER('IN-CLASS_Lab Part C'!$J$1723),'IN-CLASS_Lab Part C'!$J$1723,NA())</f>
        <v/>
      </c>
    </row>
    <row r="1724">
      <c r="J1724">
        <f>IF(AND(ISNUMBER('Data'!$F$1725),'Data'!$F$1725&lt;&gt;999,'Data'!$F$1725&lt;&gt;""),'Data'!$F$1725,"")</f>
        <v/>
      </c>
      <c r="Z1724" t="n">
        <v>1</v>
      </c>
      <c r="AA1724">
        <f>IF(ISNUMBER('IN-CLASS_Lab Part C'!$J$1724),'IN-CLASS_Lab Part C'!$J$1724,NA())</f>
        <v/>
      </c>
    </row>
    <row r="1725">
      <c r="J1725">
        <f>IF(AND(ISNUMBER('Data'!$F$1726),'Data'!$F$1726&lt;&gt;999,'Data'!$F$1726&lt;&gt;""),'Data'!$F$1726,"")</f>
        <v/>
      </c>
      <c r="Z1725" t="n">
        <v>1</v>
      </c>
      <c r="AA1725">
        <f>IF(ISNUMBER('IN-CLASS_Lab Part C'!$J$1725),'IN-CLASS_Lab Part C'!$J$1725,NA())</f>
        <v/>
      </c>
    </row>
    <row r="1726">
      <c r="J1726">
        <f>IF(AND(ISNUMBER('Data'!$F$1727),'Data'!$F$1727&lt;&gt;999,'Data'!$F$1727&lt;&gt;""),'Data'!$F$1727,"")</f>
        <v/>
      </c>
      <c r="Z1726" t="n">
        <v>1</v>
      </c>
      <c r="AA1726">
        <f>IF(ISNUMBER('IN-CLASS_Lab Part C'!$J$1726),'IN-CLASS_Lab Part C'!$J$1726,NA())</f>
        <v/>
      </c>
    </row>
    <row r="1727">
      <c r="J1727">
        <f>IF(AND(ISNUMBER('Data'!$F$1728),'Data'!$F$1728&lt;&gt;999,'Data'!$F$1728&lt;&gt;""),'Data'!$F$1728,"")</f>
        <v/>
      </c>
      <c r="Z1727" t="n">
        <v>1</v>
      </c>
      <c r="AA1727">
        <f>IF(ISNUMBER('IN-CLASS_Lab Part C'!$J$1727),'IN-CLASS_Lab Part C'!$J$1727,NA())</f>
        <v/>
      </c>
    </row>
    <row r="1728">
      <c r="J1728">
        <f>IF(AND(ISNUMBER('Data'!$F$1729),'Data'!$F$1729&lt;&gt;999,'Data'!$F$1729&lt;&gt;""),'Data'!$F$1729,"")</f>
        <v/>
      </c>
      <c r="Z1728" t="n">
        <v>1</v>
      </c>
      <c r="AA1728">
        <f>IF(ISNUMBER('IN-CLASS_Lab Part C'!$J$1728),'IN-CLASS_Lab Part C'!$J$1728,NA())</f>
        <v/>
      </c>
    </row>
    <row r="1729">
      <c r="J1729">
        <f>IF(AND(ISNUMBER('Data'!$F$1730),'Data'!$F$1730&lt;&gt;999,'Data'!$F$1730&lt;&gt;""),'Data'!$F$1730,"")</f>
        <v/>
      </c>
      <c r="Z1729" t="n">
        <v>1</v>
      </c>
      <c r="AA1729">
        <f>IF(ISNUMBER('IN-CLASS_Lab Part C'!$J$1729),'IN-CLASS_Lab Part C'!$J$1729,NA())</f>
        <v/>
      </c>
    </row>
    <row r="1730">
      <c r="J1730">
        <f>IF(AND(ISNUMBER('Data'!$F$1731),'Data'!$F$1731&lt;&gt;999,'Data'!$F$1731&lt;&gt;""),'Data'!$F$1731,"")</f>
        <v/>
      </c>
      <c r="Z1730" t="n">
        <v>1</v>
      </c>
      <c r="AA1730">
        <f>IF(ISNUMBER('IN-CLASS_Lab Part C'!$J$1730),'IN-CLASS_Lab Part C'!$J$1730,NA())</f>
        <v/>
      </c>
    </row>
    <row r="1731">
      <c r="J1731">
        <f>IF(AND(ISNUMBER('Data'!$F$1732),'Data'!$F$1732&lt;&gt;999,'Data'!$F$1732&lt;&gt;""),'Data'!$F$1732,"")</f>
        <v/>
      </c>
      <c r="Z1731" t="n">
        <v>1</v>
      </c>
      <c r="AA1731">
        <f>IF(ISNUMBER('IN-CLASS_Lab Part C'!$J$1731),'IN-CLASS_Lab Part C'!$J$1731,NA())</f>
        <v/>
      </c>
    </row>
    <row r="1732">
      <c r="J1732">
        <f>IF(AND(ISNUMBER('Data'!$F$1733),'Data'!$F$1733&lt;&gt;999,'Data'!$F$1733&lt;&gt;""),'Data'!$F$1733,"")</f>
        <v/>
      </c>
      <c r="Z1732" t="n">
        <v>1</v>
      </c>
      <c r="AA1732">
        <f>IF(ISNUMBER('IN-CLASS_Lab Part C'!$J$1732),'IN-CLASS_Lab Part C'!$J$1732,NA())</f>
        <v/>
      </c>
    </row>
    <row r="1733">
      <c r="J1733">
        <f>IF(AND(ISNUMBER('Data'!$F$1734),'Data'!$F$1734&lt;&gt;999,'Data'!$F$1734&lt;&gt;""),'Data'!$F$1734,"")</f>
        <v/>
      </c>
      <c r="Z1733" t="n">
        <v>1</v>
      </c>
      <c r="AA1733">
        <f>IF(ISNUMBER('IN-CLASS_Lab Part C'!$J$1733),'IN-CLASS_Lab Part C'!$J$1733,NA())</f>
        <v/>
      </c>
    </row>
    <row r="1734">
      <c r="J1734">
        <f>IF(AND(ISNUMBER('Data'!$F$1735),'Data'!$F$1735&lt;&gt;999,'Data'!$F$1735&lt;&gt;""),'Data'!$F$1735,"")</f>
        <v/>
      </c>
      <c r="Z1734" t="n">
        <v>1</v>
      </c>
      <c r="AA1734">
        <f>IF(ISNUMBER('IN-CLASS_Lab Part C'!$J$1734),'IN-CLASS_Lab Part C'!$J$1734,NA())</f>
        <v/>
      </c>
    </row>
    <row r="1735">
      <c r="J1735">
        <f>IF(AND(ISNUMBER('Data'!$F$1736),'Data'!$F$1736&lt;&gt;999,'Data'!$F$1736&lt;&gt;""),'Data'!$F$1736,"")</f>
        <v/>
      </c>
      <c r="Z1735" t="n">
        <v>1</v>
      </c>
      <c r="AA1735">
        <f>IF(ISNUMBER('IN-CLASS_Lab Part C'!$J$1735),'IN-CLASS_Lab Part C'!$J$1735,NA())</f>
        <v/>
      </c>
    </row>
    <row r="1736">
      <c r="J1736">
        <f>IF(AND(ISNUMBER('Data'!$F$1737),'Data'!$F$1737&lt;&gt;999,'Data'!$F$1737&lt;&gt;""),'Data'!$F$1737,"")</f>
        <v/>
      </c>
      <c r="Z1736" t="n">
        <v>1</v>
      </c>
      <c r="AA1736">
        <f>IF(ISNUMBER('IN-CLASS_Lab Part C'!$J$1736),'IN-CLASS_Lab Part C'!$J$1736,NA())</f>
        <v/>
      </c>
    </row>
    <row r="1737">
      <c r="J1737">
        <f>IF(AND(ISNUMBER('Data'!$F$1738),'Data'!$F$1738&lt;&gt;999,'Data'!$F$1738&lt;&gt;""),'Data'!$F$1738,"")</f>
        <v/>
      </c>
      <c r="Z1737" t="n">
        <v>1</v>
      </c>
      <c r="AA1737">
        <f>IF(ISNUMBER('IN-CLASS_Lab Part C'!$J$1737),'IN-CLASS_Lab Part C'!$J$1737,NA())</f>
        <v/>
      </c>
    </row>
    <row r="1738">
      <c r="J1738">
        <f>IF(AND(ISNUMBER('Data'!$F$1739),'Data'!$F$1739&lt;&gt;999,'Data'!$F$1739&lt;&gt;""),'Data'!$F$1739,"")</f>
        <v/>
      </c>
      <c r="Z1738" t="n">
        <v>1</v>
      </c>
      <c r="AA1738">
        <f>IF(ISNUMBER('IN-CLASS_Lab Part C'!$J$1738),'IN-CLASS_Lab Part C'!$J$1738,NA())</f>
        <v/>
      </c>
    </row>
    <row r="1739">
      <c r="J1739">
        <f>IF(AND(ISNUMBER('Data'!$F$1740),'Data'!$F$1740&lt;&gt;999,'Data'!$F$1740&lt;&gt;""),'Data'!$F$1740,"")</f>
        <v/>
      </c>
      <c r="Z1739" t="n">
        <v>1</v>
      </c>
      <c r="AA1739">
        <f>IF(ISNUMBER('IN-CLASS_Lab Part C'!$J$1739),'IN-CLASS_Lab Part C'!$J$1739,NA())</f>
        <v/>
      </c>
    </row>
    <row r="1740">
      <c r="J1740">
        <f>IF(AND(ISNUMBER('Data'!$F$1741),'Data'!$F$1741&lt;&gt;999,'Data'!$F$1741&lt;&gt;""),'Data'!$F$1741,"")</f>
        <v/>
      </c>
      <c r="Z1740" t="n">
        <v>1</v>
      </c>
      <c r="AA1740">
        <f>IF(ISNUMBER('IN-CLASS_Lab Part C'!$J$1740),'IN-CLASS_Lab Part C'!$J$1740,NA())</f>
        <v/>
      </c>
    </row>
    <row r="1741">
      <c r="J1741">
        <f>IF(AND(ISNUMBER('Data'!$F$1742),'Data'!$F$1742&lt;&gt;999,'Data'!$F$1742&lt;&gt;""),'Data'!$F$1742,"")</f>
        <v/>
      </c>
      <c r="Z1741" t="n">
        <v>1</v>
      </c>
      <c r="AA1741">
        <f>IF(ISNUMBER('IN-CLASS_Lab Part C'!$J$1741),'IN-CLASS_Lab Part C'!$J$1741,NA())</f>
        <v/>
      </c>
    </row>
    <row r="1742">
      <c r="J1742">
        <f>IF(AND(ISNUMBER('Data'!$F$1743),'Data'!$F$1743&lt;&gt;999,'Data'!$F$1743&lt;&gt;""),'Data'!$F$1743,"")</f>
        <v/>
      </c>
      <c r="Z1742" t="n">
        <v>1</v>
      </c>
      <c r="AA1742">
        <f>IF(ISNUMBER('IN-CLASS_Lab Part C'!$J$1742),'IN-CLASS_Lab Part C'!$J$1742,NA())</f>
        <v/>
      </c>
    </row>
    <row r="1743">
      <c r="J1743">
        <f>IF(AND(ISNUMBER('Data'!$F$1744),'Data'!$F$1744&lt;&gt;999,'Data'!$F$1744&lt;&gt;""),'Data'!$F$1744,"")</f>
        <v/>
      </c>
      <c r="Z1743" t="n">
        <v>1</v>
      </c>
      <c r="AA1743">
        <f>IF(ISNUMBER('IN-CLASS_Lab Part C'!$J$1743),'IN-CLASS_Lab Part C'!$J$1743,NA())</f>
        <v/>
      </c>
    </row>
    <row r="1744">
      <c r="J1744">
        <f>IF(AND(ISNUMBER('Data'!$F$1745),'Data'!$F$1745&lt;&gt;999,'Data'!$F$1745&lt;&gt;""),'Data'!$F$1745,"")</f>
        <v/>
      </c>
      <c r="Z1744" t="n">
        <v>1</v>
      </c>
      <c r="AA1744">
        <f>IF(ISNUMBER('IN-CLASS_Lab Part C'!$J$1744),'IN-CLASS_Lab Part C'!$J$1744,NA())</f>
        <v/>
      </c>
    </row>
    <row r="1745">
      <c r="J1745">
        <f>IF(AND(ISNUMBER('Data'!$F$1746),'Data'!$F$1746&lt;&gt;999,'Data'!$F$1746&lt;&gt;""),'Data'!$F$1746,"")</f>
        <v/>
      </c>
      <c r="Z1745" t="n">
        <v>1</v>
      </c>
      <c r="AA1745">
        <f>IF(ISNUMBER('IN-CLASS_Lab Part C'!$J$1745),'IN-CLASS_Lab Part C'!$J$1745,NA())</f>
        <v/>
      </c>
    </row>
    <row r="1746">
      <c r="J1746">
        <f>IF(AND(ISNUMBER('Data'!$F$1747),'Data'!$F$1747&lt;&gt;999,'Data'!$F$1747&lt;&gt;""),'Data'!$F$1747,"")</f>
        <v/>
      </c>
      <c r="Z1746" t="n">
        <v>1</v>
      </c>
      <c r="AA1746">
        <f>IF(ISNUMBER('IN-CLASS_Lab Part C'!$J$1746),'IN-CLASS_Lab Part C'!$J$1746,NA())</f>
        <v/>
      </c>
    </row>
    <row r="1747">
      <c r="J1747">
        <f>IF(AND(ISNUMBER('Data'!$F$1748),'Data'!$F$1748&lt;&gt;999,'Data'!$F$1748&lt;&gt;""),'Data'!$F$1748,"")</f>
        <v/>
      </c>
      <c r="Z1747" t="n">
        <v>1</v>
      </c>
      <c r="AA1747">
        <f>IF(ISNUMBER('IN-CLASS_Lab Part C'!$J$1747),'IN-CLASS_Lab Part C'!$J$1747,NA())</f>
        <v/>
      </c>
    </row>
    <row r="1748">
      <c r="J1748">
        <f>IF(AND(ISNUMBER('Data'!$F$1749),'Data'!$F$1749&lt;&gt;999,'Data'!$F$1749&lt;&gt;""),'Data'!$F$1749,"")</f>
        <v/>
      </c>
      <c r="Z1748" t="n">
        <v>1</v>
      </c>
      <c r="AA1748">
        <f>IF(ISNUMBER('IN-CLASS_Lab Part C'!$J$1748),'IN-CLASS_Lab Part C'!$J$1748,NA())</f>
        <v/>
      </c>
    </row>
    <row r="1749">
      <c r="J1749">
        <f>IF(AND(ISNUMBER('Data'!$F$1750),'Data'!$F$1750&lt;&gt;999,'Data'!$F$1750&lt;&gt;""),'Data'!$F$1750,"")</f>
        <v/>
      </c>
      <c r="Z1749" t="n">
        <v>1</v>
      </c>
      <c r="AA1749">
        <f>IF(ISNUMBER('IN-CLASS_Lab Part C'!$J$1749),'IN-CLASS_Lab Part C'!$J$1749,NA())</f>
        <v/>
      </c>
    </row>
    <row r="1750">
      <c r="J1750">
        <f>IF(AND(ISNUMBER('Data'!$F$1751),'Data'!$F$1751&lt;&gt;999,'Data'!$F$1751&lt;&gt;""),'Data'!$F$1751,"")</f>
        <v/>
      </c>
      <c r="Z1750" t="n">
        <v>1</v>
      </c>
      <c r="AA1750">
        <f>IF(ISNUMBER('IN-CLASS_Lab Part C'!$J$1750),'IN-CLASS_Lab Part C'!$J$1750,NA())</f>
        <v/>
      </c>
    </row>
    <row r="1751">
      <c r="J1751">
        <f>IF(AND(ISNUMBER('Data'!$F$1752),'Data'!$F$1752&lt;&gt;999,'Data'!$F$1752&lt;&gt;""),'Data'!$F$1752,"")</f>
        <v/>
      </c>
      <c r="Z1751" t="n">
        <v>1</v>
      </c>
      <c r="AA1751">
        <f>IF(ISNUMBER('IN-CLASS_Lab Part C'!$J$1751),'IN-CLASS_Lab Part C'!$J$1751,NA())</f>
        <v/>
      </c>
    </row>
    <row r="1752">
      <c r="J1752">
        <f>IF(AND(ISNUMBER('Data'!$F$1753),'Data'!$F$1753&lt;&gt;999,'Data'!$F$1753&lt;&gt;""),'Data'!$F$1753,"")</f>
        <v/>
      </c>
      <c r="Z1752" t="n">
        <v>1</v>
      </c>
      <c r="AA1752">
        <f>IF(ISNUMBER('IN-CLASS_Lab Part C'!$J$1752),'IN-CLASS_Lab Part C'!$J$1752,NA())</f>
        <v/>
      </c>
    </row>
    <row r="1753">
      <c r="J1753">
        <f>IF(AND(ISNUMBER('Data'!$F$1754),'Data'!$F$1754&lt;&gt;999,'Data'!$F$1754&lt;&gt;""),'Data'!$F$1754,"")</f>
        <v/>
      </c>
      <c r="Z1753" t="n">
        <v>1</v>
      </c>
      <c r="AA1753">
        <f>IF(ISNUMBER('IN-CLASS_Lab Part C'!$J$1753),'IN-CLASS_Lab Part C'!$J$1753,NA())</f>
        <v/>
      </c>
    </row>
    <row r="1754">
      <c r="J1754">
        <f>IF(AND(ISNUMBER('Data'!$F$1755),'Data'!$F$1755&lt;&gt;999,'Data'!$F$1755&lt;&gt;""),'Data'!$F$1755,"")</f>
        <v/>
      </c>
      <c r="Z1754" t="n">
        <v>1</v>
      </c>
      <c r="AA1754">
        <f>IF(ISNUMBER('IN-CLASS_Lab Part C'!$J$1754),'IN-CLASS_Lab Part C'!$J$1754,NA())</f>
        <v/>
      </c>
    </row>
    <row r="1755">
      <c r="J1755">
        <f>IF(AND(ISNUMBER('Data'!$F$1756),'Data'!$F$1756&lt;&gt;999,'Data'!$F$1756&lt;&gt;""),'Data'!$F$1756,"")</f>
        <v/>
      </c>
      <c r="Z1755" t="n">
        <v>1</v>
      </c>
      <c r="AA1755">
        <f>IF(ISNUMBER('IN-CLASS_Lab Part C'!$J$1755),'IN-CLASS_Lab Part C'!$J$1755,NA())</f>
        <v/>
      </c>
    </row>
    <row r="1756">
      <c r="J1756">
        <f>IF(AND(ISNUMBER('Data'!$F$1757),'Data'!$F$1757&lt;&gt;999,'Data'!$F$1757&lt;&gt;""),'Data'!$F$1757,"")</f>
        <v/>
      </c>
      <c r="Z1756" t="n">
        <v>1</v>
      </c>
      <c r="AA1756">
        <f>IF(ISNUMBER('IN-CLASS_Lab Part C'!$J$1756),'IN-CLASS_Lab Part C'!$J$1756,NA())</f>
        <v/>
      </c>
    </row>
    <row r="1757">
      <c r="J1757">
        <f>IF(AND(ISNUMBER('Data'!$F$1758),'Data'!$F$1758&lt;&gt;999,'Data'!$F$1758&lt;&gt;""),'Data'!$F$1758,"")</f>
        <v/>
      </c>
      <c r="Z1757" t="n">
        <v>1</v>
      </c>
      <c r="AA1757">
        <f>IF(ISNUMBER('IN-CLASS_Lab Part C'!$J$1757),'IN-CLASS_Lab Part C'!$J$1757,NA())</f>
        <v/>
      </c>
    </row>
    <row r="1758">
      <c r="J1758">
        <f>IF(AND(ISNUMBER('Data'!$F$1759),'Data'!$F$1759&lt;&gt;999,'Data'!$F$1759&lt;&gt;""),'Data'!$F$1759,"")</f>
        <v/>
      </c>
      <c r="Z1758" t="n">
        <v>1</v>
      </c>
      <c r="AA1758">
        <f>IF(ISNUMBER('IN-CLASS_Lab Part C'!$J$1758),'IN-CLASS_Lab Part C'!$J$1758,NA())</f>
        <v/>
      </c>
    </row>
    <row r="1759">
      <c r="J1759">
        <f>IF(AND(ISNUMBER('Data'!$F$1760),'Data'!$F$1760&lt;&gt;999,'Data'!$F$1760&lt;&gt;""),'Data'!$F$1760,"")</f>
        <v/>
      </c>
      <c r="Z1759" t="n">
        <v>1</v>
      </c>
      <c r="AA1759">
        <f>IF(ISNUMBER('IN-CLASS_Lab Part C'!$J$1759),'IN-CLASS_Lab Part C'!$J$1759,NA())</f>
        <v/>
      </c>
    </row>
    <row r="1760">
      <c r="J1760">
        <f>IF(AND(ISNUMBER('Data'!$F$1761),'Data'!$F$1761&lt;&gt;999,'Data'!$F$1761&lt;&gt;""),'Data'!$F$1761,"")</f>
        <v/>
      </c>
      <c r="Z1760" t="n">
        <v>1</v>
      </c>
      <c r="AA1760">
        <f>IF(ISNUMBER('IN-CLASS_Lab Part C'!$J$1760),'IN-CLASS_Lab Part C'!$J$1760,NA())</f>
        <v/>
      </c>
    </row>
    <row r="1761">
      <c r="J1761">
        <f>IF(AND(ISNUMBER('Data'!$F$1762),'Data'!$F$1762&lt;&gt;999,'Data'!$F$1762&lt;&gt;""),'Data'!$F$1762,"")</f>
        <v/>
      </c>
      <c r="Z1761" t="n">
        <v>1</v>
      </c>
      <c r="AA1761">
        <f>IF(ISNUMBER('IN-CLASS_Lab Part C'!$J$1761),'IN-CLASS_Lab Part C'!$J$1761,NA())</f>
        <v/>
      </c>
    </row>
    <row r="1762">
      <c r="J1762">
        <f>IF(AND(ISNUMBER('Data'!$F$1763),'Data'!$F$1763&lt;&gt;999,'Data'!$F$1763&lt;&gt;""),'Data'!$F$1763,"")</f>
        <v/>
      </c>
      <c r="Z1762" t="n">
        <v>1</v>
      </c>
      <c r="AA1762">
        <f>IF(ISNUMBER('IN-CLASS_Lab Part C'!$J$1762),'IN-CLASS_Lab Part C'!$J$1762,NA())</f>
        <v/>
      </c>
    </row>
    <row r="1763">
      <c r="J1763">
        <f>IF(AND(ISNUMBER('Data'!$F$1764),'Data'!$F$1764&lt;&gt;999,'Data'!$F$1764&lt;&gt;""),'Data'!$F$1764,"")</f>
        <v/>
      </c>
      <c r="Z1763" t="n">
        <v>1</v>
      </c>
      <c r="AA1763">
        <f>IF(ISNUMBER('IN-CLASS_Lab Part C'!$J$1763),'IN-CLASS_Lab Part C'!$J$1763,NA())</f>
        <v/>
      </c>
    </row>
    <row r="1764">
      <c r="J1764">
        <f>IF(AND(ISNUMBER('Data'!$F$1765),'Data'!$F$1765&lt;&gt;999,'Data'!$F$1765&lt;&gt;""),'Data'!$F$1765,"")</f>
        <v/>
      </c>
      <c r="Z1764" t="n">
        <v>1</v>
      </c>
      <c r="AA1764">
        <f>IF(ISNUMBER('IN-CLASS_Lab Part C'!$J$1764),'IN-CLASS_Lab Part C'!$J$1764,NA())</f>
        <v/>
      </c>
    </row>
    <row r="1765">
      <c r="J1765">
        <f>IF(AND(ISNUMBER('Data'!$F$1766),'Data'!$F$1766&lt;&gt;999,'Data'!$F$1766&lt;&gt;""),'Data'!$F$1766,"")</f>
        <v/>
      </c>
      <c r="Z1765" t="n">
        <v>1</v>
      </c>
      <c r="AA1765">
        <f>IF(ISNUMBER('IN-CLASS_Lab Part C'!$J$1765),'IN-CLASS_Lab Part C'!$J$1765,NA())</f>
        <v/>
      </c>
    </row>
    <row r="1766">
      <c r="J1766">
        <f>IF(AND(ISNUMBER('Data'!$F$1767),'Data'!$F$1767&lt;&gt;999,'Data'!$F$1767&lt;&gt;""),'Data'!$F$1767,"")</f>
        <v/>
      </c>
      <c r="Z1766" t="n">
        <v>1</v>
      </c>
      <c r="AA1766">
        <f>IF(ISNUMBER('IN-CLASS_Lab Part C'!$J$1766),'IN-CLASS_Lab Part C'!$J$1766,NA())</f>
        <v/>
      </c>
    </row>
    <row r="1767">
      <c r="J1767">
        <f>IF(AND(ISNUMBER('Data'!$F$1768),'Data'!$F$1768&lt;&gt;999,'Data'!$F$1768&lt;&gt;""),'Data'!$F$1768,"")</f>
        <v/>
      </c>
      <c r="Z1767" t="n">
        <v>1</v>
      </c>
      <c r="AA1767">
        <f>IF(ISNUMBER('IN-CLASS_Lab Part C'!$J$1767),'IN-CLASS_Lab Part C'!$J$1767,NA())</f>
        <v/>
      </c>
    </row>
    <row r="1768">
      <c r="J1768">
        <f>IF(AND(ISNUMBER('Data'!$F$1769),'Data'!$F$1769&lt;&gt;999,'Data'!$F$1769&lt;&gt;""),'Data'!$F$1769,"")</f>
        <v/>
      </c>
      <c r="Z1768" t="n">
        <v>1</v>
      </c>
      <c r="AA1768">
        <f>IF(ISNUMBER('IN-CLASS_Lab Part C'!$J$1768),'IN-CLASS_Lab Part C'!$J$1768,NA())</f>
        <v/>
      </c>
    </row>
    <row r="1769">
      <c r="J1769">
        <f>IF(AND(ISNUMBER('Data'!$F$1770),'Data'!$F$1770&lt;&gt;999,'Data'!$F$1770&lt;&gt;""),'Data'!$F$1770,"")</f>
        <v/>
      </c>
      <c r="Z1769" t="n">
        <v>1</v>
      </c>
      <c r="AA1769">
        <f>IF(ISNUMBER('IN-CLASS_Lab Part C'!$J$1769),'IN-CLASS_Lab Part C'!$J$1769,NA())</f>
        <v/>
      </c>
    </row>
    <row r="1770">
      <c r="J1770">
        <f>IF(AND(ISNUMBER('Data'!$F$1771),'Data'!$F$1771&lt;&gt;999,'Data'!$F$1771&lt;&gt;""),'Data'!$F$1771,"")</f>
        <v/>
      </c>
      <c r="Z1770" t="n">
        <v>1</v>
      </c>
      <c r="AA1770">
        <f>IF(ISNUMBER('IN-CLASS_Lab Part C'!$J$1770),'IN-CLASS_Lab Part C'!$J$1770,NA())</f>
        <v/>
      </c>
    </row>
    <row r="1771">
      <c r="J1771">
        <f>IF(AND(ISNUMBER('Data'!$F$1772),'Data'!$F$1772&lt;&gt;999,'Data'!$F$1772&lt;&gt;""),'Data'!$F$1772,"")</f>
        <v/>
      </c>
      <c r="Z1771" t="n">
        <v>1</v>
      </c>
      <c r="AA1771">
        <f>IF(ISNUMBER('IN-CLASS_Lab Part C'!$J$1771),'IN-CLASS_Lab Part C'!$J$1771,NA())</f>
        <v/>
      </c>
    </row>
    <row r="1772">
      <c r="J1772">
        <f>IF(AND(ISNUMBER('Data'!$F$1773),'Data'!$F$1773&lt;&gt;999,'Data'!$F$1773&lt;&gt;""),'Data'!$F$1773,"")</f>
        <v/>
      </c>
      <c r="Z1772" t="n">
        <v>1</v>
      </c>
      <c r="AA1772">
        <f>IF(ISNUMBER('IN-CLASS_Lab Part C'!$J$1772),'IN-CLASS_Lab Part C'!$J$1772,NA())</f>
        <v/>
      </c>
    </row>
    <row r="1773">
      <c r="J1773">
        <f>IF(AND(ISNUMBER('Data'!$F$1774),'Data'!$F$1774&lt;&gt;999,'Data'!$F$1774&lt;&gt;""),'Data'!$F$1774,"")</f>
        <v/>
      </c>
      <c r="Z1773" t="n">
        <v>1</v>
      </c>
      <c r="AA1773">
        <f>IF(ISNUMBER('IN-CLASS_Lab Part C'!$J$1773),'IN-CLASS_Lab Part C'!$J$1773,NA())</f>
        <v/>
      </c>
    </row>
    <row r="1774">
      <c r="J1774">
        <f>IF(AND(ISNUMBER('Data'!$F$1775),'Data'!$F$1775&lt;&gt;999,'Data'!$F$1775&lt;&gt;""),'Data'!$F$1775,"")</f>
        <v/>
      </c>
      <c r="Z1774" t="n">
        <v>1</v>
      </c>
      <c r="AA1774">
        <f>IF(ISNUMBER('IN-CLASS_Lab Part C'!$J$1774),'IN-CLASS_Lab Part C'!$J$1774,NA())</f>
        <v/>
      </c>
    </row>
    <row r="1775">
      <c r="J1775">
        <f>IF(AND(ISNUMBER('Data'!$F$1776),'Data'!$F$1776&lt;&gt;999,'Data'!$F$1776&lt;&gt;""),'Data'!$F$1776,"")</f>
        <v/>
      </c>
      <c r="Z1775" t="n">
        <v>1</v>
      </c>
      <c r="AA1775">
        <f>IF(ISNUMBER('IN-CLASS_Lab Part C'!$J$1775),'IN-CLASS_Lab Part C'!$J$1775,NA())</f>
        <v/>
      </c>
    </row>
    <row r="1776">
      <c r="J1776">
        <f>IF(AND(ISNUMBER('Data'!$F$1777),'Data'!$F$1777&lt;&gt;999,'Data'!$F$1777&lt;&gt;""),'Data'!$F$1777,"")</f>
        <v/>
      </c>
      <c r="Z1776" t="n">
        <v>1</v>
      </c>
      <c r="AA1776">
        <f>IF(ISNUMBER('IN-CLASS_Lab Part C'!$J$1776),'IN-CLASS_Lab Part C'!$J$1776,NA())</f>
        <v/>
      </c>
    </row>
    <row r="1777">
      <c r="J1777">
        <f>IF(AND(ISNUMBER('Data'!$F$1778),'Data'!$F$1778&lt;&gt;999,'Data'!$F$1778&lt;&gt;""),'Data'!$F$1778,"")</f>
        <v/>
      </c>
      <c r="Z1777" t="n">
        <v>1</v>
      </c>
      <c r="AA1777">
        <f>IF(ISNUMBER('IN-CLASS_Lab Part C'!$J$1777),'IN-CLASS_Lab Part C'!$J$1777,NA())</f>
        <v/>
      </c>
    </row>
    <row r="1778">
      <c r="J1778">
        <f>IF(AND(ISNUMBER('Data'!$F$1779),'Data'!$F$1779&lt;&gt;999,'Data'!$F$1779&lt;&gt;""),'Data'!$F$1779,"")</f>
        <v/>
      </c>
      <c r="Z1778" t="n">
        <v>1</v>
      </c>
      <c r="AA1778">
        <f>IF(ISNUMBER('IN-CLASS_Lab Part C'!$J$1778),'IN-CLASS_Lab Part C'!$J$1778,NA())</f>
        <v/>
      </c>
    </row>
    <row r="1779">
      <c r="J1779">
        <f>IF(AND(ISNUMBER('Data'!$F$1780),'Data'!$F$1780&lt;&gt;999,'Data'!$F$1780&lt;&gt;""),'Data'!$F$1780,"")</f>
        <v/>
      </c>
      <c r="Z1779" t="n">
        <v>1</v>
      </c>
      <c r="AA1779">
        <f>IF(ISNUMBER('IN-CLASS_Lab Part C'!$J$1779),'IN-CLASS_Lab Part C'!$J$1779,NA())</f>
        <v/>
      </c>
    </row>
    <row r="1780">
      <c r="J1780">
        <f>IF(AND(ISNUMBER('Data'!$F$1781),'Data'!$F$1781&lt;&gt;999,'Data'!$F$1781&lt;&gt;""),'Data'!$F$1781,"")</f>
        <v/>
      </c>
      <c r="Z1780" t="n">
        <v>1</v>
      </c>
      <c r="AA1780">
        <f>IF(ISNUMBER('IN-CLASS_Lab Part C'!$J$1780),'IN-CLASS_Lab Part C'!$J$1780,NA())</f>
        <v/>
      </c>
    </row>
    <row r="1781">
      <c r="J1781">
        <f>IF(AND(ISNUMBER('Data'!$F$1782),'Data'!$F$1782&lt;&gt;999,'Data'!$F$1782&lt;&gt;""),'Data'!$F$1782,"")</f>
        <v/>
      </c>
      <c r="Z1781" t="n">
        <v>1</v>
      </c>
      <c r="AA1781">
        <f>IF(ISNUMBER('IN-CLASS_Lab Part C'!$J$1781),'IN-CLASS_Lab Part C'!$J$1781,NA())</f>
        <v/>
      </c>
    </row>
    <row r="1782">
      <c r="J1782">
        <f>IF(AND(ISNUMBER('Data'!$F$1783),'Data'!$F$1783&lt;&gt;999,'Data'!$F$1783&lt;&gt;""),'Data'!$F$1783,"")</f>
        <v/>
      </c>
      <c r="Z1782" t="n">
        <v>1</v>
      </c>
      <c r="AA1782">
        <f>IF(ISNUMBER('IN-CLASS_Lab Part C'!$J$1782),'IN-CLASS_Lab Part C'!$J$1782,NA())</f>
        <v/>
      </c>
    </row>
    <row r="1783">
      <c r="J1783">
        <f>IF(AND(ISNUMBER('Data'!$F$1784),'Data'!$F$1784&lt;&gt;999,'Data'!$F$1784&lt;&gt;""),'Data'!$F$1784,"")</f>
        <v/>
      </c>
      <c r="Z1783" t="n">
        <v>1</v>
      </c>
      <c r="AA1783">
        <f>IF(ISNUMBER('IN-CLASS_Lab Part C'!$J$1783),'IN-CLASS_Lab Part C'!$J$1783,NA())</f>
        <v/>
      </c>
    </row>
    <row r="1784">
      <c r="J1784">
        <f>IF(AND(ISNUMBER('Data'!$F$1785),'Data'!$F$1785&lt;&gt;999,'Data'!$F$1785&lt;&gt;""),'Data'!$F$1785,"")</f>
        <v/>
      </c>
      <c r="Z1784" t="n">
        <v>1</v>
      </c>
      <c r="AA1784">
        <f>IF(ISNUMBER('IN-CLASS_Lab Part C'!$J$1784),'IN-CLASS_Lab Part C'!$J$1784,NA())</f>
        <v/>
      </c>
    </row>
    <row r="1785">
      <c r="J1785">
        <f>IF(AND(ISNUMBER('Data'!$F$1786),'Data'!$F$1786&lt;&gt;999,'Data'!$F$1786&lt;&gt;""),'Data'!$F$1786,"")</f>
        <v/>
      </c>
      <c r="Z1785" t="n">
        <v>1</v>
      </c>
      <c r="AA1785">
        <f>IF(ISNUMBER('IN-CLASS_Lab Part C'!$J$1785),'IN-CLASS_Lab Part C'!$J$1785,NA())</f>
        <v/>
      </c>
    </row>
    <row r="1786">
      <c r="J1786">
        <f>IF(AND(ISNUMBER('Data'!$F$1787),'Data'!$F$1787&lt;&gt;999,'Data'!$F$1787&lt;&gt;""),'Data'!$F$1787,"")</f>
        <v/>
      </c>
      <c r="Z1786" t="n">
        <v>1</v>
      </c>
      <c r="AA1786">
        <f>IF(ISNUMBER('IN-CLASS_Lab Part C'!$J$1786),'IN-CLASS_Lab Part C'!$J$1786,NA())</f>
        <v/>
      </c>
    </row>
    <row r="1787">
      <c r="J1787">
        <f>IF(AND(ISNUMBER('Data'!$F$1788),'Data'!$F$1788&lt;&gt;999,'Data'!$F$1788&lt;&gt;""),'Data'!$F$1788,"")</f>
        <v/>
      </c>
      <c r="Z1787" t="n">
        <v>1</v>
      </c>
      <c r="AA1787">
        <f>IF(ISNUMBER('IN-CLASS_Lab Part C'!$J$1787),'IN-CLASS_Lab Part C'!$J$1787,NA())</f>
        <v/>
      </c>
    </row>
    <row r="1788">
      <c r="J1788">
        <f>IF(AND(ISNUMBER('Data'!$F$1789),'Data'!$F$1789&lt;&gt;999,'Data'!$F$1789&lt;&gt;""),'Data'!$F$1789,"")</f>
        <v/>
      </c>
      <c r="Z1788" t="n">
        <v>1</v>
      </c>
      <c r="AA1788">
        <f>IF(ISNUMBER('IN-CLASS_Lab Part C'!$J$1788),'IN-CLASS_Lab Part C'!$J$1788,NA())</f>
        <v/>
      </c>
    </row>
    <row r="1789">
      <c r="J1789">
        <f>IF(AND(ISNUMBER('Data'!$F$1790),'Data'!$F$1790&lt;&gt;999,'Data'!$F$1790&lt;&gt;""),'Data'!$F$1790,"")</f>
        <v/>
      </c>
      <c r="Z1789" t="n">
        <v>1</v>
      </c>
      <c r="AA1789">
        <f>IF(ISNUMBER('IN-CLASS_Lab Part C'!$J$1789),'IN-CLASS_Lab Part C'!$J$1789,NA())</f>
        <v/>
      </c>
    </row>
    <row r="1790">
      <c r="J1790">
        <f>IF(AND(ISNUMBER('Data'!$F$1791),'Data'!$F$1791&lt;&gt;999,'Data'!$F$1791&lt;&gt;""),'Data'!$F$1791,"")</f>
        <v/>
      </c>
      <c r="Z1790" t="n">
        <v>1</v>
      </c>
      <c r="AA1790">
        <f>IF(ISNUMBER('IN-CLASS_Lab Part C'!$J$1790),'IN-CLASS_Lab Part C'!$J$1790,NA())</f>
        <v/>
      </c>
    </row>
    <row r="1791">
      <c r="J1791">
        <f>IF(AND(ISNUMBER('Data'!$F$1792),'Data'!$F$1792&lt;&gt;999,'Data'!$F$1792&lt;&gt;""),'Data'!$F$1792,"")</f>
        <v/>
      </c>
      <c r="Z1791" t="n">
        <v>1</v>
      </c>
      <c r="AA1791">
        <f>IF(ISNUMBER('IN-CLASS_Lab Part C'!$J$1791),'IN-CLASS_Lab Part C'!$J$1791,NA())</f>
        <v/>
      </c>
    </row>
    <row r="1792">
      <c r="J1792">
        <f>IF(AND(ISNUMBER('Data'!$F$1793),'Data'!$F$1793&lt;&gt;999,'Data'!$F$1793&lt;&gt;""),'Data'!$F$1793,"")</f>
        <v/>
      </c>
      <c r="Z1792" t="n">
        <v>1</v>
      </c>
      <c r="AA1792">
        <f>IF(ISNUMBER('IN-CLASS_Lab Part C'!$J$1792),'IN-CLASS_Lab Part C'!$J$1792,NA())</f>
        <v/>
      </c>
    </row>
    <row r="1793">
      <c r="J1793">
        <f>IF(AND(ISNUMBER('Data'!$F$1794),'Data'!$F$1794&lt;&gt;999,'Data'!$F$1794&lt;&gt;""),'Data'!$F$1794,"")</f>
        <v/>
      </c>
      <c r="Z1793" t="n">
        <v>1</v>
      </c>
      <c r="AA1793">
        <f>IF(ISNUMBER('IN-CLASS_Lab Part C'!$J$1793),'IN-CLASS_Lab Part C'!$J$1793,NA())</f>
        <v/>
      </c>
    </row>
    <row r="1794">
      <c r="J1794">
        <f>IF(AND(ISNUMBER('Data'!$F$1795),'Data'!$F$1795&lt;&gt;999,'Data'!$F$1795&lt;&gt;""),'Data'!$F$1795,"")</f>
        <v/>
      </c>
      <c r="Z1794" t="n">
        <v>1</v>
      </c>
      <c r="AA1794">
        <f>IF(ISNUMBER('IN-CLASS_Lab Part C'!$J$1794),'IN-CLASS_Lab Part C'!$J$1794,NA())</f>
        <v/>
      </c>
    </row>
    <row r="1795">
      <c r="J1795">
        <f>IF(AND(ISNUMBER('Data'!$F$1796),'Data'!$F$1796&lt;&gt;999,'Data'!$F$1796&lt;&gt;""),'Data'!$F$1796,"")</f>
        <v/>
      </c>
      <c r="Z1795" t="n">
        <v>1</v>
      </c>
      <c r="AA1795">
        <f>IF(ISNUMBER('IN-CLASS_Lab Part C'!$J$1795),'IN-CLASS_Lab Part C'!$J$1795,NA())</f>
        <v/>
      </c>
    </row>
    <row r="1796">
      <c r="J1796">
        <f>IF(AND(ISNUMBER('Data'!$F$1797),'Data'!$F$1797&lt;&gt;999,'Data'!$F$1797&lt;&gt;""),'Data'!$F$1797,"")</f>
        <v/>
      </c>
      <c r="Z1796" t="n">
        <v>1</v>
      </c>
      <c r="AA1796">
        <f>IF(ISNUMBER('IN-CLASS_Lab Part C'!$J$1796),'IN-CLASS_Lab Part C'!$J$1796,NA())</f>
        <v/>
      </c>
    </row>
    <row r="1797">
      <c r="J1797">
        <f>IF(AND(ISNUMBER('Data'!$F$1798),'Data'!$F$1798&lt;&gt;999,'Data'!$F$1798&lt;&gt;""),'Data'!$F$1798,"")</f>
        <v/>
      </c>
      <c r="Z1797" t="n">
        <v>1</v>
      </c>
      <c r="AA1797">
        <f>IF(ISNUMBER('IN-CLASS_Lab Part C'!$J$1797),'IN-CLASS_Lab Part C'!$J$1797,NA())</f>
        <v/>
      </c>
    </row>
    <row r="1798">
      <c r="J1798">
        <f>IF(AND(ISNUMBER('Data'!$F$1799),'Data'!$F$1799&lt;&gt;999,'Data'!$F$1799&lt;&gt;""),'Data'!$F$1799,"")</f>
        <v/>
      </c>
      <c r="Z1798" t="n">
        <v>1</v>
      </c>
      <c r="AA1798">
        <f>IF(ISNUMBER('IN-CLASS_Lab Part C'!$J$1798),'IN-CLASS_Lab Part C'!$J$1798,NA())</f>
        <v/>
      </c>
    </row>
    <row r="1799">
      <c r="J1799">
        <f>IF(AND(ISNUMBER('Data'!$F$1800),'Data'!$F$1800&lt;&gt;999,'Data'!$F$1800&lt;&gt;""),'Data'!$F$1800,"")</f>
        <v/>
      </c>
      <c r="Z1799" t="n">
        <v>1</v>
      </c>
      <c r="AA1799">
        <f>IF(ISNUMBER('IN-CLASS_Lab Part C'!$J$1799),'IN-CLASS_Lab Part C'!$J$1799,NA())</f>
        <v/>
      </c>
    </row>
    <row r="1800">
      <c r="J1800">
        <f>IF(AND(ISNUMBER('Data'!$F$1801),'Data'!$F$1801&lt;&gt;999,'Data'!$F$1801&lt;&gt;""),'Data'!$F$1801,"")</f>
        <v/>
      </c>
      <c r="Z1800" t="n">
        <v>1</v>
      </c>
      <c r="AA1800">
        <f>IF(ISNUMBER('IN-CLASS_Lab Part C'!$J$1800),'IN-CLASS_Lab Part C'!$J$1800,NA())</f>
        <v/>
      </c>
    </row>
    <row r="1801">
      <c r="J1801">
        <f>IF(AND(ISNUMBER('Data'!$F$1802),'Data'!$F$1802&lt;&gt;999,'Data'!$F$1802&lt;&gt;""),'Data'!$F$1802,"")</f>
        <v/>
      </c>
      <c r="Z1801" t="n">
        <v>1</v>
      </c>
      <c r="AA1801">
        <f>IF(ISNUMBER('IN-CLASS_Lab Part C'!$J$1801),'IN-CLASS_Lab Part C'!$J$1801,NA())</f>
        <v/>
      </c>
    </row>
    <row r="1802">
      <c r="J1802">
        <f>IF(AND(ISNUMBER('Data'!$F$1803),'Data'!$F$1803&lt;&gt;999,'Data'!$F$1803&lt;&gt;""),'Data'!$F$1803,"")</f>
        <v/>
      </c>
      <c r="Z1802" t="n">
        <v>1</v>
      </c>
      <c r="AA1802">
        <f>IF(ISNUMBER('IN-CLASS_Lab Part C'!$J$1802),'IN-CLASS_Lab Part C'!$J$1802,NA())</f>
        <v/>
      </c>
    </row>
    <row r="1803">
      <c r="J1803">
        <f>IF(AND(ISNUMBER('Data'!$F$1804),'Data'!$F$1804&lt;&gt;999,'Data'!$F$1804&lt;&gt;""),'Data'!$F$1804,"")</f>
        <v/>
      </c>
      <c r="Z1803" t="n">
        <v>1</v>
      </c>
      <c r="AA1803">
        <f>IF(ISNUMBER('IN-CLASS_Lab Part C'!$J$1803),'IN-CLASS_Lab Part C'!$J$1803,NA())</f>
        <v/>
      </c>
    </row>
    <row r="1804">
      <c r="J1804">
        <f>IF(AND(ISNUMBER('Data'!$F$1805),'Data'!$F$1805&lt;&gt;999,'Data'!$F$1805&lt;&gt;""),'Data'!$F$1805,"")</f>
        <v/>
      </c>
      <c r="Z1804" t="n">
        <v>1</v>
      </c>
      <c r="AA1804">
        <f>IF(ISNUMBER('IN-CLASS_Lab Part C'!$J$1804),'IN-CLASS_Lab Part C'!$J$1804,NA())</f>
        <v/>
      </c>
    </row>
    <row r="1805">
      <c r="J1805">
        <f>IF(AND(ISNUMBER('Data'!$F$1806),'Data'!$F$1806&lt;&gt;999,'Data'!$F$1806&lt;&gt;""),'Data'!$F$1806,"")</f>
        <v/>
      </c>
      <c r="Z1805" t="n">
        <v>1</v>
      </c>
      <c r="AA1805">
        <f>IF(ISNUMBER('IN-CLASS_Lab Part C'!$J$1805),'IN-CLASS_Lab Part C'!$J$1805,NA())</f>
        <v/>
      </c>
    </row>
    <row r="1806">
      <c r="J1806">
        <f>IF(AND(ISNUMBER('Data'!$F$1807),'Data'!$F$1807&lt;&gt;999,'Data'!$F$1807&lt;&gt;""),'Data'!$F$1807,"")</f>
        <v/>
      </c>
      <c r="Z1806" t="n">
        <v>1</v>
      </c>
      <c r="AA1806">
        <f>IF(ISNUMBER('IN-CLASS_Lab Part C'!$J$1806),'IN-CLASS_Lab Part C'!$J$1806,NA())</f>
        <v/>
      </c>
    </row>
    <row r="1807">
      <c r="J1807">
        <f>IF(AND(ISNUMBER('Data'!$F$1808),'Data'!$F$1808&lt;&gt;999,'Data'!$F$1808&lt;&gt;""),'Data'!$F$1808,"")</f>
        <v/>
      </c>
      <c r="Z1807" t="n">
        <v>1</v>
      </c>
      <c r="AA1807">
        <f>IF(ISNUMBER('IN-CLASS_Lab Part C'!$J$1807),'IN-CLASS_Lab Part C'!$J$1807,NA())</f>
        <v/>
      </c>
    </row>
    <row r="1808">
      <c r="J1808">
        <f>IF(AND(ISNUMBER('Data'!$F$1809),'Data'!$F$1809&lt;&gt;999,'Data'!$F$1809&lt;&gt;""),'Data'!$F$1809,"")</f>
        <v/>
      </c>
      <c r="Z1808" t="n">
        <v>1</v>
      </c>
      <c r="AA1808">
        <f>IF(ISNUMBER('IN-CLASS_Lab Part C'!$J$1808),'IN-CLASS_Lab Part C'!$J$1808,NA())</f>
        <v/>
      </c>
    </row>
    <row r="1809">
      <c r="J1809">
        <f>IF(AND(ISNUMBER('Data'!$F$1810),'Data'!$F$1810&lt;&gt;999,'Data'!$F$1810&lt;&gt;""),'Data'!$F$1810,"")</f>
        <v/>
      </c>
      <c r="Z1809" t="n">
        <v>1</v>
      </c>
      <c r="AA1809">
        <f>IF(ISNUMBER('IN-CLASS_Lab Part C'!$J$1809),'IN-CLASS_Lab Part C'!$J$1809,NA())</f>
        <v/>
      </c>
    </row>
    <row r="1810">
      <c r="J1810">
        <f>IF(AND(ISNUMBER('Data'!$F$1811),'Data'!$F$1811&lt;&gt;999,'Data'!$F$1811&lt;&gt;""),'Data'!$F$1811,"")</f>
        <v/>
      </c>
      <c r="Z1810" t="n">
        <v>1</v>
      </c>
      <c r="AA1810">
        <f>IF(ISNUMBER('IN-CLASS_Lab Part C'!$J$1810),'IN-CLASS_Lab Part C'!$J$1810,NA())</f>
        <v/>
      </c>
    </row>
    <row r="1811">
      <c r="J1811">
        <f>IF(AND(ISNUMBER('Data'!$F$1812),'Data'!$F$1812&lt;&gt;999,'Data'!$F$1812&lt;&gt;""),'Data'!$F$1812,"")</f>
        <v/>
      </c>
      <c r="Z1811" t="n">
        <v>1</v>
      </c>
      <c r="AA1811">
        <f>IF(ISNUMBER('IN-CLASS_Lab Part C'!$J$1811),'IN-CLASS_Lab Part C'!$J$1811,NA())</f>
        <v/>
      </c>
    </row>
    <row r="1812">
      <c r="J1812">
        <f>IF(AND(ISNUMBER('Data'!$F$1813),'Data'!$F$1813&lt;&gt;999,'Data'!$F$1813&lt;&gt;""),'Data'!$F$1813,"")</f>
        <v/>
      </c>
      <c r="Z1812" t="n">
        <v>1</v>
      </c>
      <c r="AA1812">
        <f>IF(ISNUMBER('IN-CLASS_Lab Part C'!$J$1812),'IN-CLASS_Lab Part C'!$J$1812,NA())</f>
        <v/>
      </c>
    </row>
    <row r="1813">
      <c r="J1813">
        <f>IF(AND(ISNUMBER('Data'!$F$1814),'Data'!$F$1814&lt;&gt;999,'Data'!$F$1814&lt;&gt;""),'Data'!$F$1814,"")</f>
        <v/>
      </c>
      <c r="Z1813" t="n">
        <v>1</v>
      </c>
      <c r="AA1813">
        <f>IF(ISNUMBER('IN-CLASS_Lab Part C'!$J$1813),'IN-CLASS_Lab Part C'!$J$1813,NA())</f>
        <v/>
      </c>
    </row>
    <row r="1814">
      <c r="J1814">
        <f>IF(AND(ISNUMBER('Data'!$F$1815),'Data'!$F$1815&lt;&gt;999,'Data'!$F$1815&lt;&gt;""),'Data'!$F$1815,"")</f>
        <v/>
      </c>
      <c r="Z1814" t="n">
        <v>1</v>
      </c>
      <c r="AA1814">
        <f>IF(ISNUMBER('IN-CLASS_Lab Part C'!$J$1814),'IN-CLASS_Lab Part C'!$J$1814,NA())</f>
        <v/>
      </c>
    </row>
    <row r="1815">
      <c r="J1815">
        <f>IF(AND(ISNUMBER('Data'!$F$1816),'Data'!$F$1816&lt;&gt;999,'Data'!$F$1816&lt;&gt;""),'Data'!$F$1816,"")</f>
        <v/>
      </c>
      <c r="Z1815" t="n">
        <v>1</v>
      </c>
      <c r="AA1815">
        <f>IF(ISNUMBER('IN-CLASS_Lab Part C'!$J$1815),'IN-CLASS_Lab Part C'!$J$1815,NA())</f>
        <v/>
      </c>
    </row>
    <row r="1816">
      <c r="J1816">
        <f>IF(AND(ISNUMBER('Data'!$F$1817),'Data'!$F$1817&lt;&gt;999,'Data'!$F$1817&lt;&gt;""),'Data'!$F$1817,"")</f>
        <v/>
      </c>
      <c r="Z1816" t="n">
        <v>1</v>
      </c>
      <c r="AA1816">
        <f>IF(ISNUMBER('IN-CLASS_Lab Part C'!$J$1816),'IN-CLASS_Lab Part C'!$J$1816,NA())</f>
        <v/>
      </c>
    </row>
    <row r="1817">
      <c r="J1817">
        <f>IF(AND(ISNUMBER('Data'!$F$1818),'Data'!$F$1818&lt;&gt;999,'Data'!$F$1818&lt;&gt;""),'Data'!$F$1818,"")</f>
        <v/>
      </c>
      <c r="Z1817" t="n">
        <v>1</v>
      </c>
      <c r="AA1817">
        <f>IF(ISNUMBER('IN-CLASS_Lab Part C'!$J$1817),'IN-CLASS_Lab Part C'!$J$1817,NA())</f>
        <v/>
      </c>
    </row>
    <row r="1818">
      <c r="J1818">
        <f>IF(AND(ISNUMBER('Data'!$F$1819),'Data'!$F$1819&lt;&gt;999,'Data'!$F$1819&lt;&gt;""),'Data'!$F$1819,"")</f>
        <v/>
      </c>
      <c r="Z1818" t="n">
        <v>1</v>
      </c>
      <c r="AA1818">
        <f>IF(ISNUMBER('IN-CLASS_Lab Part C'!$J$1818),'IN-CLASS_Lab Part C'!$J$1818,NA())</f>
        <v/>
      </c>
    </row>
    <row r="1819">
      <c r="J1819">
        <f>IF(AND(ISNUMBER('Data'!$F$1820),'Data'!$F$1820&lt;&gt;999,'Data'!$F$1820&lt;&gt;""),'Data'!$F$1820,"")</f>
        <v/>
      </c>
      <c r="Z1819" t="n">
        <v>1</v>
      </c>
      <c r="AA1819">
        <f>IF(ISNUMBER('IN-CLASS_Lab Part C'!$J$1819),'IN-CLASS_Lab Part C'!$J$1819,NA())</f>
        <v/>
      </c>
    </row>
    <row r="1820">
      <c r="J1820">
        <f>IF(AND(ISNUMBER('Data'!$F$1821),'Data'!$F$1821&lt;&gt;999,'Data'!$F$1821&lt;&gt;""),'Data'!$F$1821,"")</f>
        <v/>
      </c>
      <c r="Z1820" t="n">
        <v>1</v>
      </c>
      <c r="AA1820">
        <f>IF(ISNUMBER('IN-CLASS_Lab Part C'!$J$1820),'IN-CLASS_Lab Part C'!$J$1820,NA())</f>
        <v/>
      </c>
    </row>
    <row r="1821">
      <c r="J1821">
        <f>IF(AND(ISNUMBER('Data'!$F$1822),'Data'!$F$1822&lt;&gt;999,'Data'!$F$1822&lt;&gt;""),'Data'!$F$1822,"")</f>
        <v/>
      </c>
      <c r="Z1821" t="n">
        <v>1</v>
      </c>
      <c r="AA1821">
        <f>IF(ISNUMBER('IN-CLASS_Lab Part C'!$J$1821),'IN-CLASS_Lab Part C'!$J$1821,NA())</f>
        <v/>
      </c>
    </row>
    <row r="1822">
      <c r="J1822">
        <f>IF(AND(ISNUMBER('Data'!$F$1823),'Data'!$F$1823&lt;&gt;999,'Data'!$F$1823&lt;&gt;""),'Data'!$F$1823,"")</f>
        <v/>
      </c>
      <c r="Z1822" t="n">
        <v>1</v>
      </c>
      <c r="AA1822">
        <f>IF(ISNUMBER('IN-CLASS_Lab Part C'!$J$1822),'IN-CLASS_Lab Part C'!$J$1822,NA())</f>
        <v/>
      </c>
    </row>
    <row r="1823">
      <c r="J1823">
        <f>IF(AND(ISNUMBER('Data'!$F$1824),'Data'!$F$1824&lt;&gt;999,'Data'!$F$1824&lt;&gt;""),'Data'!$F$1824,"")</f>
        <v/>
      </c>
      <c r="Z1823" t="n">
        <v>1</v>
      </c>
      <c r="AA1823">
        <f>IF(ISNUMBER('IN-CLASS_Lab Part C'!$J$1823),'IN-CLASS_Lab Part C'!$J$1823,NA())</f>
        <v/>
      </c>
    </row>
    <row r="1824">
      <c r="J1824">
        <f>IF(AND(ISNUMBER('Data'!$F$1825),'Data'!$F$1825&lt;&gt;999,'Data'!$F$1825&lt;&gt;""),'Data'!$F$1825,"")</f>
        <v/>
      </c>
      <c r="Z1824" t="n">
        <v>1</v>
      </c>
      <c r="AA1824">
        <f>IF(ISNUMBER('IN-CLASS_Lab Part C'!$J$1824),'IN-CLASS_Lab Part C'!$J$1824,NA())</f>
        <v/>
      </c>
    </row>
    <row r="1825">
      <c r="J1825">
        <f>IF(AND(ISNUMBER('Data'!$F$1826),'Data'!$F$1826&lt;&gt;999,'Data'!$F$1826&lt;&gt;""),'Data'!$F$1826,"")</f>
        <v/>
      </c>
      <c r="Z1825" t="n">
        <v>1</v>
      </c>
      <c r="AA1825">
        <f>IF(ISNUMBER('IN-CLASS_Lab Part C'!$J$1825),'IN-CLASS_Lab Part C'!$J$1825,NA())</f>
        <v/>
      </c>
    </row>
    <row r="1826">
      <c r="J1826">
        <f>IF(AND(ISNUMBER('Data'!$F$1827),'Data'!$F$1827&lt;&gt;999,'Data'!$F$1827&lt;&gt;""),'Data'!$F$1827,"")</f>
        <v/>
      </c>
      <c r="Z1826" t="n">
        <v>1</v>
      </c>
      <c r="AA1826">
        <f>IF(ISNUMBER('IN-CLASS_Lab Part C'!$J$1826),'IN-CLASS_Lab Part C'!$J$1826,NA())</f>
        <v/>
      </c>
    </row>
    <row r="1827">
      <c r="J1827">
        <f>IF(AND(ISNUMBER('Data'!$F$1828),'Data'!$F$1828&lt;&gt;999,'Data'!$F$1828&lt;&gt;""),'Data'!$F$1828,"")</f>
        <v/>
      </c>
      <c r="Z1827" t="n">
        <v>1</v>
      </c>
      <c r="AA1827">
        <f>IF(ISNUMBER('IN-CLASS_Lab Part C'!$J$1827),'IN-CLASS_Lab Part C'!$J$1827,NA())</f>
        <v/>
      </c>
    </row>
    <row r="1828">
      <c r="J1828">
        <f>IF(AND(ISNUMBER('Data'!$F$1829),'Data'!$F$1829&lt;&gt;999,'Data'!$F$1829&lt;&gt;""),'Data'!$F$1829,"")</f>
        <v/>
      </c>
      <c r="Z1828" t="n">
        <v>1</v>
      </c>
      <c r="AA1828">
        <f>IF(ISNUMBER('IN-CLASS_Lab Part C'!$J$1828),'IN-CLASS_Lab Part C'!$J$1828,NA())</f>
        <v/>
      </c>
    </row>
    <row r="1829">
      <c r="J1829">
        <f>IF(AND(ISNUMBER('Data'!$F$1830),'Data'!$F$1830&lt;&gt;999,'Data'!$F$1830&lt;&gt;""),'Data'!$F$1830,"")</f>
        <v/>
      </c>
      <c r="Z1829" t="n">
        <v>1</v>
      </c>
      <c r="AA1829">
        <f>IF(ISNUMBER('IN-CLASS_Lab Part C'!$J$1829),'IN-CLASS_Lab Part C'!$J$1829,NA())</f>
        <v/>
      </c>
    </row>
    <row r="1830">
      <c r="J1830">
        <f>IF(AND(ISNUMBER('Data'!$F$1831),'Data'!$F$1831&lt;&gt;999,'Data'!$F$1831&lt;&gt;""),'Data'!$F$1831,"")</f>
        <v/>
      </c>
      <c r="Z1830" t="n">
        <v>1</v>
      </c>
      <c r="AA1830">
        <f>IF(ISNUMBER('IN-CLASS_Lab Part C'!$J$1830),'IN-CLASS_Lab Part C'!$J$1830,NA())</f>
        <v/>
      </c>
    </row>
    <row r="1831">
      <c r="J1831">
        <f>IF(AND(ISNUMBER('Data'!$F$1832),'Data'!$F$1832&lt;&gt;999,'Data'!$F$1832&lt;&gt;""),'Data'!$F$1832,"")</f>
        <v/>
      </c>
      <c r="Z1831" t="n">
        <v>1</v>
      </c>
      <c r="AA1831">
        <f>IF(ISNUMBER('IN-CLASS_Lab Part C'!$J$1831),'IN-CLASS_Lab Part C'!$J$1831,NA())</f>
        <v/>
      </c>
    </row>
    <row r="1832">
      <c r="J1832">
        <f>IF(AND(ISNUMBER('Data'!$F$1833),'Data'!$F$1833&lt;&gt;999,'Data'!$F$1833&lt;&gt;""),'Data'!$F$1833,"")</f>
        <v/>
      </c>
      <c r="Z1832" t="n">
        <v>1</v>
      </c>
      <c r="AA1832">
        <f>IF(ISNUMBER('IN-CLASS_Lab Part C'!$J$1832),'IN-CLASS_Lab Part C'!$J$1832,NA())</f>
        <v/>
      </c>
    </row>
    <row r="1833">
      <c r="J1833">
        <f>IF(AND(ISNUMBER('Data'!$F$1834),'Data'!$F$1834&lt;&gt;999,'Data'!$F$1834&lt;&gt;""),'Data'!$F$1834,"")</f>
        <v/>
      </c>
      <c r="Z1833" t="n">
        <v>1</v>
      </c>
      <c r="AA1833">
        <f>IF(ISNUMBER('IN-CLASS_Lab Part C'!$J$1833),'IN-CLASS_Lab Part C'!$J$1833,NA())</f>
        <v/>
      </c>
    </row>
    <row r="1834">
      <c r="J1834">
        <f>IF(AND(ISNUMBER('Data'!$F$1835),'Data'!$F$1835&lt;&gt;999,'Data'!$F$1835&lt;&gt;""),'Data'!$F$1835,"")</f>
        <v/>
      </c>
      <c r="Z1834" t="n">
        <v>1</v>
      </c>
      <c r="AA1834">
        <f>IF(ISNUMBER('IN-CLASS_Lab Part C'!$J$1834),'IN-CLASS_Lab Part C'!$J$1834,NA())</f>
        <v/>
      </c>
    </row>
    <row r="1835">
      <c r="J1835">
        <f>IF(AND(ISNUMBER('Data'!$F$1836),'Data'!$F$1836&lt;&gt;999,'Data'!$F$1836&lt;&gt;""),'Data'!$F$1836,"")</f>
        <v/>
      </c>
      <c r="Z1835" t="n">
        <v>1</v>
      </c>
      <c r="AA1835">
        <f>IF(ISNUMBER('IN-CLASS_Lab Part C'!$J$1835),'IN-CLASS_Lab Part C'!$J$1835,NA())</f>
        <v/>
      </c>
    </row>
    <row r="1836">
      <c r="J1836">
        <f>IF(AND(ISNUMBER('Data'!$F$1837),'Data'!$F$1837&lt;&gt;999,'Data'!$F$1837&lt;&gt;""),'Data'!$F$1837,"")</f>
        <v/>
      </c>
      <c r="Z1836" t="n">
        <v>1</v>
      </c>
      <c r="AA1836">
        <f>IF(ISNUMBER('IN-CLASS_Lab Part C'!$J$1836),'IN-CLASS_Lab Part C'!$J$1836,NA())</f>
        <v/>
      </c>
    </row>
    <row r="1837">
      <c r="J1837">
        <f>IF(AND(ISNUMBER('Data'!$F$1838),'Data'!$F$1838&lt;&gt;999,'Data'!$F$1838&lt;&gt;""),'Data'!$F$1838,"")</f>
        <v/>
      </c>
      <c r="Z1837" t="n">
        <v>1</v>
      </c>
      <c r="AA1837">
        <f>IF(ISNUMBER('IN-CLASS_Lab Part C'!$J$1837),'IN-CLASS_Lab Part C'!$J$1837,NA())</f>
        <v/>
      </c>
    </row>
    <row r="1838">
      <c r="J1838">
        <f>IF(AND(ISNUMBER('Data'!$F$1839),'Data'!$F$1839&lt;&gt;999,'Data'!$F$1839&lt;&gt;""),'Data'!$F$1839,"")</f>
        <v/>
      </c>
      <c r="Z1838" t="n">
        <v>1</v>
      </c>
      <c r="AA1838">
        <f>IF(ISNUMBER('IN-CLASS_Lab Part C'!$J$1838),'IN-CLASS_Lab Part C'!$J$1838,NA())</f>
        <v/>
      </c>
    </row>
    <row r="1839">
      <c r="J1839">
        <f>IF(AND(ISNUMBER('Data'!$F$1840),'Data'!$F$1840&lt;&gt;999,'Data'!$F$1840&lt;&gt;""),'Data'!$F$1840,"")</f>
        <v/>
      </c>
      <c r="Z1839" t="n">
        <v>1</v>
      </c>
      <c r="AA1839">
        <f>IF(ISNUMBER('IN-CLASS_Lab Part C'!$J$1839),'IN-CLASS_Lab Part C'!$J$1839,NA())</f>
        <v/>
      </c>
    </row>
    <row r="1840">
      <c r="J1840">
        <f>IF(AND(ISNUMBER('Data'!$F$1841),'Data'!$F$1841&lt;&gt;999,'Data'!$F$1841&lt;&gt;""),'Data'!$F$1841,"")</f>
        <v/>
      </c>
      <c r="Z1840" t="n">
        <v>1</v>
      </c>
      <c r="AA1840">
        <f>IF(ISNUMBER('IN-CLASS_Lab Part C'!$J$1840),'IN-CLASS_Lab Part C'!$J$1840,NA())</f>
        <v/>
      </c>
    </row>
    <row r="1841">
      <c r="J1841">
        <f>IF(AND(ISNUMBER('Data'!$F$1842),'Data'!$F$1842&lt;&gt;999,'Data'!$F$1842&lt;&gt;""),'Data'!$F$1842,"")</f>
        <v/>
      </c>
      <c r="Z1841" t="n">
        <v>1</v>
      </c>
      <c r="AA1841">
        <f>IF(ISNUMBER('IN-CLASS_Lab Part C'!$J$1841),'IN-CLASS_Lab Part C'!$J$1841,NA())</f>
        <v/>
      </c>
    </row>
    <row r="1842">
      <c r="J1842">
        <f>IF(AND(ISNUMBER('Data'!$F$1843),'Data'!$F$1843&lt;&gt;999,'Data'!$F$1843&lt;&gt;""),'Data'!$F$1843,"")</f>
        <v/>
      </c>
      <c r="Z1842" t="n">
        <v>1</v>
      </c>
      <c r="AA1842">
        <f>IF(ISNUMBER('IN-CLASS_Lab Part C'!$J$1842),'IN-CLASS_Lab Part C'!$J$1842,NA())</f>
        <v/>
      </c>
    </row>
    <row r="1843">
      <c r="J1843">
        <f>IF(AND(ISNUMBER('Data'!$F$1844),'Data'!$F$1844&lt;&gt;999,'Data'!$F$1844&lt;&gt;""),'Data'!$F$1844,"")</f>
        <v/>
      </c>
      <c r="Z1843" t="n">
        <v>1</v>
      </c>
      <c r="AA1843">
        <f>IF(ISNUMBER('IN-CLASS_Lab Part C'!$J$1843),'IN-CLASS_Lab Part C'!$J$1843,NA())</f>
        <v/>
      </c>
    </row>
    <row r="1844">
      <c r="J1844">
        <f>IF(AND(ISNUMBER('Data'!$F$1845),'Data'!$F$1845&lt;&gt;999,'Data'!$F$1845&lt;&gt;""),'Data'!$F$1845,"")</f>
        <v/>
      </c>
      <c r="Z1844" t="n">
        <v>1</v>
      </c>
      <c r="AA1844">
        <f>IF(ISNUMBER('IN-CLASS_Lab Part C'!$J$1844),'IN-CLASS_Lab Part C'!$J$1844,NA())</f>
        <v/>
      </c>
    </row>
    <row r="1845">
      <c r="J1845">
        <f>IF(AND(ISNUMBER('Data'!$F$1846),'Data'!$F$1846&lt;&gt;999,'Data'!$F$1846&lt;&gt;""),'Data'!$F$1846,"")</f>
        <v/>
      </c>
      <c r="Z1845" t="n">
        <v>1</v>
      </c>
      <c r="AA1845">
        <f>IF(ISNUMBER('IN-CLASS_Lab Part C'!$J$1845),'IN-CLASS_Lab Part C'!$J$1845,NA())</f>
        <v/>
      </c>
    </row>
    <row r="1846">
      <c r="J1846">
        <f>IF(AND(ISNUMBER('Data'!$F$1847),'Data'!$F$1847&lt;&gt;999,'Data'!$F$1847&lt;&gt;""),'Data'!$F$1847,"")</f>
        <v/>
      </c>
      <c r="Z1846" t="n">
        <v>1</v>
      </c>
      <c r="AA1846">
        <f>IF(ISNUMBER('IN-CLASS_Lab Part C'!$J$1846),'IN-CLASS_Lab Part C'!$J$1846,NA())</f>
        <v/>
      </c>
    </row>
    <row r="1847">
      <c r="J1847">
        <f>IF(AND(ISNUMBER('Data'!$F$1848),'Data'!$F$1848&lt;&gt;999,'Data'!$F$1848&lt;&gt;""),'Data'!$F$1848,"")</f>
        <v/>
      </c>
      <c r="Z1847" t="n">
        <v>1</v>
      </c>
      <c r="AA1847">
        <f>IF(ISNUMBER('IN-CLASS_Lab Part C'!$J$1847),'IN-CLASS_Lab Part C'!$J$1847,NA())</f>
        <v/>
      </c>
    </row>
    <row r="1848">
      <c r="J1848">
        <f>IF(AND(ISNUMBER('Data'!$F$1849),'Data'!$F$1849&lt;&gt;999,'Data'!$F$1849&lt;&gt;""),'Data'!$F$1849,"")</f>
        <v/>
      </c>
      <c r="Z1848" t="n">
        <v>1</v>
      </c>
      <c r="AA1848">
        <f>IF(ISNUMBER('IN-CLASS_Lab Part C'!$J$1848),'IN-CLASS_Lab Part C'!$J$1848,NA())</f>
        <v/>
      </c>
    </row>
    <row r="1849">
      <c r="J1849">
        <f>IF(AND(ISNUMBER('Data'!$F$1850),'Data'!$F$1850&lt;&gt;999,'Data'!$F$1850&lt;&gt;""),'Data'!$F$1850,"")</f>
        <v/>
      </c>
      <c r="Z1849" t="n">
        <v>1</v>
      </c>
      <c r="AA1849">
        <f>IF(ISNUMBER('IN-CLASS_Lab Part C'!$J$1849),'IN-CLASS_Lab Part C'!$J$1849,NA())</f>
        <v/>
      </c>
    </row>
    <row r="1850">
      <c r="J1850">
        <f>IF(AND(ISNUMBER('Data'!$F$1851),'Data'!$F$1851&lt;&gt;999,'Data'!$F$1851&lt;&gt;""),'Data'!$F$1851,"")</f>
        <v/>
      </c>
      <c r="Z1850" t="n">
        <v>1</v>
      </c>
      <c r="AA1850">
        <f>IF(ISNUMBER('IN-CLASS_Lab Part C'!$J$1850),'IN-CLASS_Lab Part C'!$J$1850,NA())</f>
        <v/>
      </c>
    </row>
    <row r="1851">
      <c r="J1851">
        <f>IF(AND(ISNUMBER('Data'!$F$1852),'Data'!$F$1852&lt;&gt;999,'Data'!$F$1852&lt;&gt;""),'Data'!$F$1852,"")</f>
        <v/>
      </c>
      <c r="Z1851" t="n">
        <v>1</v>
      </c>
      <c r="AA1851">
        <f>IF(ISNUMBER('IN-CLASS_Lab Part C'!$J$1851),'IN-CLASS_Lab Part C'!$J$1851,NA())</f>
        <v/>
      </c>
    </row>
    <row r="1852">
      <c r="J1852">
        <f>IF(AND(ISNUMBER('Data'!$F$1853),'Data'!$F$1853&lt;&gt;999,'Data'!$F$1853&lt;&gt;""),'Data'!$F$1853,"")</f>
        <v/>
      </c>
      <c r="Z1852" t="n">
        <v>1</v>
      </c>
      <c r="AA1852">
        <f>IF(ISNUMBER('IN-CLASS_Lab Part C'!$J$1852),'IN-CLASS_Lab Part C'!$J$1852,NA())</f>
        <v/>
      </c>
    </row>
    <row r="1853">
      <c r="J1853">
        <f>IF(AND(ISNUMBER('Data'!$F$1854),'Data'!$F$1854&lt;&gt;999,'Data'!$F$1854&lt;&gt;""),'Data'!$F$1854,"")</f>
        <v/>
      </c>
      <c r="Z1853" t="n">
        <v>1</v>
      </c>
      <c r="AA1853">
        <f>IF(ISNUMBER('IN-CLASS_Lab Part C'!$J$1853),'IN-CLASS_Lab Part C'!$J$1853,NA())</f>
        <v/>
      </c>
    </row>
    <row r="1854">
      <c r="J1854">
        <f>IF(AND(ISNUMBER('Data'!$F$1855),'Data'!$F$1855&lt;&gt;999,'Data'!$F$1855&lt;&gt;""),'Data'!$F$1855,"")</f>
        <v/>
      </c>
      <c r="Z1854" t="n">
        <v>1</v>
      </c>
      <c r="AA1854">
        <f>IF(ISNUMBER('IN-CLASS_Lab Part C'!$J$1854),'IN-CLASS_Lab Part C'!$J$1854,NA())</f>
        <v/>
      </c>
    </row>
    <row r="1855">
      <c r="J1855">
        <f>IF(AND(ISNUMBER('Data'!$F$1856),'Data'!$F$1856&lt;&gt;999,'Data'!$F$1856&lt;&gt;""),'Data'!$F$1856,"")</f>
        <v/>
      </c>
      <c r="Z1855" t="n">
        <v>1</v>
      </c>
      <c r="AA1855">
        <f>IF(ISNUMBER('IN-CLASS_Lab Part C'!$J$1855),'IN-CLASS_Lab Part C'!$J$1855,NA())</f>
        <v/>
      </c>
    </row>
    <row r="1856">
      <c r="J1856">
        <f>IF(AND(ISNUMBER('Data'!$F$1857),'Data'!$F$1857&lt;&gt;999,'Data'!$F$1857&lt;&gt;""),'Data'!$F$1857,"")</f>
        <v/>
      </c>
      <c r="Z1856" t="n">
        <v>1</v>
      </c>
      <c r="AA1856">
        <f>IF(ISNUMBER('IN-CLASS_Lab Part C'!$J$1856),'IN-CLASS_Lab Part C'!$J$1856,NA())</f>
        <v/>
      </c>
    </row>
    <row r="1857">
      <c r="J1857">
        <f>IF(AND(ISNUMBER('Data'!$F$1858),'Data'!$F$1858&lt;&gt;999,'Data'!$F$1858&lt;&gt;""),'Data'!$F$1858,"")</f>
        <v/>
      </c>
      <c r="Z1857" t="n">
        <v>1</v>
      </c>
      <c r="AA1857">
        <f>IF(ISNUMBER('IN-CLASS_Lab Part C'!$J$1857),'IN-CLASS_Lab Part C'!$J$1857,NA())</f>
        <v/>
      </c>
    </row>
    <row r="1858">
      <c r="J1858">
        <f>IF(AND(ISNUMBER('Data'!$F$1859),'Data'!$F$1859&lt;&gt;999,'Data'!$F$1859&lt;&gt;""),'Data'!$F$1859,"")</f>
        <v/>
      </c>
      <c r="Z1858" t="n">
        <v>1</v>
      </c>
      <c r="AA1858">
        <f>IF(ISNUMBER('IN-CLASS_Lab Part C'!$J$1858),'IN-CLASS_Lab Part C'!$J$1858,NA())</f>
        <v/>
      </c>
    </row>
    <row r="1859">
      <c r="J1859">
        <f>IF(AND(ISNUMBER('Data'!$F$1860),'Data'!$F$1860&lt;&gt;999,'Data'!$F$1860&lt;&gt;""),'Data'!$F$1860,"")</f>
        <v/>
      </c>
      <c r="Z1859" t="n">
        <v>1</v>
      </c>
      <c r="AA1859">
        <f>IF(ISNUMBER('IN-CLASS_Lab Part C'!$J$1859),'IN-CLASS_Lab Part C'!$J$1859,NA())</f>
        <v/>
      </c>
    </row>
    <row r="1860">
      <c r="J1860">
        <f>IF(AND(ISNUMBER('Data'!$F$1861),'Data'!$F$1861&lt;&gt;999,'Data'!$F$1861&lt;&gt;""),'Data'!$F$1861,"")</f>
        <v/>
      </c>
      <c r="Z1860" t="n">
        <v>1</v>
      </c>
      <c r="AA1860">
        <f>IF(ISNUMBER('IN-CLASS_Lab Part C'!$J$1860),'IN-CLASS_Lab Part C'!$J$1860,NA())</f>
        <v/>
      </c>
    </row>
    <row r="1861">
      <c r="J1861">
        <f>IF(AND(ISNUMBER('Data'!$F$1862),'Data'!$F$1862&lt;&gt;999,'Data'!$F$1862&lt;&gt;""),'Data'!$F$1862,"")</f>
        <v/>
      </c>
      <c r="Z1861" t="n">
        <v>1</v>
      </c>
      <c r="AA1861">
        <f>IF(ISNUMBER('IN-CLASS_Lab Part C'!$J$1861),'IN-CLASS_Lab Part C'!$J$1861,NA())</f>
        <v/>
      </c>
    </row>
    <row r="1862">
      <c r="J1862">
        <f>IF(AND(ISNUMBER('Data'!$F$1863),'Data'!$F$1863&lt;&gt;999,'Data'!$F$1863&lt;&gt;""),'Data'!$F$1863,"")</f>
        <v/>
      </c>
      <c r="Z1862" t="n">
        <v>1</v>
      </c>
      <c r="AA1862">
        <f>IF(ISNUMBER('IN-CLASS_Lab Part C'!$J$1862),'IN-CLASS_Lab Part C'!$J$1862,NA())</f>
        <v/>
      </c>
    </row>
    <row r="1863">
      <c r="J1863">
        <f>IF(AND(ISNUMBER('Data'!$F$1864),'Data'!$F$1864&lt;&gt;999,'Data'!$F$1864&lt;&gt;""),'Data'!$F$1864,"")</f>
        <v/>
      </c>
      <c r="Z1863" t="n">
        <v>1</v>
      </c>
      <c r="AA1863">
        <f>IF(ISNUMBER('IN-CLASS_Lab Part C'!$J$1863),'IN-CLASS_Lab Part C'!$J$1863,NA())</f>
        <v/>
      </c>
    </row>
    <row r="1864">
      <c r="J1864">
        <f>IF(AND(ISNUMBER('Data'!$F$1865),'Data'!$F$1865&lt;&gt;999,'Data'!$F$1865&lt;&gt;""),'Data'!$F$1865,"")</f>
        <v/>
      </c>
      <c r="Z1864" t="n">
        <v>1</v>
      </c>
      <c r="AA1864">
        <f>IF(ISNUMBER('IN-CLASS_Lab Part C'!$J$1864),'IN-CLASS_Lab Part C'!$J$1864,NA())</f>
        <v/>
      </c>
    </row>
    <row r="1865">
      <c r="J1865">
        <f>IF(AND(ISNUMBER('Data'!$F$1866),'Data'!$F$1866&lt;&gt;999,'Data'!$F$1866&lt;&gt;""),'Data'!$F$1866,"")</f>
        <v/>
      </c>
      <c r="Z1865" t="n">
        <v>1</v>
      </c>
      <c r="AA1865">
        <f>IF(ISNUMBER('IN-CLASS_Lab Part C'!$J$1865),'IN-CLASS_Lab Part C'!$J$1865,NA())</f>
        <v/>
      </c>
    </row>
    <row r="1866">
      <c r="J1866">
        <f>IF(AND(ISNUMBER('Data'!$F$1867),'Data'!$F$1867&lt;&gt;999,'Data'!$F$1867&lt;&gt;""),'Data'!$F$1867,"")</f>
        <v/>
      </c>
      <c r="Z1866" t="n">
        <v>1</v>
      </c>
      <c r="AA1866">
        <f>IF(ISNUMBER('IN-CLASS_Lab Part C'!$J$1866),'IN-CLASS_Lab Part C'!$J$1866,NA())</f>
        <v/>
      </c>
    </row>
    <row r="1867">
      <c r="J1867">
        <f>IF(AND(ISNUMBER('Data'!$F$1868),'Data'!$F$1868&lt;&gt;999,'Data'!$F$1868&lt;&gt;""),'Data'!$F$1868,"")</f>
        <v/>
      </c>
      <c r="Z1867" t="n">
        <v>1</v>
      </c>
      <c r="AA1867">
        <f>IF(ISNUMBER('IN-CLASS_Lab Part C'!$J$1867),'IN-CLASS_Lab Part C'!$J$1867,NA())</f>
        <v/>
      </c>
    </row>
    <row r="1868">
      <c r="J1868">
        <f>IF(AND(ISNUMBER('Data'!$F$1869),'Data'!$F$1869&lt;&gt;999,'Data'!$F$1869&lt;&gt;""),'Data'!$F$1869,"")</f>
        <v/>
      </c>
      <c r="Z1868" t="n">
        <v>1</v>
      </c>
      <c r="AA1868">
        <f>IF(ISNUMBER('IN-CLASS_Lab Part C'!$J$1868),'IN-CLASS_Lab Part C'!$J$1868,NA())</f>
        <v/>
      </c>
    </row>
    <row r="1869">
      <c r="J1869">
        <f>IF(AND(ISNUMBER('Data'!$F$1870),'Data'!$F$1870&lt;&gt;999,'Data'!$F$1870&lt;&gt;""),'Data'!$F$1870,"")</f>
        <v/>
      </c>
      <c r="Z1869" t="n">
        <v>1</v>
      </c>
      <c r="AA1869">
        <f>IF(ISNUMBER('IN-CLASS_Lab Part C'!$J$1869),'IN-CLASS_Lab Part C'!$J$1869,NA())</f>
        <v/>
      </c>
    </row>
    <row r="1870">
      <c r="J1870">
        <f>IF(AND(ISNUMBER('Data'!$F$1871),'Data'!$F$1871&lt;&gt;999,'Data'!$F$1871&lt;&gt;""),'Data'!$F$1871,"")</f>
        <v/>
      </c>
      <c r="Z1870" t="n">
        <v>1</v>
      </c>
      <c r="AA1870">
        <f>IF(ISNUMBER('IN-CLASS_Lab Part C'!$J$1870),'IN-CLASS_Lab Part C'!$J$1870,NA())</f>
        <v/>
      </c>
    </row>
    <row r="1871">
      <c r="J1871">
        <f>IF(AND(ISNUMBER('Data'!$F$1872),'Data'!$F$1872&lt;&gt;999,'Data'!$F$1872&lt;&gt;""),'Data'!$F$1872,"")</f>
        <v/>
      </c>
      <c r="Z1871" t="n">
        <v>1</v>
      </c>
      <c r="AA1871">
        <f>IF(ISNUMBER('IN-CLASS_Lab Part C'!$J$1871),'IN-CLASS_Lab Part C'!$J$1871,NA())</f>
        <v/>
      </c>
    </row>
    <row r="1872">
      <c r="J1872">
        <f>IF(AND(ISNUMBER('Data'!$F$1873),'Data'!$F$1873&lt;&gt;999,'Data'!$F$1873&lt;&gt;""),'Data'!$F$1873,"")</f>
        <v/>
      </c>
      <c r="Z1872" t="n">
        <v>1</v>
      </c>
      <c r="AA1872">
        <f>IF(ISNUMBER('IN-CLASS_Lab Part C'!$J$1872),'IN-CLASS_Lab Part C'!$J$1872,NA())</f>
        <v/>
      </c>
    </row>
    <row r="1873">
      <c r="J1873">
        <f>IF(AND(ISNUMBER('Data'!$F$1874),'Data'!$F$1874&lt;&gt;999,'Data'!$F$1874&lt;&gt;""),'Data'!$F$1874,"")</f>
        <v/>
      </c>
      <c r="Z1873" t="n">
        <v>1</v>
      </c>
      <c r="AA1873">
        <f>IF(ISNUMBER('IN-CLASS_Lab Part C'!$J$1873),'IN-CLASS_Lab Part C'!$J$1873,NA())</f>
        <v/>
      </c>
    </row>
    <row r="1874">
      <c r="J1874">
        <f>IF(AND(ISNUMBER('Data'!$F$1875),'Data'!$F$1875&lt;&gt;999,'Data'!$F$1875&lt;&gt;""),'Data'!$F$1875,"")</f>
        <v/>
      </c>
      <c r="Z1874" t="n">
        <v>1</v>
      </c>
      <c r="AA1874">
        <f>IF(ISNUMBER('IN-CLASS_Lab Part C'!$J$1874),'IN-CLASS_Lab Part C'!$J$1874,NA())</f>
        <v/>
      </c>
    </row>
    <row r="1875">
      <c r="J1875">
        <f>IF(AND(ISNUMBER('Data'!$F$1876),'Data'!$F$1876&lt;&gt;999,'Data'!$F$1876&lt;&gt;""),'Data'!$F$1876,"")</f>
        <v/>
      </c>
      <c r="Z1875" t="n">
        <v>1</v>
      </c>
      <c r="AA1875">
        <f>IF(ISNUMBER('IN-CLASS_Lab Part C'!$J$1875),'IN-CLASS_Lab Part C'!$J$1875,NA())</f>
        <v/>
      </c>
    </row>
    <row r="1876">
      <c r="J1876">
        <f>IF(AND(ISNUMBER('Data'!$F$1877),'Data'!$F$1877&lt;&gt;999,'Data'!$F$1877&lt;&gt;""),'Data'!$F$1877,"")</f>
        <v/>
      </c>
      <c r="Z1876" t="n">
        <v>1</v>
      </c>
      <c r="AA1876">
        <f>IF(ISNUMBER('IN-CLASS_Lab Part C'!$J$1876),'IN-CLASS_Lab Part C'!$J$1876,NA())</f>
        <v/>
      </c>
    </row>
    <row r="1877">
      <c r="J1877">
        <f>IF(AND(ISNUMBER('Data'!$F$1878),'Data'!$F$1878&lt;&gt;999,'Data'!$F$1878&lt;&gt;""),'Data'!$F$1878,"")</f>
        <v/>
      </c>
      <c r="Z1877" t="n">
        <v>1</v>
      </c>
      <c r="AA1877">
        <f>IF(ISNUMBER('IN-CLASS_Lab Part C'!$J$1877),'IN-CLASS_Lab Part C'!$J$1877,NA())</f>
        <v/>
      </c>
    </row>
    <row r="1878">
      <c r="J1878">
        <f>IF(AND(ISNUMBER('Data'!$F$1879),'Data'!$F$1879&lt;&gt;999,'Data'!$F$1879&lt;&gt;""),'Data'!$F$1879,"")</f>
        <v/>
      </c>
      <c r="Z1878" t="n">
        <v>1</v>
      </c>
      <c r="AA1878">
        <f>IF(ISNUMBER('IN-CLASS_Lab Part C'!$J$1878),'IN-CLASS_Lab Part C'!$J$1878,NA())</f>
        <v/>
      </c>
    </row>
    <row r="1879">
      <c r="J1879">
        <f>IF(AND(ISNUMBER('Data'!$F$1880),'Data'!$F$1880&lt;&gt;999,'Data'!$F$1880&lt;&gt;""),'Data'!$F$1880,"")</f>
        <v/>
      </c>
      <c r="Z1879" t="n">
        <v>1</v>
      </c>
      <c r="AA1879">
        <f>IF(ISNUMBER('IN-CLASS_Lab Part C'!$J$1879),'IN-CLASS_Lab Part C'!$J$1879,NA())</f>
        <v/>
      </c>
    </row>
    <row r="1880">
      <c r="J1880">
        <f>IF(AND(ISNUMBER('Data'!$F$1881),'Data'!$F$1881&lt;&gt;999,'Data'!$F$1881&lt;&gt;""),'Data'!$F$1881,"")</f>
        <v/>
      </c>
      <c r="Z1880" t="n">
        <v>1</v>
      </c>
      <c r="AA1880">
        <f>IF(ISNUMBER('IN-CLASS_Lab Part C'!$J$1880),'IN-CLASS_Lab Part C'!$J$1880,NA())</f>
        <v/>
      </c>
    </row>
    <row r="1881">
      <c r="J1881">
        <f>IF(AND(ISNUMBER('Data'!$F$1882),'Data'!$F$1882&lt;&gt;999,'Data'!$F$1882&lt;&gt;""),'Data'!$F$1882,"")</f>
        <v/>
      </c>
      <c r="Z1881" t="n">
        <v>1</v>
      </c>
      <c r="AA1881">
        <f>IF(ISNUMBER('IN-CLASS_Lab Part C'!$J$1881),'IN-CLASS_Lab Part C'!$J$1881,NA())</f>
        <v/>
      </c>
    </row>
    <row r="1882">
      <c r="J1882">
        <f>IF(AND(ISNUMBER('Data'!$F$1883),'Data'!$F$1883&lt;&gt;999,'Data'!$F$1883&lt;&gt;""),'Data'!$F$1883,"")</f>
        <v/>
      </c>
      <c r="Z1882" t="n">
        <v>1</v>
      </c>
      <c r="AA1882">
        <f>IF(ISNUMBER('IN-CLASS_Lab Part C'!$J$1882),'IN-CLASS_Lab Part C'!$J$1882,NA())</f>
        <v/>
      </c>
    </row>
    <row r="1883">
      <c r="J1883">
        <f>IF(AND(ISNUMBER('Data'!$F$1884),'Data'!$F$1884&lt;&gt;999,'Data'!$F$1884&lt;&gt;""),'Data'!$F$1884,"")</f>
        <v/>
      </c>
      <c r="Z1883" t="n">
        <v>1</v>
      </c>
      <c r="AA1883">
        <f>IF(ISNUMBER('IN-CLASS_Lab Part C'!$J$1883),'IN-CLASS_Lab Part C'!$J$1883,NA())</f>
        <v/>
      </c>
    </row>
    <row r="1884">
      <c r="J1884">
        <f>IF(AND(ISNUMBER('Data'!$F$1885),'Data'!$F$1885&lt;&gt;999,'Data'!$F$1885&lt;&gt;""),'Data'!$F$1885,"")</f>
        <v/>
      </c>
      <c r="Z1884" t="n">
        <v>1</v>
      </c>
      <c r="AA1884">
        <f>IF(ISNUMBER('IN-CLASS_Lab Part C'!$J$1884),'IN-CLASS_Lab Part C'!$J$1884,NA())</f>
        <v/>
      </c>
    </row>
    <row r="1885">
      <c r="J1885">
        <f>IF(AND(ISNUMBER('Data'!$F$1886),'Data'!$F$1886&lt;&gt;999,'Data'!$F$1886&lt;&gt;""),'Data'!$F$1886,"")</f>
        <v/>
      </c>
      <c r="Z1885" t="n">
        <v>1</v>
      </c>
      <c r="AA1885">
        <f>IF(ISNUMBER('IN-CLASS_Lab Part C'!$J$1885),'IN-CLASS_Lab Part C'!$J$1885,NA())</f>
        <v/>
      </c>
    </row>
    <row r="1886">
      <c r="J1886">
        <f>IF(AND(ISNUMBER('Data'!$F$1887),'Data'!$F$1887&lt;&gt;999,'Data'!$F$1887&lt;&gt;""),'Data'!$F$1887,"")</f>
        <v/>
      </c>
      <c r="Z1886" t="n">
        <v>1</v>
      </c>
      <c r="AA1886">
        <f>IF(ISNUMBER('IN-CLASS_Lab Part C'!$J$1886),'IN-CLASS_Lab Part C'!$J$1886,NA())</f>
        <v/>
      </c>
    </row>
    <row r="1887">
      <c r="J1887">
        <f>IF(AND(ISNUMBER('Data'!$F$1888),'Data'!$F$1888&lt;&gt;999,'Data'!$F$1888&lt;&gt;""),'Data'!$F$1888,"")</f>
        <v/>
      </c>
      <c r="Z1887" t="n">
        <v>1</v>
      </c>
      <c r="AA1887">
        <f>IF(ISNUMBER('IN-CLASS_Lab Part C'!$J$1887),'IN-CLASS_Lab Part C'!$J$1887,NA())</f>
        <v/>
      </c>
    </row>
    <row r="1888">
      <c r="J1888">
        <f>IF(AND(ISNUMBER('Data'!$F$1889),'Data'!$F$1889&lt;&gt;999,'Data'!$F$1889&lt;&gt;""),'Data'!$F$1889,"")</f>
        <v/>
      </c>
      <c r="Z1888" t="n">
        <v>1</v>
      </c>
      <c r="AA1888">
        <f>IF(ISNUMBER('IN-CLASS_Lab Part C'!$J$1888),'IN-CLASS_Lab Part C'!$J$1888,NA())</f>
        <v/>
      </c>
    </row>
    <row r="1889">
      <c r="J1889">
        <f>IF(AND(ISNUMBER('Data'!$F$1890),'Data'!$F$1890&lt;&gt;999,'Data'!$F$1890&lt;&gt;""),'Data'!$F$1890,"")</f>
        <v/>
      </c>
      <c r="Z1889" t="n">
        <v>1</v>
      </c>
      <c r="AA1889">
        <f>IF(ISNUMBER('IN-CLASS_Lab Part C'!$J$1889),'IN-CLASS_Lab Part C'!$J$1889,NA())</f>
        <v/>
      </c>
    </row>
    <row r="1890">
      <c r="J1890">
        <f>IF(AND(ISNUMBER('Data'!$F$1891),'Data'!$F$1891&lt;&gt;999,'Data'!$F$1891&lt;&gt;""),'Data'!$F$1891,"")</f>
        <v/>
      </c>
      <c r="Z1890" t="n">
        <v>1</v>
      </c>
      <c r="AA1890">
        <f>IF(ISNUMBER('IN-CLASS_Lab Part C'!$J$1890),'IN-CLASS_Lab Part C'!$J$1890,NA())</f>
        <v/>
      </c>
    </row>
    <row r="1891">
      <c r="J1891">
        <f>IF(AND(ISNUMBER('Data'!$F$1892),'Data'!$F$1892&lt;&gt;999,'Data'!$F$1892&lt;&gt;""),'Data'!$F$1892,"")</f>
        <v/>
      </c>
      <c r="Z1891" t="n">
        <v>1</v>
      </c>
      <c r="AA1891">
        <f>IF(ISNUMBER('IN-CLASS_Lab Part C'!$J$1891),'IN-CLASS_Lab Part C'!$J$1891,NA())</f>
        <v/>
      </c>
    </row>
    <row r="1892">
      <c r="J1892">
        <f>IF(AND(ISNUMBER('Data'!$F$1893),'Data'!$F$1893&lt;&gt;999,'Data'!$F$1893&lt;&gt;""),'Data'!$F$1893,"")</f>
        <v/>
      </c>
      <c r="Z1892" t="n">
        <v>1</v>
      </c>
      <c r="AA1892">
        <f>IF(ISNUMBER('IN-CLASS_Lab Part C'!$J$1892),'IN-CLASS_Lab Part C'!$J$1892,NA())</f>
        <v/>
      </c>
    </row>
    <row r="1893">
      <c r="J1893">
        <f>IF(AND(ISNUMBER('Data'!$F$1894),'Data'!$F$1894&lt;&gt;999,'Data'!$F$1894&lt;&gt;""),'Data'!$F$1894,"")</f>
        <v/>
      </c>
      <c r="Z1893" t="n">
        <v>1</v>
      </c>
      <c r="AA1893">
        <f>IF(ISNUMBER('IN-CLASS_Lab Part C'!$J$1893),'IN-CLASS_Lab Part C'!$J$1893,NA())</f>
        <v/>
      </c>
    </row>
    <row r="1894">
      <c r="J1894">
        <f>IF(AND(ISNUMBER('Data'!$F$1895),'Data'!$F$1895&lt;&gt;999,'Data'!$F$1895&lt;&gt;""),'Data'!$F$1895,"")</f>
        <v/>
      </c>
      <c r="Z1894" t="n">
        <v>1</v>
      </c>
      <c r="AA1894">
        <f>IF(ISNUMBER('IN-CLASS_Lab Part C'!$J$1894),'IN-CLASS_Lab Part C'!$J$1894,NA())</f>
        <v/>
      </c>
    </row>
    <row r="1895">
      <c r="J1895">
        <f>IF(AND(ISNUMBER('Data'!$F$1896),'Data'!$F$1896&lt;&gt;999,'Data'!$F$1896&lt;&gt;""),'Data'!$F$1896,"")</f>
        <v/>
      </c>
      <c r="Z1895" t="n">
        <v>1</v>
      </c>
      <c r="AA1895">
        <f>IF(ISNUMBER('IN-CLASS_Lab Part C'!$J$1895),'IN-CLASS_Lab Part C'!$J$1895,NA())</f>
        <v/>
      </c>
    </row>
    <row r="1896">
      <c r="J1896">
        <f>IF(AND(ISNUMBER('Data'!$F$1897),'Data'!$F$1897&lt;&gt;999,'Data'!$F$1897&lt;&gt;""),'Data'!$F$1897,"")</f>
        <v/>
      </c>
      <c r="Z1896" t="n">
        <v>1</v>
      </c>
      <c r="AA1896">
        <f>IF(ISNUMBER('IN-CLASS_Lab Part C'!$J$1896),'IN-CLASS_Lab Part C'!$J$1896,NA())</f>
        <v/>
      </c>
    </row>
    <row r="1897">
      <c r="J1897">
        <f>IF(AND(ISNUMBER('Data'!$F$1898),'Data'!$F$1898&lt;&gt;999,'Data'!$F$1898&lt;&gt;""),'Data'!$F$1898,"")</f>
        <v/>
      </c>
      <c r="Z1897" t="n">
        <v>1</v>
      </c>
      <c r="AA1897">
        <f>IF(ISNUMBER('IN-CLASS_Lab Part C'!$J$1897),'IN-CLASS_Lab Part C'!$J$1897,NA())</f>
        <v/>
      </c>
    </row>
    <row r="1898">
      <c r="J1898">
        <f>IF(AND(ISNUMBER('Data'!$F$1899),'Data'!$F$1899&lt;&gt;999,'Data'!$F$1899&lt;&gt;""),'Data'!$F$1899,"")</f>
        <v/>
      </c>
      <c r="Z1898" t="n">
        <v>1</v>
      </c>
      <c r="AA1898">
        <f>IF(ISNUMBER('IN-CLASS_Lab Part C'!$J$1898),'IN-CLASS_Lab Part C'!$J$1898,NA())</f>
        <v/>
      </c>
    </row>
    <row r="1899">
      <c r="J1899">
        <f>IF(AND(ISNUMBER('Data'!$F$1900),'Data'!$F$1900&lt;&gt;999,'Data'!$F$1900&lt;&gt;""),'Data'!$F$1900,"")</f>
        <v/>
      </c>
      <c r="Z1899" t="n">
        <v>1</v>
      </c>
      <c r="AA1899">
        <f>IF(ISNUMBER('IN-CLASS_Lab Part C'!$J$1899),'IN-CLASS_Lab Part C'!$J$1899,NA())</f>
        <v/>
      </c>
    </row>
    <row r="1900">
      <c r="J1900">
        <f>IF(AND(ISNUMBER('Data'!$F$1901),'Data'!$F$1901&lt;&gt;999,'Data'!$F$1901&lt;&gt;""),'Data'!$F$1901,"")</f>
        <v/>
      </c>
      <c r="Z1900" t="n">
        <v>1</v>
      </c>
      <c r="AA1900">
        <f>IF(ISNUMBER('IN-CLASS_Lab Part C'!$J$1900),'IN-CLASS_Lab Part C'!$J$1900,NA())</f>
        <v/>
      </c>
    </row>
    <row r="1901">
      <c r="J1901">
        <f>IF(AND(ISNUMBER('Data'!$F$1902),'Data'!$F$1902&lt;&gt;999,'Data'!$F$1902&lt;&gt;""),'Data'!$F$1902,"")</f>
        <v/>
      </c>
      <c r="Z1901" t="n">
        <v>1</v>
      </c>
      <c r="AA1901">
        <f>IF(ISNUMBER('IN-CLASS_Lab Part C'!$J$1901),'IN-CLASS_Lab Part C'!$J$1901,NA())</f>
        <v/>
      </c>
    </row>
    <row r="1902">
      <c r="J1902">
        <f>IF(AND(ISNUMBER('Data'!$F$1903),'Data'!$F$1903&lt;&gt;999,'Data'!$F$1903&lt;&gt;""),'Data'!$F$1903,"")</f>
        <v/>
      </c>
      <c r="Z1902" t="n">
        <v>1</v>
      </c>
      <c r="AA1902">
        <f>IF(ISNUMBER('IN-CLASS_Lab Part C'!$J$1902),'IN-CLASS_Lab Part C'!$J$1902,NA())</f>
        <v/>
      </c>
    </row>
    <row r="1903">
      <c r="J1903">
        <f>IF(AND(ISNUMBER('Data'!$F$1904),'Data'!$F$1904&lt;&gt;999,'Data'!$F$1904&lt;&gt;""),'Data'!$F$1904,"")</f>
        <v/>
      </c>
      <c r="Z1903" t="n">
        <v>1</v>
      </c>
      <c r="AA1903">
        <f>IF(ISNUMBER('IN-CLASS_Lab Part C'!$J$1903),'IN-CLASS_Lab Part C'!$J$1903,NA())</f>
        <v/>
      </c>
    </row>
    <row r="1904">
      <c r="J1904">
        <f>IF(AND(ISNUMBER('Data'!$F$1905),'Data'!$F$1905&lt;&gt;999,'Data'!$F$1905&lt;&gt;""),'Data'!$F$1905,"")</f>
        <v/>
      </c>
      <c r="Z1904" t="n">
        <v>1</v>
      </c>
      <c r="AA1904">
        <f>IF(ISNUMBER('IN-CLASS_Lab Part C'!$J$1904),'IN-CLASS_Lab Part C'!$J$1904,NA())</f>
        <v/>
      </c>
    </row>
    <row r="1905">
      <c r="J1905">
        <f>IF(AND(ISNUMBER('Data'!$F$1906),'Data'!$F$1906&lt;&gt;999,'Data'!$F$1906&lt;&gt;""),'Data'!$F$1906,"")</f>
        <v/>
      </c>
      <c r="Z1905" t="n">
        <v>1</v>
      </c>
      <c r="AA1905">
        <f>IF(ISNUMBER('IN-CLASS_Lab Part C'!$J$1905),'IN-CLASS_Lab Part C'!$J$1905,NA())</f>
        <v/>
      </c>
    </row>
    <row r="1906">
      <c r="J1906">
        <f>IF(AND(ISNUMBER('Data'!$F$1907),'Data'!$F$1907&lt;&gt;999,'Data'!$F$1907&lt;&gt;""),'Data'!$F$1907,"")</f>
        <v/>
      </c>
      <c r="Z1906" t="n">
        <v>1</v>
      </c>
      <c r="AA1906">
        <f>IF(ISNUMBER('IN-CLASS_Lab Part C'!$J$1906),'IN-CLASS_Lab Part C'!$J$1906,NA())</f>
        <v/>
      </c>
    </row>
    <row r="1907">
      <c r="J1907">
        <f>IF(AND(ISNUMBER('Data'!$F$1908),'Data'!$F$1908&lt;&gt;999,'Data'!$F$1908&lt;&gt;""),'Data'!$F$1908,"")</f>
        <v/>
      </c>
      <c r="Z1907" t="n">
        <v>1</v>
      </c>
      <c r="AA1907">
        <f>IF(ISNUMBER('IN-CLASS_Lab Part C'!$J$1907),'IN-CLASS_Lab Part C'!$J$1907,NA())</f>
        <v/>
      </c>
    </row>
    <row r="1908">
      <c r="J1908">
        <f>IF(AND(ISNUMBER('Data'!$F$1909),'Data'!$F$1909&lt;&gt;999,'Data'!$F$1909&lt;&gt;""),'Data'!$F$1909,"")</f>
        <v/>
      </c>
      <c r="Z1908" t="n">
        <v>1</v>
      </c>
      <c r="AA1908">
        <f>IF(ISNUMBER('IN-CLASS_Lab Part C'!$J$1908),'IN-CLASS_Lab Part C'!$J$1908,NA())</f>
        <v/>
      </c>
    </row>
    <row r="1909">
      <c r="J1909">
        <f>IF(AND(ISNUMBER('Data'!$F$1910),'Data'!$F$1910&lt;&gt;999,'Data'!$F$1910&lt;&gt;""),'Data'!$F$1910,"")</f>
        <v/>
      </c>
      <c r="Z1909" t="n">
        <v>1</v>
      </c>
      <c r="AA1909">
        <f>IF(ISNUMBER('IN-CLASS_Lab Part C'!$J$1909),'IN-CLASS_Lab Part C'!$J$1909,NA())</f>
        <v/>
      </c>
    </row>
    <row r="1910">
      <c r="J1910">
        <f>IF(AND(ISNUMBER('Data'!$F$1911),'Data'!$F$1911&lt;&gt;999,'Data'!$F$1911&lt;&gt;""),'Data'!$F$1911,"")</f>
        <v/>
      </c>
      <c r="Z1910" t="n">
        <v>1</v>
      </c>
      <c r="AA1910">
        <f>IF(ISNUMBER('IN-CLASS_Lab Part C'!$J$1910),'IN-CLASS_Lab Part C'!$J$1910,NA())</f>
        <v/>
      </c>
    </row>
    <row r="1911">
      <c r="J1911">
        <f>IF(AND(ISNUMBER('Data'!$F$1912),'Data'!$F$1912&lt;&gt;999,'Data'!$F$1912&lt;&gt;""),'Data'!$F$1912,"")</f>
        <v/>
      </c>
      <c r="Z1911" t="n">
        <v>1</v>
      </c>
      <c r="AA1911">
        <f>IF(ISNUMBER('IN-CLASS_Lab Part C'!$J$1911),'IN-CLASS_Lab Part C'!$J$1911,NA())</f>
        <v/>
      </c>
    </row>
    <row r="1912">
      <c r="J1912">
        <f>IF(AND(ISNUMBER('Data'!$F$1913),'Data'!$F$1913&lt;&gt;999,'Data'!$F$1913&lt;&gt;""),'Data'!$F$1913,"")</f>
        <v/>
      </c>
      <c r="Z1912" t="n">
        <v>1</v>
      </c>
      <c r="AA1912">
        <f>IF(ISNUMBER('IN-CLASS_Lab Part C'!$J$1912),'IN-CLASS_Lab Part C'!$J$1912,NA())</f>
        <v/>
      </c>
    </row>
    <row r="1913">
      <c r="J1913">
        <f>IF(AND(ISNUMBER('Data'!$F$1914),'Data'!$F$1914&lt;&gt;999,'Data'!$F$1914&lt;&gt;""),'Data'!$F$1914,"")</f>
        <v/>
      </c>
      <c r="Z1913" t="n">
        <v>1</v>
      </c>
      <c r="AA1913">
        <f>IF(ISNUMBER('IN-CLASS_Lab Part C'!$J$1913),'IN-CLASS_Lab Part C'!$J$1913,NA())</f>
        <v/>
      </c>
    </row>
    <row r="1914">
      <c r="J1914">
        <f>IF(AND(ISNUMBER('Data'!$F$1915),'Data'!$F$1915&lt;&gt;999,'Data'!$F$1915&lt;&gt;""),'Data'!$F$1915,"")</f>
        <v/>
      </c>
      <c r="Z1914" t="n">
        <v>1</v>
      </c>
      <c r="AA1914">
        <f>IF(ISNUMBER('IN-CLASS_Lab Part C'!$J$1914),'IN-CLASS_Lab Part C'!$J$1914,NA())</f>
        <v/>
      </c>
    </row>
    <row r="1915">
      <c r="J1915">
        <f>IF(AND(ISNUMBER('Data'!$F$1916),'Data'!$F$1916&lt;&gt;999,'Data'!$F$1916&lt;&gt;""),'Data'!$F$1916,"")</f>
        <v/>
      </c>
      <c r="Z1915" t="n">
        <v>1</v>
      </c>
      <c r="AA1915">
        <f>IF(ISNUMBER('IN-CLASS_Lab Part C'!$J$1915),'IN-CLASS_Lab Part C'!$J$1915,NA())</f>
        <v/>
      </c>
    </row>
    <row r="1916">
      <c r="J1916">
        <f>IF(AND(ISNUMBER('Data'!$F$1917),'Data'!$F$1917&lt;&gt;999,'Data'!$F$1917&lt;&gt;""),'Data'!$F$1917,"")</f>
        <v/>
      </c>
      <c r="Z1916" t="n">
        <v>1</v>
      </c>
      <c r="AA1916">
        <f>IF(ISNUMBER('IN-CLASS_Lab Part C'!$J$1916),'IN-CLASS_Lab Part C'!$J$1916,NA())</f>
        <v/>
      </c>
    </row>
    <row r="1917">
      <c r="J1917">
        <f>IF(AND(ISNUMBER('Data'!$F$1918),'Data'!$F$1918&lt;&gt;999,'Data'!$F$1918&lt;&gt;""),'Data'!$F$1918,"")</f>
        <v/>
      </c>
      <c r="Z1917" t="n">
        <v>1</v>
      </c>
      <c r="AA1917">
        <f>IF(ISNUMBER('IN-CLASS_Lab Part C'!$J$1917),'IN-CLASS_Lab Part C'!$J$1917,NA())</f>
        <v/>
      </c>
    </row>
    <row r="1918">
      <c r="J1918">
        <f>IF(AND(ISNUMBER('Data'!$F$1919),'Data'!$F$1919&lt;&gt;999,'Data'!$F$1919&lt;&gt;""),'Data'!$F$1919,"")</f>
        <v/>
      </c>
      <c r="Z1918" t="n">
        <v>1</v>
      </c>
      <c r="AA1918">
        <f>IF(ISNUMBER('IN-CLASS_Lab Part C'!$J$1918),'IN-CLASS_Lab Part C'!$J$1918,NA())</f>
        <v/>
      </c>
    </row>
    <row r="1919">
      <c r="J1919">
        <f>IF(AND(ISNUMBER('Data'!$F$1920),'Data'!$F$1920&lt;&gt;999,'Data'!$F$1920&lt;&gt;""),'Data'!$F$1920,"")</f>
        <v/>
      </c>
      <c r="Z1919" t="n">
        <v>1</v>
      </c>
      <c r="AA1919">
        <f>IF(ISNUMBER('IN-CLASS_Lab Part C'!$J$1919),'IN-CLASS_Lab Part C'!$J$1919,NA())</f>
        <v/>
      </c>
    </row>
    <row r="1920">
      <c r="J1920">
        <f>IF(AND(ISNUMBER('Data'!$F$1921),'Data'!$F$1921&lt;&gt;999,'Data'!$F$1921&lt;&gt;""),'Data'!$F$1921,"")</f>
        <v/>
      </c>
      <c r="Z1920" t="n">
        <v>1</v>
      </c>
      <c r="AA1920">
        <f>IF(ISNUMBER('IN-CLASS_Lab Part C'!$J$1920),'IN-CLASS_Lab Part C'!$J$1920,NA())</f>
        <v/>
      </c>
    </row>
    <row r="1921">
      <c r="J1921">
        <f>IF(AND(ISNUMBER('Data'!$F$1922),'Data'!$F$1922&lt;&gt;999,'Data'!$F$1922&lt;&gt;""),'Data'!$F$1922,"")</f>
        <v/>
      </c>
      <c r="Z1921" t="n">
        <v>1</v>
      </c>
      <c r="AA1921">
        <f>IF(ISNUMBER('IN-CLASS_Lab Part C'!$J$1921),'IN-CLASS_Lab Part C'!$J$1921,NA())</f>
        <v/>
      </c>
    </row>
    <row r="1922">
      <c r="J1922">
        <f>IF(AND(ISNUMBER('Data'!$F$1923),'Data'!$F$1923&lt;&gt;999,'Data'!$F$1923&lt;&gt;""),'Data'!$F$1923,"")</f>
        <v/>
      </c>
      <c r="Z1922" t="n">
        <v>1</v>
      </c>
      <c r="AA1922">
        <f>IF(ISNUMBER('IN-CLASS_Lab Part C'!$J$1922),'IN-CLASS_Lab Part C'!$J$1922,NA())</f>
        <v/>
      </c>
    </row>
    <row r="1923">
      <c r="J1923">
        <f>IF(AND(ISNUMBER('Data'!$F$1924),'Data'!$F$1924&lt;&gt;999,'Data'!$F$1924&lt;&gt;""),'Data'!$F$1924,"")</f>
        <v/>
      </c>
      <c r="Z1923" t="n">
        <v>1</v>
      </c>
      <c r="AA1923">
        <f>IF(ISNUMBER('IN-CLASS_Lab Part C'!$J$1923),'IN-CLASS_Lab Part C'!$J$1923,NA())</f>
        <v/>
      </c>
    </row>
    <row r="1924">
      <c r="J1924">
        <f>IF(AND(ISNUMBER('Data'!$F$1925),'Data'!$F$1925&lt;&gt;999,'Data'!$F$1925&lt;&gt;""),'Data'!$F$1925,"")</f>
        <v/>
      </c>
      <c r="Z1924" t="n">
        <v>1</v>
      </c>
      <c r="AA1924">
        <f>IF(ISNUMBER('IN-CLASS_Lab Part C'!$J$1924),'IN-CLASS_Lab Part C'!$J$1924,NA())</f>
        <v/>
      </c>
    </row>
    <row r="1925">
      <c r="J1925">
        <f>IF(AND(ISNUMBER('Data'!$F$1926),'Data'!$F$1926&lt;&gt;999,'Data'!$F$1926&lt;&gt;""),'Data'!$F$1926,"")</f>
        <v/>
      </c>
      <c r="Z1925" t="n">
        <v>1</v>
      </c>
      <c r="AA1925">
        <f>IF(ISNUMBER('IN-CLASS_Lab Part C'!$J$1925),'IN-CLASS_Lab Part C'!$J$1925,NA())</f>
        <v/>
      </c>
    </row>
    <row r="1926">
      <c r="J1926">
        <f>IF(AND(ISNUMBER('Data'!$F$1927),'Data'!$F$1927&lt;&gt;999,'Data'!$F$1927&lt;&gt;""),'Data'!$F$1927,"")</f>
        <v/>
      </c>
      <c r="Z1926" t="n">
        <v>1</v>
      </c>
      <c r="AA1926">
        <f>IF(ISNUMBER('IN-CLASS_Lab Part C'!$J$1926),'IN-CLASS_Lab Part C'!$J$1926,NA())</f>
        <v/>
      </c>
    </row>
    <row r="1927">
      <c r="J1927">
        <f>IF(AND(ISNUMBER('Data'!$F$1928),'Data'!$F$1928&lt;&gt;999,'Data'!$F$1928&lt;&gt;""),'Data'!$F$1928,"")</f>
        <v/>
      </c>
      <c r="Z1927" t="n">
        <v>1</v>
      </c>
      <c r="AA1927">
        <f>IF(ISNUMBER('IN-CLASS_Lab Part C'!$J$1927),'IN-CLASS_Lab Part C'!$J$1927,NA())</f>
        <v/>
      </c>
    </row>
    <row r="1928">
      <c r="J1928">
        <f>IF(AND(ISNUMBER('Data'!$F$1929),'Data'!$F$1929&lt;&gt;999,'Data'!$F$1929&lt;&gt;""),'Data'!$F$1929,"")</f>
        <v/>
      </c>
      <c r="Z1928" t="n">
        <v>1</v>
      </c>
      <c r="AA1928">
        <f>IF(ISNUMBER('IN-CLASS_Lab Part C'!$J$1928),'IN-CLASS_Lab Part C'!$J$1928,NA())</f>
        <v/>
      </c>
    </row>
    <row r="1929">
      <c r="J1929">
        <f>IF(AND(ISNUMBER('Data'!$F$1930),'Data'!$F$1930&lt;&gt;999,'Data'!$F$1930&lt;&gt;""),'Data'!$F$1930,"")</f>
        <v/>
      </c>
      <c r="Z1929" t="n">
        <v>1</v>
      </c>
      <c r="AA1929">
        <f>IF(ISNUMBER('IN-CLASS_Lab Part C'!$J$1929),'IN-CLASS_Lab Part C'!$J$1929,NA())</f>
        <v/>
      </c>
    </row>
    <row r="1930">
      <c r="J1930">
        <f>IF(AND(ISNUMBER('Data'!$F$1931),'Data'!$F$1931&lt;&gt;999,'Data'!$F$1931&lt;&gt;""),'Data'!$F$1931,"")</f>
        <v/>
      </c>
      <c r="Z1930" t="n">
        <v>1</v>
      </c>
      <c r="AA1930">
        <f>IF(ISNUMBER('IN-CLASS_Lab Part C'!$J$1930),'IN-CLASS_Lab Part C'!$J$1930,NA())</f>
        <v/>
      </c>
    </row>
    <row r="1931">
      <c r="J1931">
        <f>IF(AND(ISNUMBER('Data'!$F$1932),'Data'!$F$1932&lt;&gt;999,'Data'!$F$1932&lt;&gt;""),'Data'!$F$1932,"")</f>
        <v/>
      </c>
      <c r="Z1931" t="n">
        <v>1</v>
      </c>
      <c r="AA1931">
        <f>IF(ISNUMBER('IN-CLASS_Lab Part C'!$J$1931),'IN-CLASS_Lab Part C'!$J$1931,NA())</f>
        <v/>
      </c>
    </row>
    <row r="1932">
      <c r="J1932">
        <f>IF(AND(ISNUMBER('Data'!$F$1933),'Data'!$F$1933&lt;&gt;999,'Data'!$F$1933&lt;&gt;""),'Data'!$F$1933,"")</f>
        <v/>
      </c>
      <c r="Z1932" t="n">
        <v>1</v>
      </c>
      <c r="AA1932">
        <f>IF(ISNUMBER('IN-CLASS_Lab Part C'!$J$1932),'IN-CLASS_Lab Part C'!$J$1932,NA())</f>
        <v/>
      </c>
    </row>
    <row r="1933">
      <c r="J1933">
        <f>IF(AND(ISNUMBER('Data'!$F$1934),'Data'!$F$1934&lt;&gt;999,'Data'!$F$1934&lt;&gt;""),'Data'!$F$1934,"")</f>
        <v/>
      </c>
      <c r="Z1933" t="n">
        <v>1</v>
      </c>
      <c r="AA1933">
        <f>IF(ISNUMBER('IN-CLASS_Lab Part C'!$J$1933),'IN-CLASS_Lab Part C'!$J$1933,NA())</f>
        <v/>
      </c>
    </row>
    <row r="1934">
      <c r="J1934">
        <f>IF(AND(ISNUMBER('Data'!$F$1935),'Data'!$F$1935&lt;&gt;999,'Data'!$F$1935&lt;&gt;""),'Data'!$F$1935,"")</f>
        <v/>
      </c>
      <c r="Z1934" t="n">
        <v>1</v>
      </c>
      <c r="AA1934">
        <f>IF(ISNUMBER('IN-CLASS_Lab Part C'!$J$1934),'IN-CLASS_Lab Part C'!$J$1934,NA())</f>
        <v/>
      </c>
    </row>
    <row r="1935">
      <c r="J1935">
        <f>IF(AND(ISNUMBER('Data'!$F$1936),'Data'!$F$1936&lt;&gt;999,'Data'!$F$1936&lt;&gt;""),'Data'!$F$1936,"")</f>
        <v/>
      </c>
      <c r="Z1935" t="n">
        <v>1</v>
      </c>
      <c r="AA1935">
        <f>IF(ISNUMBER('IN-CLASS_Lab Part C'!$J$1935),'IN-CLASS_Lab Part C'!$J$1935,NA())</f>
        <v/>
      </c>
    </row>
    <row r="1936">
      <c r="J1936">
        <f>IF(AND(ISNUMBER('Data'!$F$1937),'Data'!$F$1937&lt;&gt;999,'Data'!$F$1937&lt;&gt;""),'Data'!$F$1937,"")</f>
        <v/>
      </c>
      <c r="Z1936" t="n">
        <v>1</v>
      </c>
      <c r="AA1936">
        <f>IF(ISNUMBER('IN-CLASS_Lab Part C'!$J$1936),'IN-CLASS_Lab Part C'!$J$1936,NA())</f>
        <v/>
      </c>
    </row>
    <row r="1937">
      <c r="J1937">
        <f>IF(AND(ISNUMBER('Data'!$F$1938),'Data'!$F$1938&lt;&gt;999,'Data'!$F$1938&lt;&gt;""),'Data'!$F$1938,"")</f>
        <v/>
      </c>
      <c r="Z1937" t="n">
        <v>1</v>
      </c>
      <c r="AA1937">
        <f>IF(ISNUMBER('IN-CLASS_Lab Part C'!$J$1937),'IN-CLASS_Lab Part C'!$J$1937,NA())</f>
        <v/>
      </c>
    </row>
    <row r="1938">
      <c r="J1938">
        <f>IF(AND(ISNUMBER('Data'!$F$1939),'Data'!$F$1939&lt;&gt;999,'Data'!$F$1939&lt;&gt;""),'Data'!$F$1939,"")</f>
        <v/>
      </c>
      <c r="Z1938" t="n">
        <v>1</v>
      </c>
      <c r="AA1938">
        <f>IF(ISNUMBER('IN-CLASS_Lab Part C'!$J$1938),'IN-CLASS_Lab Part C'!$J$1938,NA())</f>
        <v/>
      </c>
    </row>
    <row r="1939">
      <c r="J1939">
        <f>IF(AND(ISNUMBER('Data'!$F$1940),'Data'!$F$1940&lt;&gt;999,'Data'!$F$1940&lt;&gt;""),'Data'!$F$1940,"")</f>
        <v/>
      </c>
      <c r="Z1939" t="n">
        <v>1</v>
      </c>
      <c r="AA1939">
        <f>IF(ISNUMBER('IN-CLASS_Lab Part C'!$J$1939),'IN-CLASS_Lab Part C'!$J$1939,NA())</f>
        <v/>
      </c>
    </row>
    <row r="1940">
      <c r="J1940">
        <f>IF(AND(ISNUMBER('Data'!$F$1941),'Data'!$F$1941&lt;&gt;999,'Data'!$F$1941&lt;&gt;""),'Data'!$F$1941,"")</f>
        <v/>
      </c>
      <c r="Z1940" t="n">
        <v>1</v>
      </c>
      <c r="AA1940">
        <f>IF(ISNUMBER('IN-CLASS_Lab Part C'!$J$1940),'IN-CLASS_Lab Part C'!$J$1940,NA())</f>
        <v/>
      </c>
    </row>
    <row r="1941">
      <c r="J1941">
        <f>IF(AND(ISNUMBER('Data'!$F$1942),'Data'!$F$1942&lt;&gt;999,'Data'!$F$1942&lt;&gt;""),'Data'!$F$1942,"")</f>
        <v/>
      </c>
      <c r="Z1941" t="n">
        <v>1</v>
      </c>
      <c r="AA1941">
        <f>IF(ISNUMBER('IN-CLASS_Lab Part C'!$J$1941),'IN-CLASS_Lab Part C'!$J$1941,NA())</f>
        <v/>
      </c>
    </row>
    <row r="1942">
      <c r="J1942">
        <f>IF(AND(ISNUMBER('Data'!$F$1943),'Data'!$F$1943&lt;&gt;999,'Data'!$F$1943&lt;&gt;""),'Data'!$F$1943,"")</f>
        <v/>
      </c>
      <c r="Z1942" t="n">
        <v>1</v>
      </c>
      <c r="AA1942">
        <f>IF(ISNUMBER('IN-CLASS_Lab Part C'!$J$1942),'IN-CLASS_Lab Part C'!$J$1942,NA())</f>
        <v/>
      </c>
    </row>
    <row r="1943">
      <c r="J1943">
        <f>IF(AND(ISNUMBER('Data'!$F$1944),'Data'!$F$1944&lt;&gt;999,'Data'!$F$1944&lt;&gt;""),'Data'!$F$1944,"")</f>
        <v/>
      </c>
      <c r="Z1943" t="n">
        <v>1</v>
      </c>
      <c r="AA1943">
        <f>IF(ISNUMBER('IN-CLASS_Lab Part C'!$J$1943),'IN-CLASS_Lab Part C'!$J$1943,NA())</f>
        <v/>
      </c>
    </row>
    <row r="1944">
      <c r="J1944">
        <f>IF(AND(ISNUMBER('Data'!$F$1945),'Data'!$F$1945&lt;&gt;999,'Data'!$F$1945&lt;&gt;""),'Data'!$F$1945,"")</f>
        <v/>
      </c>
      <c r="Z1944" t="n">
        <v>1</v>
      </c>
      <c r="AA1944">
        <f>IF(ISNUMBER('IN-CLASS_Lab Part C'!$J$1944),'IN-CLASS_Lab Part C'!$J$1944,NA())</f>
        <v/>
      </c>
    </row>
    <row r="1945">
      <c r="J1945">
        <f>IF(AND(ISNUMBER('Data'!$F$1946),'Data'!$F$1946&lt;&gt;999,'Data'!$F$1946&lt;&gt;""),'Data'!$F$1946,"")</f>
        <v/>
      </c>
      <c r="Z1945" t="n">
        <v>1</v>
      </c>
      <c r="AA1945">
        <f>IF(ISNUMBER('IN-CLASS_Lab Part C'!$J$1945),'IN-CLASS_Lab Part C'!$J$1945,NA())</f>
        <v/>
      </c>
    </row>
    <row r="1946">
      <c r="J1946">
        <f>IF(AND(ISNUMBER('Data'!$F$1947),'Data'!$F$1947&lt;&gt;999,'Data'!$F$1947&lt;&gt;""),'Data'!$F$1947,"")</f>
        <v/>
      </c>
      <c r="Z1946" t="n">
        <v>1</v>
      </c>
      <c r="AA1946">
        <f>IF(ISNUMBER('IN-CLASS_Lab Part C'!$J$1946),'IN-CLASS_Lab Part C'!$J$1946,NA())</f>
        <v/>
      </c>
    </row>
    <row r="1947">
      <c r="J1947">
        <f>IF(AND(ISNUMBER('Data'!$F$1948),'Data'!$F$1948&lt;&gt;999,'Data'!$F$1948&lt;&gt;""),'Data'!$F$1948,"")</f>
        <v/>
      </c>
      <c r="Z1947" t="n">
        <v>1</v>
      </c>
      <c r="AA1947">
        <f>IF(ISNUMBER('IN-CLASS_Lab Part C'!$J$1947),'IN-CLASS_Lab Part C'!$J$1947,NA())</f>
        <v/>
      </c>
    </row>
    <row r="1948">
      <c r="J1948">
        <f>IF(AND(ISNUMBER('Data'!$F$1949),'Data'!$F$1949&lt;&gt;999,'Data'!$F$1949&lt;&gt;""),'Data'!$F$1949,"")</f>
        <v/>
      </c>
      <c r="Z1948" t="n">
        <v>1</v>
      </c>
      <c r="AA1948">
        <f>IF(ISNUMBER('IN-CLASS_Lab Part C'!$J$1948),'IN-CLASS_Lab Part C'!$J$1948,NA())</f>
        <v/>
      </c>
    </row>
    <row r="1949">
      <c r="J1949">
        <f>IF(AND(ISNUMBER('Data'!$F$1950),'Data'!$F$1950&lt;&gt;999,'Data'!$F$1950&lt;&gt;""),'Data'!$F$1950,"")</f>
        <v/>
      </c>
      <c r="Z1949" t="n">
        <v>1</v>
      </c>
      <c r="AA1949">
        <f>IF(ISNUMBER('IN-CLASS_Lab Part C'!$J$1949),'IN-CLASS_Lab Part C'!$J$1949,NA())</f>
        <v/>
      </c>
    </row>
    <row r="1950">
      <c r="J1950">
        <f>IF(AND(ISNUMBER('Data'!$F$1951),'Data'!$F$1951&lt;&gt;999,'Data'!$F$1951&lt;&gt;""),'Data'!$F$1951,"")</f>
        <v/>
      </c>
      <c r="Z1950" t="n">
        <v>1</v>
      </c>
      <c r="AA1950">
        <f>IF(ISNUMBER('IN-CLASS_Lab Part C'!$J$1950),'IN-CLASS_Lab Part C'!$J$1950,NA())</f>
        <v/>
      </c>
    </row>
    <row r="1951">
      <c r="J1951">
        <f>IF(AND(ISNUMBER('Data'!$F$1952),'Data'!$F$1952&lt;&gt;999,'Data'!$F$1952&lt;&gt;""),'Data'!$F$1952,"")</f>
        <v/>
      </c>
      <c r="Z1951" t="n">
        <v>1</v>
      </c>
      <c r="AA1951">
        <f>IF(ISNUMBER('IN-CLASS_Lab Part C'!$J$1951),'IN-CLASS_Lab Part C'!$J$1951,NA())</f>
        <v/>
      </c>
    </row>
    <row r="1952">
      <c r="J1952">
        <f>IF(AND(ISNUMBER('Data'!$F$1953),'Data'!$F$1953&lt;&gt;999,'Data'!$F$1953&lt;&gt;""),'Data'!$F$1953,"")</f>
        <v/>
      </c>
      <c r="Z1952" t="n">
        <v>1</v>
      </c>
      <c r="AA1952">
        <f>IF(ISNUMBER('IN-CLASS_Lab Part C'!$J$1952),'IN-CLASS_Lab Part C'!$J$1952,NA())</f>
        <v/>
      </c>
    </row>
    <row r="1953">
      <c r="J1953">
        <f>IF(AND(ISNUMBER('Data'!$F$1954),'Data'!$F$1954&lt;&gt;999,'Data'!$F$1954&lt;&gt;""),'Data'!$F$1954,"")</f>
        <v/>
      </c>
      <c r="Z1953" t="n">
        <v>1</v>
      </c>
      <c r="AA1953">
        <f>IF(ISNUMBER('IN-CLASS_Lab Part C'!$J$1953),'IN-CLASS_Lab Part C'!$J$1953,NA())</f>
        <v/>
      </c>
    </row>
    <row r="1954">
      <c r="J1954">
        <f>IF(AND(ISNUMBER('Data'!$F$1955),'Data'!$F$1955&lt;&gt;999,'Data'!$F$1955&lt;&gt;""),'Data'!$F$1955,"")</f>
        <v/>
      </c>
      <c r="Z1954" t="n">
        <v>1</v>
      </c>
      <c r="AA1954">
        <f>IF(ISNUMBER('IN-CLASS_Lab Part C'!$J$1954),'IN-CLASS_Lab Part C'!$J$1954,NA())</f>
        <v/>
      </c>
    </row>
    <row r="1955">
      <c r="J1955">
        <f>IF(AND(ISNUMBER('Data'!$F$1956),'Data'!$F$1956&lt;&gt;999,'Data'!$F$1956&lt;&gt;""),'Data'!$F$1956,"")</f>
        <v/>
      </c>
      <c r="Z1955" t="n">
        <v>1</v>
      </c>
      <c r="AA1955">
        <f>IF(ISNUMBER('IN-CLASS_Lab Part C'!$J$1955),'IN-CLASS_Lab Part C'!$J$1955,NA())</f>
        <v/>
      </c>
    </row>
    <row r="1956">
      <c r="J1956">
        <f>IF(AND(ISNUMBER('Data'!$F$1957),'Data'!$F$1957&lt;&gt;999,'Data'!$F$1957&lt;&gt;""),'Data'!$F$1957,"")</f>
        <v/>
      </c>
      <c r="Z1956" t="n">
        <v>1</v>
      </c>
      <c r="AA1956">
        <f>IF(ISNUMBER('IN-CLASS_Lab Part C'!$J$1956),'IN-CLASS_Lab Part C'!$J$1956,NA())</f>
        <v/>
      </c>
    </row>
    <row r="1957">
      <c r="J1957">
        <f>IF(AND(ISNUMBER('Data'!$F$1958),'Data'!$F$1958&lt;&gt;999,'Data'!$F$1958&lt;&gt;""),'Data'!$F$1958,"")</f>
        <v/>
      </c>
      <c r="Z1957" t="n">
        <v>1</v>
      </c>
      <c r="AA1957">
        <f>IF(ISNUMBER('IN-CLASS_Lab Part C'!$J$1957),'IN-CLASS_Lab Part C'!$J$1957,NA())</f>
        <v/>
      </c>
    </row>
    <row r="1958">
      <c r="J1958">
        <f>IF(AND(ISNUMBER('Data'!$F$1959),'Data'!$F$1959&lt;&gt;999,'Data'!$F$1959&lt;&gt;""),'Data'!$F$1959,"")</f>
        <v/>
      </c>
      <c r="Z1958" t="n">
        <v>1</v>
      </c>
      <c r="AA1958">
        <f>IF(ISNUMBER('IN-CLASS_Lab Part C'!$J$1958),'IN-CLASS_Lab Part C'!$J$1958,NA())</f>
        <v/>
      </c>
    </row>
    <row r="1959">
      <c r="J1959">
        <f>IF(AND(ISNUMBER('Data'!$F$1960),'Data'!$F$1960&lt;&gt;999,'Data'!$F$1960&lt;&gt;""),'Data'!$F$1960,"")</f>
        <v/>
      </c>
      <c r="Z1959" t="n">
        <v>1</v>
      </c>
      <c r="AA1959">
        <f>IF(ISNUMBER('IN-CLASS_Lab Part C'!$J$1959),'IN-CLASS_Lab Part C'!$J$1959,NA())</f>
        <v/>
      </c>
    </row>
    <row r="1960">
      <c r="J1960">
        <f>IF(AND(ISNUMBER('Data'!$F$1961),'Data'!$F$1961&lt;&gt;999,'Data'!$F$1961&lt;&gt;""),'Data'!$F$1961,"")</f>
        <v/>
      </c>
      <c r="Z1960" t="n">
        <v>1</v>
      </c>
      <c r="AA1960">
        <f>IF(ISNUMBER('IN-CLASS_Lab Part C'!$J$1960),'IN-CLASS_Lab Part C'!$J$1960,NA())</f>
        <v/>
      </c>
    </row>
    <row r="1961">
      <c r="J1961">
        <f>IF(AND(ISNUMBER('Data'!$F$1962),'Data'!$F$1962&lt;&gt;999,'Data'!$F$1962&lt;&gt;""),'Data'!$F$1962,"")</f>
        <v/>
      </c>
      <c r="Z1961" t="n">
        <v>1</v>
      </c>
      <c r="AA1961">
        <f>IF(ISNUMBER('IN-CLASS_Lab Part C'!$J$1961),'IN-CLASS_Lab Part C'!$J$1961,NA())</f>
        <v/>
      </c>
    </row>
    <row r="1962">
      <c r="J1962">
        <f>IF(AND(ISNUMBER('Data'!$F$1963),'Data'!$F$1963&lt;&gt;999,'Data'!$F$1963&lt;&gt;""),'Data'!$F$1963,"")</f>
        <v/>
      </c>
      <c r="Z1962" t="n">
        <v>1</v>
      </c>
      <c r="AA1962">
        <f>IF(ISNUMBER('IN-CLASS_Lab Part C'!$J$1962),'IN-CLASS_Lab Part C'!$J$1962,NA())</f>
        <v/>
      </c>
    </row>
    <row r="1963">
      <c r="J1963">
        <f>IF(AND(ISNUMBER('Data'!$F$1964),'Data'!$F$1964&lt;&gt;999,'Data'!$F$1964&lt;&gt;""),'Data'!$F$1964,"")</f>
        <v/>
      </c>
      <c r="Z1963" t="n">
        <v>1</v>
      </c>
      <c r="AA1963">
        <f>IF(ISNUMBER('IN-CLASS_Lab Part C'!$J$1963),'IN-CLASS_Lab Part C'!$J$1963,NA())</f>
        <v/>
      </c>
    </row>
    <row r="1964">
      <c r="J1964">
        <f>IF(AND(ISNUMBER('Data'!$F$1965),'Data'!$F$1965&lt;&gt;999,'Data'!$F$1965&lt;&gt;""),'Data'!$F$1965,"")</f>
        <v/>
      </c>
      <c r="Z1964" t="n">
        <v>1</v>
      </c>
      <c r="AA1964">
        <f>IF(ISNUMBER('IN-CLASS_Lab Part C'!$J$1964),'IN-CLASS_Lab Part C'!$J$1964,NA())</f>
        <v/>
      </c>
    </row>
    <row r="1965">
      <c r="J1965">
        <f>IF(AND(ISNUMBER('Data'!$F$1966),'Data'!$F$1966&lt;&gt;999,'Data'!$F$1966&lt;&gt;""),'Data'!$F$1966,"")</f>
        <v/>
      </c>
      <c r="Z1965" t="n">
        <v>1</v>
      </c>
      <c r="AA1965">
        <f>IF(ISNUMBER('IN-CLASS_Lab Part C'!$J$1965),'IN-CLASS_Lab Part C'!$J$1965,NA())</f>
        <v/>
      </c>
    </row>
    <row r="1966">
      <c r="J1966">
        <f>IF(AND(ISNUMBER('Data'!$F$1967),'Data'!$F$1967&lt;&gt;999,'Data'!$F$1967&lt;&gt;""),'Data'!$F$1967,"")</f>
        <v/>
      </c>
      <c r="Z1966" t="n">
        <v>1</v>
      </c>
      <c r="AA1966">
        <f>IF(ISNUMBER('IN-CLASS_Lab Part C'!$J$1966),'IN-CLASS_Lab Part C'!$J$1966,NA())</f>
        <v/>
      </c>
    </row>
    <row r="1967">
      <c r="J1967">
        <f>IF(AND(ISNUMBER('Data'!$F$1968),'Data'!$F$1968&lt;&gt;999,'Data'!$F$1968&lt;&gt;""),'Data'!$F$1968,"")</f>
        <v/>
      </c>
      <c r="Z1967" t="n">
        <v>1</v>
      </c>
      <c r="AA1967">
        <f>IF(ISNUMBER('IN-CLASS_Lab Part C'!$J$1967),'IN-CLASS_Lab Part C'!$J$1967,NA())</f>
        <v/>
      </c>
    </row>
    <row r="1968">
      <c r="J1968">
        <f>IF(AND(ISNUMBER('Data'!$F$1969),'Data'!$F$1969&lt;&gt;999,'Data'!$F$1969&lt;&gt;""),'Data'!$F$1969,"")</f>
        <v/>
      </c>
      <c r="Z1968" t="n">
        <v>1</v>
      </c>
      <c r="AA1968">
        <f>IF(ISNUMBER('IN-CLASS_Lab Part C'!$J$1968),'IN-CLASS_Lab Part C'!$J$1968,NA())</f>
        <v/>
      </c>
    </row>
    <row r="1969">
      <c r="J1969">
        <f>IF(AND(ISNUMBER('Data'!$F$1970),'Data'!$F$1970&lt;&gt;999,'Data'!$F$1970&lt;&gt;""),'Data'!$F$1970,"")</f>
        <v/>
      </c>
      <c r="Z1969" t="n">
        <v>1</v>
      </c>
      <c r="AA1969">
        <f>IF(ISNUMBER('IN-CLASS_Lab Part C'!$J$1969),'IN-CLASS_Lab Part C'!$J$1969,NA())</f>
        <v/>
      </c>
    </row>
    <row r="1970">
      <c r="J1970">
        <f>IF(AND(ISNUMBER('Data'!$F$1971),'Data'!$F$1971&lt;&gt;999,'Data'!$F$1971&lt;&gt;""),'Data'!$F$1971,"")</f>
        <v/>
      </c>
      <c r="Z1970" t="n">
        <v>1</v>
      </c>
      <c r="AA1970">
        <f>IF(ISNUMBER('IN-CLASS_Lab Part C'!$J$1970),'IN-CLASS_Lab Part C'!$J$1970,NA())</f>
        <v/>
      </c>
    </row>
    <row r="1971">
      <c r="J1971">
        <f>IF(AND(ISNUMBER('Data'!$F$1972),'Data'!$F$1972&lt;&gt;999,'Data'!$F$1972&lt;&gt;""),'Data'!$F$1972,"")</f>
        <v/>
      </c>
      <c r="Z1971" t="n">
        <v>1</v>
      </c>
      <c r="AA1971">
        <f>IF(ISNUMBER('IN-CLASS_Lab Part C'!$J$1971),'IN-CLASS_Lab Part C'!$J$1971,NA())</f>
        <v/>
      </c>
    </row>
    <row r="1972">
      <c r="J1972">
        <f>IF(AND(ISNUMBER('Data'!$F$1973),'Data'!$F$1973&lt;&gt;999,'Data'!$F$1973&lt;&gt;""),'Data'!$F$1973,"")</f>
        <v/>
      </c>
      <c r="Z1972" t="n">
        <v>1</v>
      </c>
      <c r="AA1972">
        <f>IF(ISNUMBER('IN-CLASS_Lab Part C'!$J$1972),'IN-CLASS_Lab Part C'!$J$1972,NA())</f>
        <v/>
      </c>
    </row>
    <row r="1973">
      <c r="J1973">
        <f>IF(AND(ISNUMBER('Data'!$F$1974),'Data'!$F$1974&lt;&gt;999,'Data'!$F$1974&lt;&gt;""),'Data'!$F$1974,"")</f>
        <v/>
      </c>
      <c r="Z1973" t="n">
        <v>1</v>
      </c>
      <c r="AA1973">
        <f>IF(ISNUMBER('IN-CLASS_Lab Part C'!$J$1973),'IN-CLASS_Lab Part C'!$J$1973,NA())</f>
        <v/>
      </c>
    </row>
    <row r="1974">
      <c r="J1974">
        <f>IF(AND(ISNUMBER('Data'!$F$1975),'Data'!$F$1975&lt;&gt;999,'Data'!$F$1975&lt;&gt;""),'Data'!$F$1975,"")</f>
        <v/>
      </c>
      <c r="Z1974" t="n">
        <v>1</v>
      </c>
      <c r="AA1974">
        <f>IF(ISNUMBER('IN-CLASS_Lab Part C'!$J$1974),'IN-CLASS_Lab Part C'!$J$1974,NA())</f>
        <v/>
      </c>
    </row>
    <row r="1975">
      <c r="J1975">
        <f>IF(AND(ISNUMBER('Data'!$F$1976),'Data'!$F$1976&lt;&gt;999,'Data'!$F$1976&lt;&gt;""),'Data'!$F$1976,"")</f>
        <v/>
      </c>
      <c r="Z1975" t="n">
        <v>1</v>
      </c>
      <c r="AA1975">
        <f>IF(ISNUMBER('IN-CLASS_Lab Part C'!$J$1975),'IN-CLASS_Lab Part C'!$J$1975,NA())</f>
        <v/>
      </c>
    </row>
    <row r="1976">
      <c r="J1976">
        <f>IF(AND(ISNUMBER('Data'!$F$1977),'Data'!$F$1977&lt;&gt;999,'Data'!$F$1977&lt;&gt;""),'Data'!$F$1977,"")</f>
        <v/>
      </c>
      <c r="Z1976" t="n">
        <v>1</v>
      </c>
      <c r="AA1976">
        <f>IF(ISNUMBER('IN-CLASS_Lab Part C'!$J$1976),'IN-CLASS_Lab Part C'!$J$1976,NA())</f>
        <v/>
      </c>
    </row>
    <row r="1977">
      <c r="J1977">
        <f>IF(AND(ISNUMBER('Data'!$F$1978),'Data'!$F$1978&lt;&gt;999,'Data'!$F$1978&lt;&gt;""),'Data'!$F$1978,"")</f>
        <v/>
      </c>
      <c r="Z1977" t="n">
        <v>1</v>
      </c>
      <c r="AA1977">
        <f>IF(ISNUMBER('IN-CLASS_Lab Part C'!$J$1977),'IN-CLASS_Lab Part C'!$J$1977,NA())</f>
        <v/>
      </c>
    </row>
    <row r="1978">
      <c r="J1978">
        <f>IF(AND(ISNUMBER('Data'!$F$1979),'Data'!$F$1979&lt;&gt;999,'Data'!$F$1979&lt;&gt;""),'Data'!$F$1979,"")</f>
        <v/>
      </c>
      <c r="Z1978" t="n">
        <v>1</v>
      </c>
      <c r="AA1978">
        <f>IF(ISNUMBER('IN-CLASS_Lab Part C'!$J$1978),'IN-CLASS_Lab Part C'!$J$1978,NA())</f>
        <v/>
      </c>
    </row>
    <row r="1979">
      <c r="J1979">
        <f>IF(AND(ISNUMBER('Data'!$F$1980),'Data'!$F$1980&lt;&gt;999,'Data'!$F$1980&lt;&gt;""),'Data'!$F$1980,"")</f>
        <v/>
      </c>
      <c r="Z1979" t="n">
        <v>1</v>
      </c>
      <c r="AA1979">
        <f>IF(ISNUMBER('IN-CLASS_Lab Part C'!$J$1979),'IN-CLASS_Lab Part C'!$J$1979,NA())</f>
        <v/>
      </c>
    </row>
    <row r="1980">
      <c r="J1980">
        <f>IF(AND(ISNUMBER('Data'!$F$1981),'Data'!$F$1981&lt;&gt;999,'Data'!$F$1981&lt;&gt;""),'Data'!$F$1981,"")</f>
        <v/>
      </c>
      <c r="Z1980" t="n">
        <v>1</v>
      </c>
      <c r="AA1980">
        <f>IF(ISNUMBER('IN-CLASS_Lab Part C'!$J$1980),'IN-CLASS_Lab Part C'!$J$1980,NA())</f>
        <v/>
      </c>
    </row>
    <row r="1981">
      <c r="J1981">
        <f>IF(AND(ISNUMBER('Data'!$F$1982),'Data'!$F$1982&lt;&gt;999,'Data'!$F$1982&lt;&gt;""),'Data'!$F$1982,"")</f>
        <v/>
      </c>
      <c r="Z1981" t="n">
        <v>1</v>
      </c>
      <c r="AA1981">
        <f>IF(ISNUMBER('IN-CLASS_Lab Part C'!$J$1981),'IN-CLASS_Lab Part C'!$J$1981,NA())</f>
        <v/>
      </c>
    </row>
    <row r="1982">
      <c r="J1982">
        <f>IF(AND(ISNUMBER('Data'!$F$1983),'Data'!$F$1983&lt;&gt;999,'Data'!$F$1983&lt;&gt;""),'Data'!$F$1983,"")</f>
        <v/>
      </c>
      <c r="Z1982" t="n">
        <v>1</v>
      </c>
      <c r="AA1982">
        <f>IF(ISNUMBER('IN-CLASS_Lab Part C'!$J$1982),'IN-CLASS_Lab Part C'!$J$1982,NA())</f>
        <v/>
      </c>
    </row>
    <row r="1983">
      <c r="J1983">
        <f>IF(AND(ISNUMBER('Data'!$F$1984),'Data'!$F$1984&lt;&gt;999,'Data'!$F$1984&lt;&gt;""),'Data'!$F$1984,"")</f>
        <v/>
      </c>
      <c r="Z1983" t="n">
        <v>1</v>
      </c>
      <c r="AA1983">
        <f>IF(ISNUMBER('IN-CLASS_Lab Part C'!$J$1983),'IN-CLASS_Lab Part C'!$J$1983,NA())</f>
        <v/>
      </c>
    </row>
    <row r="1984">
      <c r="J1984">
        <f>IF(AND(ISNUMBER('Data'!$F$1985),'Data'!$F$1985&lt;&gt;999,'Data'!$F$1985&lt;&gt;""),'Data'!$F$1985,"")</f>
        <v/>
      </c>
      <c r="Z1984" t="n">
        <v>1</v>
      </c>
      <c r="AA1984">
        <f>IF(ISNUMBER('IN-CLASS_Lab Part C'!$J$1984),'IN-CLASS_Lab Part C'!$J$1984,NA())</f>
        <v/>
      </c>
    </row>
    <row r="1985">
      <c r="J1985">
        <f>IF(AND(ISNUMBER('Data'!$F$1986),'Data'!$F$1986&lt;&gt;999,'Data'!$F$1986&lt;&gt;""),'Data'!$F$1986,"")</f>
        <v/>
      </c>
      <c r="Z1985" t="n">
        <v>1</v>
      </c>
      <c r="AA1985">
        <f>IF(ISNUMBER('IN-CLASS_Lab Part C'!$J$1985),'IN-CLASS_Lab Part C'!$J$1985,NA())</f>
        <v/>
      </c>
    </row>
    <row r="1986">
      <c r="J1986">
        <f>IF(AND(ISNUMBER('Data'!$F$1987),'Data'!$F$1987&lt;&gt;999,'Data'!$F$1987&lt;&gt;""),'Data'!$F$1987,"")</f>
        <v/>
      </c>
      <c r="Z1986" t="n">
        <v>1</v>
      </c>
      <c r="AA1986">
        <f>IF(ISNUMBER('IN-CLASS_Lab Part C'!$J$1986),'IN-CLASS_Lab Part C'!$J$1986,NA())</f>
        <v/>
      </c>
    </row>
    <row r="1987">
      <c r="J1987">
        <f>IF(AND(ISNUMBER('Data'!$F$1988),'Data'!$F$1988&lt;&gt;999,'Data'!$F$1988&lt;&gt;""),'Data'!$F$1988,"")</f>
        <v/>
      </c>
      <c r="Z1987" t="n">
        <v>1</v>
      </c>
      <c r="AA1987">
        <f>IF(ISNUMBER('IN-CLASS_Lab Part C'!$J$1987),'IN-CLASS_Lab Part C'!$J$1987,NA())</f>
        <v/>
      </c>
    </row>
    <row r="1988">
      <c r="J1988">
        <f>IF(AND(ISNUMBER('Data'!$F$1989),'Data'!$F$1989&lt;&gt;999,'Data'!$F$1989&lt;&gt;""),'Data'!$F$1989,"")</f>
        <v/>
      </c>
      <c r="Z1988" t="n">
        <v>1</v>
      </c>
      <c r="AA1988">
        <f>IF(ISNUMBER('IN-CLASS_Lab Part C'!$J$1988),'IN-CLASS_Lab Part C'!$J$1988,NA())</f>
        <v/>
      </c>
    </row>
    <row r="1989">
      <c r="J1989">
        <f>IF(AND(ISNUMBER('Data'!$F$1990),'Data'!$F$1990&lt;&gt;999,'Data'!$F$1990&lt;&gt;""),'Data'!$F$1990,"")</f>
        <v/>
      </c>
      <c r="Z1989" t="n">
        <v>1</v>
      </c>
      <c r="AA1989">
        <f>IF(ISNUMBER('IN-CLASS_Lab Part C'!$J$1989),'IN-CLASS_Lab Part C'!$J$1989,NA())</f>
        <v/>
      </c>
    </row>
    <row r="1990">
      <c r="J1990">
        <f>IF(AND(ISNUMBER('Data'!$F$1991),'Data'!$F$1991&lt;&gt;999,'Data'!$F$1991&lt;&gt;""),'Data'!$F$1991,"")</f>
        <v/>
      </c>
      <c r="Z1990" t="n">
        <v>1</v>
      </c>
      <c r="AA1990">
        <f>IF(ISNUMBER('IN-CLASS_Lab Part C'!$J$1990),'IN-CLASS_Lab Part C'!$J$1990,NA())</f>
        <v/>
      </c>
    </row>
    <row r="1991">
      <c r="J1991">
        <f>IF(AND(ISNUMBER('Data'!$F$1992),'Data'!$F$1992&lt;&gt;999,'Data'!$F$1992&lt;&gt;""),'Data'!$F$1992,"")</f>
        <v/>
      </c>
      <c r="Z1991" t="n">
        <v>1</v>
      </c>
      <c r="AA1991">
        <f>IF(ISNUMBER('IN-CLASS_Lab Part C'!$J$1991),'IN-CLASS_Lab Part C'!$J$1991,NA())</f>
        <v/>
      </c>
    </row>
    <row r="1992">
      <c r="J1992">
        <f>IF(AND(ISNUMBER('Data'!$F$1993),'Data'!$F$1993&lt;&gt;999,'Data'!$F$1993&lt;&gt;""),'Data'!$F$1993,"")</f>
        <v/>
      </c>
      <c r="Z1992" t="n">
        <v>1</v>
      </c>
      <c r="AA1992">
        <f>IF(ISNUMBER('IN-CLASS_Lab Part C'!$J$1992),'IN-CLASS_Lab Part C'!$J$1992,NA())</f>
        <v/>
      </c>
    </row>
    <row r="1993">
      <c r="J1993">
        <f>IF(AND(ISNUMBER('Data'!$F$1994),'Data'!$F$1994&lt;&gt;999,'Data'!$F$1994&lt;&gt;""),'Data'!$F$1994,"")</f>
        <v/>
      </c>
      <c r="Z1993" t="n">
        <v>1</v>
      </c>
      <c r="AA1993">
        <f>IF(ISNUMBER('IN-CLASS_Lab Part C'!$J$1993),'IN-CLASS_Lab Part C'!$J$1993,NA())</f>
        <v/>
      </c>
    </row>
    <row r="1994">
      <c r="J1994">
        <f>IF(AND(ISNUMBER('Data'!$F$1995),'Data'!$F$1995&lt;&gt;999,'Data'!$F$1995&lt;&gt;""),'Data'!$F$1995,"")</f>
        <v/>
      </c>
      <c r="Z1994" t="n">
        <v>1</v>
      </c>
      <c r="AA1994">
        <f>IF(ISNUMBER('IN-CLASS_Lab Part C'!$J$1994),'IN-CLASS_Lab Part C'!$J$1994,NA())</f>
        <v/>
      </c>
    </row>
    <row r="1995">
      <c r="J1995">
        <f>IF(AND(ISNUMBER('Data'!$F$1996),'Data'!$F$1996&lt;&gt;999,'Data'!$F$1996&lt;&gt;""),'Data'!$F$1996,"")</f>
        <v/>
      </c>
      <c r="Z1995" t="n">
        <v>1</v>
      </c>
      <c r="AA1995">
        <f>IF(ISNUMBER('IN-CLASS_Lab Part C'!$J$1995),'IN-CLASS_Lab Part C'!$J$1995,NA())</f>
        <v/>
      </c>
    </row>
    <row r="1996">
      <c r="J1996">
        <f>IF(AND(ISNUMBER('Data'!$F$1997),'Data'!$F$1997&lt;&gt;999,'Data'!$F$1997&lt;&gt;""),'Data'!$F$1997,"")</f>
        <v/>
      </c>
      <c r="Z1996" t="n">
        <v>1</v>
      </c>
      <c r="AA1996">
        <f>IF(ISNUMBER('IN-CLASS_Lab Part C'!$J$1996),'IN-CLASS_Lab Part C'!$J$1996,NA())</f>
        <v/>
      </c>
    </row>
    <row r="1997">
      <c r="J1997">
        <f>IF(AND(ISNUMBER('Data'!$F$1998),'Data'!$F$1998&lt;&gt;999,'Data'!$F$1998&lt;&gt;""),'Data'!$F$1998,"")</f>
        <v/>
      </c>
      <c r="Z1997" t="n">
        <v>1</v>
      </c>
      <c r="AA1997">
        <f>IF(ISNUMBER('IN-CLASS_Lab Part C'!$J$1997),'IN-CLASS_Lab Part C'!$J$1997,NA())</f>
        <v/>
      </c>
    </row>
    <row r="1998">
      <c r="J1998">
        <f>IF(AND(ISNUMBER('Data'!$F$1999),'Data'!$F$1999&lt;&gt;999,'Data'!$F$1999&lt;&gt;""),'Data'!$F$1999,"")</f>
        <v/>
      </c>
      <c r="Z1998" t="n">
        <v>1</v>
      </c>
      <c r="AA1998">
        <f>IF(ISNUMBER('IN-CLASS_Lab Part C'!$J$1998),'IN-CLASS_Lab Part C'!$J$1998,NA())</f>
        <v/>
      </c>
    </row>
    <row r="1999">
      <c r="J1999">
        <f>IF(AND(ISNUMBER('Data'!$F$2000),'Data'!$F$2000&lt;&gt;999,'Data'!$F$2000&lt;&gt;""),'Data'!$F$2000,"")</f>
        <v/>
      </c>
      <c r="Z1999" t="n">
        <v>1</v>
      </c>
      <c r="AA1999">
        <f>IF(ISNUMBER('IN-CLASS_Lab Part C'!$J$1999),'IN-CLASS_Lab Part C'!$J$1999,NA())</f>
        <v/>
      </c>
    </row>
    <row r="2000">
      <c r="J2000">
        <f>IF(AND(ISNUMBER('Data'!$F$2001),'Data'!$F$2001&lt;&gt;999,'Data'!$F$2001&lt;&gt;""),'Data'!$F$2001,"")</f>
        <v/>
      </c>
      <c r="Z2000" t="n">
        <v>1</v>
      </c>
      <c r="AA2000">
        <f>IF(ISNUMBER('IN-CLASS_Lab Part C'!$J$2000),'IN-CLASS_Lab Part C'!$J$2000,NA())</f>
        <v/>
      </c>
    </row>
    <row r="2001">
      <c r="J2001">
        <f>IF(AND(ISNUMBER('Data'!$F$2002),'Data'!$F$2002&lt;&gt;999,'Data'!$F$2002&lt;&gt;""),'Data'!$F$2002,"")</f>
        <v/>
      </c>
      <c r="Z2001" t="n">
        <v>1</v>
      </c>
      <c r="AA2001">
        <f>IF(ISNUMBER('IN-CLASS_Lab Part C'!$J$2001),'IN-CLASS_Lab Part C'!$J$2001,NA())</f>
        <v/>
      </c>
    </row>
    <row r="2002">
      <c r="J2002">
        <f>IF(AND(ISNUMBER('Data'!$F$2003),'Data'!$F$2003&lt;&gt;999,'Data'!$F$2003&lt;&gt;""),'Data'!$F$2003,"")</f>
        <v/>
      </c>
      <c r="Z2002" t="n">
        <v>1</v>
      </c>
      <c r="AA2002">
        <f>IF(ISNUMBER('IN-CLASS_Lab Part C'!$J$2002),'IN-CLASS_Lab Part C'!$J$2002,NA())</f>
        <v/>
      </c>
    </row>
    <row r="2003">
      <c r="J2003">
        <f>IF(AND(ISNUMBER('Data'!$F$2004),'Data'!$F$2004&lt;&gt;999,'Data'!$F$2004&lt;&gt;""),'Data'!$F$2004,"")</f>
        <v/>
      </c>
      <c r="Z2003" t="n">
        <v>1</v>
      </c>
      <c r="AA2003">
        <f>IF(ISNUMBER('IN-CLASS_Lab Part C'!$J$2003),'IN-CLASS_Lab Part C'!$J$2003,NA())</f>
        <v/>
      </c>
    </row>
    <row r="2004">
      <c r="J2004">
        <f>IF(AND(ISNUMBER('Data'!$F$2005),'Data'!$F$2005&lt;&gt;999,'Data'!$F$2005&lt;&gt;""),'Data'!$F$2005,"")</f>
        <v/>
      </c>
      <c r="Z2004" t="n">
        <v>1</v>
      </c>
      <c r="AA2004">
        <f>IF(ISNUMBER('IN-CLASS_Lab Part C'!$J$2004),'IN-CLASS_Lab Part C'!$J$2004,NA())</f>
        <v/>
      </c>
    </row>
    <row r="2005">
      <c r="J2005">
        <f>IF(AND(ISNUMBER('Data'!$F$2006),'Data'!$F$2006&lt;&gt;999,'Data'!$F$2006&lt;&gt;""),'Data'!$F$2006,"")</f>
        <v/>
      </c>
      <c r="Z2005" t="n">
        <v>1</v>
      </c>
      <c r="AA2005">
        <f>IF(ISNUMBER('IN-CLASS_Lab Part C'!$J$2005),'IN-CLASS_Lab Part C'!$J$2005,NA())</f>
        <v/>
      </c>
    </row>
    <row r="2006">
      <c r="J2006">
        <f>IF(AND(ISNUMBER('Data'!$F$2007),'Data'!$F$2007&lt;&gt;999,'Data'!$F$2007&lt;&gt;""),'Data'!$F$2007,"")</f>
        <v/>
      </c>
      <c r="Z2006" t="n">
        <v>1</v>
      </c>
      <c r="AA2006">
        <f>IF(ISNUMBER('IN-CLASS_Lab Part C'!$J$2006),'IN-CLASS_Lab Part C'!$J$2006,NA())</f>
        <v/>
      </c>
    </row>
    <row r="2007">
      <c r="J2007">
        <f>IF(AND(ISNUMBER('Data'!$F$2008),'Data'!$F$2008&lt;&gt;999,'Data'!$F$2008&lt;&gt;""),'Data'!$F$2008,"")</f>
        <v/>
      </c>
      <c r="Z2007" t="n">
        <v>1</v>
      </c>
      <c r="AA2007">
        <f>IF(ISNUMBER('IN-CLASS_Lab Part C'!$J$2007),'IN-CLASS_Lab Part C'!$J$2007,NA())</f>
        <v/>
      </c>
    </row>
    <row r="2008">
      <c r="J2008">
        <f>IF(AND(ISNUMBER('Data'!$F$2009),'Data'!$F$2009&lt;&gt;999,'Data'!$F$2009&lt;&gt;""),'Data'!$F$2009,"")</f>
        <v/>
      </c>
      <c r="Z2008" t="n">
        <v>1</v>
      </c>
      <c r="AA2008">
        <f>IF(ISNUMBER('IN-CLASS_Lab Part C'!$J$2008),'IN-CLASS_Lab Part C'!$J$2008,NA())</f>
        <v/>
      </c>
    </row>
    <row r="2009">
      <c r="J2009">
        <f>IF(AND(ISNUMBER('Data'!$F$2010),'Data'!$F$2010&lt;&gt;999,'Data'!$F$2010&lt;&gt;""),'Data'!$F$2010,"")</f>
        <v/>
      </c>
      <c r="Z2009" t="n">
        <v>1</v>
      </c>
      <c r="AA2009">
        <f>IF(ISNUMBER('IN-CLASS_Lab Part C'!$J$2009),'IN-CLASS_Lab Part C'!$J$2009,NA())</f>
        <v/>
      </c>
    </row>
    <row r="2010">
      <c r="J2010">
        <f>IF(AND(ISNUMBER('Data'!$F$2011),'Data'!$F$2011&lt;&gt;999,'Data'!$F$2011&lt;&gt;""),'Data'!$F$2011,"")</f>
        <v/>
      </c>
      <c r="Z2010" t="n">
        <v>1</v>
      </c>
      <c r="AA2010">
        <f>IF(ISNUMBER('IN-CLASS_Lab Part C'!$J$2010),'IN-CLASS_Lab Part C'!$J$2010,NA())</f>
        <v/>
      </c>
    </row>
    <row r="2011">
      <c r="J2011">
        <f>IF(AND(ISNUMBER('Data'!$F$2012),'Data'!$F$2012&lt;&gt;999,'Data'!$F$2012&lt;&gt;""),'Data'!$F$2012,"")</f>
        <v/>
      </c>
      <c r="Z2011" t="n">
        <v>1</v>
      </c>
      <c r="AA2011">
        <f>IF(ISNUMBER('IN-CLASS_Lab Part C'!$J$2011),'IN-CLASS_Lab Part C'!$J$2011,NA())</f>
        <v/>
      </c>
    </row>
    <row r="2012">
      <c r="J2012">
        <f>IF(AND(ISNUMBER('Data'!$F$2013),'Data'!$F$2013&lt;&gt;999,'Data'!$F$2013&lt;&gt;""),'Data'!$F$2013,"")</f>
        <v/>
      </c>
      <c r="Z2012" t="n">
        <v>1</v>
      </c>
      <c r="AA2012">
        <f>IF(ISNUMBER('IN-CLASS_Lab Part C'!$J$2012),'IN-CLASS_Lab Part C'!$J$2012,NA())</f>
        <v/>
      </c>
    </row>
    <row r="2013">
      <c r="J2013">
        <f>IF(AND(ISNUMBER('Data'!$F$2014),'Data'!$F$2014&lt;&gt;999,'Data'!$F$2014&lt;&gt;""),'Data'!$F$2014,"")</f>
        <v/>
      </c>
      <c r="Z2013" t="n">
        <v>1</v>
      </c>
      <c r="AA2013">
        <f>IF(ISNUMBER('IN-CLASS_Lab Part C'!$J$2013),'IN-CLASS_Lab Part C'!$J$2013,NA())</f>
        <v/>
      </c>
    </row>
    <row r="2014">
      <c r="J2014">
        <f>IF(AND(ISNUMBER('Data'!$F$2015),'Data'!$F$2015&lt;&gt;999,'Data'!$F$2015&lt;&gt;""),'Data'!$F$2015,"")</f>
        <v/>
      </c>
      <c r="Z2014" t="n">
        <v>1</v>
      </c>
      <c r="AA2014">
        <f>IF(ISNUMBER('IN-CLASS_Lab Part C'!$J$2014),'IN-CLASS_Lab Part C'!$J$2014,NA())</f>
        <v/>
      </c>
    </row>
    <row r="2015">
      <c r="J2015">
        <f>IF(AND(ISNUMBER('Data'!$F$2016),'Data'!$F$2016&lt;&gt;999,'Data'!$F$2016&lt;&gt;""),'Data'!$F$2016,"")</f>
        <v/>
      </c>
      <c r="Z2015" t="n">
        <v>1</v>
      </c>
      <c r="AA2015">
        <f>IF(ISNUMBER('IN-CLASS_Lab Part C'!$J$2015),'IN-CLASS_Lab Part C'!$J$2015,NA())</f>
        <v/>
      </c>
    </row>
    <row r="2016">
      <c r="J2016">
        <f>IF(AND(ISNUMBER('Data'!$F$2017),'Data'!$F$2017&lt;&gt;999,'Data'!$F$2017&lt;&gt;""),'Data'!$F$2017,"")</f>
        <v/>
      </c>
      <c r="Z2016" t="n">
        <v>1</v>
      </c>
      <c r="AA2016">
        <f>IF(ISNUMBER('IN-CLASS_Lab Part C'!$J$2016),'IN-CLASS_Lab Part C'!$J$2016,NA())</f>
        <v/>
      </c>
    </row>
    <row r="2017">
      <c r="J2017">
        <f>IF(AND(ISNUMBER('Data'!$F$2018),'Data'!$F$2018&lt;&gt;999,'Data'!$F$2018&lt;&gt;""),'Data'!$F$2018,"")</f>
        <v/>
      </c>
      <c r="Z2017" t="n">
        <v>1</v>
      </c>
      <c r="AA2017">
        <f>IF(ISNUMBER('IN-CLASS_Lab Part C'!$J$2017),'IN-CLASS_Lab Part C'!$J$2017,NA())</f>
        <v/>
      </c>
    </row>
    <row r="2018">
      <c r="J2018">
        <f>IF(AND(ISNUMBER('Data'!$F$2019),'Data'!$F$2019&lt;&gt;999,'Data'!$F$2019&lt;&gt;""),'Data'!$F$2019,"")</f>
        <v/>
      </c>
      <c r="Z2018" t="n">
        <v>1</v>
      </c>
      <c r="AA2018">
        <f>IF(ISNUMBER('IN-CLASS_Lab Part C'!$J$2018),'IN-CLASS_Lab Part C'!$J$2018,NA())</f>
        <v/>
      </c>
    </row>
    <row r="2019">
      <c r="J2019">
        <f>IF(AND(ISNUMBER('Data'!$F$2020),'Data'!$F$2020&lt;&gt;999,'Data'!$F$2020&lt;&gt;""),'Data'!$F$2020,"")</f>
        <v/>
      </c>
      <c r="Z2019" t="n">
        <v>1</v>
      </c>
      <c r="AA2019">
        <f>IF(ISNUMBER('IN-CLASS_Lab Part C'!$J$2019),'IN-CLASS_Lab Part C'!$J$2019,NA())</f>
        <v/>
      </c>
    </row>
    <row r="2020">
      <c r="J2020">
        <f>IF(AND(ISNUMBER('Data'!$F$2021),'Data'!$F$2021&lt;&gt;999,'Data'!$F$2021&lt;&gt;""),'Data'!$F$2021,"")</f>
        <v/>
      </c>
      <c r="Z2020" t="n">
        <v>1</v>
      </c>
      <c r="AA2020">
        <f>IF(ISNUMBER('IN-CLASS_Lab Part C'!$J$2020),'IN-CLASS_Lab Part C'!$J$2020,NA())</f>
        <v/>
      </c>
    </row>
    <row r="2021">
      <c r="J2021">
        <f>IF(AND(ISNUMBER('Data'!$F$2022),'Data'!$F$2022&lt;&gt;999,'Data'!$F$2022&lt;&gt;""),'Data'!$F$2022,"")</f>
        <v/>
      </c>
      <c r="Z2021" t="n">
        <v>1</v>
      </c>
      <c r="AA2021">
        <f>IF(ISNUMBER('IN-CLASS_Lab Part C'!$J$2021),'IN-CLASS_Lab Part C'!$J$2021,NA())</f>
        <v/>
      </c>
    </row>
    <row r="2022">
      <c r="J2022">
        <f>IF(AND(ISNUMBER('Data'!$F$2023),'Data'!$F$2023&lt;&gt;999,'Data'!$F$2023&lt;&gt;""),'Data'!$F$2023,"")</f>
        <v/>
      </c>
      <c r="Z2022" t="n">
        <v>1</v>
      </c>
      <c r="AA2022">
        <f>IF(ISNUMBER('IN-CLASS_Lab Part C'!$J$2022),'IN-CLASS_Lab Part C'!$J$2022,NA())</f>
        <v/>
      </c>
    </row>
    <row r="2023">
      <c r="J2023">
        <f>IF(AND(ISNUMBER('Data'!$F$2024),'Data'!$F$2024&lt;&gt;999,'Data'!$F$2024&lt;&gt;""),'Data'!$F$2024,"")</f>
        <v/>
      </c>
      <c r="Z2023" t="n">
        <v>1</v>
      </c>
      <c r="AA2023">
        <f>IF(ISNUMBER('IN-CLASS_Lab Part C'!$J$2023),'IN-CLASS_Lab Part C'!$J$2023,NA())</f>
        <v/>
      </c>
    </row>
    <row r="2024">
      <c r="J2024">
        <f>IF(AND(ISNUMBER('Data'!$F$2025),'Data'!$F$2025&lt;&gt;999,'Data'!$F$2025&lt;&gt;""),'Data'!$F$2025,"")</f>
        <v/>
      </c>
      <c r="Z2024" t="n">
        <v>1</v>
      </c>
      <c r="AA2024">
        <f>IF(ISNUMBER('IN-CLASS_Lab Part C'!$J$2024),'IN-CLASS_Lab Part C'!$J$2024,NA())</f>
        <v/>
      </c>
    </row>
    <row r="2025">
      <c r="J2025">
        <f>IF(AND(ISNUMBER('Data'!$F$2026),'Data'!$F$2026&lt;&gt;999,'Data'!$F$2026&lt;&gt;""),'Data'!$F$2026,"")</f>
        <v/>
      </c>
      <c r="Z2025" t="n">
        <v>1</v>
      </c>
      <c r="AA2025">
        <f>IF(ISNUMBER('IN-CLASS_Lab Part C'!$J$2025),'IN-CLASS_Lab Part C'!$J$2025,NA())</f>
        <v/>
      </c>
    </row>
    <row r="2026">
      <c r="J2026">
        <f>IF(AND(ISNUMBER('Data'!$F$2027),'Data'!$F$2027&lt;&gt;999,'Data'!$F$2027&lt;&gt;""),'Data'!$F$2027,"")</f>
        <v/>
      </c>
      <c r="Z2026" t="n">
        <v>1</v>
      </c>
      <c r="AA2026">
        <f>IF(ISNUMBER('IN-CLASS_Lab Part C'!$J$2026),'IN-CLASS_Lab Part C'!$J$2026,NA())</f>
        <v/>
      </c>
    </row>
    <row r="2027">
      <c r="J2027">
        <f>IF(AND(ISNUMBER('Data'!$F$2028),'Data'!$F$2028&lt;&gt;999,'Data'!$F$2028&lt;&gt;""),'Data'!$F$2028,"")</f>
        <v/>
      </c>
      <c r="Z2027" t="n">
        <v>1</v>
      </c>
      <c r="AA2027">
        <f>IF(ISNUMBER('IN-CLASS_Lab Part C'!$J$2027),'IN-CLASS_Lab Part C'!$J$2027,NA())</f>
        <v/>
      </c>
    </row>
    <row r="2028">
      <c r="J2028">
        <f>IF(AND(ISNUMBER('Data'!$F$2029),'Data'!$F$2029&lt;&gt;999,'Data'!$F$2029&lt;&gt;""),'Data'!$F$2029,"")</f>
        <v/>
      </c>
      <c r="Z2028" t="n">
        <v>1</v>
      </c>
      <c r="AA2028">
        <f>IF(ISNUMBER('IN-CLASS_Lab Part C'!$J$2028),'IN-CLASS_Lab Part C'!$J$2028,NA())</f>
        <v/>
      </c>
    </row>
    <row r="2029">
      <c r="J2029">
        <f>IF(AND(ISNUMBER('Data'!$F$2030),'Data'!$F$2030&lt;&gt;999,'Data'!$F$2030&lt;&gt;""),'Data'!$F$2030,"")</f>
        <v/>
      </c>
      <c r="Z2029" t="n">
        <v>1</v>
      </c>
      <c r="AA2029">
        <f>IF(ISNUMBER('IN-CLASS_Lab Part C'!$J$2029),'IN-CLASS_Lab Part C'!$J$2029,NA())</f>
        <v/>
      </c>
    </row>
    <row r="2030">
      <c r="J2030">
        <f>IF(AND(ISNUMBER('Data'!$F$2031),'Data'!$F$2031&lt;&gt;999,'Data'!$F$2031&lt;&gt;""),'Data'!$F$2031,"")</f>
        <v/>
      </c>
      <c r="Z2030" t="n">
        <v>1</v>
      </c>
      <c r="AA2030">
        <f>IF(ISNUMBER('IN-CLASS_Lab Part C'!$J$2030),'IN-CLASS_Lab Part C'!$J$2030,NA())</f>
        <v/>
      </c>
    </row>
    <row r="2031">
      <c r="J2031">
        <f>IF(AND(ISNUMBER('Data'!$F$2032),'Data'!$F$2032&lt;&gt;999,'Data'!$F$2032&lt;&gt;""),'Data'!$F$2032,"")</f>
        <v/>
      </c>
      <c r="Z2031" t="n">
        <v>1</v>
      </c>
      <c r="AA2031">
        <f>IF(ISNUMBER('IN-CLASS_Lab Part C'!$J$2031),'IN-CLASS_Lab Part C'!$J$2031,NA())</f>
        <v/>
      </c>
    </row>
    <row r="2032">
      <c r="J2032">
        <f>IF(AND(ISNUMBER('Data'!$F$2033),'Data'!$F$2033&lt;&gt;999,'Data'!$F$2033&lt;&gt;""),'Data'!$F$2033,"")</f>
        <v/>
      </c>
      <c r="Z2032" t="n">
        <v>1</v>
      </c>
      <c r="AA2032">
        <f>IF(ISNUMBER('IN-CLASS_Lab Part C'!$J$2032),'IN-CLASS_Lab Part C'!$J$2032,NA())</f>
        <v/>
      </c>
    </row>
    <row r="2033">
      <c r="J2033">
        <f>IF(AND(ISNUMBER('Data'!$F$2034),'Data'!$F$2034&lt;&gt;999,'Data'!$F$2034&lt;&gt;""),'Data'!$F$2034,"")</f>
        <v/>
      </c>
      <c r="Z2033" t="n">
        <v>1</v>
      </c>
      <c r="AA2033">
        <f>IF(ISNUMBER('IN-CLASS_Lab Part C'!$J$2033),'IN-CLASS_Lab Part C'!$J$2033,NA())</f>
        <v/>
      </c>
    </row>
    <row r="2034">
      <c r="J2034">
        <f>IF(AND(ISNUMBER('Data'!$F$2035),'Data'!$F$2035&lt;&gt;999,'Data'!$F$2035&lt;&gt;""),'Data'!$F$2035,"")</f>
        <v/>
      </c>
      <c r="Z2034" t="n">
        <v>1</v>
      </c>
      <c r="AA2034">
        <f>IF(ISNUMBER('IN-CLASS_Lab Part C'!$J$2034),'IN-CLASS_Lab Part C'!$J$2034,NA())</f>
        <v/>
      </c>
    </row>
    <row r="2035">
      <c r="J2035">
        <f>IF(AND(ISNUMBER('Data'!$F$2036),'Data'!$F$2036&lt;&gt;999,'Data'!$F$2036&lt;&gt;""),'Data'!$F$2036,"")</f>
        <v/>
      </c>
      <c r="Z2035" t="n">
        <v>1</v>
      </c>
      <c r="AA2035">
        <f>IF(ISNUMBER('IN-CLASS_Lab Part C'!$J$2035),'IN-CLASS_Lab Part C'!$J$2035,NA())</f>
        <v/>
      </c>
    </row>
    <row r="2036">
      <c r="J2036">
        <f>IF(AND(ISNUMBER('Data'!$F$2037),'Data'!$F$2037&lt;&gt;999,'Data'!$F$2037&lt;&gt;""),'Data'!$F$2037,"")</f>
        <v/>
      </c>
      <c r="Z2036" t="n">
        <v>1</v>
      </c>
      <c r="AA2036">
        <f>IF(ISNUMBER('IN-CLASS_Lab Part C'!$J$2036),'IN-CLASS_Lab Part C'!$J$2036,NA())</f>
        <v/>
      </c>
    </row>
    <row r="2037">
      <c r="J2037">
        <f>IF(AND(ISNUMBER('Data'!$F$2038),'Data'!$F$2038&lt;&gt;999,'Data'!$F$2038&lt;&gt;""),'Data'!$F$2038,"")</f>
        <v/>
      </c>
      <c r="Z2037" t="n">
        <v>1</v>
      </c>
      <c r="AA2037">
        <f>IF(ISNUMBER('IN-CLASS_Lab Part C'!$J$2037),'IN-CLASS_Lab Part C'!$J$2037,NA())</f>
        <v/>
      </c>
    </row>
    <row r="2038">
      <c r="J2038">
        <f>IF(AND(ISNUMBER('Data'!$F$2039),'Data'!$F$2039&lt;&gt;999,'Data'!$F$2039&lt;&gt;""),'Data'!$F$2039,"")</f>
        <v/>
      </c>
      <c r="Z2038" t="n">
        <v>1</v>
      </c>
      <c r="AA2038">
        <f>IF(ISNUMBER('IN-CLASS_Lab Part C'!$J$2038),'IN-CLASS_Lab Part C'!$J$2038,NA())</f>
        <v/>
      </c>
    </row>
    <row r="2039">
      <c r="J2039">
        <f>IF(AND(ISNUMBER('Data'!$F$2040),'Data'!$F$2040&lt;&gt;999,'Data'!$F$2040&lt;&gt;""),'Data'!$F$2040,"")</f>
        <v/>
      </c>
      <c r="Z2039" t="n">
        <v>1</v>
      </c>
      <c r="AA2039">
        <f>IF(ISNUMBER('IN-CLASS_Lab Part C'!$J$2039),'IN-CLASS_Lab Part C'!$J$2039,NA())</f>
        <v/>
      </c>
    </row>
    <row r="2040">
      <c r="J2040">
        <f>IF(AND(ISNUMBER('Data'!$F$2041),'Data'!$F$2041&lt;&gt;999,'Data'!$F$2041&lt;&gt;""),'Data'!$F$2041,"")</f>
        <v/>
      </c>
      <c r="Z2040" t="n">
        <v>1</v>
      </c>
      <c r="AA2040">
        <f>IF(ISNUMBER('IN-CLASS_Lab Part C'!$J$2040),'IN-CLASS_Lab Part C'!$J$2040,NA())</f>
        <v/>
      </c>
    </row>
    <row r="2041">
      <c r="J2041">
        <f>IF(AND(ISNUMBER('Data'!$F$2042),'Data'!$F$2042&lt;&gt;999,'Data'!$F$2042&lt;&gt;""),'Data'!$F$2042,"")</f>
        <v/>
      </c>
      <c r="Z2041" t="n">
        <v>1</v>
      </c>
      <c r="AA2041">
        <f>IF(ISNUMBER('IN-CLASS_Lab Part C'!$J$2041),'IN-CLASS_Lab Part C'!$J$2041,NA())</f>
        <v/>
      </c>
    </row>
    <row r="2042">
      <c r="J2042">
        <f>IF(AND(ISNUMBER('Data'!$F$2043),'Data'!$F$2043&lt;&gt;999,'Data'!$F$2043&lt;&gt;""),'Data'!$F$2043,"")</f>
        <v/>
      </c>
      <c r="Z2042" t="n">
        <v>1</v>
      </c>
      <c r="AA2042">
        <f>IF(ISNUMBER('IN-CLASS_Lab Part C'!$J$2042),'IN-CLASS_Lab Part C'!$J$2042,NA())</f>
        <v/>
      </c>
    </row>
    <row r="2043">
      <c r="J2043">
        <f>IF(AND(ISNUMBER('Data'!$F$2044),'Data'!$F$2044&lt;&gt;999,'Data'!$F$2044&lt;&gt;""),'Data'!$F$2044,"")</f>
        <v/>
      </c>
      <c r="Z2043" t="n">
        <v>1</v>
      </c>
      <c r="AA2043">
        <f>IF(ISNUMBER('IN-CLASS_Lab Part C'!$J$2043),'IN-CLASS_Lab Part C'!$J$2043,NA())</f>
        <v/>
      </c>
    </row>
    <row r="2044">
      <c r="J2044">
        <f>IF(AND(ISNUMBER('Data'!$F$2045),'Data'!$F$2045&lt;&gt;999,'Data'!$F$2045&lt;&gt;""),'Data'!$F$2045,"")</f>
        <v/>
      </c>
      <c r="Z2044" t="n">
        <v>1</v>
      </c>
      <c r="AA2044">
        <f>IF(ISNUMBER('IN-CLASS_Lab Part C'!$J$2044),'IN-CLASS_Lab Part C'!$J$2044,NA())</f>
        <v/>
      </c>
    </row>
    <row r="2045">
      <c r="J2045">
        <f>IF(AND(ISNUMBER('Data'!$F$2046),'Data'!$F$2046&lt;&gt;999,'Data'!$F$2046&lt;&gt;""),'Data'!$F$2046,"")</f>
        <v/>
      </c>
      <c r="Z2045" t="n">
        <v>1</v>
      </c>
      <c r="AA2045">
        <f>IF(ISNUMBER('IN-CLASS_Lab Part C'!$J$2045),'IN-CLASS_Lab Part C'!$J$2045,NA())</f>
        <v/>
      </c>
    </row>
    <row r="2046">
      <c r="J2046">
        <f>IF(AND(ISNUMBER('Data'!$F$2047),'Data'!$F$2047&lt;&gt;999,'Data'!$F$2047&lt;&gt;""),'Data'!$F$2047,"")</f>
        <v/>
      </c>
      <c r="Z2046" t="n">
        <v>1</v>
      </c>
      <c r="AA2046">
        <f>IF(ISNUMBER('IN-CLASS_Lab Part C'!$J$2046),'IN-CLASS_Lab Part C'!$J$2046,NA())</f>
        <v/>
      </c>
    </row>
    <row r="2047">
      <c r="J2047">
        <f>IF(AND(ISNUMBER('Data'!$F$2048),'Data'!$F$2048&lt;&gt;999,'Data'!$F$2048&lt;&gt;""),'Data'!$F$2048,"")</f>
        <v/>
      </c>
      <c r="Z2047" t="n">
        <v>1</v>
      </c>
      <c r="AA2047">
        <f>IF(ISNUMBER('IN-CLASS_Lab Part C'!$J$2047),'IN-CLASS_Lab Part C'!$J$2047,NA())</f>
        <v/>
      </c>
    </row>
    <row r="2048">
      <c r="J2048">
        <f>IF(AND(ISNUMBER('Data'!$F$2049),'Data'!$F$2049&lt;&gt;999,'Data'!$F$2049&lt;&gt;""),'Data'!$F$2049,"")</f>
        <v/>
      </c>
      <c r="Z2048" t="n">
        <v>1</v>
      </c>
      <c r="AA2048">
        <f>IF(ISNUMBER('IN-CLASS_Lab Part C'!$J$2048),'IN-CLASS_Lab Part C'!$J$2048,NA())</f>
        <v/>
      </c>
    </row>
    <row r="2049">
      <c r="J2049">
        <f>IF(AND(ISNUMBER('Data'!$F$2050),'Data'!$F$2050&lt;&gt;999,'Data'!$F$2050&lt;&gt;""),'Data'!$F$2050,"")</f>
        <v/>
      </c>
      <c r="Z2049" t="n">
        <v>1</v>
      </c>
      <c r="AA2049">
        <f>IF(ISNUMBER('IN-CLASS_Lab Part C'!$J$2049),'IN-CLASS_Lab Part C'!$J$2049,NA())</f>
        <v/>
      </c>
    </row>
    <row r="2050">
      <c r="J2050">
        <f>IF(AND(ISNUMBER('Data'!$F$2051),'Data'!$F$2051&lt;&gt;999,'Data'!$F$2051&lt;&gt;""),'Data'!$F$2051,"")</f>
        <v/>
      </c>
      <c r="Z2050" t="n">
        <v>1</v>
      </c>
      <c r="AA2050">
        <f>IF(ISNUMBER('IN-CLASS_Lab Part C'!$J$2050),'IN-CLASS_Lab Part C'!$J$2050,NA())</f>
        <v/>
      </c>
    </row>
    <row r="2051">
      <c r="J2051">
        <f>IF(AND(ISNUMBER('Data'!$F$2052),'Data'!$F$2052&lt;&gt;999,'Data'!$F$2052&lt;&gt;""),'Data'!$F$2052,"")</f>
        <v/>
      </c>
      <c r="Z2051" t="n">
        <v>1</v>
      </c>
      <c r="AA2051">
        <f>IF(ISNUMBER('IN-CLASS_Lab Part C'!$J$2051),'IN-CLASS_Lab Part C'!$J$2051,NA())</f>
        <v/>
      </c>
    </row>
    <row r="2052">
      <c r="J2052">
        <f>IF(AND(ISNUMBER('Data'!$F$2053),'Data'!$F$2053&lt;&gt;999,'Data'!$F$2053&lt;&gt;""),'Data'!$F$2053,"")</f>
        <v/>
      </c>
      <c r="Z2052" t="n">
        <v>1</v>
      </c>
      <c r="AA2052">
        <f>IF(ISNUMBER('IN-CLASS_Lab Part C'!$J$2052),'IN-CLASS_Lab Part C'!$J$2052,NA())</f>
        <v/>
      </c>
    </row>
    <row r="2053">
      <c r="J2053">
        <f>IF(AND(ISNUMBER('Data'!$F$2054),'Data'!$F$2054&lt;&gt;999,'Data'!$F$2054&lt;&gt;""),'Data'!$F$2054,"")</f>
        <v/>
      </c>
      <c r="Z2053" t="n">
        <v>1</v>
      </c>
      <c r="AA2053">
        <f>IF(ISNUMBER('IN-CLASS_Lab Part C'!$J$2053),'IN-CLASS_Lab Part C'!$J$2053,NA())</f>
        <v/>
      </c>
    </row>
    <row r="2054">
      <c r="J2054">
        <f>IF(AND(ISNUMBER('Data'!$F$2055),'Data'!$F$2055&lt;&gt;999,'Data'!$F$2055&lt;&gt;""),'Data'!$F$2055,"")</f>
        <v/>
      </c>
      <c r="Z2054" t="n">
        <v>1</v>
      </c>
      <c r="AA2054">
        <f>IF(ISNUMBER('IN-CLASS_Lab Part C'!$J$2054),'IN-CLASS_Lab Part C'!$J$2054,NA())</f>
        <v/>
      </c>
    </row>
    <row r="2055">
      <c r="J2055">
        <f>IF(AND(ISNUMBER('Data'!$F$2056),'Data'!$F$2056&lt;&gt;999,'Data'!$F$2056&lt;&gt;""),'Data'!$F$2056,"")</f>
        <v/>
      </c>
      <c r="Z2055" t="n">
        <v>1</v>
      </c>
      <c r="AA2055">
        <f>IF(ISNUMBER('IN-CLASS_Lab Part C'!$J$2055),'IN-CLASS_Lab Part C'!$J$2055,NA())</f>
        <v/>
      </c>
    </row>
    <row r="2056">
      <c r="J2056">
        <f>IF(AND(ISNUMBER('Data'!$F$2057),'Data'!$F$2057&lt;&gt;999,'Data'!$F$2057&lt;&gt;""),'Data'!$F$2057,"")</f>
        <v/>
      </c>
      <c r="Z2056" t="n">
        <v>1</v>
      </c>
      <c r="AA2056">
        <f>IF(ISNUMBER('IN-CLASS_Lab Part C'!$J$2056),'IN-CLASS_Lab Part C'!$J$2056,NA())</f>
        <v/>
      </c>
    </row>
    <row r="2057">
      <c r="J2057">
        <f>IF(AND(ISNUMBER('Data'!$F$2058),'Data'!$F$2058&lt;&gt;999,'Data'!$F$2058&lt;&gt;""),'Data'!$F$2058,"")</f>
        <v/>
      </c>
      <c r="Z2057" t="n">
        <v>1</v>
      </c>
      <c r="AA2057">
        <f>IF(ISNUMBER('IN-CLASS_Lab Part C'!$J$2057),'IN-CLASS_Lab Part C'!$J$2057,NA())</f>
        <v/>
      </c>
    </row>
    <row r="2058">
      <c r="J2058">
        <f>IF(AND(ISNUMBER('Data'!$F$2059),'Data'!$F$2059&lt;&gt;999,'Data'!$F$2059&lt;&gt;""),'Data'!$F$2059,"")</f>
        <v/>
      </c>
      <c r="Z2058" t="n">
        <v>1</v>
      </c>
      <c r="AA2058">
        <f>IF(ISNUMBER('IN-CLASS_Lab Part C'!$J$2058),'IN-CLASS_Lab Part C'!$J$2058,NA())</f>
        <v/>
      </c>
    </row>
    <row r="2059">
      <c r="J2059">
        <f>IF(AND(ISNUMBER('Data'!$F$2060),'Data'!$F$2060&lt;&gt;999,'Data'!$F$2060&lt;&gt;""),'Data'!$F$2060,"")</f>
        <v/>
      </c>
      <c r="Z2059" t="n">
        <v>1</v>
      </c>
      <c r="AA2059">
        <f>IF(ISNUMBER('IN-CLASS_Lab Part C'!$J$2059),'IN-CLASS_Lab Part C'!$J$2059,NA())</f>
        <v/>
      </c>
    </row>
    <row r="2060">
      <c r="J2060">
        <f>IF(AND(ISNUMBER('Data'!$F$2061),'Data'!$F$2061&lt;&gt;999,'Data'!$F$2061&lt;&gt;""),'Data'!$F$2061,"")</f>
        <v/>
      </c>
      <c r="Z2060" t="n">
        <v>1</v>
      </c>
      <c r="AA2060">
        <f>IF(ISNUMBER('IN-CLASS_Lab Part C'!$J$2060),'IN-CLASS_Lab Part C'!$J$2060,NA())</f>
        <v/>
      </c>
    </row>
    <row r="2061">
      <c r="J2061">
        <f>IF(AND(ISNUMBER('Data'!$F$2062),'Data'!$F$2062&lt;&gt;999,'Data'!$F$2062&lt;&gt;""),'Data'!$F$2062,"")</f>
        <v/>
      </c>
      <c r="Z2061" t="n">
        <v>1</v>
      </c>
      <c r="AA2061">
        <f>IF(ISNUMBER('IN-CLASS_Lab Part C'!$J$2061),'IN-CLASS_Lab Part C'!$J$2061,NA())</f>
        <v/>
      </c>
    </row>
    <row r="2062">
      <c r="J2062">
        <f>IF(AND(ISNUMBER('Data'!$F$2063),'Data'!$F$2063&lt;&gt;999,'Data'!$F$2063&lt;&gt;""),'Data'!$F$2063,"")</f>
        <v/>
      </c>
      <c r="Z2062" t="n">
        <v>1</v>
      </c>
      <c r="AA2062">
        <f>IF(ISNUMBER('IN-CLASS_Lab Part C'!$J$2062),'IN-CLASS_Lab Part C'!$J$2062,NA())</f>
        <v/>
      </c>
    </row>
    <row r="2063">
      <c r="J2063">
        <f>IF(AND(ISNUMBER('Data'!$F$2064),'Data'!$F$2064&lt;&gt;999,'Data'!$F$2064&lt;&gt;""),'Data'!$F$2064,"")</f>
        <v/>
      </c>
      <c r="Z2063" t="n">
        <v>1</v>
      </c>
      <c r="AA2063">
        <f>IF(ISNUMBER('IN-CLASS_Lab Part C'!$J$2063),'IN-CLASS_Lab Part C'!$J$2063,NA())</f>
        <v/>
      </c>
    </row>
    <row r="2064">
      <c r="J2064">
        <f>IF(AND(ISNUMBER('Data'!$F$2065),'Data'!$F$2065&lt;&gt;999,'Data'!$F$2065&lt;&gt;""),'Data'!$F$2065,"")</f>
        <v/>
      </c>
      <c r="Z2064" t="n">
        <v>1</v>
      </c>
      <c r="AA2064">
        <f>IF(ISNUMBER('IN-CLASS_Lab Part C'!$J$2064),'IN-CLASS_Lab Part C'!$J$2064,NA())</f>
        <v/>
      </c>
    </row>
    <row r="2065">
      <c r="J2065">
        <f>IF(AND(ISNUMBER('Data'!$F$2066),'Data'!$F$2066&lt;&gt;999,'Data'!$F$2066&lt;&gt;""),'Data'!$F$2066,"")</f>
        <v/>
      </c>
      <c r="Z2065" t="n">
        <v>1</v>
      </c>
      <c r="AA2065">
        <f>IF(ISNUMBER('IN-CLASS_Lab Part C'!$J$2065),'IN-CLASS_Lab Part C'!$J$2065,NA())</f>
        <v/>
      </c>
    </row>
    <row r="2066">
      <c r="J2066">
        <f>IF(AND(ISNUMBER('Data'!$F$2067),'Data'!$F$2067&lt;&gt;999,'Data'!$F$2067&lt;&gt;""),'Data'!$F$2067,"")</f>
        <v/>
      </c>
      <c r="Z2066" t="n">
        <v>1</v>
      </c>
      <c r="AA2066">
        <f>IF(ISNUMBER('IN-CLASS_Lab Part C'!$J$2066),'IN-CLASS_Lab Part C'!$J$2066,NA())</f>
        <v/>
      </c>
    </row>
    <row r="2067">
      <c r="J2067">
        <f>IF(AND(ISNUMBER('Data'!$F$2068),'Data'!$F$2068&lt;&gt;999,'Data'!$F$2068&lt;&gt;""),'Data'!$F$2068,"")</f>
        <v/>
      </c>
      <c r="Z2067" t="n">
        <v>1</v>
      </c>
      <c r="AA2067">
        <f>IF(ISNUMBER('IN-CLASS_Lab Part C'!$J$2067),'IN-CLASS_Lab Part C'!$J$2067,NA())</f>
        <v/>
      </c>
    </row>
    <row r="2068">
      <c r="J2068">
        <f>IF(AND(ISNUMBER('Data'!$F$2069),'Data'!$F$2069&lt;&gt;999,'Data'!$F$2069&lt;&gt;""),'Data'!$F$2069,"")</f>
        <v/>
      </c>
      <c r="Z2068" t="n">
        <v>1</v>
      </c>
      <c r="AA2068">
        <f>IF(ISNUMBER('IN-CLASS_Lab Part C'!$J$2068),'IN-CLASS_Lab Part C'!$J$2068,NA())</f>
        <v/>
      </c>
    </row>
    <row r="2069">
      <c r="J2069">
        <f>IF(AND(ISNUMBER('Data'!$F$2070),'Data'!$F$2070&lt;&gt;999,'Data'!$F$2070&lt;&gt;""),'Data'!$F$2070,"")</f>
        <v/>
      </c>
      <c r="Z2069" t="n">
        <v>1</v>
      </c>
      <c r="AA2069">
        <f>IF(ISNUMBER('IN-CLASS_Lab Part C'!$J$2069),'IN-CLASS_Lab Part C'!$J$2069,NA())</f>
        <v/>
      </c>
    </row>
    <row r="2070">
      <c r="J2070">
        <f>IF(AND(ISNUMBER('Data'!$F$2071),'Data'!$F$2071&lt;&gt;999,'Data'!$F$2071&lt;&gt;""),'Data'!$F$2071,"")</f>
        <v/>
      </c>
      <c r="Z2070" t="n">
        <v>1</v>
      </c>
      <c r="AA2070">
        <f>IF(ISNUMBER('IN-CLASS_Lab Part C'!$J$2070),'IN-CLASS_Lab Part C'!$J$2070,NA())</f>
        <v/>
      </c>
    </row>
    <row r="2071">
      <c r="J2071">
        <f>IF(AND(ISNUMBER('Data'!$F$2072),'Data'!$F$2072&lt;&gt;999,'Data'!$F$2072&lt;&gt;""),'Data'!$F$2072,"")</f>
        <v/>
      </c>
      <c r="Z2071" t="n">
        <v>1</v>
      </c>
      <c r="AA2071">
        <f>IF(ISNUMBER('IN-CLASS_Lab Part C'!$J$2071),'IN-CLASS_Lab Part C'!$J$2071,NA())</f>
        <v/>
      </c>
    </row>
    <row r="2072">
      <c r="J2072">
        <f>IF(AND(ISNUMBER('Data'!$F$2073),'Data'!$F$2073&lt;&gt;999,'Data'!$F$2073&lt;&gt;""),'Data'!$F$2073,"")</f>
        <v/>
      </c>
      <c r="Z2072" t="n">
        <v>1</v>
      </c>
      <c r="AA2072">
        <f>IF(ISNUMBER('IN-CLASS_Lab Part C'!$J$2072),'IN-CLASS_Lab Part C'!$J$2072,NA())</f>
        <v/>
      </c>
    </row>
    <row r="2073">
      <c r="J2073">
        <f>IF(AND(ISNUMBER('Data'!$F$2074),'Data'!$F$2074&lt;&gt;999,'Data'!$F$2074&lt;&gt;""),'Data'!$F$2074,"")</f>
        <v/>
      </c>
      <c r="Z2073" t="n">
        <v>1</v>
      </c>
      <c r="AA2073">
        <f>IF(ISNUMBER('IN-CLASS_Lab Part C'!$J$2073),'IN-CLASS_Lab Part C'!$J$2073,NA())</f>
        <v/>
      </c>
    </row>
    <row r="2074">
      <c r="J2074">
        <f>IF(AND(ISNUMBER('Data'!$F$2075),'Data'!$F$2075&lt;&gt;999,'Data'!$F$2075&lt;&gt;""),'Data'!$F$2075,"")</f>
        <v/>
      </c>
      <c r="Z2074" t="n">
        <v>1</v>
      </c>
      <c r="AA2074">
        <f>IF(ISNUMBER('IN-CLASS_Lab Part C'!$J$2074),'IN-CLASS_Lab Part C'!$J$2074,NA())</f>
        <v/>
      </c>
    </row>
    <row r="2075">
      <c r="J2075">
        <f>IF(AND(ISNUMBER('Data'!$F$2076),'Data'!$F$2076&lt;&gt;999,'Data'!$F$2076&lt;&gt;""),'Data'!$F$2076,"")</f>
        <v/>
      </c>
      <c r="Z2075" t="n">
        <v>1</v>
      </c>
      <c r="AA2075">
        <f>IF(ISNUMBER('IN-CLASS_Lab Part C'!$J$2075),'IN-CLASS_Lab Part C'!$J$2075,NA())</f>
        <v/>
      </c>
    </row>
    <row r="2076">
      <c r="J2076">
        <f>IF(AND(ISNUMBER('Data'!$F$2077),'Data'!$F$2077&lt;&gt;999,'Data'!$F$2077&lt;&gt;""),'Data'!$F$2077,"")</f>
        <v/>
      </c>
      <c r="Z2076" t="n">
        <v>1</v>
      </c>
      <c r="AA2076">
        <f>IF(ISNUMBER('IN-CLASS_Lab Part C'!$J$2076),'IN-CLASS_Lab Part C'!$J$2076,NA())</f>
        <v/>
      </c>
    </row>
    <row r="2077">
      <c r="J2077">
        <f>IF(AND(ISNUMBER('Data'!$F$2078),'Data'!$F$2078&lt;&gt;999,'Data'!$F$2078&lt;&gt;""),'Data'!$F$2078,"")</f>
        <v/>
      </c>
      <c r="Z2077" t="n">
        <v>1</v>
      </c>
      <c r="AA2077">
        <f>IF(ISNUMBER('IN-CLASS_Lab Part C'!$J$2077),'IN-CLASS_Lab Part C'!$J$2077,NA())</f>
        <v/>
      </c>
    </row>
    <row r="2078">
      <c r="J2078">
        <f>IF(AND(ISNUMBER('Data'!$F$2079),'Data'!$F$2079&lt;&gt;999,'Data'!$F$2079&lt;&gt;""),'Data'!$F$2079,"")</f>
        <v/>
      </c>
      <c r="Z2078" t="n">
        <v>1</v>
      </c>
      <c r="AA2078">
        <f>IF(ISNUMBER('IN-CLASS_Lab Part C'!$J$2078),'IN-CLASS_Lab Part C'!$J$2078,NA())</f>
        <v/>
      </c>
    </row>
    <row r="2079">
      <c r="J2079">
        <f>IF(AND(ISNUMBER('Data'!$F$2080),'Data'!$F$2080&lt;&gt;999,'Data'!$F$2080&lt;&gt;""),'Data'!$F$2080,"")</f>
        <v/>
      </c>
      <c r="Z2079" t="n">
        <v>1</v>
      </c>
      <c r="AA2079">
        <f>IF(ISNUMBER('IN-CLASS_Lab Part C'!$J$2079),'IN-CLASS_Lab Part C'!$J$2079,NA())</f>
        <v/>
      </c>
    </row>
    <row r="2080">
      <c r="J2080">
        <f>IF(AND(ISNUMBER('Data'!$F$2081),'Data'!$F$2081&lt;&gt;999,'Data'!$F$2081&lt;&gt;""),'Data'!$F$2081,"")</f>
        <v/>
      </c>
      <c r="Z2080" t="n">
        <v>1</v>
      </c>
      <c r="AA2080">
        <f>IF(ISNUMBER('IN-CLASS_Lab Part C'!$J$2080),'IN-CLASS_Lab Part C'!$J$2080,NA())</f>
        <v/>
      </c>
    </row>
    <row r="2081">
      <c r="J2081">
        <f>IF(AND(ISNUMBER('Data'!$F$2082),'Data'!$F$2082&lt;&gt;999,'Data'!$F$2082&lt;&gt;""),'Data'!$F$2082,"")</f>
        <v/>
      </c>
      <c r="Z2081" t="n">
        <v>1</v>
      </c>
      <c r="AA2081">
        <f>IF(ISNUMBER('IN-CLASS_Lab Part C'!$J$2081),'IN-CLASS_Lab Part C'!$J$2081,NA())</f>
        <v/>
      </c>
    </row>
    <row r="2082">
      <c r="J2082">
        <f>IF(AND(ISNUMBER('Data'!$F$2083),'Data'!$F$2083&lt;&gt;999,'Data'!$F$2083&lt;&gt;""),'Data'!$F$2083,"")</f>
        <v/>
      </c>
      <c r="Z2082" t="n">
        <v>1</v>
      </c>
      <c r="AA2082">
        <f>IF(ISNUMBER('IN-CLASS_Lab Part C'!$J$2082),'IN-CLASS_Lab Part C'!$J$2082,NA())</f>
        <v/>
      </c>
    </row>
    <row r="2083">
      <c r="J2083">
        <f>IF(AND(ISNUMBER('Data'!$F$2084),'Data'!$F$2084&lt;&gt;999,'Data'!$F$2084&lt;&gt;""),'Data'!$F$2084,"")</f>
        <v/>
      </c>
      <c r="Z2083" t="n">
        <v>1</v>
      </c>
      <c r="AA2083">
        <f>IF(ISNUMBER('IN-CLASS_Lab Part C'!$J$2083),'IN-CLASS_Lab Part C'!$J$2083,NA())</f>
        <v/>
      </c>
    </row>
    <row r="2084">
      <c r="J2084">
        <f>IF(AND(ISNUMBER('Data'!$F$2085),'Data'!$F$2085&lt;&gt;999,'Data'!$F$2085&lt;&gt;""),'Data'!$F$2085,"")</f>
        <v/>
      </c>
      <c r="Z2084" t="n">
        <v>1</v>
      </c>
      <c r="AA2084">
        <f>IF(ISNUMBER('IN-CLASS_Lab Part C'!$J$2084),'IN-CLASS_Lab Part C'!$J$2084,NA())</f>
        <v/>
      </c>
    </row>
    <row r="2085">
      <c r="J2085">
        <f>IF(AND(ISNUMBER('Data'!$F$2086),'Data'!$F$2086&lt;&gt;999,'Data'!$F$2086&lt;&gt;""),'Data'!$F$2086,"")</f>
        <v/>
      </c>
      <c r="Z2085" t="n">
        <v>1</v>
      </c>
      <c r="AA2085">
        <f>IF(ISNUMBER('IN-CLASS_Lab Part C'!$J$2085),'IN-CLASS_Lab Part C'!$J$2085,NA())</f>
        <v/>
      </c>
    </row>
    <row r="2086">
      <c r="J2086">
        <f>IF(AND(ISNUMBER('Data'!$F$2087),'Data'!$F$2087&lt;&gt;999,'Data'!$F$2087&lt;&gt;""),'Data'!$F$2087,"")</f>
        <v/>
      </c>
      <c r="Z2086" t="n">
        <v>1</v>
      </c>
      <c r="AA2086">
        <f>IF(ISNUMBER('IN-CLASS_Lab Part C'!$J$2086),'IN-CLASS_Lab Part C'!$J$2086,NA())</f>
        <v/>
      </c>
    </row>
    <row r="2087">
      <c r="J2087">
        <f>IF(AND(ISNUMBER('Data'!$F$2088),'Data'!$F$2088&lt;&gt;999,'Data'!$F$2088&lt;&gt;""),'Data'!$F$2088,"")</f>
        <v/>
      </c>
      <c r="Z2087" t="n">
        <v>1</v>
      </c>
      <c r="AA2087">
        <f>IF(ISNUMBER('IN-CLASS_Lab Part C'!$J$2087),'IN-CLASS_Lab Part C'!$J$2087,NA())</f>
        <v/>
      </c>
    </row>
    <row r="2088">
      <c r="J2088">
        <f>IF(AND(ISNUMBER('Data'!$F$2089),'Data'!$F$2089&lt;&gt;999,'Data'!$F$2089&lt;&gt;""),'Data'!$F$2089,"")</f>
        <v/>
      </c>
      <c r="Z2088" t="n">
        <v>1</v>
      </c>
      <c r="AA2088">
        <f>IF(ISNUMBER('IN-CLASS_Lab Part C'!$J$2088),'IN-CLASS_Lab Part C'!$J$2088,NA())</f>
        <v/>
      </c>
    </row>
    <row r="2089">
      <c r="J2089">
        <f>IF(AND(ISNUMBER('Data'!$F$2090),'Data'!$F$2090&lt;&gt;999,'Data'!$F$2090&lt;&gt;""),'Data'!$F$2090,"")</f>
        <v/>
      </c>
      <c r="Z2089" t="n">
        <v>1</v>
      </c>
      <c r="AA2089">
        <f>IF(ISNUMBER('IN-CLASS_Lab Part C'!$J$2089),'IN-CLASS_Lab Part C'!$J$2089,NA())</f>
        <v/>
      </c>
    </row>
    <row r="2090">
      <c r="J2090">
        <f>IF(AND(ISNUMBER('Data'!$F$2091),'Data'!$F$2091&lt;&gt;999,'Data'!$F$2091&lt;&gt;""),'Data'!$F$2091,"")</f>
        <v/>
      </c>
      <c r="Z2090" t="n">
        <v>1</v>
      </c>
      <c r="AA2090">
        <f>IF(ISNUMBER('IN-CLASS_Lab Part C'!$J$2090),'IN-CLASS_Lab Part C'!$J$2090,NA())</f>
        <v/>
      </c>
    </row>
    <row r="2091">
      <c r="J2091">
        <f>IF(AND(ISNUMBER('Data'!$F$2092),'Data'!$F$2092&lt;&gt;999,'Data'!$F$2092&lt;&gt;""),'Data'!$F$2092,"")</f>
        <v/>
      </c>
      <c r="Z2091" t="n">
        <v>1</v>
      </c>
      <c r="AA2091">
        <f>IF(ISNUMBER('IN-CLASS_Lab Part C'!$J$2091),'IN-CLASS_Lab Part C'!$J$2091,NA())</f>
        <v/>
      </c>
    </row>
    <row r="2092">
      <c r="J2092">
        <f>IF(AND(ISNUMBER('Data'!$F$2093),'Data'!$F$2093&lt;&gt;999,'Data'!$F$2093&lt;&gt;""),'Data'!$F$2093,"")</f>
        <v/>
      </c>
      <c r="Z2092" t="n">
        <v>1</v>
      </c>
      <c r="AA2092">
        <f>IF(ISNUMBER('IN-CLASS_Lab Part C'!$J$2092),'IN-CLASS_Lab Part C'!$J$2092,NA())</f>
        <v/>
      </c>
    </row>
    <row r="2093">
      <c r="J2093">
        <f>IF(AND(ISNUMBER('Data'!$F$2094),'Data'!$F$2094&lt;&gt;999,'Data'!$F$2094&lt;&gt;""),'Data'!$F$2094,"")</f>
        <v/>
      </c>
      <c r="Z2093" t="n">
        <v>1</v>
      </c>
      <c r="AA2093">
        <f>IF(ISNUMBER('IN-CLASS_Lab Part C'!$J$2093),'IN-CLASS_Lab Part C'!$J$2093,NA())</f>
        <v/>
      </c>
    </row>
    <row r="2094">
      <c r="J2094">
        <f>IF(AND(ISNUMBER('Data'!$F$2095),'Data'!$F$2095&lt;&gt;999,'Data'!$F$2095&lt;&gt;""),'Data'!$F$2095,"")</f>
        <v/>
      </c>
      <c r="Z2094" t="n">
        <v>1</v>
      </c>
      <c r="AA2094">
        <f>IF(ISNUMBER('IN-CLASS_Lab Part C'!$J$2094),'IN-CLASS_Lab Part C'!$J$2094,NA())</f>
        <v/>
      </c>
    </row>
    <row r="2095">
      <c r="J2095">
        <f>IF(AND(ISNUMBER('Data'!$F$2096),'Data'!$F$2096&lt;&gt;999,'Data'!$F$2096&lt;&gt;""),'Data'!$F$2096,"")</f>
        <v/>
      </c>
      <c r="Z2095" t="n">
        <v>1</v>
      </c>
      <c r="AA2095">
        <f>IF(ISNUMBER('IN-CLASS_Lab Part C'!$J$2095),'IN-CLASS_Lab Part C'!$J$2095,NA())</f>
        <v/>
      </c>
    </row>
    <row r="2096">
      <c r="J2096">
        <f>IF(AND(ISNUMBER('Data'!$F$2097),'Data'!$F$2097&lt;&gt;999,'Data'!$F$2097&lt;&gt;""),'Data'!$F$2097,"")</f>
        <v/>
      </c>
      <c r="Z2096" t="n">
        <v>1</v>
      </c>
      <c r="AA2096">
        <f>IF(ISNUMBER('IN-CLASS_Lab Part C'!$J$2096),'IN-CLASS_Lab Part C'!$J$2096,NA())</f>
        <v/>
      </c>
    </row>
    <row r="2097">
      <c r="J2097">
        <f>IF(AND(ISNUMBER('Data'!$F$2098),'Data'!$F$2098&lt;&gt;999,'Data'!$F$2098&lt;&gt;""),'Data'!$F$2098,"")</f>
        <v/>
      </c>
      <c r="Z2097" t="n">
        <v>1</v>
      </c>
      <c r="AA2097">
        <f>IF(ISNUMBER('IN-CLASS_Lab Part C'!$J$2097),'IN-CLASS_Lab Part C'!$J$2097,NA())</f>
        <v/>
      </c>
    </row>
    <row r="2098">
      <c r="J2098">
        <f>IF(AND(ISNUMBER('Data'!$F$2099),'Data'!$F$2099&lt;&gt;999,'Data'!$F$2099&lt;&gt;""),'Data'!$F$2099,"")</f>
        <v/>
      </c>
      <c r="Z2098" t="n">
        <v>1</v>
      </c>
      <c r="AA2098">
        <f>IF(ISNUMBER('IN-CLASS_Lab Part C'!$J$2098),'IN-CLASS_Lab Part C'!$J$2098,NA())</f>
        <v/>
      </c>
    </row>
    <row r="2099">
      <c r="J2099">
        <f>IF(AND(ISNUMBER('Data'!$F$2100),'Data'!$F$2100&lt;&gt;999,'Data'!$F$2100&lt;&gt;""),'Data'!$F$2100,"")</f>
        <v/>
      </c>
      <c r="Z2099" t="n">
        <v>1</v>
      </c>
      <c r="AA2099">
        <f>IF(ISNUMBER('IN-CLASS_Lab Part C'!$J$2099),'IN-CLASS_Lab Part C'!$J$2099,NA())</f>
        <v/>
      </c>
    </row>
    <row r="2100">
      <c r="J2100">
        <f>IF(AND(ISNUMBER('Data'!$F$2101),'Data'!$F$2101&lt;&gt;999,'Data'!$F$2101&lt;&gt;""),'Data'!$F$2101,"")</f>
        <v/>
      </c>
      <c r="Z2100" t="n">
        <v>1</v>
      </c>
      <c r="AA2100">
        <f>IF(ISNUMBER('IN-CLASS_Lab Part C'!$J$2100),'IN-CLASS_Lab Part C'!$J$2100,NA())</f>
        <v/>
      </c>
    </row>
    <row r="2101">
      <c r="J2101">
        <f>IF(AND(ISNUMBER('Data'!$F$2102),'Data'!$F$2102&lt;&gt;999,'Data'!$F$2102&lt;&gt;""),'Data'!$F$2102,"")</f>
        <v/>
      </c>
      <c r="Z2101" t="n">
        <v>1</v>
      </c>
      <c r="AA2101">
        <f>IF(ISNUMBER('IN-CLASS_Lab Part C'!$J$2101),'IN-CLASS_Lab Part C'!$J$2101,NA())</f>
        <v/>
      </c>
    </row>
    <row r="2102">
      <c r="J2102">
        <f>IF(AND(ISNUMBER('Data'!$F$2103),'Data'!$F$2103&lt;&gt;999,'Data'!$F$2103&lt;&gt;""),'Data'!$F$2103,"")</f>
        <v/>
      </c>
      <c r="Z2102" t="n">
        <v>1</v>
      </c>
      <c r="AA2102">
        <f>IF(ISNUMBER('IN-CLASS_Lab Part C'!$J$2102),'IN-CLASS_Lab Part C'!$J$2102,NA())</f>
        <v/>
      </c>
    </row>
    <row r="2103">
      <c r="J2103">
        <f>IF(AND(ISNUMBER('Data'!$F$2104),'Data'!$F$2104&lt;&gt;999,'Data'!$F$2104&lt;&gt;""),'Data'!$F$2104,"")</f>
        <v/>
      </c>
      <c r="Z2103" t="n">
        <v>1</v>
      </c>
      <c r="AA2103">
        <f>IF(ISNUMBER('IN-CLASS_Lab Part C'!$J$2103),'IN-CLASS_Lab Part C'!$J$2103,NA())</f>
        <v/>
      </c>
    </row>
    <row r="2104">
      <c r="J2104">
        <f>IF(AND(ISNUMBER('Data'!$F$2105),'Data'!$F$2105&lt;&gt;999,'Data'!$F$2105&lt;&gt;""),'Data'!$F$2105,"")</f>
        <v/>
      </c>
      <c r="Z2104" t="n">
        <v>1</v>
      </c>
      <c r="AA2104">
        <f>IF(ISNUMBER('IN-CLASS_Lab Part C'!$J$2104),'IN-CLASS_Lab Part C'!$J$2104,NA())</f>
        <v/>
      </c>
    </row>
    <row r="2105">
      <c r="J2105">
        <f>IF(AND(ISNUMBER('Data'!$F$2106),'Data'!$F$2106&lt;&gt;999,'Data'!$F$2106&lt;&gt;""),'Data'!$F$2106,"")</f>
        <v/>
      </c>
      <c r="Z2105" t="n">
        <v>1</v>
      </c>
      <c r="AA2105">
        <f>IF(ISNUMBER('IN-CLASS_Lab Part C'!$J$2105),'IN-CLASS_Lab Part C'!$J$2105,NA())</f>
        <v/>
      </c>
    </row>
    <row r="2106">
      <c r="J2106">
        <f>IF(AND(ISNUMBER('Data'!$F$2107),'Data'!$F$2107&lt;&gt;999,'Data'!$F$2107&lt;&gt;""),'Data'!$F$2107,"")</f>
        <v/>
      </c>
      <c r="Z2106" t="n">
        <v>1</v>
      </c>
      <c r="AA2106">
        <f>IF(ISNUMBER('IN-CLASS_Lab Part C'!$J$2106),'IN-CLASS_Lab Part C'!$J$2106,NA())</f>
        <v/>
      </c>
    </row>
    <row r="2107">
      <c r="J2107">
        <f>IF(AND(ISNUMBER('Data'!$F$2108),'Data'!$F$2108&lt;&gt;999,'Data'!$F$2108&lt;&gt;""),'Data'!$F$2108,"")</f>
        <v/>
      </c>
      <c r="Z2107" t="n">
        <v>1</v>
      </c>
      <c r="AA2107">
        <f>IF(ISNUMBER('IN-CLASS_Lab Part C'!$J$2107),'IN-CLASS_Lab Part C'!$J$2107,NA())</f>
        <v/>
      </c>
    </row>
    <row r="2108">
      <c r="J2108">
        <f>IF(AND(ISNUMBER('Data'!$F$2109),'Data'!$F$2109&lt;&gt;999,'Data'!$F$2109&lt;&gt;""),'Data'!$F$2109,"")</f>
        <v/>
      </c>
      <c r="Z2108" t="n">
        <v>1</v>
      </c>
      <c r="AA2108">
        <f>IF(ISNUMBER('IN-CLASS_Lab Part C'!$J$2108),'IN-CLASS_Lab Part C'!$J$2108,NA())</f>
        <v/>
      </c>
    </row>
    <row r="2109">
      <c r="J2109">
        <f>IF(AND(ISNUMBER('Data'!$F$2110),'Data'!$F$2110&lt;&gt;999,'Data'!$F$2110&lt;&gt;""),'Data'!$F$2110,"")</f>
        <v/>
      </c>
      <c r="Z2109" t="n">
        <v>1</v>
      </c>
      <c r="AA2109">
        <f>IF(ISNUMBER('IN-CLASS_Lab Part C'!$J$2109),'IN-CLASS_Lab Part C'!$J$2109,NA())</f>
        <v/>
      </c>
    </row>
    <row r="2110">
      <c r="J2110">
        <f>IF(AND(ISNUMBER('Data'!$F$2111),'Data'!$F$2111&lt;&gt;999,'Data'!$F$2111&lt;&gt;""),'Data'!$F$2111,"")</f>
        <v/>
      </c>
      <c r="Z2110" t="n">
        <v>1</v>
      </c>
      <c r="AA2110">
        <f>IF(ISNUMBER('IN-CLASS_Lab Part C'!$J$2110),'IN-CLASS_Lab Part C'!$J$2110,NA())</f>
        <v/>
      </c>
    </row>
    <row r="2111">
      <c r="J2111">
        <f>IF(AND(ISNUMBER('Data'!$F$2112),'Data'!$F$2112&lt;&gt;999,'Data'!$F$2112&lt;&gt;""),'Data'!$F$2112,"")</f>
        <v/>
      </c>
      <c r="Z2111" t="n">
        <v>1</v>
      </c>
      <c r="AA2111">
        <f>IF(ISNUMBER('IN-CLASS_Lab Part C'!$J$2111),'IN-CLASS_Lab Part C'!$J$2111,NA())</f>
        <v/>
      </c>
    </row>
    <row r="2112">
      <c r="J2112">
        <f>IF(AND(ISNUMBER('Data'!$F$2113),'Data'!$F$2113&lt;&gt;999,'Data'!$F$2113&lt;&gt;""),'Data'!$F$2113,"")</f>
        <v/>
      </c>
      <c r="Z2112" t="n">
        <v>1</v>
      </c>
      <c r="AA2112">
        <f>IF(ISNUMBER('IN-CLASS_Lab Part C'!$J$2112),'IN-CLASS_Lab Part C'!$J$2112,NA())</f>
        <v/>
      </c>
    </row>
    <row r="2113">
      <c r="J2113">
        <f>IF(AND(ISNUMBER('Data'!$F$2114),'Data'!$F$2114&lt;&gt;999,'Data'!$F$2114&lt;&gt;""),'Data'!$F$2114,"")</f>
        <v/>
      </c>
      <c r="Z2113" t="n">
        <v>1</v>
      </c>
      <c r="AA2113">
        <f>IF(ISNUMBER('IN-CLASS_Lab Part C'!$J$2113),'IN-CLASS_Lab Part C'!$J$2113,NA())</f>
        <v/>
      </c>
    </row>
    <row r="2114">
      <c r="J2114">
        <f>IF(AND(ISNUMBER('Data'!$F$2115),'Data'!$F$2115&lt;&gt;999,'Data'!$F$2115&lt;&gt;""),'Data'!$F$2115,"")</f>
        <v/>
      </c>
      <c r="Z2114" t="n">
        <v>1</v>
      </c>
      <c r="AA2114">
        <f>IF(ISNUMBER('IN-CLASS_Lab Part C'!$J$2114),'IN-CLASS_Lab Part C'!$J$2114,NA())</f>
        <v/>
      </c>
    </row>
    <row r="2115">
      <c r="J2115">
        <f>IF(AND(ISNUMBER('Data'!$F$2116),'Data'!$F$2116&lt;&gt;999,'Data'!$F$2116&lt;&gt;""),'Data'!$F$2116,"")</f>
        <v/>
      </c>
      <c r="Z2115" t="n">
        <v>1</v>
      </c>
      <c r="AA2115">
        <f>IF(ISNUMBER('IN-CLASS_Lab Part C'!$J$2115),'IN-CLASS_Lab Part C'!$J$2115,NA())</f>
        <v/>
      </c>
    </row>
    <row r="2116">
      <c r="J2116">
        <f>IF(AND(ISNUMBER('Data'!$F$2117),'Data'!$F$2117&lt;&gt;999,'Data'!$F$2117&lt;&gt;""),'Data'!$F$2117,"")</f>
        <v/>
      </c>
      <c r="Z2116" t="n">
        <v>1</v>
      </c>
      <c r="AA2116">
        <f>IF(ISNUMBER('IN-CLASS_Lab Part C'!$J$2116),'IN-CLASS_Lab Part C'!$J$2116,NA())</f>
        <v/>
      </c>
    </row>
    <row r="2117">
      <c r="J2117">
        <f>IF(AND(ISNUMBER('Data'!$F$2118),'Data'!$F$2118&lt;&gt;999,'Data'!$F$2118&lt;&gt;""),'Data'!$F$2118,"")</f>
        <v/>
      </c>
      <c r="Z2117" t="n">
        <v>1</v>
      </c>
      <c r="AA2117">
        <f>IF(ISNUMBER('IN-CLASS_Lab Part C'!$J$2117),'IN-CLASS_Lab Part C'!$J$2117,NA())</f>
        <v/>
      </c>
    </row>
    <row r="2118">
      <c r="J2118">
        <f>IF(AND(ISNUMBER('Data'!$F$2119),'Data'!$F$2119&lt;&gt;999,'Data'!$F$2119&lt;&gt;""),'Data'!$F$2119,"")</f>
        <v/>
      </c>
      <c r="Z2118" t="n">
        <v>1</v>
      </c>
      <c r="AA2118">
        <f>IF(ISNUMBER('IN-CLASS_Lab Part C'!$J$2118),'IN-CLASS_Lab Part C'!$J$2118,NA())</f>
        <v/>
      </c>
    </row>
    <row r="2119">
      <c r="J2119">
        <f>IF(AND(ISNUMBER('Data'!$F$2120),'Data'!$F$2120&lt;&gt;999,'Data'!$F$2120&lt;&gt;""),'Data'!$F$2120,"")</f>
        <v/>
      </c>
      <c r="Z2119" t="n">
        <v>1</v>
      </c>
      <c r="AA2119">
        <f>IF(ISNUMBER('IN-CLASS_Lab Part C'!$J$2119),'IN-CLASS_Lab Part C'!$J$2119,NA())</f>
        <v/>
      </c>
    </row>
    <row r="2120">
      <c r="J2120">
        <f>IF(AND(ISNUMBER('Data'!$F$2121),'Data'!$F$2121&lt;&gt;999,'Data'!$F$2121&lt;&gt;""),'Data'!$F$2121,"")</f>
        <v/>
      </c>
      <c r="Z2120" t="n">
        <v>1</v>
      </c>
      <c r="AA2120">
        <f>IF(ISNUMBER('IN-CLASS_Lab Part C'!$J$2120),'IN-CLASS_Lab Part C'!$J$2120,NA())</f>
        <v/>
      </c>
    </row>
    <row r="2121">
      <c r="J2121">
        <f>IF(AND(ISNUMBER('Data'!$F$2122),'Data'!$F$2122&lt;&gt;999,'Data'!$F$2122&lt;&gt;""),'Data'!$F$2122,"")</f>
        <v/>
      </c>
      <c r="Z2121" t="n">
        <v>1</v>
      </c>
      <c r="AA2121">
        <f>IF(ISNUMBER('IN-CLASS_Lab Part C'!$J$2121),'IN-CLASS_Lab Part C'!$J$2121,NA())</f>
        <v/>
      </c>
    </row>
    <row r="2122">
      <c r="J2122">
        <f>IF(AND(ISNUMBER('Data'!$F$2123),'Data'!$F$2123&lt;&gt;999,'Data'!$F$2123&lt;&gt;""),'Data'!$F$2123,"")</f>
        <v/>
      </c>
      <c r="Z2122" t="n">
        <v>1</v>
      </c>
      <c r="AA2122">
        <f>IF(ISNUMBER('IN-CLASS_Lab Part C'!$J$2122),'IN-CLASS_Lab Part C'!$J$2122,NA())</f>
        <v/>
      </c>
    </row>
    <row r="2123">
      <c r="J2123">
        <f>IF(AND(ISNUMBER('Data'!$F$2124),'Data'!$F$2124&lt;&gt;999,'Data'!$F$2124&lt;&gt;""),'Data'!$F$2124,"")</f>
        <v/>
      </c>
      <c r="Z2123" t="n">
        <v>1</v>
      </c>
      <c r="AA2123">
        <f>IF(ISNUMBER('IN-CLASS_Lab Part C'!$J$2123),'IN-CLASS_Lab Part C'!$J$2123,NA())</f>
        <v/>
      </c>
    </row>
    <row r="2124">
      <c r="J2124">
        <f>IF(AND(ISNUMBER('Data'!$F$2125),'Data'!$F$2125&lt;&gt;999,'Data'!$F$2125&lt;&gt;""),'Data'!$F$2125,"")</f>
        <v/>
      </c>
      <c r="Z2124" t="n">
        <v>1</v>
      </c>
      <c r="AA2124">
        <f>IF(ISNUMBER('IN-CLASS_Lab Part C'!$J$2124),'IN-CLASS_Lab Part C'!$J$2124,NA())</f>
        <v/>
      </c>
    </row>
    <row r="2125">
      <c r="J2125">
        <f>IF(AND(ISNUMBER('Data'!$F$2126),'Data'!$F$2126&lt;&gt;999,'Data'!$F$2126&lt;&gt;""),'Data'!$F$2126,"")</f>
        <v/>
      </c>
      <c r="Z2125" t="n">
        <v>1</v>
      </c>
      <c r="AA2125">
        <f>IF(ISNUMBER('IN-CLASS_Lab Part C'!$J$2125),'IN-CLASS_Lab Part C'!$J$2125,NA())</f>
        <v/>
      </c>
    </row>
    <row r="2126">
      <c r="J2126">
        <f>IF(AND(ISNUMBER('Data'!$F$2127),'Data'!$F$2127&lt;&gt;999,'Data'!$F$2127&lt;&gt;""),'Data'!$F$2127,"")</f>
        <v/>
      </c>
      <c r="Z2126" t="n">
        <v>1</v>
      </c>
      <c r="AA2126">
        <f>IF(ISNUMBER('IN-CLASS_Lab Part C'!$J$2126),'IN-CLASS_Lab Part C'!$J$2126,NA())</f>
        <v/>
      </c>
    </row>
    <row r="2127">
      <c r="J2127">
        <f>IF(AND(ISNUMBER('Data'!$F$2128),'Data'!$F$2128&lt;&gt;999,'Data'!$F$2128&lt;&gt;""),'Data'!$F$2128,"")</f>
        <v/>
      </c>
      <c r="Z2127" t="n">
        <v>1</v>
      </c>
      <c r="AA2127">
        <f>IF(ISNUMBER('IN-CLASS_Lab Part C'!$J$2127),'IN-CLASS_Lab Part C'!$J$2127,NA())</f>
        <v/>
      </c>
    </row>
    <row r="2128">
      <c r="J2128">
        <f>IF(AND(ISNUMBER('Data'!$F$2129),'Data'!$F$2129&lt;&gt;999,'Data'!$F$2129&lt;&gt;""),'Data'!$F$2129,"")</f>
        <v/>
      </c>
      <c r="Z2128" t="n">
        <v>1</v>
      </c>
      <c r="AA2128">
        <f>IF(ISNUMBER('IN-CLASS_Lab Part C'!$J$2128),'IN-CLASS_Lab Part C'!$J$2128,NA())</f>
        <v/>
      </c>
    </row>
    <row r="2129">
      <c r="J2129">
        <f>IF(AND(ISNUMBER('Data'!$F$2130),'Data'!$F$2130&lt;&gt;999,'Data'!$F$2130&lt;&gt;""),'Data'!$F$2130,"")</f>
        <v/>
      </c>
      <c r="Z2129" t="n">
        <v>1</v>
      </c>
      <c r="AA2129">
        <f>IF(ISNUMBER('IN-CLASS_Lab Part C'!$J$2129),'IN-CLASS_Lab Part C'!$J$2129,NA())</f>
        <v/>
      </c>
    </row>
    <row r="2130">
      <c r="J2130">
        <f>IF(AND(ISNUMBER('Data'!$F$2131),'Data'!$F$2131&lt;&gt;999,'Data'!$F$2131&lt;&gt;""),'Data'!$F$2131,"")</f>
        <v/>
      </c>
      <c r="Z2130" t="n">
        <v>1</v>
      </c>
      <c r="AA2130">
        <f>IF(ISNUMBER('IN-CLASS_Lab Part C'!$J$2130),'IN-CLASS_Lab Part C'!$J$2130,NA())</f>
        <v/>
      </c>
    </row>
    <row r="2131">
      <c r="J2131">
        <f>IF(AND(ISNUMBER('Data'!$F$2132),'Data'!$F$2132&lt;&gt;999,'Data'!$F$2132&lt;&gt;""),'Data'!$F$2132,"")</f>
        <v/>
      </c>
      <c r="Z2131" t="n">
        <v>1</v>
      </c>
      <c r="AA2131">
        <f>IF(ISNUMBER('IN-CLASS_Lab Part C'!$J$2131),'IN-CLASS_Lab Part C'!$J$2131,NA())</f>
        <v/>
      </c>
    </row>
    <row r="2132">
      <c r="J2132">
        <f>IF(AND(ISNUMBER('Data'!$F$2133),'Data'!$F$2133&lt;&gt;999,'Data'!$F$2133&lt;&gt;""),'Data'!$F$2133,"")</f>
        <v/>
      </c>
      <c r="Z2132" t="n">
        <v>1</v>
      </c>
      <c r="AA2132">
        <f>IF(ISNUMBER('IN-CLASS_Lab Part C'!$J$2132),'IN-CLASS_Lab Part C'!$J$2132,NA())</f>
        <v/>
      </c>
    </row>
    <row r="2133">
      <c r="J2133">
        <f>IF(AND(ISNUMBER('Data'!$F$2134),'Data'!$F$2134&lt;&gt;999,'Data'!$F$2134&lt;&gt;""),'Data'!$F$2134,"")</f>
        <v/>
      </c>
      <c r="Z2133" t="n">
        <v>1</v>
      </c>
      <c r="AA2133">
        <f>IF(ISNUMBER('IN-CLASS_Lab Part C'!$J$2133),'IN-CLASS_Lab Part C'!$J$2133,NA())</f>
        <v/>
      </c>
    </row>
    <row r="2134">
      <c r="J2134">
        <f>IF(AND(ISNUMBER('Data'!$F$2135),'Data'!$F$2135&lt;&gt;999,'Data'!$F$2135&lt;&gt;""),'Data'!$F$2135,"")</f>
        <v/>
      </c>
      <c r="Z2134" t="n">
        <v>1</v>
      </c>
      <c r="AA2134">
        <f>IF(ISNUMBER('IN-CLASS_Lab Part C'!$J$2134),'IN-CLASS_Lab Part C'!$J$2134,NA())</f>
        <v/>
      </c>
    </row>
    <row r="2135">
      <c r="J2135">
        <f>IF(AND(ISNUMBER('Data'!$F$2136),'Data'!$F$2136&lt;&gt;999,'Data'!$F$2136&lt;&gt;""),'Data'!$F$2136,"")</f>
        <v/>
      </c>
      <c r="Z2135" t="n">
        <v>1</v>
      </c>
      <c r="AA2135">
        <f>IF(ISNUMBER('IN-CLASS_Lab Part C'!$J$2135),'IN-CLASS_Lab Part C'!$J$2135,NA())</f>
        <v/>
      </c>
    </row>
    <row r="2136">
      <c r="J2136">
        <f>IF(AND(ISNUMBER('Data'!$F$2137),'Data'!$F$2137&lt;&gt;999,'Data'!$F$2137&lt;&gt;""),'Data'!$F$2137,"")</f>
        <v/>
      </c>
      <c r="Z2136" t="n">
        <v>1</v>
      </c>
      <c r="AA2136">
        <f>IF(ISNUMBER('IN-CLASS_Lab Part C'!$J$2136),'IN-CLASS_Lab Part C'!$J$2136,NA())</f>
        <v/>
      </c>
    </row>
    <row r="2137">
      <c r="J2137">
        <f>IF(AND(ISNUMBER('Data'!$F$2138),'Data'!$F$2138&lt;&gt;999,'Data'!$F$2138&lt;&gt;""),'Data'!$F$2138,"")</f>
        <v/>
      </c>
      <c r="Z2137" t="n">
        <v>1</v>
      </c>
      <c r="AA2137">
        <f>IF(ISNUMBER('IN-CLASS_Lab Part C'!$J$2137),'IN-CLASS_Lab Part C'!$J$2137,NA())</f>
        <v/>
      </c>
    </row>
    <row r="2138">
      <c r="J2138">
        <f>IF(AND(ISNUMBER('Data'!$F$2139),'Data'!$F$2139&lt;&gt;999,'Data'!$F$2139&lt;&gt;""),'Data'!$F$2139,"")</f>
        <v/>
      </c>
      <c r="Z2138" t="n">
        <v>1</v>
      </c>
      <c r="AA2138">
        <f>IF(ISNUMBER('IN-CLASS_Lab Part C'!$J$2138),'IN-CLASS_Lab Part C'!$J$2138,NA())</f>
        <v/>
      </c>
    </row>
    <row r="2139">
      <c r="J2139">
        <f>IF(AND(ISNUMBER('Data'!$F$2140),'Data'!$F$2140&lt;&gt;999,'Data'!$F$2140&lt;&gt;""),'Data'!$F$2140,"")</f>
        <v/>
      </c>
      <c r="Z2139" t="n">
        <v>1</v>
      </c>
      <c r="AA2139">
        <f>IF(ISNUMBER('IN-CLASS_Lab Part C'!$J$2139),'IN-CLASS_Lab Part C'!$J$2139,NA())</f>
        <v/>
      </c>
    </row>
    <row r="2140">
      <c r="J2140">
        <f>IF(AND(ISNUMBER('Data'!$F$2141),'Data'!$F$2141&lt;&gt;999,'Data'!$F$2141&lt;&gt;""),'Data'!$F$2141,"")</f>
        <v/>
      </c>
      <c r="Z2140" t="n">
        <v>1</v>
      </c>
      <c r="AA2140">
        <f>IF(ISNUMBER('IN-CLASS_Lab Part C'!$J$2140),'IN-CLASS_Lab Part C'!$J$2140,NA())</f>
        <v/>
      </c>
    </row>
    <row r="2141">
      <c r="J2141">
        <f>IF(AND(ISNUMBER('Data'!$F$2142),'Data'!$F$2142&lt;&gt;999,'Data'!$F$2142&lt;&gt;""),'Data'!$F$2142,"")</f>
        <v/>
      </c>
      <c r="Z2141" t="n">
        <v>1</v>
      </c>
      <c r="AA2141">
        <f>IF(ISNUMBER('IN-CLASS_Lab Part C'!$J$2141),'IN-CLASS_Lab Part C'!$J$2141,NA())</f>
        <v/>
      </c>
    </row>
    <row r="2142">
      <c r="J2142">
        <f>IF(AND(ISNUMBER('Data'!$F$2143),'Data'!$F$2143&lt;&gt;999,'Data'!$F$2143&lt;&gt;""),'Data'!$F$2143,"")</f>
        <v/>
      </c>
      <c r="Z2142" t="n">
        <v>1</v>
      </c>
      <c r="AA2142">
        <f>IF(ISNUMBER('IN-CLASS_Lab Part C'!$J$2142),'IN-CLASS_Lab Part C'!$J$2142,NA())</f>
        <v/>
      </c>
    </row>
    <row r="2143">
      <c r="J2143">
        <f>IF(AND(ISNUMBER('Data'!$F$2144),'Data'!$F$2144&lt;&gt;999,'Data'!$F$2144&lt;&gt;""),'Data'!$F$2144,"")</f>
        <v/>
      </c>
      <c r="Z2143" t="n">
        <v>1</v>
      </c>
      <c r="AA2143">
        <f>IF(ISNUMBER('IN-CLASS_Lab Part C'!$J$2143),'IN-CLASS_Lab Part C'!$J$2143,NA())</f>
        <v/>
      </c>
    </row>
    <row r="2144">
      <c r="J2144">
        <f>IF(AND(ISNUMBER('Data'!$F$2145),'Data'!$F$2145&lt;&gt;999,'Data'!$F$2145&lt;&gt;""),'Data'!$F$2145,"")</f>
        <v/>
      </c>
      <c r="Z2144" t="n">
        <v>1</v>
      </c>
      <c r="AA2144">
        <f>IF(ISNUMBER('IN-CLASS_Lab Part C'!$J$2144),'IN-CLASS_Lab Part C'!$J$2144,NA())</f>
        <v/>
      </c>
    </row>
    <row r="2145">
      <c r="J2145">
        <f>IF(AND(ISNUMBER('Data'!$F$2146),'Data'!$F$2146&lt;&gt;999,'Data'!$F$2146&lt;&gt;""),'Data'!$F$2146,"")</f>
        <v/>
      </c>
      <c r="Z2145" t="n">
        <v>1</v>
      </c>
      <c r="AA2145">
        <f>IF(ISNUMBER('IN-CLASS_Lab Part C'!$J$2145),'IN-CLASS_Lab Part C'!$J$2145,NA())</f>
        <v/>
      </c>
    </row>
    <row r="2146">
      <c r="J2146">
        <f>IF(AND(ISNUMBER('Data'!$F$2147),'Data'!$F$2147&lt;&gt;999,'Data'!$F$2147&lt;&gt;""),'Data'!$F$2147,"")</f>
        <v/>
      </c>
      <c r="Z2146" t="n">
        <v>1</v>
      </c>
      <c r="AA2146">
        <f>IF(ISNUMBER('IN-CLASS_Lab Part C'!$J$2146),'IN-CLASS_Lab Part C'!$J$2146,NA())</f>
        <v/>
      </c>
    </row>
    <row r="2147">
      <c r="J2147">
        <f>IF(AND(ISNUMBER('Data'!$F$2148),'Data'!$F$2148&lt;&gt;999,'Data'!$F$2148&lt;&gt;""),'Data'!$F$2148,"")</f>
        <v/>
      </c>
      <c r="Z2147" t="n">
        <v>1</v>
      </c>
      <c r="AA2147">
        <f>IF(ISNUMBER('IN-CLASS_Lab Part C'!$J$2147),'IN-CLASS_Lab Part C'!$J$2147,NA())</f>
        <v/>
      </c>
    </row>
    <row r="2148">
      <c r="J2148">
        <f>IF(AND(ISNUMBER('Data'!$F$2149),'Data'!$F$2149&lt;&gt;999,'Data'!$F$2149&lt;&gt;""),'Data'!$F$2149,"")</f>
        <v/>
      </c>
      <c r="Z2148" t="n">
        <v>1</v>
      </c>
      <c r="AA2148">
        <f>IF(ISNUMBER('IN-CLASS_Lab Part C'!$J$2148),'IN-CLASS_Lab Part C'!$J$2148,NA())</f>
        <v/>
      </c>
    </row>
    <row r="2149">
      <c r="J2149">
        <f>IF(AND(ISNUMBER('Data'!$F$2150),'Data'!$F$2150&lt;&gt;999,'Data'!$F$2150&lt;&gt;""),'Data'!$F$2150,"")</f>
        <v/>
      </c>
      <c r="Z2149" t="n">
        <v>1</v>
      </c>
      <c r="AA2149">
        <f>IF(ISNUMBER('IN-CLASS_Lab Part C'!$J$2149),'IN-CLASS_Lab Part C'!$J$2149,NA())</f>
        <v/>
      </c>
    </row>
    <row r="2150">
      <c r="J2150">
        <f>IF(AND(ISNUMBER('Data'!$F$2151),'Data'!$F$2151&lt;&gt;999,'Data'!$F$2151&lt;&gt;""),'Data'!$F$2151,"")</f>
        <v/>
      </c>
      <c r="Z2150" t="n">
        <v>1</v>
      </c>
      <c r="AA2150">
        <f>IF(ISNUMBER('IN-CLASS_Lab Part C'!$J$2150),'IN-CLASS_Lab Part C'!$J$2150,NA())</f>
        <v/>
      </c>
    </row>
    <row r="2151">
      <c r="J2151">
        <f>IF(AND(ISNUMBER('Data'!$F$2152),'Data'!$F$2152&lt;&gt;999,'Data'!$F$2152&lt;&gt;""),'Data'!$F$2152,"")</f>
        <v/>
      </c>
      <c r="Z2151" t="n">
        <v>1</v>
      </c>
      <c r="AA2151">
        <f>IF(ISNUMBER('IN-CLASS_Lab Part C'!$J$2151),'IN-CLASS_Lab Part C'!$J$2151,NA())</f>
        <v/>
      </c>
    </row>
    <row r="2152">
      <c r="J2152">
        <f>IF(AND(ISNUMBER('Data'!$F$2153),'Data'!$F$2153&lt;&gt;999,'Data'!$F$2153&lt;&gt;""),'Data'!$F$2153,"")</f>
        <v/>
      </c>
      <c r="Z2152" t="n">
        <v>1</v>
      </c>
      <c r="AA2152">
        <f>IF(ISNUMBER('IN-CLASS_Lab Part C'!$J$2152),'IN-CLASS_Lab Part C'!$J$2152,NA())</f>
        <v/>
      </c>
    </row>
    <row r="2153">
      <c r="J2153">
        <f>IF(AND(ISNUMBER('Data'!$F$2154),'Data'!$F$2154&lt;&gt;999,'Data'!$F$2154&lt;&gt;""),'Data'!$F$2154,"")</f>
        <v/>
      </c>
      <c r="Z2153" t="n">
        <v>1</v>
      </c>
      <c r="AA2153">
        <f>IF(ISNUMBER('IN-CLASS_Lab Part C'!$J$2153),'IN-CLASS_Lab Part C'!$J$2153,NA())</f>
        <v/>
      </c>
    </row>
    <row r="2154">
      <c r="J2154">
        <f>IF(AND(ISNUMBER('Data'!$F$2155),'Data'!$F$2155&lt;&gt;999,'Data'!$F$2155&lt;&gt;""),'Data'!$F$2155,"")</f>
        <v/>
      </c>
      <c r="Z2154" t="n">
        <v>1</v>
      </c>
      <c r="AA2154">
        <f>IF(ISNUMBER('IN-CLASS_Lab Part C'!$J$2154),'IN-CLASS_Lab Part C'!$J$2154,NA())</f>
        <v/>
      </c>
    </row>
    <row r="2155">
      <c r="J2155">
        <f>IF(AND(ISNUMBER('Data'!$F$2156),'Data'!$F$2156&lt;&gt;999,'Data'!$F$2156&lt;&gt;""),'Data'!$F$2156,"")</f>
        <v/>
      </c>
      <c r="Z2155" t="n">
        <v>1</v>
      </c>
      <c r="AA2155">
        <f>IF(ISNUMBER('IN-CLASS_Lab Part C'!$J$2155),'IN-CLASS_Lab Part C'!$J$2155,NA())</f>
        <v/>
      </c>
    </row>
    <row r="2156">
      <c r="J2156">
        <f>IF(AND(ISNUMBER('Data'!$F$2157),'Data'!$F$2157&lt;&gt;999,'Data'!$F$2157&lt;&gt;""),'Data'!$F$2157,"")</f>
        <v/>
      </c>
      <c r="Z2156" t="n">
        <v>1</v>
      </c>
      <c r="AA2156">
        <f>IF(ISNUMBER('IN-CLASS_Lab Part C'!$J$2156),'IN-CLASS_Lab Part C'!$J$2156,NA())</f>
        <v/>
      </c>
    </row>
    <row r="2157">
      <c r="J2157">
        <f>IF(AND(ISNUMBER('Data'!$F$2158),'Data'!$F$2158&lt;&gt;999,'Data'!$F$2158&lt;&gt;""),'Data'!$F$2158,"")</f>
        <v/>
      </c>
      <c r="Z2157" t="n">
        <v>1</v>
      </c>
      <c r="AA2157">
        <f>IF(ISNUMBER('IN-CLASS_Lab Part C'!$J$2157),'IN-CLASS_Lab Part C'!$J$2157,NA())</f>
        <v/>
      </c>
    </row>
    <row r="2158">
      <c r="J2158">
        <f>IF(AND(ISNUMBER('Data'!$F$2159),'Data'!$F$2159&lt;&gt;999,'Data'!$F$2159&lt;&gt;""),'Data'!$F$2159,"")</f>
        <v/>
      </c>
      <c r="Z2158" t="n">
        <v>1</v>
      </c>
      <c r="AA2158">
        <f>IF(ISNUMBER('IN-CLASS_Lab Part C'!$J$2158),'IN-CLASS_Lab Part C'!$J$2158,NA())</f>
        <v/>
      </c>
    </row>
    <row r="2159">
      <c r="J2159">
        <f>IF(AND(ISNUMBER('Data'!$F$2160),'Data'!$F$2160&lt;&gt;999,'Data'!$F$2160&lt;&gt;""),'Data'!$F$2160,"")</f>
        <v/>
      </c>
      <c r="Z2159" t="n">
        <v>1</v>
      </c>
      <c r="AA2159">
        <f>IF(ISNUMBER('IN-CLASS_Lab Part C'!$J$2159),'IN-CLASS_Lab Part C'!$J$2159,NA())</f>
        <v/>
      </c>
    </row>
    <row r="2160">
      <c r="J2160">
        <f>IF(AND(ISNUMBER('Data'!$F$2161),'Data'!$F$2161&lt;&gt;999,'Data'!$F$2161&lt;&gt;""),'Data'!$F$2161,"")</f>
        <v/>
      </c>
      <c r="Z2160" t="n">
        <v>1</v>
      </c>
      <c r="AA2160">
        <f>IF(ISNUMBER('IN-CLASS_Lab Part C'!$J$2160),'IN-CLASS_Lab Part C'!$J$2160,NA())</f>
        <v/>
      </c>
    </row>
    <row r="2161">
      <c r="J2161">
        <f>IF(AND(ISNUMBER('Data'!$F$2162),'Data'!$F$2162&lt;&gt;999,'Data'!$F$2162&lt;&gt;""),'Data'!$F$2162,"")</f>
        <v/>
      </c>
      <c r="Z2161" t="n">
        <v>1</v>
      </c>
      <c r="AA2161">
        <f>IF(ISNUMBER('IN-CLASS_Lab Part C'!$J$2161),'IN-CLASS_Lab Part C'!$J$2161,NA())</f>
        <v/>
      </c>
    </row>
    <row r="2162">
      <c r="J2162">
        <f>IF(AND(ISNUMBER('Data'!$F$2163),'Data'!$F$2163&lt;&gt;999,'Data'!$F$2163&lt;&gt;""),'Data'!$F$2163,"")</f>
        <v/>
      </c>
      <c r="Z2162" t="n">
        <v>1</v>
      </c>
      <c r="AA2162">
        <f>IF(ISNUMBER('IN-CLASS_Lab Part C'!$J$2162),'IN-CLASS_Lab Part C'!$J$2162,NA())</f>
        <v/>
      </c>
    </row>
    <row r="2163">
      <c r="J2163">
        <f>IF(AND(ISNUMBER('Data'!$F$2164),'Data'!$F$2164&lt;&gt;999,'Data'!$F$2164&lt;&gt;""),'Data'!$F$2164,"")</f>
        <v/>
      </c>
      <c r="Z2163" t="n">
        <v>1</v>
      </c>
      <c r="AA2163">
        <f>IF(ISNUMBER('IN-CLASS_Lab Part C'!$J$2163),'IN-CLASS_Lab Part C'!$J$2163,NA())</f>
        <v/>
      </c>
    </row>
    <row r="2164">
      <c r="J2164">
        <f>IF(AND(ISNUMBER('Data'!$F$2165),'Data'!$F$2165&lt;&gt;999,'Data'!$F$2165&lt;&gt;""),'Data'!$F$2165,"")</f>
        <v/>
      </c>
      <c r="Z2164" t="n">
        <v>1</v>
      </c>
      <c r="AA2164">
        <f>IF(ISNUMBER('IN-CLASS_Lab Part C'!$J$2164),'IN-CLASS_Lab Part C'!$J$2164,NA())</f>
        <v/>
      </c>
    </row>
    <row r="2165">
      <c r="J2165">
        <f>IF(AND(ISNUMBER('Data'!$F$2166),'Data'!$F$2166&lt;&gt;999,'Data'!$F$2166&lt;&gt;""),'Data'!$F$2166,"")</f>
        <v/>
      </c>
      <c r="Z2165" t="n">
        <v>1</v>
      </c>
      <c r="AA2165">
        <f>IF(ISNUMBER('IN-CLASS_Lab Part C'!$J$2165),'IN-CLASS_Lab Part C'!$J$2165,NA())</f>
        <v/>
      </c>
    </row>
    <row r="2166">
      <c r="J2166">
        <f>IF(AND(ISNUMBER('Data'!$F$2167),'Data'!$F$2167&lt;&gt;999,'Data'!$F$2167&lt;&gt;""),'Data'!$F$2167,"")</f>
        <v/>
      </c>
      <c r="Z2166" t="n">
        <v>1</v>
      </c>
      <c r="AA2166">
        <f>IF(ISNUMBER('IN-CLASS_Lab Part C'!$J$2166),'IN-CLASS_Lab Part C'!$J$2166,NA())</f>
        <v/>
      </c>
    </row>
    <row r="2167">
      <c r="J2167">
        <f>IF(AND(ISNUMBER('Data'!$F$2168),'Data'!$F$2168&lt;&gt;999,'Data'!$F$2168&lt;&gt;""),'Data'!$F$2168,"")</f>
        <v/>
      </c>
      <c r="Z2167" t="n">
        <v>1</v>
      </c>
      <c r="AA2167">
        <f>IF(ISNUMBER('IN-CLASS_Lab Part C'!$J$2167),'IN-CLASS_Lab Part C'!$J$2167,NA())</f>
        <v/>
      </c>
    </row>
    <row r="2168">
      <c r="J2168">
        <f>IF(AND(ISNUMBER('Data'!$F$2169),'Data'!$F$2169&lt;&gt;999,'Data'!$F$2169&lt;&gt;""),'Data'!$F$2169,"")</f>
        <v/>
      </c>
      <c r="Z2168" t="n">
        <v>1</v>
      </c>
      <c r="AA2168">
        <f>IF(ISNUMBER('IN-CLASS_Lab Part C'!$J$2168),'IN-CLASS_Lab Part C'!$J$2168,NA())</f>
        <v/>
      </c>
    </row>
    <row r="2169">
      <c r="J2169">
        <f>IF(AND(ISNUMBER('Data'!$F$2170),'Data'!$F$2170&lt;&gt;999,'Data'!$F$2170&lt;&gt;""),'Data'!$F$2170,"")</f>
        <v/>
      </c>
      <c r="Z2169" t="n">
        <v>1</v>
      </c>
      <c r="AA2169">
        <f>IF(ISNUMBER('IN-CLASS_Lab Part C'!$J$2169),'IN-CLASS_Lab Part C'!$J$2169,NA())</f>
        <v/>
      </c>
    </row>
    <row r="2170">
      <c r="J2170">
        <f>IF(AND(ISNUMBER('Data'!$F$2171),'Data'!$F$2171&lt;&gt;999,'Data'!$F$2171&lt;&gt;""),'Data'!$F$2171,"")</f>
        <v/>
      </c>
      <c r="Z2170" t="n">
        <v>1</v>
      </c>
      <c r="AA2170">
        <f>IF(ISNUMBER('IN-CLASS_Lab Part C'!$J$2170),'IN-CLASS_Lab Part C'!$J$2170,NA())</f>
        <v/>
      </c>
    </row>
    <row r="2171">
      <c r="J2171">
        <f>IF(AND(ISNUMBER('Data'!$F$2172),'Data'!$F$2172&lt;&gt;999,'Data'!$F$2172&lt;&gt;""),'Data'!$F$2172,"")</f>
        <v/>
      </c>
      <c r="Z2171" t="n">
        <v>1</v>
      </c>
      <c r="AA2171">
        <f>IF(ISNUMBER('IN-CLASS_Lab Part C'!$J$2171),'IN-CLASS_Lab Part C'!$J$2171,NA())</f>
        <v/>
      </c>
    </row>
    <row r="2172">
      <c r="J2172">
        <f>IF(AND(ISNUMBER('Data'!$F$2173),'Data'!$F$2173&lt;&gt;999,'Data'!$F$2173&lt;&gt;""),'Data'!$F$2173,"")</f>
        <v/>
      </c>
      <c r="Z2172" t="n">
        <v>1</v>
      </c>
      <c r="AA2172">
        <f>IF(ISNUMBER('IN-CLASS_Lab Part C'!$J$2172),'IN-CLASS_Lab Part C'!$J$2172,NA())</f>
        <v/>
      </c>
    </row>
    <row r="2173">
      <c r="J2173">
        <f>IF(AND(ISNUMBER('Data'!$F$2174),'Data'!$F$2174&lt;&gt;999,'Data'!$F$2174&lt;&gt;""),'Data'!$F$2174,"")</f>
        <v/>
      </c>
      <c r="Z2173" t="n">
        <v>1</v>
      </c>
      <c r="AA2173">
        <f>IF(ISNUMBER('IN-CLASS_Lab Part C'!$J$2173),'IN-CLASS_Lab Part C'!$J$2173,NA())</f>
        <v/>
      </c>
    </row>
    <row r="2174">
      <c r="J2174">
        <f>IF(AND(ISNUMBER('Data'!$F$2175),'Data'!$F$2175&lt;&gt;999,'Data'!$F$2175&lt;&gt;""),'Data'!$F$2175,"")</f>
        <v/>
      </c>
      <c r="Z2174" t="n">
        <v>1</v>
      </c>
      <c r="AA2174">
        <f>IF(ISNUMBER('IN-CLASS_Lab Part C'!$J$2174),'IN-CLASS_Lab Part C'!$J$2174,NA())</f>
        <v/>
      </c>
    </row>
    <row r="2175">
      <c r="J2175">
        <f>IF(AND(ISNUMBER('Data'!$F$2176),'Data'!$F$2176&lt;&gt;999,'Data'!$F$2176&lt;&gt;""),'Data'!$F$2176,"")</f>
        <v/>
      </c>
      <c r="Z2175" t="n">
        <v>1</v>
      </c>
      <c r="AA2175">
        <f>IF(ISNUMBER('IN-CLASS_Lab Part C'!$J$2175),'IN-CLASS_Lab Part C'!$J$2175,NA())</f>
        <v/>
      </c>
    </row>
    <row r="2176">
      <c r="J2176">
        <f>IF(AND(ISNUMBER('Data'!$F$2177),'Data'!$F$2177&lt;&gt;999,'Data'!$F$2177&lt;&gt;""),'Data'!$F$2177,"")</f>
        <v/>
      </c>
      <c r="Z2176" t="n">
        <v>1</v>
      </c>
      <c r="AA2176">
        <f>IF(ISNUMBER('IN-CLASS_Lab Part C'!$J$2176),'IN-CLASS_Lab Part C'!$J$2176,NA())</f>
        <v/>
      </c>
    </row>
    <row r="2177">
      <c r="J2177">
        <f>IF(AND(ISNUMBER('Data'!$F$2178),'Data'!$F$2178&lt;&gt;999,'Data'!$F$2178&lt;&gt;""),'Data'!$F$2178,"")</f>
        <v/>
      </c>
      <c r="Z2177" t="n">
        <v>1</v>
      </c>
      <c r="AA2177">
        <f>IF(ISNUMBER('IN-CLASS_Lab Part C'!$J$2177),'IN-CLASS_Lab Part C'!$J$2177,NA())</f>
        <v/>
      </c>
    </row>
    <row r="2178">
      <c r="J2178">
        <f>IF(AND(ISNUMBER('Data'!$F$2179),'Data'!$F$2179&lt;&gt;999,'Data'!$F$2179&lt;&gt;""),'Data'!$F$2179,"")</f>
        <v/>
      </c>
      <c r="Z2178" t="n">
        <v>1</v>
      </c>
      <c r="AA2178">
        <f>IF(ISNUMBER('IN-CLASS_Lab Part C'!$J$2178),'IN-CLASS_Lab Part C'!$J$2178,NA())</f>
        <v/>
      </c>
    </row>
    <row r="2179">
      <c r="J2179">
        <f>IF(AND(ISNUMBER('Data'!$F$2180),'Data'!$F$2180&lt;&gt;999,'Data'!$F$2180&lt;&gt;""),'Data'!$F$2180,"")</f>
        <v/>
      </c>
      <c r="Z2179" t="n">
        <v>1</v>
      </c>
      <c r="AA2179">
        <f>IF(ISNUMBER('IN-CLASS_Lab Part C'!$J$2179),'IN-CLASS_Lab Part C'!$J$2179,NA())</f>
        <v/>
      </c>
    </row>
    <row r="2180">
      <c r="J2180">
        <f>IF(AND(ISNUMBER('Data'!$F$2181),'Data'!$F$2181&lt;&gt;999,'Data'!$F$2181&lt;&gt;""),'Data'!$F$2181,"")</f>
        <v/>
      </c>
      <c r="Z2180" t="n">
        <v>1</v>
      </c>
      <c r="AA2180">
        <f>IF(ISNUMBER('IN-CLASS_Lab Part C'!$J$2180),'IN-CLASS_Lab Part C'!$J$2180,NA())</f>
        <v/>
      </c>
    </row>
    <row r="2181">
      <c r="J2181">
        <f>IF(AND(ISNUMBER('Data'!$F$2182),'Data'!$F$2182&lt;&gt;999,'Data'!$F$2182&lt;&gt;""),'Data'!$F$2182,"")</f>
        <v/>
      </c>
      <c r="Z2181" t="n">
        <v>1</v>
      </c>
      <c r="AA2181">
        <f>IF(ISNUMBER('IN-CLASS_Lab Part C'!$J$2181),'IN-CLASS_Lab Part C'!$J$2181,NA())</f>
        <v/>
      </c>
    </row>
    <row r="2182">
      <c r="J2182">
        <f>IF(AND(ISNUMBER('Data'!$F$2183),'Data'!$F$2183&lt;&gt;999,'Data'!$F$2183&lt;&gt;""),'Data'!$F$2183,"")</f>
        <v/>
      </c>
      <c r="Z2182" t="n">
        <v>1</v>
      </c>
      <c r="AA2182">
        <f>IF(ISNUMBER('IN-CLASS_Lab Part C'!$J$2182),'IN-CLASS_Lab Part C'!$J$2182,NA())</f>
        <v/>
      </c>
    </row>
    <row r="2183">
      <c r="J2183">
        <f>IF(AND(ISNUMBER('Data'!$F$2184),'Data'!$F$2184&lt;&gt;999,'Data'!$F$2184&lt;&gt;""),'Data'!$F$2184,"")</f>
        <v/>
      </c>
      <c r="Z2183" t="n">
        <v>1</v>
      </c>
      <c r="AA2183">
        <f>IF(ISNUMBER('IN-CLASS_Lab Part C'!$J$2183),'IN-CLASS_Lab Part C'!$J$2183,NA())</f>
        <v/>
      </c>
    </row>
    <row r="2184">
      <c r="J2184">
        <f>IF(AND(ISNUMBER('Data'!$F$2185),'Data'!$F$2185&lt;&gt;999,'Data'!$F$2185&lt;&gt;""),'Data'!$F$2185,"")</f>
        <v/>
      </c>
      <c r="Z2184" t="n">
        <v>1</v>
      </c>
      <c r="AA2184">
        <f>IF(ISNUMBER('IN-CLASS_Lab Part C'!$J$2184),'IN-CLASS_Lab Part C'!$J$2184,NA())</f>
        <v/>
      </c>
    </row>
    <row r="2185">
      <c r="J2185">
        <f>IF(AND(ISNUMBER('Data'!$F$2186),'Data'!$F$2186&lt;&gt;999,'Data'!$F$2186&lt;&gt;""),'Data'!$F$2186,"")</f>
        <v/>
      </c>
      <c r="Z2185" t="n">
        <v>1</v>
      </c>
      <c r="AA2185">
        <f>IF(ISNUMBER('IN-CLASS_Lab Part C'!$J$2185),'IN-CLASS_Lab Part C'!$J$2185,NA())</f>
        <v/>
      </c>
    </row>
    <row r="2186">
      <c r="J2186">
        <f>IF(AND(ISNUMBER('Data'!$F$2187),'Data'!$F$2187&lt;&gt;999,'Data'!$F$2187&lt;&gt;""),'Data'!$F$2187,"")</f>
        <v/>
      </c>
      <c r="Z2186" t="n">
        <v>1</v>
      </c>
      <c r="AA2186">
        <f>IF(ISNUMBER('IN-CLASS_Lab Part C'!$J$2186),'IN-CLASS_Lab Part C'!$J$2186,NA())</f>
        <v/>
      </c>
    </row>
    <row r="2187">
      <c r="J2187">
        <f>IF(AND(ISNUMBER('Data'!$F$2188),'Data'!$F$2188&lt;&gt;999,'Data'!$F$2188&lt;&gt;""),'Data'!$F$2188,"")</f>
        <v/>
      </c>
      <c r="Z2187" t="n">
        <v>1</v>
      </c>
      <c r="AA2187">
        <f>IF(ISNUMBER('IN-CLASS_Lab Part C'!$J$2187),'IN-CLASS_Lab Part C'!$J$2187,NA())</f>
        <v/>
      </c>
    </row>
    <row r="2188">
      <c r="J2188">
        <f>IF(AND(ISNUMBER('Data'!$F$2189),'Data'!$F$2189&lt;&gt;999,'Data'!$F$2189&lt;&gt;""),'Data'!$F$2189,"")</f>
        <v/>
      </c>
      <c r="Z2188" t="n">
        <v>1</v>
      </c>
      <c r="AA2188">
        <f>IF(ISNUMBER('IN-CLASS_Lab Part C'!$J$2188),'IN-CLASS_Lab Part C'!$J$2188,NA())</f>
        <v/>
      </c>
    </row>
    <row r="2189">
      <c r="J2189">
        <f>IF(AND(ISNUMBER('Data'!$F$2190),'Data'!$F$2190&lt;&gt;999,'Data'!$F$2190&lt;&gt;""),'Data'!$F$2190,"")</f>
        <v/>
      </c>
      <c r="Z2189" t="n">
        <v>1</v>
      </c>
      <c r="AA2189">
        <f>IF(ISNUMBER('IN-CLASS_Lab Part C'!$J$2189),'IN-CLASS_Lab Part C'!$J$2189,NA())</f>
        <v/>
      </c>
    </row>
    <row r="2190">
      <c r="J2190">
        <f>IF(AND(ISNUMBER('Data'!$F$2191),'Data'!$F$2191&lt;&gt;999,'Data'!$F$2191&lt;&gt;""),'Data'!$F$2191,"")</f>
        <v/>
      </c>
      <c r="Z2190" t="n">
        <v>1</v>
      </c>
      <c r="AA2190">
        <f>IF(ISNUMBER('IN-CLASS_Lab Part C'!$J$2190),'IN-CLASS_Lab Part C'!$J$2190,NA())</f>
        <v/>
      </c>
    </row>
    <row r="2191">
      <c r="J2191">
        <f>IF(AND(ISNUMBER('Data'!$F$2192),'Data'!$F$2192&lt;&gt;999,'Data'!$F$2192&lt;&gt;""),'Data'!$F$2192,"")</f>
        <v/>
      </c>
      <c r="Z2191" t="n">
        <v>1</v>
      </c>
      <c r="AA2191">
        <f>IF(ISNUMBER('IN-CLASS_Lab Part C'!$J$2191),'IN-CLASS_Lab Part C'!$J$2191,NA())</f>
        <v/>
      </c>
    </row>
    <row r="2192">
      <c r="J2192">
        <f>IF(AND(ISNUMBER('Data'!$F$2193),'Data'!$F$2193&lt;&gt;999,'Data'!$F$2193&lt;&gt;""),'Data'!$F$2193,"")</f>
        <v/>
      </c>
      <c r="Z2192" t="n">
        <v>1</v>
      </c>
      <c r="AA2192">
        <f>IF(ISNUMBER('IN-CLASS_Lab Part C'!$J$2192),'IN-CLASS_Lab Part C'!$J$2192,NA())</f>
        <v/>
      </c>
    </row>
    <row r="2193">
      <c r="J2193">
        <f>IF(AND(ISNUMBER('Data'!$F$2194),'Data'!$F$2194&lt;&gt;999,'Data'!$F$2194&lt;&gt;""),'Data'!$F$2194,"")</f>
        <v/>
      </c>
      <c r="Z2193" t="n">
        <v>1</v>
      </c>
      <c r="AA2193">
        <f>IF(ISNUMBER('IN-CLASS_Lab Part C'!$J$2193),'IN-CLASS_Lab Part C'!$J$2193,NA())</f>
        <v/>
      </c>
    </row>
    <row r="2194">
      <c r="J2194">
        <f>IF(AND(ISNUMBER('Data'!$F$2195),'Data'!$F$2195&lt;&gt;999,'Data'!$F$2195&lt;&gt;""),'Data'!$F$2195,"")</f>
        <v/>
      </c>
      <c r="Z2194" t="n">
        <v>1</v>
      </c>
      <c r="AA2194">
        <f>IF(ISNUMBER('IN-CLASS_Lab Part C'!$J$2194),'IN-CLASS_Lab Part C'!$J$2194,NA())</f>
        <v/>
      </c>
    </row>
    <row r="2195">
      <c r="J2195">
        <f>IF(AND(ISNUMBER('Data'!$F$2196),'Data'!$F$2196&lt;&gt;999,'Data'!$F$2196&lt;&gt;""),'Data'!$F$2196,"")</f>
        <v/>
      </c>
      <c r="Z2195" t="n">
        <v>1</v>
      </c>
      <c r="AA2195">
        <f>IF(ISNUMBER('IN-CLASS_Lab Part C'!$J$2195),'IN-CLASS_Lab Part C'!$J$2195,NA())</f>
        <v/>
      </c>
    </row>
    <row r="2196">
      <c r="J2196">
        <f>IF(AND(ISNUMBER('Data'!$F$2197),'Data'!$F$2197&lt;&gt;999,'Data'!$F$2197&lt;&gt;""),'Data'!$F$2197,"")</f>
        <v/>
      </c>
      <c r="Z2196" t="n">
        <v>1</v>
      </c>
      <c r="AA2196">
        <f>IF(ISNUMBER('IN-CLASS_Lab Part C'!$J$2196),'IN-CLASS_Lab Part C'!$J$2196,NA())</f>
        <v/>
      </c>
    </row>
    <row r="2197">
      <c r="J2197">
        <f>IF(AND(ISNUMBER('Data'!$F$2198),'Data'!$F$2198&lt;&gt;999,'Data'!$F$2198&lt;&gt;""),'Data'!$F$2198,"")</f>
        <v/>
      </c>
      <c r="Z2197" t="n">
        <v>1</v>
      </c>
      <c r="AA2197">
        <f>IF(ISNUMBER('IN-CLASS_Lab Part C'!$J$2197),'IN-CLASS_Lab Part C'!$J$2197,NA())</f>
        <v/>
      </c>
    </row>
    <row r="2198">
      <c r="J2198">
        <f>IF(AND(ISNUMBER('Data'!$F$2199),'Data'!$F$2199&lt;&gt;999,'Data'!$F$2199&lt;&gt;""),'Data'!$F$2199,"")</f>
        <v/>
      </c>
      <c r="Z2198" t="n">
        <v>1</v>
      </c>
      <c r="AA2198">
        <f>IF(ISNUMBER('IN-CLASS_Lab Part C'!$J$2198),'IN-CLASS_Lab Part C'!$J$2198,NA())</f>
        <v/>
      </c>
    </row>
    <row r="2199">
      <c r="J2199">
        <f>IF(AND(ISNUMBER('Data'!$F$2200),'Data'!$F$2200&lt;&gt;999,'Data'!$F$2200&lt;&gt;""),'Data'!$F$2200,"")</f>
        <v/>
      </c>
      <c r="Z2199" t="n">
        <v>1</v>
      </c>
      <c r="AA2199">
        <f>IF(ISNUMBER('IN-CLASS_Lab Part C'!$J$2199),'IN-CLASS_Lab Part C'!$J$2199,NA())</f>
        <v/>
      </c>
    </row>
    <row r="2200">
      <c r="J2200">
        <f>IF(AND(ISNUMBER('Data'!$F$2201),'Data'!$F$2201&lt;&gt;999,'Data'!$F$2201&lt;&gt;""),'Data'!$F$2201,"")</f>
        <v/>
      </c>
      <c r="Z2200" t="n">
        <v>1</v>
      </c>
      <c r="AA2200">
        <f>IF(ISNUMBER('IN-CLASS_Lab Part C'!$J$2200),'IN-CLASS_Lab Part C'!$J$2200,NA())</f>
        <v/>
      </c>
    </row>
    <row r="2201">
      <c r="J2201">
        <f>IF(AND(ISNUMBER('Data'!$F$2202),'Data'!$F$2202&lt;&gt;999,'Data'!$F$2202&lt;&gt;""),'Data'!$F$2202,"")</f>
        <v/>
      </c>
      <c r="Z2201" t="n">
        <v>1</v>
      </c>
      <c r="AA2201">
        <f>IF(ISNUMBER('IN-CLASS_Lab Part C'!$J$2201),'IN-CLASS_Lab Part C'!$J$2201,NA())</f>
        <v/>
      </c>
    </row>
    <row r="2202">
      <c r="J2202">
        <f>IF(AND(ISNUMBER('Data'!$F$2203),'Data'!$F$2203&lt;&gt;999,'Data'!$F$2203&lt;&gt;""),'Data'!$F$2203,"")</f>
        <v/>
      </c>
      <c r="Z2202" t="n">
        <v>1</v>
      </c>
      <c r="AA2202">
        <f>IF(ISNUMBER('IN-CLASS_Lab Part C'!$J$2202),'IN-CLASS_Lab Part C'!$J$2202,NA())</f>
        <v/>
      </c>
    </row>
    <row r="2203">
      <c r="J2203">
        <f>IF(AND(ISNUMBER('Data'!$F$2204),'Data'!$F$2204&lt;&gt;999,'Data'!$F$2204&lt;&gt;""),'Data'!$F$2204,"")</f>
        <v/>
      </c>
      <c r="Z2203" t="n">
        <v>1</v>
      </c>
      <c r="AA2203">
        <f>IF(ISNUMBER('IN-CLASS_Lab Part C'!$J$2203),'IN-CLASS_Lab Part C'!$J$2203,NA())</f>
        <v/>
      </c>
    </row>
    <row r="2204">
      <c r="J2204">
        <f>IF(AND(ISNUMBER('Data'!$F$2205),'Data'!$F$2205&lt;&gt;999,'Data'!$F$2205&lt;&gt;""),'Data'!$F$2205,"")</f>
        <v/>
      </c>
      <c r="Z2204" t="n">
        <v>1</v>
      </c>
      <c r="AA2204">
        <f>IF(ISNUMBER('IN-CLASS_Lab Part C'!$J$2204),'IN-CLASS_Lab Part C'!$J$2204,NA())</f>
        <v/>
      </c>
    </row>
    <row r="2205">
      <c r="J2205">
        <f>IF(AND(ISNUMBER('Data'!$F$2206),'Data'!$F$2206&lt;&gt;999,'Data'!$F$2206&lt;&gt;""),'Data'!$F$2206,"")</f>
        <v/>
      </c>
      <c r="Z2205" t="n">
        <v>1</v>
      </c>
      <c r="AA2205">
        <f>IF(ISNUMBER('IN-CLASS_Lab Part C'!$J$2205),'IN-CLASS_Lab Part C'!$J$2205,NA())</f>
        <v/>
      </c>
    </row>
    <row r="2206">
      <c r="J2206">
        <f>IF(AND(ISNUMBER('Data'!$F$2207),'Data'!$F$2207&lt;&gt;999,'Data'!$F$2207&lt;&gt;""),'Data'!$F$2207,"")</f>
        <v/>
      </c>
      <c r="Z2206" t="n">
        <v>1</v>
      </c>
      <c r="AA2206">
        <f>IF(ISNUMBER('IN-CLASS_Lab Part C'!$J$2206),'IN-CLASS_Lab Part C'!$J$2206,NA())</f>
        <v/>
      </c>
    </row>
    <row r="2207">
      <c r="J2207">
        <f>IF(AND(ISNUMBER('Data'!$F$2208),'Data'!$F$2208&lt;&gt;999,'Data'!$F$2208&lt;&gt;""),'Data'!$F$2208,"")</f>
        <v/>
      </c>
      <c r="Z2207" t="n">
        <v>1</v>
      </c>
      <c r="AA2207">
        <f>IF(ISNUMBER('IN-CLASS_Lab Part C'!$J$2207),'IN-CLASS_Lab Part C'!$J$2207,NA())</f>
        <v/>
      </c>
    </row>
    <row r="2208">
      <c r="J2208">
        <f>IF(AND(ISNUMBER('Data'!$F$2209),'Data'!$F$2209&lt;&gt;999,'Data'!$F$2209&lt;&gt;""),'Data'!$F$2209,"")</f>
        <v/>
      </c>
      <c r="Z2208" t="n">
        <v>1</v>
      </c>
      <c r="AA2208">
        <f>IF(ISNUMBER('IN-CLASS_Lab Part C'!$J$2208),'IN-CLASS_Lab Part C'!$J$2208,NA())</f>
        <v/>
      </c>
    </row>
    <row r="2209">
      <c r="J2209">
        <f>IF(AND(ISNUMBER('Data'!$F$2210),'Data'!$F$2210&lt;&gt;999,'Data'!$F$2210&lt;&gt;""),'Data'!$F$2210,"")</f>
        <v/>
      </c>
      <c r="Z2209" t="n">
        <v>1</v>
      </c>
      <c r="AA2209">
        <f>IF(ISNUMBER('IN-CLASS_Lab Part C'!$J$2209),'IN-CLASS_Lab Part C'!$J$2209,NA())</f>
        <v/>
      </c>
    </row>
    <row r="2210">
      <c r="J2210">
        <f>IF(AND(ISNUMBER('Data'!$F$2211),'Data'!$F$2211&lt;&gt;999,'Data'!$F$2211&lt;&gt;""),'Data'!$F$2211,"")</f>
        <v/>
      </c>
      <c r="Z2210" t="n">
        <v>1</v>
      </c>
      <c r="AA2210">
        <f>IF(ISNUMBER('IN-CLASS_Lab Part C'!$J$2210),'IN-CLASS_Lab Part C'!$J$2210,NA())</f>
        <v/>
      </c>
    </row>
    <row r="2211">
      <c r="J2211">
        <f>IF(AND(ISNUMBER('Data'!$F$2212),'Data'!$F$2212&lt;&gt;999,'Data'!$F$2212&lt;&gt;""),'Data'!$F$2212,"")</f>
        <v/>
      </c>
      <c r="Z2211" t="n">
        <v>1</v>
      </c>
      <c r="AA2211">
        <f>IF(ISNUMBER('IN-CLASS_Lab Part C'!$J$2211),'IN-CLASS_Lab Part C'!$J$2211,NA())</f>
        <v/>
      </c>
    </row>
    <row r="2212">
      <c r="J2212">
        <f>IF(AND(ISNUMBER('Data'!$F$2213),'Data'!$F$2213&lt;&gt;999,'Data'!$F$2213&lt;&gt;""),'Data'!$F$2213,"")</f>
        <v/>
      </c>
      <c r="Z2212" t="n">
        <v>1</v>
      </c>
      <c r="AA2212">
        <f>IF(ISNUMBER('IN-CLASS_Lab Part C'!$J$2212),'IN-CLASS_Lab Part C'!$J$2212,NA())</f>
        <v/>
      </c>
    </row>
    <row r="2213">
      <c r="J2213">
        <f>IF(AND(ISNUMBER('Data'!$F$2214),'Data'!$F$2214&lt;&gt;999,'Data'!$F$2214&lt;&gt;""),'Data'!$F$2214,"")</f>
        <v/>
      </c>
      <c r="Z2213" t="n">
        <v>1</v>
      </c>
      <c r="AA2213">
        <f>IF(ISNUMBER('IN-CLASS_Lab Part C'!$J$2213),'IN-CLASS_Lab Part C'!$J$2213,NA())</f>
        <v/>
      </c>
    </row>
    <row r="2214">
      <c r="J2214">
        <f>IF(AND(ISNUMBER('Data'!$F$2215),'Data'!$F$2215&lt;&gt;999,'Data'!$F$2215&lt;&gt;""),'Data'!$F$2215,"")</f>
        <v/>
      </c>
      <c r="Z2214" t="n">
        <v>1</v>
      </c>
      <c r="AA2214">
        <f>IF(ISNUMBER('IN-CLASS_Lab Part C'!$J$2214),'IN-CLASS_Lab Part C'!$J$2214,NA())</f>
        <v/>
      </c>
    </row>
    <row r="2215">
      <c r="J2215">
        <f>IF(AND(ISNUMBER('Data'!$F$2216),'Data'!$F$2216&lt;&gt;999,'Data'!$F$2216&lt;&gt;""),'Data'!$F$2216,"")</f>
        <v/>
      </c>
      <c r="Z2215" t="n">
        <v>1</v>
      </c>
      <c r="AA2215">
        <f>IF(ISNUMBER('IN-CLASS_Lab Part C'!$J$2215),'IN-CLASS_Lab Part C'!$J$2215,NA())</f>
        <v/>
      </c>
    </row>
    <row r="2216">
      <c r="J2216">
        <f>IF(AND(ISNUMBER('Data'!$F$2217),'Data'!$F$2217&lt;&gt;999,'Data'!$F$2217&lt;&gt;""),'Data'!$F$2217,"")</f>
        <v/>
      </c>
      <c r="Z2216" t="n">
        <v>1</v>
      </c>
      <c r="AA2216">
        <f>IF(ISNUMBER('IN-CLASS_Lab Part C'!$J$2216),'IN-CLASS_Lab Part C'!$J$2216,NA())</f>
        <v/>
      </c>
    </row>
    <row r="2217">
      <c r="J2217">
        <f>IF(AND(ISNUMBER('Data'!$F$2218),'Data'!$F$2218&lt;&gt;999,'Data'!$F$2218&lt;&gt;""),'Data'!$F$2218,"")</f>
        <v/>
      </c>
      <c r="Z2217" t="n">
        <v>1</v>
      </c>
      <c r="AA2217">
        <f>IF(ISNUMBER('IN-CLASS_Lab Part C'!$J$2217),'IN-CLASS_Lab Part C'!$J$2217,NA())</f>
        <v/>
      </c>
    </row>
    <row r="2218">
      <c r="J2218">
        <f>IF(AND(ISNUMBER('Data'!$F$2219),'Data'!$F$2219&lt;&gt;999,'Data'!$F$2219&lt;&gt;""),'Data'!$F$2219,"")</f>
        <v/>
      </c>
      <c r="Z2218" t="n">
        <v>1</v>
      </c>
      <c r="AA2218">
        <f>IF(ISNUMBER('IN-CLASS_Lab Part C'!$J$2218),'IN-CLASS_Lab Part C'!$J$2218,NA())</f>
        <v/>
      </c>
    </row>
    <row r="2219">
      <c r="J2219">
        <f>IF(AND(ISNUMBER('Data'!$F$2220),'Data'!$F$2220&lt;&gt;999,'Data'!$F$2220&lt;&gt;""),'Data'!$F$2220,"")</f>
        <v/>
      </c>
      <c r="Z2219" t="n">
        <v>1</v>
      </c>
      <c r="AA2219">
        <f>IF(ISNUMBER('IN-CLASS_Lab Part C'!$J$2219),'IN-CLASS_Lab Part C'!$J$2219,NA())</f>
        <v/>
      </c>
    </row>
    <row r="2220">
      <c r="J2220">
        <f>IF(AND(ISNUMBER('Data'!$F$2221),'Data'!$F$2221&lt;&gt;999,'Data'!$F$2221&lt;&gt;""),'Data'!$F$2221,"")</f>
        <v/>
      </c>
      <c r="Z2220" t="n">
        <v>1</v>
      </c>
      <c r="AA2220">
        <f>IF(ISNUMBER('IN-CLASS_Lab Part C'!$J$2220),'IN-CLASS_Lab Part C'!$J$2220,NA())</f>
        <v/>
      </c>
    </row>
    <row r="2221">
      <c r="J2221">
        <f>IF(AND(ISNUMBER('Data'!$F$2222),'Data'!$F$2222&lt;&gt;999,'Data'!$F$2222&lt;&gt;""),'Data'!$F$2222,"")</f>
        <v/>
      </c>
      <c r="Z2221" t="n">
        <v>1</v>
      </c>
      <c r="AA2221">
        <f>IF(ISNUMBER('IN-CLASS_Lab Part C'!$J$2221),'IN-CLASS_Lab Part C'!$J$2221,NA())</f>
        <v/>
      </c>
    </row>
    <row r="2222">
      <c r="J2222">
        <f>IF(AND(ISNUMBER('Data'!$F$2223),'Data'!$F$2223&lt;&gt;999,'Data'!$F$2223&lt;&gt;""),'Data'!$F$2223,"")</f>
        <v/>
      </c>
      <c r="Z2222" t="n">
        <v>1</v>
      </c>
      <c r="AA2222">
        <f>IF(ISNUMBER('IN-CLASS_Lab Part C'!$J$2222),'IN-CLASS_Lab Part C'!$J$2222,NA())</f>
        <v/>
      </c>
    </row>
    <row r="2223">
      <c r="J2223">
        <f>IF(AND(ISNUMBER('Data'!$F$2224),'Data'!$F$2224&lt;&gt;999,'Data'!$F$2224&lt;&gt;""),'Data'!$F$2224,"")</f>
        <v/>
      </c>
      <c r="Z2223" t="n">
        <v>1</v>
      </c>
      <c r="AA2223">
        <f>IF(ISNUMBER('IN-CLASS_Lab Part C'!$J$2223),'IN-CLASS_Lab Part C'!$J$2223,NA())</f>
        <v/>
      </c>
    </row>
    <row r="2224">
      <c r="J2224">
        <f>IF(AND(ISNUMBER('Data'!$F$2225),'Data'!$F$2225&lt;&gt;999,'Data'!$F$2225&lt;&gt;""),'Data'!$F$2225,"")</f>
        <v/>
      </c>
      <c r="Z2224" t="n">
        <v>1</v>
      </c>
      <c r="AA2224">
        <f>IF(ISNUMBER('IN-CLASS_Lab Part C'!$J$2224),'IN-CLASS_Lab Part C'!$J$2224,NA())</f>
        <v/>
      </c>
    </row>
    <row r="2225">
      <c r="J2225">
        <f>IF(AND(ISNUMBER('Data'!$F$2226),'Data'!$F$2226&lt;&gt;999,'Data'!$F$2226&lt;&gt;""),'Data'!$F$2226,"")</f>
        <v/>
      </c>
      <c r="Z2225" t="n">
        <v>1</v>
      </c>
      <c r="AA2225">
        <f>IF(ISNUMBER('IN-CLASS_Lab Part C'!$J$2225),'IN-CLASS_Lab Part C'!$J$2225,NA())</f>
        <v/>
      </c>
    </row>
    <row r="2226">
      <c r="J2226">
        <f>IF(AND(ISNUMBER('Data'!$F$2227),'Data'!$F$2227&lt;&gt;999,'Data'!$F$2227&lt;&gt;""),'Data'!$F$2227,"")</f>
        <v/>
      </c>
      <c r="Z2226" t="n">
        <v>1</v>
      </c>
      <c r="AA2226">
        <f>IF(ISNUMBER('IN-CLASS_Lab Part C'!$J$2226),'IN-CLASS_Lab Part C'!$J$2226,NA())</f>
        <v/>
      </c>
    </row>
    <row r="2227">
      <c r="J2227">
        <f>IF(AND(ISNUMBER('Data'!$F$2228),'Data'!$F$2228&lt;&gt;999,'Data'!$F$2228&lt;&gt;""),'Data'!$F$2228,"")</f>
        <v/>
      </c>
      <c r="Z2227" t="n">
        <v>1</v>
      </c>
      <c r="AA2227">
        <f>IF(ISNUMBER('IN-CLASS_Lab Part C'!$J$2227),'IN-CLASS_Lab Part C'!$J$2227,NA())</f>
        <v/>
      </c>
    </row>
    <row r="2228">
      <c r="J2228">
        <f>IF(AND(ISNUMBER('Data'!$F$2229),'Data'!$F$2229&lt;&gt;999,'Data'!$F$2229&lt;&gt;""),'Data'!$F$2229,"")</f>
        <v/>
      </c>
      <c r="Z2228" t="n">
        <v>1</v>
      </c>
      <c r="AA2228">
        <f>IF(ISNUMBER('IN-CLASS_Lab Part C'!$J$2228),'IN-CLASS_Lab Part C'!$J$2228,NA())</f>
        <v/>
      </c>
    </row>
    <row r="2229">
      <c r="J2229">
        <f>IF(AND(ISNUMBER('Data'!$F$2230),'Data'!$F$2230&lt;&gt;999,'Data'!$F$2230&lt;&gt;""),'Data'!$F$2230,"")</f>
        <v/>
      </c>
      <c r="Z2229" t="n">
        <v>1</v>
      </c>
      <c r="AA2229">
        <f>IF(ISNUMBER('IN-CLASS_Lab Part C'!$J$2229),'IN-CLASS_Lab Part C'!$J$2229,NA())</f>
        <v/>
      </c>
    </row>
    <row r="2230">
      <c r="J2230">
        <f>IF(AND(ISNUMBER('Data'!$F$2231),'Data'!$F$2231&lt;&gt;999,'Data'!$F$2231&lt;&gt;""),'Data'!$F$2231,"")</f>
        <v/>
      </c>
      <c r="Z2230" t="n">
        <v>1</v>
      </c>
      <c r="AA2230">
        <f>IF(ISNUMBER('IN-CLASS_Lab Part C'!$J$2230),'IN-CLASS_Lab Part C'!$J$2230,NA())</f>
        <v/>
      </c>
    </row>
    <row r="2231">
      <c r="J2231">
        <f>IF(AND(ISNUMBER('Data'!$F$2232),'Data'!$F$2232&lt;&gt;999,'Data'!$F$2232&lt;&gt;""),'Data'!$F$2232,"")</f>
        <v/>
      </c>
      <c r="Z2231" t="n">
        <v>1</v>
      </c>
      <c r="AA2231">
        <f>IF(ISNUMBER('IN-CLASS_Lab Part C'!$J$2231),'IN-CLASS_Lab Part C'!$J$2231,NA())</f>
        <v/>
      </c>
    </row>
    <row r="2232">
      <c r="J2232">
        <f>IF(AND(ISNUMBER('Data'!$F$2233),'Data'!$F$2233&lt;&gt;999,'Data'!$F$2233&lt;&gt;""),'Data'!$F$2233,"")</f>
        <v/>
      </c>
      <c r="Z2232" t="n">
        <v>1</v>
      </c>
      <c r="AA2232">
        <f>IF(ISNUMBER('IN-CLASS_Lab Part C'!$J$2232),'IN-CLASS_Lab Part C'!$J$2232,NA())</f>
        <v/>
      </c>
    </row>
    <row r="2233">
      <c r="J2233">
        <f>IF(AND(ISNUMBER('Data'!$F$2234),'Data'!$F$2234&lt;&gt;999,'Data'!$F$2234&lt;&gt;""),'Data'!$F$2234,"")</f>
        <v/>
      </c>
      <c r="Z2233" t="n">
        <v>1</v>
      </c>
      <c r="AA2233">
        <f>IF(ISNUMBER('IN-CLASS_Lab Part C'!$J$2233),'IN-CLASS_Lab Part C'!$J$2233,NA())</f>
        <v/>
      </c>
    </row>
    <row r="2234">
      <c r="J2234">
        <f>IF(AND(ISNUMBER('Data'!$F$2235),'Data'!$F$2235&lt;&gt;999,'Data'!$F$2235&lt;&gt;""),'Data'!$F$2235,"")</f>
        <v/>
      </c>
      <c r="Z2234" t="n">
        <v>1</v>
      </c>
      <c r="AA2234">
        <f>IF(ISNUMBER('IN-CLASS_Lab Part C'!$J$2234),'IN-CLASS_Lab Part C'!$J$2234,NA())</f>
        <v/>
      </c>
    </row>
    <row r="2235">
      <c r="J2235">
        <f>IF(AND(ISNUMBER('Data'!$F$2236),'Data'!$F$2236&lt;&gt;999,'Data'!$F$2236&lt;&gt;""),'Data'!$F$2236,"")</f>
        <v/>
      </c>
      <c r="Z2235" t="n">
        <v>1</v>
      </c>
      <c r="AA2235">
        <f>IF(ISNUMBER('IN-CLASS_Lab Part C'!$J$2235),'IN-CLASS_Lab Part C'!$J$2235,NA())</f>
        <v/>
      </c>
    </row>
    <row r="2236">
      <c r="J2236">
        <f>IF(AND(ISNUMBER('Data'!$F$2237),'Data'!$F$2237&lt;&gt;999,'Data'!$F$2237&lt;&gt;""),'Data'!$F$2237,"")</f>
        <v/>
      </c>
      <c r="Z2236" t="n">
        <v>1</v>
      </c>
      <c r="AA2236">
        <f>IF(ISNUMBER('IN-CLASS_Lab Part C'!$J$2236),'IN-CLASS_Lab Part C'!$J$2236,NA())</f>
        <v/>
      </c>
    </row>
    <row r="2237">
      <c r="J2237">
        <f>IF(AND(ISNUMBER('Data'!$F$2238),'Data'!$F$2238&lt;&gt;999,'Data'!$F$2238&lt;&gt;""),'Data'!$F$2238,"")</f>
        <v/>
      </c>
      <c r="Z2237" t="n">
        <v>1</v>
      </c>
      <c r="AA2237">
        <f>IF(ISNUMBER('IN-CLASS_Lab Part C'!$J$2237),'IN-CLASS_Lab Part C'!$J$2237,NA())</f>
        <v/>
      </c>
    </row>
    <row r="2238">
      <c r="J2238">
        <f>IF(AND(ISNUMBER('Data'!$F$2239),'Data'!$F$2239&lt;&gt;999,'Data'!$F$2239&lt;&gt;""),'Data'!$F$2239,"")</f>
        <v/>
      </c>
      <c r="Z2238" t="n">
        <v>1</v>
      </c>
      <c r="AA2238">
        <f>IF(ISNUMBER('IN-CLASS_Lab Part C'!$J$2238),'IN-CLASS_Lab Part C'!$J$2238,NA())</f>
        <v/>
      </c>
    </row>
    <row r="2239">
      <c r="J2239">
        <f>IF(AND(ISNUMBER('Data'!$F$2240),'Data'!$F$2240&lt;&gt;999,'Data'!$F$2240&lt;&gt;""),'Data'!$F$2240,"")</f>
        <v/>
      </c>
      <c r="Z2239" t="n">
        <v>1</v>
      </c>
      <c r="AA2239">
        <f>IF(ISNUMBER('IN-CLASS_Lab Part C'!$J$2239),'IN-CLASS_Lab Part C'!$J$2239,NA())</f>
        <v/>
      </c>
    </row>
    <row r="2240">
      <c r="J2240">
        <f>IF(AND(ISNUMBER('Data'!$F$2241),'Data'!$F$2241&lt;&gt;999,'Data'!$F$2241&lt;&gt;""),'Data'!$F$2241,"")</f>
        <v/>
      </c>
      <c r="Z2240" t="n">
        <v>1</v>
      </c>
      <c r="AA2240">
        <f>IF(ISNUMBER('IN-CLASS_Lab Part C'!$J$2240),'IN-CLASS_Lab Part C'!$J$2240,NA())</f>
        <v/>
      </c>
    </row>
    <row r="2241">
      <c r="J2241">
        <f>IF(AND(ISNUMBER('Data'!$F$2242),'Data'!$F$2242&lt;&gt;999,'Data'!$F$2242&lt;&gt;""),'Data'!$F$2242,"")</f>
        <v/>
      </c>
      <c r="Z2241" t="n">
        <v>1</v>
      </c>
      <c r="AA2241">
        <f>IF(ISNUMBER('IN-CLASS_Lab Part C'!$J$2241),'IN-CLASS_Lab Part C'!$J$2241,NA())</f>
        <v/>
      </c>
    </row>
    <row r="2242">
      <c r="J2242">
        <f>IF(AND(ISNUMBER('Data'!$F$2243),'Data'!$F$2243&lt;&gt;999,'Data'!$F$2243&lt;&gt;""),'Data'!$F$2243,"")</f>
        <v/>
      </c>
      <c r="Z2242" t="n">
        <v>1</v>
      </c>
      <c r="AA2242">
        <f>IF(ISNUMBER('IN-CLASS_Lab Part C'!$J$2242),'IN-CLASS_Lab Part C'!$J$2242,NA())</f>
        <v/>
      </c>
    </row>
    <row r="2243">
      <c r="J2243">
        <f>IF(AND(ISNUMBER('Data'!$F$2244),'Data'!$F$2244&lt;&gt;999,'Data'!$F$2244&lt;&gt;""),'Data'!$F$2244,"")</f>
        <v/>
      </c>
      <c r="Z2243" t="n">
        <v>1</v>
      </c>
      <c r="AA2243">
        <f>IF(ISNUMBER('IN-CLASS_Lab Part C'!$J$2243),'IN-CLASS_Lab Part C'!$J$2243,NA())</f>
        <v/>
      </c>
    </row>
    <row r="2244">
      <c r="J2244">
        <f>IF(AND(ISNUMBER('Data'!$F$2245),'Data'!$F$2245&lt;&gt;999,'Data'!$F$2245&lt;&gt;""),'Data'!$F$2245,"")</f>
        <v/>
      </c>
      <c r="Z2244" t="n">
        <v>1</v>
      </c>
      <c r="AA2244">
        <f>IF(ISNUMBER('IN-CLASS_Lab Part C'!$J$2244),'IN-CLASS_Lab Part C'!$J$2244,NA())</f>
        <v/>
      </c>
    </row>
    <row r="2245">
      <c r="J2245">
        <f>IF(AND(ISNUMBER('Data'!$F$2246),'Data'!$F$2246&lt;&gt;999,'Data'!$F$2246&lt;&gt;""),'Data'!$F$2246,"")</f>
        <v/>
      </c>
      <c r="Z2245" t="n">
        <v>1</v>
      </c>
      <c r="AA2245">
        <f>IF(ISNUMBER('IN-CLASS_Lab Part C'!$J$2245),'IN-CLASS_Lab Part C'!$J$2245,NA())</f>
        <v/>
      </c>
    </row>
    <row r="2246">
      <c r="J2246">
        <f>IF(AND(ISNUMBER('Data'!$F$2247),'Data'!$F$2247&lt;&gt;999,'Data'!$F$2247&lt;&gt;""),'Data'!$F$2247,"")</f>
        <v/>
      </c>
      <c r="Z2246" t="n">
        <v>1</v>
      </c>
      <c r="AA2246">
        <f>IF(ISNUMBER('IN-CLASS_Lab Part C'!$J$2246),'IN-CLASS_Lab Part C'!$J$2246,NA())</f>
        <v/>
      </c>
    </row>
    <row r="2247">
      <c r="J2247">
        <f>IF(AND(ISNUMBER('Data'!$F$2248),'Data'!$F$2248&lt;&gt;999,'Data'!$F$2248&lt;&gt;""),'Data'!$F$2248,"")</f>
        <v/>
      </c>
      <c r="Z2247" t="n">
        <v>1</v>
      </c>
      <c r="AA2247">
        <f>IF(ISNUMBER('IN-CLASS_Lab Part C'!$J$2247),'IN-CLASS_Lab Part C'!$J$2247,NA())</f>
        <v/>
      </c>
    </row>
    <row r="2248">
      <c r="J2248">
        <f>IF(AND(ISNUMBER('Data'!$F$2249),'Data'!$F$2249&lt;&gt;999,'Data'!$F$2249&lt;&gt;""),'Data'!$F$2249,"")</f>
        <v/>
      </c>
      <c r="Z2248" t="n">
        <v>1</v>
      </c>
      <c r="AA2248">
        <f>IF(ISNUMBER('IN-CLASS_Lab Part C'!$J$2248),'IN-CLASS_Lab Part C'!$J$2248,NA())</f>
        <v/>
      </c>
    </row>
    <row r="2249">
      <c r="J2249">
        <f>IF(AND(ISNUMBER('Data'!$F$2250),'Data'!$F$2250&lt;&gt;999,'Data'!$F$2250&lt;&gt;""),'Data'!$F$2250,"")</f>
        <v/>
      </c>
      <c r="Z2249" t="n">
        <v>1</v>
      </c>
      <c r="AA2249">
        <f>IF(ISNUMBER('IN-CLASS_Lab Part C'!$J$2249),'IN-CLASS_Lab Part C'!$J$2249,NA())</f>
        <v/>
      </c>
    </row>
    <row r="2250">
      <c r="J2250">
        <f>IF(AND(ISNUMBER('Data'!$F$2251),'Data'!$F$2251&lt;&gt;999,'Data'!$F$2251&lt;&gt;""),'Data'!$F$2251,"")</f>
        <v/>
      </c>
      <c r="Z2250" t="n">
        <v>1</v>
      </c>
      <c r="AA2250">
        <f>IF(ISNUMBER('IN-CLASS_Lab Part C'!$J$2250),'IN-CLASS_Lab Part C'!$J$2250,NA())</f>
        <v/>
      </c>
    </row>
    <row r="2251">
      <c r="J2251">
        <f>IF(AND(ISNUMBER('Data'!$F$2252),'Data'!$F$2252&lt;&gt;999,'Data'!$F$2252&lt;&gt;""),'Data'!$F$2252,"")</f>
        <v/>
      </c>
      <c r="Z2251" t="n">
        <v>1</v>
      </c>
      <c r="AA2251">
        <f>IF(ISNUMBER('IN-CLASS_Lab Part C'!$J$2251),'IN-CLASS_Lab Part C'!$J$2251,NA())</f>
        <v/>
      </c>
    </row>
    <row r="2252">
      <c r="J2252">
        <f>IF(AND(ISNUMBER('Data'!$F$2253),'Data'!$F$2253&lt;&gt;999,'Data'!$F$2253&lt;&gt;""),'Data'!$F$2253,"")</f>
        <v/>
      </c>
      <c r="Z2252" t="n">
        <v>1</v>
      </c>
      <c r="AA2252">
        <f>IF(ISNUMBER('IN-CLASS_Lab Part C'!$J$2252),'IN-CLASS_Lab Part C'!$J$2252,NA())</f>
        <v/>
      </c>
    </row>
    <row r="2253">
      <c r="J2253">
        <f>IF(AND(ISNUMBER('Data'!$F$2254),'Data'!$F$2254&lt;&gt;999,'Data'!$F$2254&lt;&gt;""),'Data'!$F$2254,"")</f>
        <v/>
      </c>
      <c r="Z2253" t="n">
        <v>1</v>
      </c>
      <c r="AA2253">
        <f>IF(ISNUMBER('IN-CLASS_Lab Part C'!$J$2253),'IN-CLASS_Lab Part C'!$J$2253,NA())</f>
        <v/>
      </c>
    </row>
    <row r="2254">
      <c r="J2254">
        <f>IF(AND(ISNUMBER('Data'!$F$2255),'Data'!$F$2255&lt;&gt;999,'Data'!$F$2255&lt;&gt;""),'Data'!$F$2255,"")</f>
        <v/>
      </c>
      <c r="Z2254" t="n">
        <v>1</v>
      </c>
      <c r="AA2254">
        <f>IF(ISNUMBER('IN-CLASS_Lab Part C'!$J$2254),'IN-CLASS_Lab Part C'!$J$2254,NA())</f>
        <v/>
      </c>
    </row>
    <row r="2255">
      <c r="J2255">
        <f>IF(AND(ISNUMBER('Data'!$F$2256),'Data'!$F$2256&lt;&gt;999,'Data'!$F$2256&lt;&gt;""),'Data'!$F$2256,"")</f>
        <v/>
      </c>
      <c r="Z2255" t="n">
        <v>1</v>
      </c>
      <c r="AA2255">
        <f>IF(ISNUMBER('IN-CLASS_Lab Part C'!$J$2255),'IN-CLASS_Lab Part C'!$J$2255,NA())</f>
        <v/>
      </c>
    </row>
    <row r="2256">
      <c r="J2256">
        <f>IF(AND(ISNUMBER('Data'!$F$2257),'Data'!$F$2257&lt;&gt;999,'Data'!$F$2257&lt;&gt;""),'Data'!$F$2257,"")</f>
        <v/>
      </c>
      <c r="Z2256" t="n">
        <v>1</v>
      </c>
      <c r="AA2256">
        <f>IF(ISNUMBER('IN-CLASS_Lab Part C'!$J$2256),'IN-CLASS_Lab Part C'!$J$2256,NA())</f>
        <v/>
      </c>
    </row>
    <row r="2257">
      <c r="J2257">
        <f>IF(AND(ISNUMBER('Data'!$F$2258),'Data'!$F$2258&lt;&gt;999,'Data'!$F$2258&lt;&gt;""),'Data'!$F$2258,"")</f>
        <v/>
      </c>
      <c r="Z2257" t="n">
        <v>1</v>
      </c>
      <c r="AA2257">
        <f>IF(ISNUMBER('IN-CLASS_Lab Part C'!$J$2257),'IN-CLASS_Lab Part C'!$J$2257,NA())</f>
        <v/>
      </c>
    </row>
    <row r="2258">
      <c r="J2258">
        <f>IF(AND(ISNUMBER('Data'!$F$2259),'Data'!$F$2259&lt;&gt;999,'Data'!$F$2259&lt;&gt;""),'Data'!$F$2259,"")</f>
        <v/>
      </c>
      <c r="Z2258" t="n">
        <v>1</v>
      </c>
      <c r="AA2258">
        <f>IF(ISNUMBER('IN-CLASS_Lab Part C'!$J$2258),'IN-CLASS_Lab Part C'!$J$2258,NA())</f>
        <v/>
      </c>
    </row>
    <row r="2259">
      <c r="J2259">
        <f>IF(AND(ISNUMBER('Data'!$F$2260),'Data'!$F$2260&lt;&gt;999,'Data'!$F$2260&lt;&gt;""),'Data'!$F$2260,"")</f>
        <v/>
      </c>
      <c r="Z2259" t="n">
        <v>1</v>
      </c>
      <c r="AA2259">
        <f>IF(ISNUMBER('IN-CLASS_Lab Part C'!$J$2259),'IN-CLASS_Lab Part C'!$J$2259,NA())</f>
        <v/>
      </c>
    </row>
    <row r="2260">
      <c r="J2260">
        <f>IF(AND(ISNUMBER('Data'!$F$2261),'Data'!$F$2261&lt;&gt;999,'Data'!$F$2261&lt;&gt;""),'Data'!$F$2261,"")</f>
        <v/>
      </c>
      <c r="Z2260" t="n">
        <v>1</v>
      </c>
      <c r="AA2260">
        <f>IF(ISNUMBER('IN-CLASS_Lab Part C'!$J$2260),'IN-CLASS_Lab Part C'!$J$2260,NA())</f>
        <v/>
      </c>
    </row>
    <row r="2261">
      <c r="J2261">
        <f>IF(AND(ISNUMBER('Data'!$F$2262),'Data'!$F$2262&lt;&gt;999,'Data'!$F$2262&lt;&gt;""),'Data'!$F$2262,"")</f>
        <v/>
      </c>
      <c r="Z2261" t="n">
        <v>1</v>
      </c>
      <c r="AA2261">
        <f>IF(ISNUMBER('IN-CLASS_Lab Part C'!$J$2261),'IN-CLASS_Lab Part C'!$J$2261,NA())</f>
        <v/>
      </c>
    </row>
    <row r="2262">
      <c r="J2262">
        <f>IF(AND(ISNUMBER('Data'!$F$2263),'Data'!$F$2263&lt;&gt;999,'Data'!$F$2263&lt;&gt;""),'Data'!$F$2263,"")</f>
        <v/>
      </c>
      <c r="Z2262" t="n">
        <v>1</v>
      </c>
      <c r="AA2262">
        <f>IF(ISNUMBER('IN-CLASS_Lab Part C'!$J$2262),'IN-CLASS_Lab Part C'!$J$2262,NA())</f>
        <v/>
      </c>
    </row>
    <row r="2263">
      <c r="J2263">
        <f>IF(AND(ISNUMBER('Data'!$F$2264),'Data'!$F$2264&lt;&gt;999,'Data'!$F$2264&lt;&gt;""),'Data'!$F$2264,"")</f>
        <v/>
      </c>
      <c r="Z2263" t="n">
        <v>1</v>
      </c>
      <c r="AA2263">
        <f>IF(ISNUMBER('IN-CLASS_Lab Part C'!$J$2263),'IN-CLASS_Lab Part C'!$J$2263,NA())</f>
        <v/>
      </c>
    </row>
    <row r="2264">
      <c r="J2264">
        <f>IF(AND(ISNUMBER('Data'!$F$2265),'Data'!$F$2265&lt;&gt;999,'Data'!$F$2265&lt;&gt;""),'Data'!$F$2265,"")</f>
        <v/>
      </c>
      <c r="Z2264" t="n">
        <v>1</v>
      </c>
      <c r="AA2264">
        <f>IF(ISNUMBER('IN-CLASS_Lab Part C'!$J$2264),'IN-CLASS_Lab Part C'!$J$2264,NA())</f>
        <v/>
      </c>
    </row>
    <row r="2265">
      <c r="J2265">
        <f>IF(AND(ISNUMBER('Data'!$F$2266),'Data'!$F$2266&lt;&gt;999,'Data'!$F$2266&lt;&gt;""),'Data'!$F$2266,"")</f>
        <v/>
      </c>
      <c r="Z2265" t="n">
        <v>1</v>
      </c>
      <c r="AA2265">
        <f>IF(ISNUMBER('IN-CLASS_Lab Part C'!$J$2265),'IN-CLASS_Lab Part C'!$J$2265,NA())</f>
        <v/>
      </c>
    </row>
    <row r="2266">
      <c r="J2266">
        <f>IF(AND(ISNUMBER('Data'!$F$2267),'Data'!$F$2267&lt;&gt;999,'Data'!$F$2267&lt;&gt;""),'Data'!$F$2267,"")</f>
        <v/>
      </c>
      <c r="Z2266" t="n">
        <v>1</v>
      </c>
      <c r="AA2266">
        <f>IF(ISNUMBER('IN-CLASS_Lab Part C'!$J$2266),'IN-CLASS_Lab Part C'!$J$2266,NA())</f>
        <v/>
      </c>
    </row>
    <row r="2267">
      <c r="J2267">
        <f>IF(AND(ISNUMBER('Data'!$F$2268),'Data'!$F$2268&lt;&gt;999,'Data'!$F$2268&lt;&gt;""),'Data'!$F$2268,"")</f>
        <v/>
      </c>
      <c r="Z2267" t="n">
        <v>1</v>
      </c>
      <c r="AA2267">
        <f>IF(ISNUMBER('IN-CLASS_Lab Part C'!$J$2267),'IN-CLASS_Lab Part C'!$J$2267,NA())</f>
        <v/>
      </c>
    </row>
    <row r="2268">
      <c r="J2268">
        <f>IF(AND(ISNUMBER('Data'!$F$2269),'Data'!$F$2269&lt;&gt;999,'Data'!$F$2269&lt;&gt;""),'Data'!$F$2269,"")</f>
        <v/>
      </c>
      <c r="Z2268" t="n">
        <v>1</v>
      </c>
      <c r="AA2268">
        <f>IF(ISNUMBER('IN-CLASS_Lab Part C'!$J$2268),'IN-CLASS_Lab Part C'!$J$2268,NA())</f>
        <v/>
      </c>
    </row>
    <row r="2269">
      <c r="J2269">
        <f>IF(AND(ISNUMBER('Data'!$F$2270),'Data'!$F$2270&lt;&gt;999,'Data'!$F$2270&lt;&gt;""),'Data'!$F$2270,"")</f>
        <v/>
      </c>
      <c r="Z2269" t="n">
        <v>1</v>
      </c>
      <c r="AA2269">
        <f>IF(ISNUMBER('IN-CLASS_Lab Part C'!$J$2269),'IN-CLASS_Lab Part C'!$J$2269,NA())</f>
        <v/>
      </c>
    </row>
    <row r="2270">
      <c r="J2270">
        <f>IF(AND(ISNUMBER('Data'!$F$2271),'Data'!$F$2271&lt;&gt;999,'Data'!$F$2271&lt;&gt;""),'Data'!$F$2271,"")</f>
        <v/>
      </c>
      <c r="Z2270" t="n">
        <v>1</v>
      </c>
      <c r="AA2270">
        <f>IF(ISNUMBER('IN-CLASS_Lab Part C'!$J$2270),'IN-CLASS_Lab Part C'!$J$2270,NA())</f>
        <v/>
      </c>
    </row>
    <row r="2271">
      <c r="J2271">
        <f>IF(AND(ISNUMBER('Data'!$F$2272),'Data'!$F$2272&lt;&gt;999,'Data'!$F$2272&lt;&gt;""),'Data'!$F$2272,"")</f>
        <v/>
      </c>
      <c r="Z2271" t="n">
        <v>1</v>
      </c>
      <c r="AA2271">
        <f>IF(ISNUMBER('IN-CLASS_Lab Part C'!$J$2271),'IN-CLASS_Lab Part C'!$J$2271,NA())</f>
        <v/>
      </c>
    </row>
    <row r="2272">
      <c r="J2272">
        <f>IF(AND(ISNUMBER('Data'!$F$2273),'Data'!$F$2273&lt;&gt;999,'Data'!$F$2273&lt;&gt;""),'Data'!$F$2273,"")</f>
        <v/>
      </c>
      <c r="Z2272" t="n">
        <v>1</v>
      </c>
      <c r="AA2272">
        <f>IF(ISNUMBER('IN-CLASS_Lab Part C'!$J$2272),'IN-CLASS_Lab Part C'!$J$2272,NA())</f>
        <v/>
      </c>
    </row>
    <row r="2273">
      <c r="J2273">
        <f>IF(AND(ISNUMBER('Data'!$F$2274),'Data'!$F$2274&lt;&gt;999,'Data'!$F$2274&lt;&gt;""),'Data'!$F$2274,"")</f>
        <v/>
      </c>
      <c r="Z2273" t="n">
        <v>1</v>
      </c>
      <c r="AA2273">
        <f>IF(ISNUMBER('IN-CLASS_Lab Part C'!$J$2273),'IN-CLASS_Lab Part C'!$J$2273,NA())</f>
        <v/>
      </c>
    </row>
    <row r="2274">
      <c r="J2274">
        <f>IF(AND(ISNUMBER('Data'!$F$2275),'Data'!$F$2275&lt;&gt;999,'Data'!$F$2275&lt;&gt;""),'Data'!$F$2275,"")</f>
        <v/>
      </c>
      <c r="Z2274" t="n">
        <v>1</v>
      </c>
      <c r="AA2274">
        <f>IF(ISNUMBER('IN-CLASS_Lab Part C'!$J$2274),'IN-CLASS_Lab Part C'!$J$2274,NA())</f>
        <v/>
      </c>
    </row>
    <row r="2275">
      <c r="J2275">
        <f>IF(AND(ISNUMBER('Data'!$F$2276),'Data'!$F$2276&lt;&gt;999,'Data'!$F$2276&lt;&gt;""),'Data'!$F$2276,"")</f>
        <v/>
      </c>
      <c r="Z2275" t="n">
        <v>1</v>
      </c>
      <c r="AA2275">
        <f>IF(ISNUMBER('IN-CLASS_Lab Part C'!$J$2275),'IN-CLASS_Lab Part C'!$J$2275,NA())</f>
        <v/>
      </c>
    </row>
    <row r="2276">
      <c r="J2276">
        <f>IF(AND(ISNUMBER('Data'!$F$2277),'Data'!$F$2277&lt;&gt;999,'Data'!$F$2277&lt;&gt;""),'Data'!$F$2277,"")</f>
        <v/>
      </c>
      <c r="Z2276" t="n">
        <v>1</v>
      </c>
      <c r="AA2276">
        <f>IF(ISNUMBER('IN-CLASS_Lab Part C'!$J$2276),'IN-CLASS_Lab Part C'!$J$2276,NA())</f>
        <v/>
      </c>
    </row>
    <row r="2277">
      <c r="J2277">
        <f>IF(AND(ISNUMBER('Data'!$F$2278),'Data'!$F$2278&lt;&gt;999,'Data'!$F$2278&lt;&gt;""),'Data'!$F$2278,"")</f>
        <v/>
      </c>
      <c r="Z2277" t="n">
        <v>1</v>
      </c>
      <c r="AA2277">
        <f>IF(ISNUMBER('IN-CLASS_Lab Part C'!$J$2277),'IN-CLASS_Lab Part C'!$J$2277,NA())</f>
        <v/>
      </c>
    </row>
    <row r="2278">
      <c r="J2278">
        <f>IF(AND(ISNUMBER('Data'!$F$2279),'Data'!$F$2279&lt;&gt;999,'Data'!$F$2279&lt;&gt;""),'Data'!$F$2279,"")</f>
        <v/>
      </c>
      <c r="Z2278" t="n">
        <v>1</v>
      </c>
      <c r="AA2278">
        <f>IF(ISNUMBER('IN-CLASS_Lab Part C'!$J$2278),'IN-CLASS_Lab Part C'!$J$2278,NA())</f>
        <v/>
      </c>
    </row>
    <row r="2279">
      <c r="J2279">
        <f>IF(AND(ISNUMBER('Data'!$F$2280),'Data'!$F$2280&lt;&gt;999,'Data'!$F$2280&lt;&gt;""),'Data'!$F$2280,"")</f>
        <v/>
      </c>
      <c r="Z2279" t="n">
        <v>1</v>
      </c>
      <c r="AA2279">
        <f>IF(ISNUMBER('IN-CLASS_Lab Part C'!$J$2279),'IN-CLASS_Lab Part C'!$J$2279,NA())</f>
        <v/>
      </c>
    </row>
    <row r="2280">
      <c r="J2280">
        <f>IF(AND(ISNUMBER('Data'!$F$2281),'Data'!$F$2281&lt;&gt;999,'Data'!$F$2281&lt;&gt;""),'Data'!$F$2281,"")</f>
        <v/>
      </c>
      <c r="Z2280" t="n">
        <v>1</v>
      </c>
      <c r="AA2280">
        <f>IF(ISNUMBER('IN-CLASS_Lab Part C'!$J$2280),'IN-CLASS_Lab Part C'!$J$2280,NA())</f>
        <v/>
      </c>
    </row>
    <row r="2281">
      <c r="J2281">
        <f>IF(AND(ISNUMBER('Data'!$F$2282),'Data'!$F$2282&lt;&gt;999,'Data'!$F$2282&lt;&gt;""),'Data'!$F$2282,"")</f>
        <v/>
      </c>
      <c r="Z2281" t="n">
        <v>1</v>
      </c>
      <c r="AA2281">
        <f>IF(ISNUMBER('IN-CLASS_Lab Part C'!$J$2281),'IN-CLASS_Lab Part C'!$J$2281,NA())</f>
        <v/>
      </c>
    </row>
    <row r="2282">
      <c r="J2282">
        <f>IF(AND(ISNUMBER('Data'!$F$2283),'Data'!$F$2283&lt;&gt;999,'Data'!$F$2283&lt;&gt;""),'Data'!$F$2283,"")</f>
        <v/>
      </c>
      <c r="Z2282" t="n">
        <v>1</v>
      </c>
      <c r="AA2282">
        <f>IF(ISNUMBER('IN-CLASS_Lab Part C'!$J$2282),'IN-CLASS_Lab Part C'!$J$2282,NA())</f>
        <v/>
      </c>
    </row>
    <row r="2283">
      <c r="J2283">
        <f>IF(AND(ISNUMBER('Data'!$F$2284),'Data'!$F$2284&lt;&gt;999,'Data'!$F$2284&lt;&gt;""),'Data'!$F$2284,"")</f>
        <v/>
      </c>
      <c r="Z2283" t="n">
        <v>1</v>
      </c>
      <c r="AA2283">
        <f>IF(ISNUMBER('IN-CLASS_Lab Part C'!$J$2283),'IN-CLASS_Lab Part C'!$J$2283,NA())</f>
        <v/>
      </c>
    </row>
    <row r="2284">
      <c r="J2284">
        <f>IF(AND(ISNUMBER('Data'!$F$2285),'Data'!$F$2285&lt;&gt;999,'Data'!$F$2285&lt;&gt;""),'Data'!$F$2285,"")</f>
        <v/>
      </c>
      <c r="Z2284" t="n">
        <v>1</v>
      </c>
      <c r="AA2284">
        <f>IF(ISNUMBER('IN-CLASS_Lab Part C'!$J$2284),'IN-CLASS_Lab Part C'!$J$2284,NA())</f>
        <v/>
      </c>
    </row>
    <row r="2285">
      <c r="J2285">
        <f>IF(AND(ISNUMBER('Data'!$F$2286),'Data'!$F$2286&lt;&gt;999,'Data'!$F$2286&lt;&gt;""),'Data'!$F$2286,"")</f>
        <v/>
      </c>
      <c r="Z2285" t="n">
        <v>1</v>
      </c>
      <c r="AA2285">
        <f>IF(ISNUMBER('IN-CLASS_Lab Part C'!$J$2285),'IN-CLASS_Lab Part C'!$J$2285,NA())</f>
        <v/>
      </c>
    </row>
    <row r="2286">
      <c r="J2286">
        <f>IF(AND(ISNUMBER('Data'!$F$2287),'Data'!$F$2287&lt;&gt;999,'Data'!$F$2287&lt;&gt;""),'Data'!$F$2287,"")</f>
        <v/>
      </c>
      <c r="Z2286" t="n">
        <v>1</v>
      </c>
      <c r="AA2286">
        <f>IF(ISNUMBER('IN-CLASS_Lab Part C'!$J$2286),'IN-CLASS_Lab Part C'!$J$2286,NA())</f>
        <v/>
      </c>
    </row>
    <row r="2287">
      <c r="J2287">
        <f>IF(AND(ISNUMBER('Data'!$F$2288),'Data'!$F$2288&lt;&gt;999,'Data'!$F$2288&lt;&gt;""),'Data'!$F$2288,"")</f>
        <v/>
      </c>
      <c r="Z2287" t="n">
        <v>1</v>
      </c>
      <c r="AA2287">
        <f>IF(ISNUMBER('IN-CLASS_Lab Part C'!$J$2287),'IN-CLASS_Lab Part C'!$J$2287,NA())</f>
        <v/>
      </c>
    </row>
    <row r="2288">
      <c r="J2288">
        <f>IF(AND(ISNUMBER('Data'!$F$2289),'Data'!$F$2289&lt;&gt;999,'Data'!$F$2289&lt;&gt;""),'Data'!$F$2289,"")</f>
        <v/>
      </c>
      <c r="Z2288" t="n">
        <v>1</v>
      </c>
      <c r="AA2288">
        <f>IF(ISNUMBER('IN-CLASS_Lab Part C'!$J$2288),'IN-CLASS_Lab Part C'!$J$2288,NA())</f>
        <v/>
      </c>
    </row>
    <row r="2289">
      <c r="J2289">
        <f>IF(AND(ISNUMBER('Data'!$F$2290),'Data'!$F$2290&lt;&gt;999,'Data'!$F$2290&lt;&gt;""),'Data'!$F$2290,"")</f>
        <v/>
      </c>
      <c r="Z2289" t="n">
        <v>1</v>
      </c>
      <c r="AA2289">
        <f>IF(ISNUMBER('IN-CLASS_Lab Part C'!$J$2289),'IN-CLASS_Lab Part C'!$J$2289,NA())</f>
        <v/>
      </c>
    </row>
    <row r="2290">
      <c r="J2290">
        <f>IF(AND(ISNUMBER('Data'!$F$2291),'Data'!$F$2291&lt;&gt;999,'Data'!$F$2291&lt;&gt;""),'Data'!$F$2291,"")</f>
        <v/>
      </c>
      <c r="Z2290" t="n">
        <v>1</v>
      </c>
      <c r="AA2290">
        <f>IF(ISNUMBER('IN-CLASS_Lab Part C'!$J$2290),'IN-CLASS_Lab Part C'!$J$2290,NA())</f>
        <v/>
      </c>
    </row>
    <row r="2291">
      <c r="J2291">
        <f>IF(AND(ISNUMBER('Data'!$F$2292),'Data'!$F$2292&lt;&gt;999,'Data'!$F$2292&lt;&gt;""),'Data'!$F$2292,"")</f>
        <v/>
      </c>
      <c r="Z2291" t="n">
        <v>1</v>
      </c>
      <c r="AA2291">
        <f>IF(ISNUMBER('IN-CLASS_Lab Part C'!$J$2291),'IN-CLASS_Lab Part C'!$J$2291,NA())</f>
        <v/>
      </c>
    </row>
    <row r="2292">
      <c r="J2292">
        <f>IF(AND(ISNUMBER('Data'!$F$2293),'Data'!$F$2293&lt;&gt;999,'Data'!$F$2293&lt;&gt;""),'Data'!$F$2293,"")</f>
        <v/>
      </c>
      <c r="Z2292" t="n">
        <v>1</v>
      </c>
      <c r="AA2292">
        <f>IF(ISNUMBER('IN-CLASS_Lab Part C'!$J$2292),'IN-CLASS_Lab Part C'!$J$2292,NA())</f>
        <v/>
      </c>
    </row>
    <row r="2293">
      <c r="J2293">
        <f>IF(AND(ISNUMBER('Data'!$F$2294),'Data'!$F$2294&lt;&gt;999,'Data'!$F$2294&lt;&gt;""),'Data'!$F$2294,"")</f>
        <v/>
      </c>
      <c r="Z2293" t="n">
        <v>1</v>
      </c>
      <c r="AA2293">
        <f>IF(ISNUMBER('IN-CLASS_Lab Part C'!$J$2293),'IN-CLASS_Lab Part C'!$J$2293,NA())</f>
        <v/>
      </c>
    </row>
    <row r="2294">
      <c r="J2294">
        <f>IF(AND(ISNUMBER('Data'!$F$2295),'Data'!$F$2295&lt;&gt;999,'Data'!$F$2295&lt;&gt;""),'Data'!$F$2295,"")</f>
        <v/>
      </c>
      <c r="Z2294" t="n">
        <v>1</v>
      </c>
      <c r="AA2294">
        <f>IF(ISNUMBER('IN-CLASS_Lab Part C'!$J$2294),'IN-CLASS_Lab Part C'!$J$2294,NA())</f>
        <v/>
      </c>
    </row>
    <row r="2295">
      <c r="J2295">
        <f>IF(AND(ISNUMBER('Data'!$F$2296),'Data'!$F$2296&lt;&gt;999,'Data'!$F$2296&lt;&gt;""),'Data'!$F$2296,"")</f>
        <v/>
      </c>
      <c r="Z2295" t="n">
        <v>1</v>
      </c>
      <c r="AA2295">
        <f>IF(ISNUMBER('IN-CLASS_Lab Part C'!$J$2295),'IN-CLASS_Lab Part C'!$J$2295,NA())</f>
        <v/>
      </c>
    </row>
    <row r="2296">
      <c r="J2296">
        <f>IF(AND(ISNUMBER('Data'!$F$2297),'Data'!$F$2297&lt;&gt;999,'Data'!$F$2297&lt;&gt;""),'Data'!$F$2297,"")</f>
        <v/>
      </c>
      <c r="Z2296" t="n">
        <v>1</v>
      </c>
      <c r="AA2296">
        <f>IF(ISNUMBER('IN-CLASS_Lab Part C'!$J$2296),'IN-CLASS_Lab Part C'!$J$2296,NA())</f>
        <v/>
      </c>
    </row>
    <row r="2297">
      <c r="J2297">
        <f>IF(AND(ISNUMBER('Data'!$F$2298),'Data'!$F$2298&lt;&gt;999,'Data'!$F$2298&lt;&gt;""),'Data'!$F$2298,"")</f>
        <v/>
      </c>
      <c r="Z2297" t="n">
        <v>1</v>
      </c>
      <c r="AA2297">
        <f>IF(ISNUMBER('IN-CLASS_Lab Part C'!$J$2297),'IN-CLASS_Lab Part C'!$J$2297,NA())</f>
        <v/>
      </c>
    </row>
    <row r="2298">
      <c r="J2298">
        <f>IF(AND(ISNUMBER('Data'!$F$2299),'Data'!$F$2299&lt;&gt;999,'Data'!$F$2299&lt;&gt;""),'Data'!$F$2299,"")</f>
        <v/>
      </c>
      <c r="Z2298" t="n">
        <v>1</v>
      </c>
      <c r="AA2298">
        <f>IF(ISNUMBER('IN-CLASS_Lab Part C'!$J$2298),'IN-CLASS_Lab Part C'!$J$2298,NA())</f>
        <v/>
      </c>
    </row>
    <row r="2299">
      <c r="J2299">
        <f>IF(AND(ISNUMBER('Data'!$F$2300),'Data'!$F$2300&lt;&gt;999,'Data'!$F$2300&lt;&gt;""),'Data'!$F$2300,"")</f>
        <v/>
      </c>
      <c r="Z2299" t="n">
        <v>1</v>
      </c>
      <c r="AA2299">
        <f>IF(ISNUMBER('IN-CLASS_Lab Part C'!$J$2299),'IN-CLASS_Lab Part C'!$J$2299,NA())</f>
        <v/>
      </c>
    </row>
    <row r="2300">
      <c r="J2300">
        <f>IF(AND(ISNUMBER('Data'!$F$2301),'Data'!$F$2301&lt;&gt;999,'Data'!$F$2301&lt;&gt;""),'Data'!$F$2301,"")</f>
        <v/>
      </c>
      <c r="Z2300" t="n">
        <v>1</v>
      </c>
      <c r="AA2300">
        <f>IF(ISNUMBER('IN-CLASS_Lab Part C'!$J$2300),'IN-CLASS_Lab Part C'!$J$2300,NA())</f>
        <v/>
      </c>
    </row>
    <row r="2301">
      <c r="J2301">
        <f>IF(AND(ISNUMBER('Data'!$F$2302),'Data'!$F$2302&lt;&gt;999,'Data'!$F$2302&lt;&gt;""),'Data'!$F$2302,"")</f>
        <v/>
      </c>
      <c r="Z2301" t="n">
        <v>1</v>
      </c>
      <c r="AA2301">
        <f>IF(ISNUMBER('IN-CLASS_Lab Part C'!$J$2301),'IN-CLASS_Lab Part C'!$J$2301,NA())</f>
        <v/>
      </c>
    </row>
    <row r="2302">
      <c r="J2302">
        <f>IF(AND(ISNUMBER('Data'!$F$2303),'Data'!$F$2303&lt;&gt;999,'Data'!$F$2303&lt;&gt;""),'Data'!$F$2303,"")</f>
        <v/>
      </c>
      <c r="Z2302" t="n">
        <v>1</v>
      </c>
      <c r="AA2302">
        <f>IF(ISNUMBER('IN-CLASS_Lab Part C'!$J$2302),'IN-CLASS_Lab Part C'!$J$2302,NA())</f>
        <v/>
      </c>
    </row>
    <row r="2303">
      <c r="J2303">
        <f>IF(AND(ISNUMBER('Data'!$F$2304),'Data'!$F$2304&lt;&gt;999,'Data'!$F$2304&lt;&gt;""),'Data'!$F$2304,"")</f>
        <v/>
      </c>
      <c r="Z2303" t="n">
        <v>1</v>
      </c>
      <c r="AA2303">
        <f>IF(ISNUMBER('IN-CLASS_Lab Part C'!$J$2303),'IN-CLASS_Lab Part C'!$J$2303,NA())</f>
        <v/>
      </c>
    </row>
    <row r="2304">
      <c r="J2304">
        <f>IF(AND(ISNUMBER('Data'!$F$2305),'Data'!$F$2305&lt;&gt;999,'Data'!$F$2305&lt;&gt;""),'Data'!$F$2305,"")</f>
        <v/>
      </c>
      <c r="Z2304" t="n">
        <v>1</v>
      </c>
      <c r="AA2304">
        <f>IF(ISNUMBER('IN-CLASS_Lab Part C'!$J$2304),'IN-CLASS_Lab Part C'!$J$2304,NA())</f>
        <v/>
      </c>
    </row>
    <row r="2305">
      <c r="J2305">
        <f>IF(AND(ISNUMBER('Data'!$F$2306),'Data'!$F$2306&lt;&gt;999,'Data'!$F$2306&lt;&gt;""),'Data'!$F$2306,"")</f>
        <v/>
      </c>
      <c r="Z2305" t="n">
        <v>1</v>
      </c>
      <c r="AA2305">
        <f>IF(ISNUMBER('IN-CLASS_Lab Part C'!$J$2305),'IN-CLASS_Lab Part C'!$J$2305,NA())</f>
        <v/>
      </c>
    </row>
    <row r="2306">
      <c r="J2306">
        <f>IF(AND(ISNUMBER('Data'!$F$2307),'Data'!$F$2307&lt;&gt;999,'Data'!$F$2307&lt;&gt;""),'Data'!$F$2307,"")</f>
        <v/>
      </c>
      <c r="Z2306" t="n">
        <v>1</v>
      </c>
      <c r="AA2306">
        <f>IF(ISNUMBER('IN-CLASS_Lab Part C'!$J$2306),'IN-CLASS_Lab Part C'!$J$2306,NA())</f>
        <v/>
      </c>
    </row>
    <row r="2307">
      <c r="J2307">
        <f>IF(AND(ISNUMBER('Data'!$F$2308),'Data'!$F$2308&lt;&gt;999,'Data'!$F$2308&lt;&gt;""),'Data'!$F$2308,"")</f>
        <v/>
      </c>
      <c r="Z2307" t="n">
        <v>1</v>
      </c>
      <c r="AA2307">
        <f>IF(ISNUMBER('IN-CLASS_Lab Part C'!$J$2307),'IN-CLASS_Lab Part C'!$J$2307,NA())</f>
        <v/>
      </c>
    </row>
    <row r="2308">
      <c r="J2308">
        <f>IF(AND(ISNUMBER('Data'!$F$2309),'Data'!$F$2309&lt;&gt;999,'Data'!$F$2309&lt;&gt;""),'Data'!$F$2309,"")</f>
        <v/>
      </c>
      <c r="Z2308" t="n">
        <v>1</v>
      </c>
      <c r="AA2308">
        <f>IF(ISNUMBER('IN-CLASS_Lab Part C'!$J$2308),'IN-CLASS_Lab Part C'!$J$2308,NA())</f>
        <v/>
      </c>
    </row>
    <row r="2309">
      <c r="J2309">
        <f>IF(AND(ISNUMBER('Data'!$F$2310),'Data'!$F$2310&lt;&gt;999,'Data'!$F$2310&lt;&gt;""),'Data'!$F$2310,"")</f>
        <v/>
      </c>
      <c r="Z2309" t="n">
        <v>1</v>
      </c>
      <c r="AA2309">
        <f>IF(ISNUMBER('IN-CLASS_Lab Part C'!$J$2309),'IN-CLASS_Lab Part C'!$J$2309,NA())</f>
        <v/>
      </c>
    </row>
    <row r="2310">
      <c r="J2310">
        <f>IF(AND(ISNUMBER('Data'!$F$2311),'Data'!$F$2311&lt;&gt;999,'Data'!$F$2311&lt;&gt;""),'Data'!$F$2311,"")</f>
        <v/>
      </c>
      <c r="Z2310" t="n">
        <v>1</v>
      </c>
      <c r="AA2310">
        <f>IF(ISNUMBER('IN-CLASS_Lab Part C'!$J$2310),'IN-CLASS_Lab Part C'!$J$2310,NA())</f>
        <v/>
      </c>
    </row>
    <row r="2311">
      <c r="J2311">
        <f>IF(AND(ISNUMBER('Data'!$F$2312),'Data'!$F$2312&lt;&gt;999,'Data'!$F$2312&lt;&gt;""),'Data'!$F$2312,"")</f>
        <v/>
      </c>
      <c r="Z2311" t="n">
        <v>1</v>
      </c>
      <c r="AA2311">
        <f>IF(ISNUMBER('IN-CLASS_Lab Part C'!$J$2311),'IN-CLASS_Lab Part C'!$J$2311,NA())</f>
        <v/>
      </c>
    </row>
    <row r="2312">
      <c r="J2312">
        <f>IF(AND(ISNUMBER('Data'!$F$2313),'Data'!$F$2313&lt;&gt;999,'Data'!$F$2313&lt;&gt;""),'Data'!$F$2313,"")</f>
        <v/>
      </c>
      <c r="Z2312" t="n">
        <v>1</v>
      </c>
      <c r="AA2312">
        <f>IF(ISNUMBER('IN-CLASS_Lab Part C'!$J$2312),'IN-CLASS_Lab Part C'!$J$2312,NA())</f>
        <v/>
      </c>
    </row>
    <row r="2313">
      <c r="J2313">
        <f>IF(AND(ISNUMBER('Data'!$F$2314),'Data'!$F$2314&lt;&gt;999,'Data'!$F$2314&lt;&gt;""),'Data'!$F$2314,"")</f>
        <v/>
      </c>
      <c r="Z2313" t="n">
        <v>1</v>
      </c>
      <c r="AA2313">
        <f>IF(ISNUMBER('IN-CLASS_Lab Part C'!$J$2313),'IN-CLASS_Lab Part C'!$J$2313,NA())</f>
        <v/>
      </c>
    </row>
    <row r="2314">
      <c r="J2314">
        <f>IF(AND(ISNUMBER('Data'!$F$2315),'Data'!$F$2315&lt;&gt;999,'Data'!$F$2315&lt;&gt;""),'Data'!$F$2315,"")</f>
        <v/>
      </c>
      <c r="Z2314" t="n">
        <v>1</v>
      </c>
      <c r="AA2314">
        <f>IF(ISNUMBER('IN-CLASS_Lab Part C'!$J$2314),'IN-CLASS_Lab Part C'!$J$2314,NA())</f>
        <v/>
      </c>
    </row>
    <row r="2315">
      <c r="J2315">
        <f>IF(AND(ISNUMBER('Data'!$F$2316),'Data'!$F$2316&lt;&gt;999,'Data'!$F$2316&lt;&gt;""),'Data'!$F$2316,"")</f>
        <v/>
      </c>
      <c r="Z2315" t="n">
        <v>1</v>
      </c>
      <c r="AA2315">
        <f>IF(ISNUMBER('IN-CLASS_Lab Part C'!$J$2315),'IN-CLASS_Lab Part C'!$J$2315,NA())</f>
        <v/>
      </c>
    </row>
    <row r="2316">
      <c r="J2316">
        <f>IF(AND(ISNUMBER('Data'!$F$2317),'Data'!$F$2317&lt;&gt;999,'Data'!$F$2317&lt;&gt;""),'Data'!$F$2317,"")</f>
        <v/>
      </c>
      <c r="Z2316" t="n">
        <v>1</v>
      </c>
      <c r="AA2316">
        <f>IF(ISNUMBER('IN-CLASS_Lab Part C'!$J$2316),'IN-CLASS_Lab Part C'!$J$2316,NA())</f>
        <v/>
      </c>
    </row>
    <row r="2317">
      <c r="J2317">
        <f>IF(AND(ISNUMBER('Data'!$F$2318),'Data'!$F$2318&lt;&gt;999,'Data'!$F$2318&lt;&gt;""),'Data'!$F$2318,"")</f>
        <v/>
      </c>
      <c r="Z2317" t="n">
        <v>1</v>
      </c>
      <c r="AA2317">
        <f>IF(ISNUMBER('IN-CLASS_Lab Part C'!$J$2317),'IN-CLASS_Lab Part C'!$J$2317,NA())</f>
        <v/>
      </c>
    </row>
    <row r="2318">
      <c r="J2318">
        <f>IF(AND(ISNUMBER('Data'!$F$2319),'Data'!$F$2319&lt;&gt;999,'Data'!$F$2319&lt;&gt;""),'Data'!$F$2319,"")</f>
        <v/>
      </c>
      <c r="Z2318" t="n">
        <v>1</v>
      </c>
      <c r="AA2318">
        <f>IF(ISNUMBER('IN-CLASS_Lab Part C'!$J$2318),'IN-CLASS_Lab Part C'!$J$2318,NA())</f>
        <v/>
      </c>
    </row>
    <row r="2319">
      <c r="J2319">
        <f>IF(AND(ISNUMBER('Data'!$F$2320),'Data'!$F$2320&lt;&gt;999,'Data'!$F$2320&lt;&gt;""),'Data'!$F$2320,"")</f>
        <v/>
      </c>
      <c r="Z2319" t="n">
        <v>1</v>
      </c>
      <c r="AA2319">
        <f>IF(ISNUMBER('IN-CLASS_Lab Part C'!$J$2319),'IN-CLASS_Lab Part C'!$J$2319,NA())</f>
        <v/>
      </c>
    </row>
    <row r="2320">
      <c r="J2320">
        <f>IF(AND(ISNUMBER('Data'!$F$2321),'Data'!$F$2321&lt;&gt;999,'Data'!$F$2321&lt;&gt;""),'Data'!$F$2321,"")</f>
        <v/>
      </c>
      <c r="Z2320" t="n">
        <v>1</v>
      </c>
      <c r="AA2320">
        <f>IF(ISNUMBER('IN-CLASS_Lab Part C'!$J$2320),'IN-CLASS_Lab Part C'!$J$2320,NA())</f>
        <v/>
      </c>
    </row>
    <row r="2321">
      <c r="J2321">
        <f>IF(AND(ISNUMBER('Data'!$F$2322),'Data'!$F$2322&lt;&gt;999,'Data'!$F$2322&lt;&gt;""),'Data'!$F$2322,"")</f>
        <v/>
      </c>
      <c r="Z2321" t="n">
        <v>1</v>
      </c>
      <c r="AA2321">
        <f>IF(ISNUMBER('IN-CLASS_Lab Part C'!$J$2321),'IN-CLASS_Lab Part C'!$J$2321,NA())</f>
        <v/>
      </c>
    </row>
    <row r="2322">
      <c r="J2322">
        <f>IF(AND(ISNUMBER('Data'!$F$2323),'Data'!$F$2323&lt;&gt;999,'Data'!$F$2323&lt;&gt;""),'Data'!$F$2323,"")</f>
        <v/>
      </c>
      <c r="Z2322" t="n">
        <v>1</v>
      </c>
      <c r="AA2322">
        <f>IF(ISNUMBER('IN-CLASS_Lab Part C'!$J$2322),'IN-CLASS_Lab Part C'!$J$2322,NA())</f>
        <v/>
      </c>
    </row>
    <row r="2323">
      <c r="J2323">
        <f>IF(AND(ISNUMBER('Data'!$F$2324),'Data'!$F$2324&lt;&gt;999,'Data'!$F$2324&lt;&gt;""),'Data'!$F$2324,"")</f>
        <v/>
      </c>
      <c r="Z2323" t="n">
        <v>1</v>
      </c>
      <c r="AA2323">
        <f>IF(ISNUMBER('IN-CLASS_Lab Part C'!$J$2323),'IN-CLASS_Lab Part C'!$J$2323,NA())</f>
        <v/>
      </c>
    </row>
    <row r="2324">
      <c r="J2324">
        <f>IF(AND(ISNUMBER('Data'!$F$2325),'Data'!$F$2325&lt;&gt;999,'Data'!$F$2325&lt;&gt;""),'Data'!$F$2325,"")</f>
        <v/>
      </c>
      <c r="Z2324" t="n">
        <v>1</v>
      </c>
      <c r="AA2324">
        <f>IF(ISNUMBER('IN-CLASS_Lab Part C'!$J$2324),'IN-CLASS_Lab Part C'!$J$2324,NA())</f>
        <v/>
      </c>
    </row>
    <row r="2325">
      <c r="J2325">
        <f>IF(AND(ISNUMBER('Data'!$F$2326),'Data'!$F$2326&lt;&gt;999,'Data'!$F$2326&lt;&gt;""),'Data'!$F$2326,"")</f>
        <v/>
      </c>
      <c r="Z2325" t="n">
        <v>1</v>
      </c>
      <c r="AA2325">
        <f>IF(ISNUMBER('IN-CLASS_Lab Part C'!$J$2325),'IN-CLASS_Lab Part C'!$J$2325,NA())</f>
        <v/>
      </c>
    </row>
    <row r="2326">
      <c r="J2326">
        <f>IF(AND(ISNUMBER('Data'!$F$2327),'Data'!$F$2327&lt;&gt;999,'Data'!$F$2327&lt;&gt;""),'Data'!$F$2327,"")</f>
        <v/>
      </c>
      <c r="Z2326" t="n">
        <v>1</v>
      </c>
      <c r="AA2326">
        <f>IF(ISNUMBER('IN-CLASS_Lab Part C'!$J$2326),'IN-CLASS_Lab Part C'!$J$2326,NA())</f>
        <v/>
      </c>
    </row>
    <row r="2327">
      <c r="J2327">
        <f>IF(AND(ISNUMBER('Data'!$F$2328),'Data'!$F$2328&lt;&gt;999,'Data'!$F$2328&lt;&gt;""),'Data'!$F$2328,"")</f>
        <v/>
      </c>
      <c r="Z2327" t="n">
        <v>1</v>
      </c>
      <c r="AA2327">
        <f>IF(ISNUMBER('IN-CLASS_Lab Part C'!$J$2327),'IN-CLASS_Lab Part C'!$J$2327,NA())</f>
        <v/>
      </c>
    </row>
    <row r="2328">
      <c r="J2328">
        <f>IF(AND(ISNUMBER('Data'!$F$2329),'Data'!$F$2329&lt;&gt;999,'Data'!$F$2329&lt;&gt;""),'Data'!$F$2329,"")</f>
        <v/>
      </c>
      <c r="Z2328" t="n">
        <v>1</v>
      </c>
      <c r="AA2328">
        <f>IF(ISNUMBER('IN-CLASS_Lab Part C'!$J$2328),'IN-CLASS_Lab Part C'!$J$2328,NA())</f>
        <v/>
      </c>
    </row>
    <row r="2329">
      <c r="J2329">
        <f>IF(AND(ISNUMBER('Data'!$F$2330),'Data'!$F$2330&lt;&gt;999,'Data'!$F$2330&lt;&gt;""),'Data'!$F$2330,"")</f>
        <v/>
      </c>
      <c r="Z2329" t="n">
        <v>1</v>
      </c>
      <c r="AA2329">
        <f>IF(ISNUMBER('IN-CLASS_Lab Part C'!$J$2329),'IN-CLASS_Lab Part C'!$J$2329,NA())</f>
        <v/>
      </c>
    </row>
    <row r="2330">
      <c r="J2330">
        <f>IF(AND(ISNUMBER('Data'!$F$2331),'Data'!$F$2331&lt;&gt;999,'Data'!$F$2331&lt;&gt;""),'Data'!$F$2331,"")</f>
        <v/>
      </c>
      <c r="Z2330" t="n">
        <v>1</v>
      </c>
      <c r="AA2330">
        <f>IF(ISNUMBER('IN-CLASS_Lab Part C'!$J$2330),'IN-CLASS_Lab Part C'!$J$2330,NA())</f>
        <v/>
      </c>
    </row>
    <row r="2331">
      <c r="J2331">
        <f>IF(AND(ISNUMBER('Data'!$F$2332),'Data'!$F$2332&lt;&gt;999,'Data'!$F$2332&lt;&gt;""),'Data'!$F$2332,"")</f>
        <v/>
      </c>
      <c r="Z2331" t="n">
        <v>1</v>
      </c>
      <c r="AA2331">
        <f>IF(ISNUMBER('IN-CLASS_Lab Part C'!$J$2331),'IN-CLASS_Lab Part C'!$J$2331,NA())</f>
        <v/>
      </c>
    </row>
    <row r="2332">
      <c r="J2332">
        <f>IF(AND(ISNUMBER('Data'!$F$2333),'Data'!$F$2333&lt;&gt;999,'Data'!$F$2333&lt;&gt;""),'Data'!$F$2333,"")</f>
        <v/>
      </c>
      <c r="Z2332" t="n">
        <v>1</v>
      </c>
      <c r="AA2332">
        <f>IF(ISNUMBER('IN-CLASS_Lab Part C'!$J$2332),'IN-CLASS_Lab Part C'!$J$2332,NA())</f>
        <v/>
      </c>
    </row>
    <row r="2333">
      <c r="J2333">
        <f>IF(AND(ISNUMBER('Data'!$F$2334),'Data'!$F$2334&lt;&gt;999,'Data'!$F$2334&lt;&gt;""),'Data'!$F$2334,"")</f>
        <v/>
      </c>
      <c r="Z2333" t="n">
        <v>1</v>
      </c>
      <c r="AA2333">
        <f>IF(ISNUMBER('IN-CLASS_Lab Part C'!$J$2333),'IN-CLASS_Lab Part C'!$J$2333,NA())</f>
        <v/>
      </c>
    </row>
    <row r="2334">
      <c r="J2334">
        <f>IF(AND(ISNUMBER('Data'!$F$2335),'Data'!$F$2335&lt;&gt;999,'Data'!$F$2335&lt;&gt;""),'Data'!$F$2335,"")</f>
        <v/>
      </c>
      <c r="Z2334" t="n">
        <v>1</v>
      </c>
      <c r="AA2334">
        <f>IF(ISNUMBER('IN-CLASS_Lab Part C'!$J$2334),'IN-CLASS_Lab Part C'!$J$2334,NA())</f>
        <v/>
      </c>
    </row>
    <row r="2335">
      <c r="J2335">
        <f>IF(AND(ISNUMBER('Data'!$F$2336),'Data'!$F$2336&lt;&gt;999,'Data'!$F$2336&lt;&gt;""),'Data'!$F$2336,"")</f>
        <v/>
      </c>
      <c r="Z2335" t="n">
        <v>1</v>
      </c>
      <c r="AA2335">
        <f>IF(ISNUMBER('IN-CLASS_Lab Part C'!$J$2335),'IN-CLASS_Lab Part C'!$J$2335,NA())</f>
        <v/>
      </c>
    </row>
    <row r="2336">
      <c r="J2336">
        <f>IF(AND(ISNUMBER('Data'!$F$2337),'Data'!$F$2337&lt;&gt;999,'Data'!$F$2337&lt;&gt;""),'Data'!$F$2337,"")</f>
        <v/>
      </c>
      <c r="Z2336" t="n">
        <v>1</v>
      </c>
      <c r="AA2336">
        <f>IF(ISNUMBER('IN-CLASS_Lab Part C'!$J$2336),'IN-CLASS_Lab Part C'!$J$2336,NA())</f>
        <v/>
      </c>
    </row>
    <row r="2337">
      <c r="J2337">
        <f>IF(AND(ISNUMBER('Data'!$F$2338),'Data'!$F$2338&lt;&gt;999,'Data'!$F$2338&lt;&gt;""),'Data'!$F$2338,"")</f>
        <v/>
      </c>
      <c r="Z2337" t="n">
        <v>1</v>
      </c>
      <c r="AA2337">
        <f>IF(ISNUMBER('IN-CLASS_Lab Part C'!$J$2337),'IN-CLASS_Lab Part C'!$J$2337,NA())</f>
        <v/>
      </c>
    </row>
    <row r="2338">
      <c r="J2338">
        <f>IF(AND(ISNUMBER('Data'!$F$2339),'Data'!$F$2339&lt;&gt;999,'Data'!$F$2339&lt;&gt;""),'Data'!$F$2339,"")</f>
        <v/>
      </c>
      <c r="Z2338" t="n">
        <v>1</v>
      </c>
      <c r="AA2338">
        <f>IF(ISNUMBER('IN-CLASS_Lab Part C'!$J$2338),'IN-CLASS_Lab Part C'!$J$2338,NA())</f>
        <v/>
      </c>
    </row>
    <row r="2339">
      <c r="J2339">
        <f>IF(AND(ISNUMBER('Data'!$F$2340),'Data'!$F$2340&lt;&gt;999,'Data'!$F$2340&lt;&gt;""),'Data'!$F$2340,"")</f>
        <v/>
      </c>
      <c r="Z2339" t="n">
        <v>1</v>
      </c>
      <c r="AA2339">
        <f>IF(ISNUMBER('IN-CLASS_Lab Part C'!$J$2339),'IN-CLASS_Lab Part C'!$J$2339,NA())</f>
        <v/>
      </c>
    </row>
    <row r="2340">
      <c r="J2340">
        <f>IF(AND(ISNUMBER('Data'!$F$2341),'Data'!$F$2341&lt;&gt;999,'Data'!$F$2341&lt;&gt;""),'Data'!$F$2341,"")</f>
        <v/>
      </c>
      <c r="Z2340" t="n">
        <v>1</v>
      </c>
      <c r="AA2340">
        <f>IF(ISNUMBER('IN-CLASS_Lab Part C'!$J$2340),'IN-CLASS_Lab Part C'!$J$2340,NA())</f>
        <v/>
      </c>
    </row>
    <row r="2341">
      <c r="J2341">
        <f>IF(AND(ISNUMBER('Data'!$F$2342),'Data'!$F$2342&lt;&gt;999,'Data'!$F$2342&lt;&gt;""),'Data'!$F$2342,"")</f>
        <v/>
      </c>
      <c r="Z2341" t="n">
        <v>1</v>
      </c>
      <c r="AA2341">
        <f>IF(ISNUMBER('IN-CLASS_Lab Part C'!$J$2341),'IN-CLASS_Lab Part C'!$J$2341,NA())</f>
        <v/>
      </c>
    </row>
    <row r="2342">
      <c r="J2342">
        <f>IF(AND(ISNUMBER('Data'!$F$2343),'Data'!$F$2343&lt;&gt;999,'Data'!$F$2343&lt;&gt;""),'Data'!$F$2343,"")</f>
        <v/>
      </c>
      <c r="Z2342" t="n">
        <v>1</v>
      </c>
      <c r="AA2342">
        <f>IF(ISNUMBER('IN-CLASS_Lab Part C'!$J$2342),'IN-CLASS_Lab Part C'!$J$2342,NA())</f>
        <v/>
      </c>
    </row>
    <row r="2343">
      <c r="J2343">
        <f>IF(AND(ISNUMBER('Data'!$F$2344),'Data'!$F$2344&lt;&gt;999,'Data'!$F$2344&lt;&gt;""),'Data'!$F$2344,"")</f>
        <v/>
      </c>
      <c r="Z2343" t="n">
        <v>1</v>
      </c>
      <c r="AA2343">
        <f>IF(ISNUMBER('IN-CLASS_Lab Part C'!$J$2343),'IN-CLASS_Lab Part C'!$J$2343,NA())</f>
        <v/>
      </c>
    </row>
    <row r="2344">
      <c r="J2344">
        <f>IF(AND(ISNUMBER('Data'!$F$2345),'Data'!$F$2345&lt;&gt;999,'Data'!$F$2345&lt;&gt;""),'Data'!$F$2345,"")</f>
        <v/>
      </c>
      <c r="Z2344" t="n">
        <v>1</v>
      </c>
      <c r="AA2344">
        <f>IF(ISNUMBER('IN-CLASS_Lab Part C'!$J$2344),'IN-CLASS_Lab Part C'!$J$2344,NA())</f>
        <v/>
      </c>
    </row>
    <row r="2345">
      <c r="J2345">
        <f>IF(AND(ISNUMBER('Data'!$F$2346),'Data'!$F$2346&lt;&gt;999,'Data'!$F$2346&lt;&gt;""),'Data'!$F$2346,"")</f>
        <v/>
      </c>
      <c r="Z2345" t="n">
        <v>1</v>
      </c>
      <c r="AA2345">
        <f>IF(ISNUMBER('IN-CLASS_Lab Part C'!$J$2345),'IN-CLASS_Lab Part C'!$J$2345,NA())</f>
        <v/>
      </c>
    </row>
    <row r="2346">
      <c r="J2346">
        <f>IF(AND(ISNUMBER('Data'!$F$2347),'Data'!$F$2347&lt;&gt;999,'Data'!$F$2347&lt;&gt;""),'Data'!$F$2347,"")</f>
        <v/>
      </c>
      <c r="Z2346" t="n">
        <v>1</v>
      </c>
      <c r="AA2346">
        <f>IF(ISNUMBER('IN-CLASS_Lab Part C'!$J$2346),'IN-CLASS_Lab Part C'!$J$2346,NA())</f>
        <v/>
      </c>
    </row>
    <row r="2347">
      <c r="J2347">
        <f>IF(AND(ISNUMBER('Data'!$F$2348),'Data'!$F$2348&lt;&gt;999,'Data'!$F$2348&lt;&gt;""),'Data'!$F$2348,"")</f>
        <v/>
      </c>
      <c r="Z2347" t="n">
        <v>1</v>
      </c>
      <c r="AA2347">
        <f>IF(ISNUMBER('IN-CLASS_Lab Part C'!$J$2347),'IN-CLASS_Lab Part C'!$J$2347,NA())</f>
        <v/>
      </c>
    </row>
    <row r="2348">
      <c r="J2348">
        <f>IF(AND(ISNUMBER('Data'!$F$2349),'Data'!$F$2349&lt;&gt;999,'Data'!$F$2349&lt;&gt;""),'Data'!$F$2349,"")</f>
        <v/>
      </c>
      <c r="Z2348" t="n">
        <v>1</v>
      </c>
      <c r="AA2348">
        <f>IF(ISNUMBER('IN-CLASS_Lab Part C'!$J$2348),'IN-CLASS_Lab Part C'!$J$2348,NA())</f>
        <v/>
      </c>
    </row>
    <row r="2349">
      <c r="J2349">
        <f>IF(AND(ISNUMBER('Data'!$F$2350),'Data'!$F$2350&lt;&gt;999,'Data'!$F$2350&lt;&gt;""),'Data'!$F$2350,"")</f>
        <v/>
      </c>
      <c r="Z2349" t="n">
        <v>1</v>
      </c>
      <c r="AA2349">
        <f>IF(ISNUMBER('IN-CLASS_Lab Part C'!$J$2349),'IN-CLASS_Lab Part C'!$J$2349,NA())</f>
        <v/>
      </c>
    </row>
    <row r="2350">
      <c r="J2350">
        <f>IF(AND(ISNUMBER('Data'!$F$2351),'Data'!$F$2351&lt;&gt;999,'Data'!$F$2351&lt;&gt;""),'Data'!$F$2351,"")</f>
        <v/>
      </c>
      <c r="Z2350" t="n">
        <v>1</v>
      </c>
      <c r="AA2350">
        <f>IF(ISNUMBER('IN-CLASS_Lab Part C'!$J$2350),'IN-CLASS_Lab Part C'!$J$2350,NA())</f>
        <v/>
      </c>
    </row>
    <row r="2351">
      <c r="J2351">
        <f>IF(AND(ISNUMBER('Data'!$F$2352),'Data'!$F$2352&lt;&gt;999,'Data'!$F$2352&lt;&gt;""),'Data'!$F$2352,"")</f>
        <v/>
      </c>
      <c r="Z2351" t="n">
        <v>1</v>
      </c>
      <c r="AA2351">
        <f>IF(ISNUMBER('IN-CLASS_Lab Part C'!$J$2351),'IN-CLASS_Lab Part C'!$J$2351,NA())</f>
        <v/>
      </c>
    </row>
    <row r="2352">
      <c r="J2352">
        <f>IF(AND(ISNUMBER('Data'!$F$2353),'Data'!$F$2353&lt;&gt;999,'Data'!$F$2353&lt;&gt;""),'Data'!$F$2353,"")</f>
        <v/>
      </c>
      <c r="Z2352" t="n">
        <v>1</v>
      </c>
      <c r="AA2352">
        <f>IF(ISNUMBER('IN-CLASS_Lab Part C'!$J$2352),'IN-CLASS_Lab Part C'!$J$2352,NA())</f>
        <v/>
      </c>
    </row>
    <row r="2353">
      <c r="J2353">
        <f>IF(AND(ISNUMBER('Data'!$F$2354),'Data'!$F$2354&lt;&gt;999,'Data'!$F$2354&lt;&gt;""),'Data'!$F$2354,"")</f>
        <v/>
      </c>
      <c r="Z2353" t="n">
        <v>1</v>
      </c>
      <c r="AA2353">
        <f>IF(ISNUMBER('IN-CLASS_Lab Part C'!$J$2353),'IN-CLASS_Lab Part C'!$J$2353,NA())</f>
        <v/>
      </c>
    </row>
    <row r="2354">
      <c r="J2354">
        <f>IF(AND(ISNUMBER('Data'!$F$2355),'Data'!$F$2355&lt;&gt;999,'Data'!$F$2355&lt;&gt;""),'Data'!$F$2355,"")</f>
        <v/>
      </c>
      <c r="Z2354" t="n">
        <v>1</v>
      </c>
      <c r="AA2354">
        <f>IF(ISNUMBER('IN-CLASS_Lab Part C'!$J$2354),'IN-CLASS_Lab Part C'!$J$2354,NA())</f>
        <v/>
      </c>
    </row>
    <row r="2355">
      <c r="J2355">
        <f>IF(AND(ISNUMBER('Data'!$F$2356),'Data'!$F$2356&lt;&gt;999,'Data'!$F$2356&lt;&gt;""),'Data'!$F$2356,"")</f>
        <v/>
      </c>
      <c r="Z2355" t="n">
        <v>1</v>
      </c>
      <c r="AA2355">
        <f>IF(ISNUMBER('IN-CLASS_Lab Part C'!$J$2355),'IN-CLASS_Lab Part C'!$J$2355,NA())</f>
        <v/>
      </c>
    </row>
    <row r="2356">
      <c r="J2356">
        <f>IF(AND(ISNUMBER('Data'!$F$2357),'Data'!$F$2357&lt;&gt;999,'Data'!$F$2357&lt;&gt;""),'Data'!$F$2357,"")</f>
        <v/>
      </c>
      <c r="Z2356" t="n">
        <v>1</v>
      </c>
      <c r="AA2356">
        <f>IF(ISNUMBER('IN-CLASS_Lab Part C'!$J$2356),'IN-CLASS_Lab Part C'!$J$2356,NA())</f>
        <v/>
      </c>
    </row>
    <row r="2357">
      <c r="J2357">
        <f>IF(AND(ISNUMBER('Data'!$F$2358),'Data'!$F$2358&lt;&gt;999,'Data'!$F$2358&lt;&gt;""),'Data'!$F$2358,"")</f>
        <v/>
      </c>
      <c r="Z2357" t="n">
        <v>1</v>
      </c>
      <c r="AA2357">
        <f>IF(ISNUMBER('IN-CLASS_Lab Part C'!$J$2357),'IN-CLASS_Lab Part C'!$J$2357,NA())</f>
        <v/>
      </c>
    </row>
    <row r="2358">
      <c r="J2358">
        <f>IF(AND(ISNUMBER('Data'!$F$2359),'Data'!$F$2359&lt;&gt;999,'Data'!$F$2359&lt;&gt;""),'Data'!$F$2359,"")</f>
        <v/>
      </c>
      <c r="Z2358" t="n">
        <v>1</v>
      </c>
      <c r="AA2358">
        <f>IF(ISNUMBER('IN-CLASS_Lab Part C'!$J$2358),'IN-CLASS_Lab Part C'!$J$2358,NA())</f>
        <v/>
      </c>
    </row>
    <row r="2359">
      <c r="J2359">
        <f>IF(AND(ISNUMBER('Data'!$F$2360),'Data'!$F$2360&lt;&gt;999,'Data'!$F$2360&lt;&gt;""),'Data'!$F$2360,"")</f>
        <v/>
      </c>
      <c r="Z2359" t="n">
        <v>1</v>
      </c>
      <c r="AA2359">
        <f>IF(ISNUMBER('IN-CLASS_Lab Part C'!$J$2359),'IN-CLASS_Lab Part C'!$J$2359,NA())</f>
        <v/>
      </c>
    </row>
    <row r="2360">
      <c r="J2360">
        <f>IF(AND(ISNUMBER('Data'!$F$2361),'Data'!$F$2361&lt;&gt;999,'Data'!$F$2361&lt;&gt;""),'Data'!$F$2361,"")</f>
        <v/>
      </c>
      <c r="Z2360" t="n">
        <v>1</v>
      </c>
      <c r="AA2360">
        <f>IF(ISNUMBER('IN-CLASS_Lab Part C'!$J$2360),'IN-CLASS_Lab Part C'!$J$2360,NA())</f>
        <v/>
      </c>
    </row>
    <row r="2361">
      <c r="J2361">
        <f>IF(AND(ISNUMBER('Data'!$F$2362),'Data'!$F$2362&lt;&gt;999,'Data'!$F$2362&lt;&gt;""),'Data'!$F$2362,"")</f>
        <v/>
      </c>
      <c r="Z2361" t="n">
        <v>1</v>
      </c>
      <c r="AA2361">
        <f>IF(ISNUMBER('IN-CLASS_Lab Part C'!$J$2361),'IN-CLASS_Lab Part C'!$J$2361,NA())</f>
        <v/>
      </c>
    </row>
    <row r="2362">
      <c r="J2362">
        <f>IF(AND(ISNUMBER('Data'!$F$2363),'Data'!$F$2363&lt;&gt;999,'Data'!$F$2363&lt;&gt;""),'Data'!$F$2363,"")</f>
        <v/>
      </c>
      <c r="Z2362" t="n">
        <v>1</v>
      </c>
      <c r="AA2362">
        <f>IF(ISNUMBER('IN-CLASS_Lab Part C'!$J$2362),'IN-CLASS_Lab Part C'!$J$2362,NA())</f>
        <v/>
      </c>
    </row>
    <row r="2363">
      <c r="J2363">
        <f>IF(AND(ISNUMBER('Data'!$F$2364),'Data'!$F$2364&lt;&gt;999,'Data'!$F$2364&lt;&gt;""),'Data'!$F$2364,"")</f>
        <v/>
      </c>
      <c r="Z2363" t="n">
        <v>1</v>
      </c>
      <c r="AA2363">
        <f>IF(ISNUMBER('IN-CLASS_Lab Part C'!$J$2363),'IN-CLASS_Lab Part C'!$J$2363,NA())</f>
        <v/>
      </c>
    </row>
    <row r="2364">
      <c r="J2364">
        <f>IF(AND(ISNUMBER('Data'!$F$2365),'Data'!$F$2365&lt;&gt;999,'Data'!$F$2365&lt;&gt;""),'Data'!$F$2365,"")</f>
        <v/>
      </c>
      <c r="Z2364" t="n">
        <v>1</v>
      </c>
      <c r="AA2364">
        <f>IF(ISNUMBER('IN-CLASS_Lab Part C'!$J$2364),'IN-CLASS_Lab Part C'!$J$2364,NA())</f>
        <v/>
      </c>
    </row>
    <row r="2365">
      <c r="J2365">
        <f>IF(AND(ISNUMBER('Data'!$F$2366),'Data'!$F$2366&lt;&gt;999,'Data'!$F$2366&lt;&gt;""),'Data'!$F$2366,"")</f>
        <v/>
      </c>
      <c r="Z2365" t="n">
        <v>1</v>
      </c>
      <c r="AA2365">
        <f>IF(ISNUMBER('IN-CLASS_Lab Part C'!$J$2365),'IN-CLASS_Lab Part C'!$J$2365,NA())</f>
        <v/>
      </c>
    </row>
    <row r="2366">
      <c r="J2366">
        <f>IF(AND(ISNUMBER('Data'!$F$2367),'Data'!$F$2367&lt;&gt;999,'Data'!$F$2367&lt;&gt;""),'Data'!$F$2367,"")</f>
        <v/>
      </c>
      <c r="Z2366" t="n">
        <v>1</v>
      </c>
      <c r="AA2366">
        <f>IF(ISNUMBER('IN-CLASS_Lab Part C'!$J$2366),'IN-CLASS_Lab Part C'!$J$2366,NA())</f>
        <v/>
      </c>
    </row>
    <row r="2367">
      <c r="J2367">
        <f>IF(AND(ISNUMBER('Data'!$F$2368),'Data'!$F$2368&lt;&gt;999,'Data'!$F$2368&lt;&gt;""),'Data'!$F$2368,"")</f>
        <v/>
      </c>
      <c r="Z2367" t="n">
        <v>1</v>
      </c>
      <c r="AA2367">
        <f>IF(ISNUMBER('IN-CLASS_Lab Part C'!$J$2367),'IN-CLASS_Lab Part C'!$J$2367,NA())</f>
        <v/>
      </c>
    </row>
    <row r="2368">
      <c r="J2368">
        <f>IF(AND(ISNUMBER('Data'!$F$2369),'Data'!$F$2369&lt;&gt;999,'Data'!$F$2369&lt;&gt;""),'Data'!$F$2369,"")</f>
        <v/>
      </c>
      <c r="Z2368" t="n">
        <v>1</v>
      </c>
      <c r="AA2368">
        <f>IF(ISNUMBER('IN-CLASS_Lab Part C'!$J$2368),'IN-CLASS_Lab Part C'!$J$2368,NA())</f>
        <v/>
      </c>
    </row>
    <row r="2369">
      <c r="J2369">
        <f>IF(AND(ISNUMBER('Data'!$F$2370),'Data'!$F$2370&lt;&gt;999,'Data'!$F$2370&lt;&gt;""),'Data'!$F$2370,"")</f>
        <v/>
      </c>
      <c r="Z2369" t="n">
        <v>1</v>
      </c>
      <c r="AA2369">
        <f>IF(ISNUMBER('IN-CLASS_Lab Part C'!$J$2369),'IN-CLASS_Lab Part C'!$J$2369,NA())</f>
        <v/>
      </c>
    </row>
    <row r="2370">
      <c r="J2370">
        <f>IF(AND(ISNUMBER('Data'!$F$2371),'Data'!$F$2371&lt;&gt;999,'Data'!$F$2371&lt;&gt;""),'Data'!$F$2371,"")</f>
        <v/>
      </c>
      <c r="Z2370" t="n">
        <v>1</v>
      </c>
      <c r="AA2370">
        <f>IF(ISNUMBER('IN-CLASS_Lab Part C'!$J$2370),'IN-CLASS_Lab Part C'!$J$2370,NA())</f>
        <v/>
      </c>
    </row>
    <row r="2371">
      <c r="J2371">
        <f>IF(AND(ISNUMBER('Data'!$F$2372),'Data'!$F$2372&lt;&gt;999,'Data'!$F$2372&lt;&gt;""),'Data'!$F$2372,"")</f>
        <v/>
      </c>
      <c r="Z2371" t="n">
        <v>1</v>
      </c>
      <c r="AA2371">
        <f>IF(ISNUMBER('IN-CLASS_Lab Part C'!$J$2371),'IN-CLASS_Lab Part C'!$J$2371,NA())</f>
        <v/>
      </c>
    </row>
    <row r="2372">
      <c r="J2372">
        <f>IF(AND(ISNUMBER('Data'!$F$2373),'Data'!$F$2373&lt;&gt;999,'Data'!$F$2373&lt;&gt;""),'Data'!$F$2373,"")</f>
        <v/>
      </c>
      <c r="Z2372" t="n">
        <v>1</v>
      </c>
      <c r="AA2372">
        <f>IF(ISNUMBER('IN-CLASS_Lab Part C'!$J$2372),'IN-CLASS_Lab Part C'!$J$2372,NA())</f>
        <v/>
      </c>
    </row>
    <row r="2373">
      <c r="J2373">
        <f>IF(AND(ISNUMBER('Data'!$F$2374),'Data'!$F$2374&lt;&gt;999,'Data'!$F$2374&lt;&gt;""),'Data'!$F$2374,"")</f>
        <v/>
      </c>
      <c r="Z2373" t="n">
        <v>1</v>
      </c>
      <c r="AA2373">
        <f>IF(ISNUMBER('IN-CLASS_Lab Part C'!$J$2373),'IN-CLASS_Lab Part C'!$J$2373,NA())</f>
        <v/>
      </c>
    </row>
    <row r="2374">
      <c r="J2374">
        <f>IF(AND(ISNUMBER('Data'!$F$2375),'Data'!$F$2375&lt;&gt;999,'Data'!$F$2375&lt;&gt;""),'Data'!$F$2375,"")</f>
        <v/>
      </c>
      <c r="Z2374" t="n">
        <v>1</v>
      </c>
      <c r="AA2374">
        <f>IF(ISNUMBER('IN-CLASS_Lab Part C'!$J$2374),'IN-CLASS_Lab Part C'!$J$2374,NA())</f>
        <v/>
      </c>
    </row>
    <row r="2375">
      <c r="J2375">
        <f>IF(AND(ISNUMBER('Data'!$F$2376),'Data'!$F$2376&lt;&gt;999,'Data'!$F$2376&lt;&gt;""),'Data'!$F$2376,"")</f>
        <v/>
      </c>
      <c r="Z2375" t="n">
        <v>1</v>
      </c>
      <c r="AA2375">
        <f>IF(ISNUMBER('IN-CLASS_Lab Part C'!$J$2375),'IN-CLASS_Lab Part C'!$J$2375,NA())</f>
        <v/>
      </c>
    </row>
    <row r="2376">
      <c r="J2376">
        <f>IF(AND(ISNUMBER('Data'!$F$2377),'Data'!$F$2377&lt;&gt;999,'Data'!$F$2377&lt;&gt;""),'Data'!$F$2377,"")</f>
        <v/>
      </c>
      <c r="Z2376" t="n">
        <v>1</v>
      </c>
      <c r="AA2376">
        <f>IF(ISNUMBER('IN-CLASS_Lab Part C'!$J$2376),'IN-CLASS_Lab Part C'!$J$2376,NA())</f>
        <v/>
      </c>
    </row>
    <row r="2377">
      <c r="J2377">
        <f>IF(AND(ISNUMBER('Data'!$F$2378),'Data'!$F$2378&lt;&gt;999,'Data'!$F$2378&lt;&gt;""),'Data'!$F$2378,"")</f>
        <v/>
      </c>
      <c r="Z2377" t="n">
        <v>1</v>
      </c>
      <c r="AA2377">
        <f>IF(ISNUMBER('IN-CLASS_Lab Part C'!$J$2377),'IN-CLASS_Lab Part C'!$J$2377,NA())</f>
        <v/>
      </c>
    </row>
    <row r="2378">
      <c r="J2378">
        <f>IF(AND(ISNUMBER('Data'!$F$2379),'Data'!$F$2379&lt;&gt;999,'Data'!$F$2379&lt;&gt;""),'Data'!$F$2379,"")</f>
        <v/>
      </c>
      <c r="Z2378" t="n">
        <v>1</v>
      </c>
      <c r="AA2378">
        <f>IF(ISNUMBER('IN-CLASS_Lab Part C'!$J$2378),'IN-CLASS_Lab Part C'!$J$2378,NA())</f>
        <v/>
      </c>
    </row>
    <row r="2379">
      <c r="J2379">
        <f>IF(AND(ISNUMBER('Data'!$F$2380),'Data'!$F$2380&lt;&gt;999,'Data'!$F$2380&lt;&gt;""),'Data'!$F$2380,"")</f>
        <v/>
      </c>
      <c r="Z2379" t="n">
        <v>1</v>
      </c>
      <c r="AA2379">
        <f>IF(ISNUMBER('IN-CLASS_Lab Part C'!$J$2379),'IN-CLASS_Lab Part C'!$J$2379,NA())</f>
        <v/>
      </c>
    </row>
    <row r="2380">
      <c r="J2380">
        <f>IF(AND(ISNUMBER('Data'!$F$2381),'Data'!$F$2381&lt;&gt;999,'Data'!$F$2381&lt;&gt;""),'Data'!$F$2381,"")</f>
        <v/>
      </c>
      <c r="Z2380" t="n">
        <v>1</v>
      </c>
      <c r="AA2380">
        <f>IF(ISNUMBER('IN-CLASS_Lab Part C'!$J$2380),'IN-CLASS_Lab Part C'!$J$2380,NA())</f>
        <v/>
      </c>
    </row>
    <row r="2381">
      <c r="J2381">
        <f>IF(AND(ISNUMBER('Data'!$F$2382),'Data'!$F$2382&lt;&gt;999,'Data'!$F$2382&lt;&gt;""),'Data'!$F$2382,"")</f>
        <v/>
      </c>
      <c r="Z2381" t="n">
        <v>1</v>
      </c>
      <c r="AA2381">
        <f>IF(ISNUMBER('IN-CLASS_Lab Part C'!$J$2381),'IN-CLASS_Lab Part C'!$J$2381,NA())</f>
        <v/>
      </c>
    </row>
    <row r="2382">
      <c r="J2382">
        <f>IF(AND(ISNUMBER('Data'!$F$2383),'Data'!$F$2383&lt;&gt;999,'Data'!$F$2383&lt;&gt;""),'Data'!$F$2383,"")</f>
        <v/>
      </c>
      <c r="Z2382" t="n">
        <v>1</v>
      </c>
      <c r="AA2382">
        <f>IF(ISNUMBER('IN-CLASS_Lab Part C'!$J$2382),'IN-CLASS_Lab Part C'!$J$2382,NA())</f>
        <v/>
      </c>
    </row>
    <row r="2383">
      <c r="J2383">
        <f>IF(AND(ISNUMBER('Data'!$F$2384),'Data'!$F$2384&lt;&gt;999,'Data'!$F$2384&lt;&gt;""),'Data'!$F$2384,"")</f>
        <v/>
      </c>
      <c r="Z2383" t="n">
        <v>1</v>
      </c>
      <c r="AA2383">
        <f>IF(ISNUMBER('IN-CLASS_Lab Part C'!$J$2383),'IN-CLASS_Lab Part C'!$J$2383,NA())</f>
        <v/>
      </c>
    </row>
    <row r="2384">
      <c r="J2384">
        <f>IF(AND(ISNUMBER('Data'!$F$2385),'Data'!$F$2385&lt;&gt;999,'Data'!$F$2385&lt;&gt;""),'Data'!$F$2385,"")</f>
        <v/>
      </c>
      <c r="Z2384" t="n">
        <v>1</v>
      </c>
      <c r="AA2384">
        <f>IF(ISNUMBER('IN-CLASS_Lab Part C'!$J$2384),'IN-CLASS_Lab Part C'!$J$2384,NA())</f>
        <v/>
      </c>
    </row>
    <row r="2385">
      <c r="J2385">
        <f>IF(AND(ISNUMBER('Data'!$F$2386),'Data'!$F$2386&lt;&gt;999,'Data'!$F$2386&lt;&gt;""),'Data'!$F$2386,"")</f>
        <v/>
      </c>
      <c r="Z2385" t="n">
        <v>1</v>
      </c>
      <c r="AA2385">
        <f>IF(ISNUMBER('IN-CLASS_Lab Part C'!$J$2385),'IN-CLASS_Lab Part C'!$J$2385,NA())</f>
        <v/>
      </c>
    </row>
    <row r="2386">
      <c r="J2386">
        <f>IF(AND(ISNUMBER('Data'!$F$2387),'Data'!$F$2387&lt;&gt;999,'Data'!$F$2387&lt;&gt;""),'Data'!$F$2387,"")</f>
        <v/>
      </c>
      <c r="Z2386" t="n">
        <v>1</v>
      </c>
      <c r="AA2386">
        <f>IF(ISNUMBER('IN-CLASS_Lab Part C'!$J$2386),'IN-CLASS_Lab Part C'!$J$2386,NA())</f>
        <v/>
      </c>
    </row>
    <row r="2387">
      <c r="J2387">
        <f>IF(AND(ISNUMBER('Data'!$F$2388),'Data'!$F$2388&lt;&gt;999,'Data'!$F$2388&lt;&gt;""),'Data'!$F$2388,"")</f>
        <v/>
      </c>
      <c r="Z2387" t="n">
        <v>1</v>
      </c>
      <c r="AA2387">
        <f>IF(ISNUMBER('IN-CLASS_Lab Part C'!$J$2387),'IN-CLASS_Lab Part C'!$J$2387,NA())</f>
        <v/>
      </c>
    </row>
    <row r="2388">
      <c r="J2388">
        <f>IF(AND(ISNUMBER('Data'!$F$2389),'Data'!$F$2389&lt;&gt;999,'Data'!$F$2389&lt;&gt;""),'Data'!$F$2389,"")</f>
        <v/>
      </c>
      <c r="Z2388" t="n">
        <v>1</v>
      </c>
      <c r="AA2388">
        <f>IF(ISNUMBER('IN-CLASS_Lab Part C'!$J$2388),'IN-CLASS_Lab Part C'!$J$2388,NA())</f>
        <v/>
      </c>
    </row>
    <row r="2389">
      <c r="J2389">
        <f>IF(AND(ISNUMBER('Data'!$F$2390),'Data'!$F$2390&lt;&gt;999,'Data'!$F$2390&lt;&gt;""),'Data'!$F$2390,"")</f>
        <v/>
      </c>
      <c r="Z2389" t="n">
        <v>1</v>
      </c>
      <c r="AA2389">
        <f>IF(ISNUMBER('IN-CLASS_Lab Part C'!$J$2389),'IN-CLASS_Lab Part C'!$J$2389,NA())</f>
        <v/>
      </c>
    </row>
    <row r="2390">
      <c r="J2390">
        <f>IF(AND(ISNUMBER('Data'!$F$2391),'Data'!$F$2391&lt;&gt;999,'Data'!$F$2391&lt;&gt;""),'Data'!$F$2391,"")</f>
        <v/>
      </c>
      <c r="Z2390" t="n">
        <v>1</v>
      </c>
      <c r="AA2390">
        <f>IF(ISNUMBER('IN-CLASS_Lab Part C'!$J$2390),'IN-CLASS_Lab Part C'!$J$2390,NA())</f>
        <v/>
      </c>
    </row>
    <row r="2391">
      <c r="J2391">
        <f>IF(AND(ISNUMBER('Data'!$F$2392),'Data'!$F$2392&lt;&gt;999,'Data'!$F$2392&lt;&gt;""),'Data'!$F$2392,"")</f>
        <v/>
      </c>
      <c r="Z2391" t="n">
        <v>1</v>
      </c>
      <c r="AA2391">
        <f>IF(ISNUMBER('IN-CLASS_Lab Part C'!$J$2391),'IN-CLASS_Lab Part C'!$J$2391,NA())</f>
        <v/>
      </c>
    </row>
    <row r="2392">
      <c r="J2392">
        <f>IF(AND(ISNUMBER('Data'!$F$2393),'Data'!$F$2393&lt;&gt;999,'Data'!$F$2393&lt;&gt;""),'Data'!$F$2393,"")</f>
        <v/>
      </c>
      <c r="Z2392" t="n">
        <v>1</v>
      </c>
      <c r="AA2392">
        <f>IF(ISNUMBER('IN-CLASS_Lab Part C'!$J$2392),'IN-CLASS_Lab Part C'!$J$2392,NA())</f>
        <v/>
      </c>
    </row>
    <row r="2393">
      <c r="J2393">
        <f>IF(AND(ISNUMBER('Data'!$F$2394),'Data'!$F$2394&lt;&gt;999,'Data'!$F$2394&lt;&gt;""),'Data'!$F$2394,"")</f>
        <v/>
      </c>
      <c r="Z2393" t="n">
        <v>1</v>
      </c>
      <c r="AA2393">
        <f>IF(ISNUMBER('IN-CLASS_Lab Part C'!$J$2393),'IN-CLASS_Lab Part C'!$J$2393,NA())</f>
        <v/>
      </c>
    </row>
    <row r="2394">
      <c r="J2394">
        <f>IF(AND(ISNUMBER('Data'!$F$2395),'Data'!$F$2395&lt;&gt;999,'Data'!$F$2395&lt;&gt;""),'Data'!$F$2395,"")</f>
        <v/>
      </c>
      <c r="Z2394" t="n">
        <v>1</v>
      </c>
      <c r="AA2394">
        <f>IF(ISNUMBER('IN-CLASS_Lab Part C'!$J$2394),'IN-CLASS_Lab Part C'!$J$2394,NA())</f>
        <v/>
      </c>
    </row>
    <row r="2395">
      <c r="J2395">
        <f>IF(AND(ISNUMBER('Data'!$F$2396),'Data'!$F$2396&lt;&gt;999,'Data'!$F$2396&lt;&gt;""),'Data'!$F$2396,"")</f>
        <v/>
      </c>
      <c r="Z2395" t="n">
        <v>1</v>
      </c>
      <c r="AA2395">
        <f>IF(ISNUMBER('IN-CLASS_Lab Part C'!$J$2395),'IN-CLASS_Lab Part C'!$J$2395,NA())</f>
        <v/>
      </c>
    </row>
    <row r="2396">
      <c r="J2396">
        <f>IF(AND(ISNUMBER('Data'!$F$2397),'Data'!$F$2397&lt;&gt;999,'Data'!$F$2397&lt;&gt;""),'Data'!$F$2397,"")</f>
        <v/>
      </c>
      <c r="Z2396" t="n">
        <v>1</v>
      </c>
      <c r="AA2396">
        <f>IF(ISNUMBER('IN-CLASS_Lab Part C'!$J$2396),'IN-CLASS_Lab Part C'!$J$2396,NA())</f>
        <v/>
      </c>
    </row>
    <row r="2397">
      <c r="J2397">
        <f>IF(AND(ISNUMBER('Data'!$F$2398),'Data'!$F$2398&lt;&gt;999,'Data'!$F$2398&lt;&gt;""),'Data'!$F$2398,"")</f>
        <v/>
      </c>
      <c r="Z2397" t="n">
        <v>1</v>
      </c>
      <c r="AA2397">
        <f>IF(ISNUMBER('IN-CLASS_Lab Part C'!$J$2397),'IN-CLASS_Lab Part C'!$J$2397,NA())</f>
        <v/>
      </c>
    </row>
    <row r="2398">
      <c r="J2398">
        <f>IF(AND(ISNUMBER('Data'!$F$2399),'Data'!$F$2399&lt;&gt;999,'Data'!$F$2399&lt;&gt;""),'Data'!$F$2399,"")</f>
        <v/>
      </c>
      <c r="Z2398" t="n">
        <v>1</v>
      </c>
      <c r="AA2398">
        <f>IF(ISNUMBER('IN-CLASS_Lab Part C'!$J$2398),'IN-CLASS_Lab Part C'!$J$2398,NA())</f>
        <v/>
      </c>
    </row>
    <row r="2399">
      <c r="J2399">
        <f>IF(AND(ISNUMBER('Data'!$F$2400),'Data'!$F$2400&lt;&gt;999,'Data'!$F$2400&lt;&gt;""),'Data'!$F$2400,"")</f>
        <v/>
      </c>
      <c r="Z2399" t="n">
        <v>1</v>
      </c>
      <c r="AA2399">
        <f>IF(ISNUMBER('IN-CLASS_Lab Part C'!$J$2399),'IN-CLASS_Lab Part C'!$J$2399,NA())</f>
        <v/>
      </c>
    </row>
    <row r="2400">
      <c r="J2400">
        <f>IF(AND(ISNUMBER('Data'!$F$2401),'Data'!$F$2401&lt;&gt;999,'Data'!$F$2401&lt;&gt;""),'Data'!$F$2401,"")</f>
        <v/>
      </c>
      <c r="Z2400" t="n">
        <v>1</v>
      </c>
      <c r="AA2400">
        <f>IF(ISNUMBER('IN-CLASS_Lab Part C'!$J$2400),'IN-CLASS_Lab Part C'!$J$2400,NA())</f>
        <v/>
      </c>
    </row>
    <row r="2401">
      <c r="J2401">
        <f>IF(AND(ISNUMBER('Data'!$F$2402),'Data'!$F$2402&lt;&gt;999,'Data'!$F$2402&lt;&gt;""),'Data'!$F$2402,"")</f>
        <v/>
      </c>
      <c r="Z2401" t="n">
        <v>1</v>
      </c>
      <c r="AA2401">
        <f>IF(ISNUMBER('IN-CLASS_Lab Part C'!$J$2401),'IN-CLASS_Lab Part C'!$J$2401,NA())</f>
        <v/>
      </c>
    </row>
    <row r="2402">
      <c r="J2402">
        <f>IF(AND(ISNUMBER('Data'!$F$2403),'Data'!$F$2403&lt;&gt;999,'Data'!$F$2403&lt;&gt;""),'Data'!$F$2403,"")</f>
        <v/>
      </c>
      <c r="Z2402" t="n">
        <v>1</v>
      </c>
      <c r="AA2402">
        <f>IF(ISNUMBER('IN-CLASS_Lab Part C'!$J$2402),'IN-CLASS_Lab Part C'!$J$2402,NA())</f>
        <v/>
      </c>
    </row>
    <row r="2403">
      <c r="J2403">
        <f>IF(AND(ISNUMBER('Data'!$F$2404),'Data'!$F$2404&lt;&gt;999,'Data'!$F$2404&lt;&gt;""),'Data'!$F$2404,"")</f>
        <v/>
      </c>
      <c r="Z2403" t="n">
        <v>1</v>
      </c>
      <c r="AA2403">
        <f>IF(ISNUMBER('IN-CLASS_Lab Part C'!$J$2403),'IN-CLASS_Lab Part C'!$J$2403,NA())</f>
        <v/>
      </c>
    </row>
    <row r="2404">
      <c r="J2404">
        <f>IF(AND(ISNUMBER('Data'!$F$2405),'Data'!$F$2405&lt;&gt;999,'Data'!$F$2405&lt;&gt;""),'Data'!$F$2405,"")</f>
        <v/>
      </c>
      <c r="Z2404" t="n">
        <v>1</v>
      </c>
      <c r="AA2404">
        <f>IF(ISNUMBER('IN-CLASS_Lab Part C'!$J$2404),'IN-CLASS_Lab Part C'!$J$2404,NA())</f>
        <v/>
      </c>
    </row>
    <row r="2405">
      <c r="J2405">
        <f>IF(AND(ISNUMBER('Data'!$F$2406),'Data'!$F$2406&lt;&gt;999,'Data'!$F$2406&lt;&gt;""),'Data'!$F$2406,"")</f>
        <v/>
      </c>
      <c r="Z2405" t="n">
        <v>1</v>
      </c>
      <c r="AA2405">
        <f>IF(ISNUMBER('IN-CLASS_Lab Part C'!$J$2405),'IN-CLASS_Lab Part C'!$J$2405,NA())</f>
        <v/>
      </c>
    </row>
    <row r="2406">
      <c r="J2406">
        <f>IF(AND(ISNUMBER('Data'!$F$2407),'Data'!$F$2407&lt;&gt;999,'Data'!$F$2407&lt;&gt;""),'Data'!$F$2407,"")</f>
        <v/>
      </c>
      <c r="Z2406" t="n">
        <v>1</v>
      </c>
      <c r="AA2406">
        <f>IF(ISNUMBER('IN-CLASS_Lab Part C'!$J$2406),'IN-CLASS_Lab Part C'!$J$2406,NA())</f>
        <v/>
      </c>
    </row>
    <row r="2407">
      <c r="J2407">
        <f>IF(AND(ISNUMBER('Data'!$F$2408),'Data'!$F$2408&lt;&gt;999,'Data'!$F$2408&lt;&gt;""),'Data'!$F$2408,"")</f>
        <v/>
      </c>
      <c r="Z2407" t="n">
        <v>1</v>
      </c>
      <c r="AA2407">
        <f>IF(ISNUMBER('IN-CLASS_Lab Part C'!$J$2407),'IN-CLASS_Lab Part C'!$J$2407,NA())</f>
        <v/>
      </c>
    </row>
    <row r="2408">
      <c r="J2408">
        <f>IF(AND(ISNUMBER('Data'!$F$2409),'Data'!$F$2409&lt;&gt;999,'Data'!$F$2409&lt;&gt;""),'Data'!$F$2409,"")</f>
        <v/>
      </c>
      <c r="Z2408" t="n">
        <v>1</v>
      </c>
      <c r="AA2408">
        <f>IF(ISNUMBER('IN-CLASS_Lab Part C'!$J$2408),'IN-CLASS_Lab Part C'!$J$2408,NA())</f>
        <v/>
      </c>
    </row>
    <row r="2409">
      <c r="J2409">
        <f>IF(AND(ISNUMBER('Data'!$F$2410),'Data'!$F$2410&lt;&gt;999,'Data'!$F$2410&lt;&gt;""),'Data'!$F$2410,"")</f>
        <v/>
      </c>
      <c r="Z2409" t="n">
        <v>1</v>
      </c>
      <c r="AA2409">
        <f>IF(ISNUMBER('IN-CLASS_Lab Part C'!$J$2409),'IN-CLASS_Lab Part C'!$J$2409,NA())</f>
        <v/>
      </c>
    </row>
    <row r="2410">
      <c r="J2410">
        <f>IF(AND(ISNUMBER('Data'!$F$2411),'Data'!$F$2411&lt;&gt;999,'Data'!$F$2411&lt;&gt;""),'Data'!$F$2411,"")</f>
        <v/>
      </c>
      <c r="Z2410" t="n">
        <v>1</v>
      </c>
      <c r="AA2410">
        <f>IF(ISNUMBER('IN-CLASS_Lab Part C'!$J$2410),'IN-CLASS_Lab Part C'!$J$2410,NA())</f>
        <v/>
      </c>
    </row>
    <row r="2411">
      <c r="J2411">
        <f>IF(AND(ISNUMBER('Data'!$F$2412),'Data'!$F$2412&lt;&gt;999,'Data'!$F$2412&lt;&gt;""),'Data'!$F$2412,"")</f>
        <v/>
      </c>
      <c r="Z2411" t="n">
        <v>1</v>
      </c>
      <c r="AA2411">
        <f>IF(ISNUMBER('IN-CLASS_Lab Part C'!$J$2411),'IN-CLASS_Lab Part C'!$J$2411,NA())</f>
        <v/>
      </c>
    </row>
    <row r="2412">
      <c r="J2412">
        <f>IF(AND(ISNUMBER('Data'!$F$2413),'Data'!$F$2413&lt;&gt;999,'Data'!$F$2413&lt;&gt;""),'Data'!$F$2413,"")</f>
        <v/>
      </c>
      <c r="Z2412" t="n">
        <v>1</v>
      </c>
      <c r="AA2412">
        <f>IF(ISNUMBER('IN-CLASS_Lab Part C'!$J$2412),'IN-CLASS_Lab Part C'!$J$2412,NA())</f>
        <v/>
      </c>
    </row>
    <row r="2413">
      <c r="J2413">
        <f>IF(AND(ISNUMBER('Data'!$F$2414),'Data'!$F$2414&lt;&gt;999,'Data'!$F$2414&lt;&gt;""),'Data'!$F$2414,"")</f>
        <v/>
      </c>
      <c r="Z2413" t="n">
        <v>1</v>
      </c>
      <c r="AA2413">
        <f>IF(ISNUMBER('IN-CLASS_Lab Part C'!$J$2413),'IN-CLASS_Lab Part C'!$J$2413,NA())</f>
        <v/>
      </c>
    </row>
    <row r="2414">
      <c r="J2414">
        <f>IF(AND(ISNUMBER('Data'!$F$2415),'Data'!$F$2415&lt;&gt;999,'Data'!$F$2415&lt;&gt;""),'Data'!$F$2415,"")</f>
        <v/>
      </c>
      <c r="Z2414" t="n">
        <v>1</v>
      </c>
      <c r="AA2414">
        <f>IF(ISNUMBER('IN-CLASS_Lab Part C'!$J$2414),'IN-CLASS_Lab Part C'!$J$2414,NA())</f>
        <v/>
      </c>
    </row>
    <row r="2415">
      <c r="J2415">
        <f>IF(AND(ISNUMBER('Data'!$F$2416),'Data'!$F$2416&lt;&gt;999,'Data'!$F$2416&lt;&gt;""),'Data'!$F$2416,"")</f>
        <v/>
      </c>
      <c r="Z2415" t="n">
        <v>1</v>
      </c>
      <c r="AA2415">
        <f>IF(ISNUMBER('IN-CLASS_Lab Part C'!$J$2415),'IN-CLASS_Lab Part C'!$J$2415,NA())</f>
        <v/>
      </c>
    </row>
    <row r="2416">
      <c r="J2416">
        <f>IF(AND(ISNUMBER('Data'!$F$2417),'Data'!$F$2417&lt;&gt;999,'Data'!$F$2417&lt;&gt;""),'Data'!$F$2417,"")</f>
        <v/>
      </c>
      <c r="Z2416" t="n">
        <v>1</v>
      </c>
      <c r="AA2416">
        <f>IF(ISNUMBER('IN-CLASS_Lab Part C'!$J$2416),'IN-CLASS_Lab Part C'!$J$2416,NA())</f>
        <v/>
      </c>
    </row>
    <row r="2417">
      <c r="J2417">
        <f>IF(AND(ISNUMBER('Data'!$F$2418),'Data'!$F$2418&lt;&gt;999,'Data'!$F$2418&lt;&gt;""),'Data'!$F$2418,"")</f>
        <v/>
      </c>
      <c r="Z2417" t="n">
        <v>1</v>
      </c>
      <c r="AA2417">
        <f>IF(ISNUMBER('IN-CLASS_Lab Part C'!$J$2417),'IN-CLASS_Lab Part C'!$J$2417,NA())</f>
        <v/>
      </c>
    </row>
    <row r="2418">
      <c r="J2418">
        <f>IF(AND(ISNUMBER('Data'!$F$2419),'Data'!$F$2419&lt;&gt;999,'Data'!$F$2419&lt;&gt;""),'Data'!$F$2419,"")</f>
        <v/>
      </c>
      <c r="Z2418" t="n">
        <v>1</v>
      </c>
      <c r="AA2418">
        <f>IF(ISNUMBER('IN-CLASS_Lab Part C'!$J$2418),'IN-CLASS_Lab Part C'!$J$2418,NA())</f>
        <v/>
      </c>
    </row>
    <row r="2419">
      <c r="J2419">
        <f>IF(AND(ISNUMBER('Data'!$F$2420),'Data'!$F$2420&lt;&gt;999,'Data'!$F$2420&lt;&gt;""),'Data'!$F$2420,"")</f>
        <v/>
      </c>
      <c r="Z2419" t="n">
        <v>1</v>
      </c>
      <c r="AA2419">
        <f>IF(ISNUMBER('IN-CLASS_Lab Part C'!$J$2419),'IN-CLASS_Lab Part C'!$J$2419,NA())</f>
        <v/>
      </c>
    </row>
    <row r="2420">
      <c r="J2420">
        <f>IF(AND(ISNUMBER('Data'!$F$2421),'Data'!$F$2421&lt;&gt;999,'Data'!$F$2421&lt;&gt;""),'Data'!$F$2421,"")</f>
        <v/>
      </c>
      <c r="Z2420" t="n">
        <v>1</v>
      </c>
      <c r="AA2420">
        <f>IF(ISNUMBER('IN-CLASS_Lab Part C'!$J$2420),'IN-CLASS_Lab Part C'!$J$2420,NA())</f>
        <v/>
      </c>
    </row>
    <row r="2421">
      <c r="J2421">
        <f>IF(AND(ISNUMBER('Data'!$F$2422),'Data'!$F$2422&lt;&gt;999,'Data'!$F$2422&lt;&gt;""),'Data'!$F$2422,"")</f>
        <v/>
      </c>
      <c r="Z2421" t="n">
        <v>1</v>
      </c>
      <c r="AA2421">
        <f>IF(ISNUMBER('IN-CLASS_Lab Part C'!$J$2421),'IN-CLASS_Lab Part C'!$J$2421,NA())</f>
        <v/>
      </c>
    </row>
    <row r="2422">
      <c r="J2422">
        <f>IF(AND(ISNUMBER('Data'!$F$2423),'Data'!$F$2423&lt;&gt;999,'Data'!$F$2423&lt;&gt;""),'Data'!$F$2423,"")</f>
        <v/>
      </c>
      <c r="Z2422" t="n">
        <v>1</v>
      </c>
      <c r="AA2422">
        <f>IF(ISNUMBER('IN-CLASS_Lab Part C'!$J$2422),'IN-CLASS_Lab Part C'!$J$2422,NA())</f>
        <v/>
      </c>
    </row>
    <row r="2423">
      <c r="J2423">
        <f>IF(AND(ISNUMBER('Data'!$F$2424),'Data'!$F$2424&lt;&gt;999,'Data'!$F$2424&lt;&gt;""),'Data'!$F$2424,"")</f>
        <v/>
      </c>
      <c r="Z2423" t="n">
        <v>1</v>
      </c>
      <c r="AA2423">
        <f>IF(ISNUMBER('IN-CLASS_Lab Part C'!$J$2423),'IN-CLASS_Lab Part C'!$J$2423,NA())</f>
        <v/>
      </c>
    </row>
    <row r="2424">
      <c r="J2424">
        <f>IF(AND(ISNUMBER('Data'!$F$2425),'Data'!$F$2425&lt;&gt;999,'Data'!$F$2425&lt;&gt;""),'Data'!$F$2425,"")</f>
        <v/>
      </c>
      <c r="Z2424" t="n">
        <v>1</v>
      </c>
      <c r="AA2424">
        <f>IF(ISNUMBER('IN-CLASS_Lab Part C'!$J$2424),'IN-CLASS_Lab Part C'!$J$2424,NA())</f>
        <v/>
      </c>
    </row>
    <row r="2425">
      <c r="J2425">
        <f>IF(AND(ISNUMBER('Data'!$F$2426),'Data'!$F$2426&lt;&gt;999,'Data'!$F$2426&lt;&gt;""),'Data'!$F$2426,"")</f>
        <v/>
      </c>
      <c r="Z2425" t="n">
        <v>1</v>
      </c>
      <c r="AA2425">
        <f>IF(ISNUMBER('IN-CLASS_Lab Part C'!$J$2425),'IN-CLASS_Lab Part C'!$J$2425,NA())</f>
        <v/>
      </c>
    </row>
    <row r="2426">
      <c r="J2426">
        <f>IF(AND(ISNUMBER('Data'!$F$2427),'Data'!$F$2427&lt;&gt;999,'Data'!$F$2427&lt;&gt;""),'Data'!$F$2427,"")</f>
        <v/>
      </c>
      <c r="Z2426" t="n">
        <v>1</v>
      </c>
      <c r="AA2426">
        <f>IF(ISNUMBER('IN-CLASS_Lab Part C'!$J$2426),'IN-CLASS_Lab Part C'!$J$2426,NA())</f>
        <v/>
      </c>
    </row>
    <row r="2427">
      <c r="J2427">
        <f>IF(AND(ISNUMBER('Data'!$F$2428),'Data'!$F$2428&lt;&gt;999,'Data'!$F$2428&lt;&gt;""),'Data'!$F$2428,"")</f>
        <v/>
      </c>
      <c r="Z2427" t="n">
        <v>1</v>
      </c>
      <c r="AA2427">
        <f>IF(ISNUMBER('IN-CLASS_Lab Part C'!$J$2427),'IN-CLASS_Lab Part C'!$J$2427,NA())</f>
        <v/>
      </c>
    </row>
    <row r="2428">
      <c r="J2428">
        <f>IF(AND(ISNUMBER('Data'!$F$2429),'Data'!$F$2429&lt;&gt;999,'Data'!$F$2429&lt;&gt;""),'Data'!$F$2429,"")</f>
        <v/>
      </c>
      <c r="Z2428" t="n">
        <v>1</v>
      </c>
      <c r="AA2428">
        <f>IF(ISNUMBER('IN-CLASS_Lab Part C'!$J$2428),'IN-CLASS_Lab Part C'!$J$2428,NA())</f>
        <v/>
      </c>
    </row>
    <row r="2429">
      <c r="J2429">
        <f>IF(AND(ISNUMBER('Data'!$F$2430),'Data'!$F$2430&lt;&gt;999,'Data'!$F$2430&lt;&gt;""),'Data'!$F$2430,"")</f>
        <v/>
      </c>
      <c r="Z2429" t="n">
        <v>1</v>
      </c>
      <c r="AA2429">
        <f>IF(ISNUMBER('IN-CLASS_Lab Part C'!$J$2429),'IN-CLASS_Lab Part C'!$J$2429,NA())</f>
        <v/>
      </c>
    </row>
    <row r="2430">
      <c r="J2430">
        <f>IF(AND(ISNUMBER('Data'!$F$2431),'Data'!$F$2431&lt;&gt;999,'Data'!$F$2431&lt;&gt;""),'Data'!$F$2431,"")</f>
        <v/>
      </c>
      <c r="Z2430" t="n">
        <v>1</v>
      </c>
      <c r="AA2430">
        <f>IF(ISNUMBER('IN-CLASS_Lab Part C'!$J$2430),'IN-CLASS_Lab Part C'!$J$2430,NA())</f>
        <v/>
      </c>
    </row>
    <row r="2431">
      <c r="J2431">
        <f>IF(AND(ISNUMBER('Data'!$F$2432),'Data'!$F$2432&lt;&gt;999,'Data'!$F$2432&lt;&gt;""),'Data'!$F$2432,"")</f>
        <v/>
      </c>
      <c r="Z2431" t="n">
        <v>1</v>
      </c>
      <c r="AA2431">
        <f>IF(ISNUMBER('IN-CLASS_Lab Part C'!$J$2431),'IN-CLASS_Lab Part C'!$J$2431,NA())</f>
        <v/>
      </c>
    </row>
    <row r="2432">
      <c r="J2432">
        <f>IF(AND(ISNUMBER('Data'!$F$2433),'Data'!$F$2433&lt;&gt;999,'Data'!$F$2433&lt;&gt;""),'Data'!$F$2433,"")</f>
        <v/>
      </c>
      <c r="Z2432" t="n">
        <v>1</v>
      </c>
      <c r="AA2432">
        <f>IF(ISNUMBER('IN-CLASS_Lab Part C'!$J$2432),'IN-CLASS_Lab Part C'!$J$2432,NA())</f>
        <v/>
      </c>
    </row>
    <row r="2433">
      <c r="J2433">
        <f>IF(AND(ISNUMBER('Data'!$F$2434),'Data'!$F$2434&lt;&gt;999,'Data'!$F$2434&lt;&gt;""),'Data'!$F$2434,"")</f>
        <v/>
      </c>
      <c r="Z2433" t="n">
        <v>1</v>
      </c>
      <c r="AA2433">
        <f>IF(ISNUMBER('IN-CLASS_Lab Part C'!$J$2433),'IN-CLASS_Lab Part C'!$J$2433,NA())</f>
        <v/>
      </c>
    </row>
    <row r="2434">
      <c r="J2434">
        <f>IF(AND(ISNUMBER('Data'!$F$2435),'Data'!$F$2435&lt;&gt;999,'Data'!$F$2435&lt;&gt;""),'Data'!$F$2435,"")</f>
        <v/>
      </c>
      <c r="Z2434" t="n">
        <v>1</v>
      </c>
      <c r="AA2434">
        <f>IF(ISNUMBER('IN-CLASS_Lab Part C'!$J$2434),'IN-CLASS_Lab Part C'!$J$2434,NA())</f>
        <v/>
      </c>
    </row>
    <row r="2435">
      <c r="J2435">
        <f>IF(AND(ISNUMBER('Data'!$F$2436),'Data'!$F$2436&lt;&gt;999,'Data'!$F$2436&lt;&gt;""),'Data'!$F$2436,"")</f>
        <v/>
      </c>
      <c r="Z2435" t="n">
        <v>1</v>
      </c>
      <c r="AA2435">
        <f>IF(ISNUMBER('IN-CLASS_Lab Part C'!$J$2435),'IN-CLASS_Lab Part C'!$J$2435,NA())</f>
        <v/>
      </c>
    </row>
    <row r="2436">
      <c r="J2436">
        <f>IF(AND(ISNUMBER('Data'!$F$2437),'Data'!$F$2437&lt;&gt;999,'Data'!$F$2437&lt;&gt;""),'Data'!$F$2437,"")</f>
        <v/>
      </c>
      <c r="Z2436" t="n">
        <v>1</v>
      </c>
      <c r="AA2436">
        <f>IF(ISNUMBER('IN-CLASS_Lab Part C'!$J$2436),'IN-CLASS_Lab Part C'!$J$2436,NA())</f>
        <v/>
      </c>
    </row>
    <row r="2437">
      <c r="J2437">
        <f>IF(AND(ISNUMBER('Data'!$F$2438),'Data'!$F$2438&lt;&gt;999,'Data'!$F$2438&lt;&gt;""),'Data'!$F$2438,"")</f>
        <v/>
      </c>
      <c r="Z2437" t="n">
        <v>1</v>
      </c>
      <c r="AA2437">
        <f>IF(ISNUMBER('IN-CLASS_Lab Part C'!$J$2437),'IN-CLASS_Lab Part C'!$J$2437,NA())</f>
        <v/>
      </c>
    </row>
    <row r="2438">
      <c r="J2438">
        <f>IF(AND(ISNUMBER('Data'!$F$2439),'Data'!$F$2439&lt;&gt;999,'Data'!$F$2439&lt;&gt;""),'Data'!$F$2439,"")</f>
        <v/>
      </c>
      <c r="Z2438" t="n">
        <v>1</v>
      </c>
      <c r="AA2438">
        <f>IF(ISNUMBER('IN-CLASS_Lab Part C'!$J$2438),'IN-CLASS_Lab Part C'!$J$2438,NA())</f>
        <v/>
      </c>
    </row>
    <row r="2439">
      <c r="J2439">
        <f>IF(AND(ISNUMBER('Data'!$F$2440),'Data'!$F$2440&lt;&gt;999,'Data'!$F$2440&lt;&gt;""),'Data'!$F$2440,"")</f>
        <v/>
      </c>
      <c r="Z2439" t="n">
        <v>1</v>
      </c>
      <c r="AA2439">
        <f>IF(ISNUMBER('IN-CLASS_Lab Part C'!$J$2439),'IN-CLASS_Lab Part C'!$J$2439,NA())</f>
        <v/>
      </c>
    </row>
    <row r="2440">
      <c r="J2440">
        <f>IF(AND(ISNUMBER('Data'!$F$2441),'Data'!$F$2441&lt;&gt;999,'Data'!$F$2441&lt;&gt;""),'Data'!$F$2441,"")</f>
        <v/>
      </c>
      <c r="Z2440" t="n">
        <v>1</v>
      </c>
      <c r="AA2440">
        <f>IF(ISNUMBER('IN-CLASS_Lab Part C'!$J$2440),'IN-CLASS_Lab Part C'!$J$2440,NA())</f>
        <v/>
      </c>
    </row>
    <row r="2441">
      <c r="J2441">
        <f>IF(AND(ISNUMBER('Data'!$F$2442),'Data'!$F$2442&lt;&gt;999,'Data'!$F$2442&lt;&gt;""),'Data'!$F$2442,"")</f>
        <v/>
      </c>
      <c r="Z2441" t="n">
        <v>1</v>
      </c>
      <c r="AA2441">
        <f>IF(ISNUMBER('IN-CLASS_Lab Part C'!$J$2441),'IN-CLASS_Lab Part C'!$J$2441,NA())</f>
        <v/>
      </c>
    </row>
    <row r="2442">
      <c r="J2442">
        <f>IF(AND(ISNUMBER('Data'!$F$2443),'Data'!$F$2443&lt;&gt;999,'Data'!$F$2443&lt;&gt;""),'Data'!$F$2443,"")</f>
        <v/>
      </c>
      <c r="Z2442" t="n">
        <v>1</v>
      </c>
      <c r="AA2442">
        <f>IF(ISNUMBER('IN-CLASS_Lab Part C'!$J$2442),'IN-CLASS_Lab Part C'!$J$2442,NA())</f>
        <v/>
      </c>
    </row>
    <row r="2443">
      <c r="J2443">
        <f>IF(AND(ISNUMBER('Data'!$F$2444),'Data'!$F$2444&lt;&gt;999,'Data'!$F$2444&lt;&gt;""),'Data'!$F$2444,"")</f>
        <v/>
      </c>
      <c r="Z2443" t="n">
        <v>1</v>
      </c>
      <c r="AA2443">
        <f>IF(ISNUMBER('IN-CLASS_Lab Part C'!$J$2443),'IN-CLASS_Lab Part C'!$J$2443,NA())</f>
        <v/>
      </c>
    </row>
    <row r="2444">
      <c r="J2444">
        <f>IF(AND(ISNUMBER('Data'!$F$2445),'Data'!$F$2445&lt;&gt;999,'Data'!$F$2445&lt;&gt;""),'Data'!$F$2445,"")</f>
        <v/>
      </c>
      <c r="Z2444" t="n">
        <v>1</v>
      </c>
      <c r="AA2444">
        <f>IF(ISNUMBER('IN-CLASS_Lab Part C'!$J$2444),'IN-CLASS_Lab Part C'!$J$2444,NA())</f>
        <v/>
      </c>
    </row>
    <row r="2445">
      <c r="J2445">
        <f>IF(AND(ISNUMBER('Data'!$F$2446),'Data'!$F$2446&lt;&gt;999,'Data'!$F$2446&lt;&gt;""),'Data'!$F$2446,"")</f>
        <v/>
      </c>
      <c r="Z2445" t="n">
        <v>1</v>
      </c>
      <c r="AA2445">
        <f>IF(ISNUMBER('IN-CLASS_Lab Part C'!$J$2445),'IN-CLASS_Lab Part C'!$J$2445,NA())</f>
        <v/>
      </c>
    </row>
    <row r="2446">
      <c r="J2446">
        <f>IF(AND(ISNUMBER('Data'!$F$2447),'Data'!$F$2447&lt;&gt;999,'Data'!$F$2447&lt;&gt;""),'Data'!$F$2447,"")</f>
        <v/>
      </c>
      <c r="Z2446" t="n">
        <v>1</v>
      </c>
      <c r="AA2446">
        <f>IF(ISNUMBER('IN-CLASS_Lab Part C'!$J$2446),'IN-CLASS_Lab Part C'!$J$2446,NA())</f>
        <v/>
      </c>
    </row>
    <row r="2447">
      <c r="J2447">
        <f>IF(AND(ISNUMBER('Data'!$F$2448),'Data'!$F$2448&lt;&gt;999,'Data'!$F$2448&lt;&gt;""),'Data'!$F$2448,"")</f>
        <v/>
      </c>
      <c r="Z2447" t="n">
        <v>1</v>
      </c>
      <c r="AA2447">
        <f>IF(ISNUMBER('IN-CLASS_Lab Part C'!$J$2447),'IN-CLASS_Lab Part C'!$J$2447,NA())</f>
        <v/>
      </c>
    </row>
    <row r="2448">
      <c r="J2448">
        <f>IF(AND(ISNUMBER('Data'!$F$2449),'Data'!$F$2449&lt;&gt;999,'Data'!$F$2449&lt;&gt;""),'Data'!$F$2449,"")</f>
        <v/>
      </c>
      <c r="Z2448" t="n">
        <v>1</v>
      </c>
      <c r="AA2448">
        <f>IF(ISNUMBER('IN-CLASS_Lab Part C'!$J$2448),'IN-CLASS_Lab Part C'!$J$2448,NA())</f>
        <v/>
      </c>
    </row>
    <row r="2449">
      <c r="J2449">
        <f>IF(AND(ISNUMBER('Data'!$F$2450),'Data'!$F$2450&lt;&gt;999,'Data'!$F$2450&lt;&gt;""),'Data'!$F$2450,"")</f>
        <v/>
      </c>
      <c r="Z2449" t="n">
        <v>1</v>
      </c>
      <c r="AA2449">
        <f>IF(ISNUMBER('IN-CLASS_Lab Part C'!$J$2449),'IN-CLASS_Lab Part C'!$J$2449,NA())</f>
        <v/>
      </c>
    </row>
    <row r="2450">
      <c r="J2450">
        <f>IF(AND(ISNUMBER('Data'!$F$2451),'Data'!$F$2451&lt;&gt;999,'Data'!$F$2451&lt;&gt;""),'Data'!$F$2451,"")</f>
        <v/>
      </c>
      <c r="Z2450" t="n">
        <v>1</v>
      </c>
      <c r="AA2450">
        <f>IF(ISNUMBER('IN-CLASS_Lab Part C'!$J$2450),'IN-CLASS_Lab Part C'!$J$2450,NA())</f>
        <v/>
      </c>
    </row>
    <row r="2451">
      <c r="J2451">
        <f>IF(AND(ISNUMBER('Data'!$F$2452),'Data'!$F$2452&lt;&gt;999,'Data'!$F$2452&lt;&gt;""),'Data'!$F$2452,"")</f>
        <v/>
      </c>
      <c r="Z2451" t="n">
        <v>1</v>
      </c>
      <c r="AA2451">
        <f>IF(ISNUMBER('IN-CLASS_Lab Part C'!$J$2451),'IN-CLASS_Lab Part C'!$J$2451,NA())</f>
        <v/>
      </c>
    </row>
    <row r="2452">
      <c r="J2452">
        <f>IF(AND(ISNUMBER('Data'!$F$2453),'Data'!$F$2453&lt;&gt;999,'Data'!$F$2453&lt;&gt;""),'Data'!$F$2453,"")</f>
        <v/>
      </c>
      <c r="Z2452" t="n">
        <v>1</v>
      </c>
      <c r="AA2452">
        <f>IF(ISNUMBER('IN-CLASS_Lab Part C'!$J$2452),'IN-CLASS_Lab Part C'!$J$2452,NA())</f>
        <v/>
      </c>
    </row>
    <row r="2453">
      <c r="J2453">
        <f>IF(AND(ISNUMBER('Data'!$F$2454),'Data'!$F$2454&lt;&gt;999,'Data'!$F$2454&lt;&gt;""),'Data'!$F$2454,"")</f>
        <v/>
      </c>
      <c r="Z2453" t="n">
        <v>1</v>
      </c>
      <c r="AA2453">
        <f>IF(ISNUMBER('IN-CLASS_Lab Part C'!$J$2453),'IN-CLASS_Lab Part C'!$J$2453,NA())</f>
        <v/>
      </c>
    </row>
    <row r="2454">
      <c r="J2454">
        <f>IF(AND(ISNUMBER('Data'!$F$2455),'Data'!$F$2455&lt;&gt;999,'Data'!$F$2455&lt;&gt;""),'Data'!$F$2455,"")</f>
        <v/>
      </c>
      <c r="Z2454" t="n">
        <v>1</v>
      </c>
      <c r="AA2454">
        <f>IF(ISNUMBER('IN-CLASS_Lab Part C'!$J$2454),'IN-CLASS_Lab Part C'!$J$2454,NA())</f>
        <v/>
      </c>
    </row>
    <row r="2455">
      <c r="J2455">
        <f>IF(AND(ISNUMBER('Data'!$F$2456),'Data'!$F$2456&lt;&gt;999,'Data'!$F$2456&lt;&gt;""),'Data'!$F$2456,"")</f>
        <v/>
      </c>
      <c r="Z2455" t="n">
        <v>1</v>
      </c>
      <c r="AA2455">
        <f>IF(ISNUMBER('IN-CLASS_Lab Part C'!$J$2455),'IN-CLASS_Lab Part C'!$J$2455,NA())</f>
        <v/>
      </c>
    </row>
    <row r="2456">
      <c r="J2456">
        <f>IF(AND(ISNUMBER('Data'!$F$2457),'Data'!$F$2457&lt;&gt;999,'Data'!$F$2457&lt;&gt;""),'Data'!$F$2457,"")</f>
        <v/>
      </c>
      <c r="Z2456" t="n">
        <v>1</v>
      </c>
      <c r="AA2456">
        <f>IF(ISNUMBER('IN-CLASS_Lab Part C'!$J$2456),'IN-CLASS_Lab Part C'!$J$2456,NA())</f>
        <v/>
      </c>
    </row>
    <row r="2457">
      <c r="J2457">
        <f>IF(AND(ISNUMBER('Data'!$F$2458),'Data'!$F$2458&lt;&gt;999,'Data'!$F$2458&lt;&gt;""),'Data'!$F$2458,"")</f>
        <v/>
      </c>
      <c r="Z2457" t="n">
        <v>1</v>
      </c>
      <c r="AA2457">
        <f>IF(ISNUMBER('IN-CLASS_Lab Part C'!$J$2457),'IN-CLASS_Lab Part C'!$J$2457,NA())</f>
        <v/>
      </c>
    </row>
    <row r="2458">
      <c r="J2458">
        <f>IF(AND(ISNUMBER('Data'!$F$2459),'Data'!$F$2459&lt;&gt;999,'Data'!$F$2459&lt;&gt;""),'Data'!$F$2459,"")</f>
        <v/>
      </c>
      <c r="Z2458" t="n">
        <v>1</v>
      </c>
      <c r="AA2458">
        <f>IF(ISNUMBER('IN-CLASS_Lab Part C'!$J$2458),'IN-CLASS_Lab Part C'!$J$2458,NA())</f>
        <v/>
      </c>
    </row>
    <row r="2459">
      <c r="J2459">
        <f>IF(AND(ISNUMBER('Data'!$F$2460),'Data'!$F$2460&lt;&gt;999,'Data'!$F$2460&lt;&gt;""),'Data'!$F$2460,"")</f>
        <v/>
      </c>
      <c r="Z2459" t="n">
        <v>1</v>
      </c>
      <c r="AA2459">
        <f>IF(ISNUMBER('IN-CLASS_Lab Part C'!$J$2459),'IN-CLASS_Lab Part C'!$J$2459,NA())</f>
        <v/>
      </c>
    </row>
    <row r="2460">
      <c r="J2460">
        <f>IF(AND(ISNUMBER('Data'!$F$2461),'Data'!$F$2461&lt;&gt;999,'Data'!$F$2461&lt;&gt;""),'Data'!$F$2461,"")</f>
        <v/>
      </c>
      <c r="Z2460" t="n">
        <v>1</v>
      </c>
      <c r="AA2460">
        <f>IF(ISNUMBER('IN-CLASS_Lab Part C'!$J$2460),'IN-CLASS_Lab Part C'!$J$2460,NA())</f>
        <v/>
      </c>
    </row>
    <row r="2461">
      <c r="J2461">
        <f>IF(AND(ISNUMBER('Data'!$F$2462),'Data'!$F$2462&lt;&gt;999,'Data'!$F$2462&lt;&gt;""),'Data'!$F$2462,"")</f>
        <v/>
      </c>
      <c r="Z2461" t="n">
        <v>1</v>
      </c>
      <c r="AA2461">
        <f>IF(ISNUMBER('IN-CLASS_Lab Part C'!$J$2461),'IN-CLASS_Lab Part C'!$J$2461,NA())</f>
        <v/>
      </c>
    </row>
    <row r="2462">
      <c r="J2462">
        <f>IF(AND(ISNUMBER('Data'!$F$2463),'Data'!$F$2463&lt;&gt;999,'Data'!$F$2463&lt;&gt;""),'Data'!$F$2463,"")</f>
        <v/>
      </c>
      <c r="Z2462" t="n">
        <v>1</v>
      </c>
      <c r="AA2462">
        <f>IF(ISNUMBER('IN-CLASS_Lab Part C'!$J$2462),'IN-CLASS_Lab Part C'!$J$2462,NA())</f>
        <v/>
      </c>
    </row>
    <row r="2463">
      <c r="J2463">
        <f>IF(AND(ISNUMBER('Data'!$F$2464),'Data'!$F$2464&lt;&gt;999,'Data'!$F$2464&lt;&gt;""),'Data'!$F$2464,"")</f>
        <v/>
      </c>
      <c r="Z2463" t="n">
        <v>1</v>
      </c>
      <c r="AA2463">
        <f>IF(ISNUMBER('IN-CLASS_Lab Part C'!$J$2463),'IN-CLASS_Lab Part C'!$J$2463,NA())</f>
        <v/>
      </c>
    </row>
    <row r="2464">
      <c r="J2464">
        <f>IF(AND(ISNUMBER('Data'!$F$2465),'Data'!$F$2465&lt;&gt;999,'Data'!$F$2465&lt;&gt;""),'Data'!$F$2465,"")</f>
        <v/>
      </c>
      <c r="Z2464" t="n">
        <v>1</v>
      </c>
      <c r="AA2464">
        <f>IF(ISNUMBER('IN-CLASS_Lab Part C'!$J$2464),'IN-CLASS_Lab Part C'!$J$2464,NA())</f>
        <v/>
      </c>
    </row>
    <row r="2465">
      <c r="J2465">
        <f>IF(AND(ISNUMBER('Data'!$F$2466),'Data'!$F$2466&lt;&gt;999,'Data'!$F$2466&lt;&gt;""),'Data'!$F$2466,"")</f>
        <v/>
      </c>
      <c r="Z2465" t="n">
        <v>1</v>
      </c>
      <c r="AA2465">
        <f>IF(ISNUMBER('IN-CLASS_Lab Part C'!$J$2465),'IN-CLASS_Lab Part C'!$J$2465,NA())</f>
        <v/>
      </c>
    </row>
    <row r="2466">
      <c r="J2466">
        <f>IF(AND(ISNUMBER('Data'!$F$2467),'Data'!$F$2467&lt;&gt;999,'Data'!$F$2467&lt;&gt;""),'Data'!$F$2467,"")</f>
        <v/>
      </c>
      <c r="Z2466" t="n">
        <v>1</v>
      </c>
      <c r="AA2466">
        <f>IF(ISNUMBER('IN-CLASS_Lab Part C'!$J$2466),'IN-CLASS_Lab Part C'!$J$2466,NA())</f>
        <v/>
      </c>
    </row>
    <row r="2467">
      <c r="J2467">
        <f>IF(AND(ISNUMBER('Data'!$F$2468),'Data'!$F$2468&lt;&gt;999,'Data'!$F$2468&lt;&gt;""),'Data'!$F$2468,"")</f>
        <v/>
      </c>
      <c r="Z2467" t="n">
        <v>1</v>
      </c>
      <c r="AA2467">
        <f>IF(ISNUMBER('IN-CLASS_Lab Part C'!$J$2467),'IN-CLASS_Lab Part C'!$J$2467,NA())</f>
        <v/>
      </c>
    </row>
    <row r="2468">
      <c r="J2468">
        <f>IF(AND(ISNUMBER('Data'!$F$2469),'Data'!$F$2469&lt;&gt;999,'Data'!$F$2469&lt;&gt;""),'Data'!$F$2469,"")</f>
        <v/>
      </c>
      <c r="Z2468" t="n">
        <v>1</v>
      </c>
      <c r="AA2468">
        <f>IF(ISNUMBER('IN-CLASS_Lab Part C'!$J$2468),'IN-CLASS_Lab Part C'!$J$2468,NA())</f>
        <v/>
      </c>
    </row>
    <row r="2469">
      <c r="J2469">
        <f>IF(AND(ISNUMBER('Data'!$F$2470),'Data'!$F$2470&lt;&gt;999,'Data'!$F$2470&lt;&gt;""),'Data'!$F$2470,"")</f>
        <v/>
      </c>
      <c r="Z2469" t="n">
        <v>1</v>
      </c>
      <c r="AA2469">
        <f>IF(ISNUMBER('IN-CLASS_Lab Part C'!$J$2469),'IN-CLASS_Lab Part C'!$J$2469,NA())</f>
        <v/>
      </c>
    </row>
    <row r="2470">
      <c r="J2470">
        <f>IF(AND(ISNUMBER('Data'!$F$2471),'Data'!$F$2471&lt;&gt;999,'Data'!$F$2471&lt;&gt;""),'Data'!$F$2471,"")</f>
        <v/>
      </c>
      <c r="Z2470" t="n">
        <v>1</v>
      </c>
      <c r="AA2470">
        <f>IF(ISNUMBER('IN-CLASS_Lab Part C'!$J$2470),'IN-CLASS_Lab Part C'!$J$2470,NA())</f>
        <v/>
      </c>
    </row>
    <row r="2471">
      <c r="J2471">
        <f>IF(AND(ISNUMBER('Data'!$F$2472),'Data'!$F$2472&lt;&gt;999,'Data'!$F$2472&lt;&gt;""),'Data'!$F$2472,"")</f>
        <v/>
      </c>
      <c r="Z2471" t="n">
        <v>1</v>
      </c>
      <c r="AA2471">
        <f>IF(ISNUMBER('IN-CLASS_Lab Part C'!$J$2471),'IN-CLASS_Lab Part C'!$J$2471,NA())</f>
        <v/>
      </c>
    </row>
    <row r="2472">
      <c r="J2472">
        <f>IF(AND(ISNUMBER('Data'!$F$2473),'Data'!$F$2473&lt;&gt;999,'Data'!$F$2473&lt;&gt;""),'Data'!$F$2473,"")</f>
        <v/>
      </c>
      <c r="Z2472" t="n">
        <v>1</v>
      </c>
      <c r="AA2472">
        <f>IF(ISNUMBER('IN-CLASS_Lab Part C'!$J$2472),'IN-CLASS_Lab Part C'!$J$2472,NA())</f>
        <v/>
      </c>
    </row>
    <row r="2473">
      <c r="J2473">
        <f>IF(AND(ISNUMBER('Data'!$F$2474),'Data'!$F$2474&lt;&gt;999,'Data'!$F$2474&lt;&gt;""),'Data'!$F$2474,"")</f>
        <v/>
      </c>
      <c r="Z2473" t="n">
        <v>1</v>
      </c>
      <c r="AA2473">
        <f>IF(ISNUMBER('IN-CLASS_Lab Part C'!$J$2473),'IN-CLASS_Lab Part C'!$J$2473,NA())</f>
        <v/>
      </c>
    </row>
    <row r="2474">
      <c r="J2474">
        <f>IF(AND(ISNUMBER('Data'!$F$2475),'Data'!$F$2475&lt;&gt;999,'Data'!$F$2475&lt;&gt;""),'Data'!$F$2475,"")</f>
        <v/>
      </c>
      <c r="Z2474" t="n">
        <v>1</v>
      </c>
      <c r="AA2474">
        <f>IF(ISNUMBER('IN-CLASS_Lab Part C'!$J$2474),'IN-CLASS_Lab Part C'!$J$2474,NA())</f>
        <v/>
      </c>
    </row>
    <row r="2475">
      <c r="J2475">
        <f>IF(AND(ISNUMBER('Data'!$F$2476),'Data'!$F$2476&lt;&gt;999,'Data'!$F$2476&lt;&gt;""),'Data'!$F$2476,"")</f>
        <v/>
      </c>
      <c r="Z2475" t="n">
        <v>1</v>
      </c>
      <c r="AA2475">
        <f>IF(ISNUMBER('IN-CLASS_Lab Part C'!$J$2475),'IN-CLASS_Lab Part C'!$J$2475,NA())</f>
        <v/>
      </c>
    </row>
    <row r="2476">
      <c r="J2476">
        <f>IF(AND(ISNUMBER('Data'!$F$2477),'Data'!$F$2477&lt;&gt;999,'Data'!$F$2477&lt;&gt;""),'Data'!$F$2477,"")</f>
        <v/>
      </c>
      <c r="Z2476" t="n">
        <v>1</v>
      </c>
      <c r="AA2476">
        <f>IF(ISNUMBER('IN-CLASS_Lab Part C'!$J$2476),'IN-CLASS_Lab Part C'!$J$2476,NA())</f>
        <v/>
      </c>
    </row>
    <row r="2477">
      <c r="J2477">
        <f>IF(AND(ISNUMBER('Data'!$F$2478),'Data'!$F$2478&lt;&gt;999,'Data'!$F$2478&lt;&gt;""),'Data'!$F$2478,"")</f>
        <v/>
      </c>
      <c r="Z2477" t="n">
        <v>1</v>
      </c>
      <c r="AA2477">
        <f>IF(ISNUMBER('IN-CLASS_Lab Part C'!$J$2477),'IN-CLASS_Lab Part C'!$J$2477,NA())</f>
        <v/>
      </c>
    </row>
    <row r="2478">
      <c r="J2478">
        <f>IF(AND(ISNUMBER('Data'!$F$2479),'Data'!$F$2479&lt;&gt;999,'Data'!$F$2479&lt;&gt;""),'Data'!$F$2479,"")</f>
        <v/>
      </c>
      <c r="Z2478" t="n">
        <v>1</v>
      </c>
      <c r="AA2478">
        <f>IF(ISNUMBER('IN-CLASS_Lab Part C'!$J$2478),'IN-CLASS_Lab Part C'!$J$2478,NA())</f>
        <v/>
      </c>
    </row>
    <row r="2479">
      <c r="J2479">
        <f>IF(AND(ISNUMBER('Data'!$F$2480),'Data'!$F$2480&lt;&gt;999,'Data'!$F$2480&lt;&gt;""),'Data'!$F$2480,"")</f>
        <v/>
      </c>
      <c r="Z2479" t="n">
        <v>1</v>
      </c>
      <c r="AA2479">
        <f>IF(ISNUMBER('IN-CLASS_Lab Part C'!$J$2479),'IN-CLASS_Lab Part C'!$J$2479,NA())</f>
        <v/>
      </c>
    </row>
    <row r="2480">
      <c r="J2480">
        <f>IF(AND(ISNUMBER('Data'!$F$2481),'Data'!$F$2481&lt;&gt;999,'Data'!$F$2481&lt;&gt;""),'Data'!$F$2481,"")</f>
        <v/>
      </c>
      <c r="Z2480" t="n">
        <v>1</v>
      </c>
      <c r="AA2480">
        <f>IF(ISNUMBER('IN-CLASS_Lab Part C'!$J$2480),'IN-CLASS_Lab Part C'!$J$2480,NA())</f>
        <v/>
      </c>
    </row>
    <row r="2481">
      <c r="J2481">
        <f>IF(AND(ISNUMBER('Data'!$F$2482),'Data'!$F$2482&lt;&gt;999,'Data'!$F$2482&lt;&gt;""),'Data'!$F$2482,"")</f>
        <v/>
      </c>
      <c r="Z2481" t="n">
        <v>1</v>
      </c>
      <c r="AA2481">
        <f>IF(ISNUMBER('IN-CLASS_Lab Part C'!$J$2481),'IN-CLASS_Lab Part C'!$J$2481,NA())</f>
        <v/>
      </c>
    </row>
    <row r="2482">
      <c r="J2482">
        <f>IF(AND(ISNUMBER('Data'!$F$2483),'Data'!$F$2483&lt;&gt;999,'Data'!$F$2483&lt;&gt;""),'Data'!$F$2483,"")</f>
        <v/>
      </c>
      <c r="Z2482" t="n">
        <v>1</v>
      </c>
      <c r="AA2482">
        <f>IF(ISNUMBER('IN-CLASS_Lab Part C'!$J$2482),'IN-CLASS_Lab Part C'!$J$2482,NA())</f>
        <v/>
      </c>
    </row>
    <row r="2483">
      <c r="J2483">
        <f>IF(AND(ISNUMBER('Data'!$F$2484),'Data'!$F$2484&lt;&gt;999,'Data'!$F$2484&lt;&gt;""),'Data'!$F$2484,"")</f>
        <v/>
      </c>
      <c r="Z2483" t="n">
        <v>1</v>
      </c>
      <c r="AA2483">
        <f>IF(ISNUMBER('IN-CLASS_Lab Part C'!$J$2483),'IN-CLASS_Lab Part C'!$J$2483,NA())</f>
        <v/>
      </c>
    </row>
    <row r="2484">
      <c r="J2484">
        <f>IF(AND(ISNUMBER('Data'!$F$2485),'Data'!$F$2485&lt;&gt;999,'Data'!$F$2485&lt;&gt;""),'Data'!$F$2485,"")</f>
        <v/>
      </c>
      <c r="Z2484" t="n">
        <v>1</v>
      </c>
      <c r="AA2484">
        <f>IF(ISNUMBER('IN-CLASS_Lab Part C'!$J$2484),'IN-CLASS_Lab Part C'!$J$2484,NA())</f>
        <v/>
      </c>
    </row>
    <row r="2485">
      <c r="J2485">
        <f>IF(AND(ISNUMBER('Data'!$F$2486),'Data'!$F$2486&lt;&gt;999,'Data'!$F$2486&lt;&gt;""),'Data'!$F$2486,"")</f>
        <v/>
      </c>
      <c r="Z2485" t="n">
        <v>1</v>
      </c>
      <c r="AA2485">
        <f>IF(ISNUMBER('IN-CLASS_Lab Part C'!$J$2485),'IN-CLASS_Lab Part C'!$J$2485,NA())</f>
        <v/>
      </c>
    </row>
    <row r="2486">
      <c r="J2486">
        <f>IF(AND(ISNUMBER('Data'!$F$2487),'Data'!$F$2487&lt;&gt;999,'Data'!$F$2487&lt;&gt;""),'Data'!$F$2487,"")</f>
        <v/>
      </c>
      <c r="Z2486" t="n">
        <v>1</v>
      </c>
      <c r="AA2486">
        <f>IF(ISNUMBER('IN-CLASS_Lab Part C'!$J$2486),'IN-CLASS_Lab Part C'!$J$2486,NA())</f>
        <v/>
      </c>
    </row>
    <row r="2487">
      <c r="J2487">
        <f>IF(AND(ISNUMBER('Data'!$F$2488),'Data'!$F$2488&lt;&gt;999,'Data'!$F$2488&lt;&gt;""),'Data'!$F$2488,"")</f>
        <v/>
      </c>
      <c r="Z2487" t="n">
        <v>1</v>
      </c>
      <c r="AA2487">
        <f>IF(ISNUMBER('IN-CLASS_Lab Part C'!$J$2487),'IN-CLASS_Lab Part C'!$J$2487,NA())</f>
        <v/>
      </c>
    </row>
    <row r="2488">
      <c r="J2488">
        <f>IF(AND(ISNUMBER('Data'!$F$2489),'Data'!$F$2489&lt;&gt;999,'Data'!$F$2489&lt;&gt;""),'Data'!$F$2489,"")</f>
        <v/>
      </c>
      <c r="Z2488" t="n">
        <v>1</v>
      </c>
      <c r="AA2488">
        <f>IF(ISNUMBER('IN-CLASS_Lab Part C'!$J$2488),'IN-CLASS_Lab Part C'!$J$2488,NA())</f>
        <v/>
      </c>
    </row>
    <row r="2489">
      <c r="J2489">
        <f>IF(AND(ISNUMBER('Data'!$F$2490),'Data'!$F$2490&lt;&gt;999,'Data'!$F$2490&lt;&gt;""),'Data'!$F$2490,"")</f>
        <v/>
      </c>
      <c r="Z2489" t="n">
        <v>1</v>
      </c>
      <c r="AA2489">
        <f>IF(ISNUMBER('IN-CLASS_Lab Part C'!$J$2489),'IN-CLASS_Lab Part C'!$J$2489,NA())</f>
        <v/>
      </c>
    </row>
    <row r="2490">
      <c r="J2490">
        <f>IF(AND(ISNUMBER('Data'!$F$2491),'Data'!$F$2491&lt;&gt;999,'Data'!$F$2491&lt;&gt;""),'Data'!$F$2491,"")</f>
        <v/>
      </c>
      <c r="Z2490" t="n">
        <v>1</v>
      </c>
      <c r="AA2490">
        <f>IF(ISNUMBER('IN-CLASS_Lab Part C'!$J$2490),'IN-CLASS_Lab Part C'!$J$2490,NA())</f>
        <v/>
      </c>
    </row>
    <row r="2491">
      <c r="J2491">
        <f>IF(AND(ISNUMBER('Data'!$F$2492),'Data'!$F$2492&lt;&gt;999,'Data'!$F$2492&lt;&gt;""),'Data'!$F$2492,"")</f>
        <v/>
      </c>
      <c r="Z2491" t="n">
        <v>1</v>
      </c>
      <c r="AA2491">
        <f>IF(ISNUMBER('IN-CLASS_Lab Part C'!$J$2491),'IN-CLASS_Lab Part C'!$J$2491,NA())</f>
        <v/>
      </c>
    </row>
    <row r="2492">
      <c r="J2492">
        <f>IF(AND(ISNUMBER('Data'!$F$2493),'Data'!$F$2493&lt;&gt;999,'Data'!$F$2493&lt;&gt;""),'Data'!$F$2493,"")</f>
        <v/>
      </c>
      <c r="Z2492" t="n">
        <v>1</v>
      </c>
      <c r="AA2492">
        <f>IF(ISNUMBER('IN-CLASS_Lab Part C'!$J$2492),'IN-CLASS_Lab Part C'!$J$2492,NA())</f>
        <v/>
      </c>
    </row>
    <row r="2493">
      <c r="J2493">
        <f>IF(AND(ISNUMBER('Data'!$F$2494),'Data'!$F$2494&lt;&gt;999,'Data'!$F$2494&lt;&gt;""),'Data'!$F$2494,"")</f>
        <v/>
      </c>
      <c r="Z2493" t="n">
        <v>1</v>
      </c>
      <c r="AA2493">
        <f>IF(ISNUMBER('IN-CLASS_Lab Part C'!$J$2493),'IN-CLASS_Lab Part C'!$J$2493,NA())</f>
        <v/>
      </c>
    </row>
    <row r="2494">
      <c r="J2494">
        <f>IF(AND(ISNUMBER('Data'!$F$2495),'Data'!$F$2495&lt;&gt;999,'Data'!$F$2495&lt;&gt;""),'Data'!$F$2495,"")</f>
        <v/>
      </c>
      <c r="Z2494" t="n">
        <v>1</v>
      </c>
      <c r="AA2494">
        <f>IF(ISNUMBER('IN-CLASS_Lab Part C'!$J$2494),'IN-CLASS_Lab Part C'!$J$2494,NA())</f>
        <v/>
      </c>
    </row>
    <row r="2495">
      <c r="J2495">
        <f>IF(AND(ISNUMBER('Data'!$F$2496),'Data'!$F$2496&lt;&gt;999,'Data'!$F$2496&lt;&gt;""),'Data'!$F$2496,"")</f>
        <v/>
      </c>
      <c r="Z2495" t="n">
        <v>1</v>
      </c>
      <c r="AA2495">
        <f>IF(ISNUMBER('IN-CLASS_Lab Part C'!$J$2495),'IN-CLASS_Lab Part C'!$J$2495,NA())</f>
        <v/>
      </c>
    </row>
    <row r="2496">
      <c r="J2496">
        <f>IF(AND(ISNUMBER('Data'!$F$2497),'Data'!$F$2497&lt;&gt;999,'Data'!$F$2497&lt;&gt;""),'Data'!$F$2497,"")</f>
        <v/>
      </c>
      <c r="Z2496" t="n">
        <v>1</v>
      </c>
      <c r="AA2496">
        <f>IF(ISNUMBER('IN-CLASS_Lab Part C'!$J$2496),'IN-CLASS_Lab Part C'!$J$2496,NA())</f>
        <v/>
      </c>
    </row>
    <row r="2497">
      <c r="J2497">
        <f>IF(AND(ISNUMBER('Data'!$F$2498),'Data'!$F$2498&lt;&gt;999,'Data'!$F$2498&lt;&gt;""),'Data'!$F$2498,"")</f>
        <v/>
      </c>
      <c r="Z2497" t="n">
        <v>1</v>
      </c>
      <c r="AA2497">
        <f>IF(ISNUMBER('IN-CLASS_Lab Part C'!$J$2497),'IN-CLASS_Lab Part C'!$J$2497,NA())</f>
        <v/>
      </c>
    </row>
    <row r="2498">
      <c r="J2498">
        <f>IF(AND(ISNUMBER('Data'!$F$2499),'Data'!$F$2499&lt;&gt;999,'Data'!$F$2499&lt;&gt;""),'Data'!$F$2499,"")</f>
        <v/>
      </c>
      <c r="Z2498" t="n">
        <v>1</v>
      </c>
      <c r="AA2498">
        <f>IF(ISNUMBER('IN-CLASS_Lab Part C'!$J$2498),'IN-CLASS_Lab Part C'!$J$2498,NA())</f>
        <v/>
      </c>
    </row>
    <row r="2499">
      <c r="J2499">
        <f>IF(AND(ISNUMBER('Data'!$F$2500),'Data'!$F$2500&lt;&gt;999,'Data'!$F$2500&lt;&gt;""),'Data'!$F$2500,"")</f>
        <v/>
      </c>
      <c r="Z2499" t="n">
        <v>1</v>
      </c>
      <c r="AA2499">
        <f>IF(ISNUMBER('IN-CLASS_Lab Part C'!$J$2499),'IN-CLASS_Lab Part C'!$J$2499,NA())</f>
        <v/>
      </c>
    </row>
    <row r="2500">
      <c r="J2500">
        <f>IF(AND(ISNUMBER('Data'!$F$2501),'Data'!$F$2501&lt;&gt;999,'Data'!$F$2501&lt;&gt;""),'Data'!$F$2501,"")</f>
        <v/>
      </c>
      <c r="Z2500" t="n">
        <v>1</v>
      </c>
      <c r="AA2500">
        <f>IF(ISNUMBER('IN-CLASS_Lab Part C'!$J$2500),'IN-CLASS_Lab Part C'!$J$2500,NA())</f>
        <v/>
      </c>
    </row>
    <row r="2501">
      <c r="J2501">
        <f>IF(AND(ISNUMBER('Data'!$F$2502),'Data'!$F$2502&lt;&gt;999,'Data'!$F$2502&lt;&gt;""),'Data'!$F$2502,"")</f>
        <v/>
      </c>
      <c r="Z2501" t="n">
        <v>1</v>
      </c>
      <c r="AA2501">
        <f>IF(ISNUMBER('IN-CLASS_Lab Part C'!$J$2501),'IN-CLASS_Lab Part C'!$J$2501,NA())</f>
        <v/>
      </c>
    </row>
    <row r="2502">
      <c r="J2502">
        <f>IF(AND(ISNUMBER('Data'!$F$2503),'Data'!$F$2503&lt;&gt;999,'Data'!$F$2503&lt;&gt;""),'Data'!$F$2503,"")</f>
        <v/>
      </c>
      <c r="Z2502" t="n">
        <v>1</v>
      </c>
      <c r="AA2502">
        <f>IF(ISNUMBER('IN-CLASS_Lab Part C'!$J$2502),'IN-CLASS_Lab Part C'!$J$2502,NA())</f>
        <v/>
      </c>
    </row>
    <row r="2503">
      <c r="J2503">
        <f>IF(AND(ISNUMBER('Data'!$F$2504),'Data'!$F$2504&lt;&gt;999,'Data'!$F$2504&lt;&gt;""),'Data'!$F$2504,"")</f>
        <v/>
      </c>
      <c r="Z2503" t="n">
        <v>1</v>
      </c>
      <c r="AA2503">
        <f>IF(ISNUMBER('IN-CLASS_Lab Part C'!$J$2503),'IN-CLASS_Lab Part C'!$J$2503,NA())</f>
        <v/>
      </c>
    </row>
    <row r="2504">
      <c r="J2504">
        <f>IF(AND(ISNUMBER('Data'!$F$2505),'Data'!$F$2505&lt;&gt;999,'Data'!$F$2505&lt;&gt;""),'Data'!$F$2505,"")</f>
        <v/>
      </c>
      <c r="Z2504" t="n">
        <v>1</v>
      </c>
      <c r="AA2504">
        <f>IF(ISNUMBER('IN-CLASS_Lab Part C'!$J$2504),'IN-CLASS_Lab Part C'!$J$2504,NA())</f>
        <v/>
      </c>
    </row>
    <row r="2505">
      <c r="J2505">
        <f>IF(AND(ISNUMBER('Data'!$F$2506),'Data'!$F$2506&lt;&gt;999,'Data'!$F$2506&lt;&gt;""),'Data'!$F$2506,"")</f>
        <v/>
      </c>
      <c r="Z2505" t="n">
        <v>1</v>
      </c>
      <c r="AA2505">
        <f>IF(ISNUMBER('IN-CLASS_Lab Part C'!$J$2505),'IN-CLASS_Lab Part C'!$J$2505,NA())</f>
        <v/>
      </c>
    </row>
    <row r="2506">
      <c r="J2506">
        <f>IF(AND(ISNUMBER('Data'!$F$2507),'Data'!$F$2507&lt;&gt;999,'Data'!$F$2507&lt;&gt;""),'Data'!$F$2507,"")</f>
        <v/>
      </c>
      <c r="Z2506" t="n">
        <v>1</v>
      </c>
      <c r="AA2506">
        <f>IF(ISNUMBER('IN-CLASS_Lab Part C'!$J$2506),'IN-CLASS_Lab Part C'!$J$2506,NA())</f>
        <v/>
      </c>
    </row>
    <row r="2507">
      <c r="J2507">
        <f>IF(AND(ISNUMBER('Data'!$F$2508),'Data'!$F$2508&lt;&gt;999,'Data'!$F$2508&lt;&gt;""),'Data'!$F$2508,"")</f>
        <v/>
      </c>
      <c r="Z2507" t="n">
        <v>1</v>
      </c>
      <c r="AA2507">
        <f>IF(ISNUMBER('IN-CLASS_Lab Part C'!$J$2507),'IN-CLASS_Lab Part C'!$J$2507,NA())</f>
        <v/>
      </c>
    </row>
    <row r="2508">
      <c r="J2508">
        <f>IF(AND(ISNUMBER('Data'!$F$2509),'Data'!$F$2509&lt;&gt;999,'Data'!$F$2509&lt;&gt;""),'Data'!$F$2509,"")</f>
        <v/>
      </c>
      <c r="Z2508" t="n">
        <v>1</v>
      </c>
      <c r="AA2508">
        <f>IF(ISNUMBER('IN-CLASS_Lab Part C'!$J$2508),'IN-CLASS_Lab Part C'!$J$2508,NA())</f>
        <v/>
      </c>
    </row>
    <row r="2509">
      <c r="J2509">
        <f>IF(AND(ISNUMBER('Data'!$F$2510),'Data'!$F$2510&lt;&gt;999,'Data'!$F$2510&lt;&gt;""),'Data'!$F$2510,"")</f>
        <v/>
      </c>
      <c r="Z2509" t="n">
        <v>1</v>
      </c>
      <c r="AA2509">
        <f>IF(ISNUMBER('IN-CLASS_Lab Part C'!$J$2509),'IN-CLASS_Lab Part C'!$J$2509,NA())</f>
        <v/>
      </c>
    </row>
    <row r="2510">
      <c r="J2510">
        <f>IF(AND(ISNUMBER('Data'!$F$2511),'Data'!$F$2511&lt;&gt;999,'Data'!$F$2511&lt;&gt;""),'Data'!$F$2511,"")</f>
        <v/>
      </c>
      <c r="Z2510" t="n">
        <v>1</v>
      </c>
      <c r="AA2510">
        <f>IF(ISNUMBER('IN-CLASS_Lab Part C'!$J$2510),'IN-CLASS_Lab Part C'!$J$2510,NA())</f>
        <v/>
      </c>
    </row>
    <row r="2511">
      <c r="J2511">
        <f>IF(AND(ISNUMBER('Data'!$F$2512),'Data'!$F$2512&lt;&gt;999,'Data'!$F$2512&lt;&gt;""),'Data'!$F$2512,"")</f>
        <v/>
      </c>
      <c r="Z2511" t="n">
        <v>1</v>
      </c>
      <c r="AA2511">
        <f>IF(ISNUMBER('IN-CLASS_Lab Part C'!$J$2511),'IN-CLASS_Lab Part C'!$J$2511,NA())</f>
        <v/>
      </c>
    </row>
    <row r="2512">
      <c r="J2512">
        <f>IF(AND(ISNUMBER('Data'!$F$2513),'Data'!$F$2513&lt;&gt;999,'Data'!$F$2513&lt;&gt;""),'Data'!$F$2513,"")</f>
        <v/>
      </c>
      <c r="Z2512" t="n">
        <v>1</v>
      </c>
      <c r="AA2512">
        <f>IF(ISNUMBER('IN-CLASS_Lab Part C'!$J$2512),'IN-CLASS_Lab Part C'!$J$2512,NA())</f>
        <v/>
      </c>
    </row>
    <row r="2513">
      <c r="J2513">
        <f>IF(AND(ISNUMBER('Data'!$F$2514),'Data'!$F$2514&lt;&gt;999,'Data'!$F$2514&lt;&gt;""),'Data'!$F$2514,"")</f>
        <v/>
      </c>
      <c r="Z2513" t="n">
        <v>1</v>
      </c>
      <c r="AA2513">
        <f>IF(ISNUMBER('IN-CLASS_Lab Part C'!$J$2513),'IN-CLASS_Lab Part C'!$J$2513,NA())</f>
        <v/>
      </c>
    </row>
    <row r="2514">
      <c r="J2514">
        <f>IF(AND(ISNUMBER('Data'!$F$2515),'Data'!$F$2515&lt;&gt;999,'Data'!$F$2515&lt;&gt;""),'Data'!$F$2515,"")</f>
        <v/>
      </c>
      <c r="Z2514" t="n">
        <v>1</v>
      </c>
      <c r="AA2514">
        <f>IF(ISNUMBER('IN-CLASS_Lab Part C'!$J$2514),'IN-CLASS_Lab Part C'!$J$2514,NA())</f>
        <v/>
      </c>
    </row>
    <row r="2515">
      <c r="J2515">
        <f>IF(AND(ISNUMBER('Data'!$F$2516),'Data'!$F$2516&lt;&gt;999,'Data'!$F$2516&lt;&gt;""),'Data'!$F$2516,"")</f>
        <v/>
      </c>
      <c r="Z2515" t="n">
        <v>1</v>
      </c>
      <c r="AA2515">
        <f>IF(ISNUMBER('IN-CLASS_Lab Part C'!$J$2515),'IN-CLASS_Lab Part C'!$J$2515,NA())</f>
        <v/>
      </c>
    </row>
    <row r="2516">
      <c r="J2516">
        <f>IF(AND(ISNUMBER('Data'!$F$2517),'Data'!$F$2517&lt;&gt;999,'Data'!$F$2517&lt;&gt;""),'Data'!$F$2517,"")</f>
        <v/>
      </c>
      <c r="Z2516" t="n">
        <v>1</v>
      </c>
      <c r="AA2516">
        <f>IF(ISNUMBER('IN-CLASS_Lab Part C'!$J$2516),'IN-CLASS_Lab Part C'!$J$2516,NA())</f>
        <v/>
      </c>
    </row>
    <row r="2517">
      <c r="J2517">
        <f>IF(AND(ISNUMBER('Data'!$F$2518),'Data'!$F$2518&lt;&gt;999,'Data'!$F$2518&lt;&gt;""),'Data'!$F$2518,"")</f>
        <v/>
      </c>
      <c r="Z2517" t="n">
        <v>1</v>
      </c>
      <c r="AA2517">
        <f>IF(ISNUMBER('IN-CLASS_Lab Part C'!$J$2517),'IN-CLASS_Lab Part C'!$J$2517,NA())</f>
        <v/>
      </c>
    </row>
    <row r="2518">
      <c r="J2518">
        <f>IF(AND(ISNUMBER('Data'!$F$2519),'Data'!$F$2519&lt;&gt;999,'Data'!$F$2519&lt;&gt;""),'Data'!$F$2519,"")</f>
        <v/>
      </c>
      <c r="Z2518" t="n">
        <v>1</v>
      </c>
      <c r="AA2518">
        <f>IF(ISNUMBER('IN-CLASS_Lab Part C'!$J$2518),'IN-CLASS_Lab Part C'!$J$2518,NA())</f>
        <v/>
      </c>
    </row>
    <row r="2519">
      <c r="J2519">
        <f>IF(AND(ISNUMBER('Data'!$F$2520),'Data'!$F$2520&lt;&gt;999,'Data'!$F$2520&lt;&gt;""),'Data'!$F$2520,"")</f>
        <v/>
      </c>
      <c r="Z2519" t="n">
        <v>1</v>
      </c>
      <c r="AA2519">
        <f>IF(ISNUMBER('IN-CLASS_Lab Part C'!$J$2519),'IN-CLASS_Lab Part C'!$J$2519,NA())</f>
        <v/>
      </c>
    </row>
    <row r="2520">
      <c r="J2520">
        <f>IF(AND(ISNUMBER('Data'!$F$2521),'Data'!$F$2521&lt;&gt;999,'Data'!$F$2521&lt;&gt;""),'Data'!$F$2521,"")</f>
        <v/>
      </c>
      <c r="Z2520" t="n">
        <v>1</v>
      </c>
      <c r="AA2520">
        <f>IF(ISNUMBER('IN-CLASS_Lab Part C'!$J$2520),'IN-CLASS_Lab Part C'!$J$2520,NA())</f>
        <v/>
      </c>
    </row>
    <row r="2521">
      <c r="J2521">
        <f>IF(AND(ISNUMBER('Data'!$F$2522),'Data'!$F$2522&lt;&gt;999,'Data'!$F$2522&lt;&gt;""),'Data'!$F$2522,"")</f>
        <v/>
      </c>
      <c r="Z2521" t="n">
        <v>1</v>
      </c>
      <c r="AA2521">
        <f>IF(ISNUMBER('IN-CLASS_Lab Part C'!$J$2521),'IN-CLASS_Lab Part C'!$J$2521,NA())</f>
        <v/>
      </c>
    </row>
    <row r="2522">
      <c r="J2522">
        <f>IF(AND(ISNUMBER('Data'!$F$2523),'Data'!$F$2523&lt;&gt;999,'Data'!$F$2523&lt;&gt;""),'Data'!$F$2523,"")</f>
        <v/>
      </c>
      <c r="Z2522" t="n">
        <v>1</v>
      </c>
      <c r="AA2522">
        <f>IF(ISNUMBER('IN-CLASS_Lab Part C'!$J$2522),'IN-CLASS_Lab Part C'!$J$2522,NA())</f>
        <v/>
      </c>
    </row>
    <row r="2523">
      <c r="J2523">
        <f>IF(AND(ISNUMBER('Data'!$F$2524),'Data'!$F$2524&lt;&gt;999,'Data'!$F$2524&lt;&gt;""),'Data'!$F$2524,"")</f>
        <v/>
      </c>
      <c r="Z2523" t="n">
        <v>1</v>
      </c>
      <c r="AA2523">
        <f>IF(ISNUMBER('IN-CLASS_Lab Part C'!$J$2523),'IN-CLASS_Lab Part C'!$J$2523,NA())</f>
        <v/>
      </c>
    </row>
    <row r="2524">
      <c r="J2524">
        <f>IF(AND(ISNUMBER('Data'!$F$2525),'Data'!$F$2525&lt;&gt;999,'Data'!$F$2525&lt;&gt;""),'Data'!$F$2525,"")</f>
        <v/>
      </c>
      <c r="Z2524" t="n">
        <v>1</v>
      </c>
      <c r="AA2524">
        <f>IF(ISNUMBER('IN-CLASS_Lab Part C'!$J$2524),'IN-CLASS_Lab Part C'!$J$2524,NA())</f>
        <v/>
      </c>
    </row>
    <row r="2525">
      <c r="J2525">
        <f>IF(AND(ISNUMBER('Data'!$F$2526),'Data'!$F$2526&lt;&gt;999,'Data'!$F$2526&lt;&gt;""),'Data'!$F$2526,"")</f>
        <v/>
      </c>
      <c r="Z2525" t="n">
        <v>1</v>
      </c>
      <c r="AA2525">
        <f>IF(ISNUMBER('IN-CLASS_Lab Part C'!$J$2525),'IN-CLASS_Lab Part C'!$J$2525,NA())</f>
        <v/>
      </c>
    </row>
    <row r="2526">
      <c r="J2526">
        <f>IF(AND(ISNUMBER('Data'!$F$2527),'Data'!$F$2527&lt;&gt;999,'Data'!$F$2527&lt;&gt;""),'Data'!$F$2527,"")</f>
        <v/>
      </c>
      <c r="Z2526" t="n">
        <v>1</v>
      </c>
      <c r="AA2526">
        <f>IF(ISNUMBER('IN-CLASS_Lab Part C'!$J$2526),'IN-CLASS_Lab Part C'!$J$2526,NA())</f>
        <v/>
      </c>
    </row>
    <row r="2527">
      <c r="J2527">
        <f>IF(AND(ISNUMBER('Data'!$F$2528),'Data'!$F$2528&lt;&gt;999,'Data'!$F$2528&lt;&gt;""),'Data'!$F$2528,"")</f>
        <v/>
      </c>
      <c r="Z2527" t="n">
        <v>1</v>
      </c>
      <c r="AA2527">
        <f>IF(ISNUMBER('IN-CLASS_Lab Part C'!$J$2527),'IN-CLASS_Lab Part C'!$J$2527,NA())</f>
        <v/>
      </c>
    </row>
    <row r="2528">
      <c r="J2528">
        <f>IF(AND(ISNUMBER('Data'!$F$2529),'Data'!$F$2529&lt;&gt;999,'Data'!$F$2529&lt;&gt;""),'Data'!$F$2529,"")</f>
        <v/>
      </c>
      <c r="Z2528" t="n">
        <v>1</v>
      </c>
      <c r="AA2528">
        <f>IF(ISNUMBER('IN-CLASS_Lab Part C'!$J$2528),'IN-CLASS_Lab Part C'!$J$2528,NA())</f>
        <v/>
      </c>
    </row>
    <row r="2529">
      <c r="J2529">
        <f>IF(AND(ISNUMBER('Data'!$F$2530),'Data'!$F$2530&lt;&gt;999,'Data'!$F$2530&lt;&gt;""),'Data'!$F$2530,"")</f>
        <v/>
      </c>
      <c r="Z2529" t="n">
        <v>1</v>
      </c>
      <c r="AA2529">
        <f>IF(ISNUMBER('IN-CLASS_Lab Part C'!$J$2529),'IN-CLASS_Lab Part C'!$J$2529,NA())</f>
        <v/>
      </c>
    </row>
    <row r="2530">
      <c r="J2530">
        <f>IF(AND(ISNUMBER('Data'!$F$2531),'Data'!$F$2531&lt;&gt;999,'Data'!$F$2531&lt;&gt;""),'Data'!$F$2531,"")</f>
        <v/>
      </c>
      <c r="Z2530" t="n">
        <v>1</v>
      </c>
      <c r="AA2530">
        <f>IF(ISNUMBER('IN-CLASS_Lab Part C'!$J$2530),'IN-CLASS_Lab Part C'!$J$2530,NA())</f>
        <v/>
      </c>
    </row>
    <row r="2531">
      <c r="J2531">
        <f>IF(AND(ISNUMBER('Data'!$F$2532),'Data'!$F$2532&lt;&gt;999,'Data'!$F$2532&lt;&gt;""),'Data'!$F$2532,"")</f>
        <v/>
      </c>
      <c r="Z2531" t="n">
        <v>1</v>
      </c>
      <c r="AA2531">
        <f>IF(ISNUMBER('IN-CLASS_Lab Part C'!$J$2531),'IN-CLASS_Lab Part C'!$J$2531,NA())</f>
        <v/>
      </c>
    </row>
    <row r="2532">
      <c r="J2532">
        <f>IF(AND(ISNUMBER('Data'!$F$2533),'Data'!$F$2533&lt;&gt;999,'Data'!$F$2533&lt;&gt;""),'Data'!$F$2533,"")</f>
        <v/>
      </c>
      <c r="Z2532" t="n">
        <v>1</v>
      </c>
      <c r="AA2532">
        <f>IF(ISNUMBER('IN-CLASS_Lab Part C'!$J$2532),'IN-CLASS_Lab Part C'!$J$2532,NA())</f>
        <v/>
      </c>
    </row>
    <row r="2533">
      <c r="J2533">
        <f>IF(AND(ISNUMBER('Data'!$F$2534),'Data'!$F$2534&lt;&gt;999,'Data'!$F$2534&lt;&gt;""),'Data'!$F$2534,"")</f>
        <v/>
      </c>
      <c r="Z2533" t="n">
        <v>1</v>
      </c>
      <c r="AA2533">
        <f>IF(ISNUMBER('IN-CLASS_Lab Part C'!$J$2533),'IN-CLASS_Lab Part C'!$J$2533,NA())</f>
        <v/>
      </c>
    </row>
    <row r="2534">
      <c r="J2534">
        <f>IF(AND(ISNUMBER('Data'!$F$2535),'Data'!$F$2535&lt;&gt;999,'Data'!$F$2535&lt;&gt;""),'Data'!$F$2535,"")</f>
        <v/>
      </c>
      <c r="Z2534" t="n">
        <v>1</v>
      </c>
      <c r="AA2534">
        <f>IF(ISNUMBER('IN-CLASS_Lab Part C'!$J$2534),'IN-CLASS_Lab Part C'!$J$2534,NA())</f>
        <v/>
      </c>
    </row>
    <row r="2535">
      <c r="J2535">
        <f>IF(AND(ISNUMBER('Data'!$F$2536),'Data'!$F$2536&lt;&gt;999,'Data'!$F$2536&lt;&gt;""),'Data'!$F$2536,"")</f>
        <v/>
      </c>
      <c r="Z2535" t="n">
        <v>1</v>
      </c>
      <c r="AA2535">
        <f>IF(ISNUMBER('IN-CLASS_Lab Part C'!$J$2535),'IN-CLASS_Lab Part C'!$J$2535,NA())</f>
        <v/>
      </c>
    </row>
    <row r="2536">
      <c r="J2536">
        <f>IF(AND(ISNUMBER('Data'!$F$2537),'Data'!$F$2537&lt;&gt;999,'Data'!$F$2537&lt;&gt;""),'Data'!$F$2537,"")</f>
        <v/>
      </c>
      <c r="Z2536" t="n">
        <v>1</v>
      </c>
      <c r="AA2536">
        <f>IF(ISNUMBER('IN-CLASS_Lab Part C'!$J$2536),'IN-CLASS_Lab Part C'!$J$2536,NA())</f>
        <v/>
      </c>
    </row>
    <row r="2537">
      <c r="J2537">
        <f>IF(AND(ISNUMBER('Data'!$F$2538),'Data'!$F$2538&lt;&gt;999,'Data'!$F$2538&lt;&gt;""),'Data'!$F$2538,"")</f>
        <v/>
      </c>
      <c r="Z2537" t="n">
        <v>1</v>
      </c>
      <c r="AA2537">
        <f>IF(ISNUMBER('IN-CLASS_Lab Part C'!$J$2537),'IN-CLASS_Lab Part C'!$J$2537,NA())</f>
        <v/>
      </c>
    </row>
    <row r="2538">
      <c r="J2538">
        <f>IF(AND(ISNUMBER('Data'!$F$2539),'Data'!$F$2539&lt;&gt;999,'Data'!$F$2539&lt;&gt;""),'Data'!$F$2539,"")</f>
        <v/>
      </c>
      <c r="Z2538" t="n">
        <v>1</v>
      </c>
      <c r="AA2538">
        <f>IF(ISNUMBER('IN-CLASS_Lab Part C'!$J$2538),'IN-CLASS_Lab Part C'!$J$2538,NA())</f>
        <v/>
      </c>
    </row>
    <row r="2539">
      <c r="J2539">
        <f>IF(AND(ISNUMBER('Data'!$F$2540),'Data'!$F$2540&lt;&gt;999,'Data'!$F$2540&lt;&gt;""),'Data'!$F$2540,"")</f>
        <v/>
      </c>
      <c r="Z2539" t="n">
        <v>1</v>
      </c>
      <c r="AA2539">
        <f>IF(ISNUMBER('IN-CLASS_Lab Part C'!$J$2539),'IN-CLASS_Lab Part C'!$J$2539,NA())</f>
        <v/>
      </c>
    </row>
    <row r="2540">
      <c r="J2540">
        <f>IF(AND(ISNUMBER('Data'!$F$2541),'Data'!$F$2541&lt;&gt;999,'Data'!$F$2541&lt;&gt;""),'Data'!$F$2541,"")</f>
        <v/>
      </c>
      <c r="Z2540" t="n">
        <v>1</v>
      </c>
      <c r="AA2540">
        <f>IF(ISNUMBER('IN-CLASS_Lab Part C'!$J$2540),'IN-CLASS_Lab Part C'!$J$2540,NA())</f>
        <v/>
      </c>
    </row>
    <row r="2541">
      <c r="J2541">
        <f>IF(AND(ISNUMBER('Data'!$F$2542),'Data'!$F$2542&lt;&gt;999,'Data'!$F$2542&lt;&gt;""),'Data'!$F$2542,"")</f>
        <v/>
      </c>
      <c r="Z2541" t="n">
        <v>1</v>
      </c>
      <c r="AA2541">
        <f>IF(ISNUMBER('IN-CLASS_Lab Part C'!$J$2541),'IN-CLASS_Lab Part C'!$J$2541,NA())</f>
        <v/>
      </c>
    </row>
    <row r="2542">
      <c r="J2542">
        <f>IF(AND(ISNUMBER('Data'!$F$2543),'Data'!$F$2543&lt;&gt;999,'Data'!$F$2543&lt;&gt;""),'Data'!$F$2543,"")</f>
        <v/>
      </c>
      <c r="Z2542" t="n">
        <v>1</v>
      </c>
      <c r="AA2542">
        <f>IF(ISNUMBER('IN-CLASS_Lab Part C'!$J$2542),'IN-CLASS_Lab Part C'!$J$2542,NA())</f>
        <v/>
      </c>
    </row>
    <row r="2543">
      <c r="J2543">
        <f>IF(AND(ISNUMBER('Data'!$F$2544),'Data'!$F$2544&lt;&gt;999,'Data'!$F$2544&lt;&gt;""),'Data'!$F$2544,"")</f>
        <v/>
      </c>
      <c r="Z2543" t="n">
        <v>1</v>
      </c>
      <c r="AA2543">
        <f>IF(ISNUMBER('IN-CLASS_Lab Part C'!$J$2543),'IN-CLASS_Lab Part C'!$J$2543,NA())</f>
        <v/>
      </c>
    </row>
    <row r="2544">
      <c r="J2544">
        <f>IF(AND(ISNUMBER('Data'!$F$2545),'Data'!$F$2545&lt;&gt;999,'Data'!$F$2545&lt;&gt;""),'Data'!$F$2545,"")</f>
        <v/>
      </c>
      <c r="Z2544" t="n">
        <v>1</v>
      </c>
      <c r="AA2544">
        <f>IF(ISNUMBER('IN-CLASS_Lab Part C'!$J$2544),'IN-CLASS_Lab Part C'!$J$2544,NA())</f>
        <v/>
      </c>
    </row>
    <row r="2545">
      <c r="J2545">
        <f>IF(AND(ISNUMBER('Data'!$F$2546),'Data'!$F$2546&lt;&gt;999,'Data'!$F$2546&lt;&gt;""),'Data'!$F$2546,"")</f>
        <v/>
      </c>
      <c r="Z2545" t="n">
        <v>1</v>
      </c>
      <c r="AA2545">
        <f>IF(ISNUMBER('IN-CLASS_Lab Part C'!$J$2545),'IN-CLASS_Lab Part C'!$J$2545,NA())</f>
        <v/>
      </c>
    </row>
    <row r="2546">
      <c r="J2546">
        <f>IF(AND(ISNUMBER('Data'!$F$2547),'Data'!$F$2547&lt;&gt;999,'Data'!$F$2547&lt;&gt;""),'Data'!$F$2547,"")</f>
        <v/>
      </c>
      <c r="Z2546" t="n">
        <v>1</v>
      </c>
      <c r="AA2546">
        <f>IF(ISNUMBER('IN-CLASS_Lab Part C'!$J$2546),'IN-CLASS_Lab Part C'!$J$2546,NA())</f>
        <v/>
      </c>
    </row>
    <row r="2547">
      <c r="J2547">
        <f>IF(AND(ISNUMBER('Data'!$F$2548),'Data'!$F$2548&lt;&gt;999,'Data'!$F$2548&lt;&gt;""),'Data'!$F$2548,"")</f>
        <v/>
      </c>
      <c r="Z2547" t="n">
        <v>1</v>
      </c>
      <c r="AA2547">
        <f>IF(ISNUMBER('IN-CLASS_Lab Part C'!$J$2547),'IN-CLASS_Lab Part C'!$J$2547,NA())</f>
        <v/>
      </c>
    </row>
    <row r="2548">
      <c r="J2548">
        <f>IF(AND(ISNUMBER('Data'!$F$2549),'Data'!$F$2549&lt;&gt;999,'Data'!$F$2549&lt;&gt;""),'Data'!$F$2549,"")</f>
        <v/>
      </c>
      <c r="Z2548" t="n">
        <v>1</v>
      </c>
      <c r="AA2548">
        <f>IF(ISNUMBER('IN-CLASS_Lab Part C'!$J$2548),'IN-CLASS_Lab Part C'!$J$2548,NA())</f>
        <v/>
      </c>
    </row>
    <row r="2549">
      <c r="J2549">
        <f>IF(AND(ISNUMBER('Data'!$F$2550),'Data'!$F$2550&lt;&gt;999,'Data'!$F$2550&lt;&gt;""),'Data'!$F$2550,"")</f>
        <v/>
      </c>
      <c r="Z2549" t="n">
        <v>1</v>
      </c>
      <c r="AA2549">
        <f>IF(ISNUMBER('IN-CLASS_Lab Part C'!$J$2549),'IN-CLASS_Lab Part C'!$J$2549,NA())</f>
        <v/>
      </c>
    </row>
    <row r="2550">
      <c r="J2550">
        <f>IF(AND(ISNUMBER('Data'!$F$2551),'Data'!$F$2551&lt;&gt;999,'Data'!$F$2551&lt;&gt;""),'Data'!$F$2551,"")</f>
        <v/>
      </c>
      <c r="Z2550" t="n">
        <v>1</v>
      </c>
      <c r="AA2550">
        <f>IF(ISNUMBER('IN-CLASS_Lab Part C'!$J$2550),'IN-CLASS_Lab Part C'!$J$2550,NA())</f>
        <v/>
      </c>
    </row>
    <row r="2551">
      <c r="J2551">
        <f>IF(AND(ISNUMBER('Data'!$F$2552),'Data'!$F$2552&lt;&gt;999,'Data'!$F$2552&lt;&gt;""),'Data'!$F$2552,"")</f>
        <v/>
      </c>
      <c r="Z2551" t="n">
        <v>1</v>
      </c>
      <c r="AA2551">
        <f>IF(ISNUMBER('IN-CLASS_Lab Part C'!$J$2551),'IN-CLASS_Lab Part C'!$J$2551,NA())</f>
        <v/>
      </c>
    </row>
    <row r="2552">
      <c r="J2552">
        <f>IF(AND(ISNUMBER('Data'!$F$2553),'Data'!$F$2553&lt;&gt;999,'Data'!$F$2553&lt;&gt;""),'Data'!$F$2553,"")</f>
        <v/>
      </c>
      <c r="Z2552" t="n">
        <v>1</v>
      </c>
      <c r="AA2552">
        <f>IF(ISNUMBER('IN-CLASS_Lab Part C'!$J$2552),'IN-CLASS_Lab Part C'!$J$2552,NA())</f>
        <v/>
      </c>
    </row>
    <row r="2553">
      <c r="J2553">
        <f>IF(AND(ISNUMBER('Data'!$F$2554),'Data'!$F$2554&lt;&gt;999,'Data'!$F$2554&lt;&gt;""),'Data'!$F$2554,"")</f>
        <v/>
      </c>
      <c r="Z2553" t="n">
        <v>1</v>
      </c>
      <c r="AA2553">
        <f>IF(ISNUMBER('IN-CLASS_Lab Part C'!$J$2553),'IN-CLASS_Lab Part C'!$J$2553,NA())</f>
        <v/>
      </c>
    </row>
    <row r="2554">
      <c r="J2554">
        <f>IF(AND(ISNUMBER('Data'!$F$2555),'Data'!$F$2555&lt;&gt;999,'Data'!$F$2555&lt;&gt;""),'Data'!$F$2555,"")</f>
        <v/>
      </c>
      <c r="Z2554" t="n">
        <v>1</v>
      </c>
      <c r="AA2554">
        <f>IF(ISNUMBER('IN-CLASS_Lab Part C'!$J$2554),'IN-CLASS_Lab Part C'!$J$2554,NA())</f>
        <v/>
      </c>
    </row>
    <row r="2555">
      <c r="J2555">
        <f>IF(AND(ISNUMBER('Data'!$F$2556),'Data'!$F$2556&lt;&gt;999,'Data'!$F$2556&lt;&gt;""),'Data'!$F$2556,"")</f>
        <v/>
      </c>
      <c r="Z2555" t="n">
        <v>1</v>
      </c>
      <c r="AA2555">
        <f>IF(ISNUMBER('IN-CLASS_Lab Part C'!$J$2555),'IN-CLASS_Lab Part C'!$J$2555,NA())</f>
        <v/>
      </c>
    </row>
    <row r="2556">
      <c r="J2556">
        <f>IF(AND(ISNUMBER('Data'!$F$2557),'Data'!$F$2557&lt;&gt;999,'Data'!$F$2557&lt;&gt;""),'Data'!$F$2557,"")</f>
        <v/>
      </c>
      <c r="Z2556" t="n">
        <v>1</v>
      </c>
      <c r="AA2556">
        <f>IF(ISNUMBER('IN-CLASS_Lab Part C'!$J$2556),'IN-CLASS_Lab Part C'!$J$2556,NA())</f>
        <v/>
      </c>
    </row>
    <row r="2557">
      <c r="J2557">
        <f>IF(AND(ISNUMBER('Data'!$F$2558),'Data'!$F$2558&lt;&gt;999,'Data'!$F$2558&lt;&gt;""),'Data'!$F$2558,"")</f>
        <v/>
      </c>
      <c r="Z2557" t="n">
        <v>1</v>
      </c>
      <c r="AA2557">
        <f>IF(ISNUMBER('IN-CLASS_Lab Part C'!$J$2557),'IN-CLASS_Lab Part C'!$J$2557,NA())</f>
        <v/>
      </c>
    </row>
    <row r="2558">
      <c r="J2558">
        <f>IF(AND(ISNUMBER('Data'!$F$2559),'Data'!$F$2559&lt;&gt;999,'Data'!$F$2559&lt;&gt;""),'Data'!$F$2559,"")</f>
        <v/>
      </c>
      <c r="Z2558" t="n">
        <v>1</v>
      </c>
      <c r="AA2558">
        <f>IF(ISNUMBER('IN-CLASS_Lab Part C'!$J$2558),'IN-CLASS_Lab Part C'!$J$2558,NA())</f>
        <v/>
      </c>
    </row>
    <row r="2559">
      <c r="J2559">
        <f>IF(AND(ISNUMBER('Data'!$F$2560),'Data'!$F$2560&lt;&gt;999,'Data'!$F$2560&lt;&gt;""),'Data'!$F$2560,"")</f>
        <v/>
      </c>
      <c r="Z2559" t="n">
        <v>1</v>
      </c>
      <c r="AA2559">
        <f>IF(ISNUMBER('IN-CLASS_Lab Part C'!$J$2559),'IN-CLASS_Lab Part C'!$J$2559,NA())</f>
        <v/>
      </c>
    </row>
    <row r="2560">
      <c r="J2560">
        <f>IF(AND(ISNUMBER('Data'!$F$2561),'Data'!$F$2561&lt;&gt;999,'Data'!$F$2561&lt;&gt;""),'Data'!$F$2561,"")</f>
        <v/>
      </c>
      <c r="Z2560" t="n">
        <v>1</v>
      </c>
      <c r="AA2560">
        <f>IF(ISNUMBER('IN-CLASS_Lab Part C'!$J$2560),'IN-CLASS_Lab Part C'!$J$2560,NA())</f>
        <v/>
      </c>
    </row>
    <row r="2561">
      <c r="J2561">
        <f>IF(AND(ISNUMBER('Data'!$F$2562),'Data'!$F$2562&lt;&gt;999,'Data'!$F$2562&lt;&gt;""),'Data'!$F$2562,"")</f>
        <v/>
      </c>
      <c r="Z2561" t="n">
        <v>1</v>
      </c>
      <c r="AA2561">
        <f>IF(ISNUMBER('IN-CLASS_Lab Part C'!$J$2561),'IN-CLASS_Lab Part C'!$J$2561,NA())</f>
        <v/>
      </c>
    </row>
    <row r="2562">
      <c r="J2562">
        <f>IF(AND(ISNUMBER('Data'!$F$2563),'Data'!$F$2563&lt;&gt;999,'Data'!$F$2563&lt;&gt;""),'Data'!$F$2563,"")</f>
        <v/>
      </c>
      <c r="Z2562" t="n">
        <v>1</v>
      </c>
      <c r="AA2562">
        <f>IF(ISNUMBER('IN-CLASS_Lab Part C'!$J$2562),'IN-CLASS_Lab Part C'!$J$2562,NA())</f>
        <v/>
      </c>
    </row>
    <row r="2563">
      <c r="J2563">
        <f>IF(AND(ISNUMBER('Data'!$F$2564),'Data'!$F$2564&lt;&gt;999,'Data'!$F$2564&lt;&gt;""),'Data'!$F$2564,"")</f>
        <v/>
      </c>
      <c r="Z2563" t="n">
        <v>1</v>
      </c>
      <c r="AA2563">
        <f>IF(ISNUMBER('IN-CLASS_Lab Part C'!$J$2563),'IN-CLASS_Lab Part C'!$J$2563,NA())</f>
        <v/>
      </c>
    </row>
    <row r="2564">
      <c r="J2564">
        <f>IF(AND(ISNUMBER('Data'!$F$2565),'Data'!$F$2565&lt;&gt;999,'Data'!$F$2565&lt;&gt;""),'Data'!$F$2565,"")</f>
        <v/>
      </c>
      <c r="Z2564" t="n">
        <v>1</v>
      </c>
      <c r="AA2564">
        <f>IF(ISNUMBER('IN-CLASS_Lab Part C'!$J$2564),'IN-CLASS_Lab Part C'!$J$2564,NA())</f>
        <v/>
      </c>
    </row>
    <row r="2565">
      <c r="J2565">
        <f>IF(AND(ISNUMBER('Data'!$F$2566),'Data'!$F$2566&lt;&gt;999,'Data'!$F$2566&lt;&gt;""),'Data'!$F$2566,"")</f>
        <v/>
      </c>
      <c r="Z2565" t="n">
        <v>1</v>
      </c>
      <c r="AA2565">
        <f>IF(ISNUMBER('IN-CLASS_Lab Part C'!$J$2565),'IN-CLASS_Lab Part C'!$J$2565,NA())</f>
        <v/>
      </c>
    </row>
    <row r="2566">
      <c r="J2566">
        <f>IF(AND(ISNUMBER('Data'!$F$2567),'Data'!$F$2567&lt;&gt;999,'Data'!$F$2567&lt;&gt;""),'Data'!$F$2567,"")</f>
        <v/>
      </c>
      <c r="Z2566" t="n">
        <v>1</v>
      </c>
      <c r="AA2566">
        <f>IF(ISNUMBER('IN-CLASS_Lab Part C'!$J$2566),'IN-CLASS_Lab Part C'!$J$2566,NA())</f>
        <v/>
      </c>
    </row>
    <row r="2567">
      <c r="J2567">
        <f>IF(AND(ISNUMBER('Data'!$F$2568),'Data'!$F$2568&lt;&gt;999,'Data'!$F$2568&lt;&gt;""),'Data'!$F$2568,"")</f>
        <v/>
      </c>
      <c r="Z2567" t="n">
        <v>1</v>
      </c>
      <c r="AA2567">
        <f>IF(ISNUMBER('IN-CLASS_Lab Part C'!$J$2567),'IN-CLASS_Lab Part C'!$J$2567,NA())</f>
        <v/>
      </c>
    </row>
    <row r="2568">
      <c r="J2568">
        <f>IF(AND(ISNUMBER('Data'!$F$2569),'Data'!$F$2569&lt;&gt;999,'Data'!$F$2569&lt;&gt;""),'Data'!$F$2569,"")</f>
        <v/>
      </c>
      <c r="Z2568" t="n">
        <v>1</v>
      </c>
      <c r="AA2568">
        <f>IF(ISNUMBER('IN-CLASS_Lab Part C'!$J$2568),'IN-CLASS_Lab Part C'!$J$2568,NA())</f>
        <v/>
      </c>
    </row>
    <row r="2569">
      <c r="J2569">
        <f>IF(AND(ISNUMBER('Data'!$F$2570),'Data'!$F$2570&lt;&gt;999,'Data'!$F$2570&lt;&gt;""),'Data'!$F$2570,"")</f>
        <v/>
      </c>
      <c r="Z2569" t="n">
        <v>1</v>
      </c>
      <c r="AA2569">
        <f>IF(ISNUMBER('IN-CLASS_Lab Part C'!$J$2569),'IN-CLASS_Lab Part C'!$J$2569,NA())</f>
        <v/>
      </c>
    </row>
    <row r="2570">
      <c r="J2570">
        <f>IF(AND(ISNUMBER('Data'!$F$2571),'Data'!$F$2571&lt;&gt;999,'Data'!$F$2571&lt;&gt;""),'Data'!$F$2571,"")</f>
        <v/>
      </c>
      <c r="Z2570" t="n">
        <v>1</v>
      </c>
      <c r="AA2570">
        <f>IF(ISNUMBER('IN-CLASS_Lab Part C'!$J$2570),'IN-CLASS_Lab Part C'!$J$2570,NA())</f>
        <v/>
      </c>
    </row>
    <row r="2571">
      <c r="J2571">
        <f>IF(AND(ISNUMBER('Data'!$F$2572),'Data'!$F$2572&lt;&gt;999,'Data'!$F$2572&lt;&gt;""),'Data'!$F$2572,"")</f>
        <v/>
      </c>
      <c r="Z2571" t="n">
        <v>1</v>
      </c>
      <c r="AA2571">
        <f>IF(ISNUMBER('IN-CLASS_Lab Part C'!$J$2571),'IN-CLASS_Lab Part C'!$J$2571,NA())</f>
        <v/>
      </c>
    </row>
    <row r="2572">
      <c r="J2572">
        <f>IF(AND(ISNUMBER('Data'!$F$2573),'Data'!$F$2573&lt;&gt;999,'Data'!$F$2573&lt;&gt;""),'Data'!$F$2573,"")</f>
        <v/>
      </c>
      <c r="Z2572" t="n">
        <v>1</v>
      </c>
      <c r="AA2572">
        <f>IF(ISNUMBER('IN-CLASS_Lab Part C'!$J$2572),'IN-CLASS_Lab Part C'!$J$2572,NA())</f>
        <v/>
      </c>
    </row>
    <row r="2573">
      <c r="J2573">
        <f>IF(AND(ISNUMBER('Data'!$F$2574),'Data'!$F$2574&lt;&gt;999,'Data'!$F$2574&lt;&gt;""),'Data'!$F$2574,"")</f>
        <v/>
      </c>
      <c r="Z2573" t="n">
        <v>1</v>
      </c>
      <c r="AA2573">
        <f>IF(ISNUMBER('IN-CLASS_Lab Part C'!$J$2573),'IN-CLASS_Lab Part C'!$J$2573,NA())</f>
        <v/>
      </c>
    </row>
    <row r="2574">
      <c r="J2574">
        <f>IF(AND(ISNUMBER('Data'!$F$2575),'Data'!$F$2575&lt;&gt;999,'Data'!$F$2575&lt;&gt;""),'Data'!$F$2575,"")</f>
        <v/>
      </c>
      <c r="Z2574" t="n">
        <v>1</v>
      </c>
      <c r="AA2574">
        <f>IF(ISNUMBER('IN-CLASS_Lab Part C'!$J$2574),'IN-CLASS_Lab Part C'!$J$2574,NA())</f>
        <v/>
      </c>
    </row>
    <row r="2575">
      <c r="J2575">
        <f>IF(AND(ISNUMBER('Data'!$F$2576),'Data'!$F$2576&lt;&gt;999,'Data'!$F$2576&lt;&gt;""),'Data'!$F$2576,"")</f>
        <v/>
      </c>
      <c r="Z2575" t="n">
        <v>1</v>
      </c>
      <c r="AA2575">
        <f>IF(ISNUMBER('IN-CLASS_Lab Part C'!$J$2575),'IN-CLASS_Lab Part C'!$J$2575,NA())</f>
        <v/>
      </c>
    </row>
    <row r="2576">
      <c r="J2576">
        <f>IF(AND(ISNUMBER('Data'!$F$2577),'Data'!$F$2577&lt;&gt;999,'Data'!$F$2577&lt;&gt;""),'Data'!$F$2577,"")</f>
        <v/>
      </c>
      <c r="Z2576" t="n">
        <v>1</v>
      </c>
      <c r="AA2576">
        <f>IF(ISNUMBER('IN-CLASS_Lab Part C'!$J$2576),'IN-CLASS_Lab Part C'!$J$2576,NA())</f>
        <v/>
      </c>
    </row>
    <row r="2577">
      <c r="J2577">
        <f>IF(AND(ISNUMBER('Data'!$F$2578),'Data'!$F$2578&lt;&gt;999,'Data'!$F$2578&lt;&gt;""),'Data'!$F$2578,"")</f>
        <v/>
      </c>
      <c r="Z2577" t="n">
        <v>1</v>
      </c>
      <c r="AA2577">
        <f>IF(ISNUMBER('IN-CLASS_Lab Part C'!$J$2577),'IN-CLASS_Lab Part C'!$J$2577,NA())</f>
        <v/>
      </c>
    </row>
    <row r="2578">
      <c r="J2578">
        <f>IF(AND(ISNUMBER('Data'!$F$2579),'Data'!$F$2579&lt;&gt;999,'Data'!$F$2579&lt;&gt;""),'Data'!$F$2579,"")</f>
        <v/>
      </c>
      <c r="Z2578" t="n">
        <v>1</v>
      </c>
      <c r="AA2578">
        <f>IF(ISNUMBER('IN-CLASS_Lab Part C'!$J$2578),'IN-CLASS_Lab Part C'!$J$2578,NA())</f>
        <v/>
      </c>
    </row>
    <row r="2579">
      <c r="J2579">
        <f>IF(AND(ISNUMBER('Data'!$F$2580),'Data'!$F$2580&lt;&gt;999,'Data'!$F$2580&lt;&gt;""),'Data'!$F$2580,"")</f>
        <v/>
      </c>
      <c r="Z2579" t="n">
        <v>1</v>
      </c>
      <c r="AA2579">
        <f>IF(ISNUMBER('IN-CLASS_Lab Part C'!$J$2579),'IN-CLASS_Lab Part C'!$J$2579,NA())</f>
        <v/>
      </c>
    </row>
    <row r="2580">
      <c r="J2580">
        <f>IF(AND(ISNUMBER('Data'!$F$2581),'Data'!$F$2581&lt;&gt;999,'Data'!$F$2581&lt;&gt;""),'Data'!$F$2581,"")</f>
        <v/>
      </c>
      <c r="Z2580" t="n">
        <v>1</v>
      </c>
      <c r="AA2580">
        <f>IF(ISNUMBER('IN-CLASS_Lab Part C'!$J$2580),'IN-CLASS_Lab Part C'!$J$2580,NA())</f>
        <v/>
      </c>
    </row>
    <row r="2581">
      <c r="J2581">
        <f>IF(AND(ISNUMBER('Data'!$F$2582),'Data'!$F$2582&lt;&gt;999,'Data'!$F$2582&lt;&gt;""),'Data'!$F$2582,"")</f>
        <v/>
      </c>
      <c r="Z2581" t="n">
        <v>1</v>
      </c>
      <c r="AA2581">
        <f>IF(ISNUMBER('IN-CLASS_Lab Part C'!$J$2581),'IN-CLASS_Lab Part C'!$J$2581,NA())</f>
        <v/>
      </c>
    </row>
    <row r="2582">
      <c r="J2582">
        <f>IF(AND(ISNUMBER('Data'!$F$2583),'Data'!$F$2583&lt;&gt;999,'Data'!$F$2583&lt;&gt;""),'Data'!$F$2583,"")</f>
        <v/>
      </c>
      <c r="Z2582" t="n">
        <v>1</v>
      </c>
      <c r="AA2582">
        <f>IF(ISNUMBER('IN-CLASS_Lab Part C'!$J$2582),'IN-CLASS_Lab Part C'!$J$2582,NA())</f>
        <v/>
      </c>
    </row>
    <row r="2583">
      <c r="J2583">
        <f>IF(AND(ISNUMBER('Data'!$F$2584),'Data'!$F$2584&lt;&gt;999,'Data'!$F$2584&lt;&gt;""),'Data'!$F$2584,"")</f>
        <v/>
      </c>
      <c r="Z2583" t="n">
        <v>1</v>
      </c>
      <c r="AA2583">
        <f>IF(ISNUMBER('IN-CLASS_Lab Part C'!$J$2583),'IN-CLASS_Lab Part C'!$J$2583,NA())</f>
        <v/>
      </c>
    </row>
    <row r="2584">
      <c r="J2584">
        <f>IF(AND(ISNUMBER('Data'!$F$2585),'Data'!$F$2585&lt;&gt;999,'Data'!$F$2585&lt;&gt;""),'Data'!$F$2585,"")</f>
        <v/>
      </c>
      <c r="Z2584" t="n">
        <v>1</v>
      </c>
      <c r="AA2584">
        <f>IF(ISNUMBER('IN-CLASS_Lab Part C'!$J$2584),'IN-CLASS_Lab Part C'!$J$2584,NA())</f>
        <v/>
      </c>
    </row>
    <row r="2585">
      <c r="J2585">
        <f>IF(AND(ISNUMBER('Data'!$F$2586),'Data'!$F$2586&lt;&gt;999,'Data'!$F$2586&lt;&gt;""),'Data'!$F$2586,"")</f>
        <v/>
      </c>
      <c r="Z2585" t="n">
        <v>1</v>
      </c>
      <c r="AA2585">
        <f>IF(ISNUMBER('IN-CLASS_Lab Part C'!$J$2585),'IN-CLASS_Lab Part C'!$J$2585,NA())</f>
        <v/>
      </c>
    </row>
    <row r="2586">
      <c r="J2586">
        <f>IF(AND(ISNUMBER('Data'!$F$2587),'Data'!$F$2587&lt;&gt;999,'Data'!$F$2587&lt;&gt;""),'Data'!$F$2587,"")</f>
        <v/>
      </c>
      <c r="Z2586" t="n">
        <v>1</v>
      </c>
      <c r="AA2586">
        <f>IF(ISNUMBER('IN-CLASS_Lab Part C'!$J$2586),'IN-CLASS_Lab Part C'!$J$2586,NA())</f>
        <v/>
      </c>
    </row>
    <row r="2587">
      <c r="J2587">
        <f>IF(AND(ISNUMBER('Data'!$F$2588),'Data'!$F$2588&lt;&gt;999,'Data'!$F$2588&lt;&gt;""),'Data'!$F$2588,"")</f>
        <v/>
      </c>
      <c r="Z2587" t="n">
        <v>1</v>
      </c>
      <c r="AA2587">
        <f>IF(ISNUMBER('IN-CLASS_Lab Part C'!$J$2587),'IN-CLASS_Lab Part C'!$J$2587,NA())</f>
        <v/>
      </c>
    </row>
    <row r="2588">
      <c r="J2588">
        <f>IF(AND(ISNUMBER('Data'!$F$2589),'Data'!$F$2589&lt;&gt;999,'Data'!$F$2589&lt;&gt;""),'Data'!$F$2589,"")</f>
        <v/>
      </c>
      <c r="Z2588" t="n">
        <v>1</v>
      </c>
      <c r="AA2588">
        <f>IF(ISNUMBER('IN-CLASS_Lab Part C'!$J$2588),'IN-CLASS_Lab Part C'!$J$2588,NA())</f>
        <v/>
      </c>
    </row>
    <row r="2589">
      <c r="J2589">
        <f>IF(AND(ISNUMBER('Data'!$F$2590),'Data'!$F$2590&lt;&gt;999,'Data'!$F$2590&lt;&gt;""),'Data'!$F$2590,"")</f>
        <v/>
      </c>
      <c r="Z2589" t="n">
        <v>1</v>
      </c>
      <c r="AA2589">
        <f>IF(ISNUMBER('IN-CLASS_Lab Part C'!$J$2589),'IN-CLASS_Lab Part C'!$J$2589,NA())</f>
        <v/>
      </c>
    </row>
    <row r="2590">
      <c r="J2590">
        <f>IF(AND(ISNUMBER('Data'!$F$2591),'Data'!$F$2591&lt;&gt;999,'Data'!$F$2591&lt;&gt;""),'Data'!$F$2591,"")</f>
        <v/>
      </c>
      <c r="Z2590" t="n">
        <v>1</v>
      </c>
      <c r="AA2590">
        <f>IF(ISNUMBER('IN-CLASS_Lab Part C'!$J$2590),'IN-CLASS_Lab Part C'!$J$2590,NA())</f>
        <v/>
      </c>
    </row>
    <row r="2591">
      <c r="J2591">
        <f>IF(AND(ISNUMBER('Data'!$F$2592),'Data'!$F$2592&lt;&gt;999,'Data'!$F$2592&lt;&gt;""),'Data'!$F$2592,"")</f>
        <v/>
      </c>
      <c r="Z2591" t="n">
        <v>1</v>
      </c>
      <c r="AA2591">
        <f>IF(ISNUMBER('IN-CLASS_Lab Part C'!$J$2591),'IN-CLASS_Lab Part C'!$J$2591,NA())</f>
        <v/>
      </c>
    </row>
    <row r="2592">
      <c r="J2592">
        <f>IF(AND(ISNUMBER('Data'!$F$2593),'Data'!$F$2593&lt;&gt;999,'Data'!$F$2593&lt;&gt;""),'Data'!$F$2593,"")</f>
        <v/>
      </c>
      <c r="Z2592" t="n">
        <v>1</v>
      </c>
      <c r="AA2592">
        <f>IF(ISNUMBER('IN-CLASS_Lab Part C'!$J$2592),'IN-CLASS_Lab Part C'!$J$2592,NA())</f>
        <v/>
      </c>
    </row>
    <row r="2593">
      <c r="J2593">
        <f>IF(AND(ISNUMBER('Data'!$F$2594),'Data'!$F$2594&lt;&gt;999,'Data'!$F$2594&lt;&gt;""),'Data'!$F$2594,"")</f>
        <v/>
      </c>
      <c r="Z2593" t="n">
        <v>1</v>
      </c>
      <c r="AA2593">
        <f>IF(ISNUMBER('IN-CLASS_Lab Part C'!$J$2593),'IN-CLASS_Lab Part C'!$J$2593,NA())</f>
        <v/>
      </c>
    </row>
    <row r="2594">
      <c r="J2594">
        <f>IF(AND(ISNUMBER('Data'!$F$2595),'Data'!$F$2595&lt;&gt;999,'Data'!$F$2595&lt;&gt;""),'Data'!$F$2595,"")</f>
        <v/>
      </c>
      <c r="Z2594" t="n">
        <v>1</v>
      </c>
      <c r="AA2594">
        <f>IF(ISNUMBER('IN-CLASS_Lab Part C'!$J$2594),'IN-CLASS_Lab Part C'!$J$2594,NA())</f>
        <v/>
      </c>
    </row>
    <row r="2595">
      <c r="J2595">
        <f>IF(AND(ISNUMBER('Data'!$F$2596),'Data'!$F$2596&lt;&gt;999,'Data'!$F$2596&lt;&gt;""),'Data'!$F$2596,"")</f>
        <v/>
      </c>
      <c r="Z2595" t="n">
        <v>1</v>
      </c>
      <c r="AA2595">
        <f>IF(ISNUMBER('IN-CLASS_Lab Part C'!$J$2595),'IN-CLASS_Lab Part C'!$J$2595,NA())</f>
        <v/>
      </c>
    </row>
    <row r="2596">
      <c r="J2596">
        <f>IF(AND(ISNUMBER('Data'!$F$2597),'Data'!$F$2597&lt;&gt;999,'Data'!$F$2597&lt;&gt;""),'Data'!$F$2597,"")</f>
        <v/>
      </c>
      <c r="Z2596" t="n">
        <v>1</v>
      </c>
      <c r="AA2596">
        <f>IF(ISNUMBER('IN-CLASS_Lab Part C'!$J$2596),'IN-CLASS_Lab Part C'!$J$2596,NA())</f>
        <v/>
      </c>
    </row>
    <row r="2597">
      <c r="J2597">
        <f>IF(AND(ISNUMBER('Data'!$F$2598),'Data'!$F$2598&lt;&gt;999,'Data'!$F$2598&lt;&gt;""),'Data'!$F$2598,"")</f>
        <v/>
      </c>
      <c r="Z2597" t="n">
        <v>1</v>
      </c>
      <c r="AA2597">
        <f>IF(ISNUMBER('IN-CLASS_Lab Part C'!$J$2597),'IN-CLASS_Lab Part C'!$J$2597,NA())</f>
        <v/>
      </c>
    </row>
    <row r="2598">
      <c r="J2598">
        <f>IF(AND(ISNUMBER('Data'!$F$2599),'Data'!$F$2599&lt;&gt;999,'Data'!$F$2599&lt;&gt;""),'Data'!$F$2599,"")</f>
        <v/>
      </c>
      <c r="Z2598" t="n">
        <v>1</v>
      </c>
      <c r="AA2598">
        <f>IF(ISNUMBER('IN-CLASS_Lab Part C'!$J$2598),'IN-CLASS_Lab Part C'!$J$2598,NA())</f>
        <v/>
      </c>
    </row>
    <row r="2599">
      <c r="J2599">
        <f>IF(AND(ISNUMBER('Data'!$F$2600),'Data'!$F$2600&lt;&gt;999,'Data'!$F$2600&lt;&gt;""),'Data'!$F$2600,"")</f>
        <v/>
      </c>
      <c r="Z2599" t="n">
        <v>1</v>
      </c>
      <c r="AA2599">
        <f>IF(ISNUMBER('IN-CLASS_Lab Part C'!$J$2599),'IN-CLASS_Lab Part C'!$J$2599,NA())</f>
        <v/>
      </c>
    </row>
    <row r="2600">
      <c r="J2600">
        <f>IF(AND(ISNUMBER('Data'!$F$2601),'Data'!$F$2601&lt;&gt;999,'Data'!$F$2601&lt;&gt;""),'Data'!$F$2601,"")</f>
        <v/>
      </c>
      <c r="Z2600" t="n">
        <v>1</v>
      </c>
      <c r="AA2600">
        <f>IF(ISNUMBER('IN-CLASS_Lab Part C'!$J$2600),'IN-CLASS_Lab Part C'!$J$2600,NA())</f>
        <v/>
      </c>
    </row>
    <row r="2601">
      <c r="J2601">
        <f>IF(AND(ISNUMBER('Data'!$F$2602),'Data'!$F$2602&lt;&gt;999,'Data'!$F$2602&lt;&gt;""),'Data'!$F$2602,"")</f>
        <v/>
      </c>
      <c r="Z2601" t="n">
        <v>1</v>
      </c>
      <c r="AA2601">
        <f>IF(ISNUMBER('IN-CLASS_Lab Part C'!$J$2601),'IN-CLASS_Lab Part C'!$J$2601,NA())</f>
        <v/>
      </c>
    </row>
    <row r="2602">
      <c r="J2602">
        <f>IF(AND(ISNUMBER('Data'!$F$2603),'Data'!$F$2603&lt;&gt;999,'Data'!$F$2603&lt;&gt;""),'Data'!$F$2603,"")</f>
        <v/>
      </c>
      <c r="Z2602" t="n">
        <v>1</v>
      </c>
      <c r="AA2602">
        <f>IF(ISNUMBER('IN-CLASS_Lab Part C'!$J$2602),'IN-CLASS_Lab Part C'!$J$2602,NA())</f>
        <v/>
      </c>
    </row>
    <row r="2603">
      <c r="J2603">
        <f>IF(AND(ISNUMBER('Data'!$F$2604),'Data'!$F$2604&lt;&gt;999,'Data'!$F$2604&lt;&gt;""),'Data'!$F$2604,"")</f>
        <v/>
      </c>
      <c r="Z2603" t="n">
        <v>1</v>
      </c>
      <c r="AA2603">
        <f>IF(ISNUMBER('IN-CLASS_Lab Part C'!$J$2603),'IN-CLASS_Lab Part C'!$J$2603,NA())</f>
        <v/>
      </c>
    </row>
    <row r="2604">
      <c r="J2604">
        <f>IF(AND(ISNUMBER('Data'!$F$2605),'Data'!$F$2605&lt;&gt;999,'Data'!$F$2605&lt;&gt;""),'Data'!$F$2605,"")</f>
        <v/>
      </c>
      <c r="Z2604" t="n">
        <v>1</v>
      </c>
      <c r="AA2604">
        <f>IF(ISNUMBER('IN-CLASS_Lab Part C'!$J$2604),'IN-CLASS_Lab Part C'!$J$2604,NA())</f>
        <v/>
      </c>
    </row>
    <row r="2605">
      <c r="J2605">
        <f>IF(AND(ISNUMBER('Data'!$F$2606),'Data'!$F$2606&lt;&gt;999,'Data'!$F$2606&lt;&gt;""),'Data'!$F$2606,"")</f>
        <v/>
      </c>
      <c r="Z2605" t="n">
        <v>1</v>
      </c>
      <c r="AA2605">
        <f>IF(ISNUMBER('IN-CLASS_Lab Part C'!$J$2605),'IN-CLASS_Lab Part C'!$J$2605,NA())</f>
        <v/>
      </c>
    </row>
    <row r="2606">
      <c r="J2606">
        <f>IF(AND(ISNUMBER('Data'!$F$2607),'Data'!$F$2607&lt;&gt;999,'Data'!$F$2607&lt;&gt;""),'Data'!$F$2607,"")</f>
        <v/>
      </c>
      <c r="Z2606" t="n">
        <v>1</v>
      </c>
      <c r="AA2606">
        <f>IF(ISNUMBER('IN-CLASS_Lab Part C'!$J$2606),'IN-CLASS_Lab Part C'!$J$2606,NA())</f>
        <v/>
      </c>
    </row>
    <row r="2607">
      <c r="J2607">
        <f>IF(AND(ISNUMBER('Data'!$F$2608),'Data'!$F$2608&lt;&gt;999,'Data'!$F$2608&lt;&gt;""),'Data'!$F$2608,"")</f>
        <v/>
      </c>
      <c r="Z2607" t="n">
        <v>1</v>
      </c>
      <c r="AA2607">
        <f>IF(ISNUMBER('IN-CLASS_Lab Part C'!$J$2607),'IN-CLASS_Lab Part C'!$J$2607,NA())</f>
        <v/>
      </c>
    </row>
    <row r="2608">
      <c r="J2608">
        <f>IF(AND(ISNUMBER('Data'!$F$2609),'Data'!$F$2609&lt;&gt;999,'Data'!$F$2609&lt;&gt;""),'Data'!$F$2609,"")</f>
        <v/>
      </c>
      <c r="Z2608" t="n">
        <v>1</v>
      </c>
      <c r="AA2608">
        <f>IF(ISNUMBER('IN-CLASS_Lab Part C'!$J$2608),'IN-CLASS_Lab Part C'!$J$2608,NA())</f>
        <v/>
      </c>
    </row>
    <row r="2609">
      <c r="J2609">
        <f>IF(AND(ISNUMBER('Data'!$F$2610),'Data'!$F$2610&lt;&gt;999,'Data'!$F$2610&lt;&gt;""),'Data'!$F$2610,"")</f>
        <v/>
      </c>
      <c r="Z2609" t="n">
        <v>1</v>
      </c>
      <c r="AA2609">
        <f>IF(ISNUMBER('IN-CLASS_Lab Part C'!$J$2609),'IN-CLASS_Lab Part C'!$J$2609,NA())</f>
        <v/>
      </c>
    </row>
    <row r="2610">
      <c r="J2610">
        <f>IF(AND(ISNUMBER('Data'!$F$2611),'Data'!$F$2611&lt;&gt;999,'Data'!$F$2611&lt;&gt;""),'Data'!$F$2611,"")</f>
        <v/>
      </c>
      <c r="Z2610" t="n">
        <v>1</v>
      </c>
      <c r="AA2610">
        <f>IF(ISNUMBER('IN-CLASS_Lab Part C'!$J$2610),'IN-CLASS_Lab Part C'!$J$2610,NA())</f>
        <v/>
      </c>
    </row>
    <row r="2611">
      <c r="J2611">
        <f>IF(AND(ISNUMBER('Data'!$F$2612),'Data'!$F$2612&lt;&gt;999,'Data'!$F$2612&lt;&gt;""),'Data'!$F$2612,"")</f>
        <v/>
      </c>
      <c r="Z2611" t="n">
        <v>1</v>
      </c>
      <c r="AA2611">
        <f>IF(ISNUMBER('IN-CLASS_Lab Part C'!$J$2611),'IN-CLASS_Lab Part C'!$J$2611,NA())</f>
        <v/>
      </c>
    </row>
    <row r="2612">
      <c r="J2612">
        <f>IF(AND(ISNUMBER('Data'!$F$2613),'Data'!$F$2613&lt;&gt;999,'Data'!$F$2613&lt;&gt;""),'Data'!$F$2613,"")</f>
        <v/>
      </c>
      <c r="Z2612" t="n">
        <v>1</v>
      </c>
      <c r="AA2612">
        <f>IF(ISNUMBER('IN-CLASS_Lab Part C'!$J$2612),'IN-CLASS_Lab Part C'!$J$2612,NA())</f>
        <v/>
      </c>
    </row>
    <row r="2613">
      <c r="J2613">
        <f>IF(AND(ISNUMBER('Data'!$F$2614),'Data'!$F$2614&lt;&gt;999,'Data'!$F$2614&lt;&gt;""),'Data'!$F$2614,"")</f>
        <v/>
      </c>
      <c r="Z2613" t="n">
        <v>1</v>
      </c>
      <c r="AA2613">
        <f>IF(ISNUMBER('IN-CLASS_Lab Part C'!$J$2613),'IN-CLASS_Lab Part C'!$J$2613,NA())</f>
        <v/>
      </c>
    </row>
    <row r="2614">
      <c r="J2614">
        <f>IF(AND(ISNUMBER('Data'!$F$2615),'Data'!$F$2615&lt;&gt;999,'Data'!$F$2615&lt;&gt;""),'Data'!$F$2615,"")</f>
        <v/>
      </c>
      <c r="Z2614" t="n">
        <v>1</v>
      </c>
      <c r="AA2614">
        <f>IF(ISNUMBER('IN-CLASS_Lab Part C'!$J$2614),'IN-CLASS_Lab Part C'!$J$2614,NA())</f>
        <v/>
      </c>
    </row>
    <row r="2615">
      <c r="J2615">
        <f>IF(AND(ISNUMBER('Data'!$F$2616),'Data'!$F$2616&lt;&gt;999,'Data'!$F$2616&lt;&gt;""),'Data'!$F$2616,"")</f>
        <v/>
      </c>
      <c r="Z2615" t="n">
        <v>1</v>
      </c>
      <c r="AA2615">
        <f>IF(ISNUMBER('IN-CLASS_Lab Part C'!$J$2615),'IN-CLASS_Lab Part C'!$J$2615,NA())</f>
        <v/>
      </c>
    </row>
    <row r="2616">
      <c r="J2616">
        <f>IF(AND(ISNUMBER('Data'!$F$2617),'Data'!$F$2617&lt;&gt;999,'Data'!$F$2617&lt;&gt;""),'Data'!$F$2617,"")</f>
        <v/>
      </c>
      <c r="Z2616" t="n">
        <v>1</v>
      </c>
      <c r="AA2616">
        <f>IF(ISNUMBER('IN-CLASS_Lab Part C'!$J$2616),'IN-CLASS_Lab Part C'!$J$2616,NA())</f>
        <v/>
      </c>
    </row>
    <row r="2617">
      <c r="J2617">
        <f>IF(AND(ISNUMBER('Data'!$F$2618),'Data'!$F$2618&lt;&gt;999,'Data'!$F$2618&lt;&gt;""),'Data'!$F$2618,"")</f>
        <v/>
      </c>
      <c r="Z2617" t="n">
        <v>1</v>
      </c>
      <c r="AA2617">
        <f>IF(ISNUMBER('IN-CLASS_Lab Part C'!$J$2617),'IN-CLASS_Lab Part C'!$J$2617,NA())</f>
        <v/>
      </c>
    </row>
    <row r="2618">
      <c r="J2618">
        <f>IF(AND(ISNUMBER('Data'!$F$2619),'Data'!$F$2619&lt;&gt;999,'Data'!$F$2619&lt;&gt;""),'Data'!$F$2619,"")</f>
        <v/>
      </c>
      <c r="Z2618" t="n">
        <v>1</v>
      </c>
      <c r="AA2618">
        <f>IF(ISNUMBER('IN-CLASS_Lab Part C'!$J$2618),'IN-CLASS_Lab Part C'!$J$2618,NA())</f>
        <v/>
      </c>
    </row>
    <row r="2619">
      <c r="J2619">
        <f>IF(AND(ISNUMBER('Data'!$F$2620),'Data'!$F$2620&lt;&gt;999,'Data'!$F$2620&lt;&gt;""),'Data'!$F$2620,"")</f>
        <v/>
      </c>
      <c r="Z2619" t="n">
        <v>1</v>
      </c>
      <c r="AA2619">
        <f>IF(ISNUMBER('IN-CLASS_Lab Part C'!$J$2619),'IN-CLASS_Lab Part C'!$J$2619,NA())</f>
        <v/>
      </c>
    </row>
    <row r="2620">
      <c r="J2620">
        <f>IF(AND(ISNUMBER('Data'!$F$2621),'Data'!$F$2621&lt;&gt;999,'Data'!$F$2621&lt;&gt;""),'Data'!$F$2621,"")</f>
        <v/>
      </c>
      <c r="Z2620" t="n">
        <v>1</v>
      </c>
      <c r="AA2620">
        <f>IF(ISNUMBER('IN-CLASS_Lab Part C'!$J$2620),'IN-CLASS_Lab Part C'!$J$2620,NA())</f>
        <v/>
      </c>
    </row>
    <row r="2621">
      <c r="J2621">
        <f>IF(AND(ISNUMBER('Data'!$F$2622),'Data'!$F$2622&lt;&gt;999,'Data'!$F$2622&lt;&gt;""),'Data'!$F$2622,"")</f>
        <v/>
      </c>
      <c r="Z2621" t="n">
        <v>1</v>
      </c>
      <c r="AA2621">
        <f>IF(ISNUMBER('IN-CLASS_Lab Part C'!$J$2621),'IN-CLASS_Lab Part C'!$J$2621,NA())</f>
        <v/>
      </c>
    </row>
    <row r="2622">
      <c r="J2622">
        <f>IF(AND(ISNUMBER('Data'!$F$2623),'Data'!$F$2623&lt;&gt;999,'Data'!$F$2623&lt;&gt;""),'Data'!$F$2623,"")</f>
        <v/>
      </c>
      <c r="Z2622" t="n">
        <v>1</v>
      </c>
      <c r="AA2622">
        <f>IF(ISNUMBER('IN-CLASS_Lab Part C'!$J$2622),'IN-CLASS_Lab Part C'!$J$2622,NA())</f>
        <v/>
      </c>
    </row>
    <row r="2623">
      <c r="J2623">
        <f>IF(AND(ISNUMBER('Data'!$F$2624),'Data'!$F$2624&lt;&gt;999,'Data'!$F$2624&lt;&gt;""),'Data'!$F$2624,"")</f>
        <v/>
      </c>
      <c r="Z2623" t="n">
        <v>1</v>
      </c>
      <c r="AA2623">
        <f>IF(ISNUMBER('IN-CLASS_Lab Part C'!$J$2623),'IN-CLASS_Lab Part C'!$J$2623,NA())</f>
        <v/>
      </c>
    </row>
    <row r="2624">
      <c r="J2624">
        <f>IF(AND(ISNUMBER('Data'!$F$2625),'Data'!$F$2625&lt;&gt;999,'Data'!$F$2625&lt;&gt;""),'Data'!$F$2625,"")</f>
        <v/>
      </c>
      <c r="Z2624" t="n">
        <v>1</v>
      </c>
      <c r="AA2624">
        <f>IF(ISNUMBER('IN-CLASS_Lab Part C'!$J$2624),'IN-CLASS_Lab Part C'!$J$2624,NA())</f>
        <v/>
      </c>
    </row>
    <row r="2625">
      <c r="J2625">
        <f>IF(AND(ISNUMBER('Data'!$F$2626),'Data'!$F$2626&lt;&gt;999,'Data'!$F$2626&lt;&gt;""),'Data'!$F$2626,"")</f>
        <v/>
      </c>
      <c r="Z2625" t="n">
        <v>1</v>
      </c>
      <c r="AA2625">
        <f>IF(ISNUMBER('IN-CLASS_Lab Part C'!$J$2625),'IN-CLASS_Lab Part C'!$J$2625,NA())</f>
        <v/>
      </c>
    </row>
    <row r="2626">
      <c r="J2626">
        <f>IF(AND(ISNUMBER('Data'!$F$2627),'Data'!$F$2627&lt;&gt;999,'Data'!$F$2627&lt;&gt;""),'Data'!$F$2627,"")</f>
        <v/>
      </c>
      <c r="Z2626" t="n">
        <v>1</v>
      </c>
      <c r="AA2626">
        <f>IF(ISNUMBER('IN-CLASS_Lab Part C'!$J$2626),'IN-CLASS_Lab Part C'!$J$2626,NA())</f>
        <v/>
      </c>
    </row>
    <row r="2627">
      <c r="J2627">
        <f>IF(AND(ISNUMBER('Data'!$F$2628),'Data'!$F$2628&lt;&gt;999,'Data'!$F$2628&lt;&gt;""),'Data'!$F$2628,"")</f>
        <v/>
      </c>
      <c r="Z2627" t="n">
        <v>1</v>
      </c>
      <c r="AA2627">
        <f>IF(ISNUMBER('IN-CLASS_Lab Part C'!$J$2627),'IN-CLASS_Lab Part C'!$J$2627,NA())</f>
        <v/>
      </c>
    </row>
    <row r="2628">
      <c r="J2628">
        <f>IF(AND(ISNUMBER('Data'!$F$2629),'Data'!$F$2629&lt;&gt;999,'Data'!$F$2629&lt;&gt;""),'Data'!$F$2629,"")</f>
        <v/>
      </c>
      <c r="Z2628" t="n">
        <v>1</v>
      </c>
      <c r="AA2628">
        <f>IF(ISNUMBER('IN-CLASS_Lab Part C'!$J$2628),'IN-CLASS_Lab Part C'!$J$2628,NA())</f>
        <v/>
      </c>
    </row>
    <row r="2629">
      <c r="J2629">
        <f>IF(AND(ISNUMBER('Data'!$F$2630),'Data'!$F$2630&lt;&gt;999,'Data'!$F$2630&lt;&gt;""),'Data'!$F$2630,"")</f>
        <v/>
      </c>
      <c r="Z2629" t="n">
        <v>1</v>
      </c>
      <c r="AA2629">
        <f>IF(ISNUMBER('IN-CLASS_Lab Part C'!$J$2629),'IN-CLASS_Lab Part C'!$J$2629,NA())</f>
        <v/>
      </c>
    </row>
    <row r="2630">
      <c r="J2630">
        <f>IF(AND(ISNUMBER('Data'!$F$2631),'Data'!$F$2631&lt;&gt;999,'Data'!$F$2631&lt;&gt;""),'Data'!$F$2631,"")</f>
        <v/>
      </c>
      <c r="Z2630" t="n">
        <v>1</v>
      </c>
      <c r="AA2630">
        <f>IF(ISNUMBER('IN-CLASS_Lab Part C'!$J$2630),'IN-CLASS_Lab Part C'!$J$2630,NA())</f>
        <v/>
      </c>
    </row>
    <row r="2631">
      <c r="J2631">
        <f>IF(AND(ISNUMBER('Data'!$F$2632),'Data'!$F$2632&lt;&gt;999,'Data'!$F$2632&lt;&gt;""),'Data'!$F$2632,"")</f>
        <v/>
      </c>
      <c r="Z2631" t="n">
        <v>1</v>
      </c>
      <c r="AA2631">
        <f>IF(ISNUMBER('IN-CLASS_Lab Part C'!$J$2631),'IN-CLASS_Lab Part C'!$J$2631,NA())</f>
        <v/>
      </c>
    </row>
    <row r="2632">
      <c r="J2632">
        <f>IF(AND(ISNUMBER('Data'!$F$2633),'Data'!$F$2633&lt;&gt;999,'Data'!$F$2633&lt;&gt;""),'Data'!$F$2633,"")</f>
        <v/>
      </c>
      <c r="Z2632" t="n">
        <v>1</v>
      </c>
      <c r="AA2632">
        <f>IF(ISNUMBER('IN-CLASS_Lab Part C'!$J$2632),'IN-CLASS_Lab Part C'!$J$2632,NA())</f>
        <v/>
      </c>
    </row>
    <row r="2633">
      <c r="J2633">
        <f>IF(AND(ISNUMBER('Data'!$F$2634),'Data'!$F$2634&lt;&gt;999,'Data'!$F$2634&lt;&gt;""),'Data'!$F$2634,"")</f>
        <v/>
      </c>
      <c r="Z2633" t="n">
        <v>1</v>
      </c>
      <c r="AA2633">
        <f>IF(ISNUMBER('IN-CLASS_Lab Part C'!$J$2633),'IN-CLASS_Lab Part C'!$J$2633,NA())</f>
        <v/>
      </c>
    </row>
    <row r="2634">
      <c r="J2634">
        <f>IF(AND(ISNUMBER('Data'!$F$2635),'Data'!$F$2635&lt;&gt;999,'Data'!$F$2635&lt;&gt;""),'Data'!$F$2635,"")</f>
        <v/>
      </c>
      <c r="Z2634" t="n">
        <v>1</v>
      </c>
      <c r="AA2634">
        <f>IF(ISNUMBER('IN-CLASS_Lab Part C'!$J$2634),'IN-CLASS_Lab Part C'!$J$2634,NA())</f>
        <v/>
      </c>
    </row>
    <row r="2635">
      <c r="J2635">
        <f>IF(AND(ISNUMBER('Data'!$F$2636),'Data'!$F$2636&lt;&gt;999,'Data'!$F$2636&lt;&gt;""),'Data'!$F$2636,"")</f>
        <v/>
      </c>
      <c r="Z2635" t="n">
        <v>1</v>
      </c>
      <c r="AA2635">
        <f>IF(ISNUMBER('IN-CLASS_Lab Part C'!$J$2635),'IN-CLASS_Lab Part C'!$J$2635,NA())</f>
        <v/>
      </c>
    </row>
    <row r="2636">
      <c r="J2636">
        <f>IF(AND(ISNUMBER('Data'!$F$2637),'Data'!$F$2637&lt;&gt;999,'Data'!$F$2637&lt;&gt;""),'Data'!$F$2637,"")</f>
        <v/>
      </c>
      <c r="Z2636" t="n">
        <v>1</v>
      </c>
      <c r="AA2636">
        <f>IF(ISNUMBER('IN-CLASS_Lab Part C'!$J$2636),'IN-CLASS_Lab Part C'!$J$2636,NA())</f>
        <v/>
      </c>
    </row>
    <row r="2637">
      <c r="J2637">
        <f>IF(AND(ISNUMBER('Data'!$F$2638),'Data'!$F$2638&lt;&gt;999,'Data'!$F$2638&lt;&gt;""),'Data'!$F$2638,"")</f>
        <v/>
      </c>
      <c r="Z2637" t="n">
        <v>1</v>
      </c>
      <c r="AA2637">
        <f>IF(ISNUMBER('IN-CLASS_Lab Part C'!$J$2637),'IN-CLASS_Lab Part C'!$J$2637,NA())</f>
        <v/>
      </c>
    </row>
    <row r="2638">
      <c r="J2638">
        <f>IF(AND(ISNUMBER('Data'!$F$2639),'Data'!$F$2639&lt;&gt;999,'Data'!$F$2639&lt;&gt;""),'Data'!$F$2639,"")</f>
        <v/>
      </c>
      <c r="Z2638" t="n">
        <v>1</v>
      </c>
      <c r="AA2638">
        <f>IF(ISNUMBER('IN-CLASS_Lab Part C'!$J$2638),'IN-CLASS_Lab Part C'!$J$2638,NA())</f>
        <v/>
      </c>
    </row>
    <row r="2639">
      <c r="J2639">
        <f>IF(AND(ISNUMBER('Data'!$F$2640),'Data'!$F$2640&lt;&gt;999,'Data'!$F$2640&lt;&gt;""),'Data'!$F$2640,"")</f>
        <v/>
      </c>
      <c r="Z2639" t="n">
        <v>1</v>
      </c>
      <c r="AA2639">
        <f>IF(ISNUMBER('IN-CLASS_Lab Part C'!$J$2639),'IN-CLASS_Lab Part C'!$J$2639,NA())</f>
        <v/>
      </c>
    </row>
    <row r="2640">
      <c r="J2640">
        <f>IF(AND(ISNUMBER('Data'!$F$2641),'Data'!$F$2641&lt;&gt;999,'Data'!$F$2641&lt;&gt;""),'Data'!$F$2641,"")</f>
        <v/>
      </c>
      <c r="Z2640" t="n">
        <v>1</v>
      </c>
      <c r="AA2640">
        <f>IF(ISNUMBER('IN-CLASS_Lab Part C'!$J$2640),'IN-CLASS_Lab Part C'!$J$2640,NA())</f>
        <v/>
      </c>
    </row>
    <row r="2641">
      <c r="J2641">
        <f>IF(AND(ISNUMBER('Data'!$F$2642),'Data'!$F$2642&lt;&gt;999,'Data'!$F$2642&lt;&gt;""),'Data'!$F$2642,"")</f>
        <v/>
      </c>
      <c r="Z2641" t="n">
        <v>1</v>
      </c>
      <c r="AA2641">
        <f>IF(ISNUMBER('IN-CLASS_Lab Part C'!$J$2641),'IN-CLASS_Lab Part C'!$J$2641,NA())</f>
        <v/>
      </c>
    </row>
    <row r="2642">
      <c r="J2642">
        <f>IF(AND(ISNUMBER('Data'!$F$2643),'Data'!$F$2643&lt;&gt;999,'Data'!$F$2643&lt;&gt;""),'Data'!$F$2643,"")</f>
        <v/>
      </c>
      <c r="Z2642" t="n">
        <v>1</v>
      </c>
      <c r="AA2642">
        <f>IF(ISNUMBER('IN-CLASS_Lab Part C'!$J$2642),'IN-CLASS_Lab Part C'!$J$2642,NA())</f>
        <v/>
      </c>
    </row>
    <row r="2643">
      <c r="J2643">
        <f>IF(AND(ISNUMBER('Data'!$F$2644),'Data'!$F$2644&lt;&gt;999,'Data'!$F$2644&lt;&gt;""),'Data'!$F$2644,"")</f>
        <v/>
      </c>
      <c r="Z2643" t="n">
        <v>1</v>
      </c>
      <c r="AA2643">
        <f>IF(ISNUMBER('IN-CLASS_Lab Part C'!$J$2643),'IN-CLASS_Lab Part C'!$J$2643,NA())</f>
        <v/>
      </c>
    </row>
    <row r="2644">
      <c r="J2644">
        <f>IF(AND(ISNUMBER('Data'!$F$2645),'Data'!$F$2645&lt;&gt;999,'Data'!$F$2645&lt;&gt;""),'Data'!$F$2645,"")</f>
        <v/>
      </c>
      <c r="Z2644" t="n">
        <v>1</v>
      </c>
      <c r="AA2644">
        <f>IF(ISNUMBER('IN-CLASS_Lab Part C'!$J$2644),'IN-CLASS_Lab Part C'!$J$2644,NA())</f>
        <v/>
      </c>
    </row>
    <row r="2645">
      <c r="J2645">
        <f>IF(AND(ISNUMBER('Data'!$F$2646),'Data'!$F$2646&lt;&gt;999,'Data'!$F$2646&lt;&gt;""),'Data'!$F$2646,"")</f>
        <v/>
      </c>
      <c r="Z2645" t="n">
        <v>1</v>
      </c>
      <c r="AA2645">
        <f>IF(ISNUMBER('IN-CLASS_Lab Part C'!$J$2645),'IN-CLASS_Lab Part C'!$J$2645,NA())</f>
        <v/>
      </c>
    </row>
    <row r="2646">
      <c r="J2646">
        <f>IF(AND(ISNUMBER('Data'!$F$2647),'Data'!$F$2647&lt;&gt;999,'Data'!$F$2647&lt;&gt;""),'Data'!$F$2647,"")</f>
        <v/>
      </c>
      <c r="Z2646" t="n">
        <v>1</v>
      </c>
      <c r="AA2646">
        <f>IF(ISNUMBER('IN-CLASS_Lab Part C'!$J$2646),'IN-CLASS_Lab Part C'!$J$2646,NA())</f>
        <v/>
      </c>
    </row>
    <row r="2647">
      <c r="J2647">
        <f>IF(AND(ISNUMBER('Data'!$F$2648),'Data'!$F$2648&lt;&gt;999,'Data'!$F$2648&lt;&gt;""),'Data'!$F$2648,"")</f>
        <v/>
      </c>
      <c r="Z2647" t="n">
        <v>1</v>
      </c>
      <c r="AA2647">
        <f>IF(ISNUMBER('IN-CLASS_Lab Part C'!$J$2647),'IN-CLASS_Lab Part C'!$J$2647,NA())</f>
        <v/>
      </c>
    </row>
    <row r="2648">
      <c r="J2648">
        <f>IF(AND(ISNUMBER('Data'!$F$2649),'Data'!$F$2649&lt;&gt;999,'Data'!$F$2649&lt;&gt;""),'Data'!$F$2649,"")</f>
        <v/>
      </c>
      <c r="Z2648" t="n">
        <v>1</v>
      </c>
      <c r="AA2648">
        <f>IF(ISNUMBER('IN-CLASS_Lab Part C'!$J$2648),'IN-CLASS_Lab Part C'!$J$2648,NA())</f>
        <v/>
      </c>
    </row>
    <row r="2649">
      <c r="J2649">
        <f>IF(AND(ISNUMBER('Data'!$F$2650),'Data'!$F$2650&lt;&gt;999,'Data'!$F$2650&lt;&gt;""),'Data'!$F$2650,"")</f>
        <v/>
      </c>
      <c r="Z2649" t="n">
        <v>1</v>
      </c>
      <c r="AA2649">
        <f>IF(ISNUMBER('IN-CLASS_Lab Part C'!$J$2649),'IN-CLASS_Lab Part C'!$J$2649,NA())</f>
        <v/>
      </c>
    </row>
    <row r="2650">
      <c r="J2650">
        <f>IF(AND(ISNUMBER('Data'!$F$2651),'Data'!$F$2651&lt;&gt;999,'Data'!$F$2651&lt;&gt;""),'Data'!$F$2651,"")</f>
        <v/>
      </c>
      <c r="Z2650" t="n">
        <v>1</v>
      </c>
      <c r="AA2650">
        <f>IF(ISNUMBER('IN-CLASS_Lab Part C'!$J$2650),'IN-CLASS_Lab Part C'!$J$2650,NA())</f>
        <v/>
      </c>
    </row>
    <row r="2651">
      <c r="J2651">
        <f>IF(AND(ISNUMBER('Data'!$F$2652),'Data'!$F$2652&lt;&gt;999,'Data'!$F$2652&lt;&gt;""),'Data'!$F$2652,"")</f>
        <v/>
      </c>
      <c r="Z2651" t="n">
        <v>1</v>
      </c>
      <c r="AA2651">
        <f>IF(ISNUMBER('IN-CLASS_Lab Part C'!$J$2651),'IN-CLASS_Lab Part C'!$J$2651,NA())</f>
        <v/>
      </c>
    </row>
    <row r="2652">
      <c r="J2652">
        <f>IF(AND(ISNUMBER('Data'!$F$2653),'Data'!$F$2653&lt;&gt;999,'Data'!$F$2653&lt;&gt;""),'Data'!$F$2653,"")</f>
        <v/>
      </c>
      <c r="Z2652" t="n">
        <v>1</v>
      </c>
      <c r="AA2652">
        <f>IF(ISNUMBER('IN-CLASS_Lab Part C'!$J$2652),'IN-CLASS_Lab Part C'!$J$2652,NA())</f>
        <v/>
      </c>
    </row>
    <row r="2653">
      <c r="J2653">
        <f>IF(AND(ISNUMBER('Data'!$F$2654),'Data'!$F$2654&lt;&gt;999,'Data'!$F$2654&lt;&gt;""),'Data'!$F$2654,"")</f>
        <v/>
      </c>
      <c r="Z2653" t="n">
        <v>1</v>
      </c>
      <c r="AA2653">
        <f>IF(ISNUMBER('IN-CLASS_Lab Part C'!$J$2653),'IN-CLASS_Lab Part C'!$J$2653,NA())</f>
        <v/>
      </c>
    </row>
    <row r="2654">
      <c r="J2654">
        <f>IF(AND(ISNUMBER('Data'!$F$2655),'Data'!$F$2655&lt;&gt;999,'Data'!$F$2655&lt;&gt;""),'Data'!$F$2655,"")</f>
        <v/>
      </c>
      <c r="Z2654" t="n">
        <v>1</v>
      </c>
      <c r="AA2654">
        <f>IF(ISNUMBER('IN-CLASS_Lab Part C'!$J$2654),'IN-CLASS_Lab Part C'!$J$2654,NA())</f>
        <v/>
      </c>
    </row>
    <row r="2655">
      <c r="J2655">
        <f>IF(AND(ISNUMBER('Data'!$F$2656),'Data'!$F$2656&lt;&gt;999,'Data'!$F$2656&lt;&gt;""),'Data'!$F$2656,"")</f>
        <v/>
      </c>
      <c r="Z2655" t="n">
        <v>1</v>
      </c>
      <c r="AA2655">
        <f>IF(ISNUMBER('IN-CLASS_Lab Part C'!$J$2655),'IN-CLASS_Lab Part C'!$J$2655,NA())</f>
        <v/>
      </c>
    </row>
    <row r="2656">
      <c r="J2656">
        <f>IF(AND(ISNUMBER('Data'!$F$2657),'Data'!$F$2657&lt;&gt;999,'Data'!$F$2657&lt;&gt;""),'Data'!$F$2657,"")</f>
        <v/>
      </c>
      <c r="Z2656" t="n">
        <v>1</v>
      </c>
      <c r="AA2656">
        <f>IF(ISNUMBER('IN-CLASS_Lab Part C'!$J$2656),'IN-CLASS_Lab Part C'!$J$2656,NA())</f>
        <v/>
      </c>
    </row>
    <row r="2657">
      <c r="J2657">
        <f>IF(AND(ISNUMBER('Data'!$F$2658),'Data'!$F$2658&lt;&gt;999,'Data'!$F$2658&lt;&gt;""),'Data'!$F$2658,"")</f>
        <v/>
      </c>
      <c r="Z2657" t="n">
        <v>1</v>
      </c>
      <c r="AA2657">
        <f>IF(ISNUMBER('IN-CLASS_Lab Part C'!$J$2657),'IN-CLASS_Lab Part C'!$J$2657,NA())</f>
        <v/>
      </c>
    </row>
    <row r="2658">
      <c r="J2658">
        <f>IF(AND(ISNUMBER('Data'!$F$2659),'Data'!$F$2659&lt;&gt;999,'Data'!$F$2659&lt;&gt;""),'Data'!$F$2659,"")</f>
        <v/>
      </c>
      <c r="Z2658" t="n">
        <v>1</v>
      </c>
      <c r="AA2658">
        <f>IF(ISNUMBER('IN-CLASS_Lab Part C'!$J$2658),'IN-CLASS_Lab Part C'!$J$2658,NA())</f>
        <v/>
      </c>
    </row>
    <row r="2659">
      <c r="J2659">
        <f>IF(AND(ISNUMBER('Data'!$F$2660),'Data'!$F$2660&lt;&gt;999,'Data'!$F$2660&lt;&gt;""),'Data'!$F$2660,"")</f>
        <v/>
      </c>
      <c r="Z2659" t="n">
        <v>1</v>
      </c>
      <c r="AA2659">
        <f>IF(ISNUMBER('IN-CLASS_Lab Part C'!$J$2659),'IN-CLASS_Lab Part C'!$J$2659,NA())</f>
        <v/>
      </c>
    </row>
    <row r="2660">
      <c r="J2660">
        <f>IF(AND(ISNUMBER('Data'!$F$2661),'Data'!$F$2661&lt;&gt;999,'Data'!$F$2661&lt;&gt;""),'Data'!$F$2661,"")</f>
        <v/>
      </c>
      <c r="Z2660" t="n">
        <v>1</v>
      </c>
      <c r="AA2660">
        <f>IF(ISNUMBER('IN-CLASS_Lab Part C'!$J$2660),'IN-CLASS_Lab Part C'!$J$2660,NA())</f>
        <v/>
      </c>
    </row>
    <row r="2661">
      <c r="J2661">
        <f>IF(AND(ISNUMBER('Data'!$F$2662),'Data'!$F$2662&lt;&gt;999,'Data'!$F$2662&lt;&gt;""),'Data'!$F$2662,"")</f>
        <v/>
      </c>
      <c r="Z2661" t="n">
        <v>1</v>
      </c>
      <c r="AA2661">
        <f>IF(ISNUMBER('IN-CLASS_Lab Part C'!$J$2661),'IN-CLASS_Lab Part C'!$J$2661,NA())</f>
        <v/>
      </c>
    </row>
    <row r="2662">
      <c r="J2662">
        <f>IF(AND(ISNUMBER('Data'!$F$2663),'Data'!$F$2663&lt;&gt;999,'Data'!$F$2663&lt;&gt;""),'Data'!$F$2663,"")</f>
        <v/>
      </c>
      <c r="Z2662" t="n">
        <v>1</v>
      </c>
      <c r="AA2662">
        <f>IF(ISNUMBER('IN-CLASS_Lab Part C'!$J$2662),'IN-CLASS_Lab Part C'!$J$2662,NA())</f>
        <v/>
      </c>
    </row>
    <row r="2663">
      <c r="J2663">
        <f>IF(AND(ISNUMBER('Data'!$F$2664),'Data'!$F$2664&lt;&gt;999,'Data'!$F$2664&lt;&gt;""),'Data'!$F$2664,"")</f>
        <v/>
      </c>
      <c r="Z2663" t="n">
        <v>1</v>
      </c>
      <c r="AA2663">
        <f>IF(ISNUMBER('IN-CLASS_Lab Part C'!$J$2663),'IN-CLASS_Lab Part C'!$J$2663,NA())</f>
        <v/>
      </c>
    </row>
    <row r="2664">
      <c r="J2664">
        <f>IF(AND(ISNUMBER('Data'!$F$2665),'Data'!$F$2665&lt;&gt;999,'Data'!$F$2665&lt;&gt;""),'Data'!$F$2665,"")</f>
        <v/>
      </c>
      <c r="Z2664" t="n">
        <v>1</v>
      </c>
      <c r="AA2664">
        <f>IF(ISNUMBER('IN-CLASS_Lab Part C'!$J$2664),'IN-CLASS_Lab Part C'!$J$2664,NA())</f>
        <v/>
      </c>
    </row>
    <row r="2665">
      <c r="J2665">
        <f>IF(AND(ISNUMBER('Data'!$F$2666),'Data'!$F$2666&lt;&gt;999,'Data'!$F$2666&lt;&gt;""),'Data'!$F$2666,"")</f>
        <v/>
      </c>
      <c r="Z2665" t="n">
        <v>1</v>
      </c>
      <c r="AA2665">
        <f>IF(ISNUMBER('IN-CLASS_Lab Part C'!$J$2665),'IN-CLASS_Lab Part C'!$J$2665,NA())</f>
        <v/>
      </c>
    </row>
    <row r="2666">
      <c r="J2666">
        <f>IF(AND(ISNUMBER('Data'!$F$2667),'Data'!$F$2667&lt;&gt;999,'Data'!$F$2667&lt;&gt;""),'Data'!$F$2667,"")</f>
        <v/>
      </c>
      <c r="Z2666" t="n">
        <v>1</v>
      </c>
      <c r="AA2666">
        <f>IF(ISNUMBER('IN-CLASS_Lab Part C'!$J$2666),'IN-CLASS_Lab Part C'!$J$2666,NA())</f>
        <v/>
      </c>
    </row>
    <row r="2667">
      <c r="J2667">
        <f>IF(AND(ISNUMBER('Data'!$F$2668),'Data'!$F$2668&lt;&gt;999,'Data'!$F$2668&lt;&gt;""),'Data'!$F$2668,"")</f>
        <v/>
      </c>
      <c r="Z2667" t="n">
        <v>1</v>
      </c>
      <c r="AA2667">
        <f>IF(ISNUMBER('IN-CLASS_Lab Part C'!$J$2667),'IN-CLASS_Lab Part C'!$J$2667,NA())</f>
        <v/>
      </c>
    </row>
    <row r="2668">
      <c r="J2668">
        <f>IF(AND(ISNUMBER('Data'!$F$2669),'Data'!$F$2669&lt;&gt;999,'Data'!$F$2669&lt;&gt;""),'Data'!$F$2669,"")</f>
        <v/>
      </c>
      <c r="Z2668" t="n">
        <v>1</v>
      </c>
      <c r="AA2668">
        <f>IF(ISNUMBER('IN-CLASS_Lab Part C'!$J$2668),'IN-CLASS_Lab Part C'!$J$2668,NA())</f>
        <v/>
      </c>
    </row>
    <row r="2669">
      <c r="J2669">
        <f>IF(AND(ISNUMBER('Data'!$F$2670),'Data'!$F$2670&lt;&gt;999,'Data'!$F$2670&lt;&gt;""),'Data'!$F$2670,"")</f>
        <v/>
      </c>
      <c r="Z2669" t="n">
        <v>1</v>
      </c>
      <c r="AA2669">
        <f>IF(ISNUMBER('IN-CLASS_Lab Part C'!$J$2669),'IN-CLASS_Lab Part C'!$J$2669,NA())</f>
        <v/>
      </c>
    </row>
    <row r="2670">
      <c r="J2670">
        <f>IF(AND(ISNUMBER('Data'!$F$2671),'Data'!$F$2671&lt;&gt;999,'Data'!$F$2671&lt;&gt;""),'Data'!$F$2671,"")</f>
        <v/>
      </c>
      <c r="Z2670" t="n">
        <v>1</v>
      </c>
      <c r="AA2670">
        <f>IF(ISNUMBER('IN-CLASS_Lab Part C'!$J$2670),'IN-CLASS_Lab Part C'!$J$2670,NA())</f>
        <v/>
      </c>
    </row>
    <row r="2671">
      <c r="J2671">
        <f>IF(AND(ISNUMBER('Data'!$F$2672),'Data'!$F$2672&lt;&gt;999,'Data'!$F$2672&lt;&gt;""),'Data'!$F$2672,"")</f>
        <v/>
      </c>
      <c r="Z2671" t="n">
        <v>1</v>
      </c>
      <c r="AA2671">
        <f>IF(ISNUMBER('IN-CLASS_Lab Part C'!$J$2671),'IN-CLASS_Lab Part C'!$J$2671,NA())</f>
        <v/>
      </c>
    </row>
    <row r="2672">
      <c r="J2672">
        <f>IF(AND(ISNUMBER('Data'!$F$2673),'Data'!$F$2673&lt;&gt;999,'Data'!$F$2673&lt;&gt;""),'Data'!$F$2673,"")</f>
        <v/>
      </c>
      <c r="Z2672" t="n">
        <v>1</v>
      </c>
      <c r="AA2672">
        <f>IF(ISNUMBER('IN-CLASS_Lab Part C'!$J$2672),'IN-CLASS_Lab Part C'!$J$2672,NA())</f>
        <v/>
      </c>
    </row>
    <row r="2673">
      <c r="J2673">
        <f>IF(AND(ISNUMBER('Data'!$F$2674),'Data'!$F$2674&lt;&gt;999,'Data'!$F$2674&lt;&gt;""),'Data'!$F$2674,"")</f>
        <v/>
      </c>
      <c r="Z2673" t="n">
        <v>1</v>
      </c>
      <c r="AA2673">
        <f>IF(ISNUMBER('IN-CLASS_Lab Part C'!$J$2673),'IN-CLASS_Lab Part C'!$J$2673,NA())</f>
        <v/>
      </c>
    </row>
    <row r="2674">
      <c r="J2674">
        <f>IF(AND(ISNUMBER('Data'!$F$2675),'Data'!$F$2675&lt;&gt;999,'Data'!$F$2675&lt;&gt;""),'Data'!$F$2675,"")</f>
        <v/>
      </c>
      <c r="Z2674" t="n">
        <v>1</v>
      </c>
      <c r="AA2674">
        <f>IF(ISNUMBER('IN-CLASS_Lab Part C'!$J$2674),'IN-CLASS_Lab Part C'!$J$2674,NA())</f>
        <v/>
      </c>
    </row>
    <row r="2675">
      <c r="J2675">
        <f>IF(AND(ISNUMBER('Data'!$F$2676),'Data'!$F$2676&lt;&gt;999,'Data'!$F$2676&lt;&gt;""),'Data'!$F$2676,"")</f>
        <v/>
      </c>
      <c r="Z2675" t="n">
        <v>1</v>
      </c>
      <c r="AA2675">
        <f>IF(ISNUMBER('IN-CLASS_Lab Part C'!$J$2675),'IN-CLASS_Lab Part C'!$J$2675,NA())</f>
        <v/>
      </c>
    </row>
    <row r="2676">
      <c r="J2676">
        <f>IF(AND(ISNUMBER('Data'!$F$2677),'Data'!$F$2677&lt;&gt;999,'Data'!$F$2677&lt;&gt;""),'Data'!$F$2677,"")</f>
        <v/>
      </c>
      <c r="Z2676" t="n">
        <v>1</v>
      </c>
      <c r="AA2676">
        <f>IF(ISNUMBER('IN-CLASS_Lab Part C'!$J$2676),'IN-CLASS_Lab Part C'!$J$2676,NA())</f>
        <v/>
      </c>
    </row>
    <row r="2677">
      <c r="J2677">
        <f>IF(AND(ISNUMBER('Data'!$F$2678),'Data'!$F$2678&lt;&gt;999,'Data'!$F$2678&lt;&gt;""),'Data'!$F$2678,"")</f>
        <v/>
      </c>
      <c r="Z2677" t="n">
        <v>1</v>
      </c>
      <c r="AA2677">
        <f>IF(ISNUMBER('IN-CLASS_Lab Part C'!$J$2677),'IN-CLASS_Lab Part C'!$J$2677,NA())</f>
        <v/>
      </c>
    </row>
    <row r="2678">
      <c r="J2678">
        <f>IF(AND(ISNUMBER('Data'!$F$2679),'Data'!$F$2679&lt;&gt;999,'Data'!$F$2679&lt;&gt;""),'Data'!$F$2679,"")</f>
        <v/>
      </c>
      <c r="Z2678" t="n">
        <v>1</v>
      </c>
      <c r="AA2678">
        <f>IF(ISNUMBER('IN-CLASS_Lab Part C'!$J$2678),'IN-CLASS_Lab Part C'!$J$2678,NA())</f>
        <v/>
      </c>
    </row>
    <row r="2679">
      <c r="J2679">
        <f>IF(AND(ISNUMBER('Data'!$F$2680),'Data'!$F$2680&lt;&gt;999,'Data'!$F$2680&lt;&gt;""),'Data'!$F$2680,"")</f>
        <v/>
      </c>
      <c r="Z2679" t="n">
        <v>1</v>
      </c>
      <c r="AA2679">
        <f>IF(ISNUMBER('IN-CLASS_Lab Part C'!$J$2679),'IN-CLASS_Lab Part C'!$J$2679,NA())</f>
        <v/>
      </c>
    </row>
    <row r="2680">
      <c r="J2680">
        <f>IF(AND(ISNUMBER('Data'!$F$2681),'Data'!$F$2681&lt;&gt;999,'Data'!$F$2681&lt;&gt;""),'Data'!$F$2681,"")</f>
        <v/>
      </c>
      <c r="Z2680" t="n">
        <v>1</v>
      </c>
      <c r="AA2680">
        <f>IF(ISNUMBER('IN-CLASS_Lab Part C'!$J$2680),'IN-CLASS_Lab Part C'!$J$2680,NA())</f>
        <v/>
      </c>
    </row>
    <row r="2681">
      <c r="J2681">
        <f>IF(AND(ISNUMBER('Data'!$F$2682),'Data'!$F$2682&lt;&gt;999,'Data'!$F$2682&lt;&gt;""),'Data'!$F$2682,"")</f>
        <v/>
      </c>
      <c r="Z2681" t="n">
        <v>1</v>
      </c>
      <c r="AA2681">
        <f>IF(ISNUMBER('IN-CLASS_Lab Part C'!$J$2681),'IN-CLASS_Lab Part C'!$J$2681,NA())</f>
        <v/>
      </c>
    </row>
    <row r="2682">
      <c r="J2682">
        <f>IF(AND(ISNUMBER('Data'!$F$2683),'Data'!$F$2683&lt;&gt;999,'Data'!$F$2683&lt;&gt;""),'Data'!$F$2683,"")</f>
        <v/>
      </c>
      <c r="Z2682" t="n">
        <v>1</v>
      </c>
      <c r="AA2682">
        <f>IF(ISNUMBER('IN-CLASS_Lab Part C'!$J$2682),'IN-CLASS_Lab Part C'!$J$2682,NA())</f>
        <v/>
      </c>
    </row>
    <row r="2683">
      <c r="J2683">
        <f>IF(AND(ISNUMBER('Data'!$F$2684),'Data'!$F$2684&lt;&gt;999,'Data'!$F$2684&lt;&gt;""),'Data'!$F$2684,"")</f>
        <v/>
      </c>
      <c r="Z2683" t="n">
        <v>1</v>
      </c>
      <c r="AA2683">
        <f>IF(ISNUMBER('IN-CLASS_Lab Part C'!$J$2683),'IN-CLASS_Lab Part C'!$J$2683,NA())</f>
        <v/>
      </c>
    </row>
    <row r="2684">
      <c r="J2684">
        <f>IF(AND(ISNUMBER('Data'!$F$2685),'Data'!$F$2685&lt;&gt;999,'Data'!$F$2685&lt;&gt;""),'Data'!$F$2685,"")</f>
        <v/>
      </c>
      <c r="Z2684" t="n">
        <v>1</v>
      </c>
      <c r="AA2684">
        <f>IF(ISNUMBER('IN-CLASS_Lab Part C'!$J$2684),'IN-CLASS_Lab Part C'!$J$2684,NA())</f>
        <v/>
      </c>
    </row>
    <row r="2685">
      <c r="J2685">
        <f>IF(AND(ISNUMBER('Data'!$F$2686),'Data'!$F$2686&lt;&gt;999,'Data'!$F$2686&lt;&gt;""),'Data'!$F$2686,"")</f>
        <v/>
      </c>
      <c r="Z2685" t="n">
        <v>1</v>
      </c>
      <c r="AA2685">
        <f>IF(ISNUMBER('IN-CLASS_Lab Part C'!$J$2685),'IN-CLASS_Lab Part C'!$J$2685,NA())</f>
        <v/>
      </c>
    </row>
    <row r="2686">
      <c r="J2686">
        <f>IF(AND(ISNUMBER('Data'!$F$2687),'Data'!$F$2687&lt;&gt;999,'Data'!$F$2687&lt;&gt;""),'Data'!$F$2687,"")</f>
        <v/>
      </c>
      <c r="Z2686" t="n">
        <v>1</v>
      </c>
      <c r="AA2686">
        <f>IF(ISNUMBER('IN-CLASS_Lab Part C'!$J$2686),'IN-CLASS_Lab Part C'!$J$2686,NA())</f>
        <v/>
      </c>
    </row>
    <row r="2687">
      <c r="J2687">
        <f>IF(AND(ISNUMBER('Data'!$F$2688),'Data'!$F$2688&lt;&gt;999,'Data'!$F$2688&lt;&gt;""),'Data'!$F$2688,"")</f>
        <v/>
      </c>
      <c r="Z2687" t="n">
        <v>1</v>
      </c>
      <c r="AA2687">
        <f>IF(ISNUMBER('IN-CLASS_Lab Part C'!$J$2687),'IN-CLASS_Lab Part C'!$J$2687,NA())</f>
        <v/>
      </c>
    </row>
    <row r="2688">
      <c r="J2688">
        <f>IF(AND(ISNUMBER('Data'!$F$2689),'Data'!$F$2689&lt;&gt;999,'Data'!$F$2689&lt;&gt;""),'Data'!$F$2689,"")</f>
        <v/>
      </c>
      <c r="Z2688" t="n">
        <v>1</v>
      </c>
      <c r="AA2688">
        <f>IF(ISNUMBER('IN-CLASS_Lab Part C'!$J$2688),'IN-CLASS_Lab Part C'!$J$2688,NA())</f>
        <v/>
      </c>
    </row>
    <row r="2689">
      <c r="J2689">
        <f>IF(AND(ISNUMBER('Data'!$F$2690),'Data'!$F$2690&lt;&gt;999,'Data'!$F$2690&lt;&gt;""),'Data'!$F$2690,"")</f>
        <v/>
      </c>
      <c r="Z2689" t="n">
        <v>1</v>
      </c>
      <c r="AA2689">
        <f>IF(ISNUMBER('IN-CLASS_Lab Part C'!$J$2689),'IN-CLASS_Lab Part C'!$J$2689,NA())</f>
        <v/>
      </c>
    </row>
    <row r="2690">
      <c r="J2690">
        <f>IF(AND(ISNUMBER('Data'!$F$2691),'Data'!$F$2691&lt;&gt;999,'Data'!$F$2691&lt;&gt;""),'Data'!$F$2691,"")</f>
        <v/>
      </c>
      <c r="Z2690" t="n">
        <v>1</v>
      </c>
      <c r="AA2690">
        <f>IF(ISNUMBER('IN-CLASS_Lab Part C'!$J$2690),'IN-CLASS_Lab Part C'!$J$2690,NA())</f>
        <v/>
      </c>
    </row>
    <row r="2691">
      <c r="J2691">
        <f>IF(AND(ISNUMBER('Data'!$F$2692),'Data'!$F$2692&lt;&gt;999,'Data'!$F$2692&lt;&gt;""),'Data'!$F$2692,"")</f>
        <v/>
      </c>
      <c r="Z2691" t="n">
        <v>1</v>
      </c>
      <c r="AA2691">
        <f>IF(ISNUMBER('IN-CLASS_Lab Part C'!$J$2691),'IN-CLASS_Lab Part C'!$J$2691,NA())</f>
        <v/>
      </c>
    </row>
    <row r="2692">
      <c r="J2692">
        <f>IF(AND(ISNUMBER('Data'!$F$2693),'Data'!$F$2693&lt;&gt;999,'Data'!$F$2693&lt;&gt;""),'Data'!$F$2693,"")</f>
        <v/>
      </c>
      <c r="Z2692" t="n">
        <v>1</v>
      </c>
      <c r="AA2692">
        <f>IF(ISNUMBER('IN-CLASS_Lab Part C'!$J$2692),'IN-CLASS_Lab Part C'!$J$2692,NA())</f>
        <v/>
      </c>
    </row>
    <row r="2693">
      <c r="J2693">
        <f>IF(AND(ISNUMBER('Data'!$F$2694),'Data'!$F$2694&lt;&gt;999,'Data'!$F$2694&lt;&gt;""),'Data'!$F$2694,"")</f>
        <v/>
      </c>
      <c r="Z2693" t="n">
        <v>1</v>
      </c>
      <c r="AA2693">
        <f>IF(ISNUMBER('IN-CLASS_Lab Part C'!$J$2693),'IN-CLASS_Lab Part C'!$J$2693,NA())</f>
        <v/>
      </c>
    </row>
    <row r="2694">
      <c r="J2694">
        <f>IF(AND(ISNUMBER('Data'!$F$2695),'Data'!$F$2695&lt;&gt;999,'Data'!$F$2695&lt;&gt;""),'Data'!$F$2695,"")</f>
        <v/>
      </c>
      <c r="Z2694" t="n">
        <v>1</v>
      </c>
      <c r="AA2694">
        <f>IF(ISNUMBER('IN-CLASS_Lab Part C'!$J$2694),'IN-CLASS_Lab Part C'!$J$2694,NA())</f>
        <v/>
      </c>
    </row>
    <row r="2695">
      <c r="J2695">
        <f>IF(AND(ISNUMBER('Data'!$F$2696),'Data'!$F$2696&lt;&gt;999,'Data'!$F$2696&lt;&gt;""),'Data'!$F$2696,"")</f>
        <v/>
      </c>
      <c r="Z2695" t="n">
        <v>1</v>
      </c>
      <c r="AA2695">
        <f>IF(ISNUMBER('IN-CLASS_Lab Part C'!$J$2695),'IN-CLASS_Lab Part C'!$J$2695,NA())</f>
        <v/>
      </c>
    </row>
    <row r="2696">
      <c r="J2696">
        <f>IF(AND(ISNUMBER('Data'!$F$2697),'Data'!$F$2697&lt;&gt;999,'Data'!$F$2697&lt;&gt;""),'Data'!$F$2697,"")</f>
        <v/>
      </c>
      <c r="Z2696" t="n">
        <v>1</v>
      </c>
      <c r="AA2696">
        <f>IF(ISNUMBER('IN-CLASS_Lab Part C'!$J$2696),'IN-CLASS_Lab Part C'!$J$2696,NA())</f>
        <v/>
      </c>
    </row>
    <row r="2697">
      <c r="J2697">
        <f>IF(AND(ISNUMBER('Data'!$F$2698),'Data'!$F$2698&lt;&gt;999,'Data'!$F$2698&lt;&gt;""),'Data'!$F$2698,"")</f>
        <v/>
      </c>
      <c r="Z2697" t="n">
        <v>1</v>
      </c>
      <c r="AA2697">
        <f>IF(ISNUMBER('IN-CLASS_Lab Part C'!$J$2697),'IN-CLASS_Lab Part C'!$J$2697,NA())</f>
        <v/>
      </c>
    </row>
    <row r="2698">
      <c r="J2698">
        <f>IF(AND(ISNUMBER('Data'!$F$2699),'Data'!$F$2699&lt;&gt;999,'Data'!$F$2699&lt;&gt;""),'Data'!$F$2699,"")</f>
        <v/>
      </c>
      <c r="Z2698" t="n">
        <v>1</v>
      </c>
      <c r="AA2698">
        <f>IF(ISNUMBER('IN-CLASS_Lab Part C'!$J$2698),'IN-CLASS_Lab Part C'!$J$2698,NA())</f>
        <v/>
      </c>
    </row>
    <row r="2699">
      <c r="J2699">
        <f>IF(AND(ISNUMBER('Data'!$F$2700),'Data'!$F$2700&lt;&gt;999,'Data'!$F$2700&lt;&gt;""),'Data'!$F$2700,"")</f>
        <v/>
      </c>
      <c r="Z2699" t="n">
        <v>1</v>
      </c>
      <c r="AA2699">
        <f>IF(ISNUMBER('IN-CLASS_Lab Part C'!$J$2699),'IN-CLASS_Lab Part C'!$J$2699,NA())</f>
        <v/>
      </c>
    </row>
    <row r="2700">
      <c r="J2700">
        <f>IF(AND(ISNUMBER('Data'!$F$2701),'Data'!$F$2701&lt;&gt;999,'Data'!$F$2701&lt;&gt;""),'Data'!$F$2701,"")</f>
        <v/>
      </c>
      <c r="Z2700" t="n">
        <v>1</v>
      </c>
      <c r="AA2700">
        <f>IF(ISNUMBER('IN-CLASS_Lab Part C'!$J$2700),'IN-CLASS_Lab Part C'!$J$2700,NA())</f>
        <v/>
      </c>
    </row>
    <row r="2701">
      <c r="J2701">
        <f>IF(AND(ISNUMBER('Data'!$F$2702),'Data'!$F$2702&lt;&gt;999,'Data'!$F$2702&lt;&gt;""),'Data'!$F$2702,"")</f>
        <v/>
      </c>
      <c r="Z2701" t="n">
        <v>1</v>
      </c>
      <c r="AA2701">
        <f>IF(ISNUMBER('IN-CLASS_Lab Part C'!$J$2701),'IN-CLASS_Lab Part C'!$J$2701,NA())</f>
        <v/>
      </c>
    </row>
    <row r="2702">
      <c r="J2702">
        <f>IF(AND(ISNUMBER('Data'!$F$2703),'Data'!$F$2703&lt;&gt;999,'Data'!$F$2703&lt;&gt;""),'Data'!$F$2703,"")</f>
        <v/>
      </c>
      <c r="Z2702" t="n">
        <v>1</v>
      </c>
      <c r="AA2702">
        <f>IF(ISNUMBER('IN-CLASS_Lab Part C'!$J$2702),'IN-CLASS_Lab Part C'!$J$2702,NA())</f>
        <v/>
      </c>
    </row>
    <row r="2703">
      <c r="J2703">
        <f>IF(AND(ISNUMBER('Data'!$F$2704),'Data'!$F$2704&lt;&gt;999,'Data'!$F$2704&lt;&gt;""),'Data'!$F$2704,"")</f>
        <v/>
      </c>
      <c r="Z2703" t="n">
        <v>1</v>
      </c>
      <c r="AA2703">
        <f>IF(ISNUMBER('IN-CLASS_Lab Part C'!$J$2703),'IN-CLASS_Lab Part C'!$J$2703,NA())</f>
        <v/>
      </c>
    </row>
    <row r="2704">
      <c r="J2704">
        <f>IF(AND(ISNUMBER('Data'!$F$2705),'Data'!$F$2705&lt;&gt;999,'Data'!$F$2705&lt;&gt;""),'Data'!$F$2705,"")</f>
        <v/>
      </c>
      <c r="Z2704" t="n">
        <v>1</v>
      </c>
      <c r="AA2704">
        <f>IF(ISNUMBER('IN-CLASS_Lab Part C'!$J$2704),'IN-CLASS_Lab Part C'!$J$2704,NA())</f>
        <v/>
      </c>
    </row>
    <row r="2705">
      <c r="J2705">
        <f>IF(AND(ISNUMBER('Data'!$F$2706),'Data'!$F$2706&lt;&gt;999,'Data'!$F$2706&lt;&gt;""),'Data'!$F$2706,"")</f>
        <v/>
      </c>
      <c r="Z2705" t="n">
        <v>1</v>
      </c>
      <c r="AA2705">
        <f>IF(ISNUMBER('IN-CLASS_Lab Part C'!$J$2705),'IN-CLASS_Lab Part C'!$J$2705,NA())</f>
        <v/>
      </c>
    </row>
    <row r="2706">
      <c r="J2706">
        <f>IF(AND(ISNUMBER('Data'!$F$2707),'Data'!$F$2707&lt;&gt;999,'Data'!$F$2707&lt;&gt;""),'Data'!$F$2707,"")</f>
        <v/>
      </c>
      <c r="Z2706" t="n">
        <v>1</v>
      </c>
      <c r="AA2706">
        <f>IF(ISNUMBER('IN-CLASS_Lab Part C'!$J$2706),'IN-CLASS_Lab Part C'!$J$2706,NA())</f>
        <v/>
      </c>
    </row>
    <row r="2707">
      <c r="J2707">
        <f>IF(AND(ISNUMBER('Data'!$F$2708),'Data'!$F$2708&lt;&gt;999,'Data'!$F$2708&lt;&gt;""),'Data'!$F$2708,"")</f>
        <v/>
      </c>
      <c r="Z2707" t="n">
        <v>1</v>
      </c>
      <c r="AA2707">
        <f>IF(ISNUMBER('IN-CLASS_Lab Part C'!$J$2707),'IN-CLASS_Lab Part C'!$J$2707,NA())</f>
        <v/>
      </c>
    </row>
    <row r="2708">
      <c r="J2708">
        <f>IF(AND(ISNUMBER('Data'!$F$2709),'Data'!$F$2709&lt;&gt;999,'Data'!$F$2709&lt;&gt;""),'Data'!$F$2709,"")</f>
        <v/>
      </c>
      <c r="Z2708" t="n">
        <v>1</v>
      </c>
      <c r="AA2708">
        <f>IF(ISNUMBER('IN-CLASS_Lab Part C'!$J$2708),'IN-CLASS_Lab Part C'!$J$2708,NA())</f>
        <v/>
      </c>
    </row>
    <row r="2709">
      <c r="J2709">
        <f>IF(AND(ISNUMBER('Data'!$F$2710),'Data'!$F$2710&lt;&gt;999,'Data'!$F$2710&lt;&gt;""),'Data'!$F$2710,"")</f>
        <v/>
      </c>
      <c r="Z2709" t="n">
        <v>1</v>
      </c>
      <c r="AA2709">
        <f>IF(ISNUMBER('IN-CLASS_Lab Part C'!$J$2709),'IN-CLASS_Lab Part C'!$J$2709,NA())</f>
        <v/>
      </c>
    </row>
    <row r="2710">
      <c r="J2710">
        <f>IF(AND(ISNUMBER('Data'!$F$2711),'Data'!$F$2711&lt;&gt;999,'Data'!$F$2711&lt;&gt;""),'Data'!$F$2711,"")</f>
        <v/>
      </c>
      <c r="Z2710" t="n">
        <v>1</v>
      </c>
      <c r="AA2710">
        <f>IF(ISNUMBER('IN-CLASS_Lab Part C'!$J$2710),'IN-CLASS_Lab Part C'!$J$2710,NA())</f>
        <v/>
      </c>
    </row>
    <row r="2711">
      <c r="J2711">
        <f>IF(AND(ISNUMBER('Data'!$F$2712),'Data'!$F$2712&lt;&gt;999,'Data'!$F$2712&lt;&gt;""),'Data'!$F$2712,"")</f>
        <v/>
      </c>
      <c r="Z2711" t="n">
        <v>1</v>
      </c>
      <c r="AA2711">
        <f>IF(ISNUMBER('IN-CLASS_Lab Part C'!$J$2711),'IN-CLASS_Lab Part C'!$J$2711,NA())</f>
        <v/>
      </c>
    </row>
    <row r="2712">
      <c r="J2712">
        <f>IF(AND(ISNUMBER('Data'!$F$2713),'Data'!$F$2713&lt;&gt;999,'Data'!$F$2713&lt;&gt;""),'Data'!$F$2713,"")</f>
        <v/>
      </c>
      <c r="Z2712" t="n">
        <v>1</v>
      </c>
      <c r="AA2712">
        <f>IF(ISNUMBER('IN-CLASS_Lab Part C'!$J$2712),'IN-CLASS_Lab Part C'!$J$2712,NA())</f>
        <v/>
      </c>
    </row>
    <row r="2713">
      <c r="J2713">
        <f>IF(AND(ISNUMBER('Data'!$F$2714),'Data'!$F$2714&lt;&gt;999,'Data'!$F$2714&lt;&gt;""),'Data'!$F$2714,"")</f>
        <v/>
      </c>
      <c r="Z2713" t="n">
        <v>1</v>
      </c>
      <c r="AA2713">
        <f>IF(ISNUMBER('IN-CLASS_Lab Part C'!$J$2713),'IN-CLASS_Lab Part C'!$J$2713,NA())</f>
        <v/>
      </c>
    </row>
    <row r="2714">
      <c r="J2714">
        <f>IF(AND(ISNUMBER('Data'!$F$2715),'Data'!$F$2715&lt;&gt;999,'Data'!$F$2715&lt;&gt;""),'Data'!$F$2715,"")</f>
        <v/>
      </c>
      <c r="Z2714" t="n">
        <v>1</v>
      </c>
      <c r="AA2714">
        <f>IF(ISNUMBER('IN-CLASS_Lab Part C'!$J$2714),'IN-CLASS_Lab Part C'!$J$2714,NA())</f>
        <v/>
      </c>
    </row>
    <row r="2715">
      <c r="J2715">
        <f>IF(AND(ISNUMBER('Data'!$F$2716),'Data'!$F$2716&lt;&gt;999,'Data'!$F$2716&lt;&gt;""),'Data'!$F$2716,"")</f>
        <v/>
      </c>
      <c r="Z2715" t="n">
        <v>1</v>
      </c>
      <c r="AA2715">
        <f>IF(ISNUMBER('IN-CLASS_Lab Part C'!$J$2715),'IN-CLASS_Lab Part C'!$J$2715,NA())</f>
        <v/>
      </c>
    </row>
    <row r="2716">
      <c r="J2716">
        <f>IF(AND(ISNUMBER('Data'!$F$2717),'Data'!$F$2717&lt;&gt;999,'Data'!$F$2717&lt;&gt;""),'Data'!$F$2717,"")</f>
        <v/>
      </c>
      <c r="Z2716" t="n">
        <v>1</v>
      </c>
      <c r="AA2716">
        <f>IF(ISNUMBER('IN-CLASS_Lab Part C'!$J$2716),'IN-CLASS_Lab Part C'!$J$2716,NA())</f>
        <v/>
      </c>
    </row>
    <row r="2717">
      <c r="J2717">
        <f>IF(AND(ISNUMBER('Data'!$F$2718),'Data'!$F$2718&lt;&gt;999,'Data'!$F$2718&lt;&gt;""),'Data'!$F$2718,"")</f>
        <v/>
      </c>
      <c r="Z2717" t="n">
        <v>1</v>
      </c>
      <c r="AA2717">
        <f>IF(ISNUMBER('IN-CLASS_Lab Part C'!$J$2717),'IN-CLASS_Lab Part C'!$J$2717,NA())</f>
        <v/>
      </c>
    </row>
    <row r="2718">
      <c r="J2718">
        <f>IF(AND(ISNUMBER('Data'!$F$2719),'Data'!$F$2719&lt;&gt;999,'Data'!$F$2719&lt;&gt;""),'Data'!$F$2719,"")</f>
        <v/>
      </c>
      <c r="Z2718" t="n">
        <v>1</v>
      </c>
      <c r="AA2718">
        <f>IF(ISNUMBER('IN-CLASS_Lab Part C'!$J$2718),'IN-CLASS_Lab Part C'!$J$2718,NA())</f>
        <v/>
      </c>
    </row>
    <row r="2719">
      <c r="J2719">
        <f>IF(AND(ISNUMBER('Data'!$F$2720),'Data'!$F$2720&lt;&gt;999,'Data'!$F$2720&lt;&gt;""),'Data'!$F$2720,"")</f>
        <v/>
      </c>
      <c r="Z2719" t="n">
        <v>1</v>
      </c>
      <c r="AA2719">
        <f>IF(ISNUMBER('IN-CLASS_Lab Part C'!$J$2719),'IN-CLASS_Lab Part C'!$J$2719,NA())</f>
        <v/>
      </c>
    </row>
    <row r="2720">
      <c r="J2720">
        <f>IF(AND(ISNUMBER('Data'!$F$2721),'Data'!$F$2721&lt;&gt;999,'Data'!$F$2721&lt;&gt;""),'Data'!$F$2721,"")</f>
        <v/>
      </c>
      <c r="Z2720" t="n">
        <v>1</v>
      </c>
      <c r="AA2720">
        <f>IF(ISNUMBER('IN-CLASS_Lab Part C'!$J$2720),'IN-CLASS_Lab Part C'!$J$2720,NA())</f>
        <v/>
      </c>
    </row>
    <row r="2721">
      <c r="J2721">
        <f>IF(AND(ISNUMBER('Data'!$F$2722),'Data'!$F$2722&lt;&gt;999,'Data'!$F$2722&lt;&gt;""),'Data'!$F$2722,"")</f>
        <v/>
      </c>
      <c r="Z2721" t="n">
        <v>1</v>
      </c>
      <c r="AA2721">
        <f>IF(ISNUMBER('IN-CLASS_Lab Part C'!$J$2721),'IN-CLASS_Lab Part C'!$J$2721,NA())</f>
        <v/>
      </c>
    </row>
    <row r="2722">
      <c r="J2722">
        <f>IF(AND(ISNUMBER('Data'!$F$2723),'Data'!$F$2723&lt;&gt;999,'Data'!$F$2723&lt;&gt;""),'Data'!$F$2723,"")</f>
        <v/>
      </c>
      <c r="Z2722" t="n">
        <v>1</v>
      </c>
      <c r="AA2722">
        <f>IF(ISNUMBER('IN-CLASS_Lab Part C'!$J$2722),'IN-CLASS_Lab Part C'!$J$2722,NA())</f>
        <v/>
      </c>
    </row>
    <row r="2723">
      <c r="J2723">
        <f>IF(AND(ISNUMBER('Data'!$F$2724),'Data'!$F$2724&lt;&gt;999,'Data'!$F$2724&lt;&gt;""),'Data'!$F$2724,"")</f>
        <v/>
      </c>
      <c r="Z2723" t="n">
        <v>1</v>
      </c>
      <c r="AA2723">
        <f>IF(ISNUMBER('IN-CLASS_Lab Part C'!$J$2723),'IN-CLASS_Lab Part C'!$J$2723,NA())</f>
        <v/>
      </c>
    </row>
    <row r="2724">
      <c r="J2724">
        <f>IF(AND(ISNUMBER('Data'!$F$2725),'Data'!$F$2725&lt;&gt;999,'Data'!$F$2725&lt;&gt;""),'Data'!$F$2725,"")</f>
        <v/>
      </c>
      <c r="Z2724" t="n">
        <v>1</v>
      </c>
      <c r="AA2724">
        <f>IF(ISNUMBER('IN-CLASS_Lab Part C'!$J$2724),'IN-CLASS_Lab Part C'!$J$2724,NA())</f>
        <v/>
      </c>
    </row>
    <row r="2725">
      <c r="J2725">
        <f>IF(AND(ISNUMBER('Data'!$F$2726),'Data'!$F$2726&lt;&gt;999,'Data'!$F$2726&lt;&gt;""),'Data'!$F$2726,"")</f>
        <v/>
      </c>
      <c r="Z2725" t="n">
        <v>1</v>
      </c>
      <c r="AA2725">
        <f>IF(ISNUMBER('IN-CLASS_Lab Part C'!$J$2725),'IN-CLASS_Lab Part C'!$J$2725,NA())</f>
        <v/>
      </c>
    </row>
    <row r="2726">
      <c r="J2726">
        <f>IF(AND(ISNUMBER('Data'!$F$2727),'Data'!$F$2727&lt;&gt;999,'Data'!$F$2727&lt;&gt;""),'Data'!$F$2727,"")</f>
        <v/>
      </c>
      <c r="Z2726" t="n">
        <v>1</v>
      </c>
      <c r="AA2726">
        <f>IF(ISNUMBER('IN-CLASS_Lab Part C'!$J$2726),'IN-CLASS_Lab Part C'!$J$2726,NA())</f>
        <v/>
      </c>
    </row>
    <row r="2727">
      <c r="J2727">
        <f>IF(AND(ISNUMBER('Data'!$F$2728),'Data'!$F$2728&lt;&gt;999,'Data'!$F$2728&lt;&gt;""),'Data'!$F$2728,"")</f>
        <v/>
      </c>
      <c r="Z2727" t="n">
        <v>1</v>
      </c>
      <c r="AA2727">
        <f>IF(ISNUMBER('IN-CLASS_Lab Part C'!$J$2727),'IN-CLASS_Lab Part C'!$J$2727,NA())</f>
        <v/>
      </c>
    </row>
    <row r="2728">
      <c r="J2728">
        <f>IF(AND(ISNUMBER('Data'!$F$2729),'Data'!$F$2729&lt;&gt;999,'Data'!$F$2729&lt;&gt;""),'Data'!$F$2729,"")</f>
        <v/>
      </c>
      <c r="Z2728" t="n">
        <v>1</v>
      </c>
      <c r="AA2728">
        <f>IF(ISNUMBER('IN-CLASS_Lab Part C'!$J$2728),'IN-CLASS_Lab Part C'!$J$2728,NA())</f>
        <v/>
      </c>
    </row>
    <row r="2729">
      <c r="J2729">
        <f>IF(AND(ISNUMBER('Data'!$F$2730),'Data'!$F$2730&lt;&gt;999,'Data'!$F$2730&lt;&gt;""),'Data'!$F$2730,"")</f>
        <v/>
      </c>
      <c r="Z2729" t="n">
        <v>1</v>
      </c>
      <c r="AA2729">
        <f>IF(ISNUMBER('IN-CLASS_Lab Part C'!$J$2729),'IN-CLASS_Lab Part C'!$J$2729,NA())</f>
        <v/>
      </c>
    </row>
    <row r="2730">
      <c r="J2730">
        <f>IF(AND(ISNUMBER('Data'!$F$2731),'Data'!$F$2731&lt;&gt;999,'Data'!$F$2731&lt;&gt;""),'Data'!$F$2731,"")</f>
        <v/>
      </c>
      <c r="Z2730" t="n">
        <v>1</v>
      </c>
      <c r="AA2730">
        <f>IF(ISNUMBER('IN-CLASS_Lab Part C'!$J$2730),'IN-CLASS_Lab Part C'!$J$2730,NA())</f>
        <v/>
      </c>
    </row>
    <row r="2731">
      <c r="J2731">
        <f>IF(AND(ISNUMBER('Data'!$F$2732),'Data'!$F$2732&lt;&gt;999,'Data'!$F$2732&lt;&gt;""),'Data'!$F$2732,"")</f>
        <v/>
      </c>
      <c r="Z2731" t="n">
        <v>1</v>
      </c>
      <c r="AA2731">
        <f>IF(ISNUMBER('IN-CLASS_Lab Part C'!$J$2731),'IN-CLASS_Lab Part C'!$J$2731,NA())</f>
        <v/>
      </c>
    </row>
    <row r="2732">
      <c r="J2732">
        <f>IF(AND(ISNUMBER('Data'!$F$2733),'Data'!$F$2733&lt;&gt;999,'Data'!$F$2733&lt;&gt;""),'Data'!$F$2733,"")</f>
        <v/>
      </c>
      <c r="Z2732" t="n">
        <v>1</v>
      </c>
      <c r="AA2732">
        <f>IF(ISNUMBER('IN-CLASS_Lab Part C'!$J$2732),'IN-CLASS_Lab Part C'!$J$2732,NA())</f>
        <v/>
      </c>
    </row>
    <row r="2733">
      <c r="J2733">
        <f>IF(AND(ISNUMBER('Data'!$F$2734),'Data'!$F$2734&lt;&gt;999,'Data'!$F$2734&lt;&gt;""),'Data'!$F$2734,"")</f>
        <v/>
      </c>
      <c r="Z2733" t="n">
        <v>1</v>
      </c>
      <c r="AA2733">
        <f>IF(ISNUMBER('IN-CLASS_Lab Part C'!$J$2733),'IN-CLASS_Lab Part C'!$J$2733,NA())</f>
        <v/>
      </c>
    </row>
    <row r="2734">
      <c r="J2734">
        <f>IF(AND(ISNUMBER('Data'!$F$2735),'Data'!$F$2735&lt;&gt;999,'Data'!$F$2735&lt;&gt;""),'Data'!$F$2735,"")</f>
        <v/>
      </c>
      <c r="Z2734" t="n">
        <v>1</v>
      </c>
      <c r="AA2734">
        <f>IF(ISNUMBER('IN-CLASS_Lab Part C'!$J$2734),'IN-CLASS_Lab Part C'!$J$2734,NA())</f>
        <v/>
      </c>
    </row>
    <row r="2735">
      <c r="J2735">
        <f>IF(AND(ISNUMBER('Data'!$F$2736),'Data'!$F$2736&lt;&gt;999,'Data'!$F$2736&lt;&gt;""),'Data'!$F$2736,"")</f>
        <v/>
      </c>
      <c r="Z2735" t="n">
        <v>1</v>
      </c>
      <c r="AA2735">
        <f>IF(ISNUMBER('IN-CLASS_Lab Part C'!$J$2735),'IN-CLASS_Lab Part C'!$J$2735,NA())</f>
        <v/>
      </c>
    </row>
    <row r="2736">
      <c r="J2736">
        <f>IF(AND(ISNUMBER('Data'!$F$2737),'Data'!$F$2737&lt;&gt;999,'Data'!$F$2737&lt;&gt;""),'Data'!$F$2737,"")</f>
        <v/>
      </c>
      <c r="Z2736" t="n">
        <v>1</v>
      </c>
      <c r="AA2736">
        <f>IF(ISNUMBER('IN-CLASS_Lab Part C'!$J$2736),'IN-CLASS_Lab Part C'!$J$2736,NA())</f>
        <v/>
      </c>
    </row>
    <row r="2737">
      <c r="J2737">
        <f>IF(AND(ISNUMBER('Data'!$F$2738),'Data'!$F$2738&lt;&gt;999,'Data'!$F$2738&lt;&gt;""),'Data'!$F$2738,"")</f>
        <v/>
      </c>
      <c r="Z2737" t="n">
        <v>1</v>
      </c>
      <c r="AA2737">
        <f>IF(ISNUMBER('IN-CLASS_Lab Part C'!$J$2737),'IN-CLASS_Lab Part C'!$J$2737,NA())</f>
        <v/>
      </c>
    </row>
    <row r="2738">
      <c r="J2738">
        <f>IF(AND(ISNUMBER('Data'!$F$2739),'Data'!$F$2739&lt;&gt;999,'Data'!$F$2739&lt;&gt;""),'Data'!$F$2739,"")</f>
        <v/>
      </c>
      <c r="Z2738" t="n">
        <v>1</v>
      </c>
      <c r="AA2738">
        <f>IF(ISNUMBER('IN-CLASS_Lab Part C'!$J$2738),'IN-CLASS_Lab Part C'!$J$2738,NA())</f>
        <v/>
      </c>
    </row>
    <row r="2739">
      <c r="J2739">
        <f>IF(AND(ISNUMBER('Data'!$F$2740),'Data'!$F$2740&lt;&gt;999,'Data'!$F$2740&lt;&gt;""),'Data'!$F$2740,"")</f>
        <v/>
      </c>
      <c r="Z2739" t="n">
        <v>1</v>
      </c>
      <c r="AA2739">
        <f>IF(ISNUMBER('IN-CLASS_Lab Part C'!$J$2739),'IN-CLASS_Lab Part C'!$J$2739,NA())</f>
        <v/>
      </c>
    </row>
    <row r="2740">
      <c r="J2740">
        <f>IF(AND(ISNUMBER('Data'!$F$2741),'Data'!$F$2741&lt;&gt;999,'Data'!$F$2741&lt;&gt;""),'Data'!$F$2741,"")</f>
        <v/>
      </c>
      <c r="Z2740" t="n">
        <v>1</v>
      </c>
      <c r="AA2740">
        <f>IF(ISNUMBER('IN-CLASS_Lab Part C'!$J$2740),'IN-CLASS_Lab Part C'!$J$2740,NA())</f>
        <v/>
      </c>
    </row>
    <row r="2741">
      <c r="J2741">
        <f>IF(AND(ISNUMBER('Data'!$F$2742),'Data'!$F$2742&lt;&gt;999,'Data'!$F$2742&lt;&gt;""),'Data'!$F$2742,"")</f>
        <v/>
      </c>
      <c r="Z2741" t="n">
        <v>1</v>
      </c>
      <c r="AA2741">
        <f>IF(ISNUMBER('IN-CLASS_Lab Part C'!$J$2741),'IN-CLASS_Lab Part C'!$J$2741,NA())</f>
        <v/>
      </c>
    </row>
    <row r="2742">
      <c r="J2742">
        <f>IF(AND(ISNUMBER('Data'!$F$2743),'Data'!$F$2743&lt;&gt;999,'Data'!$F$2743&lt;&gt;""),'Data'!$F$2743,"")</f>
        <v/>
      </c>
      <c r="Z2742" t="n">
        <v>1</v>
      </c>
      <c r="AA2742">
        <f>IF(ISNUMBER('IN-CLASS_Lab Part C'!$J$2742),'IN-CLASS_Lab Part C'!$J$2742,NA())</f>
        <v/>
      </c>
    </row>
    <row r="2743">
      <c r="J2743">
        <f>IF(AND(ISNUMBER('Data'!$F$2744),'Data'!$F$2744&lt;&gt;999,'Data'!$F$2744&lt;&gt;""),'Data'!$F$2744,"")</f>
        <v/>
      </c>
      <c r="Z2743" t="n">
        <v>1</v>
      </c>
      <c r="AA2743">
        <f>IF(ISNUMBER('IN-CLASS_Lab Part C'!$J$2743),'IN-CLASS_Lab Part C'!$J$2743,NA())</f>
        <v/>
      </c>
    </row>
    <row r="2744">
      <c r="J2744">
        <f>IF(AND(ISNUMBER('Data'!$F$2745),'Data'!$F$2745&lt;&gt;999,'Data'!$F$2745&lt;&gt;""),'Data'!$F$2745,"")</f>
        <v/>
      </c>
      <c r="Z2744" t="n">
        <v>1</v>
      </c>
      <c r="AA2744">
        <f>IF(ISNUMBER('IN-CLASS_Lab Part C'!$J$2744),'IN-CLASS_Lab Part C'!$J$2744,NA())</f>
        <v/>
      </c>
    </row>
    <row r="2745">
      <c r="J2745">
        <f>IF(AND(ISNUMBER('Data'!$F$2746),'Data'!$F$2746&lt;&gt;999,'Data'!$F$2746&lt;&gt;""),'Data'!$F$2746,"")</f>
        <v/>
      </c>
      <c r="Z2745" t="n">
        <v>1</v>
      </c>
      <c r="AA2745">
        <f>IF(ISNUMBER('IN-CLASS_Lab Part C'!$J$2745),'IN-CLASS_Lab Part C'!$J$2745,NA())</f>
        <v/>
      </c>
    </row>
    <row r="2746">
      <c r="J2746">
        <f>IF(AND(ISNUMBER('Data'!$F$2747),'Data'!$F$2747&lt;&gt;999,'Data'!$F$2747&lt;&gt;""),'Data'!$F$2747,"")</f>
        <v/>
      </c>
      <c r="Z2746" t="n">
        <v>1</v>
      </c>
      <c r="AA2746">
        <f>IF(ISNUMBER('IN-CLASS_Lab Part C'!$J$2746),'IN-CLASS_Lab Part C'!$J$2746,NA())</f>
        <v/>
      </c>
    </row>
    <row r="2747">
      <c r="J2747">
        <f>IF(AND(ISNUMBER('Data'!$F$2748),'Data'!$F$2748&lt;&gt;999,'Data'!$F$2748&lt;&gt;""),'Data'!$F$2748,"")</f>
        <v/>
      </c>
      <c r="Z2747" t="n">
        <v>1</v>
      </c>
      <c r="AA2747">
        <f>IF(ISNUMBER('IN-CLASS_Lab Part C'!$J$2747),'IN-CLASS_Lab Part C'!$J$2747,NA())</f>
        <v/>
      </c>
    </row>
    <row r="2748">
      <c r="J2748">
        <f>IF(AND(ISNUMBER('Data'!$F$2749),'Data'!$F$2749&lt;&gt;999,'Data'!$F$2749&lt;&gt;""),'Data'!$F$2749,"")</f>
        <v/>
      </c>
      <c r="Z2748" t="n">
        <v>1</v>
      </c>
      <c r="AA2748">
        <f>IF(ISNUMBER('IN-CLASS_Lab Part C'!$J$2748),'IN-CLASS_Lab Part C'!$J$2748,NA())</f>
        <v/>
      </c>
    </row>
    <row r="2749">
      <c r="J2749">
        <f>IF(AND(ISNUMBER('Data'!$F$2750),'Data'!$F$2750&lt;&gt;999,'Data'!$F$2750&lt;&gt;""),'Data'!$F$2750,"")</f>
        <v/>
      </c>
      <c r="Z2749" t="n">
        <v>1</v>
      </c>
      <c r="AA2749">
        <f>IF(ISNUMBER('IN-CLASS_Lab Part C'!$J$2749),'IN-CLASS_Lab Part C'!$J$2749,NA())</f>
        <v/>
      </c>
    </row>
    <row r="2750">
      <c r="J2750">
        <f>IF(AND(ISNUMBER('Data'!$F$2751),'Data'!$F$2751&lt;&gt;999,'Data'!$F$2751&lt;&gt;""),'Data'!$F$2751,"")</f>
        <v/>
      </c>
      <c r="Z2750" t="n">
        <v>1</v>
      </c>
      <c r="AA2750">
        <f>IF(ISNUMBER('IN-CLASS_Lab Part C'!$J$2750),'IN-CLASS_Lab Part C'!$J$2750,NA())</f>
        <v/>
      </c>
    </row>
    <row r="2751">
      <c r="J2751">
        <f>IF(AND(ISNUMBER('Data'!$F$2752),'Data'!$F$2752&lt;&gt;999,'Data'!$F$2752&lt;&gt;""),'Data'!$F$2752,"")</f>
        <v/>
      </c>
      <c r="Z2751" t="n">
        <v>1</v>
      </c>
      <c r="AA2751">
        <f>IF(ISNUMBER('IN-CLASS_Lab Part C'!$J$2751),'IN-CLASS_Lab Part C'!$J$2751,NA())</f>
        <v/>
      </c>
    </row>
    <row r="2752">
      <c r="J2752">
        <f>IF(AND(ISNUMBER('Data'!$F$2753),'Data'!$F$2753&lt;&gt;999,'Data'!$F$2753&lt;&gt;""),'Data'!$F$2753,"")</f>
        <v/>
      </c>
      <c r="Z2752" t="n">
        <v>1</v>
      </c>
      <c r="AA2752">
        <f>IF(ISNUMBER('IN-CLASS_Lab Part C'!$J$2752),'IN-CLASS_Lab Part C'!$J$2752,NA())</f>
        <v/>
      </c>
    </row>
    <row r="2753">
      <c r="J2753">
        <f>IF(AND(ISNUMBER('Data'!$F$2754),'Data'!$F$2754&lt;&gt;999,'Data'!$F$2754&lt;&gt;""),'Data'!$F$2754,"")</f>
        <v/>
      </c>
      <c r="Z2753" t="n">
        <v>1</v>
      </c>
      <c r="AA2753">
        <f>IF(ISNUMBER('IN-CLASS_Lab Part C'!$J$2753),'IN-CLASS_Lab Part C'!$J$2753,NA())</f>
        <v/>
      </c>
    </row>
    <row r="2754">
      <c r="J2754">
        <f>IF(AND(ISNUMBER('Data'!$F$2755),'Data'!$F$2755&lt;&gt;999,'Data'!$F$2755&lt;&gt;""),'Data'!$F$2755,"")</f>
        <v/>
      </c>
      <c r="Z2754" t="n">
        <v>1</v>
      </c>
      <c r="AA2754">
        <f>IF(ISNUMBER('IN-CLASS_Lab Part C'!$J$2754),'IN-CLASS_Lab Part C'!$J$2754,NA())</f>
        <v/>
      </c>
    </row>
    <row r="2755">
      <c r="J2755">
        <f>IF(AND(ISNUMBER('Data'!$F$2756),'Data'!$F$2756&lt;&gt;999,'Data'!$F$2756&lt;&gt;""),'Data'!$F$2756,"")</f>
        <v/>
      </c>
      <c r="Z2755" t="n">
        <v>1</v>
      </c>
      <c r="AA2755">
        <f>IF(ISNUMBER('IN-CLASS_Lab Part C'!$J$2755),'IN-CLASS_Lab Part C'!$J$2755,NA())</f>
        <v/>
      </c>
    </row>
    <row r="2756">
      <c r="J2756">
        <f>IF(AND(ISNUMBER('Data'!$F$2757),'Data'!$F$2757&lt;&gt;999,'Data'!$F$2757&lt;&gt;""),'Data'!$F$2757,"")</f>
        <v/>
      </c>
      <c r="Z2756" t="n">
        <v>1</v>
      </c>
      <c r="AA2756">
        <f>IF(ISNUMBER('IN-CLASS_Lab Part C'!$J$2756),'IN-CLASS_Lab Part C'!$J$2756,NA())</f>
        <v/>
      </c>
    </row>
    <row r="2757">
      <c r="J2757">
        <f>IF(AND(ISNUMBER('Data'!$F$2758),'Data'!$F$2758&lt;&gt;999,'Data'!$F$2758&lt;&gt;""),'Data'!$F$2758,"")</f>
        <v/>
      </c>
      <c r="Z2757" t="n">
        <v>1</v>
      </c>
      <c r="AA2757">
        <f>IF(ISNUMBER('IN-CLASS_Lab Part C'!$J$2757),'IN-CLASS_Lab Part C'!$J$2757,NA())</f>
        <v/>
      </c>
    </row>
    <row r="2758">
      <c r="J2758">
        <f>IF(AND(ISNUMBER('Data'!$F$2759),'Data'!$F$2759&lt;&gt;999,'Data'!$F$2759&lt;&gt;""),'Data'!$F$2759,"")</f>
        <v/>
      </c>
      <c r="Z2758" t="n">
        <v>1</v>
      </c>
      <c r="AA2758">
        <f>IF(ISNUMBER('IN-CLASS_Lab Part C'!$J$2758),'IN-CLASS_Lab Part C'!$J$2758,NA())</f>
        <v/>
      </c>
    </row>
    <row r="2759">
      <c r="J2759">
        <f>IF(AND(ISNUMBER('Data'!$F$2760),'Data'!$F$2760&lt;&gt;999,'Data'!$F$2760&lt;&gt;""),'Data'!$F$2760,"")</f>
        <v/>
      </c>
      <c r="Z2759" t="n">
        <v>1</v>
      </c>
      <c r="AA2759">
        <f>IF(ISNUMBER('IN-CLASS_Lab Part C'!$J$2759),'IN-CLASS_Lab Part C'!$J$2759,NA())</f>
        <v/>
      </c>
    </row>
    <row r="2760">
      <c r="J2760">
        <f>IF(AND(ISNUMBER('Data'!$F$2761),'Data'!$F$2761&lt;&gt;999,'Data'!$F$2761&lt;&gt;""),'Data'!$F$2761,"")</f>
        <v/>
      </c>
      <c r="Z2760" t="n">
        <v>1</v>
      </c>
      <c r="AA2760">
        <f>IF(ISNUMBER('IN-CLASS_Lab Part C'!$J$2760),'IN-CLASS_Lab Part C'!$J$2760,NA())</f>
        <v/>
      </c>
    </row>
    <row r="2761">
      <c r="J2761">
        <f>IF(AND(ISNUMBER('Data'!$F$2762),'Data'!$F$2762&lt;&gt;999,'Data'!$F$2762&lt;&gt;""),'Data'!$F$2762,"")</f>
        <v/>
      </c>
      <c r="Z2761" t="n">
        <v>1</v>
      </c>
      <c r="AA2761">
        <f>IF(ISNUMBER('IN-CLASS_Lab Part C'!$J$2761),'IN-CLASS_Lab Part C'!$J$2761,NA())</f>
        <v/>
      </c>
    </row>
    <row r="2762">
      <c r="J2762">
        <f>IF(AND(ISNUMBER('Data'!$F$2763),'Data'!$F$2763&lt;&gt;999,'Data'!$F$2763&lt;&gt;""),'Data'!$F$2763,"")</f>
        <v/>
      </c>
      <c r="Z2762" t="n">
        <v>1</v>
      </c>
      <c r="AA2762">
        <f>IF(ISNUMBER('IN-CLASS_Lab Part C'!$J$2762),'IN-CLASS_Lab Part C'!$J$2762,NA())</f>
        <v/>
      </c>
    </row>
    <row r="2763">
      <c r="J2763">
        <f>IF(AND(ISNUMBER('Data'!$F$2764),'Data'!$F$2764&lt;&gt;999,'Data'!$F$2764&lt;&gt;""),'Data'!$F$2764,"")</f>
        <v/>
      </c>
      <c r="Z2763" t="n">
        <v>1</v>
      </c>
      <c r="AA2763">
        <f>IF(ISNUMBER('IN-CLASS_Lab Part C'!$J$2763),'IN-CLASS_Lab Part C'!$J$2763,NA())</f>
        <v/>
      </c>
    </row>
    <row r="2764">
      <c r="J2764">
        <f>IF(AND(ISNUMBER('Data'!$F$2765),'Data'!$F$2765&lt;&gt;999,'Data'!$F$2765&lt;&gt;""),'Data'!$F$2765,"")</f>
        <v/>
      </c>
      <c r="Z2764" t="n">
        <v>1</v>
      </c>
      <c r="AA2764">
        <f>IF(ISNUMBER('IN-CLASS_Lab Part C'!$J$2764),'IN-CLASS_Lab Part C'!$J$2764,NA())</f>
        <v/>
      </c>
    </row>
    <row r="2765">
      <c r="J2765">
        <f>IF(AND(ISNUMBER('Data'!$F$2766),'Data'!$F$2766&lt;&gt;999,'Data'!$F$2766&lt;&gt;""),'Data'!$F$2766,"")</f>
        <v/>
      </c>
      <c r="Z2765" t="n">
        <v>1</v>
      </c>
      <c r="AA2765">
        <f>IF(ISNUMBER('IN-CLASS_Lab Part C'!$J$2765),'IN-CLASS_Lab Part C'!$J$2765,NA())</f>
        <v/>
      </c>
    </row>
    <row r="2766">
      <c r="J2766">
        <f>IF(AND(ISNUMBER('Data'!$F$2767),'Data'!$F$2767&lt;&gt;999,'Data'!$F$2767&lt;&gt;""),'Data'!$F$2767,"")</f>
        <v/>
      </c>
      <c r="Z2766" t="n">
        <v>1</v>
      </c>
      <c r="AA2766">
        <f>IF(ISNUMBER('IN-CLASS_Lab Part C'!$J$2766),'IN-CLASS_Lab Part C'!$J$2766,NA())</f>
        <v/>
      </c>
    </row>
    <row r="2767">
      <c r="J2767">
        <f>IF(AND(ISNUMBER('Data'!$F$2768),'Data'!$F$2768&lt;&gt;999,'Data'!$F$2768&lt;&gt;""),'Data'!$F$2768,"")</f>
        <v/>
      </c>
      <c r="Z2767" t="n">
        <v>1</v>
      </c>
      <c r="AA2767">
        <f>IF(ISNUMBER('IN-CLASS_Lab Part C'!$J$2767),'IN-CLASS_Lab Part C'!$J$2767,NA())</f>
        <v/>
      </c>
    </row>
    <row r="2768">
      <c r="J2768">
        <f>IF(AND(ISNUMBER('Data'!$F$2769),'Data'!$F$2769&lt;&gt;999,'Data'!$F$2769&lt;&gt;""),'Data'!$F$2769,"")</f>
        <v/>
      </c>
      <c r="Z2768" t="n">
        <v>1</v>
      </c>
      <c r="AA2768">
        <f>IF(ISNUMBER('IN-CLASS_Lab Part C'!$J$2768),'IN-CLASS_Lab Part C'!$J$2768,NA())</f>
        <v/>
      </c>
    </row>
    <row r="2769">
      <c r="J2769">
        <f>IF(AND(ISNUMBER('Data'!$F$2770),'Data'!$F$2770&lt;&gt;999,'Data'!$F$2770&lt;&gt;""),'Data'!$F$2770,"")</f>
        <v/>
      </c>
      <c r="Z2769" t="n">
        <v>1</v>
      </c>
      <c r="AA2769">
        <f>IF(ISNUMBER('IN-CLASS_Lab Part C'!$J$2769),'IN-CLASS_Lab Part C'!$J$2769,NA())</f>
        <v/>
      </c>
    </row>
    <row r="2770">
      <c r="J2770">
        <f>IF(AND(ISNUMBER('Data'!$F$2771),'Data'!$F$2771&lt;&gt;999,'Data'!$F$2771&lt;&gt;""),'Data'!$F$2771,"")</f>
        <v/>
      </c>
      <c r="Z2770" t="n">
        <v>1</v>
      </c>
      <c r="AA2770">
        <f>IF(ISNUMBER('IN-CLASS_Lab Part C'!$J$2770),'IN-CLASS_Lab Part C'!$J$2770,NA())</f>
        <v/>
      </c>
    </row>
    <row r="2771">
      <c r="J2771">
        <f>IF(AND(ISNUMBER('Data'!$F$2772),'Data'!$F$2772&lt;&gt;999,'Data'!$F$2772&lt;&gt;""),'Data'!$F$2772,"")</f>
        <v/>
      </c>
      <c r="Z2771" t="n">
        <v>1</v>
      </c>
      <c r="AA2771">
        <f>IF(ISNUMBER('IN-CLASS_Lab Part C'!$J$2771),'IN-CLASS_Lab Part C'!$J$2771,NA())</f>
        <v/>
      </c>
    </row>
    <row r="2772">
      <c r="J2772">
        <f>IF(AND(ISNUMBER('Data'!$F$2773),'Data'!$F$2773&lt;&gt;999,'Data'!$F$2773&lt;&gt;""),'Data'!$F$2773,"")</f>
        <v/>
      </c>
      <c r="Z2772" t="n">
        <v>1</v>
      </c>
      <c r="AA2772">
        <f>IF(ISNUMBER('IN-CLASS_Lab Part C'!$J$2772),'IN-CLASS_Lab Part C'!$J$2772,NA())</f>
        <v/>
      </c>
    </row>
    <row r="2773">
      <c r="J2773">
        <f>IF(AND(ISNUMBER('Data'!$F$2774),'Data'!$F$2774&lt;&gt;999,'Data'!$F$2774&lt;&gt;""),'Data'!$F$2774,"")</f>
        <v/>
      </c>
      <c r="Z2773" t="n">
        <v>1</v>
      </c>
      <c r="AA2773">
        <f>IF(ISNUMBER('IN-CLASS_Lab Part C'!$J$2773),'IN-CLASS_Lab Part C'!$J$2773,NA())</f>
        <v/>
      </c>
    </row>
    <row r="2774">
      <c r="J2774">
        <f>IF(AND(ISNUMBER('Data'!$F$2775),'Data'!$F$2775&lt;&gt;999,'Data'!$F$2775&lt;&gt;""),'Data'!$F$2775,"")</f>
        <v/>
      </c>
      <c r="Z2774" t="n">
        <v>1</v>
      </c>
      <c r="AA2774">
        <f>IF(ISNUMBER('IN-CLASS_Lab Part C'!$J$2774),'IN-CLASS_Lab Part C'!$J$2774,NA())</f>
        <v/>
      </c>
    </row>
    <row r="2775">
      <c r="J2775">
        <f>IF(AND(ISNUMBER('Data'!$F$2776),'Data'!$F$2776&lt;&gt;999,'Data'!$F$2776&lt;&gt;""),'Data'!$F$2776,"")</f>
        <v/>
      </c>
      <c r="Z2775" t="n">
        <v>1</v>
      </c>
      <c r="AA2775">
        <f>IF(ISNUMBER('IN-CLASS_Lab Part C'!$J$2775),'IN-CLASS_Lab Part C'!$J$2775,NA())</f>
        <v/>
      </c>
    </row>
    <row r="2776">
      <c r="J2776">
        <f>IF(AND(ISNUMBER('Data'!$F$2777),'Data'!$F$2777&lt;&gt;999,'Data'!$F$2777&lt;&gt;""),'Data'!$F$2777,"")</f>
        <v/>
      </c>
      <c r="Z2776" t="n">
        <v>1</v>
      </c>
      <c r="AA2776">
        <f>IF(ISNUMBER('IN-CLASS_Lab Part C'!$J$2776),'IN-CLASS_Lab Part C'!$J$2776,NA())</f>
        <v/>
      </c>
    </row>
    <row r="2777">
      <c r="J2777">
        <f>IF(AND(ISNUMBER('Data'!$F$2778),'Data'!$F$2778&lt;&gt;999,'Data'!$F$2778&lt;&gt;""),'Data'!$F$2778,"")</f>
        <v/>
      </c>
      <c r="Z2777" t="n">
        <v>1</v>
      </c>
      <c r="AA2777">
        <f>IF(ISNUMBER('IN-CLASS_Lab Part C'!$J$2777),'IN-CLASS_Lab Part C'!$J$2777,NA())</f>
        <v/>
      </c>
    </row>
    <row r="2778">
      <c r="J2778">
        <f>IF(AND(ISNUMBER('Data'!$F$2779),'Data'!$F$2779&lt;&gt;999,'Data'!$F$2779&lt;&gt;""),'Data'!$F$2779,"")</f>
        <v/>
      </c>
      <c r="Z2778" t="n">
        <v>1</v>
      </c>
      <c r="AA2778">
        <f>IF(ISNUMBER('IN-CLASS_Lab Part C'!$J$2778),'IN-CLASS_Lab Part C'!$J$2778,NA())</f>
        <v/>
      </c>
    </row>
    <row r="2779">
      <c r="J2779">
        <f>IF(AND(ISNUMBER('Data'!$F$2780),'Data'!$F$2780&lt;&gt;999,'Data'!$F$2780&lt;&gt;""),'Data'!$F$2780,"")</f>
        <v/>
      </c>
      <c r="Z2779" t="n">
        <v>1</v>
      </c>
      <c r="AA2779">
        <f>IF(ISNUMBER('IN-CLASS_Lab Part C'!$J$2779),'IN-CLASS_Lab Part C'!$J$2779,NA())</f>
        <v/>
      </c>
    </row>
    <row r="2780">
      <c r="J2780">
        <f>IF(AND(ISNUMBER('Data'!$F$2781),'Data'!$F$2781&lt;&gt;999,'Data'!$F$2781&lt;&gt;""),'Data'!$F$2781,"")</f>
        <v/>
      </c>
      <c r="Z2780" t="n">
        <v>1</v>
      </c>
      <c r="AA2780">
        <f>IF(ISNUMBER('IN-CLASS_Lab Part C'!$J$2780),'IN-CLASS_Lab Part C'!$J$2780,NA())</f>
        <v/>
      </c>
    </row>
    <row r="2781">
      <c r="J2781">
        <f>IF(AND(ISNUMBER('Data'!$F$2782),'Data'!$F$2782&lt;&gt;999,'Data'!$F$2782&lt;&gt;""),'Data'!$F$2782,"")</f>
        <v/>
      </c>
      <c r="Z2781" t="n">
        <v>1</v>
      </c>
      <c r="AA2781">
        <f>IF(ISNUMBER('IN-CLASS_Lab Part C'!$J$2781),'IN-CLASS_Lab Part C'!$J$2781,NA())</f>
        <v/>
      </c>
    </row>
    <row r="2782">
      <c r="J2782">
        <f>IF(AND(ISNUMBER('Data'!$F$2783),'Data'!$F$2783&lt;&gt;999,'Data'!$F$2783&lt;&gt;""),'Data'!$F$2783,"")</f>
        <v/>
      </c>
      <c r="Z2782" t="n">
        <v>1</v>
      </c>
      <c r="AA2782">
        <f>IF(ISNUMBER('IN-CLASS_Lab Part C'!$J$2782),'IN-CLASS_Lab Part C'!$J$2782,NA())</f>
        <v/>
      </c>
    </row>
    <row r="2783">
      <c r="J2783">
        <f>IF(AND(ISNUMBER('Data'!$F$2784),'Data'!$F$2784&lt;&gt;999,'Data'!$F$2784&lt;&gt;""),'Data'!$F$2784,"")</f>
        <v/>
      </c>
      <c r="Z2783" t="n">
        <v>1</v>
      </c>
      <c r="AA2783">
        <f>IF(ISNUMBER('IN-CLASS_Lab Part C'!$J$2783),'IN-CLASS_Lab Part C'!$J$2783,NA())</f>
        <v/>
      </c>
    </row>
    <row r="2784">
      <c r="J2784">
        <f>IF(AND(ISNUMBER('Data'!$F$2785),'Data'!$F$2785&lt;&gt;999,'Data'!$F$2785&lt;&gt;""),'Data'!$F$2785,"")</f>
        <v/>
      </c>
      <c r="Z2784" t="n">
        <v>1</v>
      </c>
      <c r="AA2784">
        <f>IF(ISNUMBER('IN-CLASS_Lab Part C'!$J$2784),'IN-CLASS_Lab Part C'!$J$2784,NA())</f>
        <v/>
      </c>
    </row>
    <row r="2785">
      <c r="J2785">
        <f>IF(AND(ISNUMBER('Data'!$F$2786),'Data'!$F$2786&lt;&gt;999,'Data'!$F$2786&lt;&gt;""),'Data'!$F$2786,"")</f>
        <v/>
      </c>
      <c r="Z2785" t="n">
        <v>1</v>
      </c>
      <c r="AA2785">
        <f>IF(ISNUMBER('IN-CLASS_Lab Part C'!$J$2785),'IN-CLASS_Lab Part C'!$J$2785,NA())</f>
        <v/>
      </c>
    </row>
    <row r="2786">
      <c r="J2786">
        <f>IF(AND(ISNUMBER('Data'!$F$2787),'Data'!$F$2787&lt;&gt;999,'Data'!$F$2787&lt;&gt;""),'Data'!$F$2787,"")</f>
        <v/>
      </c>
      <c r="Z2786" t="n">
        <v>1</v>
      </c>
      <c r="AA2786">
        <f>IF(ISNUMBER('IN-CLASS_Lab Part C'!$J$2786),'IN-CLASS_Lab Part C'!$J$2786,NA())</f>
        <v/>
      </c>
    </row>
    <row r="2787">
      <c r="J2787">
        <f>IF(AND(ISNUMBER('Data'!$F$2788),'Data'!$F$2788&lt;&gt;999,'Data'!$F$2788&lt;&gt;""),'Data'!$F$2788,"")</f>
        <v/>
      </c>
      <c r="Z2787" t="n">
        <v>1</v>
      </c>
      <c r="AA2787">
        <f>IF(ISNUMBER('IN-CLASS_Lab Part C'!$J$2787),'IN-CLASS_Lab Part C'!$J$2787,NA())</f>
        <v/>
      </c>
    </row>
    <row r="2788">
      <c r="J2788">
        <f>IF(AND(ISNUMBER('Data'!$F$2789),'Data'!$F$2789&lt;&gt;999,'Data'!$F$2789&lt;&gt;""),'Data'!$F$2789,"")</f>
        <v/>
      </c>
      <c r="Z2788" t="n">
        <v>1</v>
      </c>
      <c r="AA2788">
        <f>IF(ISNUMBER('IN-CLASS_Lab Part C'!$J$2788),'IN-CLASS_Lab Part C'!$J$2788,NA())</f>
        <v/>
      </c>
    </row>
    <row r="2789">
      <c r="J2789">
        <f>IF(AND(ISNUMBER('Data'!$F$2790),'Data'!$F$2790&lt;&gt;999,'Data'!$F$2790&lt;&gt;""),'Data'!$F$2790,"")</f>
        <v/>
      </c>
      <c r="Z2789" t="n">
        <v>1</v>
      </c>
      <c r="AA2789">
        <f>IF(ISNUMBER('IN-CLASS_Lab Part C'!$J$2789),'IN-CLASS_Lab Part C'!$J$2789,NA())</f>
        <v/>
      </c>
    </row>
    <row r="2790">
      <c r="J2790">
        <f>IF(AND(ISNUMBER('Data'!$F$2791),'Data'!$F$2791&lt;&gt;999,'Data'!$F$2791&lt;&gt;""),'Data'!$F$2791,"")</f>
        <v/>
      </c>
      <c r="Z2790" t="n">
        <v>1</v>
      </c>
      <c r="AA2790">
        <f>IF(ISNUMBER('IN-CLASS_Lab Part C'!$J$2790),'IN-CLASS_Lab Part C'!$J$2790,NA())</f>
        <v/>
      </c>
    </row>
    <row r="2791">
      <c r="J2791">
        <f>IF(AND(ISNUMBER('Data'!$F$2792),'Data'!$F$2792&lt;&gt;999,'Data'!$F$2792&lt;&gt;""),'Data'!$F$2792,"")</f>
        <v/>
      </c>
      <c r="Z2791" t="n">
        <v>1</v>
      </c>
      <c r="AA2791">
        <f>IF(ISNUMBER('IN-CLASS_Lab Part C'!$J$2791),'IN-CLASS_Lab Part C'!$J$2791,NA())</f>
        <v/>
      </c>
    </row>
    <row r="2792">
      <c r="J2792">
        <f>IF(AND(ISNUMBER('Data'!$F$2793),'Data'!$F$2793&lt;&gt;999,'Data'!$F$2793&lt;&gt;""),'Data'!$F$2793,"")</f>
        <v/>
      </c>
      <c r="Z2792" t="n">
        <v>1</v>
      </c>
      <c r="AA2792">
        <f>IF(ISNUMBER('IN-CLASS_Lab Part C'!$J$2792),'IN-CLASS_Lab Part C'!$J$2792,NA())</f>
        <v/>
      </c>
    </row>
    <row r="2793">
      <c r="J2793">
        <f>IF(AND(ISNUMBER('Data'!$F$2794),'Data'!$F$2794&lt;&gt;999,'Data'!$F$2794&lt;&gt;""),'Data'!$F$2794,"")</f>
        <v/>
      </c>
      <c r="Z2793" t="n">
        <v>1</v>
      </c>
      <c r="AA2793">
        <f>IF(ISNUMBER('IN-CLASS_Lab Part C'!$J$2793),'IN-CLASS_Lab Part C'!$J$2793,NA())</f>
        <v/>
      </c>
    </row>
    <row r="2794">
      <c r="J2794">
        <f>IF(AND(ISNUMBER('Data'!$F$2795),'Data'!$F$2795&lt;&gt;999,'Data'!$F$2795&lt;&gt;""),'Data'!$F$2795,"")</f>
        <v/>
      </c>
      <c r="Z2794" t="n">
        <v>1</v>
      </c>
      <c r="AA2794">
        <f>IF(ISNUMBER('IN-CLASS_Lab Part C'!$J$2794),'IN-CLASS_Lab Part C'!$J$2794,NA())</f>
        <v/>
      </c>
    </row>
    <row r="2795">
      <c r="J2795">
        <f>IF(AND(ISNUMBER('Data'!$F$2796),'Data'!$F$2796&lt;&gt;999,'Data'!$F$2796&lt;&gt;""),'Data'!$F$2796,"")</f>
        <v/>
      </c>
      <c r="Z2795" t="n">
        <v>1</v>
      </c>
      <c r="AA2795">
        <f>IF(ISNUMBER('IN-CLASS_Lab Part C'!$J$2795),'IN-CLASS_Lab Part C'!$J$2795,NA())</f>
        <v/>
      </c>
    </row>
    <row r="2796">
      <c r="J2796">
        <f>IF(AND(ISNUMBER('Data'!$F$2797),'Data'!$F$2797&lt;&gt;999,'Data'!$F$2797&lt;&gt;""),'Data'!$F$2797,"")</f>
        <v/>
      </c>
      <c r="Z2796" t="n">
        <v>1</v>
      </c>
      <c r="AA2796">
        <f>IF(ISNUMBER('IN-CLASS_Lab Part C'!$J$2796),'IN-CLASS_Lab Part C'!$J$2796,NA())</f>
        <v/>
      </c>
    </row>
    <row r="2797">
      <c r="J2797">
        <f>IF(AND(ISNUMBER('Data'!$F$2798),'Data'!$F$2798&lt;&gt;999,'Data'!$F$2798&lt;&gt;""),'Data'!$F$2798,"")</f>
        <v/>
      </c>
      <c r="Z2797" t="n">
        <v>1</v>
      </c>
      <c r="AA2797">
        <f>IF(ISNUMBER('IN-CLASS_Lab Part C'!$J$2797),'IN-CLASS_Lab Part C'!$J$2797,NA())</f>
        <v/>
      </c>
    </row>
    <row r="2798">
      <c r="J2798">
        <f>IF(AND(ISNUMBER('Data'!$F$2799),'Data'!$F$2799&lt;&gt;999,'Data'!$F$2799&lt;&gt;""),'Data'!$F$2799,"")</f>
        <v/>
      </c>
      <c r="Z2798" t="n">
        <v>1</v>
      </c>
      <c r="AA2798">
        <f>IF(ISNUMBER('IN-CLASS_Lab Part C'!$J$2798),'IN-CLASS_Lab Part C'!$J$2798,NA())</f>
        <v/>
      </c>
    </row>
    <row r="2799">
      <c r="J2799">
        <f>IF(AND(ISNUMBER('Data'!$F$2800),'Data'!$F$2800&lt;&gt;999,'Data'!$F$2800&lt;&gt;""),'Data'!$F$2800,"")</f>
        <v/>
      </c>
      <c r="Z2799" t="n">
        <v>1</v>
      </c>
      <c r="AA2799">
        <f>IF(ISNUMBER('IN-CLASS_Lab Part C'!$J$2799),'IN-CLASS_Lab Part C'!$J$2799,NA())</f>
        <v/>
      </c>
    </row>
    <row r="2800">
      <c r="J2800">
        <f>IF(AND(ISNUMBER('Data'!$F$2801),'Data'!$F$2801&lt;&gt;999,'Data'!$F$2801&lt;&gt;""),'Data'!$F$2801,"")</f>
        <v/>
      </c>
      <c r="Z2800" t="n">
        <v>1</v>
      </c>
      <c r="AA2800">
        <f>IF(ISNUMBER('IN-CLASS_Lab Part C'!$J$2800),'IN-CLASS_Lab Part C'!$J$2800,NA())</f>
        <v/>
      </c>
    </row>
    <row r="2801">
      <c r="J2801">
        <f>IF(AND(ISNUMBER('Data'!$F$2802),'Data'!$F$2802&lt;&gt;999,'Data'!$F$2802&lt;&gt;""),'Data'!$F$2802,"")</f>
        <v/>
      </c>
      <c r="Z2801" t="n">
        <v>1</v>
      </c>
      <c r="AA2801">
        <f>IF(ISNUMBER('IN-CLASS_Lab Part C'!$J$2801),'IN-CLASS_Lab Part C'!$J$2801,NA())</f>
        <v/>
      </c>
    </row>
    <row r="2802">
      <c r="J2802">
        <f>IF(AND(ISNUMBER('Data'!$F$2803),'Data'!$F$2803&lt;&gt;999,'Data'!$F$2803&lt;&gt;""),'Data'!$F$2803,"")</f>
        <v/>
      </c>
      <c r="Z2802" t="n">
        <v>1</v>
      </c>
      <c r="AA2802">
        <f>IF(ISNUMBER('IN-CLASS_Lab Part C'!$J$2802),'IN-CLASS_Lab Part C'!$J$2802,NA())</f>
        <v/>
      </c>
    </row>
    <row r="2803">
      <c r="J2803">
        <f>IF(AND(ISNUMBER('Data'!$F$2804),'Data'!$F$2804&lt;&gt;999,'Data'!$F$2804&lt;&gt;""),'Data'!$F$2804,"")</f>
        <v/>
      </c>
      <c r="Z2803" t="n">
        <v>1</v>
      </c>
      <c r="AA2803">
        <f>IF(ISNUMBER('IN-CLASS_Lab Part C'!$J$2803),'IN-CLASS_Lab Part C'!$J$2803,NA())</f>
        <v/>
      </c>
    </row>
    <row r="2804">
      <c r="J2804">
        <f>IF(AND(ISNUMBER('Data'!$F$2805),'Data'!$F$2805&lt;&gt;999,'Data'!$F$2805&lt;&gt;""),'Data'!$F$2805,"")</f>
        <v/>
      </c>
      <c r="Z2804" t="n">
        <v>1</v>
      </c>
      <c r="AA2804">
        <f>IF(ISNUMBER('IN-CLASS_Lab Part C'!$J$2804),'IN-CLASS_Lab Part C'!$J$2804,NA())</f>
        <v/>
      </c>
    </row>
    <row r="2805">
      <c r="J2805">
        <f>IF(AND(ISNUMBER('Data'!$F$2806),'Data'!$F$2806&lt;&gt;999,'Data'!$F$2806&lt;&gt;""),'Data'!$F$2806,"")</f>
        <v/>
      </c>
      <c r="Z2805" t="n">
        <v>1</v>
      </c>
      <c r="AA2805">
        <f>IF(ISNUMBER('IN-CLASS_Lab Part C'!$J$2805),'IN-CLASS_Lab Part C'!$J$2805,NA())</f>
        <v/>
      </c>
    </row>
    <row r="2806">
      <c r="J2806">
        <f>IF(AND(ISNUMBER('Data'!$F$2807),'Data'!$F$2807&lt;&gt;999,'Data'!$F$2807&lt;&gt;""),'Data'!$F$2807,"")</f>
        <v/>
      </c>
      <c r="Z2806" t="n">
        <v>1</v>
      </c>
      <c r="AA2806">
        <f>IF(ISNUMBER('IN-CLASS_Lab Part C'!$J$2806),'IN-CLASS_Lab Part C'!$J$2806,NA())</f>
        <v/>
      </c>
    </row>
    <row r="2807">
      <c r="J2807">
        <f>IF(AND(ISNUMBER('Data'!$F$2808),'Data'!$F$2808&lt;&gt;999,'Data'!$F$2808&lt;&gt;""),'Data'!$F$2808,"")</f>
        <v/>
      </c>
      <c r="Z2807" t="n">
        <v>1</v>
      </c>
      <c r="AA2807">
        <f>IF(ISNUMBER('IN-CLASS_Lab Part C'!$J$2807),'IN-CLASS_Lab Part C'!$J$2807,NA())</f>
        <v/>
      </c>
    </row>
    <row r="2808">
      <c r="J2808">
        <f>IF(AND(ISNUMBER('Data'!$F$2809),'Data'!$F$2809&lt;&gt;999,'Data'!$F$2809&lt;&gt;""),'Data'!$F$2809,"")</f>
        <v/>
      </c>
      <c r="Z2808" t="n">
        <v>1</v>
      </c>
      <c r="AA2808">
        <f>IF(ISNUMBER('IN-CLASS_Lab Part C'!$J$2808),'IN-CLASS_Lab Part C'!$J$2808,NA())</f>
        <v/>
      </c>
    </row>
    <row r="2809">
      <c r="J2809">
        <f>IF(AND(ISNUMBER('Data'!$F$2810),'Data'!$F$2810&lt;&gt;999,'Data'!$F$2810&lt;&gt;""),'Data'!$F$2810,"")</f>
        <v/>
      </c>
      <c r="Z2809" t="n">
        <v>1</v>
      </c>
      <c r="AA2809">
        <f>IF(ISNUMBER('IN-CLASS_Lab Part C'!$J$2809),'IN-CLASS_Lab Part C'!$J$2809,NA())</f>
        <v/>
      </c>
    </row>
    <row r="2810">
      <c r="J2810">
        <f>IF(AND(ISNUMBER('Data'!$F$2811),'Data'!$F$2811&lt;&gt;999,'Data'!$F$2811&lt;&gt;""),'Data'!$F$2811,"")</f>
        <v/>
      </c>
      <c r="Z2810" t="n">
        <v>1</v>
      </c>
      <c r="AA2810">
        <f>IF(ISNUMBER('IN-CLASS_Lab Part C'!$J$2810),'IN-CLASS_Lab Part C'!$J$2810,NA())</f>
        <v/>
      </c>
    </row>
    <row r="2811">
      <c r="J2811">
        <f>IF(AND(ISNUMBER('Data'!$F$2812),'Data'!$F$2812&lt;&gt;999,'Data'!$F$2812&lt;&gt;""),'Data'!$F$2812,"")</f>
        <v/>
      </c>
      <c r="Z2811" t="n">
        <v>1</v>
      </c>
      <c r="AA2811">
        <f>IF(ISNUMBER('IN-CLASS_Lab Part C'!$J$2811),'IN-CLASS_Lab Part C'!$J$2811,NA())</f>
        <v/>
      </c>
    </row>
    <row r="2812">
      <c r="J2812">
        <f>IF(AND(ISNUMBER('Data'!$F$2813),'Data'!$F$2813&lt;&gt;999,'Data'!$F$2813&lt;&gt;""),'Data'!$F$2813,"")</f>
        <v/>
      </c>
      <c r="Z2812" t="n">
        <v>1</v>
      </c>
      <c r="AA2812">
        <f>IF(ISNUMBER('IN-CLASS_Lab Part C'!$J$2812),'IN-CLASS_Lab Part C'!$J$2812,NA())</f>
        <v/>
      </c>
    </row>
    <row r="2813">
      <c r="J2813">
        <f>IF(AND(ISNUMBER('Data'!$F$2814),'Data'!$F$2814&lt;&gt;999,'Data'!$F$2814&lt;&gt;""),'Data'!$F$2814,"")</f>
        <v/>
      </c>
      <c r="Z2813" t="n">
        <v>1</v>
      </c>
      <c r="AA2813">
        <f>IF(ISNUMBER('IN-CLASS_Lab Part C'!$J$2813),'IN-CLASS_Lab Part C'!$J$2813,NA())</f>
        <v/>
      </c>
    </row>
    <row r="2814">
      <c r="J2814">
        <f>IF(AND(ISNUMBER('Data'!$F$2815),'Data'!$F$2815&lt;&gt;999,'Data'!$F$2815&lt;&gt;""),'Data'!$F$2815,"")</f>
        <v/>
      </c>
      <c r="Z2814" t="n">
        <v>1</v>
      </c>
      <c r="AA2814">
        <f>IF(ISNUMBER('IN-CLASS_Lab Part C'!$J$2814),'IN-CLASS_Lab Part C'!$J$2814,NA())</f>
        <v/>
      </c>
    </row>
    <row r="2815">
      <c r="J2815">
        <f>IF(AND(ISNUMBER('Data'!$F$2816),'Data'!$F$2816&lt;&gt;999,'Data'!$F$2816&lt;&gt;""),'Data'!$F$2816,"")</f>
        <v/>
      </c>
      <c r="Z2815" t="n">
        <v>1</v>
      </c>
      <c r="AA2815">
        <f>IF(ISNUMBER('IN-CLASS_Lab Part C'!$J$2815),'IN-CLASS_Lab Part C'!$J$2815,NA())</f>
        <v/>
      </c>
    </row>
    <row r="2816">
      <c r="J2816">
        <f>IF(AND(ISNUMBER('Data'!$F$2817),'Data'!$F$2817&lt;&gt;999,'Data'!$F$2817&lt;&gt;""),'Data'!$F$2817,"")</f>
        <v/>
      </c>
      <c r="Z2816" t="n">
        <v>1</v>
      </c>
      <c r="AA2816">
        <f>IF(ISNUMBER('IN-CLASS_Lab Part C'!$J$2816),'IN-CLASS_Lab Part C'!$J$2816,NA())</f>
        <v/>
      </c>
    </row>
    <row r="2817">
      <c r="J2817">
        <f>IF(AND(ISNUMBER('Data'!$F$2818),'Data'!$F$2818&lt;&gt;999,'Data'!$F$2818&lt;&gt;""),'Data'!$F$2818,"")</f>
        <v/>
      </c>
      <c r="Z2817" t="n">
        <v>1</v>
      </c>
      <c r="AA2817">
        <f>IF(ISNUMBER('IN-CLASS_Lab Part C'!$J$2817),'IN-CLASS_Lab Part C'!$J$2817,NA())</f>
        <v/>
      </c>
    </row>
    <row r="2818">
      <c r="J2818">
        <f>IF(AND(ISNUMBER('Data'!$F$2819),'Data'!$F$2819&lt;&gt;999,'Data'!$F$2819&lt;&gt;""),'Data'!$F$2819,"")</f>
        <v/>
      </c>
      <c r="Z2818" t="n">
        <v>1</v>
      </c>
      <c r="AA2818">
        <f>IF(ISNUMBER('IN-CLASS_Lab Part C'!$J$2818),'IN-CLASS_Lab Part C'!$J$2818,NA())</f>
        <v/>
      </c>
    </row>
    <row r="2819">
      <c r="J2819">
        <f>IF(AND(ISNUMBER('Data'!$F$2820),'Data'!$F$2820&lt;&gt;999,'Data'!$F$2820&lt;&gt;""),'Data'!$F$2820,"")</f>
        <v/>
      </c>
      <c r="Z2819" t="n">
        <v>1</v>
      </c>
      <c r="AA2819">
        <f>IF(ISNUMBER('IN-CLASS_Lab Part C'!$J$2819),'IN-CLASS_Lab Part C'!$J$2819,NA())</f>
        <v/>
      </c>
    </row>
    <row r="2820">
      <c r="J2820">
        <f>IF(AND(ISNUMBER('Data'!$F$2821),'Data'!$F$2821&lt;&gt;999,'Data'!$F$2821&lt;&gt;""),'Data'!$F$2821,"")</f>
        <v/>
      </c>
      <c r="Z2820" t="n">
        <v>1</v>
      </c>
      <c r="AA2820">
        <f>IF(ISNUMBER('IN-CLASS_Lab Part C'!$J$2820),'IN-CLASS_Lab Part C'!$J$2820,NA())</f>
        <v/>
      </c>
    </row>
    <row r="2821">
      <c r="J2821">
        <f>IF(AND(ISNUMBER('Data'!$F$2822),'Data'!$F$2822&lt;&gt;999,'Data'!$F$2822&lt;&gt;""),'Data'!$F$2822,"")</f>
        <v/>
      </c>
      <c r="Z2821" t="n">
        <v>1</v>
      </c>
      <c r="AA2821">
        <f>IF(ISNUMBER('IN-CLASS_Lab Part C'!$J$2821),'IN-CLASS_Lab Part C'!$J$2821,NA())</f>
        <v/>
      </c>
    </row>
    <row r="2822">
      <c r="J2822">
        <f>IF(AND(ISNUMBER('Data'!$F$2823),'Data'!$F$2823&lt;&gt;999,'Data'!$F$2823&lt;&gt;""),'Data'!$F$2823,"")</f>
        <v/>
      </c>
      <c r="Z2822" t="n">
        <v>1</v>
      </c>
      <c r="AA2822">
        <f>IF(ISNUMBER('IN-CLASS_Lab Part C'!$J$2822),'IN-CLASS_Lab Part C'!$J$2822,NA())</f>
        <v/>
      </c>
    </row>
    <row r="2823">
      <c r="J2823">
        <f>IF(AND(ISNUMBER('Data'!$F$2824),'Data'!$F$2824&lt;&gt;999,'Data'!$F$2824&lt;&gt;""),'Data'!$F$2824,"")</f>
        <v/>
      </c>
      <c r="Z2823" t="n">
        <v>1</v>
      </c>
      <c r="AA2823">
        <f>IF(ISNUMBER('IN-CLASS_Lab Part C'!$J$2823),'IN-CLASS_Lab Part C'!$J$2823,NA())</f>
        <v/>
      </c>
    </row>
    <row r="2824">
      <c r="J2824">
        <f>IF(AND(ISNUMBER('Data'!$F$2825),'Data'!$F$2825&lt;&gt;999,'Data'!$F$2825&lt;&gt;""),'Data'!$F$2825,"")</f>
        <v/>
      </c>
      <c r="Z2824" t="n">
        <v>1</v>
      </c>
      <c r="AA2824">
        <f>IF(ISNUMBER('IN-CLASS_Lab Part C'!$J$2824),'IN-CLASS_Lab Part C'!$J$2824,NA())</f>
        <v/>
      </c>
    </row>
    <row r="2825">
      <c r="J2825">
        <f>IF(AND(ISNUMBER('Data'!$F$2826),'Data'!$F$2826&lt;&gt;999,'Data'!$F$2826&lt;&gt;""),'Data'!$F$2826,"")</f>
        <v/>
      </c>
      <c r="Z2825" t="n">
        <v>1</v>
      </c>
      <c r="AA2825">
        <f>IF(ISNUMBER('IN-CLASS_Lab Part C'!$J$2825),'IN-CLASS_Lab Part C'!$J$2825,NA())</f>
        <v/>
      </c>
    </row>
    <row r="2826">
      <c r="J2826">
        <f>IF(AND(ISNUMBER('Data'!$F$2827),'Data'!$F$2827&lt;&gt;999,'Data'!$F$2827&lt;&gt;""),'Data'!$F$2827,"")</f>
        <v/>
      </c>
      <c r="Z2826" t="n">
        <v>1</v>
      </c>
      <c r="AA2826">
        <f>IF(ISNUMBER('IN-CLASS_Lab Part C'!$J$2826),'IN-CLASS_Lab Part C'!$J$2826,NA())</f>
        <v/>
      </c>
    </row>
    <row r="2827">
      <c r="J2827">
        <f>IF(AND(ISNUMBER('Data'!$F$2828),'Data'!$F$2828&lt;&gt;999,'Data'!$F$2828&lt;&gt;""),'Data'!$F$2828,"")</f>
        <v/>
      </c>
      <c r="Z2827" t="n">
        <v>1</v>
      </c>
      <c r="AA2827">
        <f>IF(ISNUMBER('IN-CLASS_Lab Part C'!$J$2827),'IN-CLASS_Lab Part C'!$J$2827,NA())</f>
        <v/>
      </c>
    </row>
    <row r="2828">
      <c r="J2828">
        <f>IF(AND(ISNUMBER('Data'!$F$2829),'Data'!$F$2829&lt;&gt;999,'Data'!$F$2829&lt;&gt;""),'Data'!$F$2829,"")</f>
        <v/>
      </c>
      <c r="Z2828" t="n">
        <v>1</v>
      </c>
      <c r="AA2828">
        <f>IF(ISNUMBER('IN-CLASS_Lab Part C'!$J$2828),'IN-CLASS_Lab Part C'!$J$2828,NA())</f>
        <v/>
      </c>
    </row>
    <row r="2829">
      <c r="J2829">
        <f>IF(AND(ISNUMBER('Data'!$F$2830),'Data'!$F$2830&lt;&gt;999,'Data'!$F$2830&lt;&gt;""),'Data'!$F$2830,"")</f>
        <v/>
      </c>
      <c r="Z2829" t="n">
        <v>1</v>
      </c>
      <c r="AA2829">
        <f>IF(ISNUMBER('IN-CLASS_Lab Part C'!$J$2829),'IN-CLASS_Lab Part C'!$J$2829,NA())</f>
        <v/>
      </c>
    </row>
    <row r="2830">
      <c r="J2830">
        <f>IF(AND(ISNUMBER('Data'!$F$2831),'Data'!$F$2831&lt;&gt;999,'Data'!$F$2831&lt;&gt;""),'Data'!$F$2831,"")</f>
        <v/>
      </c>
      <c r="Z2830" t="n">
        <v>1</v>
      </c>
      <c r="AA2830">
        <f>IF(ISNUMBER('IN-CLASS_Lab Part C'!$J$2830),'IN-CLASS_Lab Part C'!$J$2830,NA())</f>
        <v/>
      </c>
    </row>
    <row r="2831">
      <c r="J2831">
        <f>IF(AND(ISNUMBER('Data'!$F$2832),'Data'!$F$2832&lt;&gt;999,'Data'!$F$2832&lt;&gt;""),'Data'!$F$2832,"")</f>
        <v/>
      </c>
      <c r="Z2831" t="n">
        <v>1</v>
      </c>
      <c r="AA2831">
        <f>IF(ISNUMBER('IN-CLASS_Lab Part C'!$J$2831),'IN-CLASS_Lab Part C'!$J$2831,NA())</f>
        <v/>
      </c>
    </row>
    <row r="2832">
      <c r="J2832">
        <f>IF(AND(ISNUMBER('Data'!$F$2833),'Data'!$F$2833&lt;&gt;999,'Data'!$F$2833&lt;&gt;""),'Data'!$F$2833,"")</f>
        <v/>
      </c>
      <c r="Z2832" t="n">
        <v>1</v>
      </c>
      <c r="AA2832">
        <f>IF(ISNUMBER('IN-CLASS_Lab Part C'!$J$2832),'IN-CLASS_Lab Part C'!$J$2832,NA())</f>
        <v/>
      </c>
    </row>
    <row r="2833">
      <c r="J2833">
        <f>IF(AND(ISNUMBER('Data'!$F$2834),'Data'!$F$2834&lt;&gt;999,'Data'!$F$2834&lt;&gt;""),'Data'!$F$2834,"")</f>
        <v/>
      </c>
      <c r="Z2833" t="n">
        <v>1</v>
      </c>
      <c r="AA2833">
        <f>IF(ISNUMBER('IN-CLASS_Lab Part C'!$J$2833),'IN-CLASS_Lab Part C'!$J$2833,NA())</f>
        <v/>
      </c>
    </row>
    <row r="2834">
      <c r="J2834">
        <f>IF(AND(ISNUMBER('Data'!$F$2835),'Data'!$F$2835&lt;&gt;999,'Data'!$F$2835&lt;&gt;""),'Data'!$F$2835,"")</f>
        <v/>
      </c>
      <c r="Z2834" t="n">
        <v>1</v>
      </c>
      <c r="AA2834">
        <f>IF(ISNUMBER('IN-CLASS_Lab Part C'!$J$2834),'IN-CLASS_Lab Part C'!$J$2834,NA())</f>
        <v/>
      </c>
    </row>
    <row r="2835">
      <c r="J2835">
        <f>IF(AND(ISNUMBER('Data'!$F$2836),'Data'!$F$2836&lt;&gt;999,'Data'!$F$2836&lt;&gt;""),'Data'!$F$2836,"")</f>
        <v/>
      </c>
      <c r="Z2835" t="n">
        <v>1</v>
      </c>
      <c r="AA2835">
        <f>IF(ISNUMBER('IN-CLASS_Lab Part C'!$J$2835),'IN-CLASS_Lab Part C'!$J$2835,NA())</f>
        <v/>
      </c>
    </row>
    <row r="2836">
      <c r="J2836">
        <f>IF(AND(ISNUMBER('Data'!$F$2837),'Data'!$F$2837&lt;&gt;999,'Data'!$F$2837&lt;&gt;""),'Data'!$F$2837,"")</f>
        <v/>
      </c>
      <c r="Z2836" t="n">
        <v>1</v>
      </c>
      <c r="AA2836">
        <f>IF(ISNUMBER('IN-CLASS_Lab Part C'!$J$2836),'IN-CLASS_Lab Part C'!$J$2836,NA())</f>
        <v/>
      </c>
    </row>
    <row r="2837">
      <c r="J2837">
        <f>IF(AND(ISNUMBER('Data'!$F$2838),'Data'!$F$2838&lt;&gt;999,'Data'!$F$2838&lt;&gt;""),'Data'!$F$2838,"")</f>
        <v/>
      </c>
      <c r="Z2837" t="n">
        <v>1</v>
      </c>
      <c r="AA2837">
        <f>IF(ISNUMBER('IN-CLASS_Lab Part C'!$J$2837),'IN-CLASS_Lab Part C'!$J$2837,NA())</f>
        <v/>
      </c>
    </row>
    <row r="2838">
      <c r="J2838">
        <f>IF(AND(ISNUMBER('Data'!$F$2839),'Data'!$F$2839&lt;&gt;999,'Data'!$F$2839&lt;&gt;""),'Data'!$F$2839,"")</f>
        <v/>
      </c>
      <c r="Z2838" t="n">
        <v>1</v>
      </c>
      <c r="AA2838">
        <f>IF(ISNUMBER('IN-CLASS_Lab Part C'!$J$2838),'IN-CLASS_Lab Part C'!$J$2838,NA())</f>
        <v/>
      </c>
    </row>
    <row r="2839">
      <c r="J2839">
        <f>IF(AND(ISNUMBER('Data'!$F$2840),'Data'!$F$2840&lt;&gt;999,'Data'!$F$2840&lt;&gt;""),'Data'!$F$2840,"")</f>
        <v/>
      </c>
      <c r="Z2839" t="n">
        <v>1</v>
      </c>
      <c r="AA2839">
        <f>IF(ISNUMBER('IN-CLASS_Lab Part C'!$J$2839),'IN-CLASS_Lab Part C'!$J$2839,NA())</f>
        <v/>
      </c>
    </row>
    <row r="2840">
      <c r="J2840">
        <f>IF(AND(ISNUMBER('Data'!$F$2841),'Data'!$F$2841&lt;&gt;999,'Data'!$F$2841&lt;&gt;""),'Data'!$F$2841,"")</f>
        <v/>
      </c>
      <c r="Z2840" t="n">
        <v>1</v>
      </c>
      <c r="AA2840">
        <f>IF(ISNUMBER('IN-CLASS_Lab Part C'!$J$2840),'IN-CLASS_Lab Part C'!$J$2840,NA())</f>
        <v/>
      </c>
    </row>
    <row r="2841">
      <c r="J2841">
        <f>IF(AND(ISNUMBER('Data'!$F$2842),'Data'!$F$2842&lt;&gt;999,'Data'!$F$2842&lt;&gt;""),'Data'!$F$2842,"")</f>
        <v/>
      </c>
      <c r="Z2841" t="n">
        <v>1</v>
      </c>
      <c r="AA2841">
        <f>IF(ISNUMBER('IN-CLASS_Lab Part C'!$J$2841),'IN-CLASS_Lab Part C'!$J$2841,NA())</f>
        <v/>
      </c>
    </row>
    <row r="2842">
      <c r="J2842">
        <f>IF(AND(ISNUMBER('Data'!$F$2843),'Data'!$F$2843&lt;&gt;999,'Data'!$F$2843&lt;&gt;""),'Data'!$F$2843,"")</f>
        <v/>
      </c>
      <c r="Z2842" t="n">
        <v>1</v>
      </c>
      <c r="AA2842">
        <f>IF(ISNUMBER('IN-CLASS_Lab Part C'!$J$2842),'IN-CLASS_Lab Part C'!$J$2842,NA())</f>
        <v/>
      </c>
    </row>
    <row r="2843">
      <c r="J2843">
        <f>IF(AND(ISNUMBER('Data'!$F$2844),'Data'!$F$2844&lt;&gt;999,'Data'!$F$2844&lt;&gt;""),'Data'!$F$2844,"")</f>
        <v/>
      </c>
      <c r="Z2843" t="n">
        <v>1</v>
      </c>
      <c r="AA2843">
        <f>IF(ISNUMBER('IN-CLASS_Lab Part C'!$J$2843),'IN-CLASS_Lab Part C'!$J$2843,NA())</f>
        <v/>
      </c>
    </row>
    <row r="2844">
      <c r="J2844">
        <f>IF(AND(ISNUMBER('Data'!$F$2845),'Data'!$F$2845&lt;&gt;999,'Data'!$F$2845&lt;&gt;""),'Data'!$F$2845,"")</f>
        <v/>
      </c>
      <c r="Z2844" t="n">
        <v>1</v>
      </c>
      <c r="AA2844">
        <f>IF(ISNUMBER('IN-CLASS_Lab Part C'!$J$2844),'IN-CLASS_Lab Part C'!$J$2844,NA())</f>
        <v/>
      </c>
    </row>
    <row r="2845">
      <c r="J2845">
        <f>IF(AND(ISNUMBER('Data'!$F$2846),'Data'!$F$2846&lt;&gt;999,'Data'!$F$2846&lt;&gt;""),'Data'!$F$2846,"")</f>
        <v/>
      </c>
      <c r="Z2845" t="n">
        <v>1</v>
      </c>
      <c r="AA2845">
        <f>IF(ISNUMBER('IN-CLASS_Lab Part C'!$J$2845),'IN-CLASS_Lab Part C'!$J$2845,NA())</f>
        <v/>
      </c>
    </row>
    <row r="2846">
      <c r="J2846">
        <f>IF(AND(ISNUMBER('Data'!$F$2847),'Data'!$F$2847&lt;&gt;999,'Data'!$F$2847&lt;&gt;""),'Data'!$F$2847,"")</f>
        <v/>
      </c>
      <c r="Z2846" t="n">
        <v>1</v>
      </c>
      <c r="AA2846">
        <f>IF(ISNUMBER('IN-CLASS_Lab Part C'!$J$2846),'IN-CLASS_Lab Part C'!$J$2846,NA())</f>
        <v/>
      </c>
    </row>
    <row r="2847">
      <c r="J2847">
        <f>IF(AND(ISNUMBER('Data'!$F$2848),'Data'!$F$2848&lt;&gt;999,'Data'!$F$2848&lt;&gt;""),'Data'!$F$2848,"")</f>
        <v/>
      </c>
      <c r="Z2847" t="n">
        <v>1</v>
      </c>
      <c r="AA2847">
        <f>IF(ISNUMBER('IN-CLASS_Lab Part C'!$J$2847),'IN-CLASS_Lab Part C'!$J$2847,NA())</f>
        <v/>
      </c>
    </row>
    <row r="2848">
      <c r="J2848">
        <f>IF(AND(ISNUMBER('Data'!$F$2849),'Data'!$F$2849&lt;&gt;999,'Data'!$F$2849&lt;&gt;""),'Data'!$F$2849,"")</f>
        <v/>
      </c>
      <c r="Z2848" t="n">
        <v>1</v>
      </c>
      <c r="AA2848">
        <f>IF(ISNUMBER('IN-CLASS_Lab Part C'!$J$2848),'IN-CLASS_Lab Part C'!$J$2848,NA())</f>
        <v/>
      </c>
    </row>
    <row r="2849">
      <c r="J2849">
        <f>IF(AND(ISNUMBER('Data'!$F$2850),'Data'!$F$2850&lt;&gt;999,'Data'!$F$2850&lt;&gt;""),'Data'!$F$2850,"")</f>
        <v/>
      </c>
      <c r="Z2849" t="n">
        <v>1</v>
      </c>
      <c r="AA2849">
        <f>IF(ISNUMBER('IN-CLASS_Lab Part C'!$J$2849),'IN-CLASS_Lab Part C'!$J$2849,NA())</f>
        <v/>
      </c>
    </row>
    <row r="2850">
      <c r="J2850">
        <f>IF(AND(ISNUMBER('Data'!$F$2851),'Data'!$F$2851&lt;&gt;999,'Data'!$F$2851&lt;&gt;""),'Data'!$F$2851,"")</f>
        <v/>
      </c>
      <c r="Z2850" t="n">
        <v>1</v>
      </c>
      <c r="AA2850">
        <f>IF(ISNUMBER('IN-CLASS_Lab Part C'!$J$2850),'IN-CLASS_Lab Part C'!$J$2850,NA())</f>
        <v/>
      </c>
    </row>
    <row r="2851">
      <c r="J2851">
        <f>IF(AND(ISNUMBER('Data'!$F$2852),'Data'!$F$2852&lt;&gt;999,'Data'!$F$2852&lt;&gt;""),'Data'!$F$2852,"")</f>
        <v/>
      </c>
      <c r="Z2851" t="n">
        <v>1</v>
      </c>
      <c r="AA2851">
        <f>IF(ISNUMBER('IN-CLASS_Lab Part C'!$J$2851),'IN-CLASS_Lab Part C'!$J$2851,NA())</f>
        <v/>
      </c>
    </row>
    <row r="2852">
      <c r="J2852">
        <f>IF(AND(ISNUMBER('Data'!$F$2853),'Data'!$F$2853&lt;&gt;999,'Data'!$F$2853&lt;&gt;""),'Data'!$F$2853,"")</f>
        <v/>
      </c>
      <c r="Z2852" t="n">
        <v>1</v>
      </c>
      <c r="AA2852">
        <f>IF(ISNUMBER('IN-CLASS_Lab Part C'!$J$2852),'IN-CLASS_Lab Part C'!$J$2852,NA())</f>
        <v/>
      </c>
    </row>
    <row r="2853">
      <c r="J2853">
        <f>IF(AND(ISNUMBER('Data'!$F$2854),'Data'!$F$2854&lt;&gt;999,'Data'!$F$2854&lt;&gt;""),'Data'!$F$2854,"")</f>
        <v/>
      </c>
      <c r="Z2853" t="n">
        <v>1</v>
      </c>
      <c r="AA2853">
        <f>IF(ISNUMBER('IN-CLASS_Lab Part C'!$J$2853),'IN-CLASS_Lab Part C'!$J$2853,NA())</f>
        <v/>
      </c>
    </row>
    <row r="2854">
      <c r="J2854">
        <f>IF(AND(ISNUMBER('Data'!$F$2855),'Data'!$F$2855&lt;&gt;999,'Data'!$F$2855&lt;&gt;""),'Data'!$F$2855,"")</f>
        <v/>
      </c>
      <c r="Z2854" t="n">
        <v>1</v>
      </c>
      <c r="AA2854">
        <f>IF(ISNUMBER('IN-CLASS_Lab Part C'!$J$2854),'IN-CLASS_Lab Part C'!$J$2854,NA())</f>
        <v/>
      </c>
    </row>
    <row r="2855">
      <c r="J2855">
        <f>IF(AND(ISNUMBER('Data'!$F$2856),'Data'!$F$2856&lt;&gt;999,'Data'!$F$2856&lt;&gt;""),'Data'!$F$2856,"")</f>
        <v/>
      </c>
      <c r="Z2855" t="n">
        <v>1</v>
      </c>
      <c r="AA2855">
        <f>IF(ISNUMBER('IN-CLASS_Lab Part C'!$J$2855),'IN-CLASS_Lab Part C'!$J$2855,NA())</f>
        <v/>
      </c>
    </row>
    <row r="2856">
      <c r="J2856">
        <f>IF(AND(ISNUMBER('Data'!$F$2857),'Data'!$F$2857&lt;&gt;999,'Data'!$F$2857&lt;&gt;""),'Data'!$F$2857,"")</f>
        <v/>
      </c>
      <c r="Z2856" t="n">
        <v>1</v>
      </c>
      <c r="AA2856">
        <f>IF(ISNUMBER('IN-CLASS_Lab Part C'!$J$2856),'IN-CLASS_Lab Part C'!$J$2856,NA())</f>
        <v/>
      </c>
    </row>
    <row r="2857">
      <c r="J2857">
        <f>IF(AND(ISNUMBER('Data'!$F$2858),'Data'!$F$2858&lt;&gt;999,'Data'!$F$2858&lt;&gt;""),'Data'!$F$2858,"")</f>
        <v/>
      </c>
      <c r="Z2857" t="n">
        <v>1</v>
      </c>
      <c r="AA2857">
        <f>IF(ISNUMBER('IN-CLASS_Lab Part C'!$J$2857),'IN-CLASS_Lab Part C'!$J$2857,NA())</f>
        <v/>
      </c>
    </row>
    <row r="2858">
      <c r="J2858">
        <f>IF(AND(ISNUMBER('Data'!$F$2859),'Data'!$F$2859&lt;&gt;999,'Data'!$F$2859&lt;&gt;""),'Data'!$F$2859,"")</f>
        <v/>
      </c>
      <c r="Z2858" t="n">
        <v>1</v>
      </c>
      <c r="AA2858">
        <f>IF(ISNUMBER('IN-CLASS_Lab Part C'!$J$2858),'IN-CLASS_Lab Part C'!$J$2858,NA())</f>
        <v/>
      </c>
    </row>
    <row r="2859">
      <c r="J2859">
        <f>IF(AND(ISNUMBER('Data'!$F$2860),'Data'!$F$2860&lt;&gt;999,'Data'!$F$2860&lt;&gt;""),'Data'!$F$2860,"")</f>
        <v/>
      </c>
      <c r="Z2859" t="n">
        <v>1</v>
      </c>
      <c r="AA2859">
        <f>IF(ISNUMBER('IN-CLASS_Lab Part C'!$J$2859),'IN-CLASS_Lab Part C'!$J$2859,NA())</f>
        <v/>
      </c>
    </row>
    <row r="2860">
      <c r="J2860">
        <f>IF(AND(ISNUMBER('Data'!$F$2861),'Data'!$F$2861&lt;&gt;999,'Data'!$F$2861&lt;&gt;""),'Data'!$F$2861,"")</f>
        <v/>
      </c>
      <c r="Z2860" t="n">
        <v>1</v>
      </c>
      <c r="AA2860">
        <f>IF(ISNUMBER('IN-CLASS_Lab Part C'!$J$2860),'IN-CLASS_Lab Part C'!$J$2860,NA())</f>
        <v/>
      </c>
    </row>
    <row r="2861">
      <c r="J2861">
        <f>IF(AND(ISNUMBER('Data'!$F$2862),'Data'!$F$2862&lt;&gt;999,'Data'!$F$2862&lt;&gt;""),'Data'!$F$2862,"")</f>
        <v/>
      </c>
      <c r="Z2861" t="n">
        <v>1</v>
      </c>
      <c r="AA2861">
        <f>IF(ISNUMBER('IN-CLASS_Lab Part C'!$J$2861),'IN-CLASS_Lab Part C'!$J$2861,NA())</f>
        <v/>
      </c>
    </row>
    <row r="2862">
      <c r="J2862">
        <f>IF(AND(ISNUMBER('Data'!$F$2863),'Data'!$F$2863&lt;&gt;999,'Data'!$F$2863&lt;&gt;""),'Data'!$F$2863,"")</f>
        <v/>
      </c>
      <c r="Z2862" t="n">
        <v>1</v>
      </c>
      <c r="AA2862">
        <f>IF(ISNUMBER('IN-CLASS_Lab Part C'!$J$2862),'IN-CLASS_Lab Part C'!$J$2862,NA())</f>
        <v/>
      </c>
    </row>
    <row r="2863">
      <c r="J2863">
        <f>IF(AND(ISNUMBER('Data'!$F$2864),'Data'!$F$2864&lt;&gt;999,'Data'!$F$2864&lt;&gt;""),'Data'!$F$2864,"")</f>
        <v/>
      </c>
      <c r="Z2863" t="n">
        <v>1</v>
      </c>
      <c r="AA2863">
        <f>IF(ISNUMBER('IN-CLASS_Lab Part C'!$J$2863),'IN-CLASS_Lab Part C'!$J$2863,NA())</f>
        <v/>
      </c>
    </row>
    <row r="2864">
      <c r="J2864">
        <f>IF(AND(ISNUMBER('Data'!$F$2865),'Data'!$F$2865&lt;&gt;999,'Data'!$F$2865&lt;&gt;""),'Data'!$F$2865,"")</f>
        <v/>
      </c>
      <c r="Z2864" t="n">
        <v>1</v>
      </c>
      <c r="AA2864">
        <f>IF(ISNUMBER('IN-CLASS_Lab Part C'!$J$2864),'IN-CLASS_Lab Part C'!$J$2864,NA())</f>
        <v/>
      </c>
    </row>
    <row r="2865">
      <c r="J2865">
        <f>IF(AND(ISNUMBER('Data'!$F$2866),'Data'!$F$2866&lt;&gt;999,'Data'!$F$2866&lt;&gt;""),'Data'!$F$2866,"")</f>
        <v/>
      </c>
      <c r="Z2865" t="n">
        <v>1</v>
      </c>
      <c r="AA2865">
        <f>IF(ISNUMBER('IN-CLASS_Lab Part C'!$J$2865),'IN-CLASS_Lab Part C'!$J$2865,NA())</f>
        <v/>
      </c>
    </row>
    <row r="2866">
      <c r="J2866">
        <f>IF(AND(ISNUMBER('Data'!$F$2867),'Data'!$F$2867&lt;&gt;999,'Data'!$F$2867&lt;&gt;""),'Data'!$F$2867,"")</f>
        <v/>
      </c>
      <c r="Z2866" t="n">
        <v>1</v>
      </c>
      <c r="AA2866">
        <f>IF(ISNUMBER('IN-CLASS_Lab Part C'!$J$2866),'IN-CLASS_Lab Part C'!$J$2866,NA())</f>
        <v/>
      </c>
    </row>
    <row r="2867">
      <c r="J2867">
        <f>IF(AND(ISNUMBER('Data'!$F$2868),'Data'!$F$2868&lt;&gt;999,'Data'!$F$2868&lt;&gt;""),'Data'!$F$2868,"")</f>
        <v/>
      </c>
      <c r="Z2867" t="n">
        <v>1</v>
      </c>
      <c r="AA2867">
        <f>IF(ISNUMBER('IN-CLASS_Lab Part C'!$J$2867),'IN-CLASS_Lab Part C'!$J$2867,NA())</f>
        <v/>
      </c>
    </row>
    <row r="2868">
      <c r="J2868">
        <f>IF(AND(ISNUMBER('Data'!$F$2869),'Data'!$F$2869&lt;&gt;999,'Data'!$F$2869&lt;&gt;""),'Data'!$F$2869,"")</f>
        <v/>
      </c>
      <c r="Z2868" t="n">
        <v>1</v>
      </c>
      <c r="AA2868">
        <f>IF(ISNUMBER('IN-CLASS_Lab Part C'!$J$2868),'IN-CLASS_Lab Part C'!$J$2868,NA())</f>
        <v/>
      </c>
    </row>
    <row r="2869">
      <c r="J2869">
        <f>IF(AND(ISNUMBER('Data'!$F$2870),'Data'!$F$2870&lt;&gt;999,'Data'!$F$2870&lt;&gt;""),'Data'!$F$2870,"")</f>
        <v/>
      </c>
      <c r="Z2869" t="n">
        <v>1</v>
      </c>
      <c r="AA2869">
        <f>IF(ISNUMBER('IN-CLASS_Lab Part C'!$J$2869),'IN-CLASS_Lab Part C'!$J$2869,NA())</f>
        <v/>
      </c>
    </row>
    <row r="2870">
      <c r="J2870">
        <f>IF(AND(ISNUMBER('Data'!$F$2871),'Data'!$F$2871&lt;&gt;999,'Data'!$F$2871&lt;&gt;""),'Data'!$F$2871,"")</f>
        <v/>
      </c>
      <c r="Z2870" t="n">
        <v>1</v>
      </c>
      <c r="AA2870">
        <f>IF(ISNUMBER('IN-CLASS_Lab Part C'!$J$2870),'IN-CLASS_Lab Part C'!$J$2870,NA())</f>
        <v/>
      </c>
    </row>
    <row r="2871">
      <c r="J2871">
        <f>IF(AND(ISNUMBER('Data'!$F$2872),'Data'!$F$2872&lt;&gt;999,'Data'!$F$2872&lt;&gt;""),'Data'!$F$2872,"")</f>
        <v/>
      </c>
      <c r="Z2871" t="n">
        <v>1</v>
      </c>
      <c r="AA2871">
        <f>IF(ISNUMBER('IN-CLASS_Lab Part C'!$J$2871),'IN-CLASS_Lab Part C'!$J$2871,NA())</f>
        <v/>
      </c>
    </row>
    <row r="2872">
      <c r="J2872">
        <f>IF(AND(ISNUMBER('Data'!$F$2873),'Data'!$F$2873&lt;&gt;999,'Data'!$F$2873&lt;&gt;""),'Data'!$F$2873,"")</f>
        <v/>
      </c>
      <c r="Z2872" t="n">
        <v>1</v>
      </c>
      <c r="AA2872">
        <f>IF(ISNUMBER('IN-CLASS_Lab Part C'!$J$2872),'IN-CLASS_Lab Part C'!$J$2872,NA())</f>
        <v/>
      </c>
    </row>
    <row r="2873">
      <c r="J2873">
        <f>IF(AND(ISNUMBER('Data'!$F$2874),'Data'!$F$2874&lt;&gt;999,'Data'!$F$2874&lt;&gt;""),'Data'!$F$2874,"")</f>
        <v/>
      </c>
      <c r="Z2873" t="n">
        <v>1</v>
      </c>
      <c r="AA2873">
        <f>IF(ISNUMBER('IN-CLASS_Lab Part C'!$J$2873),'IN-CLASS_Lab Part C'!$J$2873,NA())</f>
        <v/>
      </c>
    </row>
    <row r="2874">
      <c r="J2874">
        <f>IF(AND(ISNUMBER('Data'!$F$2875),'Data'!$F$2875&lt;&gt;999,'Data'!$F$2875&lt;&gt;""),'Data'!$F$2875,"")</f>
        <v/>
      </c>
      <c r="Z2874" t="n">
        <v>1</v>
      </c>
      <c r="AA2874">
        <f>IF(ISNUMBER('IN-CLASS_Lab Part C'!$J$2874),'IN-CLASS_Lab Part C'!$J$2874,NA())</f>
        <v/>
      </c>
    </row>
    <row r="2875">
      <c r="J2875">
        <f>IF(AND(ISNUMBER('Data'!$F$2876),'Data'!$F$2876&lt;&gt;999,'Data'!$F$2876&lt;&gt;""),'Data'!$F$2876,"")</f>
        <v/>
      </c>
      <c r="Z2875" t="n">
        <v>1</v>
      </c>
      <c r="AA2875">
        <f>IF(ISNUMBER('IN-CLASS_Lab Part C'!$J$2875),'IN-CLASS_Lab Part C'!$J$2875,NA())</f>
        <v/>
      </c>
    </row>
    <row r="2876">
      <c r="J2876">
        <f>IF(AND(ISNUMBER('Data'!$F$2877),'Data'!$F$2877&lt;&gt;999,'Data'!$F$2877&lt;&gt;""),'Data'!$F$2877,"")</f>
        <v/>
      </c>
      <c r="Z2876" t="n">
        <v>1</v>
      </c>
      <c r="AA2876">
        <f>IF(ISNUMBER('IN-CLASS_Lab Part C'!$J$2876),'IN-CLASS_Lab Part C'!$J$2876,NA())</f>
        <v/>
      </c>
    </row>
    <row r="2877">
      <c r="J2877">
        <f>IF(AND(ISNUMBER('Data'!$F$2878),'Data'!$F$2878&lt;&gt;999,'Data'!$F$2878&lt;&gt;""),'Data'!$F$2878,"")</f>
        <v/>
      </c>
      <c r="Z2877" t="n">
        <v>1</v>
      </c>
      <c r="AA2877">
        <f>IF(ISNUMBER('IN-CLASS_Lab Part C'!$J$2877),'IN-CLASS_Lab Part C'!$J$2877,NA())</f>
        <v/>
      </c>
    </row>
    <row r="2878">
      <c r="J2878">
        <f>IF(AND(ISNUMBER('Data'!$F$2879),'Data'!$F$2879&lt;&gt;999,'Data'!$F$2879&lt;&gt;""),'Data'!$F$2879,"")</f>
        <v/>
      </c>
      <c r="Z2878" t="n">
        <v>1</v>
      </c>
      <c r="AA2878">
        <f>IF(ISNUMBER('IN-CLASS_Lab Part C'!$J$2878),'IN-CLASS_Lab Part C'!$J$2878,NA())</f>
        <v/>
      </c>
    </row>
    <row r="2879">
      <c r="J2879">
        <f>IF(AND(ISNUMBER('Data'!$F$2880),'Data'!$F$2880&lt;&gt;999,'Data'!$F$2880&lt;&gt;""),'Data'!$F$2880,"")</f>
        <v/>
      </c>
      <c r="Z2879" t="n">
        <v>1</v>
      </c>
      <c r="AA2879">
        <f>IF(ISNUMBER('IN-CLASS_Lab Part C'!$J$2879),'IN-CLASS_Lab Part C'!$J$2879,NA())</f>
        <v/>
      </c>
    </row>
    <row r="2880">
      <c r="J2880">
        <f>IF(AND(ISNUMBER('Data'!$F$2881),'Data'!$F$2881&lt;&gt;999,'Data'!$F$2881&lt;&gt;""),'Data'!$F$2881,"")</f>
        <v/>
      </c>
      <c r="Z2880" t="n">
        <v>1</v>
      </c>
      <c r="AA2880">
        <f>IF(ISNUMBER('IN-CLASS_Lab Part C'!$J$2880),'IN-CLASS_Lab Part C'!$J$2880,NA())</f>
        <v/>
      </c>
    </row>
    <row r="2881">
      <c r="J2881">
        <f>IF(AND(ISNUMBER('Data'!$F$2882),'Data'!$F$2882&lt;&gt;999,'Data'!$F$2882&lt;&gt;""),'Data'!$F$2882,"")</f>
        <v/>
      </c>
      <c r="Z2881" t="n">
        <v>1</v>
      </c>
      <c r="AA2881">
        <f>IF(ISNUMBER('IN-CLASS_Lab Part C'!$J$2881),'IN-CLASS_Lab Part C'!$J$2881,NA())</f>
        <v/>
      </c>
    </row>
    <row r="2882">
      <c r="J2882">
        <f>IF(AND(ISNUMBER('Data'!$F$2883),'Data'!$F$2883&lt;&gt;999,'Data'!$F$2883&lt;&gt;""),'Data'!$F$2883,"")</f>
        <v/>
      </c>
      <c r="Z2882" t="n">
        <v>1</v>
      </c>
      <c r="AA2882">
        <f>IF(ISNUMBER('IN-CLASS_Lab Part C'!$J$2882),'IN-CLASS_Lab Part C'!$J$2882,NA())</f>
        <v/>
      </c>
    </row>
    <row r="2883">
      <c r="J2883">
        <f>IF(AND(ISNUMBER('Data'!$F$2884),'Data'!$F$2884&lt;&gt;999,'Data'!$F$2884&lt;&gt;""),'Data'!$F$2884,"")</f>
        <v/>
      </c>
      <c r="Z2883" t="n">
        <v>1</v>
      </c>
      <c r="AA2883">
        <f>IF(ISNUMBER('IN-CLASS_Lab Part C'!$J$2883),'IN-CLASS_Lab Part C'!$J$2883,NA())</f>
        <v/>
      </c>
    </row>
    <row r="2884">
      <c r="J2884">
        <f>IF(AND(ISNUMBER('Data'!$F$2885),'Data'!$F$2885&lt;&gt;999,'Data'!$F$2885&lt;&gt;""),'Data'!$F$2885,"")</f>
        <v/>
      </c>
      <c r="Z2884" t="n">
        <v>1</v>
      </c>
      <c r="AA2884">
        <f>IF(ISNUMBER('IN-CLASS_Lab Part C'!$J$2884),'IN-CLASS_Lab Part C'!$J$2884,NA())</f>
        <v/>
      </c>
    </row>
    <row r="2885">
      <c r="J2885">
        <f>IF(AND(ISNUMBER('Data'!$F$2886),'Data'!$F$2886&lt;&gt;999,'Data'!$F$2886&lt;&gt;""),'Data'!$F$2886,"")</f>
        <v/>
      </c>
      <c r="Z2885" t="n">
        <v>1</v>
      </c>
      <c r="AA2885">
        <f>IF(ISNUMBER('IN-CLASS_Lab Part C'!$J$2885),'IN-CLASS_Lab Part C'!$J$2885,NA())</f>
        <v/>
      </c>
    </row>
    <row r="2886">
      <c r="J2886">
        <f>IF(AND(ISNUMBER('Data'!$F$2887),'Data'!$F$2887&lt;&gt;999,'Data'!$F$2887&lt;&gt;""),'Data'!$F$2887,"")</f>
        <v/>
      </c>
      <c r="Z2886" t="n">
        <v>1</v>
      </c>
      <c r="AA2886">
        <f>IF(ISNUMBER('IN-CLASS_Lab Part C'!$J$2886),'IN-CLASS_Lab Part C'!$J$2886,NA())</f>
        <v/>
      </c>
    </row>
    <row r="2887">
      <c r="J2887">
        <f>IF(AND(ISNUMBER('Data'!$F$2888),'Data'!$F$2888&lt;&gt;999,'Data'!$F$2888&lt;&gt;""),'Data'!$F$2888,"")</f>
        <v/>
      </c>
      <c r="Z2887" t="n">
        <v>1</v>
      </c>
      <c r="AA2887">
        <f>IF(ISNUMBER('IN-CLASS_Lab Part C'!$J$2887),'IN-CLASS_Lab Part C'!$J$2887,NA())</f>
        <v/>
      </c>
    </row>
    <row r="2888">
      <c r="J2888">
        <f>IF(AND(ISNUMBER('Data'!$F$2889),'Data'!$F$2889&lt;&gt;999,'Data'!$F$2889&lt;&gt;""),'Data'!$F$2889,"")</f>
        <v/>
      </c>
      <c r="Z2888" t="n">
        <v>1</v>
      </c>
      <c r="AA2888">
        <f>IF(ISNUMBER('IN-CLASS_Lab Part C'!$J$2888),'IN-CLASS_Lab Part C'!$J$2888,NA())</f>
        <v/>
      </c>
    </row>
    <row r="2889">
      <c r="J2889">
        <f>IF(AND(ISNUMBER('Data'!$F$2890),'Data'!$F$2890&lt;&gt;999,'Data'!$F$2890&lt;&gt;""),'Data'!$F$2890,"")</f>
        <v/>
      </c>
      <c r="Z2889" t="n">
        <v>1</v>
      </c>
      <c r="AA2889">
        <f>IF(ISNUMBER('IN-CLASS_Lab Part C'!$J$2889),'IN-CLASS_Lab Part C'!$J$2889,NA())</f>
        <v/>
      </c>
    </row>
    <row r="2890">
      <c r="J2890">
        <f>IF(AND(ISNUMBER('Data'!$F$2891),'Data'!$F$2891&lt;&gt;999,'Data'!$F$2891&lt;&gt;""),'Data'!$F$2891,"")</f>
        <v/>
      </c>
      <c r="Z2890" t="n">
        <v>1</v>
      </c>
      <c r="AA2890">
        <f>IF(ISNUMBER('IN-CLASS_Lab Part C'!$J$2890),'IN-CLASS_Lab Part C'!$J$2890,NA())</f>
        <v/>
      </c>
    </row>
    <row r="2891">
      <c r="J2891">
        <f>IF(AND(ISNUMBER('Data'!$F$2892),'Data'!$F$2892&lt;&gt;999,'Data'!$F$2892&lt;&gt;""),'Data'!$F$2892,"")</f>
        <v/>
      </c>
      <c r="Z2891" t="n">
        <v>1</v>
      </c>
      <c r="AA2891">
        <f>IF(ISNUMBER('IN-CLASS_Lab Part C'!$J$2891),'IN-CLASS_Lab Part C'!$J$2891,NA())</f>
        <v/>
      </c>
    </row>
    <row r="2892">
      <c r="J2892">
        <f>IF(AND(ISNUMBER('Data'!$F$2893),'Data'!$F$2893&lt;&gt;999,'Data'!$F$2893&lt;&gt;""),'Data'!$F$2893,"")</f>
        <v/>
      </c>
      <c r="Z2892" t="n">
        <v>1</v>
      </c>
      <c r="AA2892">
        <f>IF(ISNUMBER('IN-CLASS_Lab Part C'!$J$2892),'IN-CLASS_Lab Part C'!$J$2892,NA())</f>
        <v/>
      </c>
    </row>
    <row r="2893">
      <c r="J2893">
        <f>IF(AND(ISNUMBER('Data'!$F$2894),'Data'!$F$2894&lt;&gt;999,'Data'!$F$2894&lt;&gt;""),'Data'!$F$2894,"")</f>
        <v/>
      </c>
      <c r="Z2893" t="n">
        <v>1</v>
      </c>
      <c r="AA2893">
        <f>IF(ISNUMBER('IN-CLASS_Lab Part C'!$J$2893),'IN-CLASS_Lab Part C'!$J$2893,NA())</f>
        <v/>
      </c>
    </row>
    <row r="2894">
      <c r="J2894">
        <f>IF(AND(ISNUMBER('Data'!$F$2895),'Data'!$F$2895&lt;&gt;999,'Data'!$F$2895&lt;&gt;""),'Data'!$F$2895,"")</f>
        <v/>
      </c>
      <c r="Z2894" t="n">
        <v>1</v>
      </c>
      <c r="AA2894">
        <f>IF(ISNUMBER('IN-CLASS_Lab Part C'!$J$2894),'IN-CLASS_Lab Part C'!$J$2894,NA())</f>
        <v/>
      </c>
    </row>
    <row r="2895">
      <c r="J2895">
        <f>IF(AND(ISNUMBER('Data'!$F$2896),'Data'!$F$2896&lt;&gt;999,'Data'!$F$2896&lt;&gt;""),'Data'!$F$2896,"")</f>
        <v/>
      </c>
      <c r="Z2895" t="n">
        <v>1</v>
      </c>
      <c r="AA2895">
        <f>IF(ISNUMBER('IN-CLASS_Lab Part C'!$J$2895),'IN-CLASS_Lab Part C'!$J$2895,NA())</f>
        <v/>
      </c>
    </row>
    <row r="2896">
      <c r="J2896">
        <f>IF(AND(ISNUMBER('Data'!$F$2897),'Data'!$F$2897&lt;&gt;999,'Data'!$F$2897&lt;&gt;""),'Data'!$F$2897,"")</f>
        <v/>
      </c>
      <c r="Z2896" t="n">
        <v>1</v>
      </c>
      <c r="AA2896">
        <f>IF(ISNUMBER('IN-CLASS_Lab Part C'!$J$2896),'IN-CLASS_Lab Part C'!$J$2896,NA())</f>
        <v/>
      </c>
    </row>
    <row r="2897">
      <c r="J2897">
        <f>IF(AND(ISNUMBER('Data'!$F$2898),'Data'!$F$2898&lt;&gt;999,'Data'!$F$2898&lt;&gt;""),'Data'!$F$2898,"")</f>
        <v/>
      </c>
      <c r="Z2897" t="n">
        <v>1</v>
      </c>
      <c r="AA2897">
        <f>IF(ISNUMBER('IN-CLASS_Lab Part C'!$J$2897),'IN-CLASS_Lab Part C'!$J$2897,NA())</f>
        <v/>
      </c>
    </row>
    <row r="2898">
      <c r="J2898">
        <f>IF(AND(ISNUMBER('Data'!$F$2899),'Data'!$F$2899&lt;&gt;999,'Data'!$F$2899&lt;&gt;""),'Data'!$F$2899,"")</f>
        <v/>
      </c>
      <c r="Z2898" t="n">
        <v>1</v>
      </c>
      <c r="AA2898">
        <f>IF(ISNUMBER('IN-CLASS_Lab Part C'!$J$2898),'IN-CLASS_Lab Part C'!$J$2898,NA())</f>
        <v/>
      </c>
    </row>
    <row r="2899">
      <c r="J2899">
        <f>IF(AND(ISNUMBER('Data'!$F$2900),'Data'!$F$2900&lt;&gt;999,'Data'!$F$2900&lt;&gt;""),'Data'!$F$2900,"")</f>
        <v/>
      </c>
      <c r="Z2899" t="n">
        <v>1</v>
      </c>
      <c r="AA2899">
        <f>IF(ISNUMBER('IN-CLASS_Lab Part C'!$J$2899),'IN-CLASS_Lab Part C'!$J$2899,NA())</f>
        <v/>
      </c>
    </row>
    <row r="2900">
      <c r="J2900">
        <f>IF(AND(ISNUMBER('Data'!$F$2901),'Data'!$F$2901&lt;&gt;999,'Data'!$F$2901&lt;&gt;""),'Data'!$F$2901,"")</f>
        <v/>
      </c>
      <c r="Z2900" t="n">
        <v>1</v>
      </c>
      <c r="AA2900">
        <f>IF(ISNUMBER('IN-CLASS_Lab Part C'!$J$2900),'IN-CLASS_Lab Part C'!$J$2900,NA())</f>
        <v/>
      </c>
    </row>
    <row r="2901">
      <c r="J2901">
        <f>IF(AND(ISNUMBER('Data'!$F$2902),'Data'!$F$2902&lt;&gt;999,'Data'!$F$2902&lt;&gt;""),'Data'!$F$2902,"")</f>
        <v/>
      </c>
      <c r="Z2901" t="n">
        <v>1</v>
      </c>
      <c r="AA2901">
        <f>IF(ISNUMBER('IN-CLASS_Lab Part C'!$J$2901),'IN-CLASS_Lab Part C'!$J$2901,NA())</f>
        <v/>
      </c>
    </row>
    <row r="2902">
      <c r="J2902">
        <f>IF(AND(ISNUMBER('Data'!$F$2903),'Data'!$F$2903&lt;&gt;999,'Data'!$F$2903&lt;&gt;""),'Data'!$F$2903,"")</f>
        <v/>
      </c>
      <c r="Z2902" t="n">
        <v>1</v>
      </c>
      <c r="AA2902">
        <f>IF(ISNUMBER('IN-CLASS_Lab Part C'!$J$2902),'IN-CLASS_Lab Part C'!$J$2902,NA())</f>
        <v/>
      </c>
    </row>
    <row r="2903">
      <c r="J2903">
        <f>IF(AND(ISNUMBER('Data'!$F$2904),'Data'!$F$2904&lt;&gt;999,'Data'!$F$2904&lt;&gt;""),'Data'!$F$2904,"")</f>
        <v/>
      </c>
      <c r="Z2903" t="n">
        <v>1</v>
      </c>
      <c r="AA2903">
        <f>IF(ISNUMBER('IN-CLASS_Lab Part C'!$J$2903),'IN-CLASS_Lab Part C'!$J$2903,NA())</f>
        <v/>
      </c>
    </row>
    <row r="2904">
      <c r="J2904">
        <f>IF(AND(ISNUMBER('Data'!$F$2905),'Data'!$F$2905&lt;&gt;999,'Data'!$F$2905&lt;&gt;""),'Data'!$F$2905,"")</f>
        <v/>
      </c>
      <c r="Z2904" t="n">
        <v>1</v>
      </c>
      <c r="AA2904">
        <f>IF(ISNUMBER('IN-CLASS_Lab Part C'!$J$2904),'IN-CLASS_Lab Part C'!$J$2904,NA())</f>
        <v/>
      </c>
    </row>
    <row r="2905">
      <c r="J2905">
        <f>IF(AND(ISNUMBER('Data'!$F$2906),'Data'!$F$2906&lt;&gt;999,'Data'!$F$2906&lt;&gt;""),'Data'!$F$2906,"")</f>
        <v/>
      </c>
      <c r="Z2905" t="n">
        <v>1</v>
      </c>
      <c r="AA2905">
        <f>IF(ISNUMBER('IN-CLASS_Lab Part C'!$J$2905),'IN-CLASS_Lab Part C'!$J$2905,NA())</f>
        <v/>
      </c>
    </row>
    <row r="2906">
      <c r="J2906">
        <f>IF(AND(ISNUMBER('Data'!$F$2907),'Data'!$F$2907&lt;&gt;999,'Data'!$F$2907&lt;&gt;""),'Data'!$F$2907,"")</f>
        <v/>
      </c>
      <c r="Z2906" t="n">
        <v>1</v>
      </c>
      <c r="AA2906">
        <f>IF(ISNUMBER('IN-CLASS_Lab Part C'!$J$2906),'IN-CLASS_Lab Part C'!$J$2906,NA())</f>
        <v/>
      </c>
    </row>
    <row r="2907">
      <c r="J2907">
        <f>IF(AND(ISNUMBER('Data'!$F$2908),'Data'!$F$2908&lt;&gt;999,'Data'!$F$2908&lt;&gt;""),'Data'!$F$2908,"")</f>
        <v/>
      </c>
      <c r="Z2907" t="n">
        <v>1</v>
      </c>
      <c r="AA2907">
        <f>IF(ISNUMBER('IN-CLASS_Lab Part C'!$J$2907),'IN-CLASS_Lab Part C'!$J$2907,NA())</f>
        <v/>
      </c>
    </row>
    <row r="2908">
      <c r="J2908">
        <f>IF(AND(ISNUMBER('Data'!$F$2909),'Data'!$F$2909&lt;&gt;999,'Data'!$F$2909&lt;&gt;""),'Data'!$F$2909,"")</f>
        <v/>
      </c>
      <c r="Z2908" t="n">
        <v>1</v>
      </c>
      <c r="AA2908">
        <f>IF(ISNUMBER('IN-CLASS_Lab Part C'!$J$2908),'IN-CLASS_Lab Part C'!$J$2908,NA())</f>
        <v/>
      </c>
    </row>
    <row r="2909">
      <c r="J2909">
        <f>IF(AND(ISNUMBER('Data'!$F$2910),'Data'!$F$2910&lt;&gt;999,'Data'!$F$2910&lt;&gt;""),'Data'!$F$2910,"")</f>
        <v/>
      </c>
      <c r="Z2909" t="n">
        <v>1</v>
      </c>
      <c r="AA2909">
        <f>IF(ISNUMBER('IN-CLASS_Lab Part C'!$J$2909),'IN-CLASS_Lab Part C'!$J$2909,NA())</f>
        <v/>
      </c>
    </row>
    <row r="2910">
      <c r="J2910">
        <f>IF(AND(ISNUMBER('Data'!$F$2911),'Data'!$F$2911&lt;&gt;999,'Data'!$F$2911&lt;&gt;""),'Data'!$F$2911,"")</f>
        <v/>
      </c>
      <c r="Z2910" t="n">
        <v>1</v>
      </c>
      <c r="AA2910">
        <f>IF(ISNUMBER('IN-CLASS_Lab Part C'!$J$2910),'IN-CLASS_Lab Part C'!$J$2910,NA())</f>
        <v/>
      </c>
    </row>
    <row r="2911">
      <c r="J2911">
        <f>IF(AND(ISNUMBER('Data'!$F$2912),'Data'!$F$2912&lt;&gt;999,'Data'!$F$2912&lt;&gt;""),'Data'!$F$2912,"")</f>
        <v/>
      </c>
      <c r="Z2911" t="n">
        <v>1</v>
      </c>
      <c r="AA2911">
        <f>IF(ISNUMBER('IN-CLASS_Lab Part C'!$J$2911),'IN-CLASS_Lab Part C'!$J$2911,NA())</f>
        <v/>
      </c>
    </row>
    <row r="2912">
      <c r="J2912">
        <f>IF(AND(ISNUMBER('Data'!$F$2913),'Data'!$F$2913&lt;&gt;999,'Data'!$F$2913&lt;&gt;""),'Data'!$F$2913,"")</f>
        <v/>
      </c>
      <c r="Z2912" t="n">
        <v>1</v>
      </c>
      <c r="AA2912">
        <f>IF(ISNUMBER('IN-CLASS_Lab Part C'!$J$2912),'IN-CLASS_Lab Part C'!$J$2912,NA())</f>
        <v/>
      </c>
    </row>
    <row r="2913">
      <c r="J2913">
        <f>IF(AND(ISNUMBER('Data'!$F$2914),'Data'!$F$2914&lt;&gt;999,'Data'!$F$2914&lt;&gt;""),'Data'!$F$2914,"")</f>
        <v/>
      </c>
      <c r="Z2913" t="n">
        <v>1</v>
      </c>
      <c r="AA2913">
        <f>IF(ISNUMBER('IN-CLASS_Lab Part C'!$J$2913),'IN-CLASS_Lab Part C'!$J$2913,NA())</f>
        <v/>
      </c>
    </row>
    <row r="2914">
      <c r="J2914">
        <f>IF(AND(ISNUMBER('Data'!$F$2915),'Data'!$F$2915&lt;&gt;999,'Data'!$F$2915&lt;&gt;""),'Data'!$F$2915,"")</f>
        <v/>
      </c>
      <c r="Z2914" t="n">
        <v>1</v>
      </c>
      <c r="AA2914">
        <f>IF(ISNUMBER('IN-CLASS_Lab Part C'!$J$2914),'IN-CLASS_Lab Part C'!$J$2914,NA())</f>
        <v/>
      </c>
    </row>
    <row r="2915">
      <c r="J2915">
        <f>IF(AND(ISNUMBER('Data'!$F$2916),'Data'!$F$2916&lt;&gt;999,'Data'!$F$2916&lt;&gt;""),'Data'!$F$2916,"")</f>
        <v/>
      </c>
      <c r="Z2915" t="n">
        <v>1</v>
      </c>
      <c r="AA2915">
        <f>IF(ISNUMBER('IN-CLASS_Lab Part C'!$J$2915),'IN-CLASS_Lab Part C'!$J$2915,NA())</f>
        <v/>
      </c>
    </row>
    <row r="2916">
      <c r="J2916">
        <f>IF(AND(ISNUMBER('Data'!$F$2917),'Data'!$F$2917&lt;&gt;999,'Data'!$F$2917&lt;&gt;""),'Data'!$F$2917,"")</f>
        <v/>
      </c>
      <c r="Z2916" t="n">
        <v>1</v>
      </c>
      <c r="AA2916">
        <f>IF(ISNUMBER('IN-CLASS_Lab Part C'!$J$2916),'IN-CLASS_Lab Part C'!$J$2916,NA())</f>
        <v/>
      </c>
    </row>
    <row r="2917">
      <c r="J2917">
        <f>IF(AND(ISNUMBER('Data'!$F$2918),'Data'!$F$2918&lt;&gt;999,'Data'!$F$2918&lt;&gt;""),'Data'!$F$2918,"")</f>
        <v/>
      </c>
      <c r="Z2917" t="n">
        <v>1</v>
      </c>
      <c r="AA2917">
        <f>IF(ISNUMBER('IN-CLASS_Lab Part C'!$J$2917),'IN-CLASS_Lab Part C'!$J$2917,NA())</f>
        <v/>
      </c>
    </row>
    <row r="2918">
      <c r="J2918">
        <f>IF(AND(ISNUMBER('Data'!$F$2919),'Data'!$F$2919&lt;&gt;999,'Data'!$F$2919&lt;&gt;""),'Data'!$F$2919,"")</f>
        <v/>
      </c>
      <c r="Z2918" t="n">
        <v>1</v>
      </c>
      <c r="AA2918">
        <f>IF(ISNUMBER('IN-CLASS_Lab Part C'!$J$2918),'IN-CLASS_Lab Part C'!$J$2918,NA())</f>
        <v/>
      </c>
    </row>
    <row r="2919">
      <c r="J2919">
        <f>IF(AND(ISNUMBER('Data'!$F$2920),'Data'!$F$2920&lt;&gt;999,'Data'!$F$2920&lt;&gt;""),'Data'!$F$2920,"")</f>
        <v/>
      </c>
      <c r="Z2919" t="n">
        <v>1</v>
      </c>
      <c r="AA2919">
        <f>IF(ISNUMBER('IN-CLASS_Lab Part C'!$J$2919),'IN-CLASS_Lab Part C'!$J$2919,NA())</f>
        <v/>
      </c>
    </row>
    <row r="2920">
      <c r="J2920">
        <f>IF(AND(ISNUMBER('Data'!$F$2921),'Data'!$F$2921&lt;&gt;999,'Data'!$F$2921&lt;&gt;""),'Data'!$F$2921,"")</f>
        <v/>
      </c>
      <c r="Z2920" t="n">
        <v>1</v>
      </c>
      <c r="AA2920">
        <f>IF(ISNUMBER('IN-CLASS_Lab Part C'!$J$2920),'IN-CLASS_Lab Part C'!$J$2920,NA())</f>
        <v/>
      </c>
    </row>
    <row r="2921">
      <c r="J2921">
        <f>IF(AND(ISNUMBER('Data'!$F$2922),'Data'!$F$2922&lt;&gt;999,'Data'!$F$2922&lt;&gt;""),'Data'!$F$2922,"")</f>
        <v/>
      </c>
      <c r="Z2921" t="n">
        <v>1</v>
      </c>
      <c r="AA2921">
        <f>IF(ISNUMBER('IN-CLASS_Lab Part C'!$J$2921),'IN-CLASS_Lab Part C'!$J$2921,NA())</f>
        <v/>
      </c>
    </row>
    <row r="2922">
      <c r="J2922">
        <f>IF(AND(ISNUMBER('Data'!$F$2923),'Data'!$F$2923&lt;&gt;999,'Data'!$F$2923&lt;&gt;""),'Data'!$F$2923,"")</f>
        <v/>
      </c>
      <c r="Z2922" t="n">
        <v>1</v>
      </c>
      <c r="AA2922">
        <f>IF(ISNUMBER('IN-CLASS_Lab Part C'!$J$2922),'IN-CLASS_Lab Part C'!$J$2922,NA())</f>
        <v/>
      </c>
    </row>
    <row r="2923">
      <c r="J2923">
        <f>IF(AND(ISNUMBER('Data'!$F$2924),'Data'!$F$2924&lt;&gt;999,'Data'!$F$2924&lt;&gt;""),'Data'!$F$2924,"")</f>
        <v/>
      </c>
      <c r="Z2923" t="n">
        <v>1</v>
      </c>
      <c r="AA2923">
        <f>IF(ISNUMBER('IN-CLASS_Lab Part C'!$J$2923),'IN-CLASS_Lab Part C'!$J$2923,NA())</f>
        <v/>
      </c>
    </row>
    <row r="2924">
      <c r="J2924">
        <f>IF(AND(ISNUMBER('Data'!$F$2925),'Data'!$F$2925&lt;&gt;999,'Data'!$F$2925&lt;&gt;""),'Data'!$F$2925,"")</f>
        <v/>
      </c>
      <c r="Z2924" t="n">
        <v>1</v>
      </c>
      <c r="AA2924">
        <f>IF(ISNUMBER('IN-CLASS_Lab Part C'!$J$2924),'IN-CLASS_Lab Part C'!$J$2924,NA())</f>
        <v/>
      </c>
    </row>
    <row r="2925">
      <c r="J2925">
        <f>IF(AND(ISNUMBER('Data'!$F$2926),'Data'!$F$2926&lt;&gt;999,'Data'!$F$2926&lt;&gt;""),'Data'!$F$2926,"")</f>
        <v/>
      </c>
      <c r="Z2925" t="n">
        <v>1</v>
      </c>
      <c r="AA2925">
        <f>IF(ISNUMBER('IN-CLASS_Lab Part C'!$J$2925),'IN-CLASS_Lab Part C'!$J$2925,NA())</f>
        <v/>
      </c>
    </row>
    <row r="2926">
      <c r="J2926">
        <f>IF(AND(ISNUMBER('Data'!$F$2927),'Data'!$F$2927&lt;&gt;999,'Data'!$F$2927&lt;&gt;""),'Data'!$F$2927,"")</f>
        <v/>
      </c>
      <c r="Z2926" t="n">
        <v>1</v>
      </c>
      <c r="AA2926">
        <f>IF(ISNUMBER('IN-CLASS_Lab Part C'!$J$2926),'IN-CLASS_Lab Part C'!$J$2926,NA())</f>
        <v/>
      </c>
    </row>
    <row r="2927">
      <c r="J2927">
        <f>IF(AND(ISNUMBER('Data'!$F$2928),'Data'!$F$2928&lt;&gt;999,'Data'!$F$2928&lt;&gt;""),'Data'!$F$2928,"")</f>
        <v/>
      </c>
      <c r="Z2927" t="n">
        <v>1</v>
      </c>
      <c r="AA2927">
        <f>IF(ISNUMBER('IN-CLASS_Lab Part C'!$J$2927),'IN-CLASS_Lab Part C'!$J$2927,NA())</f>
        <v/>
      </c>
    </row>
    <row r="2928">
      <c r="J2928">
        <f>IF(AND(ISNUMBER('Data'!$F$2929),'Data'!$F$2929&lt;&gt;999,'Data'!$F$2929&lt;&gt;""),'Data'!$F$2929,"")</f>
        <v/>
      </c>
      <c r="Z2928" t="n">
        <v>1</v>
      </c>
      <c r="AA2928">
        <f>IF(ISNUMBER('IN-CLASS_Lab Part C'!$J$2928),'IN-CLASS_Lab Part C'!$J$2928,NA())</f>
        <v/>
      </c>
    </row>
    <row r="2929">
      <c r="J2929">
        <f>IF(AND(ISNUMBER('Data'!$F$2930),'Data'!$F$2930&lt;&gt;999,'Data'!$F$2930&lt;&gt;""),'Data'!$F$2930,"")</f>
        <v/>
      </c>
      <c r="Z2929" t="n">
        <v>1</v>
      </c>
      <c r="AA2929">
        <f>IF(ISNUMBER('IN-CLASS_Lab Part C'!$J$2929),'IN-CLASS_Lab Part C'!$J$2929,NA())</f>
        <v/>
      </c>
    </row>
    <row r="2930">
      <c r="J2930">
        <f>IF(AND(ISNUMBER('Data'!$F$2931),'Data'!$F$2931&lt;&gt;999,'Data'!$F$2931&lt;&gt;""),'Data'!$F$2931,"")</f>
        <v/>
      </c>
      <c r="Z2930" t="n">
        <v>1</v>
      </c>
      <c r="AA2930">
        <f>IF(ISNUMBER('IN-CLASS_Lab Part C'!$J$2930),'IN-CLASS_Lab Part C'!$J$2930,NA())</f>
        <v/>
      </c>
    </row>
    <row r="2931">
      <c r="J2931">
        <f>IF(AND(ISNUMBER('Data'!$F$2932),'Data'!$F$2932&lt;&gt;999,'Data'!$F$2932&lt;&gt;""),'Data'!$F$2932,"")</f>
        <v/>
      </c>
      <c r="Z2931" t="n">
        <v>1</v>
      </c>
      <c r="AA2931">
        <f>IF(ISNUMBER('IN-CLASS_Lab Part C'!$J$2931),'IN-CLASS_Lab Part C'!$J$2931,NA())</f>
        <v/>
      </c>
    </row>
    <row r="2932">
      <c r="J2932">
        <f>IF(AND(ISNUMBER('Data'!$F$2933),'Data'!$F$2933&lt;&gt;999,'Data'!$F$2933&lt;&gt;""),'Data'!$F$2933,"")</f>
        <v/>
      </c>
      <c r="Z2932" t="n">
        <v>1</v>
      </c>
      <c r="AA2932">
        <f>IF(ISNUMBER('IN-CLASS_Lab Part C'!$J$2932),'IN-CLASS_Lab Part C'!$J$2932,NA())</f>
        <v/>
      </c>
    </row>
    <row r="2933">
      <c r="J2933">
        <f>IF(AND(ISNUMBER('Data'!$F$2934),'Data'!$F$2934&lt;&gt;999,'Data'!$F$2934&lt;&gt;""),'Data'!$F$2934,"")</f>
        <v/>
      </c>
      <c r="Z2933" t="n">
        <v>1</v>
      </c>
      <c r="AA2933">
        <f>IF(ISNUMBER('IN-CLASS_Lab Part C'!$J$2933),'IN-CLASS_Lab Part C'!$J$2933,NA())</f>
        <v/>
      </c>
    </row>
    <row r="2934">
      <c r="J2934">
        <f>IF(AND(ISNUMBER('Data'!$F$2935),'Data'!$F$2935&lt;&gt;999,'Data'!$F$2935&lt;&gt;""),'Data'!$F$2935,"")</f>
        <v/>
      </c>
      <c r="Z2934" t="n">
        <v>1</v>
      </c>
      <c r="AA2934">
        <f>IF(ISNUMBER('IN-CLASS_Lab Part C'!$J$2934),'IN-CLASS_Lab Part C'!$J$2934,NA())</f>
        <v/>
      </c>
    </row>
    <row r="2935">
      <c r="J2935">
        <f>IF(AND(ISNUMBER('Data'!$F$2936),'Data'!$F$2936&lt;&gt;999,'Data'!$F$2936&lt;&gt;""),'Data'!$F$2936,"")</f>
        <v/>
      </c>
      <c r="Z2935" t="n">
        <v>1</v>
      </c>
      <c r="AA2935">
        <f>IF(ISNUMBER('IN-CLASS_Lab Part C'!$J$2935),'IN-CLASS_Lab Part C'!$J$2935,NA())</f>
        <v/>
      </c>
    </row>
    <row r="2936">
      <c r="J2936">
        <f>IF(AND(ISNUMBER('Data'!$F$2937),'Data'!$F$2937&lt;&gt;999,'Data'!$F$2937&lt;&gt;""),'Data'!$F$2937,"")</f>
        <v/>
      </c>
      <c r="Z2936" t="n">
        <v>1</v>
      </c>
      <c r="AA2936">
        <f>IF(ISNUMBER('IN-CLASS_Lab Part C'!$J$2936),'IN-CLASS_Lab Part C'!$J$2936,NA())</f>
        <v/>
      </c>
    </row>
    <row r="2937">
      <c r="J2937">
        <f>IF(AND(ISNUMBER('Data'!$F$2938),'Data'!$F$2938&lt;&gt;999,'Data'!$F$2938&lt;&gt;""),'Data'!$F$2938,"")</f>
        <v/>
      </c>
      <c r="Z2937" t="n">
        <v>1</v>
      </c>
      <c r="AA2937">
        <f>IF(ISNUMBER('IN-CLASS_Lab Part C'!$J$2937),'IN-CLASS_Lab Part C'!$J$2937,NA())</f>
        <v/>
      </c>
    </row>
    <row r="2938">
      <c r="J2938">
        <f>IF(AND(ISNUMBER('Data'!$F$2939),'Data'!$F$2939&lt;&gt;999,'Data'!$F$2939&lt;&gt;""),'Data'!$F$2939,"")</f>
        <v/>
      </c>
      <c r="Z2938" t="n">
        <v>1</v>
      </c>
      <c r="AA2938">
        <f>IF(ISNUMBER('IN-CLASS_Lab Part C'!$J$2938),'IN-CLASS_Lab Part C'!$J$2938,NA())</f>
        <v/>
      </c>
    </row>
    <row r="2939">
      <c r="J2939">
        <f>IF(AND(ISNUMBER('Data'!$F$2940),'Data'!$F$2940&lt;&gt;999,'Data'!$F$2940&lt;&gt;""),'Data'!$F$2940,"")</f>
        <v/>
      </c>
      <c r="Z2939" t="n">
        <v>1</v>
      </c>
      <c r="AA2939">
        <f>IF(ISNUMBER('IN-CLASS_Lab Part C'!$J$2939),'IN-CLASS_Lab Part C'!$J$2939,NA())</f>
        <v/>
      </c>
    </row>
    <row r="2940">
      <c r="J2940">
        <f>IF(AND(ISNUMBER('Data'!$F$2941),'Data'!$F$2941&lt;&gt;999,'Data'!$F$2941&lt;&gt;""),'Data'!$F$2941,"")</f>
        <v/>
      </c>
      <c r="Z2940" t="n">
        <v>1</v>
      </c>
      <c r="AA2940">
        <f>IF(ISNUMBER('IN-CLASS_Lab Part C'!$J$2940),'IN-CLASS_Lab Part C'!$J$2940,NA())</f>
        <v/>
      </c>
    </row>
    <row r="2941">
      <c r="J2941">
        <f>IF(AND(ISNUMBER('Data'!$F$2942),'Data'!$F$2942&lt;&gt;999,'Data'!$F$2942&lt;&gt;""),'Data'!$F$2942,"")</f>
        <v/>
      </c>
      <c r="Z2941" t="n">
        <v>1</v>
      </c>
      <c r="AA2941">
        <f>IF(ISNUMBER('IN-CLASS_Lab Part C'!$J$2941),'IN-CLASS_Lab Part C'!$J$2941,NA())</f>
        <v/>
      </c>
    </row>
    <row r="2942">
      <c r="J2942">
        <f>IF(AND(ISNUMBER('Data'!$F$2943),'Data'!$F$2943&lt;&gt;999,'Data'!$F$2943&lt;&gt;""),'Data'!$F$2943,"")</f>
        <v/>
      </c>
      <c r="Z2942" t="n">
        <v>1</v>
      </c>
      <c r="AA2942">
        <f>IF(ISNUMBER('IN-CLASS_Lab Part C'!$J$2942),'IN-CLASS_Lab Part C'!$J$2942,NA())</f>
        <v/>
      </c>
    </row>
    <row r="2943">
      <c r="J2943">
        <f>IF(AND(ISNUMBER('Data'!$F$2944),'Data'!$F$2944&lt;&gt;999,'Data'!$F$2944&lt;&gt;""),'Data'!$F$2944,"")</f>
        <v/>
      </c>
      <c r="Z2943" t="n">
        <v>1</v>
      </c>
      <c r="AA2943">
        <f>IF(ISNUMBER('IN-CLASS_Lab Part C'!$J$2943),'IN-CLASS_Lab Part C'!$J$2943,NA())</f>
        <v/>
      </c>
    </row>
    <row r="2944">
      <c r="J2944">
        <f>IF(AND(ISNUMBER('Data'!$F$2945),'Data'!$F$2945&lt;&gt;999,'Data'!$F$2945&lt;&gt;""),'Data'!$F$2945,"")</f>
        <v/>
      </c>
      <c r="Z2944" t="n">
        <v>1</v>
      </c>
      <c r="AA2944">
        <f>IF(ISNUMBER('IN-CLASS_Lab Part C'!$J$2944),'IN-CLASS_Lab Part C'!$J$2944,NA())</f>
        <v/>
      </c>
    </row>
    <row r="2945">
      <c r="J2945">
        <f>IF(AND(ISNUMBER('Data'!$F$2946),'Data'!$F$2946&lt;&gt;999,'Data'!$F$2946&lt;&gt;""),'Data'!$F$2946,"")</f>
        <v/>
      </c>
      <c r="Z2945" t="n">
        <v>1</v>
      </c>
      <c r="AA2945">
        <f>IF(ISNUMBER('IN-CLASS_Lab Part C'!$J$2945),'IN-CLASS_Lab Part C'!$J$2945,NA())</f>
        <v/>
      </c>
    </row>
    <row r="2946">
      <c r="J2946">
        <f>IF(AND(ISNUMBER('Data'!$F$2947),'Data'!$F$2947&lt;&gt;999,'Data'!$F$2947&lt;&gt;""),'Data'!$F$2947,"")</f>
        <v/>
      </c>
      <c r="Z2946" t="n">
        <v>1</v>
      </c>
      <c r="AA2946">
        <f>IF(ISNUMBER('IN-CLASS_Lab Part C'!$J$2946),'IN-CLASS_Lab Part C'!$J$2946,NA())</f>
        <v/>
      </c>
    </row>
    <row r="2947">
      <c r="J2947">
        <f>IF(AND(ISNUMBER('Data'!$F$2948),'Data'!$F$2948&lt;&gt;999,'Data'!$F$2948&lt;&gt;""),'Data'!$F$2948,"")</f>
        <v/>
      </c>
      <c r="Z2947" t="n">
        <v>1</v>
      </c>
      <c r="AA2947">
        <f>IF(ISNUMBER('IN-CLASS_Lab Part C'!$J$2947),'IN-CLASS_Lab Part C'!$J$2947,NA())</f>
        <v/>
      </c>
    </row>
    <row r="2948">
      <c r="J2948">
        <f>IF(AND(ISNUMBER('Data'!$F$2949),'Data'!$F$2949&lt;&gt;999,'Data'!$F$2949&lt;&gt;""),'Data'!$F$2949,"")</f>
        <v/>
      </c>
      <c r="Z2948" t="n">
        <v>1</v>
      </c>
      <c r="AA2948">
        <f>IF(ISNUMBER('IN-CLASS_Lab Part C'!$J$2948),'IN-CLASS_Lab Part C'!$J$2948,NA())</f>
        <v/>
      </c>
    </row>
    <row r="2949">
      <c r="J2949">
        <f>IF(AND(ISNUMBER('Data'!$F$2950),'Data'!$F$2950&lt;&gt;999,'Data'!$F$2950&lt;&gt;""),'Data'!$F$2950,"")</f>
        <v/>
      </c>
      <c r="Z2949" t="n">
        <v>1</v>
      </c>
      <c r="AA2949">
        <f>IF(ISNUMBER('IN-CLASS_Lab Part C'!$J$2949),'IN-CLASS_Lab Part C'!$J$2949,NA())</f>
        <v/>
      </c>
    </row>
    <row r="2950">
      <c r="J2950">
        <f>IF(AND(ISNUMBER('Data'!$F$2951),'Data'!$F$2951&lt;&gt;999,'Data'!$F$2951&lt;&gt;""),'Data'!$F$2951,"")</f>
        <v/>
      </c>
      <c r="Z2950" t="n">
        <v>1</v>
      </c>
      <c r="AA2950">
        <f>IF(ISNUMBER('IN-CLASS_Lab Part C'!$J$2950),'IN-CLASS_Lab Part C'!$J$2950,NA())</f>
        <v/>
      </c>
    </row>
    <row r="2951">
      <c r="J2951">
        <f>IF(AND(ISNUMBER('Data'!$F$2952),'Data'!$F$2952&lt;&gt;999,'Data'!$F$2952&lt;&gt;""),'Data'!$F$2952,"")</f>
        <v/>
      </c>
      <c r="Z2951" t="n">
        <v>1</v>
      </c>
      <c r="AA2951">
        <f>IF(ISNUMBER('IN-CLASS_Lab Part C'!$J$2951),'IN-CLASS_Lab Part C'!$J$2951,NA())</f>
        <v/>
      </c>
    </row>
    <row r="2952">
      <c r="J2952">
        <f>IF(AND(ISNUMBER('Data'!$F$2953),'Data'!$F$2953&lt;&gt;999,'Data'!$F$2953&lt;&gt;""),'Data'!$F$2953,"")</f>
        <v/>
      </c>
      <c r="Z2952" t="n">
        <v>1</v>
      </c>
      <c r="AA2952">
        <f>IF(ISNUMBER('IN-CLASS_Lab Part C'!$J$2952),'IN-CLASS_Lab Part C'!$J$2952,NA())</f>
        <v/>
      </c>
    </row>
    <row r="2953">
      <c r="J2953">
        <f>IF(AND(ISNUMBER('Data'!$F$2954),'Data'!$F$2954&lt;&gt;999,'Data'!$F$2954&lt;&gt;""),'Data'!$F$2954,"")</f>
        <v/>
      </c>
      <c r="Z2953" t="n">
        <v>1</v>
      </c>
      <c r="AA2953">
        <f>IF(ISNUMBER('IN-CLASS_Lab Part C'!$J$2953),'IN-CLASS_Lab Part C'!$J$2953,NA())</f>
        <v/>
      </c>
    </row>
    <row r="2954">
      <c r="J2954">
        <f>IF(AND(ISNUMBER('Data'!$F$2955),'Data'!$F$2955&lt;&gt;999,'Data'!$F$2955&lt;&gt;""),'Data'!$F$2955,"")</f>
        <v/>
      </c>
      <c r="Z2954" t="n">
        <v>1</v>
      </c>
      <c r="AA2954">
        <f>IF(ISNUMBER('IN-CLASS_Lab Part C'!$J$2954),'IN-CLASS_Lab Part C'!$J$2954,NA())</f>
        <v/>
      </c>
    </row>
    <row r="2955">
      <c r="J2955">
        <f>IF(AND(ISNUMBER('Data'!$F$2956),'Data'!$F$2956&lt;&gt;999,'Data'!$F$2956&lt;&gt;""),'Data'!$F$2956,"")</f>
        <v/>
      </c>
      <c r="Z2955" t="n">
        <v>1</v>
      </c>
      <c r="AA2955">
        <f>IF(ISNUMBER('IN-CLASS_Lab Part C'!$J$2955),'IN-CLASS_Lab Part C'!$J$2955,NA())</f>
        <v/>
      </c>
    </row>
    <row r="2956">
      <c r="J2956">
        <f>IF(AND(ISNUMBER('Data'!$F$2957),'Data'!$F$2957&lt;&gt;999,'Data'!$F$2957&lt;&gt;""),'Data'!$F$2957,"")</f>
        <v/>
      </c>
      <c r="Z2956" t="n">
        <v>1</v>
      </c>
      <c r="AA2956">
        <f>IF(ISNUMBER('IN-CLASS_Lab Part C'!$J$2956),'IN-CLASS_Lab Part C'!$J$2956,NA())</f>
        <v/>
      </c>
    </row>
    <row r="2957">
      <c r="J2957">
        <f>IF(AND(ISNUMBER('Data'!$F$2958),'Data'!$F$2958&lt;&gt;999,'Data'!$F$2958&lt;&gt;""),'Data'!$F$2958,"")</f>
        <v/>
      </c>
      <c r="Z2957" t="n">
        <v>1</v>
      </c>
      <c r="AA2957">
        <f>IF(ISNUMBER('IN-CLASS_Lab Part C'!$J$2957),'IN-CLASS_Lab Part C'!$J$2957,NA())</f>
        <v/>
      </c>
    </row>
    <row r="2958">
      <c r="J2958">
        <f>IF(AND(ISNUMBER('Data'!$F$2959),'Data'!$F$2959&lt;&gt;999,'Data'!$F$2959&lt;&gt;""),'Data'!$F$2959,"")</f>
        <v/>
      </c>
      <c r="Z2958" t="n">
        <v>1</v>
      </c>
      <c r="AA2958">
        <f>IF(ISNUMBER('IN-CLASS_Lab Part C'!$J$2958),'IN-CLASS_Lab Part C'!$J$2958,NA())</f>
        <v/>
      </c>
    </row>
    <row r="2959">
      <c r="J2959">
        <f>IF(AND(ISNUMBER('Data'!$F$2960),'Data'!$F$2960&lt;&gt;999,'Data'!$F$2960&lt;&gt;""),'Data'!$F$2960,"")</f>
        <v/>
      </c>
      <c r="Z2959" t="n">
        <v>1</v>
      </c>
      <c r="AA2959">
        <f>IF(ISNUMBER('IN-CLASS_Lab Part C'!$J$2959),'IN-CLASS_Lab Part C'!$J$2959,NA())</f>
        <v/>
      </c>
    </row>
    <row r="2960">
      <c r="J2960">
        <f>IF(AND(ISNUMBER('Data'!$F$2961),'Data'!$F$2961&lt;&gt;999,'Data'!$F$2961&lt;&gt;""),'Data'!$F$2961,"")</f>
        <v/>
      </c>
      <c r="Z2960" t="n">
        <v>1</v>
      </c>
      <c r="AA2960">
        <f>IF(ISNUMBER('IN-CLASS_Lab Part C'!$J$2960),'IN-CLASS_Lab Part C'!$J$2960,NA())</f>
        <v/>
      </c>
    </row>
    <row r="2961">
      <c r="J2961">
        <f>IF(AND(ISNUMBER('Data'!$F$2962),'Data'!$F$2962&lt;&gt;999,'Data'!$F$2962&lt;&gt;""),'Data'!$F$2962,"")</f>
        <v/>
      </c>
      <c r="Z2961" t="n">
        <v>1</v>
      </c>
      <c r="AA2961">
        <f>IF(ISNUMBER('IN-CLASS_Lab Part C'!$J$2961),'IN-CLASS_Lab Part C'!$J$2961,NA())</f>
        <v/>
      </c>
    </row>
    <row r="2962">
      <c r="J2962">
        <f>IF(AND(ISNUMBER('Data'!$F$2963),'Data'!$F$2963&lt;&gt;999,'Data'!$F$2963&lt;&gt;""),'Data'!$F$2963,"")</f>
        <v/>
      </c>
      <c r="Z2962" t="n">
        <v>1</v>
      </c>
      <c r="AA2962">
        <f>IF(ISNUMBER('IN-CLASS_Lab Part C'!$J$2962),'IN-CLASS_Lab Part C'!$J$2962,NA())</f>
        <v/>
      </c>
    </row>
    <row r="2963">
      <c r="J2963">
        <f>IF(AND(ISNUMBER('Data'!$F$2964),'Data'!$F$2964&lt;&gt;999,'Data'!$F$2964&lt;&gt;""),'Data'!$F$2964,"")</f>
        <v/>
      </c>
      <c r="Z2963" t="n">
        <v>1</v>
      </c>
      <c r="AA2963">
        <f>IF(ISNUMBER('IN-CLASS_Lab Part C'!$J$2963),'IN-CLASS_Lab Part C'!$J$2963,NA())</f>
        <v/>
      </c>
    </row>
    <row r="2964">
      <c r="J2964">
        <f>IF(AND(ISNUMBER('Data'!$F$2965),'Data'!$F$2965&lt;&gt;999,'Data'!$F$2965&lt;&gt;""),'Data'!$F$2965,"")</f>
        <v/>
      </c>
      <c r="Z2964" t="n">
        <v>1</v>
      </c>
      <c r="AA2964">
        <f>IF(ISNUMBER('IN-CLASS_Lab Part C'!$J$2964),'IN-CLASS_Lab Part C'!$J$2964,NA())</f>
        <v/>
      </c>
    </row>
    <row r="2965">
      <c r="J2965">
        <f>IF(AND(ISNUMBER('Data'!$F$2966),'Data'!$F$2966&lt;&gt;999,'Data'!$F$2966&lt;&gt;""),'Data'!$F$2966,"")</f>
        <v/>
      </c>
      <c r="Z2965" t="n">
        <v>1</v>
      </c>
      <c r="AA2965">
        <f>IF(ISNUMBER('IN-CLASS_Lab Part C'!$J$2965),'IN-CLASS_Lab Part C'!$J$2965,NA())</f>
        <v/>
      </c>
    </row>
    <row r="2966">
      <c r="J2966">
        <f>IF(AND(ISNUMBER('Data'!$F$2967),'Data'!$F$2967&lt;&gt;999,'Data'!$F$2967&lt;&gt;""),'Data'!$F$2967,"")</f>
        <v/>
      </c>
      <c r="Z2966" t="n">
        <v>1</v>
      </c>
      <c r="AA2966">
        <f>IF(ISNUMBER('IN-CLASS_Lab Part C'!$J$2966),'IN-CLASS_Lab Part C'!$J$2966,NA())</f>
        <v/>
      </c>
    </row>
    <row r="2967">
      <c r="J2967">
        <f>IF(AND(ISNUMBER('Data'!$F$2968),'Data'!$F$2968&lt;&gt;999,'Data'!$F$2968&lt;&gt;""),'Data'!$F$2968,"")</f>
        <v/>
      </c>
      <c r="Z2967" t="n">
        <v>1</v>
      </c>
      <c r="AA2967">
        <f>IF(ISNUMBER('IN-CLASS_Lab Part C'!$J$2967),'IN-CLASS_Lab Part C'!$J$2967,NA())</f>
        <v/>
      </c>
    </row>
    <row r="2968">
      <c r="J2968">
        <f>IF(AND(ISNUMBER('Data'!$F$2969),'Data'!$F$2969&lt;&gt;999,'Data'!$F$2969&lt;&gt;""),'Data'!$F$2969,"")</f>
        <v/>
      </c>
      <c r="Z2968" t="n">
        <v>1</v>
      </c>
      <c r="AA2968">
        <f>IF(ISNUMBER('IN-CLASS_Lab Part C'!$J$2968),'IN-CLASS_Lab Part C'!$J$2968,NA())</f>
        <v/>
      </c>
    </row>
    <row r="2969">
      <c r="J2969">
        <f>IF(AND(ISNUMBER('Data'!$F$2970),'Data'!$F$2970&lt;&gt;999,'Data'!$F$2970&lt;&gt;""),'Data'!$F$2970,"")</f>
        <v/>
      </c>
      <c r="Z2969" t="n">
        <v>1</v>
      </c>
      <c r="AA2969">
        <f>IF(ISNUMBER('IN-CLASS_Lab Part C'!$J$2969),'IN-CLASS_Lab Part C'!$J$2969,NA())</f>
        <v/>
      </c>
    </row>
    <row r="2970">
      <c r="J2970">
        <f>IF(AND(ISNUMBER('Data'!$F$2971),'Data'!$F$2971&lt;&gt;999,'Data'!$F$2971&lt;&gt;""),'Data'!$F$2971,"")</f>
        <v/>
      </c>
      <c r="Z2970" t="n">
        <v>1</v>
      </c>
      <c r="AA2970">
        <f>IF(ISNUMBER('IN-CLASS_Lab Part C'!$J$2970),'IN-CLASS_Lab Part C'!$J$2970,NA())</f>
        <v/>
      </c>
    </row>
    <row r="2971">
      <c r="J2971">
        <f>IF(AND(ISNUMBER('Data'!$F$2972),'Data'!$F$2972&lt;&gt;999,'Data'!$F$2972&lt;&gt;""),'Data'!$F$2972,"")</f>
        <v/>
      </c>
      <c r="Z2971" t="n">
        <v>1</v>
      </c>
      <c r="AA2971">
        <f>IF(ISNUMBER('IN-CLASS_Lab Part C'!$J$2971),'IN-CLASS_Lab Part C'!$J$2971,NA())</f>
        <v/>
      </c>
    </row>
    <row r="2972">
      <c r="J2972">
        <f>IF(AND(ISNUMBER('Data'!$F$2973),'Data'!$F$2973&lt;&gt;999,'Data'!$F$2973&lt;&gt;""),'Data'!$F$2973,"")</f>
        <v/>
      </c>
      <c r="Z2972" t="n">
        <v>1</v>
      </c>
      <c r="AA2972">
        <f>IF(ISNUMBER('IN-CLASS_Lab Part C'!$J$2972),'IN-CLASS_Lab Part C'!$J$2972,NA())</f>
        <v/>
      </c>
    </row>
    <row r="2973">
      <c r="J2973">
        <f>IF(AND(ISNUMBER('Data'!$F$2974),'Data'!$F$2974&lt;&gt;999,'Data'!$F$2974&lt;&gt;""),'Data'!$F$2974,"")</f>
        <v/>
      </c>
      <c r="Z2973" t="n">
        <v>1</v>
      </c>
      <c r="AA2973">
        <f>IF(ISNUMBER('IN-CLASS_Lab Part C'!$J$2973),'IN-CLASS_Lab Part C'!$J$2973,NA())</f>
        <v/>
      </c>
    </row>
    <row r="2974">
      <c r="J2974">
        <f>IF(AND(ISNUMBER('Data'!$F$2975),'Data'!$F$2975&lt;&gt;999,'Data'!$F$2975&lt;&gt;""),'Data'!$F$2975,"")</f>
        <v/>
      </c>
      <c r="Z2974" t="n">
        <v>1</v>
      </c>
      <c r="AA2974">
        <f>IF(ISNUMBER('IN-CLASS_Lab Part C'!$J$2974),'IN-CLASS_Lab Part C'!$J$2974,NA())</f>
        <v/>
      </c>
    </row>
    <row r="2975">
      <c r="J2975">
        <f>IF(AND(ISNUMBER('Data'!$F$2976),'Data'!$F$2976&lt;&gt;999,'Data'!$F$2976&lt;&gt;""),'Data'!$F$2976,"")</f>
        <v/>
      </c>
      <c r="Z2975" t="n">
        <v>1</v>
      </c>
      <c r="AA2975">
        <f>IF(ISNUMBER('IN-CLASS_Lab Part C'!$J$2975),'IN-CLASS_Lab Part C'!$J$2975,NA())</f>
        <v/>
      </c>
    </row>
    <row r="2976">
      <c r="J2976">
        <f>IF(AND(ISNUMBER('Data'!$F$2977),'Data'!$F$2977&lt;&gt;999,'Data'!$F$2977&lt;&gt;""),'Data'!$F$2977,"")</f>
        <v/>
      </c>
      <c r="Z2976" t="n">
        <v>1</v>
      </c>
      <c r="AA2976">
        <f>IF(ISNUMBER('IN-CLASS_Lab Part C'!$J$2976),'IN-CLASS_Lab Part C'!$J$2976,NA())</f>
        <v/>
      </c>
    </row>
    <row r="2977">
      <c r="J2977">
        <f>IF(AND(ISNUMBER('Data'!$F$2978),'Data'!$F$2978&lt;&gt;999,'Data'!$F$2978&lt;&gt;""),'Data'!$F$2978,"")</f>
        <v/>
      </c>
      <c r="Z2977" t="n">
        <v>1</v>
      </c>
      <c r="AA2977">
        <f>IF(ISNUMBER('IN-CLASS_Lab Part C'!$J$2977),'IN-CLASS_Lab Part C'!$J$2977,NA())</f>
        <v/>
      </c>
    </row>
    <row r="2978">
      <c r="J2978">
        <f>IF(AND(ISNUMBER('Data'!$F$2979),'Data'!$F$2979&lt;&gt;999,'Data'!$F$2979&lt;&gt;""),'Data'!$F$2979,"")</f>
        <v/>
      </c>
      <c r="Z2978" t="n">
        <v>1</v>
      </c>
      <c r="AA2978">
        <f>IF(ISNUMBER('IN-CLASS_Lab Part C'!$J$2978),'IN-CLASS_Lab Part C'!$J$2978,NA())</f>
        <v/>
      </c>
    </row>
    <row r="2979">
      <c r="J2979">
        <f>IF(AND(ISNUMBER('Data'!$F$2980),'Data'!$F$2980&lt;&gt;999,'Data'!$F$2980&lt;&gt;""),'Data'!$F$2980,"")</f>
        <v/>
      </c>
      <c r="Z2979" t="n">
        <v>1</v>
      </c>
      <c r="AA2979">
        <f>IF(ISNUMBER('IN-CLASS_Lab Part C'!$J$2979),'IN-CLASS_Lab Part C'!$J$2979,NA())</f>
        <v/>
      </c>
    </row>
    <row r="2980">
      <c r="J2980">
        <f>IF(AND(ISNUMBER('Data'!$F$2981),'Data'!$F$2981&lt;&gt;999,'Data'!$F$2981&lt;&gt;""),'Data'!$F$2981,"")</f>
        <v/>
      </c>
      <c r="Z2980" t="n">
        <v>1</v>
      </c>
      <c r="AA2980">
        <f>IF(ISNUMBER('IN-CLASS_Lab Part C'!$J$2980),'IN-CLASS_Lab Part C'!$J$2980,NA())</f>
        <v/>
      </c>
    </row>
    <row r="2981">
      <c r="J2981">
        <f>IF(AND(ISNUMBER('Data'!$F$2982),'Data'!$F$2982&lt;&gt;999,'Data'!$F$2982&lt;&gt;""),'Data'!$F$2982,"")</f>
        <v/>
      </c>
      <c r="Z2981" t="n">
        <v>1</v>
      </c>
      <c r="AA2981">
        <f>IF(ISNUMBER('IN-CLASS_Lab Part C'!$J$2981),'IN-CLASS_Lab Part C'!$J$2981,NA())</f>
        <v/>
      </c>
    </row>
    <row r="2982">
      <c r="J2982">
        <f>IF(AND(ISNUMBER('Data'!$F$2983),'Data'!$F$2983&lt;&gt;999,'Data'!$F$2983&lt;&gt;""),'Data'!$F$2983,"")</f>
        <v/>
      </c>
      <c r="Z2982" t="n">
        <v>1</v>
      </c>
      <c r="AA2982">
        <f>IF(ISNUMBER('IN-CLASS_Lab Part C'!$J$2982),'IN-CLASS_Lab Part C'!$J$2982,NA())</f>
        <v/>
      </c>
    </row>
    <row r="2983">
      <c r="J2983">
        <f>IF(AND(ISNUMBER('Data'!$F$2984),'Data'!$F$2984&lt;&gt;999,'Data'!$F$2984&lt;&gt;""),'Data'!$F$2984,"")</f>
        <v/>
      </c>
      <c r="Z2983" t="n">
        <v>1</v>
      </c>
      <c r="AA2983">
        <f>IF(ISNUMBER('IN-CLASS_Lab Part C'!$J$2983),'IN-CLASS_Lab Part C'!$J$2983,NA())</f>
        <v/>
      </c>
    </row>
    <row r="2984">
      <c r="J2984">
        <f>IF(AND(ISNUMBER('Data'!$F$2985),'Data'!$F$2985&lt;&gt;999,'Data'!$F$2985&lt;&gt;""),'Data'!$F$2985,"")</f>
        <v/>
      </c>
      <c r="Z2984" t="n">
        <v>1</v>
      </c>
      <c r="AA2984">
        <f>IF(ISNUMBER('IN-CLASS_Lab Part C'!$J$2984),'IN-CLASS_Lab Part C'!$J$2984,NA())</f>
        <v/>
      </c>
    </row>
    <row r="2985">
      <c r="J2985">
        <f>IF(AND(ISNUMBER('Data'!$F$2986),'Data'!$F$2986&lt;&gt;999,'Data'!$F$2986&lt;&gt;""),'Data'!$F$2986,"")</f>
        <v/>
      </c>
      <c r="Z2985" t="n">
        <v>1</v>
      </c>
      <c r="AA2985">
        <f>IF(ISNUMBER('IN-CLASS_Lab Part C'!$J$2985),'IN-CLASS_Lab Part C'!$J$2985,NA())</f>
        <v/>
      </c>
    </row>
    <row r="2986">
      <c r="J2986">
        <f>IF(AND(ISNUMBER('Data'!$F$2987),'Data'!$F$2987&lt;&gt;999,'Data'!$F$2987&lt;&gt;""),'Data'!$F$2987,"")</f>
        <v/>
      </c>
      <c r="Z2986" t="n">
        <v>1</v>
      </c>
      <c r="AA2986">
        <f>IF(ISNUMBER('IN-CLASS_Lab Part C'!$J$2986),'IN-CLASS_Lab Part C'!$J$2986,NA())</f>
        <v/>
      </c>
    </row>
    <row r="2987">
      <c r="J2987">
        <f>IF(AND(ISNUMBER('Data'!$F$2988),'Data'!$F$2988&lt;&gt;999,'Data'!$F$2988&lt;&gt;""),'Data'!$F$2988,"")</f>
        <v/>
      </c>
      <c r="Z2987" t="n">
        <v>1</v>
      </c>
      <c r="AA2987">
        <f>IF(ISNUMBER('IN-CLASS_Lab Part C'!$J$2987),'IN-CLASS_Lab Part C'!$J$2987,NA())</f>
        <v/>
      </c>
    </row>
    <row r="2988">
      <c r="J2988">
        <f>IF(AND(ISNUMBER('Data'!$F$2989),'Data'!$F$2989&lt;&gt;999,'Data'!$F$2989&lt;&gt;""),'Data'!$F$2989,"")</f>
        <v/>
      </c>
      <c r="Z2988" t="n">
        <v>1</v>
      </c>
      <c r="AA2988">
        <f>IF(ISNUMBER('IN-CLASS_Lab Part C'!$J$2988),'IN-CLASS_Lab Part C'!$J$2988,NA())</f>
        <v/>
      </c>
    </row>
    <row r="2989">
      <c r="J2989">
        <f>IF(AND(ISNUMBER('Data'!$F$2990),'Data'!$F$2990&lt;&gt;999,'Data'!$F$2990&lt;&gt;""),'Data'!$F$2990,"")</f>
        <v/>
      </c>
      <c r="Z2989" t="n">
        <v>1</v>
      </c>
      <c r="AA2989">
        <f>IF(ISNUMBER('IN-CLASS_Lab Part C'!$J$2989),'IN-CLASS_Lab Part C'!$J$2989,NA())</f>
        <v/>
      </c>
    </row>
    <row r="2990">
      <c r="J2990">
        <f>IF(AND(ISNUMBER('Data'!$F$2991),'Data'!$F$2991&lt;&gt;999,'Data'!$F$2991&lt;&gt;""),'Data'!$F$2991,"")</f>
        <v/>
      </c>
      <c r="Z2990" t="n">
        <v>1</v>
      </c>
      <c r="AA2990">
        <f>IF(ISNUMBER('IN-CLASS_Lab Part C'!$J$2990),'IN-CLASS_Lab Part C'!$J$2990,NA())</f>
        <v/>
      </c>
    </row>
    <row r="2991">
      <c r="J2991">
        <f>IF(AND(ISNUMBER('Data'!$F$2992),'Data'!$F$2992&lt;&gt;999,'Data'!$F$2992&lt;&gt;""),'Data'!$F$2992,"")</f>
        <v/>
      </c>
      <c r="Z2991" t="n">
        <v>1</v>
      </c>
      <c r="AA2991">
        <f>IF(ISNUMBER('IN-CLASS_Lab Part C'!$J$2991),'IN-CLASS_Lab Part C'!$J$2991,NA())</f>
        <v/>
      </c>
    </row>
    <row r="2992">
      <c r="J2992">
        <f>IF(AND(ISNUMBER('Data'!$F$2993),'Data'!$F$2993&lt;&gt;999,'Data'!$F$2993&lt;&gt;""),'Data'!$F$2993,"")</f>
        <v/>
      </c>
      <c r="Z2992" t="n">
        <v>1</v>
      </c>
      <c r="AA2992">
        <f>IF(ISNUMBER('IN-CLASS_Lab Part C'!$J$2992),'IN-CLASS_Lab Part C'!$J$2992,NA())</f>
        <v/>
      </c>
    </row>
    <row r="2993">
      <c r="J2993">
        <f>IF(AND(ISNUMBER('Data'!$F$2994),'Data'!$F$2994&lt;&gt;999,'Data'!$F$2994&lt;&gt;""),'Data'!$F$2994,"")</f>
        <v/>
      </c>
      <c r="Z2993" t="n">
        <v>1</v>
      </c>
      <c r="AA2993">
        <f>IF(ISNUMBER('IN-CLASS_Lab Part C'!$J$2993),'IN-CLASS_Lab Part C'!$J$2993,NA())</f>
        <v/>
      </c>
    </row>
    <row r="2994">
      <c r="J2994">
        <f>IF(AND(ISNUMBER('Data'!$F$2995),'Data'!$F$2995&lt;&gt;999,'Data'!$F$2995&lt;&gt;""),'Data'!$F$2995,"")</f>
        <v/>
      </c>
      <c r="Z2994" t="n">
        <v>1</v>
      </c>
      <c r="AA2994">
        <f>IF(ISNUMBER('IN-CLASS_Lab Part C'!$J$2994),'IN-CLASS_Lab Part C'!$J$2994,NA())</f>
        <v/>
      </c>
    </row>
    <row r="2995">
      <c r="J2995">
        <f>IF(AND(ISNUMBER('Data'!$F$2996),'Data'!$F$2996&lt;&gt;999,'Data'!$F$2996&lt;&gt;""),'Data'!$F$2996,"")</f>
        <v/>
      </c>
      <c r="Z2995" t="n">
        <v>1</v>
      </c>
      <c r="AA2995">
        <f>IF(ISNUMBER('IN-CLASS_Lab Part C'!$J$2995),'IN-CLASS_Lab Part C'!$J$2995,NA())</f>
        <v/>
      </c>
    </row>
    <row r="2996">
      <c r="J2996">
        <f>IF(AND(ISNUMBER('Data'!$F$2997),'Data'!$F$2997&lt;&gt;999,'Data'!$F$2997&lt;&gt;""),'Data'!$F$2997,"")</f>
        <v/>
      </c>
      <c r="Z2996" t="n">
        <v>1</v>
      </c>
      <c r="AA2996">
        <f>IF(ISNUMBER('IN-CLASS_Lab Part C'!$J$2996),'IN-CLASS_Lab Part C'!$J$2996,NA())</f>
        <v/>
      </c>
    </row>
    <row r="2997">
      <c r="J2997">
        <f>IF(AND(ISNUMBER('Data'!$F$2998),'Data'!$F$2998&lt;&gt;999,'Data'!$F$2998&lt;&gt;""),'Data'!$F$2998,"")</f>
        <v/>
      </c>
      <c r="Z2997" t="n">
        <v>1</v>
      </c>
      <c r="AA2997">
        <f>IF(ISNUMBER('IN-CLASS_Lab Part C'!$J$2997),'IN-CLASS_Lab Part C'!$J$2997,NA())</f>
        <v/>
      </c>
    </row>
    <row r="2998">
      <c r="J2998">
        <f>IF(AND(ISNUMBER('Data'!$F$2999),'Data'!$F$2999&lt;&gt;999,'Data'!$F$2999&lt;&gt;""),'Data'!$F$2999,"")</f>
        <v/>
      </c>
      <c r="Z2998" t="n">
        <v>1</v>
      </c>
      <c r="AA2998">
        <f>IF(ISNUMBER('IN-CLASS_Lab Part C'!$J$2998),'IN-CLASS_Lab Part C'!$J$2998,NA())</f>
        <v/>
      </c>
    </row>
    <row r="2999">
      <c r="J2999">
        <f>IF(AND(ISNUMBER('Data'!$F$3000),'Data'!$F$3000&lt;&gt;999,'Data'!$F$3000&lt;&gt;""),'Data'!$F$3000,"")</f>
        <v/>
      </c>
      <c r="Z2999" t="n">
        <v>1</v>
      </c>
      <c r="AA2999">
        <f>IF(ISNUMBER('IN-CLASS_Lab Part C'!$J$2999),'IN-CLASS_Lab Part C'!$J$2999,NA())</f>
        <v/>
      </c>
    </row>
    <row r="3000">
      <c r="J3000">
        <f>IF(AND(ISNUMBER('Data'!$F$3001),'Data'!$F$3001&lt;&gt;999,'Data'!$F$3001&lt;&gt;""),'Data'!$F$3001,"")</f>
        <v/>
      </c>
      <c r="Z3000" t="n">
        <v>1</v>
      </c>
      <c r="AA3000">
        <f>IF(ISNUMBER('IN-CLASS_Lab Part C'!$J$3000),'IN-CLASS_Lab Part C'!$J$3000,NA())</f>
        <v/>
      </c>
    </row>
    <row r="3001">
      <c r="J3001">
        <f>IF(AND(ISNUMBER('Data'!$F$3002),'Data'!$F$3002&lt;&gt;999,'Data'!$F$3002&lt;&gt;""),'Data'!$F$3002,"")</f>
        <v/>
      </c>
      <c r="Z3001" t="n">
        <v>1</v>
      </c>
      <c r="AA3001">
        <f>IF(ISNUMBER('IN-CLASS_Lab Part C'!$J$3001),'IN-CLASS_Lab Part C'!$J$3001,NA())</f>
        <v/>
      </c>
    </row>
    <row r="3002">
      <c r="J3002">
        <f>IF(AND(ISNUMBER('Data'!$F$3003),'Data'!$F$3003&lt;&gt;999,'Data'!$F$3003&lt;&gt;""),'Data'!$F$3003,"")</f>
        <v/>
      </c>
      <c r="Z3002" t="n">
        <v>1</v>
      </c>
      <c r="AA3002">
        <f>IF(ISNUMBER('IN-CLASS_Lab Part C'!$J$3002),'IN-CLASS_Lab Part C'!$J$3002,NA())</f>
        <v/>
      </c>
    </row>
    <row r="3003">
      <c r="J3003">
        <f>IF(AND(ISNUMBER('Data'!$F$3004),'Data'!$F$3004&lt;&gt;999,'Data'!$F$3004&lt;&gt;""),'Data'!$F$3004,"")</f>
        <v/>
      </c>
      <c r="Z3003" t="n">
        <v>1</v>
      </c>
      <c r="AA3003">
        <f>IF(ISNUMBER('IN-CLASS_Lab Part C'!$J$3003),'IN-CLASS_Lab Part C'!$J$3003,NA())</f>
        <v/>
      </c>
    </row>
    <row r="3004">
      <c r="J3004">
        <f>IF(AND(ISNUMBER('Data'!$F$3005),'Data'!$F$3005&lt;&gt;999,'Data'!$F$3005&lt;&gt;""),'Data'!$F$3005,"")</f>
        <v/>
      </c>
      <c r="Z3004" t="n">
        <v>1</v>
      </c>
      <c r="AA3004">
        <f>IF(ISNUMBER('IN-CLASS_Lab Part C'!$J$3004),'IN-CLASS_Lab Part C'!$J$3004,NA())</f>
        <v/>
      </c>
    </row>
    <row r="3005">
      <c r="J3005">
        <f>IF(AND(ISNUMBER('Data'!$F$3006),'Data'!$F$3006&lt;&gt;999,'Data'!$F$3006&lt;&gt;""),'Data'!$F$3006,"")</f>
        <v/>
      </c>
      <c r="Z3005" t="n">
        <v>1</v>
      </c>
      <c r="AA3005">
        <f>IF(ISNUMBER('IN-CLASS_Lab Part C'!$J$3005),'IN-CLASS_Lab Part C'!$J$3005,NA())</f>
        <v/>
      </c>
    </row>
    <row r="3006">
      <c r="J3006">
        <f>IF(AND(ISNUMBER('Data'!$F$3007),'Data'!$F$3007&lt;&gt;999,'Data'!$F$3007&lt;&gt;""),'Data'!$F$3007,"")</f>
        <v/>
      </c>
      <c r="Z3006" t="n">
        <v>1</v>
      </c>
      <c r="AA3006">
        <f>IF(ISNUMBER('IN-CLASS_Lab Part C'!$J$3006),'IN-CLASS_Lab Part C'!$J$3006,NA())</f>
        <v/>
      </c>
    </row>
    <row r="3007">
      <c r="J3007">
        <f>IF(AND(ISNUMBER('Data'!$F$3008),'Data'!$F$3008&lt;&gt;999,'Data'!$F$3008&lt;&gt;""),'Data'!$F$3008,"")</f>
        <v/>
      </c>
      <c r="Z3007" t="n">
        <v>1</v>
      </c>
      <c r="AA3007">
        <f>IF(ISNUMBER('IN-CLASS_Lab Part C'!$J$3007),'IN-CLASS_Lab Part C'!$J$3007,NA())</f>
        <v/>
      </c>
    </row>
    <row r="3008">
      <c r="J3008">
        <f>IF(AND(ISNUMBER('Data'!$F$3009),'Data'!$F$3009&lt;&gt;999,'Data'!$F$3009&lt;&gt;""),'Data'!$F$3009,"")</f>
        <v/>
      </c>
      <c r="Z3008" t="n">
        <v>1</v>
      </c>
      <c r="AA3008">
        <f>IF(ISNUMBER('IN-CLASS_Lab Part C'!$J$3008),'IN-CLASS_Lab Part C'!$J$3008,NA())</f>
        <v/>
      </c>
    </row>
    <row r="3009">
      <c r="J3009">
        <f>IF(AND(ISNUMBER('Data'!$F$3010),'Data'!$F$3010&lt;&gt;999,'Data'!$F$3010&lt;&gt;""),'Data'!$F$3010,"")</f>
        <v/>
      </c>
      <c r="Z3009" t="n">
        <v>1</v>
      </c>
      <c r="AA3009">
        <f>IF(ISNUMBER('IN-CLASS_Lab Part C'!$J$3009),'IN-CLASS_Lab Part C'!$J$3009,NA())</f>
        <v/>
      </c>
    </row>
    <row r="3010">
      <c r="J3010">
        <f>IF(AND(ISNUMBER('Data'!$F$3011),'Data'!$F$3011&lt;&gt;999,'Data'!$F$3011&lt;&gt;""),'Data'!$F$3011,"")</f>
        <v/>
      </c>
      <c r="Z3010" t="n">
        <v>1</v>
      </c>
      <c r="AA3010">
        <f>IF(ISNUMBER('IN-CLASS_Lab Part C'!$J$3010),'IN-CLASS_Lab Part C'!$J$3010,NA())</f>
        <v/>
      </c>
    </row>
    <row r="3011">
      <c r="J3011">
        <f>IF(AND(ISNUMBER('Data'!$F$3012),'Data'!$F$3012&lt;&gt;999,'Data'!$F$3012&lt;&gt;""),'Data'!$F$3012,"")</f>
        <v/>
      </c>
      <c r="Z3011" t="n">
        <v>1</v>
      </c>
      <c r="AA3011">
        <f>IF(ISNUMBER('IN-CLASS_Lab Part C'!$J$3011),'IN-CLASS_Lab Part C'!$J$3011,NA())</f>
        <v/>
      </c>
    </row>
    <row r="3012">
      <c r="J3012">
        <f>IF(AND(ISNUMBER('Data'!$F$3013),'Data'!$F$3013&lt;&gt;999,'Data'!$F$3013&lt;&gt;""),'Data'!$F$3013,"")</f>
        <v/>
      </c>
      <c r="Z3012" t="n">
        <v>1</v>
      </c>
      <c r="AA3012">
        <f>IF(ISNUMBER('IN-CLASS_Lab Part C'!$J$3012),'IN-CLASS_Lab Part C'!$J$3012,NA())</f>
        <v/>
      </c>
    </row>
    <row r="3013">
      <c r="J3013">
        <f>IF(AND(ISNUMBER('Data'!$F$3014),'Data'!$F$3014&lt;&gt;999,'Data'!$F$3014&lt;&gt;""),'Data'!$F$3014,"")</f>
        <v/>
      </c>
      <c r="Z3013" t="n">
        <v>1</v>
      </c>
      <c r="AA3013">
        <f>IF(ISNUMBER('IN-CLASS_Lab Part C'!$J$3013),'IN-CLASS_Lab Part C'!$J$3013,NA())</f>
        <v/>
      </c>
    </row>
    <row r="3014">
      <c r="J3014">
        <f>IF(AND(ISNUMBER('Data'!$F$3015),'Data'!$F$3015&lt;&gt;999,'Data'!$F$3015&lt;&gt;""),'Data'!$F$3015,"")</f>
        <v/>
      </c>
      <c r="Z3014" t="n">
        <v>1</v>
      </c>
      <c r="AA3014">
        <f>IF(ISNUMBER('IN-CLASS_Lab Part C'!$J$3014),'IN-CLASS_Lab Part C'!$J$3014,NA())</f>
        <v/>
      </c>
    </row>
    <row r="3015">
      <c r="J3015">
        <f>IF(AND(ISNUMBER('Data'!$F$3016),'Data'!$F$3016&lt;&gt;999,'Data'!$F$3016&lt;&gt;""),'Data'!$F$3016,"")</f>
        <v/>
      </c>
      <c r="Z3015" t="n">
        <v>1</v>
      </c>
      <c r="AA3015">
        <f>IF(ISNUMBER('IN-CLASS_Lab Part C'!$J$3015),'IN-CLASS_Lab Part C'!$J$3015,NA())</f>
        <v/>
      </c>
    </row>
    <row r="3016">
      <c r="J3016">
        <f>IF(AND(ISNUMBER('Data'!$F$3017),'Data'!$F$3017&lt;&gt;999,'Data'!$F$3017&lt;&gt;""),'Data'!$F$3017,"")</f>
        <v/>
      </c>
      <c r="Z3016" t="n">
        <v>1</v>
      </c>
      <c r="AA3016">
        <f>IF(ISNUMBER('IN-CLASS_Lab Part C'!$J$3016),'IN-CLASS_Lab Part C'!$J$3016,NA())</f>
        <v/>
      </c>
    </row>
    <row r="3017">
      <c r="J3017">
        <f>IF(AND(ISNUMBER('Data'!$F$3018),'Data'!$F$3018&lt;&gt;999,'Data'!$F$3018&lt;&gt;""),'Data'!$F$3018,"")</f>
        <v/>
      </c>
      <c r="Z3017" t="n">
        <v>1</v>
      </c>
      <c r="AA3017">
        <f>IF(ISNUMBER('IN-CLASS_Lab Part C'!$J$3017),'IN-CLASS_Lab Part C'!$J$3017,NA())</f>
        <v/>
      </c>
    </row>
    <row r="3018">
      <c r="J3018">
        <f>IF(AND(ISNUMBER('Data'!$F$3019),'Data'!$F$3019&lt;&gt;999,'Data'!$F$3019&lt;&gt;""),'Data'!$F$3019,"")</f>
        <v/>
      </c>
      <c r="Z3018" t="n">
        <v>1</v>
      </c>
      <c r="AA3018">
        <f>IF(ISNUMBER('IN-CLASS_Lab Part C'!$J$3018),'IN-CLASS_Lab Part C'!$J$3018,NA())</f>
        <v/>
      </c>
    </row>
    <row r="3019">
      <c r="J3019">
        <f>IF(AND(ISNUMBER('Data'!$F$3020),'Data'!$F$3020&lt;&gt;999,'Data'!$F$3020&lt;&gt;""),'Data'!$F$3020,"")</f>
        <v/>
      </c>
      <c r="Z3019" t="n">
        <v>1</v>
      </c>
      <c r="AA3019">
        <f>IF(ISNUMBER('IN-CLASS_Lab Part C'!$J$3019),'IN-CLASS_Lab Part C'!$J$3019,NA())</f>
        <v/>
      </c>
    </row>
    <row r="3020">
      <c r="J3020">
        <f>IF(AND(ISNUMBER('Data'!$F$3021),'Data'!$F$3021&lt;&gt;999,'Data'!$F$3021&lt;&gt;""),'Data'!$F$3021,"")</f>
        <v/>
      </c>
      <c r="Z3020" t="n">
        <v>1</v>
      </c>
      <c r="AA3020">
        <f>IF(ISNUMBER('IN-CLASS_Lab Part C'!$J$3020),'IN-CLASS_Lab Part C'!$J$3020,NA())</f>
        <v/>
      </c>
    </row>
    <row r="3021">
      <c r="J3021">
        <f>IF(AND(ISNUMBER('Data'!$F$3022),'Data'!$F$3022&lt;&gt;999,'Data'!$F$3022&lt;&gt;""),'Data'!$F$3022,"")</f>
        <v/>
      </c>
      <c r="Z3021" t="n">
        <v>1</v>
      </c>
      <c r="AA3021">
        <f>IF(ISNUMBER('IN-CLASS_Lab Part C'!$J$3021),'IN-CLASS_Lab Part C'!$J$3021,NA())</f>
        <v/>
      </c>
    </row>
    <row r="3022">
      <c r="J3022">
        <f>IF(AND(ISNUMBER('Data'!$F$3023),'Data'!$F$3023&lt;&gt;999,'Data'!$F$3023&lt;&gt;""),'Data'!$F$3023,"")</f>
        <v/>
      </c>
      <c r="Z3022" t="n">
        <v>1</v>
      </c>
      <c r="AA3022">
        <f>IF(ISNUMBER('IN-CLASS_Lab Part C'!$J$3022),'IN-CLASS_Lab Part C'!$J$3022,NA())</f>
        <v/>
      </c>
    </row>
    <row r="3023">
      <c r="J3023">
        <f>IF(AND(ISNUMBER('Data'!$F$3024),'Data'!$F$3024&lt;&gt;999,'Data'!$F$3024&lt;&gt;""),'Data'!$F$3024,"")</f>
        <v/>
      </c>
      <c r="Z3023" t="n">
        <v>1</v>
      </c>
      <c r="AA3023">
        <f>IF(ISNUMBER('IN-CLASS_Lab Part C'!$J$3023),'IN-CLASS_Lab Part C'!$J$3023,NA())</f>
        <v/>
      </c>
    </row>
    <row r="3024">
      <c r="J3024">
        <f>IF(AND(ISNUMBER('Data'!$F$3025),'Data'!$F$3025&lt;&gt;999,'Data'!$F$3025&lt;&gt;""),'Data'!$F$3025,"")</f>
        <v/>
      </c>
      <c r="Z3024" t="n">
        <v>1</v>
      </c>
      <c r="AA3024">
        <f>IF(ISNUMBER('IN-CLASS_Lab Part C'!$J$3024),'IN-CLASS_Lab Part C'!$J$3024,NA())</f>
        <v/>
      </c>
    </row>
    <row r="3025">
      <c r="J3025">
        <f>IF(AND(ISNUMBER('Data'!$F$3026),'Data'!$F$3026&lt;&gt;999,'Data'!$F$3026&lt;&gt;""),'Data'!$F$3026,"")</f>
        <v/>
      </c>
      <c r="Z3025" t="n">
        <v>1</v>
      </c>
      <c r="AA3025">
        <f>IF(ISNUMBER('IN-CLASS_Lab Part C'!$J$3025),'IN-CLASS_Lab Part C'!$J$3025,NA())</f>
        <v/>
      </c>
    </row>
    <row r="3026">
      <c r="J3026">
        <f>IF(AND(ISNUMBER('Data'!$F$3027),'Data'!$F$3027&lt;&gt;999,'Data'!$F$3027&lt;&gt;""),'Data'!$F$3027,"")</f>
        <v/>
      </c>
      <c r="Z3026" t="n">
        <v>1</v>
      </c>
      <c r="AA3026">
        <f>IF(ISNUMBER('IN-CLASS_Lab Part C'!$J$3026),'IN-CLASS_Lab Part C'!$J$3026,NA())</f>
        <v/>
      </c>
    </row>
    <row r="3027">
      <c r="J3027">
        <f>IF(AND(ISNUMBER('Data'!$F$3028),'Data'!$F$3028&lt;&gt;999,'Data'!$F$3028&lt;&gt;""),'Data'!$F$3028,"")</f>
        <v/>
      </c>
      <c r="Z3027" t="n">
        <v>1</v>
      </c>
      <c r="AA3027">
        <f>IF(ISNUMBER('IN-CLASS_Lab Part C'!$J$3027),'IN-CLASS_Lab Part C'!$J$3027,NA())</f>
        <v/>
      </c>
    </row>
    <row r="3028">
      <c r="J3028">
        <f>IF(AND(ISNUMBER('Data'!$F$3029),'Data'!$F$3029&lt;&gt;999,'Data'!$F$3029&lt;&gt;""),'Data'!$F$3029,"")</f>
        <v/>
      </c>
      <c r="Z3028" t="n">
        <v>1</v>
      </c>
      <c r="AA3028">
        <f>IF(ISNUMBER('IN-CLASS_Lab Part C'!$J$3028),'IN-CLASS_Lab Part C'!$J$3028,NA())</f>
        <v/>
      </c>
    </row>
    <row r="3029">
      <c r="J3029">
        <f>IF(AND(ISNUMBER('Data'!$F$3030),'Data'!$F$3030&lt;&gt;999,'Data'!$F$3030&lt;&gt;""),'Data'!$F$3030,"")</f>
        <v/>
      </c>
      <c r="Z3029" t="n">
        <v>1</v>
      </c>
      <c r="AA3029">
        <f>IF(ISNUMBER('IN-CLASS_Lab Part C'!$J$3029),'IN-CLASS_Lab Part C'!$J$3029,NA())</f>
        <v/>
      </c>
    </row>
    <row r="3030">
      <c r="J3030">
        <f>IF(AND(ISNUMBER('Data'!$F$3031),'Data'!$F$3031&lt;&gt;999,'Data'!$F$3031&lt;&gt;""),'Data'!$F$3031,"")</f>
        <v/>
      </c>
      <c r="Z3030" t="n">
        <v>1</v>
      </c>
      <c r="AA3030">
        <f>IF(ISNUMBER('IN-CLASS_Lab Part C'!$J$3030),'IN-CLASS_Lab Part C'!$J$3030,NA())</f>
        <v/>
      </c>
    </row>
    <row r="3031">
      <c r="J3031">
        <f>IF(AND(ISNUMBER('Data'!$F$3032),'Data'!$F$3032&lt;&gt;999,'Data'!$F$3032&lt;&gt;""),'Data'!$F$3032,"")</f>
        <v/>
      </c>
      <c r="Z3031" t="n">
        <v>1</v>
      </c>
      <c r="AA3031">
        <f>IF(ISNUMBER('IN-CLASS_Lab Part C'!$J$3031),'IN-CLASS_Lab Part C'!$J$3031,NA())</f>
        <v/>
      </c>
    </row>
    <row r="3032">
      <c r="J3032">
        <f>IF(AND(ISNUMBER('Data'!$F$3033),'Data'!$F$3033&lt;&gt;999,'Data'!$F$3033&lt;&gt;""),'Data'!$F$3033,"")</f>
        <v/>
      </c>
      <c r="Z3032" t="n">
        <v>1</v>
      </c>
      <c r="AA3032">
        <f>IF(ISNUMBER('IN-CLASS_Lab Part C'!$J$3032),'IN-CLASS_Lab Part C'!$J$3032,NA())</f>
        <v/>
      </c>
    </row>
    <row r="3033">
      <c r="J3033">
        <f>IF(AND(ISNUMBER('Data'!$F$3034),'Data'!$F$3034&lt;&gt;999,'Data'!$F$3034&lt;&gt;""),'Data'!$F$3034,"")</f>
        <v/>
      </c>
      <c r="Z3033" t="n">
        <v>1</v>
      </c>
      <c r="AA3033">
        <f>IF(ISNUMBER('IN-CLASS_Lab Part C'!$J$3033),'IN-CLASS_Lab Part C'!$J$3033,NA())</f>
        <v/>
      </c>
    </row>
    <row r="3034">
      <c r="J3034">
        <f>IF(AND(ISNUMBER('Data'!$F$3035),'Data'!$F$3035&lt;&gt;999,'Data'!$F$3035&lt;&gt;""),'Data'!$F$3035,"")</f>
        <v/>
      </c>
      <c r="Z3034" t="n">
        <v>1</v>
      </c>
      <c r="AA3034">
        <f>IF(ISNUMBER('IN-CLASS_Lab Part C'!$J$3034),'IN-CLASS_Lab Part C'!$J$3034,NA())</f>
        <v/>
      </c>
    </row>
    <row r="3035">
      <c r="J3035">
        <f>IF(AND(ISNUMBER('Data'!$F$3036),'Data'!$F$3036&lt;&gt;999,'Data'!$F$3036&lt;&gt;""),'Data'!$F$3036,"")</f>
        <v/>
      </c>
      <c r="Z3035" t="n">
        <v>1</v>
      </c>
      <c r="AA3035">
        <f>IF(ISNUMBER('IN-CLASS_Lab Part C'!$J$3035),'IN-CLASS_Lab Part C'!$J$3035,NA())</f>
        <v/>
      </c>
    </row>
    <row r="3036">
      <c r="J3036">
        <f>IF(AND(ISNUMBER('Data'!$F$3037),'Data'!$F$3037&lt;&gt;999,'Data'!$F$3037&lt;&gt;""),'Data'!$F$3037,"")</f>
        <v/>
      </c>
      <c r="Z3036" t="n">
        <v>1</v>
      </c>
      <c r="AA3036">
        <f>IF(ISNUMBER('IN-CLASS_Lab Part C'!$J$3036),'IN-CLASS_Lab Part C'!$J$3036,NA())</f>
        <v/>
      </c>
    </row>
    <row r="3037">
      <c r="J3037">
        <f>IF(AND(ISNUMBER('Data'!$F$3038),'Data'!$F$3038&lt;&gt;999,'Data'!$F$3038&lt;&gt;""),'Data'!$F$3038,"")</f>
        <v/>
      </c>
      <c r="Z3037" t="n">
        <v>1</v>
      </c>
      <c r="AA3037">
        <f>IF(ISNUMBER('IN-CLASS_Lab Part C'!$J$3037),'IN-CLASS_Lab Part C'!$J$3037,NA())</f>
        <v/>
      </c>
    </row>
    <row r="3038">
      <c r="J3038">
        <f>IF(AND(ISNUMBER('Data'!$F$3039),'Data'!$F$3039&lt;&gt;999,'Data'!$F$3039&lt;&gt;""),'Data'!$F$3039,"")</f>
        <v/>
      </c>
      <c r="Z3038" t="n">
        <v>1</v>
      </c>
      <c r="AA3038">
        <f>IF(ISNUMBER('IN-CLASS_Lab Part C'!$J$3038),'IN-CLASS_Lab Part C'!$J$3038,NA())</f>
        <v/>
      </c>
    </row>
    <row r="3039">
      <c r="J3039">
        <f>IF(AND(ISNUMBER('Data'!$F$3040),'Data'!$F$3040&lt;&gt;999,'Data'!$F$3040&lt;&gt;""),'Data'!$F$3040,"")</f>
        <v/>
      </c>
      <c r="Z3039" t="n">
        <v>1</v>
      </c>
      <c r="AA3039">
        <f>IF(ISNUMBER('IN-CLASS_Lab Part C'!$J$3039),'IN-CLASS_Lab Part C'!$J$3039,NA())</f>
        <v/>
      </c>
    </row>
    <row r="3040">
      <c r="J3040">
        <f>IF(AND(ISNUMBER('Data'!$F$3041),'Data'!$F$3041&lt;&gt;999,'Data'!$F$3041&lt;&gt;""),'Data'!$F$3041,"")</f>
        <v/>
      </c>
      <c r="Z3040" t="n">
        <v>1</v>
      </c>
      <c r="AA3040">
        <f>IF(ISNUMBER('IN-CLASS_Lab Part C'!$J$3040),'IN-CLASS_Lab Part C'!$J$3040,NA())</f>
        <v/>
      </c>
    </row>
    <row r="3041">
      <c r="J3041">
        <f>IF(AND(ISNUMBER('Data'!$F$3042),'Data'!$F$3042&lt;&gt;999,'Data'!$F$3042&lt;&gt;""),'Data'!$F$3042,"")</f>
        <v/>
      </c>
      <c r="Z3041" t="n">
        <v>1</v>
      </c>
      <c r="AA3041">
        <f>IF(ISNUMBER('IN-CLASS_Lab Part C'!$J$3041),'IN-CLASS_Lab Part C'!$J$3041,NA())</f>
        <v/>
      </c>
    </row>
    <row r="3042">
      <c r="J3042">
        <f>IF(AND(ISNUMBER('Data'!$F$3043),'Data'!$F$3043&lt;&gt;999,'Data'!$F$3043&lt;&gt;""),'Data'!$F$3043,"")</f>
        <v/>
      </c>
      <c r="Z3042" t="n">
        <v>1</v>
      </c>
      <c r="AA3042">
        <f>IF(ISNUMBER('IN-CLASS_Lab Part C'!$J$3042),'IN-CLASS_Lab Part C'!$J$3042,NA())</f>
        <v/>
      </c>
    </row>
    <row r="3043">
      <c r="J3043">
        <f>IF(AND(ISNUMBER('Data'!$F$3044),'Data'!$F$3044&lt;&gt;999,'Data'!$F$3044&lt;&gt;""),'Data'!$F$3044,"")</f>
        <v/>
      </c>
      <c r="Z3043" t="n">
        <v>1</v>
      </c>
      <c r="AA3043">
        <f>IF(ISNUMBER('IN-CLASS_Lab Part C'!$J$3043),'IN-CLASS_Lab Part C'!$J$3043,NA())</f>
        <v/>
      </c>
    </row>
    <row r="3044">
      <c r="J3044">
        <f>IF(AND(ISNUMBER('Data'!$F$3045),'Data'!$F$3045&lt;&gt;999,'Data'!$F$3045&lt;&gt;""),'Data'!$F$3045,"")</f>
        <v/>
      </c>
      <c r="Z3044" t="n">
        <v>1</v>
      </c>
      <c r="AA3044">
        <f>IF(ISNUMBER('IN-CLASS_Lab Part C'!$J$3044),'IN-CLASS_Lab Part C'!$J$3044,NA())</f>
        <v/>
      </c>
    </row>
    <row r="3045">
      <c r="J3045">
        <f>IF(AND(ISNUMBER('Data'!$F$3046),'Data'!$F$3046&lt;&gt;999,'Data'!$F$3046&lt;&gt;""),'Data'!$F$3046,"")</f>
        <v/>
      </c>
      <c r="Z3045" t="n">
        <v>1</v>
      </c>
      <c r="AA3045">
        <f>IF(ISNUMBER('IN-CLASS_Lab Part C'!$J$3045),'IN-CLASS_Lab Part C'!$J$3045,NA())</f>
        <v/>
      </c>
    </row>
    <row r="3046">
      <c r="J3046">
        <f>IF(AND(ISNUMBER('Data'!$F$3047),'Data'!$F$3047&lt;&gt;999,'Data'!$F$3047&lt;&gt;""),'Data'!$F$3047,"")</f>
        <v/>
      </c>
      <c r="Z3046" t="n">
        <v>1</v>
      </c>
      <c r="AA3046">
        <f>IF(ISNUMBER('IN-CLASS_Lab Part C'!$J$3046),'IN-CLASS_Lab Part C'!$J$3046,NA())</f>
        <v/>
      </c>
    </row>
    <row r="3047">
      <c r="J3047">
        <f>IF(AND(ISNUMBER('Data'!$F$3048),'Data'!$F$3048&lt;&gt;999,'Data'!$F$3048&lt;&gt;""),'Data'!$F$3048,"")</f>
        <v/>
      </c>
      <c r="Z3047" t="n">
        <v>1</v>
      </c>
      <c r="AA3047">
        <f>IF(ISNUMBER('IN-CLASS_Lab Part C'!$J$3047),'IN-CLASS_Lab Part C'!$J$3047,NA())</f>
        <v/>
      </c>
    </row>
    <row r="3048">
      <c r="J3048">
        <f>IF(AND(ISNUMBER('Data'!$F$3049),'Data'!$F$3049&lt;&gt;999,'Data'!$F$3049&lt;&gt;""),'Data'!$F$3049,"")</f>
        <v/>
      </c>
      <c r="Z3048" t="n">
        <v>1</v>
      </c>
      <c r="AA3048">
        <f>IF(ISNUMBER('IN-CLASS_Lab Part C'!$J$3048),'IN-CLASS_Lab Part C'!$J$3048,NA())</f>
        <v/>
      </c>
    </row>
    <row r="3049">
      <c r="J3049">
        <f>IF(AND(ISNUMBER('Data'!$F$3050),'Data'!$F$3050&lt;&gt;999,'Data'!$F$3050&lt;&gt;""),'Data'!$F$3050,"")</f>
        <v/>
      </c>
      <c r="Z3049" t="n">
        <v>1</v>
      </c>
      <c r="AA3049">
        <f>IF(ISNUMBER('IN-CLASS_Lab Part C'!$J$3049),'IN-CLASS_Lab Part C'!$J$3049,NA())</f>
        <v/>
      </c>
    </row>
    <row r="3050">
      <c r="J3050">
        <f>IF(AND(ISNUMBER('Data'!$F$3051),'Data'!$F$3051&lt;&gt;999,'Data'!$F$3051&lt;&gt;""),'Data'!$F$3051,"")</f>
        <v/>
      </c>
      <c r="Z3050" t="n">
        <v>1</v>
      </c>
      <c r="AA3050">
        <f>IF(ISNUMBER('IN-CLASS_Lab Part C'!$J$3050),'IN-CLASS_Lab Part C'!$J$3050,NA())</f>
        <v/>
      </c>
    </row>
    <row r="3051">
      <c r="J3051">
        <f>IF(AND(ISNUMBER('Data'!$F$3052),'Data'!$F$3052&lt;&gt;999,'Data'!$F$3052&lt;&gt;""),'Data'!$F$3052,"")</f>
        <v/>
      </c>
      <c r="Z3051" t="n">
        <v>1</v>
      </c>
      <c r="AA3051">
        <f>IF(ISNUMBER('IN-CLASS_Lab Part C'!$J$3051),'IN-CLASS_Lab Part C'!$J$3051,NA())</f>
        <v/>
      </c>
    </row>
    <row r="3052">
      <c r="J3052">
        <f>IF(AND(ISNUMBER('Data'!$F$3053),'Data'!$F$3053&lt;&gt;999,'Data'!$F$3053&lt;&gt;""),'Data'!$F$3053,"")</f>
        <v/>
      </c>
      <c r="Z3052" t="n">
        <v>1</v>
      </c>
      <c r="AA3052">
        <f>IF(ISNUMBER('IN-CLASS_Lab Part C'!$J$3052),'IN-CLASS_Lab Part C'!$J$3052,NA())</f>
        <v/>
      </c>
    </row>
    <row r="3053">
      <c r="J3053">
        <f>IF(AND(ISNUMBER('Data'!$F$3054),'Data'!$F$3054&lt;&gt;999,'Data'!$F$3054&lt;&gt;""),'Data'!$F$3054,"")</f>
        <v/>
      </c>
      <c r="Z3053" t="n">
        <v>1</v>
      </c>
      <c r="AA3053">
        <f>IF(ISNUMBER('IN-CLASS_Lab Part C'!$J$3053),'IN-CLASS_Lab Part C'!$J$3053,NA())</f>
        <v/>
      </c>
    </row>
    <row r="3054">
      <c r="J3054">
        <f>IF(AND(ISNUMBER('Data'!$F$3055),'Data'!$F$3055&lt;&gt;999,'Data'!$F$3055&lt;&gt;""),'Data'!$F$3055,"")</f>
        <v/>
      </c>
      <c r="Z3054" t="n">
        <v>1</v>
      </c>
      <c r="AA3054">
        <f>IF(ISNUMBER('IN-CLASS_Lab Part C'!$J$3054),'IN-CLASS_Lab Part C'!$J$3054,NA())</f>
        <v/>
      </c>
    </row>
    <row r="3055">
      <c r="J3055">
        <f>IF(AND(ISNUMBER('Data'!$F$3056),'Data'!$F$3056&lt;&gt;999,'Data'!$F$3056&lt;&gt;""),'Data'!$F$3056,"")</f>
        <v/>
      </c>
      <c r="Z3055" t="n">
        <v>1</v>
      </c>
      <c r="AA3055">
        <f>IF(ISNUMBER('IN-CLASS_Lab Part C'!$J$3055),'IN-CLASS_Lab Part C'!$J$3055,NA())</f>
        <v/>
      </c>
    </row>
    <row r="3056">
      <c r="J3056">
        <f>IF(AND(ISNUMBER('Data'!$F$3057),'Data'!$F$3057&lt;&gt;999,'Data'!$F$3057&lt;&gt;""),'Data'!$F$3057,"")</f>
        <v/>
      </c>
      <c r="Z3056" t="n">
        <v>1</v>
      </c>
      <c r="AA3056">
        <f>IF(ISNUMBER('IN-CLASS_Lab Part C'!$J$3056),'IN-CLASS_Lab Part C'!$J$3056,NA())</f>
        <v/>
      </c>
    </row>
    <row r="3057">
      <c r="J3057">
        <f>IF(AND(ISNUMBER('Data'!$F$3058),'Data'!$F$3058&lt;&gt;999,'Data'!$F$3058&lt;&gt;""),'Data'!$F$3058,"")</f>
        <v/>
      </c>
      <c r="Z3057" t="n">
        <v>1</v>
      </c>
      <c r="AA3057">
        <f>IF(ISNUMBER('IN-CLASS_Lab Part C'!$J$3057),'IN-CLASS_Lab Part C'!$J$3057,NA())</f>
        <v/>
      </c>
    </row>
    <row r="3058">
      <c r="J3058">
        <f>IF(AND(ISNUMBER('Data'!$F$3059),'Data'!$F$3059&lt;&gt;999,'Data'!$F$3059&lt;&gt;""),'Data'!$F$3059,"")</f>
        <v/>
      </c>
      <c r="Z3058" t="n">
        <v>1</v>
      </c>
      <c r="AA3058">
        <f>IF(ISNUMBER('IN-CLASS_Lab Part C'!$J$3058),'IN-CLASS_Lab Part C'!$J$3058,NA())</f>
        <v/>
      </c>
    </row>
    <row r="3059">
      <c r="J3059">
        <f>IF(AND(ISNUMBER('Data'!$F$3060),'Data'!$F$3060&lt;&gt;999,'Data'!$F$3060&lt;&gt;""),'Data'!$F$3060,"")</f>
        <v/>
      </c>
      <c r="Z3059" t="n">
        <v>1</v>
      </c>
      <c r="AA3059">
        <f>IF(ISNUMBER('IN-CLASS_Lab Part C'!$J$3059),'IN-CLASS_Lab Part C'!$J$3059,NA())</f>
        <v/>
      </c>
    </row>
    <row r="3060">
      <c r="J3060">
        <f>IF(AND(ISNUMBER('Data'!$F$3061),'Data'!$F$3061&lt;&gt;999,'Data'!$F$3061&lt;&gt;""),'Data'!$F$3061,"")</f>
        <v/>
      </c>
      <c r="Z3060" t="n">
        <v>1</v>
      </c>
      <c r="AA3060">
        <f>IF(ISNUMBER('IN-CLASS_Lab Part C'!$J$3060),'IN-CLASS_Lab Part C'!$J$3060,NA())</f>
        <v/>
      </c>
    </row>
    <row r="3061">
      <c r="J3061">
        <f>IF(AND(ISNUMBER('Data'!$F$3062),'Data'!$F$3062&lt;&gt;999,'Data'!$F$3062&lt;&gt;""),'Data'!$F$3062,"")</f>
        <v/>
      </c>
      <c r="Z3061" t="n">
        <v>1</v>
      </c>
      <c r="AA3061">
        <f>IF(ISNUMBER('IN-CLASS_Lab Part C'!$J$3061),'IN-CLASS_Lab Part C'!$J$3061,NA())</f>
        <v/>
      </c>
    </row>
    <row r="3062">
      <c r="J3062">
        <f>IF(AND(ISNUMBER('Data'!$F$3063),'Data'!$F$3063&lt;&gt;999,'Data'!$F$3063&lt;&gt;""),'Data'!$F$3063,"")</f>
        <v/>
      </c>
      <c r="Z3062" t="n">
        <v>1</v>
      </c>
      <c r="AA3062">
        <f>IF(ISNUMBER('IN-CLASS_Lab Part C'!$J$3062),'IN-CLASS_Lab Part C'!$J$3062,NA())</f>
        <v/>
      </c>
    </row>
    <row r="3063">
      <c r="J3063">
        <f>IF(AND(ISNUMBER('Data'!$F$3064),'Data'!$F$3064&lt;&gt;999,'Data'!$F$3064&lt;&gt;""),'Data'!$F$3064,"")</f>
        <v/>
      </c>
      <c r="Z3063" t="n">
        <v>1</v>
      </c>
      <c r="AA3063">
        <f>IF(ISNUMBER('IN-CLASS_Lab Part C'!$J$3063),'IN-CLASS_Lab Part C'!$J$3063,NA())</f>
        <v/>
      </c>
    </row>
    <row r="3064">
      <c r="J3064">
        <f>IF(AND(ISNUMBER('Data'!$F$3065),'Data'!$F$3065&lt;&gt;999,'Data'!$F$3065&lt;&gt;""),'Data'!$F$3065,"")</f>
        <v/>
      </c>
      <c r="Z3064" t="n">
        <v>1</v>
      </c>
      <c r="AA3064">
        <f>IF(ISNUMBER('IN-CLASS_Lab Part C'!$J$3064),'IN-CLASS_Lab Part C'!$J$3064,NA())</f>
        <v/>
      </c>
    </row>
    <row r="3065">
      <c r="J3065">
        <f>IF(AND(ISNUMBER('Data'!$F$3066),'Data'!$F$3066&lt;&gt;999,'Data'!$F$3066&lt;&gt;""),'Data'!$F$3066,"")</f>
        <v/>
      </c>
      <c r="Z3065" t="n">
        <v>1</v>
      </c>
      <c r="AA3065">
        <f>IF(ISNUMBER('IN-CLASS_Lab Part C'!$J$3065),'IN-CLASS_Lab Part C'!$J$3065,NA())</f>
        <v/>
      </c>
    </row>
    <row r="3066">
      <c r="J3066">
        <f>IF(AND(ISNUMBER('Data'!$F$3067),'Data'!$F$3067&lt;&gt;999,'Data'!$F$3067&lt;&gt;""),'Data'!$F$3067,"")</f>
        <v/>
      </c>
      <c r="Z3066" t="n">
        <v>1</v>
      </c>
      <c r="AA3066">
        <f>IF(ISNUMBER('IN-CLASS_Lab Part C'!$J$3066),'IN-CLASS_Lab Part C'!$J$3066,NA())</f>
        <v/>
      </c>
    </row>
    <row r="3067">
      <c r="J3067">
        <f>IF(AND(ISNUMBER('Data'!$F$3068),'Data'!$F$3068&lt;&gt;999,'Data'!$F$3068&lt;&gt;""),'Data'!$F$3068,"")</f>
        <v/>
      </c>
      <c r="Z3067" t="n">
        <v>1</v>
      </c>
      <c r="AA3067">
        <f>IF(ISNUMBER('IN-CLASS_Lab Part C'!$J$3067),'IN-CLASS_Lab Part C'!$J$3067,NA())</f>
        <v/>
      </c>
    </row>
    <row r="3068">
      <c r="J3068">
        <f>IF(AND(ISNUMBER('Data'!$F$3069),'Data'!$F$3069&lt;&gt;999,'Data'!$F$3069&lt;&gt;""),'Data'!$F$3069,"")</f>
        <v/>
      </c>
      <c r="Z3068" t="n">
        <v>1</v>
      </c>
      <c r="AA3068">
        <f>IF(ISNUMBER('IN-CLASS_Lab Part C'!$J$3068),'IN-CLASS_Lab Part C'!$J$3068,NA())</f>
        <v/>
      </c>
    </row>
    <row r="3069">
      <c r="J3069">
        <f>IF(AND(ISNUMBER('Data'!$F$3070),'Data'!$F$3070&lt;&gt;999,'Data'!$F$3070&lt;&gt;""),'Data'!$F$3070,"")</f>
        <v/>
      </c>
      <c r="Z3069" t="n">
        <v>1</v>
      </c>
      <c r="AA3069">
        <f>IF(ISNUMBER('IN-CLASS_Lab Part C'!$J$3069),'IN-CLASS_Lab Part C'!$J$3069,NA())</f>
        <v/>
      </c>
    </row>
    <row r="3070">
      <c r="J3070">
        <f>IF(AND(ISNUMBER('Data'!$F$3071),'Data'!$F$3071&lt;&gt;999,'Data'!$F$3071&lt;&gt;""),'Data'!$F$3071,"")</f>
        <v/>
      </c>
      <c r="Z3070" t="n">
        <v>1</v>
      </c>
      <c r="AA3070">
        <f>IF(ISNUMBER('IN-CLASS_Lab Part C'!$J$3070),'IN-CLASS_Lab Part C'!$J$3070,NA())</f>
        <v/>
      </c>
    </row>
    <row r="3071">
      <c r="J3071">
        <f>IF(AND(ISNUMBER('Data'!$F$3072),'Data'!$F$3072&lt;&gt;999,'Data'!$F$3072&lt;&gt;""),'Data'!$F$3072,"")</f>
        <v/>
      </c>
      <c r="Z3071" t="n">
        <v>1</v>
      </c>
      <c r="AA3071">
        <f>IF(ISNUMBER('IN-CLASS_Lab Part C'!$J$3071),'IN-CLASS_Lab Part C'!$J$3071,NA())</f>
        <v/>
      </c>
    </row>
    <row r="3072">
      <c r="J3072">
        <f>IF(AND(ISNUMBER('Data'!$F$3073),'Data'!$F$3073&lt;&gt;999,'Data'!$F$3073&lt;&gt;""),'Data'!$F$3073,"")</f>
        <v/>
      </c>
      <c r="Z3072" t="n">
        <v>1</v>
      </c>
      <c r="AA3072">
        <f>IF(ISNUMBER('IN-CLASS_Lab Part C'!$J$3072),'IN-CLASS_Lab Part C'!$J$3072,NA())</f>
        <v/>
      </c>
    </row>
    <row r="3073">
      <c r="J3073">
        <f>IF(AND(ISNUMBER('Data'!$F$3074),'Data'!$F$3074&lt;&gt;999,'Data'!$F$3074&lt;&gt;""),'Data'!$F$3074,"")</f>
        <v/>
      </c>
      <c r="Z3073" t="n">
        <v>1</v>
      </c>
      <c r="AA3073">
        <f>IF(ISNUMBER('IN-CLASS_Lab Part C'!$J$3073),'IN-CLASS_Lab Part C'!$J$3073,NA())</f>
        <v/>
      </c>
    </row>
    <row r="3074">
      <c r="J3074">
        <f>IF(AND(ISNUMBER('Data'!$F$3075),'Data'!$F$3075&lt;&gt;999,'Data'!$F$3075&lt;&gt;""),'Data'!$F$3075,"")</f>
        <v/>
      </c>
      <c r="Z3074" t="n">
        <v>1</v>
      </c>
      <c r="AA3074">
        <f>IF(ISNUMBER('IN-CLASS_Lab Part C'!$J$3074),'IN-CLASS_Lab Part C'!$J$3074,NA())</f>
        <v/>
      </c>
    </row>
    <row r="3075">
      <c r="J3075">
        <f>IF(AND(ISNUMBER('Data'!$F$3076),'Data'!$F$3076&lt;&gt;999,'Data'!$F$3076&lt;&gt;""),'Data'!$F$3076,"")</f>
        <v/>
      </c>
      <c r="Z3075" t="n">
        <v>1</v>
      </c>
      <c r="AA3075">
        <f>IF(ISNUMBER('IN-CLASS_Lab Part C'!$J$3075),'IN-CLASS_Lab Part C'!$J$3075,NA())</f>
        <v/>
      </c>
    </row>
    <row r="3076">
      <c r="J3076">
        <f>IF(AND(ISNUMBER('Data'!$F$3077),'Data'!$F$3077&lt;&gt;999,'Data'!$F$3077&lt;&gt;""),'Data'!$F$3077,"")</f>
        <v/>
      </c>
      <c r="Z3076" t="n">
        <v>1</v>
      </c>
      <c r="AA3076">
        <f>IF(ISNUMBER('IN-CLASS_Lab Part C'!$J$3076),'IN-CLASS_Lab Part C'!$J$3076,NA())</f>
        <v/>
      </c>
    </row>
    <row r="3077">
      <c r="J3077">
        <f>IF(AND(ISNUMBER('Data'!$F$3078),'Data'!$F$3078&lt;&gt;999,'Data'!$F$3078&lt;&gt;""),'Data'!$F$3078,"")</f>
        <v/>
      </c>
      <c r="Z3077" t="n">
        <v>1</v>
      </c>
      <c r="AA3077">
        <f>IF(ISNUMBER('IN-CLASS_Lab Part C'!$J$3077),'IN-CLASS_Lab Part C'!$J$3077,NA())</f>
        <v/>
      </c>
    </row>
    <row r="3078">
      <c r="J3078">
        <f>IF(AND(ISNUMBER('Data'!$F$3079),'Data'!$F$3079&lt;&gt;999,'Data'!$F$3079&lt;&gt;""),'Data'!$F$3079,"")</f>
        <v/>
      </c>
      <c r="Z3078" t="n">
        <v>1</v>
      </c>
      <c r="AA3078">
        <f>IF(ISNUMBER('IN-CLASS_Lab Part C'!$J$3078),'IN-CLASS_Lab Part C'!$J$3078,NA())</f>
        <v/>
      </c>
    </row>
    <row r="3079">
      <c r="J3079">
        <f>IF(AND(ISNUMBER('Data'!$F$3080),'Data'!$F$3080&lt;&gt;999,'Data'!$F$3080&lt;&gt;""),'Data'!$F$3080,"")</f>
        <v/>
      </c>
      <c r="Z3079" t="n">
        <v>1</v>
      </c>
      <c r="AA3079">
        <f>IF(ISNUMBER('IN-CLASS_Lab Part C'!$J$3079),'IN-CLASS_Lab Part C'!$J$3079,NA())</f>
        <v/>
      </c>
    </row>
    <row r="3080">
      <c r="J3080">
        <f>IF(AND(ISNUMBER('Data'!$F$3081),'Data'!$F$3081&lt;&gt;999,'Data'!$F$3081&lt;&gt;""),'Data'!$F$3081,"")</f>
        <v/>
      </c>
      <c r="Z3080" t="n">
        <v>1</v>
      </c>
      <c r="AA3080">
        <f>IF(ISNUMBER('IN-CLASS_Lab Part C'!$J$3080),'IN-CLASS_Lab Part C'!$J$3080,NA())</f>
        <v/>
      </c>
    </row>
    <row r="3081">
      <c r="J3081">
        <f>IF(AND(ISNUMBER('Data'!$F$3082),'Data'!$F$3082&lt;&gt;999,'Data'!$F$3082&lt;&gt;""),'Data'!$F$3082,"")</f>
        <v/>
      </c>
      <c r="Z3081" t="n">
        <v>1</v>
      </c>
      <c r="AA3081">
        <f>IF(ISNUMBER('IN-CLASS_Lab Part C'!$J$3081),'IN-CLASS_Lab Part C'!$J$3081,NA())</f>
        <v/>
      </c>
    </row>
    <row r="3082">
      <c r="J3082">
        <f>IF(AND(ISNUMBER('Data'!$F$3083),'Data'!$F$3083&lt;&gt;999,'Data'!$F$3083&lt;&gt;""),'Data'!$F$3083,"")</f>
        <v/>
      </c>
      <c r="Z3082" t="n">
        <v>1</v>
      </c>
      <c r="AA3082">
        <f>IF(ISNUMBER('IN-CLASS_Lab Part C'!$J$3082),'IN-CLASS_Lab Part C'!$J$3082,NA())</f>
        <v/>
      </c>
    </row>
    <row r="3083">
      <c r="J3083">
        <f>IF(AND(ISNUMBER('Data'!$F$3084),'Data'!$F$3084&lt;&gt;999,'Data'!$F$3084&lt;&gt;""),'Data'!$F$3084,"")</f>
        <v/>
      </c>
      <c r="Z3083" t="n">
        <v>1</v>
      </c>
      <c r="AA3083">
        <f>IF(ISNUMBER('IN-CLASS_Lab Part C'!$J$3083),'IN-CLASS_Lab Part C'!$J$3083,NA())</f>
        <v/>
      </c>
    </row>
    <row r="3084">
      <c r="J3084">
        <f>IF(AND(ISNUMBER('Data'!$F$3085),'Data'!$F$3085&lt;&gt;999,'Data'!$F$3085&lt;&gt;""),'Data'!$F$3085,"")</f>
        <v/>
      </c>
      <c r="Z3084" t="n">
        <v>1</v>
      </c>
      <c r="AA3084">
        <f>IF(ISNUMBER('IN-CLASS_Lab Part C'!$J$3084),'IN-CLASS_Lab Part C'!$J$3084,NA())</f>
        <v/>
      </c>
    </row>
    <row r="3085">
      <c r="J3085">
        <f>IF(AND(ISNUMBER('Data'!$F$3086),'Data'!$F$3086&lt;&gt;999,'Data'!$F$3086&lt;&gt;""),'Data'!$F$3086,"")</f>
        <v/>
      </c>
      <c r="Z3085" t="n">
        <v>1</v>
      </c>
      <c r="AA3085">
        <f>IF(ISNUMBER('IN-CLASS_Lab Part C'!$J$3085),'IN-CLASS_Lab Part C'!$J$3085,NA())</f>
        <v/>
      </c>
    </row>
    <row r="3086">
      <c r="J3086">
        <f>IF(AND(ISNUMBER('Data'!$F$3087),'Data'!$F$3087&lt;&gt;999,'Data'!$F$3087&lt;&gt;""),'Data'!$F$3087,"")</f>
        <v/>
      </c>
      <c r="Z3086" t="n">
        <v>1</v>
      </c>
      <c r="AA3086">
        <f>IF(ISNUMBER('IN-CLASS_Lab Part C'!$J$3086),'IN-CLASS_Lab Part C'!$J$3086,NA())</f>
        <v/>
      </c>
    </row>
    <row r="3087">
      <c r="J3087">
        <f>IF(AND(ISNUMBER('Data'!$F$3088),'Data'!$F$3088&lt;&gt;999,'Data'!$F$3088&lt;&gt;""),'Data'!$F$3088,"")</f>
        <v/>
      </c>
      <c r="Z3087" t="n">
        <v>1</v>
      </c>
      <c r="AA3087">
        <f>IF(ISNUMBER('IN-CLASS_Lab Part C'!$J$3087),'IN-CLASS_Lab Part C'!$J$3087,NA())</f>
        <v/>
      </c>
    </row>
    <row r="3088">
      <c r="J3088">
        <f>IF(AND(ISNUMBER('Data'!$F$3089),'Data'!$F$3089&lt;&gt;999,'Data'!$F$3089&lt;&gt;""),'Data'!$F$3089,"")</f>
        <v/>
      </c>
      <c r="Z3088" t="n">
        <v>1</v>
      </c>
      <c r="AA3088">
        <f>IF(ISNUMBER('IN-CLASS_Lab Part C'!$J$3088),'IN-CLASS_Lab Part C'!$J$3088,NA())</f>
        <v/>
      </c>
    </row>
    <row r="3089">
      <c r="J3089">
        <f>IF(AND(ISNUMBER('Data'!$F$3090),'Data'!$F$3090&lt;&gt;999,'Data'!$F$3090&lt;&gt;""),'Data'!$F$3090,"")</f>
        <v/>
      </c>
      <c r="Z3089" t="n">
        <v>1</v>
      </c>
      <c r="AA3089">
        <f>IF(ISNUMBER('IN-CLASS_Lab Part C'!$J$3089),'IN-CLASS_Lab Part C'!$J$3089,NA())</f>
        <v/>
      </c>
    </row>
    <row r="3090">
      <c r="J3090">
        <f>IF(AND(ISNUMBER('Data'!$F$3091),'Data'!$F$3091&lt;&gt;999,'Data'!$F$3091&lt;&gt;""),'Data'!$F$3091,"")</f>
        <v/>
      </c>
      <c r="Z3090" t="n">
        <v>1</v>
      </c>
      <c r="AA3090">
        <f>IF(ISNUMBER('IN-CLASS_Lab Part C'!$J$3090),'IN-CLASS_Lab Part C'!$J$3090,NA())</f>
        <v/>
      </c>
    </row>
    <row r="3091">
      <c r="J3091">
        <f>IF(AND(ISNUMBER('Data'!$F$3092),'Data'!$F$3092&lt;&gt;999,'Data'!$F$3092&lt;&gt;""),'Data'!$F$3092,"")</f>
        <v/>
      </c>
      <c r="Z3091" t="n">
        <v>1</v>
      </c>
      <c r="AA3091">
        <f>IF(ISNUMBER('IN-CLASS_Lab Part C'!$J$3091),'IN-CLASS_Lab Part C'!$J$3091,NA())</f>
        <v/>
      </c>
    </row>
    <row r="3092">
      <c r="J3092">
        <f>IF(AND(ISNUMBER('Data'!$F$3093),'Data'!$F$3093&lt;&gt;999,'Data'!$F$3093&lt;&gt;""),'Data'!$F$3093,"")</f>
        <v/>
      </c>
      <c r="Z3092" t="n">
        <v>1</v>
      </c>
      <c r="AA3092">
        <f>IF(ISNUMBER('IN-CLASS_Lab Part C'!$J$3092),'IN-CLASS_Lab Part C'!$J$3092,NA())</f>
        <v/>
      </c>
    </row>
    <row r="3093">
      <c r="J3093">
        <f>IF(AND(ISNUMBER('Data'!$F$3094),'Data'!$F$3094&lt;&gt;999,'Data'!$F$3094&lt;&gt;""),'Data'!$F$3094,"")</f>
        <v/>
      </c>
      <c r="Z3093" t="n">
        <v>1</v>
      </c>
      <c r="AA3093">
        <f>IF(ISNUMBER('IN-CLASS_Lab Part C'!$J$3093),'IN-CLASS_Lab Part C'!$J$3093,NA())</f>
        <v/>
      </c>
    </row>
    <row r="3094">
      <c r="J3094">
        <f>IF(AND(ISNUMBER('Data'!$F$3095),'Data'!$F$3095&lt;&gt;999,'Data'!$F$3095&lt;&gt;""),'Data'!$F$3095,"")</f>
        <v/>
      </c>
      <c r="Z3094" t="n">
        <v>1</v>
      </c>
      <c r="AA3094">
        <f>IF(ISNUMBER('IN-CLASS_Lab Part C'!$J$3094),'IN-CLASS_Lab Part C'!$J$3094,NA())</f>
        <v/>
      </c>
    </row>
    <row r="3095">
      <c r="J3095">
        <f>IF(AND(ISNUMBER('Data'!$F$3096),'Data'!$F$3096&lt;&gt;999,'Data'!$F$3096&lt;&gt;""),'Data'!$F$3096,"")</f>
        <v/>
      </c>
      <c r="Z3095" t="n">
        <v>1</v>
      </c>
      <c r="AA3095">
        <f>IF(ISNUMBER('IN-CLASS_Lab Part C'!$J$3095),'IN-CLASS_Lab Part C'!$J$3095,NA())</f>
        <v/>
      </c>
    </row>
    <row r="3096">
      <c r="J3096">
        <f>IF(AND(ISNUMBER('Data'!$F$3097),'Data'!$F$3097&lt;&gt;999,'Data'!$F$3097&lt;&gt;""),'Data'!$F$3097,"")</f>
        <v/>
      </c>
      <c r="Z3096" t="n">
        <v>1</v>
      </c>
      <c r="AA3096">
        <f>IF(ISNUMBER('IN-CLASS_Lab Part C'!$J$3096),'IN-CLASS_Lab Part C'!$J$3096,NA())</f>
        <v/>
      </c>
    </row>
    <row r="3097">
      <c r="J3097">
        <f>IF(AND(ISNUMBER('Data'!$F$3098),'Data'!$F$3098&lt;&gt;999,'Data'!$F$3098&lt;&gt;""),'Data'!$F$3098,"")</f>
        <v/>
      </c>
      <c r="Z3097" t="n">
        <v>1</v>
      </c>
      <c r="AA3097">
        <f>IF(ISNUMBER('IN-CLASS_Lab Part C'!$J$3097),'IN-CLASS_Lab Part C'!$J$3097,NA())</f>
        <v/>
      </c>
    </row>
    <row r="3098">
      <c r="J3098">
        <f>IF(AND(ISNUMBER('Data'!$F$3099),'Data'!$F$3099&lt;&gt;999,'Data'!$F$3099&lt;&gt;""),'Data'!$F$3099,"")</f>
        <v/>
      </c>
      <c r="Z3098" t="n">
        <v>1</v>
      </c>
      <c r="AA3098">
        <f>IF(ISNUMBER('IN-CLASS_Lab Part C'!$J$3098),'IN-CLASS_Lab Part C'!$J$3098,NA())</f>
        <v/>
      </c>
    </row>
    <row r="3099">
      <c r="J3099">
        <f>IF(AND(ISNUMBER('Data'!$F$3100),'Data'!$F$3100&lt;&gt;999,'Data'!$F$3100&lt;&gt;""),'Data'!$F$3100,"")</f>
        <v/>
      </c>
      <c r="Z3099" t="n">
        <v>1</v>
      </c>
      <c r="AA3099">
        <f>IF(ISNUMBER('IN-CLASS_Lab Part C'!$J$3099),'IN-CLASS_Lab Part C'!$J$3099,NA())</f>
        <v/>
      </c>
    </row>
    <row r="3100">
      <c r="J3100">
        <f>IF(AND(ISNUMBER('Data'!$F$3101),'Data'!$F$3101&lt;&gt;999,'Data'!$F$3101&lt;&gt;""),'Data'!$F$3101,"")</f>
        <v/>
      </c>
      <c r="Z3100" t="n">
        <v>1</v>
      </c>
      <c r="AA3100">
        <f>IF(ISNUMBER('IN-CLASS_Lab Part C'!$J$3100),'IN-CLASS_Lab Part C'!$J$3100,NA())</f>
        <v/>
      </c>
    </row>
    <row r="3101">
      <c r="J3101">
        <f>IF(AND(ISNUMBER('Data'!$F$3102),'Data'!$F$3102&lt;&gt;999,'Data'!$F$3102&lt;&gt;""),'Data'!$F$3102,"")</f>
        <v/>
      </c>
      <c r="Z3101" t="n">
        <v>1</v>
      </c>
      <c r="AA3101">
        <f>IF(ISNUMBER('IN-CLASS_Lab Part C'!$J$3101),'IN-CLASS_Lab Part C'!$J$3101,NA())</f>
        <v/>
      </c>
    </row>
    <row r="3102">
      <c r="J3102">
        <f>IF(AND(ISNUMBER('Data'!$F$3103),'Data'!$F$3103&lt;&gt;999,'Data'!$F$3103&lt;&gt;""),'Data'!$F$3103,"")</f>
        <v/>
      </c>
      <c r="Z3102" t="n">
        <v>1</v>
      </c>
      <c r="AA3102">
        <f>IF(ISNUMBER('IN-CLASS_Lab Part C'!$J$3102),'IN-CLASS_Lab Part C'!$J$3102,NA())</f>
        <v/>
      </c>
    </row>
    <row r="3103">
      <c r="J3103">
        <f>IF(AND(ISNUMBER('Data'!$F$3104),'Data'!$F$3104&lt;&gt;999,'Data'!$F$3104&lt;&gt;""),'Data'!$F$3104,"")</f>
        <v/>
      </c>
      <c r="Z3103" t="n">
        <v>1</v>
      </c>
      <c r="AA3103">
        <f>IF(ISNUMBER('IN-CLASS_Lab Part C'!$J$3103),'IN-CLASS_Lab Part C'!$J$3103,NA())</f>
        <v/>
      </c>
    </row>
    <row r="3104">
      <c r="J3104">
        <f>IF(AND(ISNUMBER('Data'!$F$3105),'Data'!$F$3105&lt;&gt;999,'Data'!$F$3105&lt;&gt;""),'Data'!$F$3105,"")</f>
        <v/>
      </c>
      <c r="Z3104" t="n">
        <v>1</v>
      </c>
      <c r="AA3104">
        <f>IF(ISNUMBER('IN-CLASS_Lab Part C'!$J$3104),'IN-CLASS_Lab Part C'!$J$3104,NA())</f>
        <v/>
      </c>
    </row>
    <row r="3105">
      <c r="J3105">
        <f>IF(AND(ISNUMBER('Data'!$F$3106),'Data'!$F$3106&lt;&gt;999,'Data'!$F$3106&lt;&gt;""),'Data'!$F$3106,"")</f>
        <v/>
      </c>
      <c r="Z3105" t="n">
        <v>1</v>
      </c>
      <c r="AA3105">
        <f>IF(ISNUMBER('IN-CLASS_Lab Part C'!$J$3105),'IN-CLASS_Lab Part C'!$J$3105,NA())</f>
        <v/>
      </c>
    </row>
    <row r="3106">
      <c r="J3106">
        <f>IF(AND(ISNUMBER('Data'!$F$3107),'Data'!$F$3107&lt;&gt;999,'Data'!$F$3107&lt;&gt;""),'Data'!$F$3107,"")</f>
        <v/>
      </c>
      <c r="Z3106" t="n">
        <v>1</v>
      </c>
      <c r="AA3106">
        <f>IF(ISNUMBER('IN-CLASS_Lab Part C'!$J$3106),'IN-CLASS_Lab Part C'!$J$3106,NA())</f>
        <v/>
      </c>
    </row>
    <row r="3107">
      <c r="J3107">
        <f>IF(AND(ISNUMBER('Data'!$F$3108),'Data'!$F$3108&lt;&gt;999,'Data'!$F$3108&lt;&gt;""),'Data'!$F$3108,"")</f>
        <v/>
      </c>
      <c r="Z3107" t="n">
        <v>1</v>
      </c>
      <c r="AA3107">
        <f>IF(ISNUMBER('IN-CLASS_Lab Part C'!$J$3107),'IN-CLASS_Lab Part C'!$J$3107,NA())</f>
        <v/>
      </c>
    </row>
    <row r="3108">
      <c r="J3108">
        <f>IF(AND(ISNUMBER('Data'!$F$3109),'Data'!$F$3109&lt;&gt;999,'Data'!$F$3109&lt;&gt;""),'Data'!$F$3109,"")</f>
        <v/>
      </c>
      <c r="Z3108" t="n">
        <v>1</v>
      </c>
      <c r="AA3108">
        <f>IF(ISNUMBER('IN-CLASS_Lab Part C'!$J$3108),'IN-CLASS_Lab Part C'!$J$3108,NA())</f>
        <v/>
      </c>
    </row>
    <row r="3109">
      <c r="J3109">
        <f>IF(AND(ISNUMBER('Data'!$F$3110),'Data'!$F$3110&lt;&gt;999,'Data'!$F$3110&lt;&gt;""),'Data'!$F$3110,"")</f>
        <v/>
      </c>
      <c r="Z3109" t="n">
        <v>1</v>
      </c>
      <c r="AA3109">
        <f>IF(ISNUMBER('IN-CLASS_Lab Part C'!$J$3109),'IN-CLASS_Lab Part C'!$J$3109,NA())</f>
        <v/>
      </c>
    </row>
    <row r="3110">
      <c r="J3110">
        <f>IF(AND(ISNUMBER('Data'!$F$3111),'Data'!$F$3111&lt;&gt;999,'Data'!$F$3111&lt;&gt;""),'Data'!$F$3111,"")</f>
        <v/>
      </c>
      <c r="Z3110" t="n">
        <v>1</v>
      </c>
      <c r="AA3110">
        <f>IF(ISNUMBER('IN-CLASS_Lab Part C'!$J$3110),'IN-CLASS_Lab Part C'!$J$3110,NA())</f>
        <v/>
      </c>
    </row>
    <row r="3111">
      <c r="J3111">
        <f>IF(AND(ISNUMBER('Data'!$F$3112),'Data'!$F$3112&lt;&gt;999,'Data'!$F$3112&lt;&gt;""),'Data'!$F$3112,"")</f>
        <v/>
      </c>
      <c r="Z3111" t="n">
        <v>1</v>
      </c>
      <c r="AA3111">
        <f>IF(ISNUMBER('IN-CLASS_Lab Part C'!$J$3111),'IN-CLASS_Lab Part C'!$J$3111,NA())</f>
        <v/>
      </c>
    </row>
    <row r="3112">
      <c r="J3112">
        <f>IF(AND(ISNUMBER('Data'!$F$3113),'Data'!$F$3113&lt;&gt;999,'Data'!$F$3113&lt;&gt;""),'Data'!$F$3113,"")</f>
        <v/>
      </c>
      <c r="Z3112" t="n">
        <v>1</v>
      </c>
      <c r="AA3112">
        <f>IF(ISNUMBER('IN-CLASS_Lab Part C'!$J$3112),'IN-CLASS_Lab Part C'!$J$3112,NA())</f>
        <v/>
      </c>
    </row>
    <row r="3113">
      <c r="J3113">
        <f>IF(AND(ISNUMBER('Data'!$F$3114),'Data'!$F$3114&lt;&gt;999,'Data'!$F$3114&lt;&gt;""),'Data'!$F$3114,"")</f>
        <v/>
      </c>
      <c r="Z3113" t="n">
        <v>1</v>
      </c>
      <c r="AA3113">
        <f>IF(ISNUMBER('IN-CLASS_Lab Part C'!$J$3113),'IN-CLASS_Lab Part C'!$J$3113,NA())</f>
        <v/>
      </c>
    </row>
    <row r="3114">
      <c r="J3114">
        <f>IF(AND(ISNUMBER('Data'!$F$3115),'Data'!$F$3115&lt;&gt;999,'Data'!$F$3115&lt;&gt;""),'Data'!$F$3115,"")</f>
        <v/>
      </c>
      <c r="Z3114" t="n">
        <v>1</v>
      </c>
      <c r="AA3114">
        <f>IF(ISNUMBER('IN-CLASS_Lab Part C'!$J$3114),'IN-CLASS_Lab Part C'!$J$3114,NA())</f>
        <v/>
      </c>
    </row>
    <row r="3115">
      <c r="J3115">
        <f>IF(AND(ISNUMBER('Data'!$F$3116),'Data'!$F$3116&lt;&gt;999,'Data'!$F$3116&lt;&gt;""),'Data'!$F$3116,"")</f>
        <v/>
      </c>
      <c r="Z3115" t="n">
        <v>1</v>
      </c>
      <c r="AA3115">
        <f>IF(ISNUMBER('IN-CLASS_Lab Part C'!$J$3115),'IN-CLASS_Lab Part C'!$J$3115,NA())</f>
        <v/>
      </c>
    </row>
    <row r="3116">
      <c r="J3116">
        <f>IF(AND(ISNUMBER('Data'!$F$3117),'Data'!$F$3117&lt;&gt;999,'Data'!$F$3117&lt;&gt;""),'Data'!$F$3117,"")</f>
        <v/>
      </c>
      <c r="Z3116" t="n">
        <v>1</v>
      </c>
      <c r="AA3116">
        <f>IF(ISNUMBER('IN-CLASS_Lab Part C'!$J$3116),'IN-CLASS_Lab Part C'!$J$3116,NA())</f>
        <v/>
      </c>
    </row>
    <row r="3117">
      <c r="J3117">
        <f>IF(AND(ISNUMBER('Data'!$F$3118),'Data'!$F$3118&lt;&gt;999,'Data'!$F$3118&lt;&gt;""),'Data'!$F$3118,"")</f>
        <v/>
      </c>
      <c r="Z3117" t="n">
        <v>1</v>
      </c>
      <c r="AA3117">
        <f>IF(ISNUMBER('IN-CLASS_Lab Part C'!$J$3117),'IN-CLASS_Lab Part C'!$J$3117,NA())</f>
        <v/>
      </c>
    </row>
    <row r="3118">
      <c r="J3118">
        <f>IF(AND(ISNUMBER('Data'!$F$3119),'Data'!$F$3119&lt;&gt;999,'Data'!$F$3119&lt;&gt;""),'Data'!$F$3119,"")</f>
        <v/>
      </c>
      <c r="Z3118" t="n">
        <v>1</v>
      </c>
      <c r="AA3118">
        <f>IF(ISNUMBER('IN-CLASS_Lab Part C'!$J$3118),'IN-CLASS_Lab Part C'!$J$3118,NA())</f>
        <v/>
      </c>
    </row>
    <row r="3119">
      <c r="J3119">
        <f>IF(AND(ISNUMBER('Data'!$F$3120),'Data'!$F$3120&lt;&gt;999,'Data'!$F$3120&lt;&gt;""),'Data'!$F$3120,"")</f>
        <v/>
      </c>
      <c r="Z3119" t="n">
        <v>1</v>
      </c>
      <c r="AA3119">
        <f>IF(ISNUMBER('IN-CLASS_Lab Part C'!$J$3119),'IN-CLASS_Lab Part C'!$J$3119,NA())</f>
        <v/>
      </c>
    </row>
    <row r="3120">
      <c r="J3120">
        <f>IF(AND(ISNUMBER('Data'!$F$3121),'Data'!$F$3121&lt;&gt;999,'Data'!$F$3121&lt;&gt;""),'Data'!$F$3121,"")</f>
        <v/>
      </c>
      <c r="Z3120" t="n">
        <v>1</v>
      </c>
      <c r="AA3120">
        <f>IF(ISNUMBER('IN-CLASS_Lab Part C'!$J$3120),'IN-CLASS_Lab Part C'!$J$3120,NA())</f>
        <v/>
      </c>
    </row>
    <row r="3121">
      <c r="J3121">
        <f>IF(AND(ISNUMBER('Data'!$F$3122),'Data'!$F$3122&lt;&gt;999,'Data'!$F$3122&lt;&gt;""),'Data'!$F$3122,"")</f>
        <v/>
      </c>
      <c r="Z3121" t="n">
        <v>1</v>
      </c>
      <c r="AA3121">
        <f>IF(ISNUMBER('IN-CLASS_Lab Part C'!$J$3121),'IN-CLASS_Lab Part C'!$J$3121,NA())</f>
        <v/>
      </c>
    </row>
    <row r="3122">
      <c r="J3122">
        <f>IF(AND(ISNUMBER('Data'!$F$3123),'Data'!$F$3123&lt;&gt;999,'Data'!$F$3123&lt;&gt;""),'Data'!$F$3123,"")</f>
        <v/>
      </c>
      <c r="Z3122" t="n">
        <v>1</v>
      </c>
      <c r="AA3122">
        <f>IF(ISNUMBER('IN-CLASS_Lab Part C'!$J$3122),'IN-CLASS_Lab Part C'!$J$3122,NA())</f>
        <v/>
      </c>
    </row>
    <row r="3123">
      <c r="J3123">
        <f>IF(AND(ISNUMBER('Data'!$F$3124),'Data'!$F$3124&lt;&gt;999,'Data'!$F$3124&lt;&gt;""),'Data'!$F$3124,"")</f>
        <v/>
      </c>
      <c r="Z3123" t="n">
        <v>1</v>
      </c>
      <c r="AA3123">
        <f>IF(ISNUMBER('IN-CLASS_Lab Part C'!$J$3123),'IN-CLASS_Lab Part C'!$J$3123,NA())</f>
        <v/>
      </c>
    </row>
    <row r="3124">
      <c r="J3124">
        <f>IF(AND(ISNUMBER('Data'!$F$3125),'Data'!$F$3125&lt;&gt;999,'Data'!$F$3125&lt;&gt;""),'Data'!$F$3125,"")</f>
        <v/>
      </c>
      <c r="Z3124" t="n">
        <v>1</v>
      </c>
      <c r="AA3124">
        <f>IF(ISNUMBER('IN-CLASS_Lab Part C'!$J$3124),'IN-CLASS_Lab Part C'!$J$3124,NA())</f>
        <v/>
      </c>
    </row>
    <row r="3125">
      <c r="J3125">
        <f>IF(AND(ISNUMBER('Data'!$F$3126),'Data'!$F$3126&lt;&gt;999,'Data'!$F$3126&lt;&gt;""),'Data'!$F$3126,"")</f>
        <v/>
      </c>
      <c r="Z3125" t="n">
        <v>1</v>
      </c>
      <c r="AA3125">
        <f>IF(ISNUMBER('IN-CLASS_Lab Part C'!$J$3125),'IN-CLASS_Lab Part C'!$J$3125,NA())</f>
        <v/>
      </c>
    </row>
    <row r="3126">
      <c r="J3126">
        <f>IF(AND(ISNUMBER('Data'!$F$3127),'Data'!$F$3127&lt;&gt;999,'Data'!$F$3127&lt;&gt;""),'Data'!$F$3127,"")</f>
        <v/>
      </c>
      <c r="Z3126" t="n">
        <v>1</v>
      </c>
      <c r="AA3126">
        <f>IF(ISNUMBER('IN-CLASS_Lab Part C'!$J$3126),'IN-CLASS_Lab Part C'!$J$3126,NA())</f>
        <v/>
      </c>
    </row>
    <row r="3127">
      <c r="J3127">
        <f>IF(AND(ISNUMBER('Data'!$F$3128),'Data'!$F$3128&lt;&gt;999,'Data'!$F$3128&lt;&gt;""),'Data'!$F$3128,"")</f>
        <v/>
      </c>
      <c r="Z3127" t="n">
        <v>1</v>
      </c>
      <c r="AA3127">
        <f>IF(ISNUMBER('IN-CLASS_Lab Part C'!$J$3127),'IN-CLASS_Lab Part C'!$J$3127,NA())</f>
        <v/>
      </c>
    </row>
    <row r="3128">
      <c r="J3128">
        <f>IF(AND(ISNUMBER('Data'!$F$3129),'Data'!$F$3129&lt;&gt;999,'Data'!$F$3129&lt;&gt;""),'Data'!$F$3129,"")</f>
        <v/>
      </c>
      <c r="Z3128" t="n">
        <v>1</v>
      </c>
      <c r="AA3128">
        <f>IF(ISNUMBER('IN-CLASS_Lab Part C'!$J$3128),'IN-CLASS_Lab Part C'!$J$3128,NA())</f>
        <v/>
      </c>
    </row>
    <row r="3129">
      <c r="J3129">
        <f>IF(AND(ISNUMBER('Data'!$F$3130),'Data'!$F$3130&lt;&gt;999,'Data'!$F$3130&lt;&gt;""),'Data'!$F$3130,"")</f>
        <v/>
      </c>
      <c r="Z3129" t="n">
        <v>1</v>
      </c>
      <c r="AA3129">
        <f>IF(ISNUMBER('IN-CLASS_Lab Part C'!$J$3129),'IN-CLASS_Lab Part C'!$J$3129,NA())</f>
        <v/>
      </c>
    </row>
    <row r="3130">
      <c r="J3130">
        <f>IF(AND(ISNUMBER('Data'!$F$3131),'Data'!$F$3131&lt;&gt;999,'Data'!$F$3131&lt;&gt;""),'Data'!$F$3131,"")</f>
        <v/>
      </c>
      <c r="Z3130" t="n">
        <v>1</v>
      </c>
      <c r="AA3130">
        <f>IF(ISNUMBER('IN-CLASS_Lab Part C'!$J$3130),'IN-CLASS_Lab Part C'!$J$3130,NA())</f>
        <v/>
      </c>
    </row>
    <row r="3131">
      <c r="J3131">
        <f>IF(AND(ISNUMBER('Data'!$F$3132),'Data'!$F$3132&lt;&gt;999,'Data'!$F$3132&lt;&gt;""),'Data'!$F$3132,"")</f>
        <v/>
      </c>
      <c r="Z3131" t="n">
        <v>1</v>
      </c>
      <c r="AA3131">
        <f>IF(ISNUMBER('IN-CLASS_Lab Part C'!$J$3131),'IN-CLASS_Lab Part C'!$J$3131,NA())</f>
        <v/>
      </c>
    </row>
    <row r="3132">
      <c r="J3132">
        <f>IF(AND(ISNUMBER('Data'!$F$3133),'Data'!$F$3133&lt;&gt;999,'Data'!$F$3133&lt;&gt;""),'Data'!$F$3133,"")</f>
        <v/>
      </c>
      <c r="Z3132" t="n">
        <v>1</v>
      </c>
      <c r="AA3132">
        <f>IF(ISNUMBER('IN-CLASS_Lab Part C'!$J$3132),'IN-CLASS_Lab Part C'!$J$3132,NA())</f>
        <v/>
      </c>
    </row>
    <row r="3133">
      <c r="J3133">
        <f>IF(AND(ISNUMBER('Data'!$F$3134),'Data'!$F$3134&lt;&gt;999,'Data'!$F$3134&lt;&gt;""),'Data'!$F$3134,"")</f>
        <v/>
      </c>
      <c r="Z3133" t="n">
        <v>1</v>
      </c>
      <c r="AA3133">
        <f>IF(ISNUMBER('IN-CLASS_Lab Part C'!$J$3133),'IN-CLASS_Lab Part C'!$J$3133,NA())</f>
        <v/>
      </c>
    </row>
    <row r="3134">
      <c r="J3134">
        <f>IF(AND(ISNUMBER('Data'!$F$3135),'Data'!$F$3135&lt;&gt;999,'Data'!$F$3135&lt;&gt;""),'Data'!$F$3135,"")</f>
        <v/>
      </c>
      <c r="Z3134" t="n">
        <v>1</v>
      </c>
      <c r="AA3134">
        <f>IF(ISNUMBER('IN-CLASS_Lab Part C'!$J$3134),'IN-CLASS_Lab Part C'!$J$3134,NA())</f>
        <v/>
      </c>
    </row>
    <row r="3135">
      <c r="J3135">
        <f>IF(AND(ISNUMBER('Data'!$F$3136),'Data'!$F$3136&lt;&gt;999,'Data'!$F$3136&lt;&gt;""),'Data'!$F$3136,"")</f>
        <v/>
      </c>
      <c r="Z3135" t="n">
        <v>1</v>
      </c>
      <c r="AA3135">
        <f>IF(ISNUMBER('IN-CLASS_Lab Part C'!$J$3135),'IN-CLASS_Lab Part C'!$J$3135,NA())</f>
        <v/>
      </c>
    </row>
    <row r="3136">
      <c r="J3136">
        <f>IF(AND(ISNUMBER('Data'!$F$3137),'Data'!$F$3137&lt;&gt;999,'Data'!$F$3137&lt;&gt;""),'Data'!$F$3137,"")</f>
        <v/>
      </c>
      <c r="Z3136" t="n">
        <v>1</v>
      </c>
      <c r="AA3136">
        <f>IF(ISNUMBER('IN-CLASS_Lab Part C'!$J$3136),'IN-CLASS_Lab Part C'!$J$3136,NA())</f>
        <v/>
      </c>
    </row>
    <row r="3137">
      <c r="J3137">
        <f>IF(AND(ISNUMBER('Data'!$F$3138),'Data'!$F$3138&lt;&gt;999,'Data'!$F$3138&lt;&gt;""),'Data'!$F$3138,"")</f>
        <v/>
      </c>
      <c r="Z3137" t="n">
        <v>1</v>
      </c>
      <c r="AA3137">
        <f>IF(ISNUMBER('IN-CLASS_Lab Part C'!$J$3137),'IN-CLASS_Lab Part C'!$J$3137,NA())</f>
        <v/>
      </c>
    </row>
    <row r="3138">
      <c r="J3138">
        <f>IF(AND(ISNUMBER('Data'!$F$3139),'Data'!$F$3139&lt;&gt;999,'Data'!$F$3139&lt;&gt;""),'Data'!$F$3139,"")</f>
        <v/>
      </c>
      <c r="Z3138" t="n">
        <v>1</v>
      </c>
      <c r="AA3138">
        <f>IF(ISNUMBER('IN-CLASS_Lab Part C'!$J$3138),'IN-CLASS_Lab Part C'!$J$3138,NA())</f>
        <v/>
      </c>
    </row>
    <row r="3139">
      <c r="J3139">
        <f>IF(AND(ISNUMBER('Data'!$F$3140),'Data'!$F$3140&lt;&gt;999,'Data'!$F$3140&lt;&gt;""),'Data'!$F$3140,"")</f>
        <v/>
      </c>
      <c r="Z3139" t="n">
        <v>1</v>
      </c>
      <c r="AA3139">
        <f>IF(ISNUMBER('IN-CLASS_Lab Part C'!$J$3139),'IN-CLASS_Lab Part C'!$J$3139,NA())</f>
        <v/>
      </c>
    </row>
    <row r="3140">
      <c r="J3140">
        <f>IF(AND(ISNUMBER('Data'!$F$3141),'Data'!$F$3141&lt;&gt;999,'Data'!$F$3141&lt;&gt;""),'Data'!$F$3141,"")</f>
        <v/>
      </c>
      <c r="Z3140" t="n">
        <v>1</v>
      </c>
      <c r="AA3140">
        <f>IF(ISNUMBER('IN-CLASS_Lab Part C'!$J$3140),'IN-CLASS_Lab Part C'!$J$3140,NA())</f>
        <v/>
      </c>
    </row>
    <row r="3141">
      <c r="J3141">
        <f>IF(AND(ISNUMBER('Data'!$F$3142),'Data'!$F$3142&lt;&gt;999,'Data'!$F$3142&lt;&gt;""),'Data'!$F$3142,"")</f>
        <v/>
      </c>
      <c r="Z3141" t="n">
        <v>1</v>
      </c>
      <c r="AA3141">
        <f>IF(ISNUMBER('IN-CLASS_Lab Part C'!$J$3141),'IN-CLASS_Lab Part C'!$J$3141,NA())</f>
        <v/>
      </c>
    </row>
    <row r="3142">
      <c r="J3142">
        <f>IF(AND(ISNUMBER('Data'!$F$3143),'Data'!$F$3143&lt;&gt;999,'Data'!$F$3143&lt;&gt;""),'Data'!$F$3143,"")</f>
        <v/>
      </c>
      <c r="Z3142" t="n">
        <v>1</v>
      </c>
      <c r="AA3142">
        <f>IF(ISNUMBER('IN-CLASS_Lab Part C'!$J$3142),'IN-CLASS_Lab Part C'!$J$3142,NA())</f>
        <v/>
      </c>
    </row>
    <row r="3143">
      <c r="J3143">
        <f>IF(AND(ISNUMBER('Data'!$F$3144),'Data'!$F$3144&lt;&gt;999,'Data'!$F$3144&lt;&gt;""),'Data'!$F$3144,"")</f>
        <v/>
      </c>
      <c r="Z3143" t="n">
        <v>1</v>
      </c>
      <c r="AA3143">
        <f>IF(ISNUMBER('IN-CLASS_Lab Part C'!$J$3143),'IN-CLASS_Lab Part C'!$J$3143,NA())</f>
        <v/>
      </c>
    </row>
    <row r="3144">
      <c r="J3144">
        <f>IF(AND(ISNUMBER('Data'!$F$3145),'Data'!$F$3145&lt;&gt;999,'Data'!$F$3145&lt;&gt;""),'Data'!$F$3145,"")</f>
        <v/>
      </c>
      <c r="Z3144" t="n">
        <v>1</v>
      </c>
      <c r="AA3144">
        <f>IF(ISNUMBER('IN-CLASS_Lab Part C'!$J$3144),'IN-CLASS_Lab Part C'!$J$3144,NA())</f>
        <v/>
      </c>
    </row>
    <row r="3145">
      <c r="J3145">
        <f>IF(AND(ISNUMBER('Data'!$F$3146),'Data'!$F$3146&lt;&gt;999,'Data'!$F$3146&lt;&gt;""),'Data'!$F$3146,"")</f>
        <v/>
      </c>
      <c r="Z3145" t="n">
        <v>1</v>
      </c>
      <c r="AA3145">
        <f>IF(ISNUMBER('IN-CLASS_Lab Part C'!$J$3145),'IN-CLASS_Lab Part C'!$J$3145,NA())</f>
        <v/>
      </c>
    </row>
    <row r="3146">
      <c r="J3146">
        <f>IF(AND(ISNUMBER('Data'!$F$3147),'Data'!$F$3147&lt;&gt;999,'Data'!$F$3147&lt;&gt;""),'Data'!$F$3147,"")</f>
        <v/>
      </c>
      <c r="Z3146" t="n">
        <v>1</v>
      </c>
      <c r="AA3146">
        <f>IF(ISNUMBER('IN-CLASS_Lab Part C'!$J$3146),'IN-CLASS_Lab Part C'!$J$3146,NA())</f>
        <v/>
      </c>
    </row>
    <row r="3147">
      <c r="J3147">
        <f>IF(AND(ISNUMBER('Data'!$F$3148),'Data'!$F$3148&lt;&gt;999,'Data'!$F$3148&lt;&gt;""),'Data'!$F$3148,"")</f>
        <v/>
      </c>
      <c r="Z3147" t="n">
        <v>1</v>
      </c>
      <c r="AA3147">
        <f>IF(ISNUMBER('IN-CLASS_Lab Part C'!$J$3147),'IN-CLASS_Lab Part C'!$J$3147,NA())</f>
        <v/>
      </c>
    </row>
    <row r="3148">
      <c r="J3148">
        <f>IF(AND(ISNUMBER('Data'!$F$3149),'Data'!$F$3149&lt;&gt;999,'Data'!$F$3149&lt;&gt;""),'Data'!$F$3149,"")</f>
        <v/>
      </c>
      <c r="Z3148" t="n">
        <v>1</v>
      </c>
      <c r="AA3148">
        <f>IF(ISNUMBER('IN-CLASS_Lab Part C'!$J$3148),'IN-CLASS_Lab Part C'!$J$3148,NA())</f>
        <v/>
      </c>
    </row>
    <row r="3149">
      <c r="J3149">
        <f>IF(AND(ISNUMBER('Data'!$F$3150),'Data'!$F$3150&lt;&gt;999,'Data'!$F$3150&lt;&gt;""),'Data'!$F$3150,"")</f>
        <v/>
      </c>
      <c r="Z3149" t="n">
        <v>1</v>
      </c>
      <c r="AA3149">
        <f>IF(ISNUMBER('IN-CLASS_Lab Part C'!$J$3149),'IN-CLASS_Lab Part C'!$J$3149,NA())</f>
        <v/>
      </c>
    </row>
    <row r="3150">
      <c r="J3150">
        <f>IF(AND(ISNUMBER('Data'!$F$3151),'Data'!$F$3151&lt;&gt;999,'Data'!$F$3151&lt;&gt;""),'Data'!$F$3151,"")</f>
        <v/>
      </c>
      <c r="Z3150" t="n">
        <v>1</v>
      </c>
      <c r="AA3150">
        <f>IF(ISNUMBER('IN-CLASS_Lab Part C'!$J$3150),'IN-CLASS_Lab Part C'!$J$3150,NA())</f>
        <v/>
      </c>
    </row>
    <row r="3151">
      <c r="J3151">
        <f>IF(AND(ISNUMBER('Data'!$F$3152),'Data'!$F$3152&lt;&gt;999,'Data'!$F$3152&lt;&gt;""),'Data'!$F$3152,"")</f>
        <v/>
      </c>
      <c r="Z3151" t="n">
        <v>1</v>
      </c>
      <c r="AA3151">
        <f>IF(ISNUMBER('IN-CLASS_Lab Part C'!$J$3151),'IN-CLASS_Lab Part C'!$J$3151,NA())</f>
        <v/>
      </c>
    </row>
    <row r="3152">
      <c r="J3152">
        <f>IF(AND(ISNUMBER('Data'!$F$3153),'Data'!$F$3153&lt;&gt;999,'Data'!$F$3153&lt;&gt;""),'Data'!$F$3153,"")</f>
        <v/>
      </c>
      <c r="Z3152" t="n">
        <v>1</v>
      </c>
      <c r="AA3152">
        <f>IF(ISNUMBER('IN-CLASS_Lab Part C'!$J$3152),'IN-CLASS_Lab Part C'!$J$3152,NA())</f>
        <v/>
      </c>
    </row>
    <row r="3153">
      <c r="J3153">
        <f>IF(AND(ISNUMBER('Data'!$F$3154),'Data'!$F$3154&lt;&gt;999,'Data'!$F$3154&lt;&gt;""),'Data'!$F$3154,"")</f>
        <v/>
      </c>
      <c r="Z3153" t="n">
        <v>1</v>
      </c>
      <c r="AA3153">
        <f>IF(ISNUMBER('IN-CLASS_Lab Part C'!$J$3153),'IN-CLASS_Lab Part C'!$J$3153,NA())</f>
        <v/>
      </c>
    </row>
    <row r="3154">
      <c r="J3154">
        <f>IF(AND(ISNUMBER('Data'!$F$3155),'Data'!$F$3155&lt;&gt;999,'Data'!$F$3155&lt;&gt;""),'Data'!$F$3155,"")</f>
        <v/>
      </c>
      <c r="Z3154" t="n">
        <v>1</v>
      </c>
      <c r="AA3154">
        <f>IF(ISNUMBER('IN-CLASS_Lab Part C'!$J$3154),'IN-CLASS_Lab Part C'!$J$3154,NA())</f>
        <v/>
      </c>
    </row>
    <row r="3155">
      <c r="J3155">
        <f>IF(AND(ISNUMBER('Data'!$F$3156),'Data'!$F$3156&lt;&gt;999,'Data'!$F$3156&lt;&gt;""),'Data'!$F$3156,"")</f>
        <v/>
      </c>
      <c r="Z3155" t="n">
        <v>1</v>
      </c>
      <c r="AA3155">
        <f>IF(ISNUMBER('IN-CLASS_Lab Part C'!$J$3155),'IN-CLASS_Lab Part C'!$J$3155,NA())</f>
        <v/>
      </c>
    </row>
    <row r="3156">
      <c r="J3156">
        <f>IF(AND(ISNUMBER('Data'!$F$3157),'Data'!$F$3157&lt;&gt;999,'Data'!$F$3157&lt;&gt;""),'Data'!$F$3157,"")</f>
        <v/>
      </c>
      <c r="Z3156" t="n">
        <v>1</v>
      </c>
      <c r="AA3156">
        <f>IF(ISNUMBER('IN-CLASS_Lab Part C'!$J$3156),'IN-CLASS_Lab Part C'!$J$3156,NA())</f>
        <v/>
      </c>
    </row>
    <row r="3157">
      <c r="J3157">
        <f>IF(AND(ISNUMBER('Data'!$F$3158),'Data'!$F$3158&lt;&gt;999,'Data'!$F$3158&lt;&gt;""),'Data'!$F$3158,"")</f>
        <v/>
      </c>
      <c r="Z3157" t="n">
        <v>1</v>
      </c>
      <c r="AA3157">
        <f>IF(ISNUMBER('IN-CLASS_Lab Part C'!$J$3157),'IN-CLASS_Lab Part C'!$J$3157,NA())</f>
        <v/>
      </c>
    </row>
    <row r="3158">
      <c r="J3158">
        <f>IF(AND(ISNUMBER('Data'!$F$3159),'Data'!$F$3159&lt;&gt;999,'Data'!$F$3159&lt;&gt;""),'Data'!$F$3159,"")</f>
        <v/>
      </c>
      <c r="Z3158" t="n">
        <v>1</v>
      </c>
      <c r="AA3158">
        <f>IF(ISNUMBER('IN-CLASS_Lab Part C'!$J$3158),'IN-CLASS_Lab Part C'!$J$3158,NA())</f>
        <v/>
      </c>
    </row>
    <row r="3159">
      <c r="J3159">
        <f>IF(AND(ISNUMBER('Data'!$F$3160),'Data'!$F$3160&lt;&gt;999,'Data'!$F$3160&lt;&gt;""),'Data'!$F$3160,"")</f>
        <v/>
      </c>
      <c r="Z3159" t="n">
        <v>1</v>
      </c>
      <c r="AA3159">
        <f>IF(ISNUMBER('IN-CLASS_Lab Part C'!$J$3159),'IN-CLASS_Lab Part C'!$J$3159,NA())</f>
        <v/>
      </c>
    </row>
    <row r="3160">
      <c r="J3160">
        <f>IF(AND(ISNUMBER('Data'!$F$3161),'Data'!$F$3161&lt;&gt;999,'Data'!$F$3161&lt;&gt;""),'Data'!$F$3161,"")</f>
        <v/>
      </c>
      <c r="Z3160" t="n">
        <v>1</v>
      </c>
      <c r="AA3160">
        <f>IF(ISNUMBER('IN-CLASS_Lab Part C'!$J$3160),'IN-CLASS_Lab Part C'!$J$3160,NA())</f>
        <v/>
      </c>
    </row>
    <row r="3161">
      <c r="J3161">
        <f>IF(AND(ISNUMBER('Data'!$F$3162),'Data'!$F$3162&lt;&gt;999,'Data'!$F$3162&lt;&gt;""),'Data'!$F$3162,"")</f>
        <v/>
      </c>
      <c r="Z3161" t="n">
        <v>1</v>
      </c>
      <c r="AA3161">
        <f>IF(ISNUMBER('IN-CLASS_Lab Part C'!$J$3161),'IN-CLASS_Lab Part C'!$J$3161,NA())</f>
        <v/>
      </c>
    </row>
    <row r="3162">
      <c r="J3162">
        <f>IF(AND(ISNUMBER('Data'!$F$3163),'Data'!$F$3163&lt;&gt;999,'Data'!$F$3163&lt;&gt;""),'Data'!$F$3163,"")</f>
        <v/>
      </c>
      <c r="Z3162" t="n">
        <v>1</v>
      </c>
      <c r="AA3162">
        <f>IF(ISNUMBER('IN-CLASS_Lab Part C'!$J$3162),'IN-CLASS_Lab Part C'!$J$3162,NA())</f>
        <v/>
      </c>
    </row>
    <row r="3163">
      <c r="J3163">
        <f>IF(AND(ISNUMBER('Data'!$F$3164),'Data'!$F$3164&lt;&gt;999,'Data'!$F$3164&lt;&gt;""),'Data'!$F$3164,"")</f>
        <v/>
      </c>
      <c r="Z3163" t="n">
        <v>1</v>
      </c>
      <c r="AA3163">
        <f>IF(ISNUMBER('IN-CLASS_Lab Part C'!$J$3163),'IN-CLASS_Lab Part C'!$J$3163,NA())</f>
        <v/>
      </c>
    </row>
    <row r="3164">
      <c r="J3164">
        <f>IF(AND(ISNUMBER('Data'!$F$3165),'Data'!$F$3165&lt;&gt;999,'Data'!$F$3165&lt;&gt;""),'Data'!$F$3165,"")</f>
        <v/>
      </c>
      <c r="Z3164" t="n">
        <v>1</v>
      </c>
      <c r="AA3164">
        <f>IF(ISNUMBER('IN-CLASS_Lab Part C'!$J$3164),'IN-CLASS_Lab Part C'!$J$3164,NA())</f>
        <v/>
      </c>
    </row>
    <row r="3165">
      <c r="J3165">
        <f>IF(AND(ISNUMBER('Data'!$F$3166),'Data'!$F$3166&lt;&gt;999,'Data'!$F$3166&lt;&gt;""),'Data'!$F$3166,"")</f>
        <v/>
      </c>
      <c r="Z3165" t="n">
        <v>1</v>
      </c>
      <c r="AA3165">
        <f>IF(ISNUMBER('IN-CLASS_Lab Part C'!$J$3165),'IN-CLASS_Lab Part C'!$J$3165,NA())</f>
        <v/>
      </c>
    </row>
    <row r="3166">
      <c r="J3166">
        <f>IF(AND(ISNUMBER('Data'!$F$3167),'Data'!$F$3167&lt;&gt;999,'Data'!$F$3167&lt;&gt;""),'Data'!$F$3167,"")</f>
        <v/>
      </c>
      <c r="Z3166" t="n">
        <v>1</v>
      </c>
      <c r="AA3166">
        <f>IF(ISNUMBER('IN-CLASS_Lab Part C'!$J$3166),'IN-CLASS_Lab Part C'!$J$3166,NA())</f>
        <v/>
      </c>
    </row>
    <row r="3167">
      <c r="J3167">
        <f>IF(AND(ISNUMBER('Data'!$F$3168),'Data'!$F$3168&lt;&gt;999,'Data'!$F$3168&lt;&gt;""),'Data'!$F$3168,"")</f>
        <v/>
      </c>
      <c r="Z3167" t="n">
        <v>1</v>
      </c>
      <c r="AA3167">
        <f>IF(ISNUMBER('IN-CLASS_Lab Part C'!$J$3167),'IN-CLASS_Lab Part C'!$J$3167,NA())</f>
        <v/>
      </c>
    </row>
    <row r="3168">
      <c r="J3168">
        <f>IF(AND(ISNUMBER('Data'!$F$3169),'Data'!$F$3169&lt;&gt;999,'Data'!$F$3169&lt;&gt;""),'Data'!$F$3169,"")</f>
        <v/>
      </c>
      <c r="Z3168" t="n">
        <v>1</v>
      </c>
      <c r="AA3168">
        <f>IF(ISNUMBER('IN-CLASS_Lab Part C'!$J$3168),'IN-CLASS_Lab Part C'!$J$3168,NA())</f>
        <v/>
      </c>
    </row>
    <row r="3169">
      <c r="J3169">
        <f>IF(AND(ISNUMBER('Data'!$F$3170),'Data'!$F$3170&lt;&gt;999,'Data'!$F$3170&lt;&gt;""),'Data'!$F$3170,"")</f>
        <v/>
      </c>
      <c r="Z3169" t="n">
        <v>1</v>
      </c>
      <c r="AA3169">
        <f>IF(ISNUMBER('IN-CLASS_Lab Part C'!$J$3169),'IN-CLASS_Lab Part C'!$J$3169,NA())</f>
        <v/>
      </c>
    </row>
    <row r="3170">
      <c r="J3170">
        <f>IF(AND(ISNUMBER('Data'!$F$3171),'Data'!$F$3171&lt;&gt;999,'Data'!$F$3171&lt;&gt;""),'Data'!$F$3171,"")</f>
        <v/>
      </c>
      <c r="Z3170" t="n">
        <v>1</v>
      </c>
      <c r="AA3170">
        <f>IF(ISNUMBER('IN-CLASS_Lab Part C'!$J$3170),'IN-CLASS_Lab Part C'!$J$3170,NA())</f>
        <v/>
      </c>
    </row>
    <row r="3171">
      <c r="J3171">
        <f>IF(AND(ISNUMBER('Data'!$F$3172),'Data'!$F$3172&lt;&gt;999,'Data'!$F$3172&lt;&gt;""),'Data'!$F$3172,"")</f>
        <v/>
      </c>
      <c r="Z3171" t="n">
        <v>1</v>
      </c>
      <c r="AA3171">
        <f>IF(ISNUMBER('IN-CLASS_Lab Part C'!$J$3171),'IN-CLASS_Lab Part C'!$J$3171,NA())</f>
        <v/>
      </c>
    </row>
    <row r="3172">
      <c r="J3172">
        <f>IF(AND(ISNUMBER('Data'!$F$3173),'Data'!$F$3173&lt;&gt;999,'Data'!$F$3173&lt;&gt;""),'Data'!$F$3173,"")</f>
        <v/>
      </c>
      <c r="Z3172" t="n">
        <v>1</v>
      </c>
      <c r="AA3172">
        <f>IF(ISNUMBER('IN-CLASS_Lab Part C'!$J$3172),'IN-CLASS_Lab Part C'!$J$3172,NA())</f>
        <v/>
      </c>
    </row>
    <row r="3173">
      <c r="J3173">
        <f>IF(AND(ISNUMBER('Data'!$F$3174),'Data'!$F$3174&lt;&gt;999,'Data'!$F$3174&lt;&gt;""),'Data'!$F$3174,"")</f>
        <v/>
      </c>
      <c r="Z3173" t="n">
        <v>1</v>
      </c>
      <c r="AA3173">
        <f>IF(ISNUMBER('IN-CLASS_Lab Part C'!$J$3173),'IN-CLASS_Lab Part C'!$J$3173,NA())</f>
        <v/>
      </c>
    </row>
    <row r="3174">
      <c r="J3174">
        <f>IF(AND(ISNUMBER('Data'!$F$3175),'Data'!$F$3175&lt;&gt;999,'Data'!$F$3175&lt;&gt;""),'Data'!$F$3175,"")</f>
        <v/>
      </c>
      <c r="Z3174" t="n">
        <v>1</v>
      </c>
      <c r="AA3174">
        <f>IF(ISNUMBER('IN-CLASS_Lab Part C'!$J$3174),'IN-CLASS_Lab Part C'!$J$3174,NA())</f>
        <v/>
      </c>
    </row>
    <row r="3175">
      <c r="J3175">
        <f>IF(AND(ISNUMBER('Data'!$F$3176),'Data'!$F$3176&lt;&gt;999,'Data'!$F$3176&lt;&gt;""),'Data'!$F$3176,"")</f>
        <v/>
      </c>
      <c r="Z3175" t="n">
        <v>1</v>
      </c>
      <c r="AA3175">
        <f>IF(ISNUMBER('IN-CLASS_Lab Part C'!$J$3175),'IN-CLASS_Lab Part C'!$J$3175,NA())</f>
        <v/>
      </c>
    </row>
    <row r="3176">
      <c r="J3176">
        <f>IF(AND(ISNUMBER('Data'!$F$3177),'Data'!$F$3177&lt;&gt;999,'Data'!$F$3177&lt;&gt;""),'Data'!$F$3177,"")</f>
        <v/>
      </c>
      <c r="Z3176" t="n">
        <v>1</v>
      </c>
      <c r="AA3176">
        <f>IF(ISNUMBER('IN-CLASS_Lab Part C'!$J$3176),'IN-CLASS_Lab Part C'!$J$3176,NA())</f>
        <v/>
      </c>
    </row>
    <row r="3177">
      <c r="J3177">
        <f>IF(AND(ISNUMBER('Data'!$F$3178),'Data'!$F$3178&lt;&gt;999,'Data'!$F$3178&lt;&gt;""),'Data'!$F$3178,"")</f>
        <v/>
      </c>
      <c r="Z3177" t="n">
        <v>1</v>
      </c>
      <c r="AA3177">
        <f>IF(ISNUMBER('IN-CLASS_Lab Part C'!$J$3177),'IN-CLASS_Lab Part C'!$J$3177,NA())</f>
        <v/>
      </c>
    </row>
    <row r="3178">
      <c r="J3178">
        <f>IF(AND(ISNUMBER('Data'!$F$3179),'Data'!$F$3179&lt;&gt;999,'Data'!$F$3179&lt;&gt;""),'Data'!$F$3179,"")</f>
        <v/>
      </c>
      <c r="Z3178" t="n">
        <v>1</v>
      </c>
      <c r="AA3178">
        <f>IF(ISNUMBER('IN-CLASS_Lab Part C'!$J$3178),'IN-CLASS_Lab Part C'!$J$3178,NA())</f>
        <v/>
      </c>
    </row>
    <row r="3179">
      <c r="J3179">
        <f>IF(AND(ISNUMBER('Data'!$F$3180),'Data'!$F$3180&lt;&gt;999,'Data'!$F$3180&lt;&gt;""),'Data'!$F$3180,"")</f>
        <v/>
      </c>
      <c r="Z3179" t="n">
        <v>1</v>
      </c>
      <c r="AA3179">
        <f>IF(ISNUMBER('IN-CLASS_Lab Part C'!$J$3179),'IN-CLASS_Lab Part C'!$J$3179,NA())</f>
        <v/>
      </c>
    </row>
    <row r="3180">
      <c r="J3180">
        <f>IF(AND(ISNUMBER('Data'!$F$3181),'Data'!$F$3181&lt;&gt;999,'Data'!$F$3181&lt;&gt;""),'Data'!$F$3181,"")</f>
        <v/>
      </c>
      <c r="Z3180" t="n">
        <v>1</v>
      </c>
      <c r="AA3180">
        <f>IF(ISNUMBER('IN-CLASS_Lab Part C'!$J$3180),'IN-CLASS_Lab Part C'!$J$3180,NA())</f>
        <v/>
      </c>
    </row>
    <row r="3181">
      <c r="J3181">
        <f>IF(AND(ISNUMBER('Data'!$F$3182),'Data'!$F$3182&lt;&gt;999,'Data'!$F$3182&lt;&gt;""),'Data'!$F$3182,"")</f>
        <v/>
      </c>
      <c r="Z3181" t="n">
        <v>1</v>
      </c>
      <c r="AA3181">
        <f>IF(ISNUMBER('IN-CLASS_Lab Part C'!$J$3181),'IN-CLASS_Lab Part C'!$J$3181,NA())</f>
        <v/>
      </c>
    </row>
    <row r="3182">
      <c r="J3182">
        <f>IF(AND(ISNUMBER('Data'!$F$3183),'Data'!$F$3183&lt;&gt;999,'Data'!$F$3183&lt;&gt;""),'Data'!$F$3183,"")</f>
        <v/>
      </c>
      <c r="Z3182" t="n">
        <v>1</v>
      </c>
      <c r="AA3182">
        <f>IF(ISNUMBER('IN-CLASS_Lab Part C'!$J$3182),'IN-CLASS_Lab Part C'!$J$3182,NA())</f>
        <v/>
      </c>
    </row>
    <row r="3183">
      <c r="J3183">
        <f>IF(AND(ISNUMBER('Data'!$F$3184),'Data'!$F$3184&lt;&gt;999,'Data'!$F$3184&lt;&gt;""),'Data'!$F$3184,"")</f>
        <v/>
      </c>
      <c r="Z3183" t="n">
        <v>1</v>
      </c>
      <c r="AA3183">
        <f>IF(ISNUMBER('IN-CLASS_Lab Part C'!$J$3183),'IN-CLASS_Lab Part C'!$J$3183,NA())</f>
        <v/>
      </c>
    </row>
    <row r="3184">
      <c r="J3184">
        <f>IF(AND(ISNUMBER('Data'!$F$3185),'Data'!$F$3185&lt;&gt;999,'Data'!$F$3185&lt;&gt;""),'Data'!$F$3185,"")</f>
        <v/>
      </c>
      <c r="Z3184" t="n">
        <v>1</v>
      </c>
      <c r="AA3184">
        <f>IF(ISNUMBER('IN-CLASS_Lab Part C'!$J$3184),'IN-CLASS_Lab Part C'!$J$3184,NA())</f>
        <v/>
      </c>
    </row>
    <row r="3185">
      <c r="J3185">
        <f>IF(AND(ISNUMBER('Data'!$F$3186),'Data'!$F$3186&lt;&gt;999,'Data'!$F$3186&lt;&gt;""),'Data'!$F$3186,"")</f>
        <v/>
      </c>
      <c r="Z3185" t="n">
        <v>1</v>
      </c>
      <c r="AA3185">
        <f>IF(ISNUMBER('IN-CLASS_Lab Part C'!$J$3185),'IN-CLASS_Lab Part C'!$J$3185,NA())</f>
        <v/>
      </c>
    </row>
    <row r="3186">
      <c r="J3186">
        <f>IF(AND(ISNUMBER('Data'!$F$3187),'Data'!$F$3187&lt;&gt;999,'Data'!$F$3187&lt;&gt;""),'Data'!$F$3187,"")</f>
        <v/>
      </c>
      <c r="Z3186" t="n">
        <v>1</v>
      </c>
      <c r="AA3186">
        <f>IF(ISNUMBER('IN-CLASS_Lab Part C'!$J$3186),'IN-CLASS_Lab Part C'!$J$3186,NA())</f>
        <v/>
      </c>
    </row>
    <row r="3187">
      <c r="J3187">
        <f>IF(AND(ISNUMBER('Data'!$F$3188),'Data'!$F$3188&lt;&gt;999,'Data'!$F$3188&lt;&gt;""),'Data'!$F$3188,"")</f>
        <v/>
      </c>
      <c r="Z3187" t="n">
        <v>1</v>
      </c>
      <c r="AA3187">
        <f>IF(ISNUMBER('IN-CLASS_Lab Part C'!$J$3187),'IN-CLASS_Lab Part C'!$J$3187,NA())</f>
        <v/>
      </c>
    </row>
    <row r="3188">
      <c r="J3188">
        <f>IF(AND(ISNUMBER('Data'!$F$3189),'Data'!$F$3189&lt;&gt;999,'Data'!$F$3189&lt;&gt;""),'Data'!$F$3189,"")</f>
        <v/>
      </c>
      <c r="Z3188" t="n">
        <v>1</v>
      </c>
      <c r="AA3188">
        <f>IF(ISNUMBER('IN-CLASS_Lab Part C'!$J$3188),'IN-CLASS_Lab Part C'!$J$3188,NA())</f>
        <v/>
      </c>
    </row>
    <row r="3189">
      <c r="J3189">
        <f>IF(AND(ISNUMBER('Data'!$F$3190),'Data'!$F$3190&lt;&gt;999,'Data'!$F$3190&lt;&gt;""),'Data'!$F$3190,"")</f>
        <v/>
      </c>
      <c r="Z3189" t="n">
        <v>1</v>
      </c>
      <c r="AA3189">
        <f>IF(ISNUMBER('IN-CLASS_Lab Part C'!$J$3189),'IN-CLASS_Lab Part C'!$J$3189,NA())</f>
        <v/>
      </c>
    </row>
    <row r="3190">
      <c r="J3190">
        <f>IF(AND(ISNUMBER('Data'!$F$3191),'Data'!$F$3191&lt;&gt;999,'Data'!$F$3191&lt;&gt;""),'Data'!$F$3191,"")</f>
        <v/>
      </c>
      <c r="Z3190" t="n">
        <v>1</v>
      </c>
      <c r="AA3190">
        <f>IF(ISNUMBER('IN-CLASS_Lab Part C'!$J$3190),'IN-CLASS_Lab Part C'!$J$3190,NA())</f>
        <v/>
      </c>
    </row>
    <row r="3191">
      <c r="J3191">
        <f>IF(AND(ISNUMBER('Data'!$F$3192),'Data'!$F$3192&lt;&gt;999,'Data'!$F$3192&lt;&gt;""),'Data'!$F$3192,"")</f>
        <v/>
      </c>
      <c r="Z3191" t="n">
        <v>1</v>
      </c>
      <c r="AA3191">
        <f>IF(ISNUMBER('IN-CLASS_Lab Part C'!$J$3191),'IN-CLASS_Lab Part C'!$J$3191,NA())</f>
        <v/>
      </c>
    </row>
    <row r="3192">
      <c r="J3192">
        <f>IF(AND(ISNUMBER('Data'!$F$3193),'Data'!$F$3193&lt;&gt;999,'Data'!$F$3193&lt;&gt;""),'Data'!$F$3193,"")</f>
        <v/>
      </c>
      <c r="Z3192" t="n">
        <v>1</v>
      </c>
      <c r="AA3192">
        <f>IF(ISNUMBER('IN-CLASS_Lab Part C'!$J$3192),'IN-CLASS_Lab Part C'!$J$3192,NA())</f>
        <v/>
      </c>
    </row>
    <row r="3193">
      <c r="J3193">
        <f>IF(AND(ISNUMBER('Data'!$F$3194),'Data'!$F$3194&lt;&gt;999,'Data'!$F$3194&lt;&gt;""),'Data'!$F$3194,"")</f>
        <v/>
      </c>
      <c r="Z3193" t="n">
        <v>1</v>
      </c>
      <c r="AA3193">
        <f>IF(ISNUMBER('IN-CLASS_Lab Part C'!$J$3193),'IN-CLASS_Lab Part C'!$J$3193,NA())</f>
        <v/>
      </c>
    </row>
    <row r="3194">
      <c r="J3194">
        <f>IF(AND(ISNUMBER('Data'!$F$3195),'Data'!$F$3195&lt;&gt;999,'Data'!$F$3195&lt;&gt;""),'Data'!$F$3195,"")</f>
        <v/>
      </c>
      <c r="Z3194" t="n">
        <v>1</v>
      </c>
      <c r="AA3194">
        <f>IF(ISNUMBER('IN-CLASS_Lab Part C'!$J$3194),'IN-CLASS_Lab Part C'!$J$3194,NA())</f>
        <v/>
      </c>
    </row>
    <row r="3195">
      <c r="J3195">
        <f>IF(AND(ISNUMBER('Data'!$F$3196),'Data'!$F$3196&lt;&gt;999,'Data'!$F$3196&lt;&gt;""),'Data'!$F$3196,"")</f>
        <v/>
      </c>
      <c r="Z3195" t="n">
        <v>1</v>
      </c>
      <c r="AA3195">
        <f>IF(ISNUMBER('IN-CLASS_Lab Part C'!$J$3195),'IN-CLASS_Lab Part C'!$J$3195,NA())</f>
        <v/>
      </c>
    </row>
    <row r="3196">
      <c r="J3196">
        <f>IF(AND(ISNUMBER('Data'!$F$3197),'Data'!$F$3197&lt;&gt;999,'Data'!$F$3197&lt;&gt;""),'Data'!$F$3197,"")</f>
        <v/>
      </c>
      <c r="Z3196" t="n">
        <v>1</v>
      </c>
      <c r="AA3196">
        <f>IF(ISNUMBER('IN-CLASS_Lab Part C'!$J$3196),'IN-CLASS_Lab Part C'!$J$3196,NA())</f>
        <v/>
      </c>
    </row>
    <row r="3197">
      <c r="J3197">
        <f>IF(AND(ISNUMBER('Data'!$F$3198),'Data'!$F$3198&lt;&gt;999,'Data'!$F$3198&lt;&gt;""),'Data'!$F$3198,"")</f>
        <v/>
      </c>
      <c r="Z3197" t="n">
        <v>1</v>
      </c>
      <c r="AA3197">
        <f>IF(ISNUMBER('IN-CLASS_Lab Part C'!$J$3197),'IN-CLASS_Lab Part C'!$J$3197,NA())</f>
        <v/>
      </c>
    </row>
    <row r="3198">
      <c r="J3198">
        <f>IF(AND(ISNUMBER('Data'!$F$3199),'Data'!$F$3199&lt;&gt;999,'Data'!$F$3199&lt;&gt;""),'Data'!$F$3199,"")</f>
        <v/>
      </c>
      <c r="Z3198" t="n">
        <v>1</v>
      </c>
      <c r="AA3198">
        <f>IF(ISNUMBER('IN-CLASS_Lab Part C'!$J$3198),'IN-CLASS_Lab Part C'!$J$3198,NA())</f>
        <v/>
      </c>
    </row>
    <row r="3199">
      <c r="J3199">
        <f>IF(AND(ISNUMBER('Data'!$F$3200),'Data'!$F$3200&lt;&gt;999,'Data'!$F$3200&lt;&gt;""),'Data'!$F$3200,"")</f>
        <v/>
      </c>
      <c r="Z3199" t="n">
        <v>1</v>
      </c>
      <c r="AA3199">
        <f>IF(ISNUMBER('IN-CLASS_Lab Part C'!$J$3199),'IN-CLASS_Lab Part C'!$J$3199,NA())</f>
        <v/>
      </c>
    </row>
    <row r="3200">
      <c r="J3200">
        <f>IF(AND(ISNUMBER('Data'!$F$3201),'Data'!$F$3201&lt;&gt;999,'Data'!$F$3201&lt;&gt;""),'Data'!$F$3201,"")</f>
        <v/>
      </c>
      <c r="Z3200" t="n">
        <v>1</v>
      </c>
      <c r="AA3200">
        <f>IF(ISNUMBER('IN-CLASS_Lab Part C'!$J$3200),'IN-CLASS_Lab Part C'!$J$3200,NA())</f>
        <v/>
      </c>
    </row>
    <row r="3201">
      <c r="J3201">
        <f>IF(AND(ISNUMBER('Data'!$F$3202),'Data'!$F$3202&lt;&gt;999,'Data'!$F$3202&lt;&gt;""),'Data'!$F$3202,"")</f>
        <v/>
      </c>
      <c r="Z3201" t="n">
        <v>1</v>
      </c>
      <c r="AA3201">
        <f>IF(ISNUMBER('IN-CLASS_Lab Part C'!$J$3201),'IN-CLASS_Lab Part C'!$J$3201,NA())</f>
        <v/>
      </c>
    </row>
    <row r="3202">
      <c r="J3202">
        <f>IF(AND(ISNUMBER('Data'!$F$3203),'Data'!$F$3203&lt;&gt;999,'Data'!$F$3203&lt;&gt;""),'Data'!$F$3203,"")</f>
        <v/>
      </c>
      <c r="Z3202" t="n">
        <v>1</v>
      </c>
      <c r="AA3202">
        <f>IF(ISNUMBER('IN-CLASS_Lab Part C'!$J$3202),'IN-CLASS_Lab Part C'!$J$3202,NA())</f>
        <v/>
      </c>
    </row>
    <row r="3203">
      <c r="J3203">
        <f>IF(AND(ISNUMBER('Data'!$F$3204),'Data'!$F$3204&lt;&gt;999,'Data'!$F$3204&lt;&gt;""),'Data'!$F$3204,"")</f>
        <v/>
      </c>
      <c r="Z3203" t="n">
        <v>1</v>
      </c>
      <c r="AA3203">
        <f>IF(ISNUMBER('IN-CLASS_Lab Part C'!$J$3203),'IN-CLASS_Lab Part C'!$J$3203,NA())</f>
        <v/>
      </c>
    </row>
    <row r="3204">
      <c r="J3204">
        <f>IF(AND(ISNUMBER('Data'!$F$3205),'Data'!$F$3205&lt;&gt;999,'Data'!$F$3205&lt;&gt;""),'Data'!$F$3205,"")</f>
        <v/>
      </c>
      <c r="Z3204" t="n">
        <v>1</v>
      </c>
      <c r="AA3204">
        <f>IF(ISNUMBER('IN-CLASS_Lab Part C'!$J$3204),'IN-CLASS_Lab Part C'!$J$3204,NA())</f>
        <v/>
      </c>
    </row>
    <row r="3205">
      <c r="J3205">
        <f>IF(AND(ISNUMBER('Data'!$F$3206),'Data'!$F$3206&lt;&gt;999,'Data'!$F$3206&lt;&gt;""),'Data'!$F$3206,"")</f>
        <v/>
      </c>
      <c r="Z3205" t="n">
        <v>1</v>
      </c>
      <c r="AA3205">
        <f>IF(ISNUMBER('IN-CLASS_Lab Part C'!$J$3205),'IN-CLASS_Lab Part C'!$J$3205,NA())</f>
        <v/>
      </c>
    </row>
    <row r="3206">
      <c r="J3206">
        <f>IF(AND(ISNUMBER('Data'!$F$3207),'Data'!$F$3207&lt;&gt;999,'Data'!$F$3207&lt;&gt;""),'Data'!$F$3207,"")</f>
        <v/>
      </c>
      <c r="Z3206" t="n">
        <v>1</v>
      </c>
      <c r="AA3206">
        <f>IF(ISNUMBER('IN-CLASS_Lab Part C'!$J$3206),'IN-CLASS_Lab Part C'!$J$3206,NA())</f>
        <v/>
      </c>
    </row>
    <row r="3207">
      <c r="J3207">
        <f>IF(AND(ISNUMBER('Data'!$F$3208),'Data'!$F$3208&lt;&gt;999,'Data'!$F$3208&lt;&gt;""),'Data'!$F$3208,"")</f>
        <v/>
      </c>
      <c r="Z3207" t="n">
        <v>1</v>
      </c>
      <c r="AA3207">
        <f>IF(ISNUMBER('IN-CLASS_Lab Part C'!$J$3207),'IN-CLASS_Lab Part C'!$J$3207,NA())</f>
        <v/>
      </c>
    </row>
    <row r="3208">
      <c r="J3208">
        <f>IF(AND(ISNUMBER('Data'!$F$3209),'Data'!$F$3209&lt;&gt;999,'Data'!$F$3209&lt;&gt;""),'Data'!$F$3209,"")</f>
        <v/>
      </c>
      <c r="Z3208" t="n">
        <v>1</v>
      </c>
      <c r="AA3208">
        <f>IF(ISNUMBER('IN-CLASS_Lab Part C'!$J$3208),'IN-CLASS_Lab Part C'!$J$3208,NA())</f>
        <v/>
      </c>
    </row>
    <row r="3209">
      <c r="J3209">
        <f>IF(AND(ISNUMBER('Data'!$F$3210),'Data'!$F$3210&lt;&gt;999,'Data'!$F$3210&lt;&gt;""),'Data'!$F$3210,"")</f>
        <v/>
      </c>
      <c r="Z3209" t="n">
        <v>1</v>
      </c>
      <c r="AA3209">
        <f>IF(ISNUMBER('IN-CLASS_Lab Part C'!$J$3209),'IN-CLASS_Lab Part C'!$J$3209,NA())</f>
        <v/>
      </c>
    </row>
    <row r="3210">
      <c r="J3210">
        <f>IF(AND(ISNUMBER('Data'!$F$3211),'Data'!$F$3211&lt;&gt;999,'Data'!$F$3211&lt;&gt;""),'Data'!$F$3211,"")</f>
        <v/>
      </c>
      <c r="Z3210" t="n">
        <v>1</v>
      </c>
      <c r="AA3210">
        <f>IF(ISNUMBER('IN-CLASS_Lab Part C'!$J$3210),'IN-CLASS_Lab Part C'!$J$3210,NA())</f>
        <v/>
      </c>
    </row>
    <row r="3211">
      <c r="J3211">
        <f>IF(AND(ISNUMBER('Data'!$F$3212),'Data'!$F$3212&lt;&gt;999,'Data'!$F$3212&lt;&gt;""),'Data'!$F$3212,"")</f>
        <v/>
      </c>
      <c r="Z3211" t="n">
        <v>1</v>
      </c>
      <c r="AA3211">
        <f>IF(ISNUMBER('IN-CLASS_Lab Part C'!$J$3211),'IN-CLASS_Lab Part C'!$J$3211,NA())</f>
        <v/>
      </c>
    </row>
    <row r="3212">
      <c r="J3212">
        <f>IF(AND(ISNUMBER('Data'!$F$3213),'Data'!$F$3213&lt;&gt;999,'Data'!$F$3213&lt;&gt;""),'Data'!$F$3213,"")</f>
        <v/>
      </c>
      <c r="Z3212" t="n">
        <v>1</v>
      </c>
      <c r="AA3212">
        <f>IF(ISNUMBER('IN-CLASS_Lab Part C'!$J$3212),'IN-CLASS_Lab Part C'!$J$3212,NA())</f>
        <v/>
      </c>
    </row>
    <row r="3213">
      <c r="J3213">
        <f>IF(AND(ISNUMBER('Data'!$F$3214),'Data'!$F$3214&lt;&gt;999,'Data'!$F$3214&lt;&gt;""),'Data'!$F$3214,"")</f>
        <v/>
      </c>
      <c r="Z3213" t="n">
        <v>1</v>
      </c>
      <c r="AA3213">
        <f>IF(ISNUMBER('IN-CLASS_Lab Part C'!$J$3213),'IN-CLASS_Lab Part C'!$J$3213,NA())</f>
        <v/>
      </c>
    </row>
    <row r="3214">
      <c r="J3214">
        <f>IF(AND(ISNUMBER('Data'!$F$3215),'Data'!$F$3215&lt;&gt;999,'Data'!$F$3215&lt;&gt;""),'Data'!$F$3215,"")</f>
        <v/>
      </c>
      <c r="Z3214" t="n">
        <v>1</v>
      </c>
      <c r="AA3214">
        <f>IF(ISNUMBER('IN-CLASS_Lab Part C'!$J$3214),'IN-CLASS_Lab Part C'!$J$3214,NA())</f>
        <v/>
      </c>
    </row>
    <row r="3215">
      <c r="J3215">
        <f>IF(AND(ISNUMBER('Data'!$F$3216),'Data'!$F$3216&lt;&gt;999,'Data'!$F$3216&lt;&gt;""),'Data'!$F$3216,"")</f>
        <v/>
      </c>
      <c r="Z3215" t="n">
        <v>1</v>
      </c>
      <c r="AA3215">
        <f>IF(ISNUMBER('IN-CLASS_Lab Part C'!$J$3215),'IN-CLASS_Lab Part C'!$J$3215,NA())</f>
        <v/>
      </c>
    </row>
    <row r="3216">
      <c r="J3216">
        <f>IF(AND(ISNUMBER('Data'!$F$3217),'Data'!$F$3217&lt;&gt;999,'Data'!$F$3217&lt;&gt;""),'Data'!$F$3217,"")</f>
        <v/>
      </c>
      <c r="Z3216" t="n">
        <v>1</v>
      </c>
      <c r="AA3216">
        <f>IF(ISNUMBER('IN-CLASS_Lab Part C'!$J$3216),'IN-CLASS_Lab Part C'!$J$3216,NA())</f>
        <v/>
      </c>
    </row>
    <row r="3217">
      <c r="J3217">
        <f>IF(AND(ISNUMBER('Data'!$F$3218),'Data'!$F$3218&lt;&gt;999,'Data'!$F$3218&lt;&gt;""),'Data'!$F$3218,"")</f>
        <v/>
      </c>
      <c r="Z3217" t="n">
        <v>1</v>
      </c>
      <c r="AA3217">
        <f>IF(ISNUMBER('IN-CLASS_Lab Part C'!$J$3217),'IN-CLASS_Lab Part C'!$J$3217,NA())</f>
        <v/>
      </c>
    </row>
    <row r="3218">
      <c r="J3218">
        <f>IF(AND(ISNUMBER('Data'!$F$3219),'Data'!$F$3219&lt;&gt;999,'Data'!$F$3219&lt;&gt;""),'Data'!$F$3219,"")</f>
        <v/>
      </c>
      <c r="Z3218" t="n">
        <v>1</v>
      </c>
      <c r="AA3218">
        <f>IF(ISNUMBER('IN-CLASS_Lab Part C'!$J$3218),'IN-CLASS_Lab Part C'!$J$3218,NA())</f>
        <v/>
      </c>
    </row>
    <row r="3219">
      <c r="J3219">
        <f>IF(AND(ISNUMBER('Data'!$F$3220),'Data'!$F$3220&lt;&gt;999,'Data'!$F$3220&lt;&gt;""),'Data'!$F$3220,"")</f>
        <v/>
      </c>
      <c r="Z3219" t="n">
        <v>1</v>
      </c>
      <c r="AA3219">
        <f>IF(ISNUMBER('IN-CLASS_Lab Part C'!$J$3219),'IN-CLASS_Lab Part C'!$J$3219,NA())</f>
        <v/>
      </c>
    </row>
    <row r="3220">
      <c r="J3220">
        <f>IF(AND(ISNUMBER('Data'!$F$3221),'Data'!$F$3221&lt;&gt;999,'Data'!$F$3221&lt;&gt;""),'Data'!$F$3221,"")</f>
        <v/>
      </c>
      <c r="Z3220" t="n">
        <v>1</v>
      </c>
      <c r="AA3220">
        <f>IF(ISNUMBER('IN-CLASS_Lab Part C'!$J$3220),'IN-CLASS_Lab Part C'!$J$3220,NA())</f>
        <v/>
      </c>
    </row>
    <row r="3221">
      <c r="J3221">
        <f>IF(AND(ISNUMBER('Data'!$F$3222),'Data'!$F$3222&lt;&gt;999,'Data'!$F$3222&lt;&gt;""),'Data'!$F$3222,"")</f>
        <v/>
      </c>
      <c r="Z3221" t="n">
        <v>1</v>
      </c>
      <c r="AA3221">
        <f>IF(ISNUMBER('IN-CLASS_Lab Part C'!$J$3221),'IN-CLASS_Lab Part C'!$J$3221,NA())</f>
        <v/>
      </c>
    </row>
    <row r="3222">
      <c r="J3222">
        <f>IF(AND(ISNUMBER('Data'!$F$3223),'Data'!$F$3223&lt;&gt;999,'Data'!$F$3223&lt;&gt;""),'Data'!$F$3223,"")</f>
        <v/>
      </c>
      <c r="Z3222" t="n">
        <v>1</v>
      </c>
      <c r="AA3222">
        <f>IF(ISNUMBER('IN-CLASS_Lab Part C'!$J$3222),'IN-CLASS_Lab Part C'!$J$3222,NA())</f>
        <v/>
      </c>
    </row>
    <row r="3223">
      <c r="J3223">
        <f>IF(AND(ISNUMBER('Data'!$F$3224),'Data'!$F$3224&lt;&gt;999,'Data'!$F$3224&lt;&gt;""),'Data'!$F$3224,"")</f>
        <v/>
      </c>
      <c r="Z3223" t="n">
        <v>1</v>
      </c>
      <c r="AA3223">
        <f>IF(ISNUMBER('IN-CLASS_Lab Part C'!$J$3223),'IN-CLASS_Lab Part C'!$J$3223,NA())</f>
        <v/>
      </c>
    </row>
    <row r="3224">
      <c r="J3224">
        <f>IF(AND(ISNUMBER('Data'!$F$3225),'Data'!$F$3225&lt;&gt;999,'Data'!$F$3225&lt;&gt;""),'Data'!$F$3225,"")</f>
        <v/>
      </c>
      <c r="Z3224" t="n">
        <v>1</v>
      </c>
      <c r="AA3224">
        <f>IF(ISNUMBER('IN-CLASS_Lab Part C'!$J$3224),'IN-CLASS_Lab Part C'!$J$3224,NA())</f>
        <v/>
      </c>
    </row>
    <row r="3225">
      <c r="J3225">
        <f>IF(AND(ISNUMBER('Data'!$F$3226),'Data'!$F$3226&lt;&gt;999,'Data'!$F$3226&lt;&gt;""),'Data'!$F$3226,"")</f>
        <v/>
      </c>
      <c r="Z3225" t="n">
        <v>1</v>
      </c>
      <c r="AA3225">
        <f>IF(ISNUMBER('IN-CLASS_Lab Part C'!$J$3225),'IN-CLASS_Lab Part C'!$J$3225,NA())</f>
        <v/>
      </c>
    </row>
    <row r="3226">
      <c r="J3226">
        <f>IF(AND(ISNUMBER('Data'!$F$3227),'Data'!$F$3227&lt;&gt;999,'Data'!$F$3227&lt;&gt;""),'Data'!$F$3227,"")</f>
        <v/>
      </c>
      <c r="Z3226" t="n">
        <v>1</v>
      </c>
      <c r="AA3226">
        <f>IF(ISNUMBER('IN-CLASS_Lab Part C'!$J$3226),'IN-CLASS_Lab Part C'!$J$3226,NA())</f>
        <v/>
      </c>
    </row>
    <row r="3227">
      <c r="J3227">
        <f>IF(AND(ISNUMBER('Data'!$F$3228),'Data'!$F$3228&lt;&gt;999,'Data'!$F$3228&lt;&gt;""),'Data'!$F$3228,"")</f>
        <v/>
      </c>
      <c r="Z3227" t="n">
        <v>1</v>
      </c>
      <c r="AA3227">
        <f>IF(ISNUMBER('IN-CLASS_Lab Part C'!$J$3227),'IN-CLASS_Lab Part C'!$J$3227,NA())</f>
        <v/>
      </c>
    </row>
    <row r="3228">
      <c r="J3228">
        <f>IF(AND(ISNUMBER('Data'!$F$3229),'Data'!$F$3229&lt;&gt;999,'Data'!$F$3229&lt;&gt;""),'Data'!$F$3229,"")</f>
        <v/>
      </c>
      <c r="Z3228" t="n">
        <v>1</v>
      </c>
      <c r="AA3228">
        <f>IF(ISNUMBER('IN-CLASS_Lab Part C'!$J$3228),'IN-CLASS_Lab Part C'!$J$3228,NA())</f>
        <v/>
      </c>
    </row>
    <row r="3229">
      <c r="J3229">
        <f>IF(AND(ISNUMBER('Data'!$F$3230),'Data'!$F$3230&lt;&gt;999,'Data'!$F$3230&lt;&gt;""),'Data'!$F$3230,"")</f>
        <v/>
      </c>
      <c r="Z3229" t="n">
        <v>1</v>
      </c>
      <c r="AA3229">
        <f>IF(ISNUMBER('IN-CLASS_Lab Part C'!$J$3229),'IN-CLASS_Lab Part C'!$J$3229,NA())</f>
        <v/>
      </c>
    </row>
    <row r="3230">
      <c r="J3230">
        <f>IF(AND(ISNUMBER('Data'!$F$3231),'Data'!$F$3231&lt;&gt;999,'Data'!$F$3231&lt;&gt;""),'Data'!$F$3231,"")</f>
        <v/>
      </c>
      <c r="Z3230" t="n">
        <v>1</v>
      </c>
      <c r="AA3230">
        <f>IF(ISNUMBER('IN-CLASS_Lab Part C'!$J$3230),'IN-CLASS_Lab Part C'!$J$3230,NA())</f>
        <v/>
      </c>
    </row>
    <row r="3231">
      <c r="J3231">
        <f>IF(AND(ISNUMBER('Data'!$F$3232),'Data'!$F$3232&lt;&gt;999,'Data'!$F$3232&lt;&gt;""),'Data'!$F$3232,"")</f>
        <v/>
      </c>
      <c r="Z3231" t="n">
        <v>1</v>
      </c>
      <c r="AA3231">
        <f>IF(ISNUMBER('IN-CLASS_Lab Part C'!$J$3231),'IN-CLASS_Lab Part C'!$J$3231,NA())</f>
        <v/>
      </c>
    </row>
    <row r="3232">
      <c r="J3232">
        <f>IF(AND(ISNUMBER('Data'!$F$3233),'Data'!$F$3233&lt;&gt;999,'Data'!$F$3233&lt;&gt;""),'Data'!$F$3233,"")</f>
        <v/>
      </c>
      <c r="Z3232" t="n">
        <v>1</v>
      </c>
      <c r="AA3232">
        <f>IF(ISNUMBER('IN-CLASS_Lab Part C'!$J$3232),'IN-CLASS_Lab Part C'!$J$3232,NA())</f>
        <v/>
      </c>
    </row>
    <row r="3233">
      <c r="J3233">
        <f>IF(AND(ISNUMBER('Data'!$F$3234),'Data'!$F$3234&lt;&gt;999,'Data'!$F$3234&lt;&gt;""),'Data'!$F$3234,"")</f>
        <v/>
      </c>
      <c r="Z3233" t="n">
        <v>1</v>
      </c>
      <c r="AA3233">
        <f>IF(ISNUMBER('IN-CLASS_Lab Part C'!$J$3233),'IN-CLASS_Lab Part C'!$J$3233,NA())</f>
        <v/>
      </c>
    </row>
    <row r="3234">
      <c r="J3234">
        <f>IF(AND(ISNUMBER('Data'!$F$3235),'Data'!$F$3235&lt;&gt;999,'Data'!$F$3235&lt;&gt;""),'Data'!$F$3235,"")</f>
        <v/>
      </c>
      <c r="Z3234" t="n">
        <v>1</v>
      </c>
      <c r="AA3234">
        <f>IF(ISNUMBER('IN-CLASS_Lab Part C'!$J$3234),'IN-CLASS_Lab Part C'!$J$3234,NA())</f>
        <v/>
      </c>
    </row>
    <row r="3235">
      <c r="J3235">
        <f>IF(AND(ISNUMBER('Data'!$F$3236),'Data'!$F$3236&lt;&gt;999,'Data'!$F$3236&lt;&gt;""),'Data'!$F$3236,"")</f>
        <v/>
      </c>
      <c r="Z3235" t="n">
        <v>1</v>
      </c>
      <c r="AA3235">
        <f>IF(ISNUMBER('IN-CLASS_Lab Part C'!$J$3235),'IN-CLASS_Lab Part C'!$J$3235,NA())</f>
        <v/>
      </c>
    </row>
    <row r="3236">
      <c r="J3236">
        <f>IF(AND(ISNUMBER('Data'!$F$3237),'Data'!$F$3237&lt;&gt;999,'Data'!$F$3237&lt;&gt;""),'Data'!$F$3237,"")</f>
        <v/>
      </c>
      <c r="Z3236" t="n">
        <v>1</v>
      </c>
      <c r="AA3236">
        <f>IF(ISNUMBER('IN-CLASS_Lab Part C'!$J$3236),'IN-CLASS_Lab Part C'!$J$3236,NA())</f>
        <v/>
      </c>
    </row>
    <row r="3237">
      <c r="J3237">
        <f>IF(AND(ISNUMBER('Data'!$F$3238),'Data'!$F$3238&lt;&gt;999,'Data'!$F$3238&lt;&gt;""),'Data'!$F$3238,"")</f>
        <v/>
      </c>
      <c r="Z3237" t="n">
        <v>1</v>
      </c>
      <c r="AA3237">
        <f>IF(ISNUMBER('IN-CLASS_Lab Part C'!$J$3237),'IN-CLASS_Lab Part C'!$J$3237,NA())</f>
        <v/>
      </c>
    </row>
    <row r="3238">
      <c r="J3238">
        <f>IF(AND(ISNUMBER('Data'!$F$3239),'Data'!$F$3239&lt;&gt;999,'Data'!$F$3239&lt;&gt;""),'Data'!$F$3239,"")</f>
        <v/>
      </c>
      <c r="Z3238" t="n">
        <v>1</v>
      </c>
      <c r="AA3238">
        <f>IF(ISNUMBER('IN-CLASS_Lab Part C'!$J$3238),'IN-CLASS_Lab Part C'!$J$3238,NA())</f>
        <v/>
      </c>
    </row>
    <row r="3239">
      <c r="J3239">
        <f>IF(AND(ISNUMBER('Data'!$F$3240),'Data'!$F$3240&lt;&gt;999,'Data'!$F$3240&lt;&gt;""),'Data'!$F$3240,"")</f>
        <v/>
      </c>
      <c r="Z3239" t="n">
        <v>1</v>
      </c>
      <c r="AA3239">
        <f>IF(ISNUMBER('IN-CLASS_Lab Part C'!$J$3239),'IN-CLASS_Lab Part C'!$J$3239,NA())</f>
        <v/>
      </c>
    </row>
    <row r="3240">
      <c r="J3240">
        <f>IF(AND(ISNUMBER('Data'!$F$3241),'Data'!$F$3241&lt;&gt;999,'Data'!$F$3241&lt;&gt;""),'Data'!$F$3241,"")</f>
        <v/>
      </c>
      <c r="Z3240" t="n">
        <v>1</v>
      </c>
      <c r="AA3240">
        <f>IF(ISNUMBER('IN-CLASS_Lab Part C'!$J$3240),'IN-CLASS_Lab Part C'!$J$3240,NA())</f>
        <v/>
      </c>
    </row>
    <row r="3241">
      <c r="J3241">
        <f>IF(AND(ISNUMBER('Data'!$F$3242),'Data'!$F$3242&lt;&gt;999,'Data'!$F$3242&lt;&gt;""),'Data'!$F$3242,"")</f>
        <v/>
      </c>
      <c r="Z3241" t="n">
        <v>1</v>
      </c>
      <c r="AA3241">
        <f>IF(ISNUMBER('IN-CLASS_Lab Part C'!$J$3241),'IN-CLASS_Lab Part C'!$J$3241,NA())</f>
        <v/>
      </c>
    </row>
    <row r="3242">
      <c r="J3242">
        <f>IF(AND(ISNUMBER('Data'!$F$3243),'Data'!$F$3243&lt;&gt;999,'Data'!$F$3243&lt;&gt;""),'Data'!$F$3243,"")</f>
        <v/>
      </c>
      <c r="Z3242" t="n">
        <v>1</v>
      </c>
      <c r="AA3242">
        <f>IF(ISNUMBER('IN-CLASS_Lab Part C'!$J$3242),'IN-CLASS_Lab Part C'!$J$3242,NA())</f>
        <v/>
      </c>
    </row>
    <row r="3243">
      <c r="J3243">
        <f>IF(AND(ISNUMBER('Data'!$F$3244),'Data'!$F$3244&lt;&gt;999,'Data'!$F$3244&lt;&gt;""),'Data'!$F$3244,"")</f>
        <v/>
      </c>
      <c r="Z3243" t="n">
        <v>1</v>
      </c>
      <c r="AA3243">
        <f>IF(ISNUMBER('IN-CLASS_Lab Part C'!$J$3243),'IN-CLASS_Lab Part C'!$J$3243,NA())</f>
        <v/>
      </c>
    </row>
    <row r="3244">
      <c r="J3244">
        <f>IF(AND(ISNUMBER('Data'!$F$3245),'Data'!$F$3245&lt;&gt;999,'Data'!$F$3245&lt;&gt;""),'Data'!$F$3245,"")</f>
        <v/>
      </c>
      <c r="Z3244" t="n">
        <v>1</v>
      </c>
      <c r="AA3244">
        <f>IF(ISNUMBER('IN-CLASS_Lab Part C'!$J$3244),'IN-CLASS_Lab Part C'!$J$3244,NA())</f>
        <v/>
      </c>
    </row>
    <row r="3245">
      <c r="J3245">
        <f>IF(AND(ISNUMBER('Data'!$F$3246),'Data'!$F$3246&lt;&gt;999,'Data'!$F$3246&lt;&gt;""),'Data'!$F$3246,"")</f>
        <v/>
      </c>
      <c r="Z3245" t="n">
        <v>1</v>
      </c>
      <c r="AA3245">
        <f>IF(ISNUMBER('IN-CLASS_Lab Part C'!$J$3245),'IN-CLASS_Lab Part C'!$J$3245,NA())</f>
        <v/>
      </c>
    </row>
    <row r="3246">
      <c r="J3246">
        <f>IF(AND(ISNUMBER('Data'!$F$3247),'Data'!$F$3247&lt;&gt;999,'Data'!$F$3247&lt;&gt;""),'Data'!$F$3247,"")</f>
        <v/>
      </c>
      <c r="Z3246" t="n">
        <v>1</v>
      </c>
      <c r="AA3246">
        <f>IF(ISNUMBER('IN-CLASS_Lab Part C'!$J$3246),'IN-CLASS_Lab Part C'!$J$3246,NA())</f>
        <v/>
      </c>
    </row>
    <row r="3247">
      <c r="J3247">
        <f>IF(AND(ISNUMBER('Data'!$F$3248),'Data'!$F$3248&lt;&gt;999,'Data'!$F$3248&lt;&gt;""),'Data'!$F$3248,"")</f>
        <v/>
      </c>
      <c r="Z3247" t="n">
        <v>1</v>
      </c>
      <c r="AA3247">
        <f>IF(ISNUMBER('IN-CLASS_Lab Part C'!$J$3247),'IN-CLASS_Lab Part C'!$J$3247,NA())</f>
        <v/>
      </c>
    </row>
    <row r="3248">
      <c r="J3248">
        <f>IF(AND(ISNUMBER('Data'!$F$3249),'Data'!$F$3249&lt;&gt;999,'Data'!$F$3249&lt;&gt;""),'Data'!$F$3249,"")</f>
        <v/>
      </c>
      <c r="Z3248" t="n">
        <v>1</v>
      </c>
      <c r="AA3248">
        <f>IF(ISNUMBER('IN-CLASS_Lab Part C'!$J$3248),'IN-CLASS_Lab Part C'!$J$3248,NA())</f>
        <v/>
      </c>
    </row>
    <row r="3249">
      <c r="J3249">
        <f>IF(AND(ISNUMBER('Data'!$F$3250),'Data'!$F$3250&lt;&gt;999,'Data'!$F$3250&lt;&gt;""),'Data'!$F$3250,"")</f>
        <v/>
      </c>
      <c r="Z3249" t="n">
        <v>1</v>
      </c>
      <c r="AA3249">
        <f>IF(ISNUMBER('IN-CLASS_Lab Part C'!$J$3249),'IN-CLASS_Lab Part C'!$J$3249,NA())</f>
        <v/>
      </c>
    </row>
    <row r="3250">
      <c r="J3250">
        <f>IF(AND(ISNUMBER('Data'!$F$3251),'Data'!$F$3251&lt;&gt;999,'Data'!$F$3251&lt;&gt;""),'Data'!$F$3251,"")</f>
        <v/>
      </c>
      <c r="Z3250" t="n">
        <v>1</v>
      </c>
      <c r="AA3250">
        <f>IF(ISNUMBER('IN-CLASS_Lab Part C'!$J$3250),'IN-CLASS_Lab Part C'!$J$3250,NA())</f>
        <v/>
      </c>
    </row>
    <row r="3251">
      <c r="J3251">
        <f>IF(AND(ISNUMBER('Data'!$F$3252),'Data'!$F$3252&lt;&gt;999,'Data'!$F$3252&lt;&gt;""),'Data'!$F$3252,"")</f>
        <v/>
      </c>
      <c r="Z3251" t="n">
        <v>1</v>
      </c>
      <c r="AA3251">
        <f>IF(ISNUMBER('IN-CLASS_Lab Part C'!$J$3251),'IN-CLASS_Lab Part C'!$J$3251,NA())</f>
        <v/>
      </c>
    </row>
    <row r="3252">
      <c r="J3252">
        <f>IF(AND(ISNUMBER('Data'!$F$3253),'Data'!$F$3253&lt;&gt;999,'Data'!$F$3253&lt;&gt;""),'Data'!$F$3253,"")</f>
        <v/>
      </c>
      <c r="Z3252" t="n">
        <v>1</v>
      </c>
      <c r="AA3252">
        <f>IF(ISNUMBER('IN-CLASS_Lab Part C'!$J$3252),'IN-CLASS_Lab Part C'!$J$3252,NA())</f>
        <v/>
      </c>
    </row>
    <row r="3253">
      <c r="J3253">
        <f>IF(AND(ISNUMBER('Data'!$F$3254),'Data'!$F$3254&lt;&gt;999,'Data'!$F$3254&lt;&gt;""),'Data'!$F$3254,"")</f>
        <v/>
      </c>
      <c r="Z3253" t="n">
        <v>1</v>
      </c>
      <c r="AA3253">
        <f>IF(ISNUMBER('IN-CLASS_Lab Part C'!$J$3253),'IN-CLASS_Lab Part C'!$J$3253,NA())</f>
        <v/>
      </c>
    </row>
    <row r="3254">
      <c r="J3254">
        <f>IF(AND(ISNUMBER('Data'!$F$3255),'Data'!$F$3255&lt;&gt;999,'Data'!$F$3255&lt;&gt;""),'Data'!$F$3255,"")</f>
        <v/>
      </c>
      <c r="Z3254" t="n">
        <v>1</v>
      </c>
      <c r="AA3254">
        <f>IF(ISNUMBER('IN-CLASS_Lab Part C'!$J$3254),'IN-CLASS_Lab Part C'!$J$3254,NA())</f>
        <v/>
      </c>
    </row>
    <row r="3255">
      <c r="J3255">
        <f>IF(AND(ISNUMBER('Data'!$F$3256),'Data'!$F$3256&lt;&gt;999,'Data'!$F$3256&lt;&gt;""),'Data'!$F$3256,"")</f>
        <v/>
      </c>
      <c r="Z3255" t="n">
        <v>1</v>
      </c>
      <c r="AA3255">
        <f>IF(ISNUMBER('IN-CLASS_Lab Part C'!$J$3255),'IN-CLASS_Lab Part C'!$J$3255,NA())</f>
        <v/>
      </c>
    </row>
    <row r="3256">
      <c r="J3256">
        <f>IF(AND(ISNUMBER('Data'!$F$3257),'Data'!$F$3257&lt;&gt;999,'Data'!$F$3257&lt;&gt;""),'Data'!$F$3257,"")</f>
        <v/>
      </c>
      <c r="Z3256" t="n">
        <v>1</v>
      </c>
      <c r="AA3256">
        <f>IF(ISNUMBER('IN-CLASS_Lab Part C'!$J$3256),'IN-CLASS_Lab Part C'!$J$3256,NA())</f>
        <v/>
      </c>
    </row>
    <row r="3257">
      <c r="J3257">
        <f>IF(AND(ISNUMBER('Data'!$F$3258),'Data'!$F$3258&lt;&gt;999,'Data'!$F$3258&lt;&gt;""),'Data'!$F$3258,"")</f>
        <v/>
      </c>
      <c r="Z3257" t="n">
        <v>1</v>
      </c>
      <c r="AA3257">
        <f>IF(ISNUMBER('IN-CLASS_Lab Part C'!$J$3257),'IN-CLASS_Lab Part C'!$J$3257,NA())</f>
        <v/>
      </c>
    </row>
    <row r="3258">
      <c r="J3258">
        <f>IF(AND(ISNUMBER('Data'!$F$3259),'Data'!$F$3259&lt;&gt;999,'Data'!$F$3259&lt;&gt;""),'Data'!$F$3259,"")</f>
        <v/>
      </c>
      <c r="Z3258" t="n">
        <v>1</v>
      </c>
      <c r="AA3258">
        <f>IF(ISNUMBER('IN-CLASS_Lab Part C'!$J$3258),'IN-CLASS_Lab Part C'!$J$3258,NA())</f>
        <v/>
      </c>
    </row>
    <row r="3259">
      <c r="J3259">
        <f>IF(AND(ISNUMBER('Data'!$F$3260),'Data'!$F$3260&lt;&gt;999,'Data'!$F$3260&lt;&gt;""),'Data'!$F$3260,"")</f>
        <v/>
      </c>
      <c r="Z3259" t="n">
        <v>1</v>
      </c>
      <c r="AA3259">
        <f>IF(ISNUMBER('IN-CLASS_Lab Part C'!$J$3259),'IN-CLASS_Lab Part C'!$J$3259,NA())</f>
        <v/>
      </c>
    </row>
    <row r="3260">
      <c r="J3260">
        <f>IF(AND(ISNUMBER('Data'!$F$3261),'Data'!$F$3261&lt;&gt;999,'Data'!$F$3261&lt;&gt;""),'Data'!$F$3261,"")</f>
        <v/>
      </c>
      <c r="Z3260" t="n">
        <v>1</v>
      </c>
      <c r="AA3260">
        <f>IF(ISNUMBER('IN-CLASS_Lab Part C'!$J$3260),'IN-CLASS_Lab Part C'!$J$3260,NA())</f>
        <v/>
      </c>
    </row>
    <row r="3261">
      <c r="J3261">
        <f>IF(AND(ISNUMBER('Data'!$F$3262),'Data'!$F$3262&lt;&gt;999,'Data'!$F$3262&lt;&gt;""),'Data'!$F$3262,"")</f>
        <v/>
      </c>
      <c r="Z3261" t="n">
        <v>1</v>
      </c>
      <c r="AA3261">
        <f>IF(ISNUMBER('IN-CLASS_Lab Part C'!$J$3261),'IN-CLASS_Lab Part C'!$J$3261,NA())</f>
        <v/>
      </c>
    </row>
    <row r="3262">
      <c r="J3262">
        <f>IF(AND(ISNUMBER('Data'!$F$3263),'Data'!$F$3263&lt;&gt;999,'Data'!$F$3263&lt;&gt;""),'Data'!$F$3263,"")</f>
        <v/>
      </c>
      <c r="Z3262" t="n">
        <v>1</v>
      </c>
      <c r="AA3262">
        <f>IF(ISNUMBER('IN-CLASS_Lab Part C'!$J$3262),'IN-CLASS_Lab Part C'!$J$3262,NA())</f>
        <v/>
      </c>
    </row>
    <row r="3263">
      <c r="J3263">
        <f>IF(AND(ISNUMBER('Data'!$F$3264),'Data'!$F$3264&lt;&gt;999,'Data'!$F$3264&lt;&gt;""),'Data'!$F$3264,"")</f>
        <v/>
      </c>
      <c r="Z3263" t="n">
        <v>1</v>
      </c>
      <c r="AA3263">
        <f>IF(ISNUMBER('IN-CLASS_Lab Part C'!$J$3263),'IN-CLASS_Lab Part C'!$J$3263,NA())</f>
        <v/>
      </c>
    </row>
    <row r="3264">
      <c r="J3264">
        <f>IF(AND(ISNUMBER('Data'!$F$3265),'Data'!$F$3265&lt;&gt;999,'Data'!$F$3265&lt;&gt;""),'Data'!$F$3265,"")</f>
        <v/>
      </c>
      <c r="Z3264" t="n">
        <v>1</v>
      </c>
      <c r="AA3264">
        <f>IF(ISNUMBER('IN-CLASS_Lab Part C'!$J$3264),'IN-CLASS_Lab Part C'!$J$3264,NA())</f>
        <v/>
      </c>
    </row>
    <row r="3265">
      <c r="J3265">
        <f>IF(AND(ISNUMBER('Data'!$F$3266),'Data'!$F$3266&lt;&gt;999,'Data'!$F$3266&lt;&gt;""),'Data'!$F$3266,"")</f>
        <v/>
      </c>
      <c r="Z3265" t="n">
        <v>1</v>
      </c>
      <c r="AA3265">
        <f>IF(ISNUMBER('IN-CLASS_Lab Part C'!$J$3265),'IN-CLASS_Lab Part C'!$J$3265,NA())</f>
        <v/>
      </c>
    </row>
    <row r="3266">
      <c r="J3266">
        <f>IF(AND(ISNUMBER('Data'!$F$3267),'Data'!$F$3267&lt;&gt;999,'Data'!$F$3267&lt;&gt;""),'Data'!$F$3267,"")</f>
        <v/>
      </c>
      <c r="Z3266" t="n">
        <v>1</v>
      </c>
      <c r="AA3266">
        <f>IF(ISNUMBER('IN-CLASS_Lab Part C'!$J$3266),'IN-CLASS_Lab Part C'!$J$3266,NA())</f>
        <v/>
      </c>
    </row>
    <row r="3267">
      <c r="J3267">
        <f>IF(AND(ISNUMBER('Data'!$F$3268),'Data'!$F$3268&lt;&gt;999,'Data'!$F$3268&lt;&gt;""),'Data'!$F$3268,"")</f>
        <v/>
      </c>
      <c r="Z3267" t="n">
        <v>1</v>
      </c>
      <c r="AA3267">
        <f>IF(ISNUMBER('IN-CLASS_Lab Part C'!$J$3267),'IN-CLASS_Lab Part C'!$J$3267,NA())</f>
        <v/>
      </c>
    </row>
    <row r="3268">
      <c r="J3268">
        <f>IF(AND(ISNUMBER('Data'!$F$3269),'Data'!$F$3269&lt;&gt;999,'Data'!$F$3269&lt;&gt;""),'Data'!$F$3269,"")</f>
        <v/>
      </c>
      <c r="Z3268" t="n">
        <v>1</v>
      </c>
      <c r="AA3268">
        <f>IF(ISNUMBER('IN-CLASS_Lab Part C'!$J$3268),'IN-CLASS_Lab Part C'!$J$3268,NA())</f>
        <v/>
      </c>
    </row>
    <row r="3269">
      <c r="J3269">
        <f>IF(AND(ISNUMBER('Data'!$F$3270),'Data'!$F$3270&lt;&gt;999,'Data'!$F$3270&lt;&gt;""),'Data'!$F$3270,"")</f>
        <v/>
      </c>
      <c r="Z3269" t="n">
        <v>1</v>
      </c>
      <c r="AA3269">
        <f>IF(ISNUMBER('IN-CLASS_Lab Part C'!$J$3269),'IN-CLASS_Lab Part C'!$J$3269,NA())</f>
        <v/>
      </c>
    </row>
    <row r="3270">
      <c r="J3270">
        <f>IF(AND(ISNUMBER('Data'!$F$3271),'Data'!$F$3271&lt;&gt;999,'Data'!$F$3271&lt;&gt;""),'Data'!$F$3271,"")</f>
        <v/>
      </c>
      <c r="Z3270" t="n">
        <v>1</v>
      </c>
      <c r="AA3270">
        <f>IF(ISNUMBER('IN-CLASS_Lab Part C'!$J$3270),'IN-CLASS_Lab Part C'!$J$3270,NA())</f>
        <v/>
      </c>
    </row>
    <row r="3271">
      <c r="J3271">
        <f>IF(AND(ISNUMBER('Data'!$F$3272),'Data'!$F$3272&lt;&gt;999,'Data'!$F$3272&lt;&gt;""),'Data'!$F$3272,"")</f>
        <v/>
      </c>
      <c r="Z3271" t="n">
        <v>1</v>
      </c>
      <c r="AA3271">
        <f>IF(ISNUMBER('IN-CLASS_Lab Part C'!$J$3271),'IN-CLASS_Lab Part C'!$J$3271,NA())</f>
        <v/>
      </c>
    </row>
    <row r="3272">
      <c r="J3272">
        <f>IF(AND(ISNUMBER('Data'!$F$3273),'Data'!$F$3273&lt;&gt;999,'Data'!$F$3273&lt;&gt;""),'Data'!$F$3273,"")</f>
        <v/>
      </c>
      <c r="Z3272" t="n">
        <v>1</v>
      </c>
      <c r="AA3272">
        <f>IF(ISNUMBER('IN-CLASS_Lab Part C'!$J$3272),'IN-CLASS_Lab Part C'!$J$3272,NA())</f>
        <v/>
      </c>
    </row>
    <row r="3273">
      <c r="J3273">
        <f>IF(AND(ISNUMBER('Data'!$F$3274),'Data'!$F$3274&lt;&gt;999,'Data'!$F$3274&lt;&gt;""),'Data'!$F$3274,"")</f>
        <v/>
      </c>
      <c r="Z3273" t="n">
        <v>1</v>
      </c>
      <c r="AA3273">
        <f>IF(ISNUMBER('IN-CLASS_Lab Part C'!$J$3273),'IN-CLASS_Lab Part C'!$J$3273,NA())</f>
        <v/>
      </c>
    </row>
    <row r="3274">
      <c r="J3274">
        <f>IF(AND(ISNUMBER('Data'!$F$3275),'Data'!$F$3275&lt;&gt;999,'Data'!$F$3275&lt;&gt;""),'Data'!$F$3275,"")</f>
        <v/>
      </c>
      <c r="Z3274" t="n">
        <v>1</v>
      </c>
      <c r="AA3274">
        <f>IF(ISNUMBER('IN-CLASS_Lab Part C'!$J$3274),'IN-CLASS_Lab Part C'!$J$3274,NA())</f>
        <v/>
      </c>
    </row>
    <row r="3275">
      <c r="J3275">
        <f>IF(AND(ISNUMBER('Data'!$F$3276),'Data'!$F$3276&lt;&gt;999,'Data'!$F$3276&lt;&gt;""),'Data'!$F$3276,"")</f>
        <v/>
      </c>
      <c r="Z3275" t="n">
        <v>1</v>
      </c>
      <c r="AA3275">
        <f>IF(ISNUMBER('IN-CLASS_Lab Part C'!$J$3275),'IN-CLASS_Lab Part C'!$J$3275,NA())</f>
        <v/>
      </c>
    </row>
    <row r="3276">
      <c r="J3276">
        <f>IF(AND(ISNUMBER('Data'!$F$3277),'Data'!$F$3277&lt;&gt;999,'Data'!$F$3277&lt;&gt;""),'Data'!$F$3277,"")</f>
        <v/>
      </c>
      <c r="Z3276" t="n">
        <v>1</v>
      </c>
      <c r="AA3276">
        <f>IF(ISNUMBER('IN-CLASS_Lab Part C'!$J$3276),'IN-CLASS_Lab Part C'!$J$3276,NA())</f>
        <v/>
      </c>
    </row>
    <row r="3277">
      <c r="J3277">
        <f>IF(AND(ISNUMBER('Data'!$F$3278),'Data'!$F$3278&lt;&gt;999,'Data'!$F$3278&lt;&gt;""),'Data'!$F$3278,"")</f>
        <v/>
      </c>
      <c r="Z3277" t="n">
        <v>1</v>
      </c>
      <c r="AA3277">
        <f>IF(ISNUMBER('IN-CLASS_Lab Part C'!$J$3277),'IN-CLASS_Lab Part C'!$J$3277,NA())</f>
        <v/>
      </c>
    </row>
    <row r="3278">
      <c r="J3278">
        <f>IF(AND(ISNUMBER('Data'!$F$3279),'Data'!$F$3279&lt;&gt;999,'Data'!$F$3279&lt;&gt;""),'Data'!$F$3279,"")</f>
        <v/>
      </c>
      <c r="Z3278" t="n">
        <v>1</v>
      </c>
      <c r="AA3278">
        <f>IF(ISNUMBER('IN-CLASS_Lab Part C'!$J$3278),'IN-CLASS_Lab Part C'!$J$3278,NA())</f>
        <v/>
      </c>
    </row>
    <row r="3279">
      <c r="J3279">
        <f>IF(AND(ISNUMBER('Data'!$F$3280),'Data'!$F$3280&lt;&gt;999,'Data'!$F$3280&lt;&gt;""),'Data'!$F$3280,"")</f>
        <v/>
      </c>
      <c r="Z3279" t="n">
        <v>1</v>
      </c>
      <c r="AA3279">
        <f>IF(ISNUMBER('IN-CLASS_Lab Part C'!$J$3279),'IN-CLASS_Lab Part C'!$J$3279,NA())</f>
        <v/>
      </c>
    </row>
    <row r="3280">
      <c r="J3280">
        <f>IF(AND(ISNUMBER('Data'!$F$3281),'Data'!$F$3281&lt;&gt;999,'Data'!$F$3281&lt;&gt;""),'Data'!$F$3281,"")</f>
        <v/>
      </c>
      <c r="Z3280" t="n">
        <v>1</v>
      </c>
      <c r="AA3280">
        <f>IF(ISNUMBER('IN-CLASS_Lab Part C'!$J$3280),'IN-CLASS_Lab Part C'!$J$3280,NA())</f>
        <v/>
      </c>
    </row>
    <row r="3281">
      <c r="J3281">
        <f>IF(AND(ISNUMBER('Data'!$F$3282),'Data'!$F$3282&lt;&gt;999,'Data'!$F$3282&lt;&gt;""),'Data'!$F$3282,"")</f>
        <v/>
      </c>
      <c r="Z3281" t="n">
        <v>1</v>
      </c>
      <c r="AA3281">
        <f>IF(ISNUMBER('IN-CLASS_Lab Part C'!$J$3281),'IN-CLASS_Lab Part C'!$J$3281,NA())</f>
        <v/>
      </c>
    </row>
    <row r="3282">
      <c r="J3282">
        <f>IF(AND(ISNUMBER('Data'!$F$3283),'Data'!$F$3283&lt;&gt;999,'Data'!$F$3283&lt;&gt;""),'Data'!$F$3283,"")</f>
        <v/>
      </c>
      <c r="Z3282" t="n">
        <v>1</v>
      </c>
      <c r="AA3282">
        <f>IF(ISNUMBER('IN-CLASS_Lab Part C'!$J$3282),'IN-CLASS_Lab Part C'!$J$3282,NA())</f>
        <v/>
      </c>
    </row>
    <row r="3283">
      <c r="J3283">
        <f>IF(AND(ISNUMBER('Data'!$F$3284),'Data'!$F$3284&lt;&gt;999,'Data'!$F$3284&lt;&gt;""),'Data'!$F$3284,"")</f>
        <v/>
      </c>
      <c r="Z3283" t="n">
        <v>1</v>
      </c>
      <c r="AA3283">
        <f>IF(ISNUMBER('IN-CLASS_Lab Part C'!$J$3283),'IN-CLASS_Lab Part C'!$J$3283,NA())</f>
        <v/>
      </c>
    </row>
    <row r="3284">
      <c r="J3284">
        <f>IF(AND(ISNUMBER('Data'!$F$3285),'Data'!$F$3285&lt;&gt;999,'Data'!$F$3285&lt;&gt;""),'Data'!$F$3285,"")</f>
        <v/>
      </c>
      <c r="Z3284" t="n">
        <v>1</v>
      </c>
      <c r="AA3284">
        <f>IF(ISNUMBER('IN-CLASS_Lab Part C'!$J$3284),'IN-CLASS_Lab Part C'!$J$3284,NA())</f>
        <v/>
      </c>
    </row>
    <row r="3285">
      <c r="J3285">
        <f>IF(AND(ISNUMBER('Data'!$F$3286),'Data'!$F$3286&lt;&gt;999,'Data'!$F$3286&lt;&gt;""),'Data'!$F$3286,"")</f>
        <v/>
      </c>
      <c r="Z3285" t="n">
        <v>1</v>
      </c>
      <c r="AA3285">
        <f>IF(ISNUMBER('IN-CLASS_Lab Part C'!$J$3285),'IN-CLASS_Lab Part C'!$J$3285,NA())</f>
        <v/>
      </c>
    </row>
    <row r="3286">
      <c r="J3286">
        <f>IF(AND(ISNUMBER('Data'!$F$3287),'Data'!$F$3287&lt;&gt;999,'Data'!$F$3287&lt;&gt;""),'Data'!$F$3287,"")</f>
        <v/>
      </c>
      <c r="Z3286" t="n">
        <v>1</v>
      </c>
      <c r="AA3286">
        <f>IF(ISNUMBER('IN-CLASS_Lab Part C'!$J$3286),'IN-CLASS_Lab Part C'!$J$3286,NA())</f>
        <v/>
      </c>
    </row>
    <row r="3287">
      <c r="J3287">
        <f>IF(AND(ISNUMBER('Data'!$F$3288),'Data'!$F$3288&lt;&gt;999,'Data'!$F$3288&lt;&gt;""),'Data'!$F$3288,"")</f>
        <v/>
      </c>
      <c r="Z3287" t="n">
        <v>1</v>
      </c>
      <c r="AA3287">
        <f>IF(ISNUMBER('IN-CLASS_Lab Part C'!$J$3287),'IN-CLASS_Lab Part C'!$J$3287,NA())</f>
        <v/>
      </c>
    </row>
    <row r="3288">
      <c r="J3288">
        <f>IF(AND(ISNUMBER('Data'!$F$3289),'Data'!$F$3289&lt;&gt;999,'Data'!$F$3289&lt;&gt;""),'Data'!$F$3289,"")</f>
        <v/>
      </c>
      <c r="Z3288" t="n">
        <v>1</v>
      </c>
      <c r="AA3288">
        <f>IF(ISNUMBER('IN-CLASS_Lab Part C'!$J$3288),'IN-CLASS_Lab Part C'!$J$3288,NA())</f>
        <v/>
      </c>
    </row>
    <row r="3289">
      <c r="J3289">
        <f>IF(AND(ISNUMBER('Data'!$F$3290),'Data'!$F$3290&lt;&gt;999,'Data'!$F$3290&lt;&gt;""),'Data'!$F$3290,"")</f>
        <v/>
      </c>
      <c r="Z3289" t="n">
        <v>1</v>
      </c>
      <c r="AA3289">
        <f>IF(ISNUMBER('IN-CLASS_Lab Part C'!$J$3289),'IN-CLASS_Lab Part C'!$J$3289,NA())</f>
        <v/>
      </c>
    </row>
    <row r="3290">
      <c r="J3290">
        <f>IF(AND(ISNUMBER('Data'!$F$3291),'Data'!$F$3291&lt;&gt;999,'Data'!$F$3291&lt;&gt;""),'Data'!$F$3291,"")</f>
        <v/>
      </c>
      <c r="Z3290" t="n">
        <v>1</v>
      </c>
      <c r="AA3290">
        <f>IF(ISNUMBER('IN-CLASS_Lab Part C'!$J$3290),'IN-CLASS_Lab Part C'!$J$3290,NA())</f>
        <v/>
      </c>
    </row>
    <row r="3291">
      <c r="J3291">
        <f>IF(AND(ISNUMBER('Data'!$F$3292),'Data'!$F$3292&lt;&gt;999,'Data'!$F$3292&lt;&gt;""),'Data'!$F$3292,"")</f>
        <v/>
      </c>
      <c r="Z3291" t="n">
        <v>1</v>
      </c>
      <c r="AA3291">
        <f>IF(ISNUMBER('IN-CLASS_Lab Part C'!$J$3291),'IN-CLASS_Lab Part C'!$J$3291,NA())</f>
        <v/>
      </c>
    </row>
    <row r="3292">
      <c r="J3292">
        <f>IF(AND(ISNUMBER('Data'!$F$3293),'Data'!$F$3293&lt;&gt;999,'Data'!$F$3293&lt;&gt;""),'Data'!$F$3293,"")</f>
        <v/>
      </c>
      <c r="Z3292" t="n">
        <v>1</v>
      </c>
      <c r="AA3292">
        <f>IF(ISNUMBER('IN-CLASS_Lab Part C'!$J$3292),'IN-CLASS_Lab Part C'!$J$3292,NA())</f>
        <v/>
      </c>
    </row>
    <row r="3293">
      <c r="J3293">
        <f>IF(AND(ISNUMBER('Data'!$F$3294),'Data'!$F$3294&lt;&gt;999,'Data'!$F$3294&lt;&gt;""),'Data'!$F$3294,"")</f>
        <v/>
      </c>
      <c r="Z3293" t="n">
        <v>1</v>
      </c>
      <c r="AA3293">
        <f>IF(ISNUMBER('IN-CLASS_Lab Part C'!$J$3293),'IN-CLASS_Lab Part C'!$J$3293,NA())</f>
        <v/>
      </c>
    </row>
    <row r="3294">
      <c r="J3294">
        <f>IF(AND(ISNUMBER('Data'!$F$3295),'Data'!$F$3295&lt;&gt;999,'Data'!$F$3295&lt;&gt;""),'Data'!$F$3295,"")</f>
        <v/>
      </c>
      <c r="Z3294" t="n">
        <v>1</v>
      </c>
      <c r="AA3294">
        <f>IF(ISNUMBER('IN-CLASS_Lab Part C'!$J$3294),'IN-CLASS_Lab Part C'!$J$3294,NA())</f>
        <v/>
      </c>
    </row>
    <row r="3295">
      <c r="J3295">
        <f>IF(AND(ISNUMBER('Data'!$F$3296),'Data'!$F$3296&lt;&gt;999,'Data'!$F$3296&lt;&gt;""),'Data'!$F$3296,"")</f>
        <v/>
      </c>
      <c r="Z3295" t="n">
        <v>1</v>
      </c>
      <c r="AA3295">
        <f>IF(ISNUMBER('IN-CLASS_Lab Part C'!$J$3295),'IN-CLASS_Lab Part C'!$J$3295,NA())</f>
        <v/>
      </c>
    </row>
    <row r="3296">
      <c r="J3296">
        <f>IF(AND(ISNUMBER('Data'!$F$3297),'Data'!$F$3297&lt;&gt;999,'Data'!$F$3297&lt;&gt;""),'Data'!$F$3297,"")</f>
        <v/>
      </c>
      <c r="Z3296" t="n">
        <v>1</v>
      </c>
      <c r="AA3296">
        <f>IF(ISNUMBER('IN-CLASS_Lab Part C'!$J$3296),'IN-CLASS_Lab Part C'!$J$3296,NA())</f>
        <v/>
      </c>
    </row>
    <row r="3297">
      <c r="J3297">
        <f>IF(AND(ISNUMBER('Data'!$F$3298),'Data'!$F$3298&lt;&gt;999,'Data'!$F$3298&lt;&gt;""),'Data'!$F$3298,"")</f>
        <v/>
      </c>
      <c r="Z3297" t="n">
        <v>1</v>
      </c>
      <c r="AA3297">
        <f>IF(ISNUMBER('IN-CLASS_Lab Part C'!$J$3297),'IN-CLASS_Lab Part C'!$J$3297,NA())</f>
        <v/>
      </c>
    </row>
    <row r="3298">
      <c r="J3298">
        <f>IF(AND(ISNUMBER('Data'!$F$3299),'Data'!$F$3299&lt;&gt;999,'Data'!$F$3299&lt;&gt;""),'Data'!$F$3299,"")</f>
        <v/>
      </c>
      <c r="Z3298" t="n">
        <v>1</v>
      </c>
      <c r="AA3298">
        <f>IF(ISNUMBER('IN-CLASS_Lab Part C'!$J$3298),'IN-CLASS_Lab Part C'!$J$3298,NA())</f>
        <v/>
      </c>
    </row>
    <row r="3299">
      <c r="J3299">
        <f>IF(AND(ISNUMBER('Data'!$F$3300),'Data'!$F$3300&lt;&gt;999,'Data'!$F$3300&lt;&gt;""),'Data'!$F$3300,"")</f>
        <v/>
      </c>
      <c r="Z3299" t="n">
        <v>1</v>
      </c>
      <c r="AA3299">
        <f>IF(ISNUMBER('IN-CLASS_Lab Part C'!$J$3299),'IN-CLASS_Lab Part C'!$J$3299,NA())</f>
        <v/>
      </c>
    </row>
    <row r="3300">
      <c r="J3300">
        <f>IF(AND(ISNUMBER('Data'!$F$3301),'Data'!$F$3301&lt;&gt;999,'Data'!$F$3301&lt;&gt;""),'Data'!$F$3301,"")</f>
        <v/>
      </c>
      <c r="Z3300" t="n">
        <v>1</v>
      </c>
      <c r="AA3300">
        <f>IF(ISNUMBER('IN-CLASS_Lab Part C'!$J$3300),'IN-CLASS_Lab Part C'!$J$3300,NA())</f>
        <v/>
      </c>
    </row>
    <row r="3301">
      <c r="J3301">
        <f>IF(AND(ISNUMBER('Data'!$F$3302),'Data'!$F$3302&lt;&gt;999,'Data'!$F$3302&lt;&gt;""),'Data'!$F$3302,"")</f>
        <v/>
      </c>
      <c r="Z3301" t="n">
        <v>1</v>
      </c>
      <c r="AA3301">
        <f>IF(ISNUMBER('IN-CLASS_Lab Part C'!$J$3301),'IN-CLASS_Lab Part C'!$J$3301,NA())</f>
        <v/>
      </c>
    </row>
    <row r="3302">
      <c r="J3302">
        <f>IF(AND(ISNUMBER('Data'!$F$3303),'Data'!$F$3303&lt;&gt;999,'Data'!$F$3303&lt;&gt;""),'Data'!$F$3303,"")</f>
        <v/>
      </c>
      <c r="Z3302" t="n">
        <v>1</v>
      </c>
      <c r="AA3302">
        <f>IF(ISNUMBER('IN-CLASS_Lab Part C'!$J$3302),'IN-CLASS_Lab Part C'!$J$3302,NA())</f>
        <v/>
      </c>
    </row>
    <row r="3303">
      <c r="J3303">
        <f>IF(AND(ISNUMBER('Data'!$F$3304),'Data'!$F$3304&lt;&gt;999,'Data'!$F$3304&lt;&gt;""),'Data'!$F$3304,"")</f>
        <v/>
      </c>
      <c r="Z3303" t="n">
        <v>1</v>
      </c>
      <c r="AA3303">
        <f>IF(ISNUMBER('IN-CLASS_Lab Part C'!$J$3303),'IN-CLASS_Lab Part C'!$J$3303,NA())</f>
        <v/>
      </c>
    </row>
    <row r="3304">
      <c r="J3304">
        <f>IF(AND(ISNUMBER('Data'!$F$3305),'Data'!$F$3305&lt;&gt;999,'Data'!$F$3305&lt;&gt;""),'Data'!$F$3305,"")</f>
        <v/>
      </c>
      <c r="Z3304" t="n">
        <v>1</v>
      </c>
      <c r="AA3304">
        <f>IF(ISNUMBER('IN-CLASS_Lab Part C'!$J$3304),'IN-CLASS_Lab Part C'!$J$3304,NA())</f>
        <v/>
      </c>
    </row>
    <row r="3305">
      <c r="J3305">
        <f>IF(AND(ISNUMBER('Data'!$F$3306),'Data'!$F$3306&lt;&gt;999,'Data'!$F$3306&lt;&gt;""),'Data'!$F$3306,"")</f>
        <v/>
      </c>
      <c r="Z3305" t="n">
        <v>1</v>
      </c>
      <c r="AA3305">
        <f>IF(ISNUMBER('IN-CLASS_Lab Part C'!$J$3305),'IN-CLASS_Lab Part C'!$J$3305,NA())</f>
        <v/>
      </c>
    </row>
    <row r="3306">
      <c r="J3306">
        <f>IF(AND(ISNUMBER('Data'!$F$3307),'Data'!$F$3307&lt;&gt;999,'Data'!$F$3307&lt;&gt;""),'Data'!$F$3307,"")</f>
        <v/>
      </c>
      <c r="Z3306" t="n">
        <v>1</v>
      </c>
      <c r="AA3306">
        <f>IF(ISNUMBER('IN-CLASS_Lab Part C'!$J$3306),'IN-CLASS_Lab Part C'!$J$3306,NA())</f>
        <v/>
      </c>
    </row>
    <row r="3307">
      <c r="J3307">
        <f>IF(AND(ISNUMBER('Data'!$F$3308),'Data'!$F$3308&lt;&gt;999,'Data'!$F$3308&lt;&gt;""),'Data'!$F$3308,"")</f>
        <v/>
      </c>
      <c r="Z3307" t="n">
        <v>1</v>
      </c>
      <c r="AA3307">
        <f>IF(ISNUMBER('IN-CLASS_Lab Part C'!$J$3307),'IN-CLASS_Lab Part C'!$J$3307,NA())</f>
        <v/>
      </c>
    </row>
    <row r="3308">
      <c r="J3308">
        <f>IF(AND(ISNUMBER('Data'!$F$3309),'Data'!$F$3309&lt;&gt;999,'Data'!$F$3309&lt;&gt;""),'Data'!$F$3309,"")</f>
        <v/>
      </c>
      <c r="Z3308" t="n">
        <v>1</v>
      </c>
      <c r="AA3308">
        <f>IF(ISNUMBER('IN-CLASS_Lab Part C'!$J$3308),'IN-CLASS_Lab Part C'!$J$3308,NA())</f>
        <v/>
      </c>
    </row>
    <row r="3309">
      <c r="J3309">
        <f>IF(AND(ISNUMBER('Data'!$F$3310),'Data'!$F$3310&lt;&gt;999,'Data'!$F$3310&lt;&gt;""),'Data'!$F$3310,"")</f>
        <v/>
      </c>
      <c r="Z3309" t="n">
        <v>1</v>
      </c>
      <c r="AA3309">
        <f>IF(ISNUMBER('IN-CLASS_Lab Part C'!$J$3309),'IN-CLASS_Lab Part C'!$J$3309,NA())</f>
        <v/>
      </c>
    </row>
    <row r="3310">
      <c r="J3310">
        <f>IF(AND(ISNUMBER('Data'!$F$3311),'Data'!$F$3311&lt;&gt;999,'Data'!$F$3311&lt;&gt;""),'Data'!$F$3311,"")</f>
        <v/>
      </c>
      <c r="Z3310" t="n">
        <v>1</v>
      </c>
      <c r="AA3310">
        <f>IF(ISNUMBER('IN-CLASS_Lab Part C'!$J$3310),'IN-CLASS_Lab Part C'!$J$3310,NA())</f>
        <v/>
      </c>
    </row>
    <row r="3311">
      <c r="J3311">
        <f>IF(AND(ISNUMBER('Data'!$F$3312),'Data'!$F$3312&lt;&gt;999,'Data'!$F$3312&lt;&gt;""),'Data'!$F$3312,"")</f>
        <v/>
      </c>
      <c r="Z3311" t="n">
        <v>1</v>
      </c>
      <c r="AA3311">
        <f>IF(ISNUMBER('IN-CLASS_Lab Part C'!$J$3311),'IN-CLASS_Lab Part C'!$J$3311,NA())</f>
        <v/>
      </c>
    </row>
    <row r="3312">
      <c r="J3312">
        <f>IF(AND(ISNUMBER('Data'!$F$3313),'Data'!$F$3313&lt;&gt;999,'Data'!$F$3313&lt;&gt;""),'Data'!$F$3313,"")</f>
        <v/>
      </c>
      <c r="Z3312" t="n">
        <v>1</v>
      </c>
      <c r="AA3312">
        <f>IF(ISNUMBER('IN-CLASS_Lab Part C'!$J$3312),'IN-CLASS_Lab Part C'!$J$3312,NA())</f>
        <v/>
      </c>
    </row>
    <row r="3313">
      <c r="J3313">
        <f>IF(AND(ISNUMBER('Data'!$F$3314),'Data'!$F$3314&lt;&gt;999,'Data'!$F$3314&lt;&gt;""),'Data'!$F$3314,"")</f>
        <v/>
      </c>
      <c r="Z3313" t="n">
        <v>1</v>
      </c>
      <c r="AA3313">
        <f>IF(ISNUMBER('IN-CLASS_Lab Part C'!$J$3313),'IN-CLASS_Lab Part C'!$J$3313,NA())</f>
        <v/>
      </c>
    </row>
    <row r="3314">
      <c r="J3314">
        <f>IF(AND(ISNUMBER('Data'!$F$3315),'Data'!$F$3315&lt;&gt;999,'Data'!$F$3315&lt;&gt;""),'Data'!$F$3315,"")</f>
        <v/>
      </c>
      <c r="Z3314" t="n">
        <v>1</v>
      </c>
      <c r="AA3314">
        <f>IF(ISNUMBER('IN-CLASS_Lab Part C'!$J$3314),'IN-CLASS_Lab Part C'!$J$3314,NA())</f>
        <v/>
      </c>
    </row>
    <row r="3315">
      <c r="J3315">
        <f>IF(AND(ISNUMBER('Data'!$F$3316),'Data'!$F$3316&lt;&gt;999,'Data'!$F$3316&lt;&gt;""),'Data'!$F$3316,"")</f>
        <v/>
      </c>
      <c r="Z3315" t="n">
        <v>1</v>
      </c>
      <c r="AA3315">
        <f>IF(ISNUMBER('IN-CLASS_Lab Part C'!$J$3315),'IN-CLASS_Lab Part C'!$J$3315,NA())</f>
        <v/>
      </c>
    </row>
    <row r="3316">
      <c r="J3316">
        <f>IF(AND(ISNUMBER('Data'!$F$3317),'Data'!$F$3317&lt;&gt;999,'Data'!$F$3317&lt;&gt;""),'Data'!$F$3317,"")</f>
        <v/>
      </c>
      <c r="Z3316" t="n">
        <v>1</v>
      </c>
      <c r="AA3316">
        <f>IF(ISNUMBER('IN-CLASS_Lab Part C'!$J$3316),'IN-CLASS_Lab Part C'!$J$3316,NA())</f>
        <v/>
      </c>
    </row>
    <row r="3317">
      <c r="J3317">
        <f>IF(AND(ISNUMBER('Data'!$F$3318),'Data'!$F$3318&lt;&gt;999,'Data'!$F$3318&lt;&gt;""),'Data'!$F$3318,"")</f>
        <v/>
      </c>
      <c r="Z3317" t="n">
        <v>1</v>
      </c>
      <c r="AA3317">
        <f>IF(ISNUMBER('IN-CLASS_Lab Part C'!$J$3317),'IN-CLASS_Lab Part C'!$J$3317,NA())</f>
        <v/>
      </c>
    </row>
    <row r="3318">
      <c r="J3318">
        <f>IF(AND(ISNUMBER('Data'!$F$3319),'Data'!$F$3319&lt;&gt;999,'Data'!$F$3319&lt;&gt;""),'Data'!$F$3319,"")</f>
        <v/>
      </c>
      <c r="Z3318" t="n">
        <v>1</v>
      </c>
      <c r="AA3318">
        <f>IF(ISNUMBER('IN-CLASS_Lab Part C'!$J$3318),'IN-CLASS_Lab Part C'!$J$3318,NA())</f>
        <v/>
      </c>
    </row>
    <row r="3319">
      <c r="J3319">
        <f>IF(AND(ISNUMBER('Data'!$F$3320),'Data'!$F$3320&lt;&gt;999,'Data'!$F$3320&lt;&gt;""),'Data'!$F$3320,"")</f>
        <v/>
      </c>
      <c r="Z3319" t="n">
        <v>1</v>
      </c>
      <c r="AA3319">
        <f>IF(ISNUMBER('IN-CLASS_Lab Part C'!$J$3319),'IN-CLASS_Lab Part C'!$J$3319,NA())</f>
        <v/>
      </c>
    </row>
    <row r="3320">
      <c r="J3320">
        <f>IF(AND(ISNUMBER('Data'!$F$3321),'Data'!$F$3321&lt;&gt;999,'Data'!$F$3321&lt;&gt;""),'Data'!$F$3321,"")</f>
        <v/>
      </c>
      <c r="Z3320" t="n">
        <v>1</v>
      </c>
      <c r="AA3320">
        <f>IF(ISNUMBER('IN-CLASS_Lab Part C'!$J$3320),'IN-CLASS_Lab Part C'!$J$3320,NA())</f>
        <v/>
      </c>
    </row>
    <row r="3321">
      <c r="J3321">
        <f>IF(AND(ISNUMBER('Data'!$F$3322),'Data'!$F$3322&lt;&gt;999,'Data'!$F$3322&lt;&gt;""),'Data'!$F$3322,"")</f>
        <v/>
      </c>
      <c r="Z3321" t="n">
        <v>1</v>
      </c>
      <c r="AA3321">
        <f>IF(ISNUMBER('IN-CLASS_Lab Part C'!$J$3321),'IN-CLASS_Lab Part C'!$J$3321,NA())</f>
        <v/>
      </c>
    </row>
    <row r="3322">
      <c r="J3322">
        <f>IF(AND(ISNUMBER('Data'!$F$3323),'Data'!$F$3323&lt;&gt;999,'Data'!$F$3323&lt;&gt;""),'Data'!$F$3323,"")</f>
        <v/>
      </c>
      <c r="Z3322" t="n">
        <v>1</v>
      </c>
      <c r="AA3322">
        <f>IF(ISNUMBER('IN-CLASS_Lab Part C'!$J$3322),'IN-CLASS_Lab Part C'!$J$3322,NA())</f>
        <v/>
      </c>
    </row>
    <row r="3323">
      <c r="J3323">
        <f>IF(AND(ISNUMBER('Data'!$F$3324),'Data'!$F$3324&lt;&gt;999,'Data'!$F$3324&lt;&gt;""),'Data'!$F$3324,"")</f>
        <v/>
      </c>
      <c r="Z3323" t="n">
        <v>1</v>
      </c>
      <c r="AA3323">
        <f>IF(ISNUMBER('IN-CLASS_Lab Part C'!$J$3323),'IN-CLASS_Lab Part C'!$J$3323,NA())</f>
        <v/>
      </c>
    </row>
    <row r="3324">
      <c r="J3324">
        <f>IF(AND(ISNUMBER('Data'!$F$3325),'Data'!$F$3325&lt;&gt;999,'Data'!$F$3325&lt;&gt;""),'Data'!$F$3325,"")</f>
        <v/>
      </c>
      <c r="Z3324" t="n">
        <v>1</v>
      </c>
      <c r="AA3324">
        <f>IF(ISNUMBER('IN-CLASS_Lab Part C'!$J$3324),'IN-CLASS_Lab Part C'!$J$3324,NA())</f>
        <v/>
      </c>
    </row>
    <row r="3325">
      <c r="J3325">
        <f>IF(AND(ISNUMBER('Data'!$F$3326),'Data'!$F$3326&lt;&gt;999,'Data'!$F$3326&lt;&gt;""),'Data'!$F$3326,"")</f>
        <v/>
      </c>
      <c r="Z3325" t="n">
        <v>1</v>
      </c>
      <c r="AA3325">
        <f>IF(ISNUMBER('IN-CLASS_Lab Part C'!$J$3325),'IN-CLASS_Lab Part C'!$J$3325,NA())</f>
        <v/>
      </c>
    </row>
    <row r="3326">
      <c r="J3326">
        <f>IF(AND(ISNUMBER('Data'!$F$3327),'Data'!$F$3327&lt;&gt;999,'Data'!$F$3327&lt;&gt;""),'Data'!$F$3327,"")</f>
        <v/>
      </c>
      <c r="Z3326" t="n">
        <v>1</v>
      </c>
      <c r="AA3326">
        <f>IF(ISNUMBER('IN-CLASS_Lab Part C'!$J$3326),'IN-CLASS_Lab Part C'!$J$3326,NA())</f>
        <v/>
      </c>
    </row>
    <row r="3327">
      <c r="J3327">
        <f>IF(AND(ISNUMBER('Data'!$F$3328),'Data'!$F$3328&lt;&gt;999,'Data'!$F$3328&lt;&gt;""),'Data'!$F$3328,"")</f>
        <v/>
      </c>
      <c r="Z3327" t="n">
        <v>1</v>
      </c>
      <c r="AA3327">
        <f>IF(ISNUMBER('IN-CLASS_Lab Part C'!$J$3327),'IN-CLASS_Lab Part C'!$J$3327,NA())</f>
        <v/>
      </c>
    </row>
    <row r="3328">
      <c r="J3328">
        <f>IF(AND(ISNUMBER('Data'!$F$3329),'Data'!$F$3329&lt;&gt;999,'Data'!$F$3329&lt;&gt;""),'Data'!$F$3329,"")</f>
        <v/>
      </c>
      <c r="Z3328" t="n">
        <v>1</v>
      </c>
      <c r="AA3328">
        <f>IF(ISNUMBER('IN-CLASS_Lab Part C'!$J$3328),'IN-CLASS_Lab Part C'!$J$3328,NA())</f>
        <v/>
      </c>
    </row>
    <row r="3329">
      <c r="J3329">
        <f>IF(AND(ISNUMBER('Data'!$F$3330),'Data'!$F$3330&lt;&gt;999,'Data'!$F$3330&lt;&gt;""),'Data'!$F$3330,"")</f>
        <v/>
      </c>
      <c r="Z3329" t="n">
        <v>1</v>
      </c>
      <c r="AA3329">
        <f>IF(ISNUMBER('IN-CLASS_Lab Part C'!$J$3329),'IN-CLASS_Lab Part C'!$J$3329,NA())</f>
        <v/>
      </c>
    </row>
    <row r="3330">
      <c r="J3330">
        <f>IF(AND(ISNUMBER('Data'!$F$3331),'Data'!$F$3331&lt;&gt;999,'Data'!$F$3331&lt;&gt;""),'Data'!$F$3331,"")</f>
        <v/>
      </c>
      <c r="Z3330" t="n">
        <v>1</v>
      </c>
      <c r="AA3330">
        <f>IF(ISNUMBER('IN-CLASS_Lab Part C'!$J$3330),'IN-CLASS_Lab Part C'!$J$3330,NA())</f>
        <v/>
      </c>
    </row>
    <row r="3331">
      <c r="J3331">
        <f>IF(AND(ISNUMBER('Data'!$F$3332),'Data'!$F$3332&lt;&gt;999,'Data'!$F$3332&lt;&gt;""),'Data'!$F$3332,"")</f>
        <v/>
      </c>
      <c r="Z3331" t="n">
        <v>1</v>
      </c>
      <c r="AA3331">
        <f>IF(ISNUMBER('IN-CLASS_Lab Part C'!$J$3331),'IN-CLASS_Lab Part C'!$J$3331,NA())</f>
        <v/>
      </c>
    </row>
    <row r="3332">
      <c r="J3332">
        <f>IF(AND(ISNUMBER('Data'!$F$3333),'Data'!$F$3333&lt;&gt;999,'Data'!$F$3333&lt;&gt;""),'Data'!$F$3333,"")</f>
        <v/>
      </c>
      <c r="Z3332" t="n">
        <v>1</v>
      </c>
      <c r="AA3332">
        <f>IF(ISNUMBER('IN-CLASS_Lab Part C'!$J$3332),'IN-CLASS_Lab Part C'!$J$3332,NA())</f>
        <v/>
      </c>
    </row>
    <row r="3333">
      <c r="J3333">
        <f>IF(AND(ISNUMBER('Data'!$F$3334),'Data'!$F$3334&lt;&gt;999,'Data'!$F$3334&lt;&gt;""),'Data'!$F$3334,"")</f>
        <v/>
      </c>
      <c r="Z3333" t="n">
        <v>1</v>
      </c>
      <c r="AA3333">
        <f>IF(ISNUMBER('IN-CLASS_Lab Part C'!$J$3333),'IN-CLASS_Lab Part C'!$J$3333,NA())</f>
        <v/>
      </c>
    </row>
    <row r="3334">
      <c r="J3334">
        <f>IF(AND(ISNUMBER('Data'!$F$3335),'Data'!$F$3335&lt;&gt;999,'Data'!$F$3335&lt;&gt;""),'Data'!$F$3335,"")</f>
        <v/>
      </c>
      <c r="Z3334" t="n">
        <v>1</v>
      </c>
      <c r="AA3334">
        <f>IF(ISNUMBER('IN-CLASS_Lab Part C'!$J$3334),'IN-CLASS_Lab Part C'!$J$3334,NA())</f>
        <v/>
      </c>
    </row>
    <row r="3335">
      <c r="J3335">
        <f>IF(AND(ISNUMBER('Data'!$F$3336),'Data'!$F$3336&lt;&gt;999,'Data'!$F$3336&lt;&gt;""),'Data'!$F$3336,"")</f>
        <v/>
      </c>
      <c r="Z3335" t="n">
        <v>1</v>
      </c>
      <c r="AA3335">
        <f>IF(ISNUMBER('IN-CLASS_Lab Part C'!$J$3335),'IN-CLASS_Lab Part C'!$J$3335,NA())</f>
        <v/>
      </c>
    </row>
    <row r="3336">
      <c r="J3336">
        <f>IF(AND(ISNUMBER('Data'!$F$3337),'Data'!$F$3337&lt;&gt;999,'Data'!$F$3337&lt;&gt;""),'Data'!$F$3337,"")</f>
        <v/>
      </c>
      <c r="Z3336" t="n">
        <v>1</v>
      </c>
      <c r="AA3336">
        <f>IF(ISNUMBER('IN-CLASS_Lab Part C'!$J$3336),'IN-CLASS_Lab Part C'!$J$3336,NA())</f>
        <v/>
      </c>
    </row>
    <row r="3337">
      <c r="J3337">
        <f>IF(AND(ISNUMBER('Data'!$F$3338),'Data'!$F$3338&lt;&gt;999,'Data'!$F$3338&lt;&gt;""),'Data'!$F$3338,"")</f>
        <v/>
      </c>
      <c r="Z3337" t="n">
        <v>1</v>
      </c>
      <c r="AA3337">
        <f>IF(ISNUMBER('IN-CLASS_Lab Part C'!$J$3337),'IN-CLASS_Lab Part C'!$J$3337,NA())</f>
        <v/>
      </c>
    </row>
    <row r="3338">
      <c r="J3338">
        <f>IF(AND(ISNUMBER('Data'!$F$3339),'Data'!$F$3339&lt;&gt;999,'Data'!$F$3339&lt;&gt;""),'Data'!$F$3339,"")</f>
        <v/>
      </c>
      <c r="Z3338" t="n">
        <v>1</v>
      </c>
      <c r="AA3338">
        <f>IF(ISNUMBER('IN-CLASS_Lab Part C'!$J$3338),'IN-CLASS_Lab Part C'!$J$3338,NA())</f>
        <v/>
      </c>
    </row>
    <row r="3339">
      <c r="J3339">
        <f>IF(AND(ISNUMBER('Data'!$F$3340),'Data'!$F$3340&lt;&gt;999,'Data'!$F$3340&lt;&gt;""),'Data'!$F$3340,"")</f>
        <v/>
      </c>
      <c r="Z3339" t="n">
        <v>1</v>
      </c>
      <c r="AA3339">
        <f>IF(ISNUMBER('IN-CLASS_Lab Part C'!$J$3339),'IN-CLASS_Lab Part C'!$J$3339,NA())</f>
        <v/>
      </c>
    </row>
    <row r="3340">
      <c r="J3340">
        <f>IF(AND(ISNUMBER('Data'!$F$3341),'Data'!$F$3341&lt;&gt;999,'Data'!$F$3341&lt;&gt;""),'Data'!$F$3341,"")</f>
        <v/>
      </c>
      <c r="Z3340" t="n">
        <v>1</v>
      </c>
      <c r="AA3340">
        <f>IF(ISNUMBER('IN-CLASS_Lab Part C'!$J$3340),'IN-CLASS_Lab Part C'!$J$3340,NA())</f>
        <v/>
      </c>
    </row>
    <row r="3341">
      <c r="J3341">
        <f>IF(AND(ISNUMBER('Data'!$F$3342),'Data'!$F$3342&lt;&gt;999,'Data'!$F$3342&lt;&gt;""),'Data'!$F$3342,"")</f>
        <v/>
      </c>
      <c r="Z3341" t="n">
        <v>1</v>
      </c>
      <c r="AA3341">
        <f>IF(ISNUMBER('IN-CLASS_Lab Part C'!$J$3341),'IN-CLASS_Lab Part C'!$J$3341,NA())</f>
        <v/>
      </c>
    </row>
    <row r="3342">
      <c r="J3342">
        <f>IF(AND(ISNUMBER('Data'!$F$3343),'Data'!$F$3343&lt;&gt;999,'Data'!$F$3343&lt;&gt;""),'Data'!$F$3343,"")</f>
        <v/>
      </c>
      <c r="Z3342" t="n">
        <v>1</v>
      </c>
      <c r="AA3342">
        <f>IF(ISNUMBER('IN-CLASS_Lab Part C'!$J$3342),'IN-CLASS_Lab Part C'!$J$3342,NA())</f>
        <v/>
      </c>
    </row>
    <row r="3343">
      <c r="J3343">
        <f>IF(AND(ISNUMBER('Data'!$F$3344),'Data'!$F$3344&lt;&gt;999,'Data'!$F$3344&lt;&gt;""),'Data'!$F$3344,"")</f>
        <v/>
      </c>
      <c r="Z3343" t="n">
        <v>1</v>
      </c>
      <c r="AA3343">
        <f>IF(ISNUMBER('IN-CLASS_Lab Part C'!$J$3343),'IN-CLASS_Lab Part C'!$J$3343,NA())</f>
        <v/>
      </c>
    </row>
    <row r="3344">
      <c r="J3344">
        <f>IF(AND(ISNUMBER('Data'!$F$3345),'Data'!$F$3345&lt;&gt;999,'Data'!$F$3345&lt;&gt;""),'Data'!$F$3345,"")</f>
        <v/>
      </c>
      <c r="Z3344" t="n">
        <v>1</v>
      </c>
      <c r="AA3344">
        <f>IF(ISNUMBER('IN-CLASS_Lab Part C'!$J$3344),'IN-CLASS_Lab Part C'!$J$3344,NA())</f>
        <v/>
      </c>
    </row>
    <row r="3345">
      <c r="J3345">
        <f>IF(AND(ISNUMBER('Data'!$F$3346),'Data'!$F$3346&lt;&gt;999,'Data'!$F$3346&lt;&gt;""),'Data'!$F$3346,"")</f>
        <v/>
      </c>
      <c r="Z3345" t="n">
        <v>1</v>
      </c>
      <c r="AA3345">
        <f>IF(ISNUMBER('IN-CLASS_Lab Part C'!$J$3345),'IN-CLASS_Lab Part C'!$J$3345,NA())</f>
        <v/>
      </c>
    </row>
    <row r="3346">
      <c r="J3346">
        <f>IF(AND(ISNUMBER('Data'!$F$3347),'Data'!$F$3347&lt;&gt;999,'Data'!$F$3347&lt;&gt;""),'Data'!$F$3347,"")</f>
        <v/>
      </c>
      <c r="Z3346" t="n">
        <v>1</v>
      </c>
      <c r="AA3346">
        <f>IF(ISNUMBER('IN-CLASS_Lab Part C'!$J$3346),'IN-CLASS_Lab Part C'!$J$3346,NA())</f>
        <v/>
      </c>
    </row>
    <row r="3347">
      <c r="J3347">
        <f>IF(AND(ISNUMBER('Data'!$F$3348),'Data'!$F$3348&lt;&gt;999,'Data'!$F$3348&lt;&gt;""),'Data'!$F$3348,"")</f>
        <v/>
      </c>
      <c r="Z3347" t="n">
        <v>1</v>
      </c>
      <c r="AA3347">
        <f>IF(ISNUMBER('IN-CLASS_Lab Part C'!$J$3347),'IN-CLASS_Lab Part C'!$J$3347,NA())</f>
        <v/>
      </c>
    </row>
    <row r="3348">
      <c r="J3348">
        <f>IF(AND(ISNUMBER('Data'!$F$3349),'Data'!$F$3349&lt;&gt;999,'Data'!$F$3349&lt;&gt;""),'Data'!$F$3349,"")</f>
        <v/>
      </c>
      <c r="Z3348" t="n">
        <v>1</v>
      </c>
      <c r="AA3348">
        <f>IF(ISNUMBER('IN-CLASS_Lab Part C'!$J$3348),'IN-CLASS_Lab Part C'!$J$3348,NA())</f>
        <v/>
      </c>
    </row>
    <row r="3349">
      <c r="J3349">
        <f>IF(AND(ISNUMBER('Data'!$F$3350),'Data'!$F$3350&lt;&gt;999,'Data'!$F$3350&lt;&gt;""),'Data'!$F$3350,"")</f>
        <v/>
      </c>
      <c r="Z3349" t="n">
        <v>1</v>
      </c>
      <c r="AA3349">
        <f>IF(ISNUMBER('IN-CLASS_Lab Part C'!$J$3349),'IN-CLASS_Lab Part C'!$J$3349,NA())</f>
        <v/>
      </c>
    </row>
    <row r="3350">
      <c r="J3350">
        <f>IF(AND(ISNUMBER('Data'!$F$3351),'Data'!$F$3351&lt;&gt;999,'Data'!$F$3351&lt;&gt;""),'Data'!$F$3351,"")</f>
        <v/>
      </c>
      <c r="Z3350" t="n">
        <v>1</v>
      </c>
      <c r="AA3350">
        <f>IF(ISNUMBER('IN-CLASS_Lab Part C'!$J$3350),'IN-CLASS_Lab Part C'!$J$3350,NA())</f>
        <v/>
      </c>
    </row>
    <row r="3351">
      <c r="J3351">
        <f>IF(AND(ISNUMBER('Data'!$F$3352),'Data'!$F$3352&lt;&gt;999,'Data'!$F$3352&lt;&gt;""),'Data'!$F$3352,"")</f>
        <v/>
      </c>
      <c r="Z3351" t="n">
        <v>1</v>
      </c>
      <c r="AA3351">
        <f>IF(ISNUMBER('IN-CLASS_Lab Part C'!$J$3351),'IN-CLASS_Lab Part C'!$J$3351,NA())</f>
        <v/>
      </c>
    </row>
    <row r="3352">
      <c r="J3352">
        <f>IF(AND(ISNUMBER('Data'!$F$3353),'Data'!$F$3353&lt;&gt;999,'Data'!$F$3353&lt;&gt;""),'Data'!$F$3353,"")</f>
        <v/>
      </c>
      <c r="Z3352" t="n">
        <v>1</v>
      </c>
      <c r="AA3352">
        <f>IF(ISNUMBER('IN-CLASS_Lab Part C'!$J$3352),'IN-CLASS_Lab Part C'!$J$3352,NA())</f>
        <v/>
      </c>
    </row>
    <row r="3353">
      <c r="J3353">
        <f>IF(AND(ISNUMBER('Data'!$F$3354),'Data'!$F$3354&lt;&gt;999,'Data'!$F$3354&lt;&gt;""),'Data'!$F$3354,"")</f>
        <v/>
      </c>
      <c r="Z3353" t="n">
        <v>1</v>
      </c>
      <c r="AA3353">
        <f>IF(ISNUMBER('IN-CLASS_Lab Part C'!$J$3353),'IN-CLASS_Lab Part C'!$J$3353,NA())</f>
        <v/>
      </c>
    </row>
    <row r="3354">
      <c r="J3354">
        <f>IF(AND(ISNUMBER('Data'!$F$3355),'Data'!$F$3355&lt;&gt;999,'Data'!$F$3355&lt;&gt;""),'Data'!$F$3355,"")</f>
        <v/>
      </c>
      <c r="Z3354" t="n">
        <v>1</v>
      </c>
      <c r="AA3354">
        <f>IF(ISNUMBER('IN-CLASS_Lab Part C'!$J$3354),'IN-CLASS_Lab Part C'!$J$3354,NA())</f>
        <v/>
      </c>
    </row>
    <row r="3355">
      <c r="J3355">
        <f>IF(AND(ISNUMBER('Data'!$F$3356),'Data'!$F$3356&lt;&gt;999,'Data'!$F$3356&lt;&gt;""),'Data'!$F$3356,"")</f>
        <v/>
      </c>
      <c r="Z3355" t="n">
        <v>1</v>
      </c>
      <c r="AA3355">
        <f>IF(ISNUMBER('IN-CLASS_Lab Part C'!$J$3355),'IN-CLASS_Lab Part C'!$J$3355,NA())</f>
        <v/>
      </c>
    </row>
    <row r="3356">
      <c r="J3356">
        <f>IF(AND(ISNUMBER('Data'!$F$3357),'Data'!$F$3357&lt;&gt;999,'Data'!$F$3357&lt;&gt;""),'Data'!$F$3357,"")</f>
        <v/>
      </c>
      <c r="Z3356" t="n">
        <v>1</v>
      </c>
      <c r="AA3356">
        <f>IF(ISNUMBER('IN-CLASS_Lab Part C'!$J$3356),'IN-CLASS_Lab Part C'!$J$3356,NA())</f>
        <v/>
      </c>
    </row>
    <row r="3357">
      <c r="J3357">
        <f>IF(AND(ISNUMBER('Data'!$F$3358),'Data'!$F$3358&lt;&gt;999,'Data'!$F$3358&lt;&gt;""),'Data'!$F$3358,"")</f>
        <v/>
      </c>
      <c r="Z3357" t="n">
        <v>1</v>
      </c>
      <c r="AA3357">
        <f>IF(ISNUMBER('IN-CLASS_Lab Part C'!$J$3357),'IN-CLASS_Lab Part C'!$J$3357,NA())</f>
        <v/>
      </c>
    </row>
    <row r="3358">
      <c r="J3358">
        <f>IF(AND(ISNUMBER('Data'!$F$3359),'Data'!$F$3359&lt;&gt;999,'Data'!$F$3359&lt;&gt;""),'Data'!$F$3359,"")</f>
        <v/>
      </c>
      <c r="Z3358" t="n">
        <v>1</v>
      </c>
      <c r="AA3358">
        <f>IF(ISNUMBER('IN-CLASS_Lab Part C'!$J$3358),'IN-CLASS_Lab Part C'!$J$3358,NA())</f>
        <v/>
      </c>
    </row>
    <row r="3359">
      <c r="J3359">
        <f>IF(AND(ISNUMBER('Data'!$F$3360),'Data'!$F$3360&lt;&gt;999,'Data'!$F$3360&lt;&gt;""),'Data'!$F$3360,"")</f>
        <v/>
      </c>
      <c r="Z3359" t="n">
        <v>1</v>
      </c>
      <c r="AA3359">
        <f>IF(ISNUMBER('IN-CLASS_Lab Part C'!$J$3359),'IN-CLASS_Lab Part C'!$J$3359,NA())</f>
        <v/>
      </c>
    </row>
    <row r="3360">
      <c r="J3360">
        <f>IF(AND(ISNUMBER('Data'!$F$3361),'Data'!$F$3361&lt;&gt;999,'Data'!$F$3361&lt;&gt;""),'Data'!$F$3361,"")</f>
        <v/>
      </c>
      <c r="Z3360" t="n">
        <v>1</v>
      </c>
      <c r="AA3360">
        <f>IF(ISNUMBER('IN-CLASS_Lab Part C'!$J$3360),'IN-CLASS_Lab Part C'!$J$3360,NA())</f>
        <v/>
      </c>
    </row>
    <row r="3361">
      <c r="J3361">
        <f>IF(AND(ISNUMBER('Data'!$F$3362),'Data'!$F$3362&lt;&gt;999,'Data'!$F$3362&lt;&gt;""),'Data'!$F$3362,"")</f>
        <v/>
      </c>
      <c r="Z3361" t="n">
        <v>1</v>
      </c>
      <c r="AA3361">
        <f>IF(ISNUMBER('IN-CLASS_Lab Part C'!$J$3361),'IN-CLASS_Lab Part C'!$J$3361,NA())</f>
        <v/>
      </c>
    </row>
    <row r="3362">
      <c r="J3362">
        <f>IF(AND(ISNUMBER('Data'!$F$3363),'Data'!$F$3363&lt;&gt;999,'Data'!$F$3363&lt;&gt;""),'Data'!$F$3363,"")</f>
        <v/>
      </c>
      <c r="Z3362" t="n">
        <v>1</v>
      </c>
      <c r="AA3362">
        <f>IF(ISNUMBER('IN-CLASS_Lab Part C'!$J$3362),'IN-CLASS_Lab Part C'!$J$3362,NA())</f>
        <v/>
      </c>
    </row>
    <row r="3363">
      <c r="J3363">
        <f>IF(AND(ISNUMBER('Data'!$F$3364),'Data'!$F$3364&lt;&gt;999,'Data'!$F$3364&lt;&gt;""),'Data'!$F$3364,"")</f>
        <v/>
      </c>
      <c r="Z3363" t="n">
        <v>1</v>
      </c>
      <c r="AA3363">
        <f>IF(ISNUMBER('IN-CLASS_Lab Part C'!$J$3363),'IN-CLASS_Lab Part C'!$J$3363,NA())</f>
        <v/>
      </c>
    </row>
    <row r="3364">
      <c r="J3364">
        <f>IF(AND(ISNUMBER('Data'!$F$3365),'Data'!$F$3365&lt;&gt;999,'Data'!$F$3365&lt;&gt;""),'Data'!$F$3365,"")</f>
        <v/>
      </c>
      <c r="Z3364" t="n">
        <v>1</v>
      </c>
      <c r="AA3364">
        <f>IF(ISNUMBER('IN-CLASS_Lab Part C'!$J$3364),'IN-CLASS_Lab Part C'!$J$3364,NA())</f>
        <v/>
      </c>
    </row>
    <row r="3365">
      <c r="J3365">
        <f>IF(AND(ISNUMBER('Data'!$F$3366),'Data'!$F$3366&lt;&gt;999,'Data'!$F$3366&lt;&gt;""),'Data'!$F$3366,"")</f>
        <v/>
      </c>
      <c r="Z3365" t="n">
        <v>1</v>
      </c>
      <c r="AA3365">
        <f>IF(ISNUMBER('IN-CLASS_Lab Part C'!$J$3365),'IN-CLASS_Lab Part C'!$J$3365,NA())</f>
        <v/>
      </c>
    </row>
    <row r="3366">
      <c r="J3366">
        <f>IF(AND(ISNUMBER('Data'!$F$3367),'Data'!$F$3367&lt;&gt;999,'Data'!$F$3367&lt;&gt;""),'Data'!$F$3367,"")</f>
        <v/>
      </c>
      <c r="Z3366" t="n">
        <v>1</v>
      </c>
      <c r="AA3366">
        <f>IF(ISNUMBER('IN-CLASS_Lab Part C'!$J$3366),'IN-CLASS_Lab Part C'!$J$3366,NA())</f>
        <v/>
      </c>
    </row>
    <row r="3367">
      <c r="J3367">
        <f>IF(AND(ISNUMBER('Data'!$F$3368),'Data'!$F$3368&lt;&gt;999,'Data'!$F$3368&lt;&gt;""),'Data'!$F$3368,"")</f>
        <v/>
      </c>
      <c r="Z3367" t="n">
        <v>1</v>
      </c>
      <c r="AA3367">
        <f>IF(ISNUMBER('IN-CLASS_Lab Part C'!$J$3367),'IN-CLASS_Lab Part C'!$J$3367,NA())</f>
        <v/>
      </c>
    </row>
    <row r="3368">
      <c r="J3368">
        <f>IF(AND(ISNUMBER('Data'!$F$3369),'Data'!$F$3369&lt;&gt;999,'Data'!$F$3369&lt;&gt;""),'Data'!$F$3369,"")</f>
        <v/>
      </c>
      <c r="Z3368" t="n">
        <v>1</v>
      </c>
      <c r="AA3368">
        <f>IF(ISNUMBER('IN-CLASS_Lab Part C'!$J$3368),'IN-CLASS_Lab Part C'!$J$3368,NA())</f>
        <v/>
      </c>
    </row>
    <row r="3369">
      <c r="J3369">
        <f>IF(AND(ISNUMBER('Data'!$F$3370),'Data'!$F$3370&lt;&gt;999,'Data'!$F$3370&lt;&gt;""),'Data'!$F$3370,"")</f>
        <v/>
      </c>
      <c r="Z3369" t="n">
        <v>1</v>
      </c>
      <c r="AA3369">
        <f>IF(ISNUMBER('IN-CLASS_Lab Part C'!$J$3369),'IN-CLASS_Lab Part C'!$J$3369,NA())</f>
        <v/>
      </c>
    </row>
    <row r="3370">
      <c r="J3370">
        <f>IF(AND(ISNUMBER('Data'!$F$3371),'Data'!$F$3371&lt;&gt;999,'Data'!$F$3371&lt;&gt;""),'Data'!$F$3371,"")</f>
        <v/>
      </c>
      <c r="Z3370" t="n">
        <v>1</v>
      </c>
      <c r="AA3370">
        <f>IF(ISNUMBER('IN-CLASS_Lab Part C'!$J$3370),'IN-CLASS_Lab Part C'!$J$3370,NA())</f>
        <v/>
      </c>
    </row>
    <row r="3371">
      <c r="J3371">
        <f>IF(AND(ISNUMBER('Data'!$F$3372),'Data'!$F$3372&lt;&gt;999,'Data'!$F$3372&lt;&gt;""),'Data'!$F$3372,"")</f>
        <v/>
      </c>
      <c r="Z3371" t="n">
        <v>1</v>
      </c>
      <c r="AA3371">
        <f>IF(ISNUMBER('IN-CLASS_Lab Part C'!$J$3371),'IN-CLASS_Lab Part C'!$J$3371,NA())</f>
        <v/>
      </c>
    </row>
    <row r="3372">
      <c r="J3372">
        <f>IF(AND(ISNUMBER('Data'!$F$3373),'Data'!$F$3373&lt;&gt;999,'Data'!$F$3373&lt;&gt;""),'Data'!$F$3373,"")</f>
        <v/>
      </c>
      <c r="Z3372" t="n">
        <v>1</v>
      </c>
      <c r="AA3372">
        <f>IF(ISNUMBER('IN-CLASS_Lab Part C'!$J$3372),'IN-CLASS_Lab Part C'!$J$3372,NA())</f>
        <v/>
      </c>
    </row>
    <row r="3373">
      <c r="J3373">
        <f>IF(AND(ISNUMBER('Data'!$F$3374),'Data'!$F$3374&lt;&gt;999,'Data'!$F$3374&lt;&gt;""),'Data'!$F$3374,"")</f>
        <v/>
      </c>
      <c r="Z3373" t="n">
        <v>1</v>
      </c>
      <c r="AA3373">
        <f>IF(ISNUMBER('IN-CLASS_Lab Part C'!$J$3373),'IN-CLASS_Lab Part C'!$J$3373,NA())</f>
        <v/>
      </c>
    </row>
    <row r="3374">
      <c r="J3374">
        <f>IF(AND(ISNUMBER('Data'!$F$3375),'Data'!$F$3375&lt;&gt;999,'Data'!$F$3375&lt;&gt;""),'Data'!$F$3375,"")</f>
        <v/>
      </c>
      <c r="Z3374" t="n">
        <v>1</v>
      </c>
      <c r="AA3374">
        <f>IF(ISNUMBER('IN-CLASS_Lab Part C'!$J$3374),'IN-CLASS_Lab Part C'!$J$3374,NA())</f>
        <v/>
      </c>
    </row>
    <row r="3375">
      <c r="J3375">
        <f>IF(AND(ISNUMBER('Data'!$F$3376),'Data'!$F$3376&lt;&gt;999,'Data'!$F$3376&lt;&gt;""),'Data'!$F$3376,"")</f>
        <v/>
      </c>
      <c r="Z3375" t="n">
        <v>1</v>
      </c>
      <c r="AA3375">
        <f>IF(ISNUMBER('IN-CLASS_Lab Part C'!$J$3375),'IN-CLASS_Lab Part C'!$J$3375,NA())</f>
        <v/>
      </c>
    </row>
    <row r="3376">
      <c r="J3376">
        <f>IF(AND(ISNUMBER('Data'!$F$3377),'Data'!$F$3377&lt;&gt;999,'Data'!$F$3377&lt;&gt;""),'Data'!$F$3377,"")</f>
        <v/>
      </c>
      <c r="Z3376" t="n">
        <v>1</v>
      </c>
      <c r="AA3376">
        <f>IF(ISNUMBER('IN-CLASS_Lab Part C'!$J$3376),'IN-CLASS_Lab Part C'!$J$3376,NA())</f>
        <v/>
      </c>
    </row>
    <row r="3377">
      <c r="J3377">
        <f>IF(AND(ISNUMBER('Data'!$F$3378),'Data'!$F$3378&lt;&gt;999,'Data'!$F$3378&lt;&gt;""),'Data'!$F$3378,"")</f>
        <v/>
      </c>
      <c r="Z3377" t="n">
        <v>1</v>
      </c>
      <c r="AA3377">
        <f>IF(ISNUMBER('IN-CLASS_Lab Part C'!$J$3377),'IN-CLASS_Lab Part C'!$J$3377,NA())</f>
        <v/>
      </c>
    </row>
    <row r="3378">
      <c r="J3378">
        <f>IF(AND(ISNUMBER('Data'!$F$3379),'Data'!$F$3379&lt;&gt;999,'Data'!$F$3379&lt;&gt;""),'Data'!$F$3379,"")</f>
        <v/>
      </c>
      <c r="Z3378" t="n">
        <v>1</v>
      </c>
      <c r="AA3378">
        <f>IF(ISNUMBER('IN-CLASS_Lab Part C'!$J$3378),'IN-CLASS_Lab Part C'!$J$3378,NA())</f>
        <v/>
      </c>
    </row>
    <row r="3379">
      <c r="J3379">
        <f>IF(AND(ISNUMBER('Data'!$F$3380),'Data'!$F$3380&lt;&gt;999,'Data'!$F$3380&lt;&gt;""),'Data'!$F$3380,"")</f>
        <v/>
      </c>
      <c r="Z3379" t="n">
        <v>1</v>
      </c>
      <c r="AA3379">
        <f>IF(ISNUMBER('IN-CLASS_Lab Part C'!$J$3379),'IN-CLASS_Lab Part C'!$J$3379,NA())</f>
        <v/>
      </c>
    </row>
    <row r="3380">
      <c r="J3380">
        <f>IF(AND(ISNUMBER('Data'!$F$3381),'Data'!$F$3381&lt;&gt;999,'Data'!$F$3381&lt;&gt;""),'Data'!$F$3381,"")</f>
        <v/>
      </c>
      <c r="Z3380" t="n">
        <v>1</v>
      </c>
      <c r="AA3380">
        <f>IF(ISNUMBER('IN-CLASS_Lab Part C'!$J$3380),'IN-CLASS_Lab Part C'!$J$3380,NA())</f>
        <v/>
      </c>
    </row>
    <row r="3381">
      <c r="J3381">
        <f>IF(AND(ISNUMBER('Data'!$F$3382),'Data'!$F$3382&lt;&gt;999,'Data'!$F$3382&lt;&gt;""),'Data'!$F$3382,"")</f>
        <v/>
      </c>
      <c r="Z3381" t="n">
        <v>1</v>
      </c>
      <c r="AA3381">
        <f>IF(ISNUMBER('IN-CLASS_Lab Part C'!$J$3381),'IN-CLASS_Lab Part C'!$J$3381,NA())</f>
        <v/>
      </c>
    </row>
    <row r="3382">
      <c r="J3382">
        <f>IF(AND(ISNUMBER('Data'!$F$3383),'Data'!$F$3383&lt;&gt;999,'Data'!$F$3383&lt;&gt;""),'Data'!$F$3383,"")</f>
        <v/>
      </c>
      <c r="Z3382" t="n">
        <v>1</v>
      </c>
      <c r="AA3382">
        <f>IF(ISNUMBER('IN-CLASS_Lab Part C'!$J$3382),'IN-CLASS_Lab Part C'!$J$3382,NA())</f>
        <v/>
      </c>
    </row>
    <row r="3383">
      <c r="J3383">
        <f>IF(AND(ISNUMBER('Data'!$F$3384),'Data'!$F$3384&lt;&gt;999,'Data'!$F$3384&lt;&gt;""),'Data'!$F$3384,"")</f>
        <v/>
      </c>
      <c r="Z3383" t="n">
        <v>1</v>
      </c>
      <c r="AA3383">
        <f>IF(ISNUMBER('IN-CLASS_Lab Part C'!$J$3383),'IN-CLASS_Lab Part C'!$J$3383,NA())</f>
        <v/>
      </c>
    </row>
    <row r="3384">
      <c r="J3384">
        <f>IF(AND(ISNUMBER('Data'!$F$3385),'Data'!$F$3385&lt;&gt;999,'Data'!$F$3385&lt;&gt;""),'Data'!$F$3385,"")</f>
        <v/>
      </c>
      <c r="Z3384" t="n">
        <v>1</v>
      </c>
      <c r="AA3384">
        <f>IF(ISNUMBER('IN-CLASS_Lab Part C'!$J$3384),'IN-CLASS_Lab Part C'!$J$3384,NA())</f>
        <v/>
      </c>
    </row>
    <row r="3385">
      <c r="J3385">
        <f>IF(AND(ISNUMBER('Data'!$F$3386),'Data'!$F$3386&lt;&gt;999,'Data'!$F$3386&lt;&gt;""),'Data'!$F$3386,"")</f>
        <v/>
      </c>
      <c r="Z3385" t="n">
        <v>1</v>
      </c>
      <c r="AA3385">
        <f>IF(ISNUMBER('IN-CLASS_Lab Part C'!$J$3385),'IN-CLASS_Lab Part C'!$J$3385,NA())</f>
        <v/>
      </c>
    </row>
    <row r="3386">
      <c r="J3386">
        <f>IF(AND(ISNUMBER('Data'!$F$3387),'Data'!$F$3387&lt;&gt;999,'Data'!$F$3387&lt;&gt;""),'Data'!$F$3387,"")</f>
        <v/>
      </c>
      <c r="Z3386" t="n">
        <v>1</v>
      </c>
      <c r="AA3386">
        <f>IF(ISNUMBER('IN-CLASS_Lab Part C'!$J$3386),'IN-CLASS_Lab Part C'!$J$3386,NA())</f>
        <v/>
      </c>
    </row>
    <row r="3387">
      <c r="J3387">
        <f>IF(AND(ISNUMBER('Data'!$F$3388),'Data'!$F$3388&lt;&gt;999,'Data'!$F$3388&lt;&gt;""),'Data'!$F$3388,"")</f>
        <v/>
      </c>
      <c r="Z3387" t="n">
        <v>1</v>
      </c>
      <c r="AA3387">
        <f>IF(ISNUMBER('IN-CLASS_Lab Part C'!$J$3387),'IN-CLASS_Lab Part C'!$J$3387,NA())</f>
        <v/>
      </c>
    </row>
    <row r="3388">
      <c r="J3388">
        <f>IF(AND(ISNUMBER('Data'!$F$3389),'Data'!$F$3389&lt;&gt;999,'Data'!$F$3389&lt;&gt;""),'Data'!$F$3389,"")</f>
        <v/>
      </c>
      <c r="Z3388" t="n">
        <v>1</v>
      </c>
      <c r="AA3388">
        <f>IF(ISNUMBER('IN-CLASS_Lab Part C'!$J$3388),'IN-CLASS_Lab Part C'!$J$3388,NA())</f>
        <v/>
      </c>
    </row>
    <row r="3389">
      <c r="J3389">
        <f>IF(AND(ISNUMBER('Data'!$F$3390),'Data'!$F$3390&lt;&gt;999,'Data'!$F$3390&lt;&gt;""),'Data'!$F$3390,"")</f>
        <v/>
      </c>
      <c r="Z3389" t="n">
        <v>1</v>
      </c>
      <c r="AA3389">
        <f>IF(ISNUMBER('IN-CLASS_Lab Part C'!$J$3389),'IN-CLASS_Lab Part C'!$J$3389,NA())</f>
        <v/>
      </c>
    </row>
    <row r="3390">
      <c r="J3390">
        <f>IF(AND(ISNUMBER('Data'!$F$3391),'Data'!$F$3391&lt;&gt;999,'Data'!$F$3391&lt;&gt;""),'Data'!$F$3391,"")</f>
        <v/>
      </c>
      <c r="Z3390" t="n">
        <v>1</v>
      </c>
      <c r="AA3390">
        <f>IF(ISNUMBER('IN-CLASS_Lab Part C'!$J$3390),'IN-CLASS_Lab Part C'!$J$3390,NA())</f>
        <v/>
      </c>
    </row>
    <row r="3391">
      <c r="J3391">
        <f>IF(AND(ISNUMBER('Data'!$F$3392),'Data'!$F$3392&lt;&gt;999,'Data'!$F$3392&lt;&gt;""),'Data'!$F$3392,"")</f>
        <v/>
      </c>
      <c r="Z3391" t="n">
        <v>1</v>
      </c>
      <c r="AA3391">
        <f>IF(ISNUMBER('IN-CLASS_Lab Part C'!$J$3391),'IN-CLASS_Lab Part C'!$J$3391,NA())</f>
        <v/>
      </c>
    </row>
    <row r="3392">
      <c r="J3392">
        <f>IF(AND(ISNUMBER('Data'!$F$3393),'Data'!$F$3393&lt;&gt;999,'Data'!$F$3393&lt;&gt;""),'Data'!$F$3393,"")</f>
        <v/>
      </c>
      <c r="Z3392" t="n">
        <v>1</v>
      </c>
      <c r="AA3392">
        <f>IF(ISNUMBER('IN-CLASS_Lab Part C'!$J$3392),'IN-CLASS_Lab Part C'!$J$3392,NA())</f>
        <v/>
      </c>
    </row>
    <row r="3393">
      <c r="J3393">
        <f>IF(AND(ISNUMBER('Data'!$F$3394),'Data'!$F$3394&lt;&gt;999,'Data'!$F$3394&lt;&gt;""),'Data'!$F$3394,"")</f>
        <v/>
      </c>
      <c r="Z3393" t="n">
        <v>1</v>
      </c>
      <c r="AA3393">
        <f>IF(ISNUMBER('IN-CLASS_Lab Part C'!$J$3393),'IN-CLASS_Lab Part C'!$J$3393,NA())</f>
        <v/>
      </c>
    </row>
    <row r="3394">
      <c r="J3394">
        <f>IF(AND(ISNUMBER('Data'!$F$3395),'Data'!$F$3395&lt;&gt;999,'Data'!$F$3395&lt;&gt;""),'Data'!$F$3395,"")</f>
        <v/>
      </c>
      <c r="Z3394" t="n">
        <v>1</v>
      </c>
      <c r="AA3394">
        <f>IF(ISNUMBER('IN-CLASS_Lab Part C'!$J$3394),'IN-CLASS_Lab Part C'!$J$3394,NA())</f>
        <v/>
      </c>
    </row>
    <row r="3395">
      <c r="J3395">
        <f>IF(AND(ISNUMBER('Data'!$F$3396),'Data'!$F$3396&lt;&gt;999,'Data'!$F$3396&lt;&gt;""),'Data'!$F$3396,"")</f>
        <v/>
      </c>
      <c r="Z3395" t="n">
        <v>1</v>
      </c>
      <c r="AA3395">
        <f>IF(ISNUMBER('IN-CLASS_Lab Part C'!$J$3395),'IN-CLASS_Lab Part C'!$J$3395,NA())</f>
        <v/>
      </c>
    </row>
    <row r="3396">
      <c r="J3396">
        <f>IF(AND(ISNUMBER('Data'!$F$3397),'Data'!$F$3397&lt;&gt;999,'Data'!$F$3397&lt;&gt;""),'Data'!$F$3397,"")</f>
        <v/>
      </c>
      <c r="Z3396" t="n">
        <v>1</v>
      </c>
      <c r="AA3396">
        <f>IF(ISNUMBER('IN-CLASS_Lab Part C'!$J$3396),'IN-CLASS_Lab Part C'!$J$3396,NA())</f>
        <v/>
      </c>
    </row>
    <row r="3397">
      <c r="J3397">
        <f>IF(AND(ISNUMBER('Data'!$F$3398),'Data'!$F$3398&lt;&gt;999,'Data'!$F$3398&lt;&gt;""),'Data'!$F$3398,"")</f>
        <v/>
      </c>
      <c r="Z3397" t="n">
        <v>1</v>
      </c>
      <c r="AA3397">
        <f>IF(ISNUMBER('IN-CLASS_Lab Part C'!$J$3397),'IN-CLASS_Lab Part C'!$J$3397,NA())</f>
        <v/>
      </c>
    </row>
    <row r="3398">
      <c r="J3398">
        <f>IF(AND(ISNUMBER('Data'!$F$3399),'Data'!$F$3399&lt;&gt;999,'Data'!$F$3399&lt;&gt;""),'Data'!$F$3399,"")</f>
        <v/>
      </c>
      <c r="Z3398" t="n">
        <v>1</v>
      </c>
      <c r="AA3398">
        <f>IF(ISNUMBER('IN-CLASS_Lab Part C'!$J$3398),'IN-CLASS_Lab Part C'!$J$3398,NA())</f>
        <v/>
      </c>
    </row>
    <row r="3399">
      <c r="J3399">
        <f>IF(AND(ISNUMBER('Data'!$F$3400),'Data'!$F$3400&lt;&gt;999,'Data'!$F$3400&lt;&gt;""),'Data'!$F$3400,"")</f>
        <v/>
      </c>
      <c r="Z3399" t="n">
        <v>1</v>
      </c>
      <c r="AA3399">
        <f>IF(ISNUMBER('IN-CLASS_Lab Part C'!$J$3399),'IN-CLASS_Lab Part C'!$J$3399,NA())</f>
        <v/>
      </c>
    </row>
    <row r="3400">
      <c r="J3400">
        <f>IF(AND(ISNUMBER('Data'!$F$3401),'Data'!$F$3401&lt;&gt;999,'Data'!$F$3401&lt;&gt;""),'Data'!$F$3401,"")</f>
        <v/>
      </c>
      <c r="Z3400" t="n">
        <v>1</v>
      </c>
      <c r="AA3400">
        <f>IF(ISNUMBER('IN-CLASS_Lab Part C'!$J$3400),'IN-CLASS_Lab Part C'!$J$3400,NA())</f>
        <v/>
      </c>
    </row>
    <row r="3401">
      <c r="J3401">
        <f>IF(AND(ISNUMBER('Data'!$F$3402),'Data'!$F$3402&lt;&gt;999,'Data'!$F$3402&lt;&gt;""),'Data'!$F$3402,"")</f>
        <v/>
      </c>
      <c r="Z3401" t="n">
        <v>1</v>
      </c>
      <c r="AA3401">
        <f>IF(ISNUMBER('IN-CLASS_Lab Part C'!$J$3401),'IN-CLASS_Lab Part C'!$J$3401,NA())</f>
        <v/>
      </c>
    </row>
    <row r="3402">
      <c r="J3402">
        <f>IF(AND(ISNUMBER('Data'!$F$3403),'Data'!$F$3403&lt;&gt;999,'Data'!$F$3403&lt;&gt;""),'Data'!$F$3403,"")</f>
        <v/>
      </c>
      <c r="Z3402" t="n">
        <v>1</v>
      </c>
      <c r="AA3402">
        <f>IF(ISNUMBER('IN-CLASS_Lab Part C'!$J$3402),'IN-CLASS_Lab Part C'!$J$3402,NA())</f>
        <v/>
      </c>
    </row>
    <row r="3403">
      <c r="J3403">
        <f>IF(AND(ISNUMBER('Data'!$F$3404),'Data'!$F$3404&lt;&gt;999,'Data'!$F$3404&lt;&gt;""),'Data'!$F$3404,"")</f>
        <v/>
      </c>
      <c r="Z3403" t="n">
        <v>1</v>
      </c>
      <c r="AA3403">
        <f>IF(ISNUMBER('IN-CLASS_Lab Part C'!$J$3403),'IN-CLASS_Lab Part C'!$J$3403,NA())</f>
        <v/>
      </c>
    </row>
    <row r="3404">
      <c r="J3404">
        <f>IF(AND(ISNUMBER('Data'!$F$3405),'Data'!$F$3405&lt;&gt;999,'Data'!$F$3405&lt;&gt;""),'Data'!$F$3405,"")</f>
        <v/>
      </c>
      <c r="Z3404" t="n">
        <v>1</v>
      </c>
      <c r="AA3404">
        <f>IF(ISNUMBER('IN-CLASS_Lab Part C'!$J$3404),'IN-CLASS_Lab Part C'!$J$3404,NA())</f>
        <v/>
      </c>
    </row>
    <row r="3405">
      <c r="J3405">
        <f>IF(AND(ISNUMBER('Data'!$F$3406),'Data'!$F$3406&lt;&gt;999,'Data'!$F$3406&lt;&gt;""),'Data'!$F$3406,"")</f>
        <v/>
      </c>
      <c r="Z3405" t="n">
        <v>1</v>
      </c>
      <c r="AA3405">
        <f>IF(ISNUMBER('IN-CLASS_Lab Part C'!$J$3405),'IN-CLASS_Lab Part C'!$J$3405,NA())</f>
        <v/>
      </c>
    </row>
    <row r="3406">
      <c r="J3406">
        <f>IF(AND(ISNUMBER('Data'!$F$3407),'Data'!$F$3407&lt;&gt;999,'Data'!$F$3407&lt;&gt;""),'Data'!$F$3407,"")</f>
        <v/>
      </c>
      <c r="Z3406" t="n">
        <v>1</v>
      </c>
      <c r="AA3406">
        <f>IF(ISNUMBER('IN-CLASS_Lab Part C'!$J$3406),'IN-CLASS_Lab Part C'!$J$3406,NA())</f>
        <v/>
      </c>
    </row>
    <row r="3407">
      <c r="J3407">
        <f>IF(AND(ISNUMBER('Data'!$F$3408),'Data'!$F$3408&lt;&gt;999,'Data'!$F$3408&lt;&gt;""),'Data'!$F$3408,"")</f>
        <v/>
      </c>
      <c r="Z3407" t="n">
        <v>1</v>
      </c>
      <c r="AA3407">
        <f>IF(ISNUMBER('IN-CLASS_Lab Part C'!$J$3407),'IN-CLASS_Lab Part C'!$J$3407,NA())</f>
        <v/>
      </c>
    </row>
    <row r="3408">
      <c r="J3408">
        <f>IF(AND(ISNUMBER('Data'!$F$3409),'Data'!$F$3409&lt;&gt;999,'Data'!$F$3409&lt;&gt;""),'Data'!$F$3409,"")</f>
        <v/>
      </c>
      <c r="Z3408" t="n">
        <v>1</v>
      </c>
      <c r="AA3408">
        <f>IF(ISNUMBER('IN-CLASS_Lab Part C'!$J$3408),'IN-CLASS_Lab Part C'!$J$3408,NA())</f>
        <v/>
      </c>
    </row>
    <row r="3409">
      <c r="J3409">
        <f>IF(AND(ISNUMBER('Data'!$F$3410),'Data'!$F$3410&lt;&gt;999,'Data'!$F$3410&lt;&gt;""),'Data'!$F$3410,"")</f>
        <v/>
      </c>
      <c r="Z3409" t="n">
        <v>1</v>
      </c>
      <c r="AA3409">
        <f>IF(ISNUMBER('IN-CLASS_Lab Part C'!$J$3409),'IN-CLASS_Lab Part C'!$J$3409,NA())</f>
        <v/>
      </c>
    </row>
    <row r="3410">
      <c r="J3410">
        <f>IF(AND(ISNUMBER('Data'!$F$3411),'Data'!$F$3411&lt;&gt;999,'Data'!$F$3411&lt;&gt;""),'Data'!$F$3411,"")</f>
        <v/>
      </c>
      <c r="Z3410" t="n">
        <v>1</v>
      </c>
      <c r="AA3410">
        <f>IF(ISNUMBER('IN-CLASS_Lab Part C'!$J$3410),'IN-CLASS_Lab Part C'!$J$3410,NA())</f>
        <v/>
      </c>
    </row>
    <row r="3411">
      <c r="J3411">
        <f>IF(AND(ISNUMBER('Data'!$F$3412),'Data'!$F$3412&lt;&gt;999,'Data'!$F$3412&lt;&gt;""),'Data'!$F$3412,"")</f>
        <v/>
      </c>
      <c r="Z3411" t="n">
        <v>1</v>
      </c>
      <c r="AA3411">
        <f>IF(ISNUMBER('IN-CLASS_Lab Part C'!$J$3411),'IN-CLASS_Lab Part C'!$J$3411,NA())</f>
        <v/>
      </c>
    </row>
    <row r="3412">
      <c r="J3412">
        <f>IF(AND(ISNUMBER('Data'!$F$3413),'Data'!$F$3413&lt;&gt;999,'Data'!$F$3413&lt;&gt;""),'Data'!$F$3413,"")</f>
        <v/>
      </c>
      <c r="Z3412" t="n">
        <v>1</v>
      </c>
      <c r="AA3412">
        <f>IF(ISNUMBER('IN-CLASS_Lab Part C'!$J$3412),'IN-CLASS_Lab Part C'!$J$3412,NA())</f>
        <v/>
      </c>
    </row>
    <row r="3413">
      <c r="J3413">
        <f>IF(AND(ISNUMBER('Data'!$F$3414),'Data'!$F$3414&lt;&gt;999,'Data'!$F$3414&lt;&gt;""),'Data'!$F$3414,"")</f>
        <v/>
      </c>
      <c r="Z3413" t="n">
        <v>1</v>
      </c>
      <c r="AA3413">
        <f>IF(ISNUMBER('IN-CLASS_Lab Part C'!$J$3413),'IN-CLASS_Lab Part C'!$J$3413,NA())</f>
        <v/>
      </c>
    </row>
    <row r="3414">
      <c r="J3414">
        <f>IF(AND(ISNUMBER('Data'!$F$3415),'Data'!$F$3415&lt;&gt;999,'Data'!$F$3415&lt;&gt;""),'Data'!$F$3415,"")</f>
        <v/>
      </c>
      <c r="Z3414" t="n">
        <v>1</v>
      </c>
      <c r="AA3414">
        <f>IF(ISNUMBER('IN-CLASS_Lab Part C'!$J$3414),'IN-CLASS_Lab Part C'!$J$3414,NA())</f>
        <v/>
      </c>
    </row>
    <row r="3415">
      <c r="J3415">
        <f>IF(AND(ISNUMBER('Data'!$F$3416),'Data'!$F$3416&lt;&gt;999,'Data'!$F$3416&lt;&gt;""),'Data'!$F$3416,"")</f>
        <v/>
      </c>
      <c r="Z3415" t="n">
        <v>1</v>
      </c>
      <c r="AA3415">
        <f>IF(ISNUMBER('IN-CLASS_Lab Part C'!$J$3415),'IN-CLASS_Lab Part C'!$J$3415,NA())</f>
        <v/>
      </c>
    </row>
    <row r="3416">
      <c r="J3416">
        <f>IF(AND(ISNUMBER('Data'!$F$3417),'Data'!$F$3417&lt;&gt;999,'Data'!$F$3417&lt;&gt;""),'Data'!$F$3417,"")</f>
        <v/>
      </c>
      <c r="Z3416" t="n">
        <v>1</v>
      </c>
      <c r="AA3416">
        <f>IF(ISNUMBER('IN-CLASS_Lab Part C'!$J$3416),'IN-CLASS_Lab Part C'!$J$3416,NA())</f>
        <v/>
      </c>
    </row>
    <row r="3417">
      <c r="J3417">
        <f>IF(AND(ISNUMBER('Data'!$F$3418),'Data'!$F$3418&lt;&gt;999,'Data'!$F$3418&lt;&gt;""),'Data'!$F$3418,"")</f>
        <v/>
      </c>
      <c r="Z3417" t="n">
        <v>1</v>
      </c>
      <c r="AA3417">
        <f>IF(ISNUMBER('IN-CLASS_Lab Part C'!$J$3417),'IN-CLASS_Lab Part C'!$J$3417,NA())</f>
        <v/>
      </c>
    </row>
    <row r="3418">
      <c r="J3418">
        <f>IF(AND(ISNUMBER('Data'!$F$3419),'Data'!$F$3419&lt;&gt;999,'Data'!$F$3419&lt;&gt;""),'Data'!$F$3419,"")</f>
        <v/>
      </c>
      <c r="Z3418" t="n">
        <v>1</v>
      </c>
      <c r="AA3418">
        <f>IF(ISNUMBER('IN-CLASS_Lab Part C'!$J$3418),'IN-CLASS_Lab Part C'!$J$3418,NA())</f>
        <v/>
      </c>
    </row>
    <row r="3419">
      <c r="J3419">
        <f>IF(AND(ISNUMBER('Data'!$F$3420),'Data'!$F$3420&lt;&gt;999,'Data'!$F$3420&lt;&gt;""),'Data'!$F$3420,"")</f>
        <v/>
      </c>
      <c r="Z3419" t="n">
        <v>1</v>
      </c>
      <c r="AA3419">
        <f>IF(ISNUMBER('IN-CLASS_Lab Part C'!$J$3419),'IN-CLASS_Lab Part C'!$J$3419,NA())</f>
        <v/>
      </c>
    </row>
    <row r="3420">
      <c r="J3420">
        <f>IF(AND(ISNUMBER('Data'!$F$3421),'Data'!$F$3421&lt;&gt;999,'Data'!$F$3421&lt;&gt;""),'Data'!$F$3421,"")</f>
        <v/>
      </c>
      <c r="Z3420" t="n">
        <v>1</v>
      </c>
      <c r="AA3420">
        <f>IF(ISNUMBER('IN-CLASS_Lab Part C'!$J$3420),'IN-CLASS_Lab Part C'!$J$3420,NA())</f>
        <v/>
      </c>
    </row>
    <row r="3421">
      <c r="J3421">
        <f>IF(AND(ISNUMBER('Data'!$F$3422),'Data'!$F$3422&lt;&gt;999,'Data'!$F$3422&lt;&gt;""),'Data'!$F$3422,"")</f>
        <v/>
      </c>
      <c r="Z3421" t="n">
        <v>1</v>
      </c>
      <c r="AA3421">
        <f>IF(ISNUMBER('IN-CLASS_Lab Part C'!$J$3421),'IN-CLASS_Lab Part C'!$J$3421,NA())</f>
        <v/>
      </c>
    </row>
    <row r="3422">
      <c r="J3422">
        <f>IF(AND(ISNUMBER('Data'!$F$3423),'Data'!$F$3423&lt;&gt;999,'Data'!$F$3423&lt;&gt;""),'Data'!$F$3423,"")</f>
        <v/>
      </c>
      <c r="Z3422" t="n">
        <v>1</v>
      </c>
      <c r="AA3422">
        <f>IF(ISNUMBER('IN-CLASS_Lab Part C'!$J$3422),'IN-CLASS_Lab Part C'!$J$3422,NA())</f>
        <v/>
      </c>
    </row>
    <row r="3423">
      <c r="J3423">
        <f>IF(AND(ISNUMBER('Data'!$F$3424),'Data'!$F$3424&lt;&gt;999,'Data'!$F$3424&lt;&gt;""),'Data'!$F$3424,"")</f>
        <v/>
      </c>
      <c r="Z3423" t="n">
        <v>1</v>
      </c>
      <c r="AA3423">
        <f>IF(ISNUMBER('IN-CLASS_Lab Part C'!$J$3423),'IN-CLASS_Lab Part C'!$J$3423,NA())</f>
        <v/>
      </c>
    </row>
    <row r="3424">
      <c r="J3424">
        <f>IF(AND(ISNUMBER('Data'!$F$3425),'Data'!$F$3425&lt;&gt;999,'Data'!$F$3425&lt;&gt;""),'Data'!$F$3425,"")</f>
        <v/>
      </c>
      <c r="Z3424" t="n">
        <v>1</v>
      </c>
      <c r="AA3424">
        <f>IF(ISNUMBER('IN-CLASS_Lab Part C'!$J$3424),'IN-CLASS_Lab Part C'!$J$3424,NA())</f>
        <v/>
      </c>
    </row>
    <row r="3425">
      <c r="J3425">
        <f>IF(AND(ISNUMBER('Data'!$F$3426),'Data'!$F$3426&lt;&gt;999,'Data'!$F$3426&lt;&gt;""),'Data'!$F$3426,"")</f>
        <v/>
      </c>
      <c r="Z3425" t="n">
        <v>1</v>
      </c>
      <c r="AA3425">
        <f>IF(ISNUMBER('IN-CLASS_Lab Part C'!$J$3425),'IN-CLASS_Lab Part C'!$J$3425,NA())</f>
        <v/>
      </c>
    </row>
    <row r="3426">
      <c r="J3426">
        <f>IF(AND(ISNUMBER('Data'!$F$3427),'Data'!$F$3427&lt;&gt;999,'Data'!$F$3427&lt;&gt;""),'Data'!$F$3427,"")</f>
        <v/>
      </c>
      <c r="Z3426" t="n">
        <v>1</v>
      </c>
      <c r="AA3426">
        <f>IF(ISNUMBER('IN-CLASS_Lab Part C'!$J$3426),'IN-CLASS_Lab Part C'!$J$3426,NA())</f>
        <v/>
      </c>
    </row>
    <row r="3427">
      <c r="J3427">
        <f>IF(AND(ISNUMBER('Data'!$F$3428),'Data'!$F$3428&lt;&gt;999,'Data'!$F$3428&lt;&gt;""),'Data'!$F$3428,"")</f>
        <v/>
      </c>
      <c r="Z3427" t="n">
        <v>1</v>
      </c>
      <c r="AA3427">
        <f>IF(ISNUMBER('IN-CLASS_Lab Part C'!$J$3427),'IN-CLASS_Lab Part C'!$J$3427,NA())</f>
        <v/>
      </c>
    </row>
    <row r="3428">
      <c r="J3428">
        <f>IF(AND(ISNUMBER('Data'!$F$3429),'Data'!$F$3429&lt;&gt;999,'Data'!$F$3429&lt;&gt;""),'Data'!$F$3429,"")</f>
        <v/>
      </c>
      <c r="Z3428" t="n">
        <v>1</v>
      </c>
      <c r="AA3428">
        <f>IF(ISNUMBER('IN-CLASS_Lab Part C'!$J$3428),'IN-CLASS_Lab Part C'!$J$3428,NA())</f>
        <v/>
      </c>
    </row>
    <row r="3429">
      <c r="J3429">
        <f>IF(AND(ISNUMBER('Data'!$F$3430),'Data'!$F$3430&lt;&gt;999,'Data'!$F$3430&lt;&gt;""),'Data'!$F$3430,"")</f>
        <v/>
      </c>
      <c r="Z3429" t="n">
        <v>1</v>
      </c>
      <c r="AA3429">
        <f>IF(ISNUMBER('IN-CLASS_Lab Part C'!$J$3429),'IN-CLASS_Lab Part C'!$J$3429,NA())</f>
        <v/>
      </c>
    </row>
    <row r="3430">
      <c r="J3430">
        <f>IF(AND(ISNUMBER('Data'!$F$3431),'Data'!$F$3431&lt;&gt;999,'Data'!$F$3431&lt;&gt;""),'Data'!$F$3431,"")</f>
        <v/>
      </c>
      <c r="Z3430" t="n">
        <v>1</v>
      </c>
      <c r="AA3430">
        <f>IF(ISNUMBER('IN-CLASS_Lab Part C'!$J$3430),'IN-CLASS_Lab Part C'!$J$3430,NA())</f>
        <v/>
      </c>
    </row>
    <row r="3431">
      <c r="J3431">
        <f>IF(AND(ISNUMBER('Data'!$F$3432),'Data'!$F$3432&lt;&gt;999,'Data'!$F$3432&lt;&gt;""),'Data'!$F$3432,"")</f>
        <v/>
      </c>
      <c r="Z3431" t="n">
        <v>1</v>
      </c>
      <c r="AA3431">
        <f>IF(ISNUMBER('IN-CLASS_Lab Part C'!$J$3431),'IN-CLASS_Lab Part C'!$J$3431,NA())</f>
        <v/>
      </c>
    </row>
    <row r="3432">
      <c r="J3432">
        <f>IF(AND(ISNUMBER('Data'!$F$3433),'Data'!$F$3433&lt;&gt;999,'Data'!$F$3433&lt;&gt;""),'Data'!$F$3433,"")</f>
        <v/>
      </c>
      <c r="Z3432" t="n">
        <v>1</v>
      </c>
      <c r="AA3432">
        <f>IF(ISNUMBER('IN-CLASS_Lab Part C'!$J$3432),'IN-CLASS_Lab Part C'!$J$3432,NA())</f>
        <v/>
      </c>
    </row>
    <row r="3433">
      <c r="J3433">
        <f>IF(AND(ISNUMBER('Data'!$F$3434),'Data'!$F$3434&lt;&gt;999,'Data'!$F$3434&lt;&gt;""),'Data'!$F$3434,"")</f>
        <v/>
      </c>
      <c r="Z3433" t="n">
        <v>1</v>
      </c>
      <c r="AA3433">
        <f>IF(ISNUMBER('IN-CLASS_Lab Part C'!$J$3433),'IN-CLASS_Lab Part C'!$J$3433,NA())</f>
        <v/>
      </c>
    </row>
    <row r="3434">
      <c r="J3434">
        <f>IF(AND(ISNUMBER('Data'!$F$3435),'Data'!$F$3435&lt;&gt;999,'Data'!$F$3435&lt;&gt;""),'Data'!$F$3435,"")</f>
        <v/>
      </c>
      <c r="Z3434" t="n">
        <v>1</v>
      </c>
      <c r="AA3434">
        <f>IF(ISNUMBER('IN-CLASS_Lab Part C'!$J$3434),'IN-CLASS_Lab Part C'!$J$3434,NA())</f>
        <v/>
      </c>
    </row>
    <row r="3435">
      <c r="J3435">
        <f>IF(AND(ISNUMBER('Data'!$F$3436),'Data'!$F$3436&lt;&gt;999,'Data'!$F$3436&lt;&gt;""),'Data'!$F$3436,"")</f>
        <v/>
      </c>
      <c r="Z3435" t="n">
        <v>1</v>
      </c>
      <c r="AA3435">
        <f>IF(ISNUMBER('IN-CLASS_Lab Part C'!$J$3435),'IN-CLASS_Lab Part C'!$J$3435,NA())</f>
        <v/>
      </c>
    </row>
    <row r="3436">
      <c r="J3436">
        <f>IF(AND(ISNUMBER('Data'!$F$3437),'Data'!$F$3437&lt;&gt;999,'Data'!$F$3437&lt;&gt;""),'Data'!$F$3437,"")</f>
        <v/>
      </c>
      <c r="Z3436" t="n">
        <v>1</v>
      </c>
      <c r="AA3436">
        <f>IF(ISNUMBER('IN-CLASS_Lab Part C'!$J$3436),'IN-CLASS_Lab Part C'!$J$3436,NA())</f>
        <v/>
      </c>
    </row>
    <row r="3437">
      <c r="J3437">
        <f>IF(AND(ISNUMBER('Data'!$F$3438),'Data'!$F$3438&lt;&gt;999,'Data'!$F$3438&lt;&gt;""),'Data'!$F$3438,"")</f>
        <v/>
      </c>
      <c r="Z3437" t="n">
        <v>1</v>
      </c>
      <c r="AA3437">
        <f>IF(ISNUMBER('IN-CLASS_Lab Part C'!$J$3437),'IN-CLASS_Lab Part C'!$J$3437,NA())</f>
        <v/>
      </c>
    </row>
    <row r="3438">
      <c r="J3438">
        <f>IF(AND(ISNUMBER('Data'!$F$3439),'Data'!$F$3439&lt;&gt;999,'Data'!$F$3439&lt;&gt;""),'Data'!$F$3439,"")</f>
        <v/>
      </c>
      <c r="Z3438" t="n">
        <v>1</v>
      </c>
      <c r="AA3438">
        <f>IF(ISNUMBER('IN-CLASS_Lab Part C'!$J$3438),'IN-CLASS_Lab Part C'!$J$3438,NA())</f>
        <v/>
      </c>
    </row>
    <row r="3439">
      <c r="J3439">
        <f>IF(AND(ISNUMBER('Data'!$F$3440),'Data'!$F$3440&lt;&gt;999,'Data'!$F$3440&lt;&gt;""),'Data'!$F$3440,"")</f>
        <v/>
      </c>
      <c r="Z3439" t="n">
        <v>1</v>
      </c>
      <c r="AA3439">
        <f>IF(ISNUMBER('IN-CLASS_Lab Part C'!$J$3439),'IN-CLASS_Lab Part C'!$J$3439,NA())</f>
        <v/>
      </c>
    </row>
    <row r="3440">
      <c r="J3440">
        <f>IF(AND(ISNUMBER('Data'!$F$3441),'Data'!$F$3441&lt;&gt;999,'Data'!$F$3441&lt;&gt;""),'Data'!$F$3441,"")</f>
        <v/>
      </c>
      <c r="Z3440" t="n">
        <v>1</v>
      </c>
      <c r="AA3440">
        <f>IF(ISNUMBER('IN-CLASS_Lab Part C'!$J$3440),'IN-CLASS_Lab Part C'!$J$3440,NA())</f>
        <v/>
      </c>
    </row>
    <row r="3441">
      <c r="J3441">
        <f>IF(AND(ISNUMBER('Data'!$F$3442),'Data'!$F$3442&lt;&gt;999,'Data'!$F$3442&lt;&gt;""),'Data'!$F$3442,"")</f>
        <v/>
      </c>
      <c r="Z3441" t="n">
        <v>1</v>
      </c>
      <c r="AA3441">
        <f>IF(ISNUMBER('IN-CLASS_Lab Part C'!$J$3441),'IN-CLASS_Lab Part C'!$J$3441,NA())</f>
        <v/>
      </c>
    </row>
    <row r="3442">
      <c r="J3442">
        <f>IF(AND(ISNUMBER('Data'!$F$3443),'Data'!$F$3443&lt;&gt;999,'Data'!$F$3443&lt;&gt;""),'Data'!$F$3443,"")</f>
        <v/>
      </c>
      <c r="Z3442" t="n">
        <v>1</v>
      </c>
      <c r="AA3442">
        <f>IF(ISNUMBER('IN-CLASS_Lab Part C'!$J$3442),'IN-CLASS_Lab Part C'!$J$3442,NA())</f>
        <v/>
      </c>
    </row>
    <row r="3443">
      <c r="J3443">
        <f>IF(AND(ISNUMBER('Data'!$F$3444),'Data'!$F$3444&lt;&gt;999,'Data'!$F$3444&lt;&gt;""),'Data'!$F$3444,"")</f>
        <v/>
      </c>
      <c r="Z3443" t="n">
        <v>1</v>
      </c>
      <c r="AA3443">
        <f>IF(ISNUMBER('IN-CLASS_Lab Part C'!$J$3443),'IN-CLASS_Lab Part C'!$J$3443,NA())</f>
        <v/>
      </c>
    </row>
    <row r="3444">
      <c r="J3444">
        <f>IF(AND(ISNUMBER('Data'!$F$3445),'Data'!$F$3445&lt;&gt;999,'Data'!$F$3445&lt;&gt;""),'Data'!$F$3445,"")</f>
        <v/>
      </c>
      <c r="Z3444" t="n">
        <v>1</v>
      </c>
      <c r="AA3444">
        <f>IF(ISNUMBER('IN-CLASS_Lab Part C'!$J$3444),'IN-CLASS_Lab Part C'!$J$3444,NA())</f>
        <v/>
      </c>
    </row>
    <row r="3445">
      <c r="J3445">
        <f>IF(AND(ISNUMBER('Data'!$F$3446),'Data'!$F$3446&lt;&gt;999,'Data'!$F$3446&lt;&gt;""),'Data'!$F$3446,"")</f>
        <v/>
      </c>
      <c r="Z3445" t="n">
        <v>1</v>
      </c>
      <c r="AA3445">
        <f>IF(ISNUMBER('IN-CLASS_Lab Part C'!$J$3445),'IN-CLASS_Lab Part C'!$J$3445,NA())</f>
        <v/>
      </c>
    </row>
    <row r="3446">
      <c r="J3446">
        <f>IF(AND(ISNUMBER('Data'!$F$3447),'Data'!$F$3447&lt;&gt;999,'Data'!$F$3447&lt;&gt;""),'Data'!$F$3447,"")</f>
        <v/>
      </c>
      <c r="Z3446" t="n">
        <v>1</v>
      </c>
      <c r="AA3446">
        <f>IF(ISNUMBER('IN-CLASS_Lab Part C'!$J$3446),'IN-CLASS_Lab Part C'!$J$3446,NA())</f>
        <v/>
      </c>
    </row>
    <row r="3447">
      <c r="J3447">
        <f>IF(AND(ISNUMBER('Data'!$F$3448),'Data'!$F$3448&lt;&gt;999,'Data'!$F$3448&lt;&gt;""),'Data'!$F$3448,"")</f>
        <v/>
      </c>
      <c r="Z3447" t="n">
        <v>1</v>
      </c>
      <c r="AA3447">
        <f>IF(ISNUMBER('IN-CLASS_Lab Part C'!$J$3447),'IN-CLASS_Lab Part C'!$J$3447,NA())</f>
        <v/>
      </c>
    </row>
    <row r="3448">
      <c r="J3448">
        <f>IF(AND(ISNUMBER('Data'!$F$3449),'Data'!$F$3449&lt;&gt;999,'Data'!$F$3449&lt;&gt;""),'Data'!$F$3449,"")</f>
        <v/>
      </c>
      <c r="Z3448" t="n">
        <v>1</v>
      </c>
      <c r="AA3448">
        <f>IF(ISNUMBER('IN-CLASS_Lab Part C'!$J$3448),'IN-CLASS_Lab Part C'!$J$3448,NA())</f>
        <v/>
      </c>
    </row>
    <row r="3449">
      <c r="J3449">
        <f>IF(AND(ISNUMBER('Data'!$F$3450),'Data'!$F$3450&lt;&gt;999,'Data'!$F$3450&lt;&gt;""),'Data'!$F$3450,"")</f>
        <v/>
      </c>
      <c r="Z3449" t="n">
        <v>1</v>
      </c>
      <c r="AA3449">
        <f>IF(ISNUMBER('IN-CLASS_Lab Part C'!$J$3449),'IN-CLASS_Lab Part C'!$J$3449,NA())</f>
        <v/>
      </c>
    </row>
    <row r="3450">
      <c r="J3450">
        <f>IF(AND(ISNUMBER('Data'!$F$3451),'Data'!$F$3451&lt;&gt;999,'Data'!$F$3451&lt;&gt;""),'Data'!$F$3451,"")</f>
        <v/>
      </c>
      <c r="Z3450" t="n">
        <v>1</v>
      </c>
      <c r="AA3450">
        <f>IF(ISNUMBER('IN-CLASS_Lab Part C'!$J$3450),'IN-CLASS_Lab Part C'!$J$3450,NA())</f>
        <v/>
      </c>
    </row>
    <row r="3451">
      <c r="J3451">
        <f>IF(AND(ISNUMBER('Data'!$F$3452),'Data'!$F$3452&lt;&gt;999,'Data'!$F$3452&lt;&gt;""),'Data'!$F$3452,"")</f>
        <v/>
      </c>
      <c r="Z3451" t="n">
        <v>1</v>
      </c>
      <c r="AA3451">
        <f>IF(ISNUMBER('IN-CLASS_Lab Part C'!$J$3451),'IN-CLASS_Lab Part C'!$J$3451,NA())</f>
        <v/>
      </c>
    </row>
    <row r="3452">
      <c r="J3452">
        <f>IF(AND(ISNUMBER('Data'!$F$3453),'Data'!$F$3453&lt;&gt;999,'Data'!$F$3453&lt;&gt;""),'Data'!$F$3453,"")</f>
        <v/>
      </c>
      <c r="Z3452" t="n">
        <v>1</v>
      </c>
      <c r="AA3452">
        <f>IF(ISNUMBER('IN-CLASS_Lab Part C'!$J$3452),'IN-CLASS_Lab Part C'!$J$3452,NA())</f>
        <v/>
      </c>
    </row>
    <row r="3453">
      <c r="J3453">
        <f>IF(AND(ISNUMBER('Data'!$F$3454),'Data'!$F$3454&lt;&gt;999,'Data'!$F$3454&lt;&gt;""),'Data'!$F$3454,"")</f>
        <v/>
      </c>
      <c r="Z3453" t="n">
        <v>1</v>
      </c>
      <c r="AA3453">
        <f>IF(ISNUMBER('IN-CLASS_Lab Part C'!$J$3453),'IN-CLASS_Lab Part C'!$J$3453,NA())</f>
        <v/>
      </c>
    </row>
    <row r="3454">
      <c r="J3454">
        <f>IF(AND(ISNUMBER('Data'!$F$3455),'Data'!$F$3455&lt;&gt;999,'Data'!$F$3455&lt;&gt;""),'Data'!$F$3455,"")</f>
        <v/>
      </c>
      <c r="Z3454" t="n">
        <v>1</v>
      </c>
      <c r="AA3454">
        <f>IF(ISNUMBER('IN-CLASS_Lab Part C'!$J$3454),'IN-CLASS_Lab Part C'!$J$3454,NA())</f>
        <v/>
      </c>
    </row>
    <row r="3455">
      <c r="J3455">
        <f>IF(AND(ISNUMBER('Data'!$F$3456),'Data'!$F$3456&lt;&gt;999,'Data'!$F$3456&lt;&gt;""),'Data'!$F$3456,"")</f>
        <v/>
      </c>
      <c r="Z3455" t="n">
        <v>1</v>
      </c>
      <c r="AA3455">
        <f>IF(ISNUMBER('IN-CLASS_Lab Part C'!$J$3455),'IN-CLASS_Lab Part C'!$J$3455,NA())</f>
        <v/>
      </c>
    </row>
    <row r="3456">
      <c r="J3456">
        <f>IF(AND(ISNUMBER('Data'!$F$3457),'Data'!$F$3457&lt;&gt;999,'Data'!$F$3457&lt;&gt;""),'Data'!$F$3457,"")</f>
        <v/>
      </c>
      <c r="Z3456" t="n">
        <v>1</v>
      </c>
      <c r="AA3456">
        <f>IF(ISNUMBER('IN-CLASS_Lab Part C'!$J$3456),'IN-CLASS_Lab Part C'!$J$3456,NA())</f>
        <v/>
      </c>
    </row>
    <row r="3457">
      <c r="J3457">
        <f>IF(AND(ISNUMBER('Data'!$F$3458),'Data'!$F$3458&lt;&gt;999,'Data'!$F$3458&lt;&gt;""),'Data'!$F$3458,"")</f>
        <v/>
      </c>
      <c r="Z3457" t="n">
        <v>1</v>
      </c>
      <c r="AA3457">
        <f>IF(ISNUMBER('IN-CLASS_Lab Part C'!$J$3457),'IN-CLASS_Lab Part C'!$J$3457,NA())</f>
        <v/>
      </c>
    </row>
    <row r="3458">
      <c r="J3458">
        <f>IF(AND(ISNUMBER('Data'!$F$3459),'Data'!$F$3459&lt;&gt;999,'Data'!$F$3459&lt;&gt;""),'Data'!$F$3459,"")</f>
        <v/>
      </c>
      <c r="Z3458" t="n">
        <v>1</v>
      </c>
      <c r="AA3458">
        <f>IF(ISNUMBER('IN-CLASS_Lab Part C'!$J$3458),'IN-CLASS_Lab Part C'!$J$3458,NA())</f>
        <v/>
      </c>
    </row>
    <row r="3459">
      <c r="J3459">
        <f>IF(AND(ISNUMBER('Data'!$F$3460),'Data'!$F$3460&lt;&gt;999,'Data'!$F$3460&lt;&gt;""),'Data'!$F$3460,"")</f>
        <v/>
      </c>
      <c r="Z3459" t="n">
        <v>1</v>
      </c>
      <c r="AA3459">
        <f>IF(ISNUMBER('IN-CLASS_Lab Part C'!$J$3459),'IN-CLASS_Lab Part C'!$J$3459,NA())</f>
        <v/>
      </c>
    </row>
    <row r="3460">
      <c r="J3460">
        <f>IF(AND(ISNUMBER('Data'!$F$3461),'Data'!$F$3461&lt;&gt;999,'Data'!$F$3461&lt;&gt;""),'Data'!$F$3461,"")</f>
        <v/>
      </c>
      <c r="Z3460" t="n">
        <v>1</v>
      </c>
      <c r="AA3460">
        <f>IF(ISNUMBER('IN-CLASS_Lab Part C'!$J$3460),'IN-CLASS_Lab Part C'!$J$3460,NA())</f>
        <v/>
      </c>
    </row>
    <row r="3461">
      <c r="J3461">
        <f>IF(AND(ISNUMBER('Data'!$F$3462),'Data'!$F$3462&lt;&gt;999,'Data'!$F$3462&lt;&gt;""),'Data'!$F$3462,"")</f>
        <v/>
      </c>
      <c r="Z3461" t="n">
        <v>1</v>
      </c>
      <c r="AA3461">
        <f>IF(ISNUMBER('IN-CLASS_Lab Part C'!$J$3461),'IN-CLASS_Lab Part C'!$J$3461,NA())</f>
        <v/>
      </c>
    </row>
    <row r="3462">
      <c r="J3462">
        <f>IF(AND(ISNUMBER('Data'!$F$3463),'Data'!$F$3463&lt;&gt;999,'Data'!$F$3463&lt;&gt;""),'Data'!$F$3463,"")</f>
        <v/>
      </c>
      <c r="Z3462" t="n">
        <v>1</v>
      </c>
      <c r="AA3462">
        <f>IF(ISNUMBER('IN-CLASS_Lab Part C'!$J$3462),'IN-CLASS_Lab Part C'!$J$3462,NA())</f>
        <v/>
      </c>
    </row>
    <row r="3463">
      <c r="J3463">
        <f>IF(AND(ISNUMBER('Data'!$F$3464),'Data'!$F$3464&lt;&gt;999,'Data'!$F$3464&lt;&gt;""),'Data'!$F$3464,"")</f>
        <v/>
      </c>
      <c r="Z3463" t="n">
        <v>1</v>
      </c>
      <c r="AA3463">
        <f>IF(ISNUMBER('IN-CLASS_Lab Part C'!$J$3463),'IN-CLASS_Lab Part C'!$J$3463,NA())</f>
        <v/>
      </c>
    </row>
    <row r="3464">
      <c r="J3464">
        <f>IF(AND(ISNUMBER('Data'!$F$3465),'Data'!$F$3465&lt;&gt;999,'Data'!$F$3465&lt;&gt;""),'Data'!$F$3465,"")</f>
        <v/>
      </c>
      <c r="Z3464" t="n">
        <v>1</v>
      </c>
      <c r="AA3464">
        <f>IF(ISNUMBER('IN-CLASS_Lab Part C'!$J$3464),'IN-CLASS_Lab Part C'!$J$3464,NA())</f>
        <v/>
      </c>
    </row>
    <row r="3465">
      <c r="J3465">
        <f>IF(AND(ISNUMBER('Data'!$F$3466),'Data'!$F$3466&lt;&gt;999,'Data'!$F$3466&lt;&gt;""),'Data'!$F$3466,"")</f>
        <v/>
      </c>
      <c r="Z3465" t="n">
        <v>1</v>
      </c>
      <c r="AA3465">
        <f>IF(ISNUMBER('IN-CLASS_Lab Part C'!$J$3465),'IN-CLASS_Lab Part C'!$J$3465,NA())</f>
        <v/>
      </c>
    </row>
    <row r="3466">
      <c r="J3466">
        <f>IF(AND(ISNUMBER('Data'!$F$3467),'Data'!$F$3467&lt;&gt;999,'Data'!$F$3467&lt;&gt;""),'Data'!$F$3467,"")</f>
        <v/>
      </c>
      <c r="Z3466" t="n">
        <v>1</v>
      </c>
      <c r="AA3466">
        <f>IF(ISNUMBER('IN-CLASS_Lab Part C'!$J$3466),'IN-CLASS_Lab Part C'!$J$3466,NA())</f>
        <v/>
      </c>
    </row>
    <row r="3467">
      <c r="J3467">
        <f>IF(AND(ISNUMBER('Data'!$F$3468),'Data'!$F$3468&lt;&gt;999,'Data'!$F$3468&lt;&gt;""),'Data'!$F$3468,"")</f>
        <v/>
      </c>
      <c r="Z3467" t="n">
        <v>1</v>
      </c>
      <c r="AA3467">
        <f>IF(ISNUMBER('IN-CLASS_Lab Part C'!$J$3467),'IN-CLASS_Lab Part C'!$J$3467,NA())</f>
        <v/>
      </c>
    </row>
    <row r="3468">
      <c r="J3468">
        <f>IF(AND(ISNUMBER('Data'!$F$3469),'Data'!$F$3469&lt;&gt;999,'Data'!$F$3469&lt;&gt;""),'Data'!$F$3469,"")</f>
        <v/>
      </c>
      <c r="Z3468" t="n">
        <v>1</v>
      </c>
      <c r="AA3468">
        <f>IF(ISNUMBER('IN-CLASS_Lab Part C'!$J$3468),'IN-CLASS_Lab Part C'!$J$3468,NA())</f>
        <v/>
      </c>
    </row>
    <row r="3469">
      <c r="J3469">
        <f>IF(AND(ISNUMBER('Data'!$F$3470),'Data'!$F$3470&lt;&gt;999,'Data'!$F$3470&lt;&gt;""),'Data'!$F$3470,"")</f>
        <v/>
      </c>
      <c r="Z3469" t="n">
        <v>1</v>
      </c>
      <c r="AA3469">
        <f>IF(ISNUMBER('IN-CLASS_Lab Part C'!$J$3469),'IN-CLASS_Lab Part C'!$J$3469,NA())</f>
        <v/>
      </c>
    </row>
    <row r="3470">
      <c r="J3470">
        <f>IF(AND(ISNUMBER('Data'!$F$3471),'Data'!$F$3471&lt;&gt;999,'Data'!$F$3471&lt;&gt;""),'Data'!$F$3471,"")</f>
        <v/>
      </c>
      <c r="Z3470" t="n">
        <v>1</v>
      </c>
      <c r="AA3470">
        <f>IF(ISNUMBER('IN-CLASS_Lab Part C'!$J$3470),'IN-CLASS_Lab Part C'!$J$3470,NA())</f>
        <v/>
      </c>
    </row>
    <row r="3471">
      <c r="J3471">
        <f>IF(AND(ISNUMBER('Data'!$F$3472),'Data'!$F$3472&lt;&gt;999,'Data'!$F$3472&lt;&gt;""),'Data'!$F$3472,"")</f>
        <v/>
      </c>
      <c r="Z3471" t="n">
        <v>1</v>
      </c>
      <c r="AA3471">
        <f>IF(ISNUMBER('IN-CLASS_Lab Part C'!$J$3471),'IN-CLASS_Lab Part C'!$J$3471,NA())</f>
        <v/>
      </c>
    </row>
    <row r="3472">
      <c r="J3472">
        <f>IF(AND(ISNUMBER('Data'!$F$3473),'Data'!$F$3473&lt;&gt;999,'Data'!$F$3473&lt;&gt;""),'Data'!$F$3473,"")</f>
        <v/>
      </c>
      <c r="Z3472" t="n">
        <v>1</v>
      </c>
      <c r="AA3472">
        <f>IF(ISNUMBER('IN-CLASS_Lab Part C'!$J$3472),'IN-CLASS_Lab Part C'!$J$3472,NA())</f>
        <v/>
      </c>
    </row>
    <row r="3473">
      <c r="J3473">
        <f>IF(AND(ISNUMBER('Data'!$F$3474),'Data'!$F$3474&lt;&gt;999,'Data'!$F$3474&lt;&gt;""),'Data'!$F$3474,"")</f>
        <v/>
      </c>
      <c r="Z3473" t="n">
        <v>1</v>
      </c>
      <c r="AA3473">
        <f>IF(ISNUMBER('IN-CLASS_Lab Part C'!$J$3473),'IN-CLASS_Lab Part C'!$J$3473,NA())</f>
        <v/>
      </c>
    </row>
    <row r="3474">
      <c r="J3474">
        <f>IF(AND(ISNUMBER('Data'!$F$3475),'Data'!$F$3475&lt;&gt;999,'Data'!$F$3475&lt;&gt;""),'Data'!$F$3475,"")</f>
        <v/>
      </c>
      <c r="Z3474" t="n">
        <v>1</v>
      </c>
      <c r="AA3474">
        <f>IF(ISNUMBER('IN-CLASS_Lab Part C'!$J$3474),'IN-CLASS_Lab Part C'!$J$3474,NA())</f>
        <v/>
      </c>
    </row>
    <row r="3475">
      <c r="J3475">
        <f>IF(AND(ISNUMBER('Data'!$F$3476),'Data'!$F$3476&lt;&gt;999,'Data'!$F$3476&lt;&gt;""),'Data'!$F$3476,"")</f>
        <v/>
      </c>
      <c r="Z3475" t="n">
        <v>1</v>
      </c>
      <c r="AA3475">
        <f>IF(ISNUMBER('IN-CLASS_Lab Part C'!$J$3475),'IN-CLASS_Lab Part C'!$J$3475,NA())</f>
        <v/>
      </c>
    </row>
    <row r="3476">
      <c r="J3476">
        <f>IF(AND(ISNUMBER('Data'!$F$3477),'Data'!$F$3477&lt;&gt;999,'Data'!$F$3477&lt;&gt;""),'Data'!$F$3477,"")</f>
        <v/>
      </c>
      <c r="Z3476" t="n">
        <v>1</v>
      </c>
      <c r="AA3476">
        <f>IF(ISNUMBER('IN-CLASS_Lab Part C'!$J$3476),'IN-CLASS_Lab Part C'!$J$3476,NA())</f>
        <v/>
      </c>
    </row>
    <row r="3477">
      <c r="J3477">
        <f>IF(AND(ISNUMBER('Data'!$F$3478),'Data'!$F$3478&lt;&gt;999,'Data'!$F$3478&lt;&gt;""),'Data'!$F$3478,"")</f>
        <v/>
      </c>
      <c r="Z3477" t="n">
        <v>1</v>
      </c>
      <c r="AA3477">
        <f>IF(ISNUMBER('IN-CLASS_Lab Part C'!$J$3477),'IN-CLASS_Lab Part C'!$J$3477,NA())</f>
        <v/>
      </c>
    </row>
    <row r="3478">
      <c r="J3478">
        <f>IF(AND(ISNUMBER('Data'!$F$3479),'Data'!$F$3479&lt;&gt;999,'Data'!$F$3479&lt;&gt;""),'Data'!$F$3479,"")</f>
        <v/>
      </c>
      <c r="Z3478" t="n">
        <v>1</v>
      </c>
      <c r="AA3478">
        <f>IF(ISNUMBER('IN-CLASS_Lab Part C'!$J$3478),'IN-CLASS_Lab Part C'!$J$3478,NA())</f>
        <v/>
      </c>
    </row>
    <row r="3479">
      <c r="J3479">
        <f>IF(AND(ISNUMBER('Data'!$F$3480),'Data'!$F$3480&lt;&gt;999,'Data'!$F$3480&lt;&gt;""),'Data'!$F$3480,"")</f>
        <v/>
      </c>
      <c r="Z3479" t="n">
        <v>1</v>
      </c>
      <c r="AA3479">
        <f>IF(ISNUMBER('IN-CLASS_Lab Part C'!$J$3479),'IN-CLASS_Lab Part C'!$J$3479,NA())</f>
        <v/>
      </c>
    </row>
    <row r="3480">
      <c r="J3480">
        <f>IF(AND(ISNUMBER('Data'!$F$3481),'Data'!$F$3481&lt;&gt;999,'Data'!$F$3481&lt;&gt;""),'Data'!$F$3481,"")</f>
        <v/>
      </c>
      <c r="Z3480" t="n">
        <v>1</v>
      </c>
      <c r="AA3480">
        <f>IF(ISNUMBER('IN-CLASS_Lab Part C'!$J$3480),'IN-CLASS_Lab Part C'!$J$3480,NA())</f>
        <v/>
      </c>
    </row>
    <row r="3481">
      <c r="J3481">
        <f>IF(AND(ISNUMBER('Data'!$F$3482),'Data'!$F$3482&lt;&gt;999,'Data'!$F$3482&lt;&gt;""),'Data'!$F$3482,"")</f>
        <v/>
      </c>
      <c r="Z3481" t="n">
        <v>1</v>
      </c>
      <c r="AA3481">
        <f>IF(ISNUMBER('IN-CLASS_Lab Part C'!$J$3481),'IN-CLASS_Lab Part C'!$J$3481,NA())</f>
        <v/>
      </c>
    </row>
    <row r="3482">
      <c r="J3482">
        <f>IF(AND(ISNUMBER('Data'!$F$3483),'Data'!$F$3483&lt;&gt;999,'Data'!$F$3483&lt;&gt;""),'Data'!$F$3483,"")</f>
        <v/>
      </c>
      <c r="Z3482" t="n">
        <v>1</v>
      </c>
      <c r="AA3482">
        <f>IF(ISNUMBER('IN-CLASS_Lab Part C'!$J$3482),'IN-CLASS_Lab Part C'!$J$3482,NA())</f>
        <v/>
      </c>
    </row>
    <row r="3483">
      <c r="J3483">
        <f>IF(AND(ISNUMBER('Data'!$F$3484),'Data'!$F$3484&lt;&gt;999,'Data'!$F$3484&lt;&gt;""),'Data'!$F$3484,"")</f>
        <v/>
      </c>
      <c r="Z3483" t="n">
        <v>1</v>
      </c>
      <c r="AA3483">
        <f>IF(ISNUMBER('IN-CLASS_Lab Part C'!$J$3483),'IN-CLASS_Lab Part C'!$J$3483,NA())</f>
        <v/>
      </c>
    </row>
    <row r="3484">
      <c r="J3484">
        <f>IF(AND(ISNUMBER('Data'!$F$3485),'Data'!$F$3485&lt;&gt;999,'Data'!$F$3485&lt;&gt;""),'Data'!$F$3485,"")</f>
        <v/>
      </c>
      <c r="Z3484" t="n">
        <v>1</v>
      </c>
      <c r="AA3484">
        <f>IF(ISNUMBER('IN-CLASS_Lab Part C'!$J$3484),'IN-CLASS_Lab Part C'!$J$3484,NA())</f>
        <v/>
      </c>
    </row>
    <row r="3485">
      <c r="J3485">
        <f>IF(AND(ISNUMBER('Data'!$F$3486),'Data'!$F$3486&lt;&gt;999,'Data'!$F$3486&lt;&gt;""),'Data'!$F$3486,"")</f>
        <v/>
      </c>
      <c r="Z3485" t="n">
        <v>1</v>
      </c>
      <c r="AA3485">
        <f>IF(ISNUMBER('IN-CLASS_Lab Part C'!$J$3485),'IN-CLASS_Lab Part C'!$J$3485,NA())</f>
        <v/>
      </c>
    </row>
    <row r="3486">
      <c r="J3486">
        <f>IF(AND(ISNUMBER('Data'!$F$3487),'Data'!$F$3487&lt;&gt;999,'Data'!$F$3487&lt;&gt;""),'Data'!$F$3487,"")</f>
        <v/>
      </c>
      <c r="Z3486" t="n">
        <v>1</v>
      </c>
      <c r="AA3486">
        <f>IF(ISNUMBER('IN-CLASS_Lab Part C'!$J$3486),'IN-CLASS_Lab Part C'!$J$3486,NA())</f>
        <v/>
      </c>
    </row>
    <row r="3487">
      <c r="J3487">
        <f>IF(AND(ISNUMBER('Data'!$F$3488),'Data'!$F$3488&lt;&gt;999,'Data'!$F$3488&lt;&gt;""),'Data'!$F$3488,"")</f>
        <v/>
      </c>
      <c r="Z3487" t="n">
        <v>1</v>
      </c>
      <c r="AA3487">
        <f>IF(ISNUMBER('IN-CLASS_Lab Part C'!$J$3487),'IN-CLASS_Lab Part C'!$J$3487,NA())</f>
        <v/>
      </c>
    </row>
    <row r="3488">
      <c r="J3488">
        <f>IF(AND(ISNUMBER('Data'!$F$3489),'Data'!$F$3489&lt;&gt;999,'Data'!$F$3489&lt;&gt;""),'Data'!$F$3489,"")</f>
        <v/>
      </c>
      <c r="Z3488" t="n">
        <v>1</v>
      </c>
      <c r="AA3488">
        <f>IF(ISNUMBER('IN-CLASS_Lab Part C'!$J$3488),'IN-CLASS_Lab Part C'!$J$3488,NA())</f>
        <v/>
      </c>
    </row>
    <row r="3489">
      <c r="J3489">
        <f>IF(AND(ISNUMBER('Data'!$F$3490),'Data'!$F$3490&lt;&gt;999,'Data'!$F$3490&lt;&gt;""),'Data'!$F$3490,"")</f>
        <v/>
      </c>
      <c r="Z3489" t="n">
        <v>1</v>
      </c>
      <c r="AA3489">
        <f>IF(ISNUMBER('IN-CLASS_Lab Part C'!$J$3489),'IN-CLASS_Lab Part C'!$J$3489,NA())</f>
        <v/>
      </c>
    </row>
    <row r="3490">
      <c r="J3490">
        <f>IF(AND(ISNUMBER('Data'!$F$3491),'Data'!$F$3491&lt;&gt;999,'Data'!$F$3491&lt;&gt;""),'Data'!$F$3491,"")</f>
        <v/>
      </c>
      <c r="Z3490" t="n">
        <v>1</v>
      </c>
      <c r="AA3490">
        <f>IF(ISNUMBER('IN-CLASS_Lab Part C'!$J$3490),'IN-CLASS_Lab Part C'!$J$3490,NA())</f>
        <v/>
      </c>
    </row>
    <row r="3491">
      <c r="J3491">
        <f>IF(AND(ISNUMBER('Data'!$F$3492),'Data'!$F$3492&lt;&gt;999,'Data'!$F$3492&lt;&gt;""),'Data'!$F$3492,"")</f>
        <v/>
      </c>
      <c r="Z3491" t="n">
        <v>1</v>
      </c>
      <c r="AA3491">
        <f>IF(ISNUMBER('IN-CLASS_Lab Part C'!$J$3491),'IN-CLASS_Lab Part C'!$J$3491,NA())</f>
        <v/>
      </c>
    </row>
    <row r="3492">
      <c r="J3492">
        <f>IF(AND(ISNUMBER('Data'!$F$3493),'Data'!$F$3493&lt;&gt;999,'Data'!$F$3493&lt;&gt;""),'Data'!$F$3493,"")</f>
        <v/>
      </c>
      <c r="Z3492" t="n">
        <v>1</v>
      </c>
      <c r="AA3492">
        <f>IF(ISNUMBER('IN-CLASS_Lab Part C'!$J$3492),'IN-CLASS_Lab Part C'!$J$3492,NA())</f>
        <v/>
      </c>
    </row>
    <row r="3493">
      <c r="J3493">
        <f>IF(AND(ISNUMBER('Data'!$F$3494),'Data'!$F$3494&lt;&gt;999,'Data'!$F$3494&lt;&gt;""),'Data'!$F$3494,"")</f>
        <v/>
      </c>
      <c r="Z3493" t="n">
        <v>1</v>
      </c>
      <c r="AA3493">
        <f>IF(ISNUMBER('IN-CLASS_Lab Part C'!$J$3493),'IN-CLASS_Lab Part C'!$J$3493,NA())</f>
        <v/>
      </c>
    </row>
    <row r="3494">
      <c r="J3494">
        <f>IF(AND(ISNUMBER('Data'!$F$3495),'Data'!$F$3495&lt;&gt;999,'Data'!$F$3495&lt;&gt;""),'Data'!$F$3495,"")</f>
        <v/>
      </c>
      <c r="Z3494" t="n">
        <v>1</v>
      </c>
      <c r="AA3494">
        <f>IF(ISNUMBER('IN-CLASS_Lab Part C'!$J$3494),'IN-CLASS_Lab Part C'!$J$3494,NA())</f>
        <v/>
      </c>
    </row>
    <row r="3495">
      <c r="J3495">
        <f>IF(AND(ISNUMBER('Data'!$F$3496),'Data'!$F$3496&lt;&gt;999,'Data'!$F$3496&lt;&gt;""),'Data'!$F$3496,"")</f>
        <v/>
      </c>
      <c r="Z3495" t="n">
        <v>1</v>
      </c>
      <c r="AA3495">
        <f>IF(ISNUMBER('IN-CLASS_Lab Part C'!$J$3495),'IN-CLASS_Lab Part C'!$J$3495,NA())</f>
        <v/>
      </c>
    </row>
    <row r="3496">
      <c r="J3496">
        <f>IF(AND(ISNUMBER('Data'!$F$3497),'Data'!$F$3497&lt;&gt;999,'Data'!$F$3497&lt;&gt;""),'Data'!$F$3497,"")</f>
        <v/>
      </c>
      <c r="Z3496" t="n">
        <v>1</v>
      </c>
      <c r="AA3496">
        <f>IF(ISNUMBER('IN-CLASS_Lab Part C'!$J$3496),'IN-CLASS_Lab Part C'!$J$3496,NA())</f>
        <v/>
      </c>
    </row>
    <row r="3497">
      <c r="J3497">
        <f>IF(AND(ISNUMBER('Data'!$F$3498),'Data'!$F$3498&lt;&gt;999,'Data'!$F$3498&lt;&gt;""),'Data'!$F$3498,"")</f>
        <v/>
      </c>
      <c r="Z3497" t="n">
        <v>1</v>
      </c>
      <c r="AA3497">
        <f>IF(ISNUMBER('IN-CLASS_Lab Part C'!$J$3497),'IN-CLASS_Lab Part C'!$J$3497,NA())</f>
        <v/>
      </c>
    </row>
    <row r="3498">
      <c r="J3498">
        <f>IF(AND(ISNUMBER('Data'!$F$3499),'Data'!$F$3499&lt;&gt;999,'Data'!$F$3499&lt;&gt;""),'Data'!$F$3499,"")</f>
        <v/>
      </c>
      <c r="Z3498" t="n">
        <v>1</v>
      </c>
      <c r="AA3498">
        <f>IF(ISNUMBER('IN-CLASS_Lab Part C'!$J$3498),'IN-CLASS_Lab Part C'!$J$3498,NA())</f>
        <v/>
      </c>
    </row>
    <row r="3499">
      <c r="J3499">
        <f>IF(AND(ISNUMBER('Data'!$F$3500),'Data'!$F$3500&lt;&gt;999,'Data'!$F$3500&lt;&gt;""),'Data'!$F$3500,"")</f>
        <v/>
      </c>
      <c r="Z3499" t="n">
        <v>1</v>
      </c>
      <c r="AA3499">
        <f>IF(ISNUMBER('IN-CLASS_Lab Part C'!$J$3499),'IN-CLASS_Lab Part C'!$J$3499,NA())</f>
        <v/>
      </c>
    </row>
    <row r="3500">
      <c r="J3500">
        <f>IF(AND(ISNUMBER('Data'!$F$3501),'Data'!$F$3501&lt;&gt;999,'Data'!$F$3501&lt;&gt;""),'Data'!$F$3501,"")</f>
        <v/>
      </c>
      <c r="Z3500" t="n">
        <v>1</v>
      </c>
      <c r="AA3500">
        <f>IF(ISNUMBER('IN-CLASS_Lab Part C'!$J$3500),'IN-CLASS_Lab Part C'!$J$3500,NA())</f>
        <v/>
      </c>
    </row>
    <row r="3501">
      <c r="J3501">
        <f>IF(AND(ISNUMBER('Data'!$F$3502),'Data'!$F$3502&lt;&gt;999,'Data'!$F$3502&lt;&gt;""),'Data'!$F$3502,"")</f>
        <v/>
      </c>
      <c r="Z3501" t="n">
        <v>1</v>
      </c>
      <c r="AA3501">
        <f>IF(ISNUMBER('IN-CLASS_Lab Part C'!$J$3501),'IN-CLASS_Lab Part C'!$J$3501,NA())</f>
        <v/>
      </c>
    </row>
    <row r="3502">
      <c r="J3502">
        <f>IF(AND(ISNUMBER('Data'!$F$3503),'Data'!$F$3503&lt;&gt;999,'Data'!$F$3503&lt;&gt;""),'Data'!$F$3503,"")</f>
        <v/>
      </c>
      <c r="Z3502" t="n">
        <v>1</v>
      </c>
      <c r="AA3502">
        <f>IF(ISNUMBER('IN-CLASS_Lab Part C'!$J$3502),'IN-CLASS_Lab Part C'!$J$3502,NA())</f>
        <v/>
      </c>
    </row>
    <row r="3503">
      <c r="J3503">
        <f>IF(AND(ISNUMBER('Data'!$F$3504),'Data'!$F$3504&lt;&gt;999,'Data'!$F$3504&lt;&gt;""),'Data'!$F$3504,"")</f>
        <v/>
      </c>
      <c r="Z3503" t="n">
        <v>1</v>
      </c>
      <c r="AA3503">
        <f>IF(ISNUMBER('IN-CLASS_Lab Part C'!$J$3503),'IN-CLASS_Lab Part C'!$J$3503,NA())</f>
        <v/>
      </c>
    </row>
    <row r="3504">
      <c r="J3504">
        <f>IF(AND(ISNUMBER('Data'!$F$3505),'Data'!$F$3505&lt;&gt;999,'Data'!$F$3505&lt;&gt;""),'Data'!$F$3505,"")</f>
        <v/>
      </c>
      <c r="Z3504" t="n">
        <v>1</v>
      </c>
      <c r="AA3504">
        <f>IF(ISNUMBER('IN-CLASS_Lab Part C'!$J$3504),'IN-CLASS_Lab Part C'!$J$3504,NA())</f>
        <v/>
      </c>
    </row>
    <row r="3505">
      <c r="J3505">
        <f>IF(AND(ISNUMBER('Data'!$F$3506),'Data'!$F$3506&lt;&gt;999,'Data'!$F$3506&lt;&gt;""),'Data'!$F$3506,"")</f>
        <v/>
      </c>
      <c r="Z3505" t="n">
        <v>1</v>
      </c>
      <c r="AA3505">
        <f>IF(ISNUMBER('IN-CLASS_Lab Part C'!$J$3505),'IN-CLASS_Lab Part C'!$J$3505,NA())</f>
        <v/>
      </c>
    </row>
    <row r="3506">
      <c r="J3506">
        <f>IF(AND(ISNUMBER('Data'!$F$3507),'Data'!$F$3507&lt;&gt;999,'Data'!$F$3507&lt;&gt;""),'Data'!$F$3507,"")</f>
        <v/>
      </c>
      <c r="Z3506" t="n">
        <v>1</v>
      </c>
      <c r="AA3506">
        <f>IF(ISNUMBER('IN-CLASS_Lab Part C'!$J$3506),'IN-CLASS_Lab Part C'!$J$3506,NA())</f>
        <v/>
      </c>
    </row>
    <row r="3507">
      <c r="J3507">
        <f>IF(AND(ISNUMBER('Data'!$F$3508),'Data'!$F$3508&lt;&gt;999,'Data'!$F$3508&lt;&gt;""),'Data'!$F$3508,"")</f>
        <v/>
      </c>
      <c r="Z3507" t="n">
        <v>1</v>
      </c>
      <c r="AA3507">
        <f>IF(ISNUMBER('IN-CLASS_Lab Part C'!$J$3507),'IN-CLASS_Lab Part C'!$J$3507,NA())</f>
        <v/>
      </c>
    </row>
    <row r="3508">
      <c r="J3508">
        <f>IF(AND(ISNUMBER('Data'!$F$3509),'Data'!$F$3509&lt;&gt;999,'Data'!$F$3509&lt;&gt;""),'Data'!$F$3509,"")</f>
        <v/>
      </c>
      <c r="Z3508" t="n">
        <v>1</v>
      </c>
      <c r="AA3508">
        <f>IF(ISNUMBER('IN-CLASS_Lab Part C'!$J$3508),'IN-CLASS_Lab Part C'!$J$3508,NA())</f>
        <v/>
      </c>
    </row>
    <row r="3509">
      <c r="J3509">
        <f>IF(AND(ISNUMBER('Data'!$F$3510),'Data'!$F$3510&lt;&gt;999,'Data'!$F$3510&lt;&gt;""),'Data'!$F$3510,"")</f>
        <v/>
      </c>
      <c r="Z3509" t="n">
        <v>1</v>
      </c>
      <c r="AA3509">
        <f>IF(ISNUMBER('IN-CLASS_Lab Part C'!$J$3509),'IN-CLASS_Lab Part C'!$J$3509,NA())</f>
        <v/>
      </c>
    </row>
    <row r="3510">
      <c r="J3510">
        <f>IF(AND(ISNUMBER('Data'!$F$3511),'Data'!$F$3511&lt;&gt;999,'Data'!$F$3511&lt;&gt;""),'Data'!$F$3511,"")</f>
        <v/>
      </c>
      <c r="Z3510" t="n">
        <v>1</v>
      </c>
      <c r="AA3510">
        <f>IF(ISNUMBER('IN-CLASS_Lab Part C'!$J$3510),'IN-CLASS_Lab Part C'!$J$3510,NA())</f>
        <v/>
      </c>
    </row>
    <row r="3511">
      <c r="J3511">
        <f>IF(AND(ISNUMBER('Data'!$F$3512),'Data'!$F$3512&lt;&gt;999,'Data'!$F$3512&lt;&gt;""),'Data'!$F$3512,"")</f>
        <v/>
      </c>
      <c r="Z3511" t="n">
        <v>1</v>
      </c>
      <c r="AA3511">
        <f>IF(ISNUMBER('IN-CLASS_Lab Part C'!$J$3511),'IN-CLASS_Lab Part C'!$J$3511,NA())</f>
        <v/>
      </c>
    </row>
    <row r="3512">
      <c r="J3512">
        <f>IF(AND(ISNUMBER('Data'!$F$3513),'Data'!$F$3513&lt;&gt;999,'Data'!$F$3513&lt;&gt;""),'Data'!$F$3513,"")</f>
        <v/>
      </c>
      <c r="Z3512" t="n">
        <v>1</v>
      </c>
      <c r="AA3512">
        <f>IF(ISNUMBER('IN-CLASS_Lab Part C'!$J$3512),'IN-CLASS_Lab Part C'!$J$3512,NA())</f>
        <v/>
      </c>
    </row>
    <row r="3513">
      <c r="J3513">
        <f>IF(AND(ISNUMBER('Data'!$F$3514),'Data'!$F$3514&lt;&gt;999,'Data'!$F$3514&lt;&gt;""),'Data'!$F$3514,"")</f>
        <v/>
      </c>
      <c r="Z3513" t="n">
        <v>1</v>
      </c>
      <c r="AA3513">
        <f>IF(ISNUMBER('IN-CLASS_Lab Part C'!$J$3513),'IN-CLASS_Lab Part C'!$J$3513,NA())</f>
        <v/>
      </c>
    </row>
    <row r="3514">
      <c r="J3514">
        <f>IF(AND(ISNUMBER('Data'!$F$3515),'Data'!$F$3515&lt;&gt;999,'Data'!$F$3515&lt;&gt;""),'Data'!$F$3515,"")</f>
        <v/>
      </c>
      <c r="Z3514" t="n">
        <v>1</v>
      </c>
      <c r="AA3514">
        <f>IF(ISNUMBER('IN-CLASS_Lab Part C'!$J$3514),'IN-CLASS_Lab Part C'!$J$3514,NA())</f>
        <v/>
      </c>
    </row>
    <row r="3515">
      <c r="J3515">
        <f>IF(AND(ISNUMBER('Data'!$F$3516),'Data'!$F$3516&lt;&gt;999,'Data'!$F$3516&lt;&gt;""),'Data'!$F$3516,"")</f>
        <v/>
      </c>
      <c r="Z3515" t="n">
        <v>1</v>
      </c>
      <c r="AA3515">
        <f>IF(ISNUMBER('IN-CLASS_Lab Part C'!$J$3515),'IN-CLASS_Lab Part C'!$J$3515,NA())</f>
        <v/>
      </c>
    </row>
    <row r="3516">
      <c r="J3516">
        <f>IF(AND(ISNUMBER('Data'!$F$3517),'Data'!$F$3517&lt;&gt;999,'Data'!$F$3517&lt;&gt;""),'Data'!$F$3517,"")</f>
        <v/>
      </c>
      <c r="Z3516" t="n">
        <v>1</v>
      </c>
      <c r="AA3516">
        <f>IF(ISNUMBER('IN-CLASS_Lab Part C'!$J$3516),'IN-CLASS_Lab Part C'!$J$3516,NA())</f>
        <v/>
      </c>
    </row>
    <row r="3517">
      <c r="J3517">
        <f>IF(AND(ISNUMBER('Data'!$F$3518),'Data'!$F$3518&lt;&gt;999,'Data'!$F$3518&lt;&gt;""),'Data'!$F$3518,"")</f>
        <v/>
      </c>
      <c r="Z3517" t="n">
        <v>1</v>
      </c>
      <c r="AA3517">
        <f>IF(ISNUMBER('IN-CLASS_Lab Part C'!$J$3517),'IN-CLASS_Lab Part C'!$J$3517,NA())</f>
        <v/>
      </c>
    </row>
    <row r="3518">
      <c r="J3518">
        <f>IF(AND(ISNUMBER('Data'!$F$3519),'Data'!$F$3519&lt;&gt;999,'Data'!$F$3519&lt;&gt;""),'Data'!$F$3519,"")</f>
        <v/>
      </c>
      <c r="Z3518" t="n">
        <v>1</v>
      </c>
      <c r="AA3518">
        <f>IF(ISNUMBER('IN-CLASS_Lab Part C'!$J$3518),'IN-CLASS_Lab Part C'!$J$3518,NA())</f>
        <v/>
      </c>
    </row>
    <row r="3519">
      <c r="J3519">
        <f>IF(AND(ISNUMBER('Data'!$F$3520),'Data'!$F$3520&lt;&gt;999,'Data'!$F$3520&lt;&gt;""),'Data'!$F$3520,"")</f>
        <v/>
      </c>
      <c r="Z3519" t="n">
        <v>1</v>
      </c>
      <c r="AA3519">
        <f>IF(ISNUMBER('IN-CLASS_Lab Part C'!$J$3519),'IN-CLASS_Lab Part C'!$J$3519,NA())</f>
        <v/>
      </c>
    </row>
    <row r="3520">
      <c r="J3520">
        <f>IF(AND(ISNUMBER('Data'!$F$3521),'Data'!$F$3521&lt;&gt;999,'Data'!$F$3521&lt;&gt;""),'Data'!$F$3521,"")</f>
        <v/>
      </c>
      <c r="Z3520" t="n">
        <v>1</v>
      </c>
      <c r="AA3520">
        <f>IF(ISNUMBER('IN-CLASS_Lab Part C'!$J$3520),'IN-CLASS_Lab Part C'!$J$3520,NA())</f>
        <v/>
      </c>
    </row>
    <row r="3521">
      <c r="J3521">
        <f>IF(AND(ISNUMBER('Data'!$F$3522),'Data'!$F$3522&lt;&gt;999,'Data'!$F$3522&lt;&gt;""),'Data'!$F$3522,"")</f>
        <v/>
      </c>
      <c r="Z3521" t="n">
        <v>1</v>
      </c>
      <c r="AA3521">
        <f>IF(ISNUMBER('IN-CLASS_Lab Part C'!$J$3521),'IN-CLASS_Lab Part C'!$J$3521,NA())</f>
        <v/>
      </c>
    </row>
    <row r="3522">
      <c r="J3522">
        <f>IF(AND(ISNUMBER('Data'!$F$3523),'Data'!$F$3523&lt;&gt;999,'Data'!$F$3523&lt;&gt;""),'Data'!$F$3523,"")</f>
        <v/>
      </c>
      <c r="Z3522" t="n">
        <v>1</v>
      </c>
      <c r="AA3522">
        <f>IF(ISNUMBER('IN-CLASS_Lab Part C'!$J$3522),'IN-CLASS_Lab Part C'!$J$3522,NA())</f>
        <v/>
      </c>
    </row>
    <row r="3523">
      <c r="J3523">
        <f>IF(AND(ISNUMBER('Data'!$F$3524),'Data'!$F$3524&lt;&gt;999,'Data'!$F$3524&lt;&gt;""),'Data'!$F$3524,"")</f>
        <v/>
      </c>
      <c r="Z3523" t="n">
        <v>1</v>
      </c>
      <c r="AA3523">
        <f>IF(ISNUMBER('IN-CLASS_Lab Part C'!$J$3523),'IN-CLASS_Lab Part C'!$J$3523,NA())</f>
        <v/>
      </c>
    </row>
    <row r="3524">
      <c r="J3524">
        <f>IF(AND(ISNUMBER('Data'!$F$3525),'Data'!$F$3525&lt;&gt;999,'Data'!$F$3525&lt;&gt;""),'Data'!$F$3525,"")</f>
        <v/>
      </c>
      <c r="Z3524" t="n">
        <v>1</v>
      </c>
      <c r="AA3524">
        <f>IF(ISNUMBER('IN-CLASS_Lab Part C'!$J$3524),'IN-CLASS_Lab Part C'!$J$3524,NA())</f>
        <v/>
      </c>
    </row>
    <row r="3525">
      <c r="J3525">
        <f>IF(AND(ISNUMBER('Data'!$F$3526),'Data'!$F$3526&lt;&gt;999,'Data'!$F$3526&lt;&gt;""),'Data'!$F$3526,"")</f>
        <v/>
      </c>
      <c r="Z3525" t="n">
        <v>1</v>
      </c>
      <c r="AA3525">
        <f>IF(ISNUMBER('IN-CLASS_Lab Part C'!$J$3525),'IN-CLASS_Lab Part C'!$J$3525,NA())</f>
        <v/>
      </c>
    </row>
    <row r="3526">
      <c r="J3526">
        <f>IF(AND(ISNUMBER('Data'!$F$3527),'Data'!$F$3527&lt;&gt;999,'Data'!$F$3527&lt;&gt;""),'Data'!$F$3527,"")</f>
        <v/>
      </c>
      <c r="Z3526" t="n">
        <v>1</v>
      </c>
      <c r="AA3526">
        <f>IF(ISNUMBER('IN-CLASS_Lab Part C'!$J$3526),'IN-CLASS_Lab Part C'!$J$3526,NA())</f>
        <v/>
      </c>
    </row>
    <row r="3527">
      <c r="J3527">
        <f>IF(AND(ISNUMBER('Data'!$F$3528),'Data'!$F$3528&lt;&gt;999,'Data'!$F$3528&lt;&gt;""),'Data'!$F$3528,"")</f>
        <v/>
      </c>
      <c r="Z3527" t="n">
        <v>1</v>
      </c>
      <c r="AA3527">
        <f>IF(ISNUMBER('IN-CLASS_Lab Part C'!$J$3527),'IN-CLASS_Lab Part C'!$J$3527,NA())</f>
        <v/>
      </c>
    </row>
    <row r="3528">
      <c r="J3528">
        <f>IF(AND(ISNUMBER('Data'!$F$3529),'Data'!$F$3529&lt;&gt;999,'Data'!$F$3529&lt;&gt;""),'Data'!$F$3529,"")</f>
        <v/>
      </c>
      <c r="Z3528" t="n">
        <v>1</v>
      </c>
      <c r="AA3528">
        <f>IF(ISNUMBER('IN-CLASS_Lab Part C'!$J$3528),'IN-CLASS_Lab Part C'!$J$3528,NA())</f>
        <v/>
      </c>
    </row>
    <row r="3529">
      <c r="J3529">
        <f>IF(AND(ISNUMBER('Data'!$F$3530),'Data'!$F$3530&lt;&gt;999,'Data'!$F$3530&lt;&gt;""),'Data'!$F$3530,"")</f>
        <v/>
      </c>
      <c r="Z3529" t="n">
        <v>1</v>
      </c>
      <c r="AA3529">
        <f>IF(ISNUMBER('IN-CLASS_Lab Part C'!$J$3529),'IN-CLASS_Lab Part C'!$J$3529,NA())</f>
        <v/>
      </c>
    </row>
    <row r="3530">
      <c r="J3530">
        <f>IF(AND(ISNUMBER('Data'!$F$3531),'Data'!$F$3531&lt;&gt;999,'Data'!$F$3531&lt;&gt;""),'Data'!$F$3531,"")</f>
        <v/>
      </c>
      <c r="Z3530" t="n">
        <v>1</v>
      </c>
      <c r="AA3530">
        <f>IF(ISNUMBER('IN-CLASS_Lab Part C'!$J$3530),'IN-CLASS_Lab Part C'!$J$3530,NA())</f>
        <v/>
      </c>
    </row>
    <row r="3531">
      <c r="J3531">
        <f>IF(AND(ISNUMBER('Data'!$F$3532),'Data'!$F$3532&lt;&gt;999,'Data'!$F$3532&lt;&gt;""),'Data'!$F$3532,"")</f>
        <v/>
      </c>
      <c r="Z3531" t="n">
        <v>1</v>
      </c>
      <c r="AA3531">
        <f>IF(ISNUMBER('IN-CLASS_Lab Part C'!$J$3531),'IN-CLASS_Lab Part C'!$J$3531,NA())</f>
        <v/>
      </c>
    </row>
    <row r="3532">
      <c r="J3532">
        <f>IF(AND(ISNUMBER('Data'!$F$3533),'Data'!$F$3533&lt;&gt;999,'Data'!$F$3533&lt;&gt;""),'Data'!$F$3533,"")</f>
        <v/>
      </c>
      <c r="Z3532" t="n">
        <v>1</v>
      </c>
      <c r="AA3532">
        <f>IF(ISNUMBER('IN-CLASS_Lab Part C'!$J$3532),'IN-CLASS_Lab Part C'!$J$3532,NA())</f>
        <v/>
      </c>
    </row>
    <row r="3533">
      <c r="J3533">
        <f>IF(AND(ISNUMBER('Data'!$F$3534),'Data'!$F$3534&lt;&gt;999,'Data'!$F$3534&lt;&gt;""),'Data'!$F$3534,"")</f>
        <v/>
      </c>
      <c r="Z3533" t="n">
        <v>1</v>
      </c>
      <c r="AA3533">
        <f>IF(ISNUMBER('IN-CLASS_Lab Part C'!$J$3533),'IN-CLASS_Lab Part C'!$J$3533,NA())</f>
        <v/>
      </c>
    </row>
    <row r="3534">
      <c r="J3534">
        <f>IF(AND(ISNUMBER('Data'!$F$3535),'Data'!$F$3535&lt;&gt;999,'Data'!$F$3535&lt;&gt;""),'Data'!$F$3535,"")</f>
        <v/>
      </c>
      <c r="Z3534" t="n">
        <v>1</v>
      </c>
      <c r="AA3534">
        <f>IF(ISNUMBER('IN-CLASS_Lab Part C'!$J$3534),'IN-CLASS_Lab Part C'!$J$3534,NA())</f>
        <v/>
      </c>
    </row>
    <row r="3535">
      <c r="J3535">
        <f>IF(AND(ISNUMBER('Data'!$F$3536),'Data'!$F$3536&lt;&gt;999,'Data'!$F$3536&lt;&gt;""),'Data'!$F$3536,"")</f>
        <v/>
      </c>
      <c r="Z3535" t="n">
        <v>1</v>
      </c>
      <c r="AA3535">
        <f>IF(ISNUMBER('IN-CLASS_Lab Part C'!$J$3535),'IN-CLASS_Lab Part C'!$J$3535,NA())</f>
        <v/>
      </c>
    </row>
    <row r="3536">
      <c r="J3536">
        <f>IF(AND(ISNUMBER('Data'!$F$3537),'Data'!$F$3537&lt;&gt;999,'Data'!$F$3537&lt;&gt;""),'Data'!$F$3537,"")</f>
        <v/>
      </c>
      <c r="Z3536" t="n">
        <v>1</v>
      </c>
      <c r="AA3536">
        <f>IF(ISNUMBER('IN-CLASS_Lab Part C'!$J$3536),'IN-CLASS_Lab Part C'!$J$3536,NA())</f>
        <v/>
      </c>
    </row>
    <row r="3537">
      <c r="J3537">
        <f>IF(AND(ISNUMBER('Data'!$F$3538),'Data'!$F$3538&lt;&gt;999,'Data'!$F$3538&lt;&gt;""),'Data'!$F$3538,"")</f>
        <v/>
      </c>
      <c r="Z3537" t="n">
        <v>1</v>
      </c>
      <c r="AA3537">
        <f>IF(ISNUMBER('IN-CLASS_Lab Part C'!$J$3537),'IN-CLASS_Lab Part C'!$J$3537,NA())</f>
        <v/>
      </c>
    </row>
    <row r="3538">
      <c r="J3538">
        <f>IF(AND(ISNUMBER('Data'!$F$3539),'Data'!$F$3539&lt;&gt;999,'Data'!$F$3539&lt;&gt;""),'Data'!$F$3539,"")</f>
        <v/>
      </c>
      <c r="Z3538" t="n">
        <v>1</v>
      </c>
      <c r="AA3538">
        <f>IF(ISNUMBER('IN-CLASS_Lab Part C'!$J$3538),'IN-CLASS_Lab Part C'!$J$3538,NA())</f>
        <v/>
      </c>
    </row>
    <row r="3539">
      <c r="J3539">
        <f>IF(AND(ISNUMBER('Data'!$F$3540),'Data'!$F$3540&lt;&gt;999,'Data'!$F$3540&lt;&gt;""),'Data'!$F$3540,"")</f>
        <v/>
      </c>
      <c r="Z3539" t="n">
        <v>1</v>
      </c>
      <c r="AA3539">
        <f>IF(ISNUMBER('IN-CLASS_Lab Part C'!$J$3539),'IN-CLASS_Lab Part C'!$J$3539,NA())</f>
        <v/>
      </c>
    </row>
    <row r="3540">
      <c r="J3540">
        <f>IF(AND(ISNUMBER('Data'!$F$3541),'Data'!$F$3541&lt;&gt;999,'Data'!$F$3541&lt;&gt;""),'Data'!$F$3541,"")</f>
        <v/>
      </c>
      <c r="Z3540" t="n">
        <v>1</v>
      </c>
      <c r="AA3540">
        <f>IF(ISNUMBER('IN-CLASS_Lab Part C'!$J$3540),'IN-CLASS_Lab Part C'!$J$3540,NA())</f>
        <v/>
      </c>
    </row>
    <row r="3541">
      <c r="J3541">
        <f>IF(AND(ISNUMBER('Data'!$F$3542),'Data'!$F$3542&lt;&gt;999,'Data'!$F$3542&lt;&gt;""),'Data'!$F$3542,"")</f>
        <v/>
      </c>
      <c r="Z3541" t="n">
        <v>1</v>
      </c>
      <c r="AA3541">
        <f>IF(ISNUMBER('IN-CLASS_Lab Part C'!$J$3541),'IN-CLASS_Lab Part C'!$J$3541,NA())</f>
        <v/>
      </c>
    </row>
    <row r="3542">
      <c r="J3542">
        <f>IF(AND(ISNUMBER('Data'!$F$3543),'Data'!$F$3543&lt;&gt;999,'Data'!$F$3543&lt;&gt;""),'Data'!$F$3543,"")</f>
        <v/>
      </c>
      <c r="Z3542" t="n">
        <v>1</v>
      </c>
      <c r="AA3542">
        <f>IF(ISNUMBER('IN-CLASS_Lab Part C'!$J$3542),'IN-CLASS_Lab Part C'!$J$3542,NA())</f>
        <v/>
      </c>
    </row>
    <row r="3543">
      <c r="J3543">
        <f>IF(AND(ISNUMBER('Data'!$F$3544),'Data'!$F$3544&lt;&gt;999,'Data'!$F$3544&lt;&gt;""),'Data'!$F$3544,"")</f>
        <v/>
      </c>
      <c r="Z3543" t="n">
        <v>1</v>
      </c>
      <c r="AA3543">
        <f>IF(ISNUMBER('IN-CLASS_Lab Part C'!$J$3543),'IN-CLASS_Lab Part C'!$J$3543,NA())</f>
        <v/>
      </c>
    </row>
    <row r="3544">
      <c r="J3544">
        <f>IF(AND(ISNUMBER('Data'!$F$3545),'Data'!$F$3545&lt;&gt;999,'Data'!$F$3545&lt;&gt;""),'Data'!$F$3545,"")</f>
        <v/>
      </c>
      <c r="Z3544" t="n">
        <v>1</v>
      </c>
      <c r="AA3544">
        <f>IF(ISNUMBER('IN-CLASS_Lab Part C'!$J$3544),'IN-CLASS_Lab Part C'!$J$3544,NA())</f>
        <v/>
      </c>
    </row>
    <row r="3545">
      <c r="J3545">
        <f>IF(AND(ISNUMBER('Data'!$F$3546),'Data'!$F$3546&lt;&gt;999,'Data'!$F$3546&lt;&gt;""),'Data'!$F$3546,"")</f>
        <v/>
      </c>
      <c r="Z3545" t="n">
        <v>1</v>
      </c>
      <c r="AA3545">
        <f>IF(ISNUMBER('IN-CLASS_Lab Part C'!$J$3545),'IN-CLASS_Lab Part C'!$J$3545,NA())</f>
        <v/>
      </c>
    </row>
    <row r="3546">
      <c r="J3546">
        <f>IF(AND(ISNUMBER('Data'!$F$3547),'Data'!$F$3547&lt;&gt;999,'Data'!$F$3547&lt;&gt;""),'Data'!$F$3547,"")</f>
        <v/>
      </c>
      <c r="Z3546" t="n">
        <v>1</v>
      </c>
      <c r="AA3546">
        <f>IF(ISNUMBER('IN-CLASS_Lab Part C'!$J$3546),'IN-CLASS_Lab Part C'!$J$3546,NA())</f>
        <v/>
      </c>
    </row>
    <row r="3547">
      <c r="J3547">
        <f>IF(AND(ISNUMBER('Data'!$F$3548),'Data'!$F$3548&lt;&gt;999,'Data'!$F$3548&lt;&gt;""),'Data'!$F$3548,"")</f>
        <v/>
      </c>
      <c r="Z3547" t="n">
        <v>1</v>
      </c>
      <c r="AA3547">
        <f>IF(ISNUMBER('IN-CLASS_Lab Part C'!$J$3547),'IN-CLASS_Lab Part C'!$J$3547,NA())</f>
        <v/>
      </c>
    </row>
    <row r="3548">
      <c r="J3548">
        <f>IF(AND(ISNUMBER('Data'!$F$3549),'Data'!$F$3549&lt;&gt;999,'Data'!$F$3549&lt;&gt;""),'Data'!$F$3549,"")</f>
        <v/>
      </c>
      <c r="Z3548" t="n">
        <v>1</v>
      </c>
      <c r="AA3548">
        <f>IF(ISNUMBER('IN-CLASS_Lab Part C'!$J$3548),'IN-CLASS_Lab Part C'!$J$3548,NA())</f>
        <v/>
      </c>
    </row>
    <row r="3549">
      <c r="J3549">
        <f>IF(AND(ISNUMBER('Data'!$F$3550),'Data'!$F$3550&lt;&gt;999,'Data'!$F$3550&lt;&gt;""),'Data'!$F$3550,"")</f>
        <v/>
      </c>
      <c r="Z3549" t="n">
        <v>1</v>
      </c>
      <c r="AA3549">
        <f>IF(ISNUMBER('IN-CLASS_Lab Part C'!$J$3549),'IN-CLASS_Lab Part C'!$J$3549,NA())</f>
        <v/>
      </c>
    </row>
    <row r="3550">
      <c r="J3550">
        <f>IF(AND(ISNUMBER('Data'!$F$3551),'Data'!$F$3551&lt;&gt;999,'Data'!$F$3551&lt;&gt;""),'Data'!$F$3551,"")</f>
        <v/>
      </c>
      <c r="Z3550" t="n">
        <v>1</v>
      </c>
      <c r="AA3550">
        <f>IF(ISNUMBER('IN-CLASS_Lab Part C'!$J$3550),'IN-CLASS_Lab Part C'!$J$3550,NA())</f>
        <v/>
      </c>
    </row>
    <row r="3551">
      <c r="J3551">
        <f>IF(AND(ISNUMBER('Data'!$F$3552),'Data'!$F$3552&lt;&gt;999,'Data'!$F$3552&lt;&gt;""),'Data'!$F$3552,"")</f>
        <v/>
      </c>
      <c r="Z3551" t="n">
        <v>1</v>
      </c>
      <c r="AA3551">
        <f>IF(ISNUMBER('IN-CLASS_Lab Part C'!$J$3551),'IN-CLASS_Lab Part C'!$J$3551,NA())</f>
        <v/>
      </c>
    </row>
    <row r="3552">
      <c r="J3552">
        <f>IF(AND(ISNUMBER('Data'!$F$3553),'Data'!$F$3553&lt;&gt;999,'Data'!$F$3553&lt;&gt;""),'Data'!$F$3553,"")</f>
        <v/>
      </c>
      <c r="Z3552" t="n">
        <v>1</v>
      </c>
      <c r="AA3552">
        <f>IF(ISNUMBER('IN-CLASS_Lab Part C'!$J$3552),'IN-CLASS_Lab Part C'!$J$3552,NA())</f>
        <v/>
      </c>
    </row>
    <row r="3553">
      <c r="J3553">
        <f>IF(AND(ISNUMBER('Data'!$F$3554),'Data'!$F$3554&lt;&gt;999,'Data'!$F$3554&lt;&gt;""),'Data'!$F$3554,"")</f>
        <v/>
      </c>
      <c r="Z3553" t="n">
        <v>1</v>
      </c>
      <c r="AA3553">
        <f>IF(ISNUMBER('IN-CLASS_Lab Part C'!$J$3553),'IN-CLASS_Lab Part C'!$J$3553,NA())</f>
        <v/>
      </c>
    </row>
    <row r="3554">
      <c r="J3554">
        <f>IF(AND(ISNUMBER('Data'!$F$3555),'Data'!$F$3555&lt;&gt;999,'Data'!$F$3555&lt;&gt;""),'Data'!$F$3555,"")</f>
        <v/>
      </c>
      <c r="Z3554" t="n">
        <v>1</v>
      </c>
      <c r="AA3554">
        <f>IF(ISNUMBER('IN-CLASS_Lab Part C'!$J$3554),'IN-CLASS_Lab Part C'!$J$3554,NA())</f>
        <v/>
      </c>
    </row>
    <row r="3555">
      <c r="J3555">
        <f>IF(AND(ISNUMBER('Data'!$F$3556),'Data'!$F$3556&lt;&gt;999,'Data'!$F$3556&lt;&gt;""),'Data'!$F$3556,"")</f>
        <v/>
      </c>
      <c r="Z3555" t="n">
        <v>1</v>
      </c>
      <c r="AA3555">
        <f>IF(ISNUMBER('IN-CLASS_Lab Part C'!$J$3555),'IN-CLASS_Lab Part C'!$J$3555,NA())</f>
        <v/>
      </c>
    </row>
    <row r="3556">
      <c r="J3556">
        <f>IF(AND(ISNUMBER('Data'!$F$3557),'Data'!$F$3557&lt;&gt;999,'Data'!$F$3557&lt;&gt;""),'Data'!$F$3557,"")</f>
        <v/>
      </c>
      <c r="Z3556" t="n">
        <v>1</v>
      </c>
      <c r="AA3556">
        <f>IF(ISNUMBER('IN-CLASS_Lab Part C'!$J$3556),'IN-CLASS_Lab Part C'!$J$3556,NA())</f>
        <v/>
      </c>
    </row>
    <row r="3557">
      <c r="J3557">
        <f>IF(AND(ISNUMBER('Data'!$F$3558),'Data'!$F$3558&lt;&gt;999,'Data'!$F$3558&lt;&gt;""),'Data'!$F$3558,"")</f>
        <v/>
      </c>
      <c r="Z3557" t="n">
        <v>1</v>
      </c>
      <c r="AA3557">
        <f>IF(ISNUMBER('IN-CLASS_Lab Part C'!$J$3557),'IN-CLASS_Lab Part C'!$J$3557,NA())</f>
        <v/>
      </c>
    </row>
    <row r="3558">
      <c r="J3558">
        <f>IF(AND(ISNUMBER('Data'!$F$3559),'Data'!$F$3559&lt;&gt;999,'Data'!$F$3559&lt;&gt;""),'Data'!$F$3559,"")</f>
        <v/>
      </c>
      <c r="Z3558" t="n">
        <v>1</v>
      </c>
      <c r="AA3558">
        <f>IF(ISNUMBER('IN-CLASS_Lab Part C'!$J$3558),'IN-CLASS_Lab Part C'!$J$3558,NA())</f>
        <v/>
      </c>
    </row>
    <row r="3559">
      <c r="J3559">
        <f>IF(AND(ISNUMBER('Data'!$F$3560),'Data'!$F$3560&lt;&gt;999,'Data'!$F$3560&lt;&gt;""),'Data'!$F$3560,"")</f>
        <v/>
      </c>
      <c r="Z3559" t="n">
        <v>1</v>
      </c>
      <c r="AA3559">
        <f>IF(ISNUMBER('IN-CLASS_Lab Part C'!$J$3559),'IN-CLASS_Lab Part C'!$J$3559,NA())</f>
        <v/>
      </c>
    </row>
    <row r="3560">
      <c r="J3560">
        <f>IF(AND(ISNUMBER('Data'!$F$3561),'Data'!$F$3561&lt;&gt;999,'Data'!$F$3561&lt;&gt;""),'Data'!$F$3561,"")</f>
        <v/>
      </c>
      <c r="Z3560" t="n">
        <v>1</v>
      </c>
      <c r="AA3560">
        <f>IF(ISNUMBER('IN-CLASS_Lab Part C'!$J$3560),'IN-CLASS_Lab Part C'!$J$3560,NA())</f>
        <v/>
      </c>
    </row>
    <row r="3561">
      <c r="J3561">
        <f>IF(AND(ISNUMBER('Data'!$F$3562),'Data'!$F$3562&lt;&gt;999,'Data'!$F$3562&lt;&gt;""),'Data'!$F$3562,"")</f>
        <v/>
      </c>
      <c r="Z3561" t="n">
        <v>1</v>
      </c>
      <c r="AA3561">
        <f>IF(ISNUMBER('IN-CLASS_Lab Part C'!$J$3561),'IN-CLASS_Lab Part C'!$J$3561,NA())</f>
        <v/>
      </c>
    </row>
    <row r="3562">
      <c r="J3562">
        <f>IF(AND(ISNUMBER('Data'!$F$3563),'Data'!$F$3563&lt;&gt;999,'Data'!$F$3563&lt;&gt;""),'Data'!$F$3563,"")</f>
        <v/>
      </c>
      <c r="Z3562" t="n">
        <v>1</v>
      </c>
      <c r="AA3562">
        <f>IF(ISNUMBER('IN-CLASS_Lab Part C'!$J$3562),'IN-CLASS_Lab Part C'!$J$3562,NA())</f>
        <v/>
      </c>
    </row>
    <row r="3563">
      <c r="J3563">
        <f>IF(AND(ISNUMBER('Data'!$F$3564),'Data'!$F$3564&lt;&gt;999,'Data'!$F$3564&lt;&gt;""),'Data'!$F$3564,"")</f>
        <v/>
      </c>
      <c r="Z3563" t="n">
        <v>1</v>
      </c>
      <c r="AA3563">
        <f>IF(ISNUMBER('IN-CLASS_Lab Part C'!$J$3563),'IN-CLASS_Lab Part C'!$J$3563,NA())</f>
        <v/>
      </c>
    </row>
    <row r="3564">
      <c r="J3564">
        <f>IF(AND(ISNUMBER('Data'!$F$3565),'Data'!$F$3565&lt;&gt;999,'Data'!$F$3565&lt;&gt;""),'Data'!$F$3565,"")</f>
        <v/>
      </c>
      <c r="Z3564" t="n">
        <v>1</v>
      </c>
      <c r="AA3564">
        <f>IF(ISNUMBER('IN-CLASS_Lab Part C'!$J$3564),'IN-CLASS_Lab Part C'!$J$3564,NA())</f>
        <v/>
      </c>
    </row>
    <row r="3565">
      <c r="J3565">
        <f>IF(AND(ISNUMBER('Data'!$F$3566),'Data'!$F$3566&lt;&gt;999,'Data'!$F$3566&lt;&gt;""),'Data'!$F$3566,"")</f>
        <v/>
      </c>
      <c r="Z3565" t="n">
        <v>1</v>
      </c>
      <c r="AA3565">
        <f>IF(ISNUMBER('IN-CLASS_Lab Part C'!$J$3565),'IN-CLASS_Lab Part C'!$J$3565,NA())</f>
        <v/>
      </c>
    </row>
    <row r="3566">
      <c r="J3566">
        <f>IF(AND(ISNUMBER('Data'!$F$3567),'Data'!$F$3567&lt;&gt;999,'Data'!$F$3567&lt;&gt;""),'Data'!$F$3567,"")</f>
        <v/>
      </c>
      <c r="Z3566" t="n">
        <v>1</v>
      </c>
      <c r="AA3566">
        <f>IF(ISNUMBER('IN-CLASS_Lab Part C'!$J$3566),'IN-CLASS_Lab Part C'!$J$3566,NA())</f>
        <v/>
      </c>
    </row>
    <row r="3567">
      <c r="J3567">
        <f>IF(AND(ISNUMBER('Data'!$F$3568),'Data'!$F$3568&lt;&gt;999,'Data'!$F$3568&lt;&gt;""),'Data'!$F$3568,"")</f>
        <v/>
      </c>
      <c r="Z3567" t="n">
        <v>1</v>
      </c>
      <c r="AA3567">
        <f>IF(ISNUMBER('IN-CLASS_Lab Part C'!$J$3567),'IN-CLASS_Lab Part C'!$J$3567,NA())</f>
        <v/>
      </c>
    </row>
    <row r="3568">
      <c r="J3568">
        <f>IF(AND(ISNUMBER('Data'!$F$3569),'Data'!$F$3569&lt;&gt;999,'Data'!$F$3569&lt;&gt;""),'Data'!$F$3569,"")</f>
        <v/>
      </c>
      <c r="Z3568" t="n">
        <v>1</v>
      </c>
      <c r="AA3568">
        <f>IF(ISNUMBER('IN-CLASS_Lab Part C'!$J$3568),'IN-CLASS_Lab Part C'!$J$3568,NA())</f>
        <v/>
      </c>
    </row>
    <row r="3569">
      <c r="J3569">
        <f>IF(AND(ISNUMBER('Data'!$F$3570),'Data'!$F$3570&lt;&gt;999,'Data'!$F$3570&lt;&gt;""),'Data'!$F$3570,"")</f>
        <v/>
      </c>
      <c r="Z3569" t="n">
        <v>1</v>
      </c>
      <c r="AA3569">
        <f>IF(ISNUMBER('IN-CLASS_Lab Part C'!$J$3569),'IN-CLASS_Lab Part C'!$J$3569,NA())</f>
        <v/>
      </c>
    </row>
    <row r="3570">
      <c r="J3570">
        <f>IF(AND(ISNUMBER('Data'!$F$3571),'Data'!$F$3571&lt;&gt;999,'Data'!$F$3571&lt;&gt;""),'Data'!$F$3571,"")</f>
        <v/>
      </c>
      <c r="Z3570" t="n">
        <v>1</v>
      </c>
      <c r="AA3570">
        <f>IF(ISNUMBER('IN-CLASS_Lab Part C'!$J$3570),'IN-CLASS_Lab Part C'!$J$3570,NA())</f>
        <v/>
      </c>
    </row>
    <row r="3571">
      <c r="J3571">
        <f>IF(AND(ISNUMBER('Data'!$F$3572),'Data'!$F$3572&lt;&gt;999,'Data'!$F$3572&lt;&gt;""),'Data'!$F$3572,"")</f>
        <v/>
      </c>
      <c r="Z3571" t="n">
        <v>1</v>
      </c>
      <c r="AA3571">
        <f>IF(ISNUMBER('IN-CLASS_Lab Part C'!$J$3571),'IN-CLASS_Lab Part C'!$J$3571,NA())</f>
        <v/>
      </c>
    </row>
    <row r="3572">
      <c r="J3572">
        <f>IF(AND(ISNUMBER('Data'!$F$3573),'Data'!$F$3573&lt;&gt;999,'Data'!$F$3573&lt;&gt;""),'Data'!$F$3573,"")</f>
        <v/>
      </c>
      <c r="Z3572" t="n">
        <v>1</v>
      </c>
      <c r="AA3572">
        <f>IF(ISNUMBER('IN-CLASS_Lab Part C'!$J$3572),'IN-CLASS_Lab Part C'!$J$3572,NA())</f>
        <v/>
      </c>
    </row>
    <row r="3573">
      <c r="J3573">
        <f>IF(AND(ISNUMBER('Data'!$F$3574),'Data'!$F$3574&lt;&gt;999,'Data'!$F$3574&lt;&gt;""),'Data'!$F$3574,"")</f>
        <v/>
      </c>
      <c r="Z3573" t="n">
        <v>1</v>
      </c>
      <c r="AA3573">
        <f>IF(ISNUMBER('IN-CLASS_Lab Part C'!$J$3573),'IN-CLASS_Lab Part C'!$J$3573,NA())</f>
        <v/>
      </c>
    </row>
    <row r="3574">
      <c r="J3574">
        <f>IF(AND(ISNUMBER('Data'!$F$3575),'Data'!$F$3575&lt;&gt;999,'Data'!$F$3575&lt;&gt;""),'Data'!$F$3575,"")</f>
        <v/>
      </c>
      <c r="Z3574" t="n">
        <v>1</v>
      </c>
      <c r="AA3574">
        <f>IF(ISNUMBER('IN-CLASS_Lab Part C'!$J$3574),'IN-CLASS_Lab Part C'!$J$3574,NA())</f>
        <v/>
      </c>
    </row>
    <row r="3575">
      <c r="J3575">
        <f>IF(AND(ISNUMBER('Data'!$F$3576),'Data'!$F$3576&lt;&gt;999,'Data'!$F$3576&lt;&gt;""),'Data'!$F$3576,"")</f>
        <v/>
      </c>
      <c r="Z3575" t="n">
        <v>1</v>
      </c>
      <c r="AA3575">
        <f>IF(ISNUMBER('IN-CLASS_Lab Part C'!$J$3575),'IN-CLASS_Lab Part C'!$J$3575,NA())</f>
        <v/>
      </c>
    </row>
    <row r="3576">
      <c r="J3576">
        <f>IF(AND(ISNUMBER('Data'!$F$3577),'Data'!$F$3577&lt;&gt;999,'Data'!$F$3577&lt;&gt;""),'Data'!$F$3577,"")</f>
        <v/>
      </c>
      <c r="Z3576" t="n">
        <v>1</v>
      </c>
      <c r="AA3576">
        <f>IF(ISNUMBER('IN-CLASS_Lab Part C'!$J$3576),'IN-CLASS_Lab Part C'!$J$3576,NA())</f>
        <v/>
      </c>
    </row>
    <row r="3577">
      <c r="J3577">
        <f>IF(AND(ISNUMBER('Data'!$F$3578),'Data'!$F$3578&lt;&gt;999,'Data'!$F$3578&lt;&gt;""),'Data'!$F$3578,"")</f>
        <v/>
      </c>
      <c r="Z3577" t="n">
        <v>1</v>
      </c>
      <c r="AA3577">
        <f>IF(ISNUMBER('IN-CLASS_Lab Part C'!$J$3577),'IN-CLASS_Lab Part C'!$J$3577,NA())</f>
        <v/>
      </c>
    </row>
    <row r="3578">
      <c r="J3578">
        <f>IF(AND(ISNUMBER('Data'!$F$3579),'Data'!$F$3579&lt;&gt;999,'Data'!$F$3579&lt;&gt;""),'Data'!$F$3579,"")</f>
        <v/>
      </c>
      <c r="Z3578" t="n">
        <v>1</v>
      </c>
      <c r="AA3578">
        <f>IF(ISNUMBER('IN-CLASS_Lab Part C'!$J$3578),'IN-CLASS_Lab Part C'!$J$3578,NA())</f>
        <v/>
      </c>
    </row>
    <row r="3579">
      <c r="J3579">
        <f>IF(AND(ISNUMBER('Data'!$F$3580),'Data'!$F$3580&lt;&gt;999,'Data'!$F$3580&lt;&gt;""),'Data'!$F$3580,"")</f>
        <v/>
      </c>
      <c r="Z3579" t="n">
        <v>1</v>
      </c>
      <c r="AA3579">
        <f>IF(ISNUMBER('IN-CLASS_Lab Part C'!$J$3579),'IN-CLASS_Lab Part C'!$J$3579,NA())</f>
        <v/>
      </c>
    </row>
    <row r="3580">
      <c r="J3580">
        <f>IF(AND(ISNUMBER('Data'!$F$3581),'Data'!$F$3581&lt;&gt;999,'Data'!$F$3581&lt;&gt;""),'Data'!$F$3581,"")</f>
        <v/>
      </c>
      <c r="Z3580" t="n">
        <v>1</v>
      </c>
      <c r="AA3580">
        <f>IF(ISNUMBER('IN-CLASS_Lab Part C'!$J$3580),'IN-CLASS_Lab Part C'!$J$3580,NA())</f>
        <v/>
      </c>
    </row>
    <row r="3581">
      <c r="J3581">
        <f>IF(AND(ISNUMBER('Data'!$F$3582),'Data'!$F$3582&lt;&gt;999,'Data'!$F$3582&lt;&gt;""),'Data'!$F$3582,"")</f>
        <v/>
      </c>
      <c r="Z3581" t="n">
        <v>1</v>
      </c>
      <c r="AA3581">
        <f>IF(ISNUMBER('IN-CLASS_Lab Part C'!$J$3581),'IN-CLASS_Lab Part C'!$J$3581,NA())</f>
        <v/>
      </c>
    </row>
    <row r="3582">
      <c r="J3582">
        <f>IF(AND(ISNUMBER('Data'!$F$3583),'Data'!$F$3583&lt;&gt;999,'Data'!$F$3583&lt;&gt;""),'Data'!$F$3583,"")</f>
        <v/>
      </c>
      <c r="Z3582" t="n">
        <v>1</v>
      </c>
      <c r="AA3582">
        <f>IF(ISNUMBER('IN-CLASS_Lab Part C'!$J$3582),'IN-CLASS_Lab Part C'!$J$3582,NA())</f>
        <v/>
      </c>
    </row>
    <row r="3583">
      <c r="J3583">
        <f>IF(AND(ISNUMBER('Data'!$F$3584),'Data'!$F$3584&lt;&gt;999,'Data'!$F$3584&lt;&gt;""),'Data'!$F$3584,"")</f>
        <v/>
      </c>
      <c r="Z3583" t="n">
        <v>1</v>
      </c>
      <c r="AA3583">
        <f>IF(ISNUMBER('IN-CLASS_Lab Part C'!$J$3583),'IN-CLASS_Lab Part C'!$J$3583,NA())</f>
        <v/>
      </c>
    </row>
    <row r="3584">
      <c r="J3584">
        <f>IF(AND(ISNUMBER('Data'!$F$3585),'Data'!$F$3585&lt;&gt;999,'Data'!$F$3585&lt;&gt;""),'Data'!$F$3585,"")</f>
        <v/>
      </c>
      <c r="Z3584" t="n">
        <v>1</v>
      </c>
      <c r="AA3584">
        <f>IF(ISNUMBER('IN-CLASS_Lab Part C'!$J$3584),'IN-CLASS_Lab Part C'!$J$3584,NA())</f>
        <v/>
      </c>
    </row>
    <row r="3585">
      <c r="J3585">
        <f>IF(AND(ISNUMBER('Data'!$F$3586),'Data'!$F$3586&lt;&gt;999,'Data'!$F$3586&lt;&gt;""),'Data'!$F$3586,"")</f>
        <v/>
      </c>
      <c r="Z3585" t="n">
        <v>1</v>
      </c>
      <c r="AA3585">
        <f>IF(ISNUMBER('IN-CLASS_Lab Part C'!$J$3585),'IN-CLASS_Lab Part C'!$J$3585,NA())</f>
        <v/>
      </c>
    </row>
    <row r="3586">
      <c r="J3586">
        <f>IF(AND(ISNUMBER('Data'!$F$3587),'Data'!$F$3587&lt;&gt;999,'Data'!$F$3587&lt;&gt;""),'Data'!$F$3587,"")</f>
        <v/>
      </c>
      <c r="Z3586" t="n">
        <v>1</v>
      </c>
      <c r="AA3586">
        <f>IF(ISNUMBER('IN-CLASS_Lab Part C'!$J$3586),'IN-CLASS_Lab Part C'!$J$3586,NA())</f>
        <v/>
      </c>
    </row>
    <row r="3587">
      <c r="J3587">
        <f>IF(AND(ISNUMBER('Data'!$F$3588),'Data'!$F$3588&lt;&gt;999,'Data'!$F$3588&lt;&gt;""),'Data'!$F$3588,"")</f>
        <v/>
      </c>
      <c r="Z3587" t="n">
        <v>1</v>
      </c>
      <c r="AA3587">
        <f>IF(ISNUMBER('IN-CLASS_Lab Part C'!$J$3587),'IN-CLASS_Lab Part C'!$J$3587,NA())</f>
        <v/>
      </c>
    </row>
    <row r="3588">
      <c r="J3588">
        <f>IF(AND(ISNUMBER('Data'!$F$3589),'Data'!$F$3589&lt;&gt;999,'Data'!$F$3589&lt;&gt;""),'Data'!$F$3589,"")</f>
        <v/>
      </c>
      <c r="Z3588" t="n">
        <v>1</v>
      </c>
      <c r="AA3588">
        <f>IF(ISNUMBER('IN-CLASS_Lab Part C'!$J$3588),'IN-CLASS_Lab Part C'!$J$3588,NA())</f>
        <v/>
      </c>
    </row>
    <row r="3589">
      <c r="J3589">
        <f>IF(AND(ISNUMBER('Data'!$F$3590),'Data'!$F$3590&lt;&gt;999,'Data'!$F$3590&lt;&gt;""),'Data'!$F$3590,"")</f>
        <v/>
      </c>
      <c r="Z3589" t="n">
        <v>1</v>
      </c>
      <c r="AA3589">
        <f>IF(ISNUMBER('IN-CLASS_Lab Part C'!$J$3589),'IN-CLASS_Lab Part C'!$J$3589,NA())</f>
        <v/>
      </c>
    </row>
    <row r="3590">
      <c r="J3590">
        <f>IF(AND(ISNUMBER('Data'!$F$3591),'Data'!$F$3591&lt;&gt;999,'Data'!$F$3591&lt;&gt;""),'Data'!$F$3591,"")</f>
        <v/>
      </c>
      <c r="Z3590" t="n">
        <v>1</v>
      </c>
      <c r="AA3590">
        <f>IF(ISNUMBER('IN-CLASS_Lab Part C'!$J$3590),'IN-CLASS_Lab Part C'!$J$3590,NA())</f>
        <v/>
      </c>
    </row>
    <row r="3591">
      <c r="J3591">
        <f>IF(AND(ISNUMBER('Data'!$F$3592),'Data'!$F$3592&lt;&gt;999,'Data'!$F$3592&lt;&gt;""),'Data'!$F$3592,"")</f>
        <v/>
      </c>
      <c r="Z3591" t="n">
        <v>1</v>
      </c>
      <c r="AA3591">
        <f>IF(ISNUMBER('IN-CLASS_Lab Part C'!$J$3591),'IN-CLASS_Lab Part C'!$J$3591,NA())</f>
        <v/>
      </c>
    </row>
    <row r="3592">
      <c r="J3592">
        <f>IF(AND(ISNUMBER('Data'!$F$3593),'Data'!$F$3593&lt;&gt;999,'Data'!$F$3593&lt;&gt;""),'Data'!$F$3593,"")</f>
        <v/>
      </c>
      <c r="Z3592" t="n">
        <v>1</v>
      </c>
      <c r="AA3592">
        <f>IF(ISNUMBER('IN-CLASS_Lab Part C'!$J$3592),'IN-CLASS_Lab Part C'!$J$3592,NA())</f>
        <v/>
      </c>
    </row>
    <row r="3593">
      <c r="J3593">
        <f>IF(AND(ISNUMBER('Data'!$F$3594),'Data'!$F$3594&lt;&gt;999,'Data'!$F$3594&lt;&gt;""),'Data'!$F$3594,"")</f>
        <v/>
      </c>
      <c r="Z3593" t="n">
        <v>1</v>
      </c>
      <c r="AA3593">
        <f>IF(ISNUMBER('IN-CLASS_Lab Part C'!$J$3593),'IN-CLASS_Lab Part C'!$J$3593,NA())</f>
        <v/>
      </c>
    </row>
    <row r="3594">
      <c r="J3594">
        <f>IF(AND(ISNUMBER('Data'!$F$3595),'Data'!$F$3595&lt;&gt;999,'Data'!$F$3595&lt;&gt;""),'Data'!$F$3595,"")</f>
        <v/>
      </c>
      <c r="Z3594" t="n">
        <v>1</v>
      </c>
      <c r="AA3594">
        <f>IF(ISNUMBER('IN-CLASS_Lab Part C'!$J$3594),'IN-CLASS_Lab Part C'!$J$3594,NA())</f>
        <v/>
      </c>
    </row>
    <row r="3595">
      <c r="J3595">
        <f>IF(AND(ISNUMBER('Data'!$F$3596),'Data'!$F$3596&lt;&gt;999,'Data'!$F$3596&lt;&gt;""),'Data'!$F$3596,"")</f>
        <v/>
      </c>
      <c r="Z3595" t="n">
        <v>1</v>
      </c>
      <c r="AA3595">
        <f>IF(ISNUMBER('IN-CLASS_Lab Part C'!$J$3595),'IN-CLASS_Lab Part C'!$J$3595,NA())</f>
        <v/>
      </c>
    </row>
    <row r="3596">
      <c r="J3596">
        <f>IF(AND(ISNUMBER('Data'!$F$3597),'Data'!$F$3597&lt;&gt;999,'Data'!$F$3597&lt;&gt;""),'Data'!$F$3597,"")</f>
        <v/>
      </c>
      <c r="Z3596" t="n">
        <v>1</v>
      </c>
      <c r="AA3596">
        <f>IF(ISNUMBER('IN-CLASS_Lab Part C'!$J$3596),'IN-CLASS_Lab Part C'!$J$3596,NA())</f>
        <v/>
      </c>
    </row>
    <row r="3597">
      <c r="J3597">
        <f>IF(AND(ISNUMBER('Data'!$F$3598),'Data'!$F$3598&lt;&gt;999,'Data'!$F$3598&lt;&gt;""),'Data'!$F$3598,"")</f>
        <v/>
      </c>
      <c r="Z3597" t="n">
        <v>1</v>
      </c>
      <c r="AA3597">
        <f>IF(ISNUMBER('IN-CLASS_Lab Part C'!$J$3597),'IN-CLASS_Lab Part C'!$J$3597,NA())</f>
        <v/>
      </c>
    </row>
    <row r="3598">
      <c r="J3598">
        <f>IF(AND(ISNUMBER('Data'!$F$3599),'Data'!$F$3599&lt;&gt;999,'Data'!$F$3599&lt;&gt;""),'Data'!$F$3599,"")</f>
        <v/>
      </c>
      <c r="Z3598" t="n">
        <v>1</v>
      </c>
      <c r="AA3598">
        <f>IF(ISNUMBER('IN-CLASS_Lab Part C'!$J$3598),'IN-CLASS_Lab Part C'!$J$3598,NA())</f>
        <v/>
      </c>
    </row>
    <row r="3599">
      <c r="J3599">
        <f>IF(AND(ISNUMBER('Data'!$F$3600),'Data'!$F$3600&lt;&gt;999,'Data'!$F$3600&lt;&gt;""),'Data'!$F$3600,"")</f>
        <v/>
      </c>
      <c r="Z3599" t="n">
        <v>1</v>
      </c>
      <c r="AA3599">
        <f>IF(ISNUMBER('IN-CLASS_Lab Part C'!$J$3599),'IN-CLASS_Lab Part C'!$J$3599,NA())</f>
        <v/>
      </c>
    </row>
    <row r="3600">
      <c r="J3600">
        <f>IF(AND(ISNUMBER('Data'!$F$3601),'Data'!$F$3601&lt;&gt;999,'Data'!$F$3601&lt;&gt;""),'Data'!$F$3601,"")</f>
        <v/>
      </c>
      <c r="Z3600" t="n">
        <v>1</v>
      </c>
      <c r="AA3600">
        <f>IF(ISNUMBER('IN-CLASS_Lab Part C'!$J$3600),'IN-CLASS_Lab Part C'!$J$3600,NA())</f>
        <v/>
      </c>
    </row>
    <row r="3601">
      <c r="J3601">
        <f>IF(AND(ISNUMBER('Data'!$F$3602),'Data'!$F$3602&lt;&gt;999,'Data'!$F$3602&lt;&gt;""),'Data'!$F$3602,"")</f>
        <v/>
      </c>
      <c r="Z3601" t="n">
        <v>1</v>
      </c>
      <c r="AA3601">
        <f>IF(ISNUMBER('IN-CLASS_Lab Part C'!$J$3601),'IN-CLASS_Lab Part C'!$J$3601,NA())</f>
        <v/>
      </c>
    </row>
    <row r="3602">
      <c r="J3602">
        <f>IF(AND(ISNUMBER('Data'!$F$3603),'Data'!$F$3603&lt;&gt;999,'Data'!$F$3603&lt;&gt;""),'Data'!$F$3603,"")</f>
        <v/>
      </c>
      <c r="Z3602" t="n">
        <v>1</v>
      </c>
      <c r="AA3602">
        <f>IF(ISNUMBER('IN-CLASS_Lab Part C'!$J$3602),'IN-CLASS_Lab Part C'!$J$3602,NA())</f>
        <v/>
      </c>
    </row>
    <row r="3603">
      <c r="J3603">
        <f>IF(AND(ISNUMBER('Data'!$F$3604),'Data'!$F$3604&lt;&gt;999,'Data'!$F$3604&lt;&gt;""),'Data'!$F$3604,"")</f>
        <v/>
      </c>
      <c r="Z3603" t="n">
        <v>1</v>
      </c>
      <c r="AA3603">
        <f>IF(ISNUMBER('IN-CLASS_Lab Part C'!$J$3603),'IN-CLASS_Lab Part C'!$J$3603,NA())</f>
        <v/>
      </c>
    </row>
    <row r="3604">
      <c r="J3604">
        <f>IF(AND(ISNUMBER('Data'!$F$3605),'Data'!$F$3605&lt;&gt;999,'Data'!$F$3605&lt;&gt;""),'Data'!$F$3605,"")</f>
        <v/>
      </c>
      <c r="Z3604" t="n">
        <v>1</v>
      </c>
      <c r="AA3604">
        <f>IF(ISNUMBER('IN-CLASS_Lab Part C'!$J$3604),'IN-CLASS_Lab Part C'!$J$3604,NA())</f>
        <v/>
      </c>
    </row>
    <row r="3605">
      <c r="J3605">
        <f>IF(AND(ISNUMBER('Data'!$F$3606),'Data'!$F$3606&lt;&gt;999,'Data'!$F$3606&lt;&gt;""),'Data'!$F$3606,"")</f>
        <v/>
      </c>
      <c r="Z3605" t="n">
        <v>1</v>
      </c>
      <c r="AA3605">
        <f>IF(ISNUMBER('IN-CLASS_Lab Part C'!$J$3605),'IN-CLASS_Lab Part C'!$J$3605,NA())</f>
        <v/>
      </c>
    </row>
    <row r="3606">
      <c r="J3606">
        <f>IF(AND(ISNUMBER('Data'!$F$3607),'Data'!$F$3607&lt;&gt;999,'Data'!$F$3607&lt;&gt;""),'Data'!$F$3607,"")</f>
        <v/>
      </c>
      <c r="Z3606" t="n">
        <v>1</v>
      </c>
      <c r="AA3606">
        <f>IF(ISNUMBER('IN-CLASS_Lab Part C'!$J$3606),'IN-CLASS_Lab Part C'!$J$3606,NA())</f>
        <v/>
      </c>
    </row>
    <row r="3607">
      <c r="J3607">
        <f>IF(AND(ISNUMBER('Data'!$F$3608),'Data'!$F$3608&lt;&gt;999,'Data'!$F$3608&lt;&gt;""),'Data'!$F$3608,"")</f>
        <v/>
      </c>
      <c r="Z3607" t="n">
        <v>1</v>
      </c>
      <c r="AA3607">
        <f>IF(ISNUMBER('IN-CLASS_Lab Part C'!$J$3607),'IN-CLASS_Lab Part C'!$J$3607,NA())</f>
        <v/>
      </c>
    </row>
    <row r="3608">
      <c r="J3608">
        <f>IF(AND(ISNUMBER('Data'!$F$3609),'Data'!$F$3609&lt;&gt;999,'Data'!$F$3609&lt;&gt;""),'Data'!$F$3609,"")</f>
        <v/>
      </c>
      <c r="Z3608" t="n">
        <v>1</v>
      </c>
      <c r="AA3608">
        <f>IF(ISNUMBER('IN-CLASS_Lab Part C'!$J$3608),'IN-CLASS_Lab Part C'!$J$3608,NA())</f>
        <v/>
      </c>
    </row>
    <row r="3609">
      <c r="J3609">
        <f>IF(AND(ISNUMBER('Data'!$F$3610),'Data'!$F$3610&lt;&gt;999,'Data'!$F$3610&lt;&gt;""),'Data'!$F$3610,"")</f>
        <v/>
      </c>
      <c r="Z3609" t="n">
        <v>1</v>
      </c>
      <c r="AA3609">
        <f>IF(ISNUMBER('IN-CLASS_Lab Part C'!$J$3609),'IN-CLASS_Lab Part C'!$J$3609,NA())</f>
        <v/>
      </c>
    </row>
    <row r="3610">
      <c r="J3610">
        <f>IF(AND(ISNUMBER('Data'!$F$3611),'Data'!$F$3611&lt;&gt;999,'Data'!$F$3611&lt;&gt;""),'Data'!$F$3611,"")</f>
        <v/>
      </c>
      <c r="Z3610" t="n">
        <v>1</v>
      </c>
      <c r="AA3610">
        <f>IF(ISNUMBER('IN-CLASS_Lab Part C'!$J$3610),'IN-CLASS_Lab Part C'!$J$3610,NA())</f>
        <v/>
      </c>
    </row>
    <row r="3611">
      <c r="J3611">
        <f>IF(AND(ISNUMBER('Data'!$F$3612),'Data'!$F$3612&lt;&gt;999,'Data'!$F$3612&lt;&gt;""),'Data'!$F$3612,"")</f>
        <v/>
      </c>
      <c r="Z3611" t="n">
        <v>1</v>
      </c>
      <c r="AA3611">
        <f>IF(ISNUMBER('IN-CLASS_Lab Part C'!$J$3611),'IN-CLASS_Lab Part C'!$J$3611,NA())</f>
        <v/>
      </c>
    </row>
    <row r="3612">
      <c r="J3612">
        <f>IF(AND(ISNUMBER('Data'!$F$3613),'Data'!$F$3613&lt;&gt;999,'Data'!$F$3613&lt;&gt;""),'Data'!$F$3613,"")</f>
        <v/>
      </c>
      <c r="Z3612" t="n">
        <v>1</v>
      </c>
      <c r="AA3612">
        <f>IF(ISNUMBER('IN-CLASS_Lab Part C'!$J$3612),'IN-CLASS_Lab Part C'!$J$3612,NA())</f>
        <v/>
      </c>
    </row>
    <row r="3613">
      <c r="J3613">
        <f>IF(AND(ISNUMBER('Data'!$F$3614),'Data'!$F$3614&lt;&gt;999,'Data'!$F$3614&lt;&gt;""),'Data'!$F$3614,"")</f>
        <v/>
      </c>
      <c r="Z3613" t="n">
        <v>1</v>
      </c>
      <c r="AA3613">
        <f>IF(ISNUMBER('IN-CLASS_Lab Part C'!$J$3613),'IN-CLASS_Lab Part C'!$J$3613,NA())</f>
        <v/>
      </c>
    </row>
    <row r="3614">
      <c r="J3614">
        <f>IF(AND(ISNUMBER('Data'!$F$3615),'Data'!$F$3615&lt;&gt;999,'Data'!$F$3615&lt;&gt;""),'Data'!$F$3615,"")</f>
        <v/>
      </c>
      <c r="Z3614" t="n">
        <v>1</v>
      </c>
      <c r="AA3614">
        <f>IF(ISNUMBER('IN-CLASS_Lab Part C'!$J$3614),'IN-CLASS_Lab Part C'!$J$3614,NA())</f>
        <v/>
      </c>
    </row>
    <row r="3615">
      <c r="J3615">
        <f>IF(AND(ISNUMBER('Data'!$F$3616),'Data'!$F$3616&lt;&gt;999,'Data'!$F$3616&lt;&gt;""),'Data'!$F$3616,"")</f>
        <v/>
      </c>
      <c r="Z3615" t="n">
        <v>1</v>
      </c>
      <c r="AA3615">
        <f>IF(ISNUMBER('IN-CLASS_Lab Part C'!$J$3615),'IN-CLASS_Lab Part C'!$J$3615,NA())</f>
        <v/>
      </c>
    </row>
    <row r="3616">
      <c r="J3616">
        <f>IF(AND(ISNUMBER('Data'!$F$3617),'Data'!$F$3617&lt;&gt;999,'Data'!$F$3617&lt;&gt;""),'Data'!$F$3617,"")</f>
        <v/>
      </c>
      <c r="Z3616" t="n">
        <v>1</v>
      </c>
      <c r="AA3616">
        <f>IF(ISNUMBER('IN-CLASS_Lab Part C'!$J$3616),'IN-CLASS_Lab Part C'!$J$3616,NA())</f>
        <v/>
      </c>
    </row>
    <row r="3617">
      <c r="J3617">
        <f>IF(AND(ISNUMBER('Data'!$F$3618),'Data'!$F$3618&lt;&gt;999,'Data'!$F$3618&lt;&gt;""),'Data'!$F$3618,"")</f>
        <v/>
      </c>
      <c r="Z3617" t="n">
        <v>1</v>
      </c>
      <c r="AA3617">
        <f>IF(ISNUMBER('IN-CLASS_Lab Part C'!$J$3617),'IN-CLASS_Lab Part C'!$J$3617,NA())</f>
        <v/>
      </c>
    </row>
    <row r="3618">
      <c r="J3618">
        <f>IF(AND(ISNUMBER('Data'!$F$3619),'Data'!$F$3619&lt;&gt;999,'Data'!$F$3619&lt;&gt;""),'Data'!$F$3619,"")</f>
        <v/>
      </c>
      <c r="Z3618" t="n">
        <v>1</v>
      </c>
      <c r="AA3618">
        <f>IF(ISNUMBER('IN-CLASS_Lab Part C'!$J$3618),'IN-CLASS_Lab Part C'!$J$3618,NA())</f>
        <v/>
      </c>
    </row>
    <row r="3619">
      <c r="J3619">
        <f>IF(AND(ISNUMBER('Data'!$F$3620),'Data'!$F$3620&lt;&gt;999,'Data'!$F$3620&lt;&gt;""),'Data'!$F$3620,"")</f>
        <v/>
      </c>
      <c r="Z3619" t="n">
        <v>1</v>
      </c>
      <c r="AA3619">
        <f>IF(ISNUMBER('IN-CLASS_Lab Part C'!$J$3619),'IN-CLASS_Lab Part C'!$J$3619,NA())</f>
        <v/>
      </c>
    </row>
    <row r="3620">
      <c r="J3620">
        <f>IF(AND(ISNUMBER('Data'!$F$3621),'Data'!$F$3621&lt;&gt;999,'Data'!$F$3621&lt;&gt;""),'Data'!$F$3621,"")</f>
        <v/>
      </c>
      <c r="Z3620" t="n">
        <v>1</v>
      </c>
      <c r="AA3620">
        <f>IF(ISNUMBER('IN-CLASS_Lab Part C'!$J$3620),'IN-CLASS_Lab Part C'!$J$3620,NA())</f>
        <v/>
      </c>
    </row>
    <row r="3621">
      <c r="J3621">
        <f>IF(AND(ISNUMBER('Data'!$F$3622),'Data'!$F$3622&lt;&gt;999,'Data'!$F$3622&lt;&gt;""),'Data'!$F$3622,"")</f>
        <v/>
      </c>
      <c r="Z3621" t="n">
        <v>1</v>
      </c>
      <c r="AA3621">
        <f>IF(ISNUMBER('IN-CLASS_Lab Part C'!$J$3621),'IN-CLASS_Lab Part C'!$J$3621,NA())</f>
        <v/>
      </c>
    </row>
    <row r="3622">
      <c r="J3622">
        <f>IF(AND(ISNUMBER('Data'!$F$3623),'Data'!$F$3623&lt;&gt;999,'Data'!$F$3623&lt;&gt;""),'Data'!$F$3623,"")</f>
        <v/>
      </c>
      <c r="Z3622" t="n">
        <v>1</v>
      </c>
      <c r="AA3622">
        <f>IF(ISNUMBER('IN-CLASS_Lab Part C'!$J$3622),'IN-CLASS_Lab Part C'!$J$3622,NA())</f>
        <v/>
      </c>
    </row>
    <row r="3623">
      <c r="J3623">
        <f>IF(AND(ISNUMBER('Data'!$F$3624),'Data'!$F$3624&lt;&gt;999,'Data'!$F$3624&lt;&gt;""),'Data'!$F$3624,"")</f>
        <v/>
      </c>
      <c r="Z3623" t="n">
        <v>1</v>
      </c>
      <c r="AA3623">
        <f>IF(ISNUMBER('IN-CLASS_Lab Part C'!$J$3623),'IN-CLASS_Lab Part C'!$J$3623,NA())</f>
        <v/>
      </c>
    </row>
    <row r="3624">
      <c r="J3624">
        <f>IF(AND(ISNUMBER('Data'!$F$3625),'Data'!$F$3625&lt;&gt;999,'Data'!$F$3625&lt;&gt;""),'Data'!$F$3625,"")</f>
        <v/>
      </c>
      <c r="Z3624" t="n">
        <v>1</v>
      </c>
      <c r="AA3624">
        <f>IF(ISNUMBER('IN-CLASS_Lab Part C'!$J$3624),'IN-CLASS_Lab Part C'!$J$3624,NA())</f>
        <v/>
      </c>
    </row>
    <row r="3625">
      <c r="J3625">
        <f>IF(AND(ISNUMBER('Data'!$F$3626),'Data'!$F$3626&lt;&gt;999,'Data'!$F$3626&lt;&gt;""),'Data'!$F$3626,"")</f>
        <v/>
      </c>
      <c r="Z3625" t="n">
        <v>1</v>
      </c>
      <c r="AA3625">
        <f>IF(ISNUMBER('IN-CLASS_Lab Part C'!$J$3625),'IN-CLASS_Lab Part C'!$J$3625,NA())</f>
        <v/>
      </c>
    </row>
    <row r="3626">
      <c r="J3626">
        <f>IF(AND(ISNUMBER('Data'!$F$3627),'Data'!$F$3627&lt;&gt;999,'Data'!$F$3627&lt;&gt;""),'Data'!$F$3627,"")</f>
        <v/>
      </c>
      <c r="Z3626" t="n">
        <v>1</v>
      </c>
      <c r="AA3626">
        <f>IF(ISNUMBER('IN-CLASS_Lab Part C'!$J$3626),'IN-CLASS_Lab Part C'!$J$3626,NA())</f>
        <v/>
      </c>
    </row>
    <row r="3627">
      <c r="J3627">
        <f>IF(AND(ISNUMBER('Data'!$F$3628),'Data'!$F$3628&lt;&gt;999,'Data'!$F$3628&lt;&gt;""),'Data'!$F$3628,"")</f>
        <v/>
      </c>
      <c r="Z3627" t="n">
        <v>1</v>
      </c>
      <c r="AA3627">
        <f>IF(ISNUMBER('IN-CLASS_Lab Part C'!$J$3627),'IN-CLASS_Lab Part C'!$J$3627,NA())</f>
        <v/>
      </c>
    </row>
    <row r="3628">
      <c r="J3628">
        <f>IF(AND(ISNUMBER('Data'!$F$3629),'Data'!$F$3629&lt;&gt;999,'Data'!$F$3629&lt;&gt;""),'Data'!$F$3629,"")</f>
        <v/>
      </c>
      <c r="Z3628" t="n">
        <v>1</v>
      </c>
      <c r="AA3628">
        <f>IF(ISNUMBER('IN-CLASS_Lab Part C'!$J$3628),'IN-CLASS_Lab Part C'!$J$3628,NA())</f>
        <v/>
      </c>
    </row>
    <row r="3629">
      <c r="J3629">
        <f>IF(AND(ISNUMBER('Data'!$F$3630),'Data'!$F$3630&lt;&gt;999,'Data'!$F$3630&lt;&gt;""),'Data'!$F$3630,"")</f>
        <v/>
      </c>
      <c r="Z3629" t="n">
        <v>1</v>
      </c>
      <c r="AA3629">
        <f>IF(ISNUMBER('IN-CLASS_Lab Part C'!$J$3629),'IN-CLASS_Lab Part C'!$J$3629,NA())</f>
        <v/>
      </c>
    </row>
    <row r="3630">
      <c r="J3630">
        <f>IF(AND(ISNUMBER('Data'!$F$3631),'Data'!$F$3631&lt;&gt;999,'Data'!$F$3631&lt;&gt;""),'Data'!$F$3631,"")</f>
        <v/>
      </c>
      <c r="Z3630" t="n">
        <v>1</v>
      </c>
      <c r="AA3630">
        <f>IF(ISNUMBER('IN-CLASS_Lab Part C'!$J$3630),'IN-CLASS_Lab Part C'!$J$3630,NA())</f>
        <v/>
      </c>
    </row>
    <row r="3631">
      <c r="J3631">
        <f>IF(AND(ISNUMBER('Data'!$F$3632),'Data'!$F$3632&lt;&gt;999,'Data'!$F$3632&lt;&gt;""),'Data'!$F$3632,"")</f>
        <v/>
      </c>
      <c r="Z3631" t="n">
        <v>1</v>
      </c>
      <c r="AA3631">
        <f>IF(ISNUMBER('IN-CLASS_Lab Part C'!$J$3631),'IN-CLASS_Lab Part C'!$J$3631,NA())</f>
        <v/>
      </c>
    </row>
    <row r="3632">
      <c r="J3632">
        <f>IF(AND(ISNUMBER('Data'!$F$3633),'Data'!$F$3633&lt;&gt;999,'Data'!$F$3633&lt;&gt;""),'Data'!$F$3633,"")</f>
        <v/>
      </c>
      <c r="Z3632" t="n">
        <v>1</v>
      </c>
      <c r="AA3632">
        <f>IF(ISNUMBER('IN-CLASS_Lab Part C'!$J$3632),'IN-CLASS_Lab Part C'!$J$3632,NA())</f>
        <v/>
      </c>
    </row>
    <row r="3633">
      <c r="J3633">
        <f>IF(AND(ISNUMBER('Data'!$F$3634),'Data'!$F$3634&lt;&gt;999,'Data'!$F$3634&lt;&gt;""),'Data'!$F$3634,"")</f>
        <v/>
      </c>
      <c r="Z3633" t="n">
        <v>1</v>
      </c>
      <c r="AA3633">
        <f>IF(ISNUMBER('IN-CLASS_Lab Part C'!$J$3633),'IN-CLASS_Lab Part C'!$J$3633,NA())</f>
        <v/>
      </c>
    </row>
    <row r="3634">
      <c r="J3634">
        <f>IF(AND(ISNUMBER('Data'!$F$3635),'Data'!$F$3635&lt;&gt;999,'Data'!$F$3635&lt;&gt;""),'Data'!$F$3635,"")</f>
        <v/>
      </c>
      <c r="Z3634" t="n">
        <v>1</v>
      </c>
      <c r="AA3634">
        <f>IF(ISNUMBER('IN-CLASS_Lab Part C'!$J$3634),'IN-CLASS_Lab Part C'!$J$3634,NA())</f>
        <v/>
      </c>
    </row>
    <row r="3635">
      <c r="J3635">
        <f>IF(AND(ISNUMBER('Data'!$F$3636),'Data'!$F$3636&lt;&gt;999,'Data'!$F$3636&lt;&gt;""),'Data'!$F$3636,"")</f>
        <v/>
      </c>
      <c r="Z3635" t="n">
        <v>1</v>
      </c>
      <c r="AA3635">
        <f>IF(ISNUMBER('IN-CLASS_Lab Part C'!$J$3635),'IN-CLASS_Lab Part C'!$J$3635,NA())</f>
        <v/>
      </c>
    </row>
    <row r="3636">
      <c r="J3636">
        <f>IF(AND(ISNUMBER('Data'!$F$3637),'Data'!$F$3637&lt;&gt;999,'Data'!$F$3637&lt;&gt;""),'Data'!$F$3637,"")</f>
        <v/>
      </c>
      <c r="Z3636" t="n">
        <v>1</v>
      </c>
      <c r="AA3636">
        <f>IF(ISNUMBER('IN-CLASS_Lab Part C'!$J$3636),'IN-CLASS_Lab Part C'!$J$3636,NA())</f>
        <v/>
      </c>
    </row>
    <row r="3637">
      <c r="J3637">
        <f>IF(AND(ISNUMBER('Data'!$F$3638),'Data'!$F$3638&lt;&gt;999,'Data'!$F$3638&lt;&gt;""),'Data'!$F$3638,"")</f>
        <v/>
      </c>
      <c r="Z3637" t="n">
        <v>1</v>
      </c>
      <c r="AA3637">
        <f>IF(ISNUMBER('IN-CLASS_Lab Part C'!$J$3637),'IN-CLASS_Lab Part C'!$J$3637,NA())</f>
        <v/>
      </c>
    </row>
    <row r="3638">
      <c r="J3638">
        <f>IF(AND(ISNUMBER('Data'!$F$3639),'Data'!$F$3639&lt;&gt;999,'Data'!$F$3639&lt;&gt;""),'Data'!$F$3639,"")</f>
        <v/>
      </c>
      <c r="Z3638" t="n">
        <v>1</v>
      </c>
      <c r="AA3638">
        <f>IF(ISNUMBER('IN-CLASS_Lab Part C'!$J$3638),'IN-CLASS_Lab Part C'!$J$3638,NA())</f>
        <v/>
      </c>
    </row>
    <row r="3639">
      <c r="J3639">
        <f>IF(AND(ISNUMBER('Data'!$F$3640),'Data'!$F$3640&lt;&gt;999,'Data'!$F$3640&lt;&gt;""),'Data'!$F$3640,"")</f>
        <v/>
      </c>
      <c r="Z3639" t="n">
        <v>1</v>
      </c>
      <c r="AA3639">
        <f>IF(ISNUMBER('IN-CLASS_Lab Part C'!$J$3639),'IN-CLASS_Lab Part C'!$J$3639,NA())</f>
        <v/>
      </c>
    </row>
    <row r="3640">
      <c r="J3640">
        <f>IF(AND(ISNUMBER('Data'!$F$3641),'Data'!$F$3641&lt;&gt;999,'Data'!$F$3641&lt;&gt;""),'Data'!$F$3641,"")</f>
        <v/>
      </c>
      <c r="Z3640" t="n">
        <v>1</v>
      </c>
      <c r="AA3640">
        <f>IF(ISNUMBER('IN-CLASS_Lab Part C'!$J$3640),'IN-CLASS_Lab Part C'!$J$3640,NA())</f>
        <v/>
      </c>
    </row>
    <row r="3641">
      <c r="J3641">
        <f>IF(AND(ISNUMBER('Data'!$F$3642),'Data'!$F$3642&lt;&gt;999,'Data'!$F$3642&lt;&gt;""),'Data'!$F$3642,"")</f>
        <v/>
      </c>
      <c r="Z3641" t="n">
        <v>1</v>
      </c>
      <c r="AA3641">
        <f>IF(ISNUMBER('IN-CLASS_Lab Part C'!$J$3641),'IN-CLASS_Lab Part C'!$J$3641,NA())</f>
        <v/>
      </c>
    </row>
    <row r="3642">
      <c r="J3642">
        <f>IF(AND(ISNUMBER('Data'!$F$3643),'Data'!$F$3643&lt;&gt;999,'Data'!$F$3643&lt;&gt;""),'Data'!$F$3643,"")</f>
        <v/>
      </c>
      <c r="Z3642" t="n">
        <v>1</v>
      </c>
      <c r="AA3642">
        <f>IF(ISNUMBER('IN-CLASS_Lab Part C'!$J$3642),'IN-CLASS_Lab Part C'!$J$3642,NA())</f>
        <v/>
      </c>
    </row>
    <row r="3643">
      <c r="J3643">
        <f>IF(AND(ISNUMBER('Data'!$F$3644),'Data'!$F$3644&lt;&gt;999,'Data'!$F$3644&lt;&gt;""),'Data'!$F$3644,"")</f>
        <v/>
      </c>
      <c r="Z3643" t="n">
        <v>1</v>
      </c>
      <c r="AA3643">
        <f>IF(ISNUMBER('IN-CLASS_Lab Part C'!$J$3643),'IN-CLASS_Lab Part C'!$J$3643,NA())</f>
        <v/>
      </c>
    </row>
    <row r="3644">
      <c r="J3644">
        <f>IF(AND(ISNUMBER('Data'!$F$3645),'Data'!$F$3645&lt;&gt;999,'Data'!$F$3645&lt;&gt;""),'Data'!$F$3645,"")</f>
        <v/>
      </c>
      <c r="Z3644" t="n">
        <v>1</v>
      </c>
      <c r="AA3644">
        <f>IF(ISNUMBER('IN-CLASS_Lab Part C'!$J$3644),'IN-CLASS_Lab Part C'!$J$3644,NA())</f>
        <v/>
      </c>
    </row>
    <row r="3645">
      <c r="J3645">
        <f>IF(AND(ISNUMBER('Data'!$F$3646),'Data'!$F$3646&lt;&gt;999,'Data'!$F$3646&lt;&gt;""),'Data'!$F$3646,"")</f>
        <v/>
      </c>
      <c r="Z3645" t="n">
        <v>1</v>
      </c>
      <c r="AA3645">
        <f>IF(ISNUMBER('IN-CLASS_Lab Part C'!$J$3645),'IN-CLASS_Lab Part C'!$J$3645,NA())</f>
        <v/>
      </c>
    </row>
    <row r="3646">
      <c r="J3646">
        <f>IF(AND(ISNUMBER('Data'!$F$3647),'Data'!$F$3647&lt;&gt;999,'Data'!$F$3647&lt;&gt;""),'Data'!$F$3647,"")</f>
        <v/>
      </c>
      <c r="Z3646" t="n">
        <v>1</v>
      </c>
      <c r="AA3646">
        <f>IF(ISNUMBER('IN-CLASS_Lab Part C'!$J$3646),'IN-CLASS_Lab Part C'!$J$3646,NA())</f>
        <v/>
      </c>
    </row>
    <row r="3647">
      <c r="J3647">
        <f>IF(AND(ISNUMBER('Data'!$F$3648),'Data'!$F$3648&lt;&gt;999,'Data'!$F$3648&lt;&gt;""),'Data'!$F$3648,"")</f>
        <v/>
      </c>
      <c r="Z3647" t="n">
        <v>1</v>
      </c>
      <c r="AA3647">
        <f>IF(ISNUMBER('IN-CLASS_Lab Part C'!$J$3647),'IN-CLASS_Lab Part C'!$J$3647,NA())</f>
        <v/>
      </c>
    </row>
    <row r="3648">
      <c r="J3648">
        <f>IF(AND(ISNUMBER('Data'!$F$3649),'Data'!$F$3649&lt;&gt;999,'Data'!$F$3649&lt;&gt;""),'Data'!$F$3649,"")</f>
        <v/>
      </c>
      <c r="Z3648" t="n">
        <v>1</v>
      </c>
      <c r="AA3648">
        <f>IF(ISNUMBER('IN-CLASS_Lab Part C'!$J$3648),'IN-CLASS_Lab Part C'!$J$3648,NA())</f>
        <v/>
      </c>
    </row>
    <row r="3649">
      <c r="J3649">
        <f>IF(AND(ISNUMBER('Data'!$F$3650),'Data'!$F$3650&lt;&gt;999,'Data'!$F$3650&lt;&gt;""),'Data'!$F$3650,"")</f>
        <v/>
      </c>
      <c r="Z3649" t="n">
        <v>1</v>
      </c>
      <c r="AA3649">
        <f>IF(ISNUMBER('IN-CLASS_Lab Part C'!$J$3649),'IN-CLASS_Lab Part C'!$J$3649,NA())</f>
        <v/>
      </c>
    </row>
    <row r="3650">
      <c r="J3650">
        <f>IF(AND(ISNUMBER('Data'!$F$3651),'Data'!$F$3651&lt;&gt;999,'Data'!$F$3651&lt;&gt;""),'Data'!$F$3651,"")</f>
        <v/>
      </c>
      <c r="Z3650" t="n">
        <v>1</v>
      </c>
      <c r="AA3650">
        <f>IF(ISNUMBER('IN-CLASS_Lab Part C'!$J$3650),'IN-CLASS_Lab Part C'!$J$3650,NA())</f>
        <v/>
      </c>
    </row>
    <row r="3651">
      <c r="J3651">
        <f>IF(AND(ISNUMBER('Data'!$F$3652),'Data'!$F$3652&lt;&gt;999,'Data'!$F$3652&lt;&gt;""),'Data'!$F$3652,"")</f>
        <v/>
      </c>
      <c r="Z3651" t="n">
        <v>1</v>
      </c>
      <c r="AA3651">
        <f>IF(ISNUMBER('IN-CLASS_Lab Part C'!$J$3651),'IN-CLASS_Lab Part C'!$J$3651,NA())</f>
        <v/>
      </c>
    </row>
    <row r="3652">
      <c r="J3652">
        <f>IF(AND(ISNUMBER('Data'!$F$3653),'Data'!$F$3653&lt;&gt;999,'Data'!$F$3653&lt;&gt;""),'Data'!$F$3653,"")</f>
        <v/>
      </c>
      <c r="Z3652" t="n">
        <v>1</v>
      </c>
      <c r="AA3652">
        <f>IF(ISNUMBER('IN-CLASS_Lab Part C'!$J$3652),'IN-CLASS_Lab Part C'!$J$3652,NA())</f>
        <v/>
      </c>
    </row>
    <row r="3653">
      <c r="J3653">
        <f>IF(AND(ISNUMBER('Data'!$F$3654),'Data'!$F$3654&lt;&gt;999,'Data'!$F$3654&lt;&gt;""),'Data'!$F$3654,"")</f>
        <v/>
      </c>
      <c r="Z3653" t="n">
        <v>1</v>
      </c>
      <c r="AA3653">
        <f>IF(ISNUMBER('IN-CLASS_Lab Part C'!$J$3653),'IN-CLASS_Lab Part C'!$J$3653,NA())</f>
        <v/>
      </c>
    </row>
    <row r="3654">
      <c r="J3654">
        <f>IF(AND(ISNUMBER('Data'!$F$3655),'Data'!$F$3655&lt;&gt;999,'Data'!$F$3655&lt;&gt;""),'Data'!$F$3655,"")</f>
        <v/>
      </c>
      <c r="Z3654" t="n">
        <v>1</v>
      </c>
      <c r="AA3654">
        <f>IF(ISNUMBER('IN-CLASS_Lab Part C'!$J$3654),'IN-CLASS_Lab Part C'!$J$3654,NA())</f>
        <v/>
      </c>
    </row>
    <row r="3655">
      <c r="J3655">
        <f>IF(AND(ISNUMBER('Data'!$F$3656),'Data'!$F$3656&lt;&gt;999,'Data'!$F$3656&lt;&gt;""),'Data'!$F$3656,"")</f>
        <v/>
      </c>
      <c r="Z3655" t="n">
        <v>1</v>
      </c>
      <c r="AA3655">
        <f>IF(ISNUMBER('IN-CLASS_Lab Part C'!$J$3655),'IN-CLASS_Lab Part C'!$J$3655,NA())</f>
        <v/>
      </c>
    </row>
    <row r="3656">
      <c r="J3656">
        <f>IF(AND(ISNUMBER('Data'!$F$3657),'Data'!$F$3657&lt;&gt;999,'Data'!$F$3657&lt;&gt;""),'Data'!$F$3657,"")</f>
        <v/>
      </c>
      <c r="Z3656" t="n">
        <v>1</v>
      </c>
      <c r="AA3656">
        <f>IF(ISNUMBER('IN-CLASS_Lab Part C'!$J$3656),'IN-CLASS_Lab Part C'!$J$3656,NA())</f>
        <v/>
      </c>
    </row>
    <row r="3657">
      <c r="J3657">
        <f>IF(AND(ISNUMBER('Data'!$F$3658),'Data'!$F$3658&lt;&gt;999,'Data'!$F$3658&lt;&gt;""),'Data'!$F$3658,"")</f>
        <v/>
      </c>
      <c r="Z3657" t="n">
        <v>1</v>
      </c>
      <c r="AA3657">
        <f>IF(ISNUMBER('IN-CLASS_Lab Part C'!$J$3657),'IN-CLASS_Lab Part C'!$J$3657,NA())</f>
        <v/>
      </c>
    </row>
    <row r="3658">
      <c r="J3658">
        <f>IF(AND(ISNUMBER('Data'!$F$3659),'Data'!$F$3659&lt;&gt;999,'Data'!$F$3659&lt;&gt;""),'Data'!$F$3659,"")</f>
        <v/>
      </c>
      <c r="Z3658" t="n">
        <v>1</v>
      </c>
      <c r="AA3658">
        <f>IF(ISNUMBER('IN-CLASS_Lab Part C'!$J$3658),'IN-CLASS_Lab Part C'!$J$3658,NA())</f>
        <v/>
      </c>
    </row>
    <row r="3659">
      <c r="J3659">
        <f>IF(AND(ISNUMBER('Data'!$F$3660),'Data'!$F$3660&lt;&gt;999,'Data'!$F$3660&lt;&gt;""),'Data'!$F$3660,"")</f>
        <v/>
      </c>
      <c r="Z3659" t="n">
        <v>1</v>
      </c>
      <c r="AA3659">
        <f>IF(ISNUMBER('IN-CLASS_Lab Part C'!$J$3659),'IN-CLASS_Lab Part C'!$J$3659,NA())</f>
        <v/>
      </c>
    </row>
    <row r="3660">
      <c r="J3660">
        <f>IF(AND(ISNUMBER('Data'!$F$3661),'Data'!$F$3661&lt;&gt;999,'Data'!$F$3661&lt;&gt;""),'Data'!$F$3661,"")</f>
        <v/>
      </c>
      <c r="Z3660" t="n">
        <v>1</v>
      </c>
      <c r="AA3660">
        <f>IF(ISNUMBER('IN-CLASS_Lab Part C'!$J$3660),'IN-CLASS_Lab Part C'!$J$3660,NA())</f>
        <v/>
      </c>
    </row>
    <row r="3661">
      <c r="J3661">
        <f>IF(AND(ISNUMBER('Data'!$F$3662),'Data'!$F$3662&lt;&gt;999,'Data'!$F$3662&lt;&gt;""),'Data'!$F$3662,"")</f>
        <v/>
      </c>
      <c r="Z3661" t="n">
        <v>1</v>
      </c>
      <c r="AA3661">
        <f>IF(ISNUMBER('IN-CLASS_Lab Part C'!$J$3661),'IN-CLASS_Lab Part C'!$J$3661,NA())</f>
        <v/>
      </c>
    </row>
    <row r="3662">
      <c r="J3662">
        <f>IF(AND(ISNUMBER('Data'!$F$3663),'Data'!$F$3663&lt;&gt;999,'Data'!$F$3663&lt;&gt;""),'Data'!$F$3663,"")</f>
        <v/>
      </c>
      <c r="Z3662" t="n">
        <v>1</v>
      </c>
      <c r="AA3662">
        <f>IF(ISNUMBER('IN-CLASS_Lab Part C'!$J$3662),'IN-CLASS_Lab Part C'!$J$3662,NA())</f>
        <v/>
      </c>
    </row>
    <row r="3663">
      <c r="J3663">
        <f>IF(AND(ISNUMBER('Data'!$F$3664),'Data'!$F$3664&lt;&gt;999,'Data'!$F$3664&lt;&gt;""),'Data'!$F$3664,"")</f>
        <v/>
      </c>
      <c r="Z3663" t="n">
        <v>1</v>
      </c>
      <c r="AA3663">
        <f>IF(ISNUMBER('IN-CLASS_Lab Part C'!$J$3663),'IN-CLASS_Lab Part C'!$J$3663,NA())</f>
        <v/>
      </c>
    </row>
    <row r="3664">
      <c r="J3664">
        <f>IF(AND(ISNUMBER('Data'!$F$3665),'Data'!$F$3665&lt;&gt;999,'Data'!$F$3665&lt;&gt;""),'Data'!$F$3665,"")</f>
        <v/>
      </c>
      <c r="Z3664" t="n">
        <v>1</v>
      </c>
      <c r="AA3664">
        <f>IF(ISNUMBER('IN-CLASS_Lab Part C'!$J$3664),'IN-CLASS_Lab Part C'!$J$3664,NA())</f>
        <v/>
      </c>
    </row>
    <row r="3665">
      <c r="J3665">
        <f>IF(AND(ISNUMBER('Data'!$F$3666),'Data'!$F$3666&lt;&gt;999,'Data'!$F$3666&lt;&gt;""),'Data'!$F$3666,"")</f>
        <v/>
      </c>
      <c r="Z3665" t="n">
        <v>1</v>
      </c>
      <c r="AA3665">
        <f>IF(ISNUMBER('IN-CLASS_Lab Part C'!$J$3665),'IN-CLASS_Lab Part C'!$J$3665,NA())</f>
        <v/>
      </c>
    </row>
    <row r="3666">
      <c r="J3666">
        <f>IF(AND(ISNUMBER('Data'!$F$3667),'Data'!$F$3667&lt;&gt;999,'Data'!$F$3667&lt;&gt;""),'Data'!$F$3667,"")</f>
        <v/>
      </c>
      <c r="Z3666" t="n">
        <v>1</v>
      </c>
      <c r="AA3666">
        <f>IF(ISNUMBER('IN-CLASS_Lab Part C'!$J$3666),'IN-CLASS_Lab Part C'!$J$3666,NA())</f>
        <v/>
      </c>
    </row>
    <row r="3667">
      <c r="J3667">
        <f>IF(AND(ISNUMBER('Data'!$F$3668),'Data'!$F$3668&lt;&gt;999,'Data'!$F$3668&lt;&gt;""),'Data'!$F$3668,"")</f>
        <v/>
      </c>
      <c r="Z3667" t="n">
        <v>1</v>
      </c>
      <c r="AA3667">
        <f>IF(ISNUMBER('IN-CLASS_Lab Part C'!$J$3667),'IN-CLASS_Lab Part C'!$J$3667,NA())</f>
        <v/>
      </c>
    </row>
    <row r="3668">
      <c r="J3668">
        <f>IF(AND(ISNUMBER('Data'!$F$3669),'Data'!$F$3669&lt;&gt;999,'Data'!$F$3669&lt;&gt;""),'Data'!$F$3669,"")</f>
        <v/>
      </c>
      <c r="Z3668" t="n">
        <v>1</v>
      </c>
      <c r="AA3668">
        <f>IF(ISNUMBER('IN-CLASS_Lab Part C'!$J$3668),'IN-CLASS_Lab Part C'!$J$3668,NA())</f>
        <v/>
      </c>
    </row>
    <row r="3669">
      <c r="J3669">
        <f>IF(AND(ISNUMBER('Data'!$F$3670),'Data'!$F$3670&lt;&gt;999,'Data'!$F$3670&lt;&gt;""),'Data'!$F$3670,"")</f>
        <v/>
      </c>
      <c r="Z3669" t="n">
        <v>1</v>
      </c>
      <c r="AA3669">
        <f>IF(ISNUMBER('IN-CLASS_Lab Part C'!$J$3669),'IN-CLASS_Lab Part C'!$J$3669,NA())</f>
        <v/>
      </c>
    </row>
    <row r="3670">
      <c r="J3670">
        <f>IF(AND(ISNUMBER('Data'!$F$3671),'Data'!$F$3671&lt;&gt;999,'Data'!$F$3671&lt;&gt;""),'Data'!$F$3671,"")</f>
        <v/>
      </c>
      <c r="Z3670" t="n">
        <v>1</v>
      </c>
      <c r="AA3670">
        <f>IF(ISNUMBER('IN-CLASS_Lab Part C'!$J$3670),'IN-CLASS_Lab Part C'!$J$3670,NA())</f>
        <v/>
      </c>
    </row>
    <row r="3671">
      <c r="J3671">
        <f>IF(AND(ISNUMBER('Data'!$F$3672),'Data'!$F$3672&lt;&gt;999,'Data'!$F$3672&lt;&gt;""),'Data'!$F$3672,"")</f>
        <v/>
      </c>
      <c r="Z3671" t="n">
        <v>1</v>
      </c>
      <c r="AA3671">
        <f>IF(ISNUMBER('IN-CLASS_Lab Part C'!$J$3671),'IN-CLASS_Lab Part C'!$J$3671,NA())</f>
        <v/>
      </c>
    </row>
    <row r="3672">
      <c r="J3672">
        <f>IF(AND(ISNUMBER('Data'!$F$3673),'Data'!$F$3673&lt;&gt;999,'Data'!$F$3673&lt;&gt;""),'Data'!$F$3673,"")</f>
        <v/>
      </c>
      <c r="Z3672" t="n">
        <v>1</v>
      </c>
      <c r="AA3672">
        <f>IF(ISNUMBER('IN-CLASS_Lab Part C'!$J$3672),'IN-CLASS_Lab Part C'!$J$3672,NA())</f>
        <v/>
      </c>
    </row>
    <row r="3673">
      <c r="J3673">
        <f>IF(AND(ISNUMBER('Data'!$F$3674),'Data'!$F$3674&lt;&gt;999,'Data'!$F$3674&lt;&gt;""),'Data'!$F$3674,"")</f>
        <v/>
      </c>
      <c r="Z3673" t="n">
        <v>1</v>
      </c>
      <c r="AA3673">
        <f>IF(ISNUMBER('IN-CLASS_Lab Part C'!$J$3673),'IN-CLASS_Lab Part C'!$J$3673,NA())</f>
        <v/>
      </c>
    </row>
    <row r="3674">
      <c r="J3674">
        <f>IF(AND(ISNUMBER('Data'!$F$3675),'Data'!$F$3675&lt;&gt;999,'Data'!$F$3675&lt;&gt;""),'Data'!$F$3675,"")</f>
        <v/>
      </c>
      <c r="Z3674" t="n">
        <v>1</v>
      </c>
      <c r="AA3674">
        <f>IF(ISNUMBER('IN-CLASS_Lab Part C'!$J$3674),'IN-CLASS_Lab Part C'!$J$3674,NA())</f>
        <v/>
      </c>
    </row>
    <row r="3675">
      <c r="J3675">
        <f>IF(AND(ISNUMBER('Data'!$F$3676),'Data'!$F$3676&lt;&gt;999,'Data'!$F$3676&lt;&gt;""),'Data'!$F$3676,"")</f>
        <v/>
      </c>
      <c r="Z3675" t="n">
        <v>1</v>
      </c>
      <c r="AA3675">
        <f>IF(ISNUMBER('IN-CLASS_Lab Part C'!$J$3675),'IN-CLASS_Lab Part C'!$J$3675,NA())</f>
        <v/>
      </c>
    </row>
    <row r="3676">
      <c r="J3676">
        <f>IF(AND(ISNUMBER('Data'!$F$3677),'Data'!$F$3677&lt;&gt;999,'Data'!$F$3677&lt;&gt;""),'Data'!$F$3677,"")</f>
        <v/>
      </c>
      <c r="Z3676" t="n">
        <v>1</v>
      </c>
      <c r="AA3676">
        <f>IF(ISNUMBER('IN-CLASS_Lab Part C'!$J$3676),'IN-CLASS_Lab Part C'!$J$3676,NA())</f>
        <v/>
      </c>
    </row>
    <row r="3677">
      <c r="J3677">
        <f>IF(AND(ISNUMBER('Data'!$F$3678),'Data'!$F$3678&lt;&gt;999,'Data'!$F$3678&lt;&gt;""),'Data'!$F$3678,"")</f>
        <v/>
      </c>
      <c r="Z3677" t="n">
        <v>1</v>
      </c>
      <c r="AA3677">
        <f>IF(ISNUMBER('IN-CLASS_Lab Part C'!$J$3677),'IN-CLASS_Lab Part C'!$J$3677,NA())</f>
        <v/>
      </c>
    </row>
    <row r="3678">
      <c r="J3678">
        <f>IF(AND(ISNUMBER('Data'!$F$3679),'Data'!$F$3679&lt;&gt;999,'Data'!$F$3679&lt;&gt;""),'Data'!$F$3679,"")</f>
        <v/>
      </c>
      <c r="Z3678" t="n">
        <v>1</v>
      </c>
      <c r="AA3678">
        <f>IF(ISNUMBER('IN-CLASS_Lab Part C'!$J$3678),'IN-CLASS_Lab Part C'!$J$3678,NA())</f>
        <v/>
      </c>
    </row>
    <row r="3679">
      <c r="J3679">
        <f>IF(AND(ISNUMBER('Data'!$F$3680),'Data'!$F$3680&lt;&gt;999,'Data'!$F$3680&lt;&gt;""),'Data'!$F$3680,"")</f>
        <v/>
      </c>
      <c r="Z3679" t="n">
        <v>1</v>
      </c>
      <c r="AA3679">
        <f>IF(ISNUMBER('IN-CLASS_Lab Part C'!$J$3679),'IN-CLASS_Lab Part C'!$J$3679,NA())</f>
        <v/>
      </c>
    </row>
    <row r="3680">
      <c r="J3680">
        <f>IF(AND(ISNUMBER('Data'!$F$3681),'Data'!$F$3681&lt;&gt;999,'Data'!$F$3681&lt;&gt;""),'Data'!$F$3681,"")</f>
        <v/>
      </c>
      <c r="Z3680" t="n">
        <v>1</v>
      </c>
      <c r="AA3680">
        <f>IF(ISNUMBER('IN-CLASS_Lab Part C'!$J$3680),'IN-CLASS_Lab Part C'!$J$3680,NA())</f>
        <v/>
      </c>
    </row>
    <row r="3681">
      <c r="J3681">
        <f>IF(AND(ISNUMBER('Data'!$F$3682),'Data'!$F$3682&lt;&gt;999,'Data'!$F$3682&lt;&gt;""),'Data'!$F$3682,"")</f>
        <v/>
      </c>
      <c r="Z3681" t="n">
        <v>1</v>
      </c>
      <c r="AA3681">
        <f>IF(ISNUMBER('IN-CLASS_Lab Part C'!$J$3681),'IN-CLASS_Lab Part C'!$J$3681,NA())</f>
        <v/>
      </c>
    </row>
    <row r="3682">
      <c r="J3682">
        <f>IF(AND(ISNUMBER('Data'!$F$3683),'Data'!$F$3683&lt;&gt;999,'Data'!$F$3683&lt;&gt;""),'Data'!$F$3683,"")</f>
        <v/>
      </c>
      <c r="Z3682" t="n">
        <v>1</v>
      </c>
      <c r="AA3682">
        <f>IF(ISNUMBER('IN-CLASS_Lab Part C'!$J$3682),'IN-CLASS_Lab Part C'!$J$3682,NA())</f>
        <v/>
      </c>
    </row>
    <row r="3683">
      <c r="J3683">
        <f>IF(AND(ISNUMBER('Data'!$F$3684),'Data'!$F$3684&lt;&gt;999,'Data'!$F$3684&lt;&gt;""),'Data'!$F$3684,"")</f>
        <v/>
      </c>
      <c r="Z3683" t="n">
        <v>1</v>
      </c>
      <c r="AA3683">
        <f>IF(ISNUMBER('IN-CLASS_Lab Part C'!$J$3683),'IN-CLASS_Lab Part C'!$J$3683,NA())</f>
        <v/>
      </c>
    </row>
    <row r="3684">
      <c r="J3684">
        <f>IF(AND(ISNUMBER('Data'!$F$3685),'Data'!$F$3685&lt;&gt;999,'Data'!$F$3685&lt;&gt;""),'Data'!$F$3685,"")</f>
        <v/>
      </c>
      <c r="Z3684" t="n">
        <v>1</v>
      </c>
      <c r="AA3684">
        <f>IF(ISNUMBER('IN-CLASS_Lab Part C'!$J$3684),'IN-CLASS_Lab Part C'!$J$3684,NA())</f>
        <v/>
      </c>
    </row>
    <row r="3685">
      <c r="J3685">
        <f>IF(AND(ISNUMBER('Data'!$F$3686),'Data'!$F$3686&lt;&gt;999,'Data'!$F$3686&lt;&gt;""),'Data'!$F$3686,"")</f>
        <v/>
      </c>
      <c r="Z3685" t="n">
        <v>1</v>
      </c>
      <c r="AA3685">
        <f>IF(ISNUMBER('IN-CLASS_Lab Part C'!$J$3685),'IN-CLASS_Lab Part C'!$J$3685,NA())</f>
        <v/>
      </c>
    </row>
    <row r="3686">
      <c r="J3686">
        <f>IF(AND(ISNUMBER('Data'!$F$3687),'Data'!$F$3687&lt;&gt;999,'Data'!$F$3687&lt;&gt;""),'Data'!$F$3687,"")</f>
        <v/>
      </c>
      <c r="Z3686" t="n">
        <v>1</v>
      </c>
      <c r="AA3686">
        <f>IF(ISNUMBER('IN-CLASS_Lab Part C'!$J$3686),'IN-CLASS_Lab Part C'!$J$3686,NA())</f>
        <v/>
      </c>
    </row>
    <row r="3687">
      <c r="J3687">
        <f>IF(AND(ISNUMBER('Data'!$F$3688),'Data'!$F$3688&lt;&gt;999,'Data'!$F$3688&lt;&gt;""),'Data'!$F$3688,"")</f>
        <v/>
      </c>
      <c r="Z3687" t="n">
        <v>1</v>
      </c>
      <c r="AA3687">
        <f>IF(ISNUMBER('IN-CLASS_Lab Part C'!$J$3687),'IN-CLASS_Lab Part C'!$J$3687,NA())</f>
        <v/>
      </c>
    </row>
    <row r="3688">
      <c r="J3688">
        <f>IF(AND(ISNUMBER('Data'!$F$3689),'Data'!$F$3689&lt;&gt;999,'Data'!$F$3689&lt;&gt;""),'Data'!$F$3689,"")</f>
        <v/>
      </c>
      <c r="Z3688" t="n">
        <v>1</v>
      </c>
      <c r="AA3688">
        <f>IF(ISNUMBER('IN-CLASS_Lab Part C'!$J$3688),'IN-CLASS_Lab Part C'!$J$3688,NA())</f>
        <v/>
      </c>
    </row>
    <row r="3689">
      <c r="J3689">
        <f>IF(AND(ISNUMBER('Data'!$F$3690),'Data'!$F$3690&lt;&gt;999,'Data'!$F$3690&lt;&gt;""),'Data'!$F$3690,"")</f>
        <v/>
      </c>
      <c r="Z3689" t="n">
        <v>1</v>
      </c>
      <c r="AA3689">
        <f>IF(ISNUMBER('IN-CLASS_Lab Part C'!$J$3689),'IN-CLASS_Lab Part C'!$J$3689,NA())</f>
        <v/>
      </c>
    </row>
    <row r="3690">
      <c r="J3690">
        <f>IF(AND(ISNUMBER('Data'!$F$3691),'Data'!$F$3691&lt;&gt;999,'Data'!$F$3691&lt;&gt;""),'Data'!$F$3691,"")</f>
        <v/>
      </c>
      <c r="Z3690" t="n">
        <v>1</v>
      </c>
      <c r="AA3690">
        <f>IF(ISNUMBER('IN-CLASS_Lab Part C'!$J$3690),'IN-CLASS_Lab Part C'!$J$3690,NA())</f>
        <v/>
      </c>
    </row>
    <row r="3691">
      <c r="J3691">
        <f>IF(AND(ISNUMBER('Data'!$F$3692),'Data'!$F$3692&lt;&gt;999,'Data'!$F$3692&lt;&gt;""),'Data'!$F$3692,"")</f>
        <v/>
      </c>
      <c r="Z3691" t="n">
        <v>1</v>
      </c>
      <c r="AA3691">
        <f>IF(ISNUMBER('IN-CLASS_Lab Part C'!$J$3691),'IN-CLASS_Lab Part C'!$J$3691,NA())</f>
        <v/>
      </c>
    </row>
    <row r="3692">
      <c r="J3692">
        <f>IF(AND(ISNUMBER('Data'!$F$3693),'Data'!$F$3693&lt;&gt;999,'Data'!$F$3693&lt;&gt;""),'Data'!$F$3693,"")</f>
        <v/>
      </c>
      <c r="Z3692" t="n">
        <v>1</v>
      </c>
      <c r="AA3692">
        <f>IF(ISNUMBER('IN-CLASS_Lab Part C'!$J$3692),'IN-CLASS_Lab Part C'!$J$3692,NA())</f>
        <v/>
      </c>
    </row>
    <row r="3693">
      <c r="J3693">
        <f>IF(AND(ISNUMBER('Data'!$F$3694),'Data'!$F$3694&lt;&gt;999,'Data'!$F$3694&lt;&gt;""),'Data'!$F$3694,"")</f>
        <v/>
      </c>
      <c r="Z3693" t="n">
        <v>1</v>
      </c>
      <c r="AA3693">
        <f>IF(ISNUMBER('IN-CLASS_Lab Part C'!$J$3693),'IN-CLASS_Lab Part C'!$J$3693,NA())</f>
        <v/>
      </c>
    </row>
    <row r="3694">
      <c r="J3694">
        <f>IF(AND(ISNUMBER('Data'!$F$3695),'Data'!$F$3695&lt;&gt;999,'Data'!$F$3695&lt;&gt;""),'Data'!$F$3695,"")</f>
        <v/>
      </c>
      <c r="Z3694" t="n">
        <v>1</v>
      </c>
      <c r="AA3694">
        <f>IF(ISNUMBER('IN-CLASS_Lab Part C'!$J$3694),'IN-CLASS_Lab Part C'!$J$3694,NA())</f>
        <v/>
      </c>
    </row>
    <row r="3695">
      <c r="J3695">
        <f>IF(AND(ISNUMBER('Data'!$F$3696),'Data'!$F$3696&lt;&gt;999,'Data'!$F$3696&lt;&gt;""),'Data'!$F$3696,"")</f>
        <v/>
      </c>
      <c r="Z3695" t="n">
        <v>1</v>
      </c>
      <c r="AA3695">
        <f>IF(ISNUMBER('IN-CLASS_Lab Part C'!$J$3695),'IN-CLASS_Lab Part C'!$J$3695,NA())</f>
        <v/>
      </c>
    </row>
    <row r="3696">
      <c r="J3696">
        <f>IF(AND(ISNUMBER('Data'!$F$3697),'Data'!$F$3697&lt;&gt;999,'Data'!$F$3697&lt;&gt;""),'Data'!$F$3697,"")</f>
        <v/>
      </c>
      <c r="Z3696" t="n">
        <v>1</v>
      </c>
      <c r="AA3696">
        <f>IF(ISNUMBER('IN-CLASS_Lab Part C'!$J$3696),'IN-CLASS_Lab Part C'!$J$3696,NA())</f>
        <v/>
      </c>
    </row>
    <row r="3697">
      <c r="J3697">
        <f>IF(AND(ISNUMBER('Data'!$F$3698),'Data'!$F$3698&lt;&gt;999,'Data'!$F$3698&lt;&gt;""),'Data'!$F$3698,"")</f>
        <v/>
      </c>
      <c r="Z3697" t="n">
        <v>1</v>
      </c>
      <c r="AA3697">
        <f>IF(ISNUMBER('IN-CLASS_Lab Part C'!$J$3697),'IN-CLASS_Lab Part C'!$J$3697,NA())</f>
        <v/>
      </c>
    </row>
    <row r="3698">
      <c r="J3698">
        <f>IF(AND(ISNUMBER('Data'!$F$3699),'Data'!$F$3699&lt;&gt;999,'Data'!$F$3699&lt;&gt;""),'Data'!$F$3699,"")</f>
        <v/>
      </c>
      <c r="Z3698" t="n">
        <v>1</v>
      </c>
      <c r="AA3698">
        <f>IF(ISNUMBER('IN-CLASS_Lab Part C'!$J$3698),'IN-CLASS_Lab Part C'!$J$3698,NA())</f>
        <v/>
      </c>
    </row>
    <row r="3699">
      <c r="J3699">
        <f>IF(AND(ISNUMBER('Data'!$F$3700),'Data'!$F$3700&lt;&gt;999,'Data'!$F$3700&lt;&gt;""),'Data'!$F$3700,"")</f>
        <v/>
      </c>
      <c r="Z3699" t="n">
        <v>1</v>
      </c>
      <c r="AA3699">
        <f>IF(ISNUMBER('IN-CLASS_Lab Part C'!$J$3699),'IN-CLASS_Lab Part C'!$J$3699,NA())</f>
        <v/>
      </c>
    </row>
    <row r="3700">
      <c r="J3700">
        <f>IF(AND(ISNUMBER('Data'!$F$3701),'Data'!$F$3701&lt;&gt;999,'Data'!$F$3701&lt;&gt;""),'Data'!$F$3701,"")</f>
        <v/>
      </c>
      <c r="Z3700" t="n">
        <v>1</v>
      </c>
      <c r="AA3700">
        <f>IF(ISNUMBER('IN-CLASS_Lab Part C'!$J$3700),'IN-CLASS_Lab Part C'!$J$3700,NA())</f>
        <v/>
      </c>
    </row>
    <row r="3701">
      <c r="J3701">
        <f>IF(AND(ISNUMBER('Data'!$F$3702),'Data'!$F$3702&lt;&gt;999,'Data'!$F$3702&lt;&gt;""),'Data'!$F$3702,"")</f>
        <v/>
      </c>
      <c r="Z3701" t="n">
        <v>1</v>
      </c>
      <c r="AA3701">
        <f>IF(ISNUMBER('IN-CLASS_Lab Part C'!$J$3701),'IN-CLASS_Lab Part C'!$J$3701,NA())</f>
        <v/>
      </c>
    </row>
    <row r="3702">
      <c r="J3702">
        <f>IF(AND(ISNUMBER('Data'!$F$3703),'Data'!$F$3703&lt;&gt;999,'Data'!$F$3703&lt;&gt;""),'Data'!$F$3703,"")</f>
        <v/>
      </c>
      <c r="Z3702" t="n">
        <v>1</v>
      </c>
      <c r="AA3702">
        <f>IF(ISNUMBER('IN-CLASS_Lab Part C'!$J$3702),'IN-CLASS_Lab Part C'!$J$3702,NA())</f>
        <v/>
      </c>
    </row>
    <row r="3703">
      <c r="J3703">
        <f>IF(AND(ISNUMBER('Data'!$F$3704),'Data'!$F$3704&lt;&gt;999,'Data'!$F$3704&lt;&gt;""),'Data'!$F$3704,"")</f>
        <v/>
      </c>
      <c r="Z3703" t="n">
        <v>1</v>
      </c>
      <c r="AA3703">
        <f>IF(ISNUMBER('IN-CLASS_Lab Part C'!$J$3703),'IN-CLASS_Lab Part C'!$J$3703,NA())</f>
        <v/>
      </c>
    </row>
    <row r="3704">
      <c r="J3704">
        <f>IF(AND(ISNUMBER('Data'!$F$3705),'Data'!$F$3705&lt;&gt;999,'Data'!$F$3705&lt;&gt;""),'Data'!$F$3705,"")</f>
        <v/>
      </c>
      <c r="Z3704" t="n">
        <v>1</v>
      </c>
      <c r="AA3704">
        <f>IF(ISNUMBER('IN-CLASS_Lab Part C'!$J$3704),'IN-CLASS_Lab Part C'!$J$3704,NA())</f>
        <v/>
      </c>
    </row>
    <row r="3705">
      <c r="J3705">
        <f>IF(AND(ISNUMBER('Data'!$F$3706),'Data'!$F$3706&lt;&gt;999,'Data'!$F$3706&lt;&gt;""),'Data'!$F$3706,"")</f>
        <v/>
      </c>
      <c r="Z3705" t="n">
        <v>1</v>
      </c>
      <c r="AA3705">
        <f>IF(ISNUMBER('IN-CLASS_Lab Part C'!$J$3705),'IN-CLASS_Lab Part C'!$J$3705,NA())</f>
        <v/>
      </c>
    </row>
    <row r="3706">
      <c r="J3706">
        <f>IF(AND(ISNUMBER('Data'!$F$3707),'Data'!$F$3707&lt;&gt;999,'Data'!$F$3707&lt;&gt;""),'Data'!$F$3707,"")</f>
        <v/>
      </c>
      <c r="Z3706" t="n">
        <v>1</v>
      </c>
      <c r="AA3706">
        <f>IF(ISNUMBER('IN-CLASS_Lab Part C'!$J$3706),'IN-CLASS_Lab Part C'!$J$3706,NA())</f>
        <v/>
      </c>
    </row>
    <row r="3707">
      <c r="J3707">
        <f>IF(AND(ISNUMBER('Data'!$F$3708),'Data'!$F$3708&lt;&gt;999,'Data'!$F$3708&lt;&gt;""),'Data'!$F$3708,"")</f>
        <v/>
      </c>
      <c r="Z3707" t="n">
        <v>1</v>
      </c>
      <c r="AA3707">
        <f>IF(ISNUMBER('IN-CLASS_Lab Part C'!$J$3707),'IN-CLASS_Lab Part C'!$J$3707,NA())</f>
        <v/>
      </c>
    </row>
    <row r="3708">
      <c r="J3708">
        <f>IF(AND(ISNUMBER('Data'!$F$3709),'Data'!$F$3709&lt;&gt;999,'Data'!$F$3709&lt;&gt;""),'Data'!$F$3709,"")</f>
        <v/>
      </c>
      <c r="Z3708" t="n">
        <v>1</v>
      </c>
      <c r="AA3708">
        <f>IF(ISNUMBER('IN-CLASS_Lab Part C'!$J$3708),'IN-CLASS_Lab Part C'!$J$3708,NA())</f>
        <v/>
      </c>
    </row>
    <row r="3709">
      <c r="J3709">
        <f>IF(AND(ISNUMBER('Data'!$F$3710),'Data'!$F$3710&lt;&gt;999,'Data'!$F$3710&lt;&gt;""),'Data'!$F$3710,"")</f>
        <v/>
      </c>
      <c r="Z3709" t="n">
        <v>1</v>
      </c>
      <c r="AA3709">
        <f>IF(ISNUMBER('IN-CLASS_Lab Part C'!$J$3709),'IN-CLASS_Lab Part C'!$J$3709,NA())</f>
        <v/>
      </c>
    </row>
    <row r="3710">
      <c r="J3710">
        <f>IF(AND(ISNUMBER('Data'!$F$3711),'Data'!$F$3711&lt;&gt;999,'Data'!$F$3711&lt;&gt;""),'Data'!$F$3711,"")</f>
        <v/>
      </c>
      <c r="Z3710" t="n">
        <v>1</v>
      </c>
      <c r="AA3710">
        <f>IF(ISNUMBER('IN-CLASS_Lab Part C'!$J$3710),'IN-CLASS_Lab Part C'!$J$3710,NA())</f>
        <v/>
      </c>
    </row>
    <row r="3711">
      <c r="J3711">
        <f>IF(AND(ISNUMBER('Data'!$F$3712),'Data'!$F$3712&lt;&gt;999,'Data'!$F$3712&lt;&gt;""),'Data'!$F$3712,"")</f>
        <v/>
      </c>
      <c r="Z3711" t="n">
        <v>1</v>
      </c>
      <c r="AA3711">
        <f>IF(ISNUMBER('IN-CLASS_Lab Part C'!$J$3711),'IN-CLASS_Lab Part C'!$J$3711,NA())</f>
        <v/>
      </c>
    </row>
    <row r="3712">
      <c r="J3712">
        <f>IF(AND(ISNUMBER('Data'!$F$3713),'Data'!$F$3713&lt;&gt;999,'Data'!$F$3713&lt;&gt;""),'Data'!$F$3713,"")</f>
        <v/>
      </c>
      <c r="Z3712" t="n">
        <v>1</v>
      </c>
      <c r="AA3712">
        <f>IF(ISNUMBER('IN-CLASS_Lab Part C'!$J$3712),'IN-CLASS_Lab Part C'!$J$3712,NA())</f>
        <v/>
      </c>
    </row>
    <row r="3713">
      <c r="J3713">
        <f>IF(AND(ISNUMBER('Data'!$F$3714),'Data'!$F$3714&lt;&gt;999,'Data'!$F$3714&lt;&gt;""),'Data'!$F$3714,"")</f>
        <v/>
      </c>
      <c r="Z3713" t="n">
        <v>1</v>
      </c>
      <c r="AA3713">
        <f>IF(ISNUMBER('IN-CLASS_Lab Part C'!$J$3713),'IN-CLASS_Lab Part C'!$J$3713,NA())</f>
        <v/>
      </c>
    </row>
    <row r="3714">
      <c r="J3714">
        <f>IF(AND(ISNUMBER('Data'!$F$3715),'Data'!$F$3715&lt;&gt;999,'Data'!$F$3715&lt;&gt;""),'Data'!$F$3715,"")</f>
        <v/>
      </c>
      <c r="Z3714" t="n">
        <v>1</v>
      </c>
      <c r="AA3714">
        <f>IF(ISNUMBER('IN-CLASS_Lab Part C'!$J$3714),'IN-CLASS_Lab Part C'!$J$3714,NA())</f>
        <v/>
      </c>
    </row>
    <row r="3715">
      <c r="J3715">
        <f>IF(AND(ISNUMBER('Data'!$F$3716),'Data'!$F$3716&lt;&gt;999,'Data'!$F$3716&lt;&gt;""),'Data'!$F$3716,"")</f>
        <v/>
      </c>
      <c r="Z3715" t="n">
        <v>1</v>
      </c>
      <c r="AA3715">
        <f>IF(ISNUMBER('IN-CLASS_Lab Part C'!$J$3715),'IN-CLASS_Lab Part C'!$J$3715,NA())</f>
        <v/>
      </c>
    </row>
    <row r="3716">
      <c r="J3716">
        <f>IF(AND(ISNUMBER('Data'!$F$3717),'Data'!$F$3717&lt;&gt;999,'Data'!$F$3717&lt;&gt;""),'Data'!$F$3717,"")</f>
        <v/>
      </c>
      <c r="Z3716" t="n">
        <v>1</v>
      </c>
      <c r="AA3716">
        <f>IF(ISNUMBER('IN-CLASS_Lab Part C'!$J$3716),'IN-CLASS_Lab Part C'!$J$3716,NA())</f>
        <v/>
      </c>
    </row>
    <row r="3717">
      <c r="J3717">
        <f>IF(AND(ISNUMBER('Data'!$F$3718),'Data'!$F$3718&lt;&gt;999,'Data'!$F$3718&lt;&gt;""),'Data'!$F$3718,"")</f>
        <v/>
      </c>
      <c r="Z3717" t="n">
        <v>1</v>
      </c>
      <c r="AA3717">
        <f>IF(ISNUMBER('IN-CLASS_Lab Part C'!$J$3717),'IN-CLASS_Lab Part C'!$J$3717,NA())</f>
        <v/>
      </c>
    </row>
    <row r="3718">
      <c r="J3718">
        <f>IF(AND(ISNUMBER('Data'!$F$3719),'Data'!$F$3719&lt;&gt;999,'Data'!$F$3719&lt;&gt;""),'Data'!$F$3719,"")</f>
        <v/>
      </c>
      <c r="Z3718" t="n">
        <v>1</v>
      </c>
      <c r="AA3718">
        <f>IF(ISNUMBER('IN-CLASS_Lab Part C'!$J$3718),'IN-CLASS_Lab Part C'!$J$3718,NA())</f>
        <v/>
      </c>
    </row>
    <row r="3719">
      <c r="J3719">
        <f>IF(AND(ISNUMBER('Data'!$F$3720),'Data'!$F$3720&lt;&gt;999,'Data'!$F$3720&lt;&gt;""),'Data'!$F$3720,"")</f>
        <v/>
      </c>
      <c r="Z3719" t="n">
        <v>1</v>
      </c>
      <c r="AA3719">
        <f>IF(ISNUMBER('IN-CLASS_Lab Part C'!$J$3719),'IN-CLASS_Lab Part C'!$J$3719,NA())</f>
        <v/>
      </c>
    </row>
    <row r="3720">
      <c r="J3720">
        <f>IF(AND(ISNUMBER('Data'!$F$3721),'Data'!$F$3721&lt;&gt;999,'Data'!$F$3721&lt;&gt;""),'Data'!$F$3721,"")</f>
        <v/>
      </c>
      <c r="Z3720" t="n">
        <v>1</v>
      </c>
      <c r="AA3720">
        <f>IF(ISNUMBER('IN-CLASS_Lab Part C'!$J$3720),'IN-CLASS_Lab Part C'!$J$3720,NA())</f>
        <v/>
      </c>
    </row>
    <row r="3721">
      <c r="J3721">
        <f>IF(AND(ISNUMBER('Data'!$F$3722),'Data'!$F$3722&lt;&gt;999,'Data'!$F$3722&lt;&gt;""),'Data'!$F$3722,"")</f>
        <v/>
      </c>
      <c r="Z3721" t="n">
        <v>1</v>
      </c>
      <c r="AA3721">
        <f>IF(ISNUMBER('IN-CLASS_Lab Part C'!$J$3721),'IN-CLASS_Lab Part C'!$J$3721,NA())</f>
        <v/>
      </c>
    </row>
    <row r="3722">
      <c r="J3722">
        <f>IF(AND(ISNUMBER('Data'!$F$3723),'Data'!$F$3723&lt;&gt;999,'Data'!$F$3723&lt;&gt;""),'Data'!$F$3723,"")</f>
        <v/>
      </c>
      <c r="Z3722" t="n">
        <v>1</v>
      </c>
      <c r="AA3722">
        <f>IF(ISNUMBER('IN-CLASS_Lab Part C'!$J$3722),'IN-CLASS_Lab Part C'!$J$3722,NA())</f>
        <v/>
      </c>
    </row>
    <row r="3723">
      <c r="J3723">
        <f>IF(AND(ISNUMBER('Data'!$F$3724),'Data'!$F$3724&lt;&gt;999,'Data'!$F$3724&lt;&gt;""),'Data'!$F$3724,"")</f>
        <v/>
      </c>
      <c r="Z3723" t="n">
        <v>1</v>
      </c>
      <c r="AA3723">
        <f>IF(ISNUMBER('IN-CLASS_Lab Part C'!$J$3723),'IN-CLASS_Lab Part C'!$J$3723,NA())</f>
        <v/>
      </c>
    </row>
    <row r="3724">
      <c r="J3724">
        <f>IF(AND(ISNUMBER('Data'!$F$3725),'Data'!$F$3725&lt;&gt;999,'Data'!$F$3725&lt;&gt;""),'Data'!$F$3725,"")</f>
        <v/>
      </c>
      <c r="Z3724" t="n">
        <v>1</v>
      </c>
      <c r="AA3724">
        <f>IF(ISNUMBER('IN-CLASS_Lab Part C'!$J$3724),'IN-CLASS_Lab Part C'!$J$3724,NA())</f>
        <v/>
      </c>
    </row>
    <row r="3725">
      <c r="J3725">
        <f>IF(AND(ISNUMBER('Data'!$F$3726),'Data'!$F$3726&lt;&gt;999,'Data'!$F$3726&lt;&gt;""),'Data'!$F$3726,"")</f>
        <v/>
      </c>
      <c r="Z3725" t="n">
        <v>1</v>
      </c>
      <c r="AA3725">
        <f>IF(ISNUMBER('IN-CLASS_Lab Part C'!$J$3725),'IN-CLASS_Lab Part C'!$J$3725,NA())</f>
        <v/>
      </c>
    </row>
    <row r="3726">
      <c r="J3726">
        <f>IF(AND(ISNUMBER('Data'!$F$3727),'Data'!$F$3727&lt;&gt;999,'Data'!$F$3727&lt;&gt;""),'Data'!$F$3727,"")</f>
        <v/>
      </c>
      <c r="Z3726" t="n">
        <v>1</v>
      </c>
      <c r="AA3726">
        <f>IF(ISNUMBER('IN-CLASS_Lab Part C'!$J$3726),'IN-CLASS_Lab Part C'!$J$3726,NA())</f>
        <v/>
      </c>
    </row>
    <row r="3727">
      <c r="J3727">
        <f>IF(AND(ISNUMBER('Data'!$F$3728),'Data'!$F$3728&lt;&gt;999,'Data'!$F$3728&lt;&gt;""),'Data'!$F$3728,"")</f>
        <v/>
      </c>
      <c r="Z3727" t="n">
        <v>1</v>
      </c>
      <c r="AA3727">
        <f>IF(ISNUMBER('IN-CLASS_Lab Part C'!$J$3727),'IN-CLASS_Lab Part C'!$J$3727,NA())</f>
        <v/>
      </c>
    </row>
    <row r="3728">
      <c r="J3728">
        <f>IF(AND(ISNUMBER('Data'!$F$3729),'Data'!$F$3729&lt;&gt;999,'Data'!$F$3729&lt;&gt;""),'Data'!$F$3729,"")</f>
        <v/>
      </c>
      <c r="Z3728" t="n">
        <v>1</v>
      </c>
      <c r="AA3728">
        <f>IF(ISNUMBER('IN-CLASS_Lab Part C'!$J$3728),'IN-CLASS_Lab Part C'!$J$3728,NA())</f>
        <v/>
      </c>
    </row>
    <row r="3729">
      <c r="J3729">
        <f>IF(AND(ISNUMBER('Data'!$F$3730),'Data'!$F$3730&lt;&gt;999,'Data'!$F$3730&lt;&gt;""),'Data'!$F$3730,"")</f>
        <v/>
      </c>
      <c r="Z3729" t="n">
        <v>1</v>
      </c>
      <c r="AA3729">
        <f>IF(ISNUMBER('IN-CLASS_Lab Part C'!$J$3729),'IN-CLASS_Lab Part C'!$J$3729,NA())</f>
        <v/>
      </c>
    </row>
    <row r="3730">
      <c r="J3730">
        <f>IF(AND(ISNUMBER('Data'!$F$3731),'Data'!$F$3731&lt;&gt;999,'Data'!$F$3731&lt;&gt;""),'Data'!$F$3731,"")</f>
        <v/>
      </c>
      <c r="Z3730" t="n">
        <v>1</v>
      </c>
      <c r="AA3730">
        <f>IF(ISNUMBER('IN-CLASS_Lab Part C'!$J$3730),'IN-CLASS_Lab Part C'!$J$3730,NA())</f>
        <v/>
      </c>
    </row>
    <row r="3731">
      <c r="J3731">
        <f>IF(AND(ISNUMBER('Data'!$F$3732),'Data'!$F$3732&lt;&gt;999,'Data'!$F$3732&lt;&gt;""),'Data'!$F$3732,"")</f>
        <v/>
      </c>
      <c r="Z3731" t="n">
        <v>1</v>
      </c>
      <c r="AA3731">
        <f>IF(ISNUMBER('IN-CLASS_Lab Part C'!$J$3731),'IN-CLASS_Lab Part C'!$J$3731,NA())</f>
        <v/>
      </c>
    </row>
    <row r="3732">
      <c r="J3732">
        <f>IF(AND(ISNUMBER('Data'!$F$3733),'Data'!$F$3733&lt;&gt;999,'Data'!$F$3733&lt;&gt;""),'Data'!$F$3733,"")</f>
        <v/>
      </c>
      <c r="Z3732" t="n">
        <v>1</v>
      </c>
      <c r="AA3732">
        <f>IF(ISNUMBER('IN-CLASS_Lab Part C'!$J$3732),'IN-CLASS_Lab Part C'!$J$3732,NA())</f>
        <v/>
      </c>
    </row>
    <row r="3733">
      <c r="J3733">
        <f>IF(AND(ISNUMBER('Data'!$F$3734),'Data'!$F$3734&lt;&gt;999,'Data'!$F$3734&lt;&gt;""),'Data'!$F$3734,"")</f>
        <v/>
      </c>
      <c r="Z3733" t="n">
        <v>1</v>
      </c>
      <c r="AA3733">
        <f>IF(ISNUMBER('IN-CLASS_Lab Part C'!$J$3733),'IN-CLASS_Lab Part C'!$J$3733,NA())</f>
        <v/>
      </c>
    </row>
    <row r="3734">
      <c r="J3734">
        <f>IF(AND(ISNUMBER('Data'!$F$3735),'Data'!$F$3735&lt;&gt;999,'Data'!$F$3735&lt;&gt;""),'Data'!$F$3735,"")</f>
        <v/>
      </c>
      <c r="Z3734" t="n">
        <v>1</v>
      </c>
      <c r="AA3734">
        <f>IF(ISNUMBER('IN-CLASS_Lab Part C'!$J$3734),'IN-CLASS_Lab Part C'!$J$3734,NA())</f>
        <v/>
      </c>
    </row>
    <row r="3735">
      <c r="J3735">
        <f>IF(AND(ISNUMBER('Data'!$F$3736),'Data'!$F$3736&lt;&gt;999,'Data'!$F$3736&lt;&gt;""),'Data'!$F$3736,"")</f>
        <v/>
      </c>
      <c r="Z3735" t="n">
        <v>1</v>
      </c>
      <c r="AA3735">
        <f>IF(ISNUMBER('IN-CLASS_Lab Part C'!$J$3735),'IN-CLASS_Lab Part C'!$J$3735,NA())</f>
        <v/>
      </c>
    </row>
    <row r="3736">
      <c r="J3736">
        <f>IF(AND(ISNUMBER('Data'!$F$3737),'Data'!$F$3737&lt;&gt;999,'Data'!$F$3737&lt;&gt;""),'Data'!$F$3737,"")</f>
        <v/>
      </c>
      <c r="Z3736" t="n">
        <v>1</v>
      </c>
      <c r="AA3736">
        <f>IF(ISNUMBER('IN-CLASS_Lab Part C'!$J$3736),'IN-CLASS_Lab Part C'!$J$3736,NA())</f>
        <v/>
      </c>
    </row>
    <row r="3737">
      <c r="J3737">
        <f>IF(AND(ISNUMBER('Data'!$F$3738),'Data'!$F$3738&lt;&gt;999,'Data'!$F$3738&lt;&gt;""),'Data'!$F$3738,"")</f>
        <v/>
      </c>
      <c r="Z3737" t="n">
        <v>1</v>
      </c>
      <c r="AA3737">
        <f>IF(ISNUMBER('IN-CLASS_Lab Part C'!$J$3737),'IN-CLASS_Lab Part C'!$J$3737,NA())</f>
        <v/>
      </c>
    </row>
    <row r="3738">
      <c r="J3738">
        <f>IF(AND(ISNUMBER('Data'!$F$3739),'Data'!$F$3739&lt;&gt;999,'Data'!$F$3739&lt;&gt;""),'Data'!$F$3739,"")</f>
        <v/>
      </c>
      <c r="Z3738" t="n">
        <v>1</v>
      </c>
      <c r="AA3738">
        <f>IF(ISNUMBER('IN-CLASS_Lab Part C'!$J$3738),'IN-CLASS_Lab Part C'!$J$3738,NA())</f>
        <v/>
      </c>
    </row>
    <row r="3739">
      <c r="J3739">
        <f>IF(AND(ISNUMBER('Data'!$F$3740),'Data'!$F$3740&lt;&gt;999,'Data'!$F$3740&lt;&gt;""),'Data'!$F$3740,"")</f>
        <v/>
      </c>
      <c r="Z3739" t="n">
        <v>1</v>
      </c>
      <c r="AA3739">
        <f>IF(ISNUMBER('IN-CLASS_Lab Part C'!$J$3739),'IN-CLASS_Lab Part C'!$J$3739,NA())</f>
        <v/>
      </c>
    </row>
    <row r="3740">
      <c r="J3740">
        <f>IF(AND(ISNUMBER('Data'!$F$3741),'Data'!$F$3741&lt;&gt;999,'Data'!$F$3741&lt;&gt;""),'Data'!$F$3741,"")</f>
        <v/>
      </c>
      <c r="Z3740" t="n">
        <v>1</v>
      </c>
      <c r="AA3740">
        <f>IF(ISNUMBER('IN-CLASS_Lab Part C'!$J$3740),'IN-CLASS_Lab Part C'!$J$3740,NA())</f>
        <v/>
      </c>
    </row>
    <row r="3741">
      <c r="J3741">
        <f>IF(AND(ISNUMBER('Data'!$F$3742),'Data'!$F$3742&lt;&gt;999,'Data'!$F$3742&lt;&gt;""),'Data'!$F$3742,"")</f>
        <v/>
      </c>
      <c r="Z3741" t="n">
        <v>1</v>
      </c>
      <c r="AA3741">
        <f>IF(ISNUMBER('IN-CLASS_Lab Part C'!$J$3741),'IN-CLASS_Lab Part C'!$J$3741,NA())</f>
        <v/>
      </c>
    </row>
    <row r="3742">
      <c r="J3742">
        <f>IF(AND(ISNUMBER('Data'!$F$3743),'Data'!$F$3743&lt;&gt;999,'Data'!$F$3743&lt;&gt;""),'Data'!$F$3743,"")</f>
        <v/>
      </c>
      <c r="Z3742" t="n">
        <v>1</v>
      </c>
      <c r="AA3742">
        <f>IF(ISNUMBER('IN-CLASS_Lab Part C'!$J$3742),'IN-CLASS_Lab Part C'!$J$3742,NA())</f>
        <v/>
      </c>
    </row>
    <row r="3743">
      <c r="J3743">
        <f>IF(AND(ISNUMBER('Data'!$F$3744),'Data'!$F$3744&lt;&gt;999,'Data'!$F$3744&lt;&gt;""),'Data'!$F$3744,"")</f>
        <v/>
      </c>
      <c r="Z3743" t="n">
        <v>1</v>
      </c>
      <c r="AA3743">
        <f>IF(ISNUMBER('IN-CLASS_Lab Part C'!$J$3743),'IN-CLASS_Lab Part C'!$J$3743,NA())</f>
        <v/>
      </c>
    </row>
    <row r="3744">
      <c r="J3744">
        <f>IF(AND(ISNUMBER('Data'!$F$3745),'Data'!$F$3745&lt;&gt;999,'Data'!$F$3745&lt;&gt;""),'Data'!$F$3745,"")</f>
        <v/>
      </c>
      <c r="Z3744" t="n">
        <v>1</v>
      </c>
      <c r="AA3744">
        <f>IF(ISNUMBER('IN-CLASS_Lab Part C'!$J$3744),'IN-CLASS_Lab Part C'!$J$3744,NA())</f>
        <v/>
      </c>
    </row>
    <row r="3745">
      <c r="J3745">
        <f>IF(AND(ISNUMBER('Data'!$F$3746),'Data'!$F$3746&lt;&gt;999,'Data'!$F$3746&lt;&gt;""),'Data'!$F$3746,"")</f>
        <v/>
      </c>
      <c r="Z3745" t="n">
        <v>1</v>
      </c>
      <c r="AA3745">
        <f>IF(ISNUMBER('IN-CLASS_Lab Part C'!$J$3745),'IN-CLASS_Lab Part C'!$J$3745,NA())</f>
        <v/>
      </c>
    </row>
    <row r="3746">
      <c r="J3746">
        <f>IF(AND(ISNUMBER('Data'!$F$3747),'Data'!$F$3747&lt;&gt;999,'Data'!$F$3747&lt;&gt;""),'Data'!$F$3747,"")</f>
        <v/>
      </c>
      <c r="Z3746" t="n">
        <v>1</v>
      </c>
      <c r="AA3746">
        <f>IF(ISNUMBER('IN-CLASS_Lab Part C'!$J$3746),'IN-CLASS_Lab Part C'!$J$3746,NA())</f>
        <v/>
      </c>
    </row>
    <row r="3747">
      <c r="J3747">
        <f>IF(AND(ISNUMBER('Data'!$F$3748),'Data'!$F$3748&lt;&gt;999,'Data'!$F$3748&lt;&gt;""),'Data'!$F$3748,"")</f>
        <v/>
      </c>
      <c r="Z3747" t="n">
        <v>1</v>
      </c>
      <c r="AA3747">
        <f>IF(ISNUMBER('IN-CLASS_Lab Part C'!$J$3747),'IN-CLASS_Lab Part C'!$J$3747,NA())</f>
        <v/>
      </c>
    </row>
    <row r="3748">
      <c r="J3748">
        <f>IF(AND(ISNUMBER('Data'!$F$3749),'Data'!$F$3749&lt;&gt;999,'Data'!$F$3749&lt;&gt;""),'Data'!$F$3749,"")</f>
        <v/>
      </c>
      <c r="Z3748" t="n">
        <v>1</v>
      </c>
      <c r="AA3748">
        <f>IF(ISNUMBER('IN-CLASS_Lab Part C'!$J$3748),'IN-CLASS_Lab Part C'!$J$3748,NA())</f>
        <v/>
      </c>
    </row>
    <row r="3749">
      <c r="J3749">
        <f>IF(AND(ISNUMBER('Data'!$F$3750),'Data'!$F$3750&lt;&gt;999,'Data'!$F$3750&lt;&gt;""),'Data'!$F$3750,"")</f>
        <v/>
      </c>
      <c r="Z3749" t="n">
        <v>1</v>
      </c>
      <c r="AA3749">
        <f>IF(ISNUMBER('IN-CLASS_Lab Part C'!$J$3749),'IN-CLASS_Lab Part C'!$J$3749,NA())</f>
        <v/>
      </c>
    </row>
    <row r="3750">
      <c r="J3750">
        <f>IF(AND(ISNUMBER('Data'!$F$3751),'Data'!$F$3751&lt;&gt;999,'Data'!$F$3751&lt;&gt;""),'Data'!$F$3751,"")</f>
        <v/>
      </c>
      <c r="Z3750" t="n">
        <v>1</v>
      </c>
      <c r="AA3750">
        <f>IF(ISNUMBER('IN-CLASS_Lab Part C'!$J$3750),'IN-CLASS_Lab Part C'!$J$3750,NA())</f>
        <v/>
      </c>
    </row>
    <row r="3751">
      <c r="J3751">
        <f>IF(AND(ISNUMBER('Data'!$F$3752),'Data'!$F$3752&lt;&gt;999,'Data'!$F$3752&lt;&gt;""),'Data'!$F$3752,"")</f>
        <v/>
      </c>
      <c r="Z3751" t="n">
        <v>1</v>
      </c>
      <c r="AA3751">
        <f>IF(ISNUMBER('IN-CLASS_Lab Part C'!$J$3751),'IN-CLASS_Lab Part C'!$J$3751,NA())</f>
        <v/>
      </c>
    </row>
    <row r="3752">
      <c r="J3752">
        <f>IF(AND(ISNUMBER('Data'!$F$3753),'Data'!$F$3753&lt;&gt;999,'Data'!$F$3753&lt;&gt;""),'Data'!$F$3753,"")</f>
        <v/>
      </c>
      <c r="Z3752" t="n">
        <v>1</v>
      </c>
      <c r="AA3752">
        <f>IF(ISNUMBER('IN-CLASS_Lab Part C'!$J$3752),'IN-CLASS_Lab Part C'!$J$3752,NA())</f>
        <v/>
      </c>
    </row>
    <row r="3753">
      <c r="J3753">
        <f>IF(AND(ISNUMBER('Data'!$F$3754),'Data'!$F$3754&lt;&gt;999,'Data'!$F$3754&lt;&gt;""),'Data'!$F$3754,"")</f>
        <v/>
      </c>
      <c r="Z3753" t="n">
        <v>1</v>
      </c>
      <c r="AA3753">
        <f>IF(ISNUMBER('IN-CLASS_Lab Part C'!$J$3753),'IN-CLASS_Lab Part C'!$J$3753,NA())</f>
        <v/>
      </c>
    </row>
    <row r="3754">
      <c r="J3754">
        <f>IF(AND(ISNUMBER('Data'!$F$3755),'Data'!$F$3755&lt;&gt;999,'Data'!$F$3755&lt;&gt;""),'Data'!$F$3755,"")</f>
        <v/>
      </c>
      <c r="Z3754" t="n">
        <v>1</v>
      </c>
      <c r="AA3754">
        <f>IF(ISNUMBER('IN-CLASS_Lab Part C'!$J$3754),'IN-CLASS_Lab Part C'!$J$3754,NA())</f>
        <v/>
      </c>
    </row>
    <row r="3755">
      <c r="J3755">
        <f>IF(AND(ISNUMBER('Data'!$F$3756),'Data'!$F$3756&lt;&gt;999,'Data'!$F$3756&lt;&gt;""),'Data'!$F$3756,"")</f>
        <v/>
      </c>
      <c r="Z3755" t="n">
        <v>1</v>
      </c>
      <c r="AA3755">
        <f>IF(ISNUMBER('IN-CLASS_Lab Part C'!$J$3755),'IN-CLASS_Lab Part C'!$J$3755,NA())</f>
        <v/>
      </c>
    </row>
    <row r="3756">
      <c r="J3756">
        <f>IF(AND(ISNUMBER('Data'!$F$3757),'Data'!$F$3757&lt;&gt;999,'Data'!$F$3757&lt;&gt;""),'Data'!$F$3757,"")</f>
        <v/>
      </c>
      <c r="Z3756" t="n">
        <v>1</v>
      </c>
      <c r="AA3756">
        <f>IF(ISNUMBER('IN-CLASS_Lab Part C'!$J$3756),'IN-CLASS_Lab Part C'!$J$3756,NA())</f>
        <v/>
      </c>
    </row>
    <row r="3757">
      <c r="J3757">
        <f>IF(AND(ISNUMBER('Data'!$F$3758),'Data'!$F$3758&lt;&gt;999,'Data'!$F$3758&lt;&gt;""),'Data'!$F$3758,"")</f>
        <v/>
      </c>
      <c r="Z3757" t="n">
        <v>1</v>
      </c>
      <c r="AA3757">
        <f>IF(ISNUMBER('IN-CLASS_Lab Part C'!$J$3757),'IN-CLASS_Lab Part C'!$J$3757,NA())</f>
        <v/>
      </c>
    </row>
    <row r="3758">
      <c r="J3758">
        <f>IF(AND(ISNUMBER('Data'!$F$3759),'Data'!$F$3759&lt;&gt;999,'Data'!$F$3759&lt;&gt;""),'Data'!$F$3759,"")</f>
        <v/>
      </c>
      <c r="Z3758" t="n">
        <v>1</v>
      </c>
      <c r="AA3758">
        <f>IF(ISNUMBER('IN-CLASS_Lab Part C'!$J$3758),'IN-CLASS_Lab Part C'!$J$3758,NA())</f>
        <v/>
      </c>
    </row>
    <row r="3759">
      <c r="J3759">
        <f>IF(AND(ISNUMBER('Data'!$F$3760),'Data'!$F$3760&lt;&gt;999,'Data'!$F$3760&lt;&gt;""),'Data'!$F$3760,"")</f>
        <v/>
      </c>
      <c r="Z3759" t="n">
        <v>1</v>
      </c>
      <c r="AA3759">
        <f>IF(ISNUMBER('IN-CLASS_Lab Part C'!$J$3759),'IN-CLASS_Lab Part C'!$J$3759,NA())</f>
        <v/>
      </c>
    </row>
    <row r="3760">
      <c r="J3760">
        <f>IF(AND(ISNUMBER('Data'!$F$3761),'Data'!$F$3761&lt;&gt;999,'Data'!$F$3761&lt;&gt;""),'Data'!$F$3761,"")</f>
        <v/>
      </c>
      <c r="Z3760" t="n">
        <v>1</v>
      </c>
      <c r="AA3760">
        <f>IF(ISNUMBER('IN-CLASS_Lab Part C'!$J$3760),'IN-CLASS_Lab Part C'!$J$3760,NA())</f>
        <v/>
      </c>
    </row>
    <row r="3761">
      <c r="J3761">
        <f>IF(AND(ISNUMBER('Data'!$F$3762),'Data'!$F$3762&lt;&gt;999,'Data'!$F$3762&lt;&gt;""),'Data'!$F$3762,"")</f>
        <v/>
      </c>
      <c r="Z3761" t="n">
        <v>1</v>
      </c>
      <c r="AA3761">
        <f>IF(ISNUMBER('IN-CLASS_Lab Part C'!$J$3761),'IN-CLASS_Lab Part C'!$J$3761,NA())</f>
        <v/>
      </c>
    </row>
    <row r="3762">
      <c r="J3762">
        <f>IF(AND(ISNUMBER('Data'!$F$3763),'Data'!$F$3763&lt;&gt;999,'Data'!$F$3763&lt;&gt;""),'Data'!$F$3763,"")</f>
        <v/>
      </c>
      <c r="Z3762" t="n">
        <v>1</v>
      </c>
      <c r="AA3762">
        <f>IF(ISNUMBER('IN-CLASS_Lab Part C'!$J$3762),'IN-CLASS_Lab Part C'!$J$3762,NA())</f>
        <v/>
      </c>
    </row>
    <row r="3763">
      <c r="J3763">
        <f>IF(AND(ISNUMBER('Data'!$F$3764),'Data'!$F$3764&lt;&gt;999,'Data'!$F$3764&lt;&gt;""),'Data'!$F$3764,"")</f>
        <v/>
      </c>
      <c r="Z3763" t="n">
        <v>1</v>
      </c>
      <c r="AA3763">
        <f>IF(ISNUMBER('IN-CLASS_Lab Part C'!$J$3763),'IN-CLASS_Lab Part C'!$J$3763,NA())</f>
        <v/>
      </c>
    </row>
    <row r="3764">
      <c r="J3764">
        <f>IF(AND(ISNUMBER('Data'!$F$3765),'Data'!$F$3765&lt;&gt;999,'Data'!$F$3765&lt;&gt;""),'Data'!$F$3765,"")</f>
        <v/>
      </c>
      <c r="Z3764" t="n">
        <v>1</v>
      </c>
      <c r="AA3764">
        <f>IF(ISNUMBER('IN-CLASS_Lab Part C'!$J$3764),'IN-CLASS_Lab Part C'!$J$3764,NA())</f>
        <v/>
      </c>
    </row>
    <row r="3765">
      <c r="J3765">
        <f>IF(AND(ISNUMBER('Data'!$F$3766),'Data'!$F$3766&lt;&gt;999,'Data'!$F$3766&lt;&gt;""),'Data'!$F$3766,"")</f>
        <v/>
      </c>
      <c r="Z3765" t="n">
        <v>1</v>
      </c>
      <c r="AA3765">
        <f>IF(ISNUMBER('IN-CLASS_Lab Part C'!$J$3765),'IN-CLASS_Lab Part C'!$J$3765,NA())</f>
        <v/>
      </c>
    </row>
    <row r="3766">
      <c r="J3766">
        <f>IF(AND(ISNUMBER('Data'!$F$3767),'Data'!$F$3767&lt;&gt;999,'Data'!$F$3767&lt;&gt;""),'Data'!$F$3767,"")</f>
        <v/>
      </c>
      <c r="Z3766" t="n">
        <v>1</v>
      </c>
      <c r="AA3766">
        <f>IF(ISNUMBER('IN-CLASS_Lab Part C'!$J$3766),'IN-CLASS_Lab Part C'!$J$3766,NA())</f>
        <v/>
      </c>
    </row>
    <row r="3767">
      <c r="J3767">
        <f>IF(AND(ISNUMBER('Data'!$F$3768),'Data'!$F$3768&lt;&gt;999,'Data'!$F$3768&lt;&gt;""),'Data'!$F$3768,"")</f>
        <v/>
      </c>
      <c r="Z3767" t="n">
        <v>1</v>
      </c>
      <c r="AA3767">
        <f>IF(ISNUMBER('IN-CLASS_Lab Part C'!$J$3767),'IN-CLASS_Lab Part C'!$J$3767,NA())</f>
        <v/>
      </c>
    </row>
    <row r="3768">
      <c r="J3768">
        <f>IF(AND(ISNUMBER('Data'!$F$3769),'Data'!$F$3769&lt;&gt;999,'Data'!$F$3769&lt;&gt;""),'Data'!$F$3769,"")</f>
        <v/>
      </c>
      <c r="Z3768" t="n">
        <v>1</v>
      </c>
      <c r="AA3768">
        <f>IF(ISNUMBER('IN-CLASS_Lab Part C'!$J$3768),'IN-CLASS_Lab Part C'!$J$3768,NA())</f>
        <v/>
      </c>
    </row>
    <row r="3769">
      <c r="J3769">
        <f>IF(AND(ISNUMBER('Data'!$F$3770),'Data'!$F$3770&lt;&gt;999,'Data'!$F$3770&lt;&gt;""),'Data'!$F$3770,"")</f>
        <v/>
      </c>
      <c r="Z3769" t="n">
        <v>1</v>
      </c>
      <c r="AA3769">
        <f>IF(ISNUMBER('IN-CLASS_Lab Part C'!$J$3769),'IN-CLASS_Lab Part C'!$J$3769,NA())</f>
        <v/>
      </c>
    </row>
    <row r="3770">
      <c r="J3770">
        <f>IF(AND(ISNUMBER('Data'!$F$3771),'Data'!$F$3771&lt;&gt;999,'Data'!$F$3771&lt;&gt;""),'Data'!$F$3771,"")</f>
        <v/>
      </c>
      <c r="Z3770" t="n">
        <v>1</v>
      </c>
      <c r="AA3770">
        <f>IF(ISNUMBER('IN-CLASS_Lab Part C'!$J$3770),'IN-CLASS_Lab Part C'!$J$3770,NA())</f>
        <v/>
      </c>
    </row>
    <row r="3771">
      <c r="J3771">
        <f>IF(AND(ISNUMBER('Data'!$F$3772),'Data'!$F$3772&lt;&gt;999,'Data'!$F$3772&lt;&gt;""),'Data'!$F$3772,"")</f>
        <v/>
      </c>
      <c r="Z3771" t="n">
        <v>1</v>
      </c>
      <c r="AA3771">
        <f>IF(ISNUMBER('IN-CLASS_Lab Part C'!$J$3771),'IN-CLASS_Lab Part C'!$J$3771,NA())</f>
        <v/>
      </c>
    </row>
    <row r="3772">
      <c r="J3772">
        <f>IF(AND(ISNUMBER('Data'!$F$3773),'Data'!$F$3773&lt;&gt;999,'Data'!$F$3773&lt;&gt;""),'Data'!$F$3773,"")</f>
        <v/>
      </c>
      <c r="Z3772" t="n">
        <v>1</v>
      </c>
      <c r="AA3772">
        <f>IF(ISNUMBER('IN-CLASS_Lab Part C'!$J$3772),'IN-CLASS_Lab Part C'!$J$3772,NA())</f>
        <v/>
      </c>
    </row>
    <row r="3773">
      <c r="J3773">
        <f>IF(AND(ISNUMBER('Data'!$F$3774),'Data'!$F$3774&lt;&gt;999,'Data'!$F$3774&lt;&gt;""),'Data'!$F$3774,"")</f>
        <v/>
      </c>
      <c r="Z3773" t="n">
        <v>1</v>
      </c>
      <c r="AA3773">
        <f>IF(ISNUMBER('IN-CLASS_Lab Part C'!$J$3773),'IN-CLASS_Lab Part C'!$J$3773,NA())</f>
        <v/>
      </c>
    </row>
    <row r="3774">
      <c r="J3774">
        <f>IF(AND(ISNUMBER('Data'!$F$3775),'Data'!$F$3775&lt;&gt;999,'Data'!$F$3775&lt;&gt;""),'Data'!$F$3775,"")</f>
        <v/>
      </c>
      <c r="Z3774" t="n">
        <v>1</v>
      </c>
      <c r="AA3774">
        <f>IF(ISNUMBER('IN-CLASS_Lab Part C'!$J$3774),'IN-CLASS_Lab Part C'!$J$3774,NA())</f>
        <v/>
      </c>
    </row>
    <row r="3775">
      <c r="J3775">
        <f>IF(AND(ISNUMBER('Data'!$F$3776),'Data'!$F$3776&lt;&gt;999,'Data'!$F$3776&lt;&gt;""),'Data'!$F$3776,"")</f>
        <v/>
      </c>
      <c r="Z3775" t="n">
        <v>1</v>
      </c>
      <c r="AA3775">
        <f>IF(ISNUMBER('IN-CLASS_Lab Part C'!$J$3775),'IN-CLASS_Lab Part C'!$J$3775,NA())</f>
        <v/>
      </c>
    </row>
    <row r="3776">
      <c r="J3776">
        <f>IF(AND(ISNUMBER('Data'!$F$3777),'Data'!$F$3777&lt;&gt;999,'Data'!$F$3777&lt;&gt;""),'Data'!$F$3777,"")</f>
        <v/>
      </c>
      <c r="Z3776" t="n">
        <v>1</v>
      </c>
      <c r="AA3776">
        <f>IF(ISNUMBER('IN-CLASS_Lab Part C'!$J$3776),'IN-CLASS_Lab Part C'!$J$3776,NA())</f>
        <v/>
      </c>
    </row>
    <row r="3777">
      <c r="J3777">
        <f>IF(AND(ISNUMBER('Data'!$F$3778),'Data'!$F$3778&lt;&gt;999,'Data'!$F$3778&lt;&gt;""),'Data'!$F$3778,"")</f>
        <v/>
      </c>
      <c r="Z3777" t="n">
        <v>1</v>
      </c>
      <c r="AA3777">
        <f>IF(ISNUMBER('IN-CLASS_Lab Part C'!$J$3777),'IN-CLASS_Lab Part C'!$J$3777,NA())</f>
        <v/>
      </c>
    </row>
    <row r="3778">
      <c r="J3778">
        <f>IF(AND(ISNUMBER('Data'!$F$3779),'Data'!$F$3779&lt;&gt;999,'Data'!$F$3779&lt;&gt;""),'Data'!$F$3779,"")</f>
        <v/>
      </c>
      <c r="Z3778" t="n">
        <v>1</v>
      </c>
      <c r="AA3778">
        <f>IF(ISNUMBER('IN-CLASS_Lab Part C'!$J$3778),'IN-CLASS_Lab Part C'!$J$3778,NA())</f>
        <v/>
      </c>
    </row>
    <row r="3779">
      <c r="J3779">
        <f>IF(AND(ISNUMBER('Data'!$F$3780),'Data'!$F$3780&lt;&gt;999,'Data'!$F$3780&lt;&gt;""),'Data'!$F$3780,"")</f>
        <v/>
      </c>
      <c r="Z3779" t="n">
        <v>1</v>
      </c>
      <c r="AA3779">
        <f>IF(ISNUMBER('IN-CLASS_Lab Part C'!$J$3779),'IN-CLASS_Lab Part C'!$J$3779,NA())</f>
        <v/>
      </c>
    </row>
    <row r="3780">
      <c r="J3780">
        <f>IF(AND(ISNUMBER('Data'!$F$3781),'Data'!$F$3781&lt;&gt;999,'Data'!$F$3781&lt;&gt;""),'Data'!$F$3781,"")</f>
        <v/>
      </c>
      <c r="Z3780" t="n">
        <v>1</v>
      </c>
      <c r="AA3780">
        <f>IF(ISNUMBER('IN-CLASS_Lab Part C'!$J$3780),'IN-CLASS_Lab Part C'!$J$3780,NA())</f>
        <v/>
      </c>
    </row>
    <row r="3781">
      <c r="J3781">
        <f>IF(AND(ISNUMBER('Data'!$F$3782),'Data'!$F$3782&lt;&gt;999,'Data'!$F$3782&lt;&gt;""),'Data'!$F$3782,"")</f>
        <v/>
      </c>
      <c r="Z3781" t="n">
        <v>1</v>
      </c>
      <c r="AA3781">
        <f>IF(ISNUMBER('IN-CLASS_Lab Part C'!$J$3781),'IN-CLASS_Lab Part C'!$J$3781,NA())</f>
        <v/>
      </c>
    </row>
    <row r="3782">
      <c r="J3782">
        <f>IF(AND(ISNUMBER('Data'!$F$3783),'Data'!$F$3783&lt;&gt;999,'Data'!$F$3783&lt;&gt;""),'Data'!$F$3783,"")</f>
        <v/>
      </c>
      <c r="Z3782" t="n">
        <v>1</v>
      </c>
      <c r="AA3782">
        <f>IF(ISNUMBER('IN-CLASS_Lab Part C'!$J$3782),'IN-CLASS_Lab Part C'!$J$3782,NA())</f>
        <v/>
      </c>
    </row>
    <row r="3783">
      <c r="J3783">
        <f>IF(AND(ISNUMBER('Data'!$F$3784),'Data'!$F$3784&lt;&gt;999,'Data'!$F$3784&lt;&gt;""),'Data'!$F$3784,"")</f>
        <v/>
      </c>
      <c r="Z3783" t="n">
        <v>1</v>
      </c>
      <c r="AA3783">
        <f>IF(ISNUMBER('IN-CLASS_Lab Part C'!$J$3783),'IN-CLASS_Lab Part C'!$J$3783,NA())</f>
        <v/>
      </c>
    </row>
    <row r="3784">
      <c r="J3784">
        <f>IF(AND(ISNUMBER('Data'!$F$3785),'Data'!$F$3785&lt;&gt;999,'Data'!$F$3785&lt;&gt;""),'Data'!$F$3785,"")</f>
        <v/>
      </c>
      <c r="Z3784" t="n">
        <v>1</v>
      </c>
      <c r="AA3784">
        <f>IF(ISNUMBER('IN-CLASS_Lab Part C'!$J$3784),'IN-CLASS_Lab Part C'!$J$3784,NA())</f>
        <v/>
      </c>
    </row>
    <row r="3785">
      <c r="J3785">
        <f>IF(AND(ISNUMBER('Data'!$F$3786),'Data'!$F$3786&lt;&gt;999,'Data'!$F$3786&lt;&gt;""),'Data'!$F$3786,"")</f>
        <v/>
      </c>
      <c r="Z3785" t="n">
        <v>1</v>
      </c>
      <c r="AA3785">
        <f>IF(ISNUMBER('IN-CLASS_Lab Part C'!$J$3785),'IN-CLASS_Lab Part C'!$J$3785,NA())</f>
        <v/>
      </c>
    </row>
    <row r="3786">
      <c r="J3786">
        <f>IF(AND(ISNUMBER('Data'!$F$3787),'Data'!$F$3787&lt;&gt;999,'Data'!$F$3787&lt;&gt;""),'Data'!$F$3787,"")</f>
        <v/>
      </c>
      <c r="Z3786" t="n">
        <v>1</v>
      </c>
      <c r="AA3786">
        <f>IF(ISNUMBER('IN-CLASS_Lab Part C'!$J$3786),'IN-CLASS_Lab Part C'!$J$3786,NA())</f>
        <v/>
      </c>
    </row>
    <row r="3787">
      <c r="J3787">
        <f>IF(AND(ISNUMBER('Data'!$F$3788),'Data'!$F$3788&lt;&gt;999,'Data'!$F$3788&lt;&gt;""),'Data'!$F$3788,"")</f>
        <v/>
      </c>
      <c r="Z3787" t="n">
        <v>1</v>
      </c>
      <c r="AA3787">
        <f>IF(ISNUMBER('IN-CLASS_Lab Part C'!$J$3787),'IN-CLASS_Lab Part C'!$J$3787,NA())</f>
        <v/>
      </c>
    </row>
    <row r="3788">
      <c r="J3788">
        <f>IF(AND(ISNUMBER('Data'!$F$3789),'Data'!$F$3789&lt;&gt;999,'Data'!$F$3789&lt;&gt;""),'Data'!$F$3789,"")</f>
        <v/>
      </c>
      <c r="Z3788" t="n">
        <v>1</v>
      </c>
      <c r="AA3788">
        <f>IF(ISNUMBER('IN-CLASS_Lab Part C'!$J$3788),'IN-CLASS_Lab Part C'!$J$3788,NA())</f>
        <v/>
      </c>
    </row>
    <row r="3789">
      <c r="J3789">
        <f>IF(AND(ISNUMBER('Data'!$F$3790),'Data'!$F$3790&lt;&gt;999,'Data'!$F$3790&lt;&gt;""),'Data'!$F$3790,"")</f>
        <v/>
      </c>
      <c r="Z3789" t="n">
        <v>1</v>
      </c>
      <c r="AA3789">
        <f>IF(ISNUMBER('IN-CLASS_Lab Part C'!$J$3789),'IN-CLASS_Lab Part C'!$J$3789,NA())</f>
        <v/>
      </c>
    </row>
    <row r="3790">
      <c r="J3790">
        <f>IF(AND(ISNUMBER('Data'!$F$3791),'Data'!$F$3791&lt;&gt;999,'Data'!$F$3791&lt;&gt;""),'Data'!$F$3791,"")</f>
        <v/>
      </c>
      <c r="Z3790" t="n">
        <v>1</v>
      </c>
      <c r="AA3790">
        <f>IF(ISNUMBER('IN-CLASS_Lab Part C'!$J$3790),'IN-CLASS_Lab Part C'!$J$3790,NA())</f>
        <v/>
      </c>
    </row>
    <row r="3791">
      <c r="J3791">
        <f>IF(AND(ISNUMBER('Data'!$F$3792),'Data'!$F$3792&lt;&gt;999,'Data'!$F$3792&lt;&gt;""),'Data'!$F$3792,"")</f>
        <v/>
      </c>
      <c r="Z3791" t="n">
        <v>1</v>
      </c>
      <c r="AA3791">
        <f>IF(ISNUMBER('IN-CLASS_Lab Part C'!$J$3791),'IN-CLASS_Lab Part C'!$J$3791,NA())</f>
        <v/>
      </c>
    </row>
    <row r="3792">
      <c r="J3792">
        <f>IF(AND(ISNUMBER('Data'!$F$3793),'Data'!$F$3793&lt;&gt;999,'Data'!$F$3793&lt;&gt;""),'Data'!$F$3793,"")</f>
        <v/>
      </c>
      <c r="Z3792" t="n">
        <v>1</v>
      </c>
      <c r="AA3792">
        <f>IF(ISNUMBER('IN-CLASS_Lab Part C'!$J$3792),'IN-CLASS_Lab Part C'!$J$3792,NA())</f>
        <v/>
      </c>
    </row>
    <row r="3793">
      <c r="J3793">
        <f>IF(AND(ISNUMBER('Data'!$F$3794),'Data'!$F$3794&lt;&gt;999,'Data'!$F$3794&lt;&gt;""),'Data'!$F$3794,"")</f>
        <v/>
      </c>
      <c r="Z3793" t="n">
        <v>1</v>
      </c>
      <c r="AA3793">
        <f>IF(ISNUMBER('IN-CLASS_Lab Part C'!$J$3793),'IN-CLASS_Lab Part C'!$J$3793,NA())</f>
        <v/>
      </c>
    </row>
    <row r="3794">
      <c r="J3794">
        <f>IF(AND(ISNUMBER('Data'!$F$3795),'Data'!$F$3795&lt;&gt;999,'Data'!$F$3795&lt;&gt;""),'Data'!$F$3795,"")</f>
        <v/>
      </c>
      <c r="Z3794" t="n">
        <v>1</v>
      </c>
      <c r="AA3794">
        <f>IF(ISNUMBER('IN-CLASS_Lab Part C'!$J$3794),'IN-CLASS_Lab Part C'!$J$3794,NA())</f>
        <v/>
      </c>
    </row>
    <row r="3795">
      <c r="J3795">
        <f>IF(AND(ISNUMBER('Data'!$F$3796),'Data'!$F$3796&lt;&gt;999,'Data'!$F$3796&lt;&gt;""),'Data'!$F$3796,"")</f>
        <v/>
      </c>
      <c r="Z3795" t="n">
        <v>1</v>
      </c>
      <c r="AA3795">
        <f>IF(ISNUMBER('IN-CLASS_Lab Part C'!$J$3795),'IN-CLASS_Lab Part C'!$J$3795,NA())</f>
        <v/>
      </c>
    </row>
    <row r="3796">
      <c r="J3796">
        <f>IF(AND(ISNUMBER('Data'!$F$3797),'Data'!$F$3797&lt;&gt;999,'Data'!$F$3797&lt;&gt;""),'Data'!$F$3797,"")</f>
        <v/>
      </c>
      <c r="Z3796" t="n">
        <v>1</v>
      </c>
      <c r="AA3796">
        <f>IF(ISNUMBER('IN-CLASS_Lab Part C'!$J$3796),'IN-CLASS_Lab Part C'!$J$3796,NA())</f>
        <v/>
      </c>
    </row>
    <row r="3797">
      <c r="J3797">
        <f>IF(AND(ISNUMBER('Data'!$F$3798),'Data'!$F$3798&lt;&gt;999,'Data'!$F$3798&lt;&gt;""),'Data'!$F$3798,"")</f>
        <v/>
      </c>
      <c r="Z3797" t="n">
        <v>1</v>
      </c>
      <c r="AA3797">
        <f>IF(ISNUMBER('IN-CLASS_Lab Part C'!$J$3797),'IN-CLASS_Lab Part C'!$J$3797,NA())</f>
        <v/>
      </c>
    </row>
    <row r="3798">
      <c r="J3798">
        <f>IF(AND(ISNUMBER('Data'!$F$3799),'Data'!$F$3799&lt;&gt;999,'Data'!$F$3799&lt;&gt;""),'Data'!$F$3799,"")</f>
        <v/>
      </c>
      <c r="Z3798" t="n">
        <v>1</v>
      </c>
      <c r="AA3798">
        <f>IF(ISNUMBER('IN-CLASS_Lab Part C'!$J$3798),'IN-CLASS_Lab Part C'!$J$3798,NA())</f>
        <v/>
      </c>
    </row>
    <row r="3799">
      <c r="J3799">
        <f>IF(AND(ISNUMBER('Data'!$F$3800),'Data'!$F$3800&lt;&gt;999,'Data'!$F$3800&lt;&gt;""),'Data'!$F$3800,"")</f>
        <v/>
      </c>
      <c r="Z3799" t="n">
        <v>1</v>
      </c>
      <c r="AA3799">
        <f>IF(ISNUMBER('IN-CLASS_Lab Part C'!$J$3799),'IN-CLASS_Lab Part C'!$J$3799,NA())</f>
        <v/>
      </c>
    </row>
    <row r="3800">
      <c r="J3800">
        <f>IF(AND(ISNUMBER('Data'!$F$3801),'Data'!$F$3801&lt;&gt;999,'Data'!$F$3801&lt;&gt;""),'Data'!$F$3801,"")</f>
        <v/>
      </c>
      <c r="Z3800" t="n">
        <v>1</v>
      </c>
      <c r="AA3800">
        <f>IF(ISNUMBER('IN-CLASS_Lab Part C'!$J$3800),'IN-CLASS_Lab Part C'!$J$3800,NA())</f>
        <v/>
      </c>
    </row>
    <row r="3801">
      <c r="J3801">
        <f>IF(AND(ISNUMBER('Data'!$F$3802),'Data'!$F$3802&lt;&gt;999,'Data'!$F$3802&lt;&gt;""),'Data'!$F$3802,"")</f>
        <v/>
      </c>
      <c r="Z3801" t="n">
        <v>1</v>
      </c>
      <c r="AA3801">
        <f>IF(ISNUMBER('IN-CLASS_Lab Part C'!$J$3801),'IN-CLASS_Lab Part C'!$J$3801,NA())</f>
        <v/>
      </c>
    </row>
    <row r="3802">
      <c r="J3802">
        <f>IF(AND(ISNUMBER('Data'!$F$3803),'Data'!$F$3803&lt;&gt;999,'Data'!$F$3803&lt;&gt;""),'Data'!$F$3803,"")</f>
        <v/>
      </c>
      <c r="Z3802" t="n">
        <v>1</v>
      </c>
      <c r="AA3802">
        <f>IF(ISNUMBER('IN-CLASS_Lab Part C'!$J$3802),'IN-CLASS_Lab Part C'!$J$3802,NA())</f>
        <v/>
      </c>
    </row>
    <row r="3803">
      <c r="J3803">
        <f>IF(AND(ISNUMBER('Data'!$F$3804),'Data'!$F$3804&lt;&gt;999,'Data'!$F$3804&lt;&gt;""),'Data'!$F$3804,"")</f>
        <v/>
      </c>
      <c r="Z3803" t="n">
        <v>1</v>
      </c>
      <c r="AA3803">
        <f>IF(ISNUMBER('IN-CLASS_Lab Part C'!$J$3803),'IN-CLASS_Lab Part C'!$J$3803,NA())</f>
        <v/>
      </c>
    </row>
    <row r="3804">
      <c r="J3804">
        <f>IF(AND(ISNUMBER('Data'!$F$3805),'Data'!$F$3805&lt;&gt;999,'Data'!$F$3805&lt;&gt;""),'Data'!$F$3805,"")</f>
        <v/>
      </c>
      <c r="Z3804" t="n">
        <v>1</v>
      </c>
      <c r="AA3804">
        <f>IF(ISNUMBER('IN-CLASS_Lab Part C'!$J$3804),'IN-CLASS_Lab Part C'!$J$3804,NA())</f>
        <v/>
      </c>
    </row>
    <row r="3805">
      <c r="J3805">
        <f>IF(AND(ISNUMBER('Data'!$F$3806),'Data'!$F$3806&lt;&gt;999,'Data'!$F$3806&lt;&gt;""),'Data'!$F$3806,"")</f>
        <v/>
      </c>
      <c r="Z3805" t="n">
        <v>1</v>
      </c>
      <c r="AA3805">
        <f>IF(ISNUMBER('IN-CLASS_Lab Part C'!$J$3805),'IN-CLASS_Lab Part C'!$J$3805,NA())</f>
        <v/>
      </c>
    </row>
    <row r="3806">
      <c r="J3806">
        <f>IF(AND(ISNUMBER('Data'!$F$3807),'Data'!$F$3807&lt;&gt;999,'Data'!$F$3807&lt;&gt;""),'Data'!$F$3807,"")</f>
        <v/>
      </c>
      <c r="Z3806" t="n">
        <v>1</v>
      </c>
      <c r="AA3806">
        <f>IF(ISNUMBER('IN-CLASS_Lab Part C'!$J$3806),'IN-CLASS_Lab Part C'!$J$3806,NA())</f>
        <v/>
      </c>
    </row>
    <row r="3807">
      <c r="J3807">
        <f>IF(AND(ISNUMBER('Data'!$F$3808),'Data'!$F$3808&lt;&gt;999,'Data'!$F$3808&lt;&gt;""),'Data'!$F$3808,"")</f>
        <v/>
      </c>
      <c r="Z3807" t="n">
        <v>1</v>
      </c>
      <c r="AA3807">
        <f>IF(ISNUMBER('IN-CLASS_Lab Part C'!$J$3807),'IN-CLASS_Lab Part C'!$J$3807,NA())</f>
        <v/>
      </c>
    </row>
    <row r="3808">
      <c r="J3808">
        <f>IF(AND(ISNUMBER('Data'!$F$3809),'Data'!$F$3809&lt;&gt;999,'Data'!$F$3809&lt;&gt;""),'Data'!$F$3809,"")</f>
        <v/>
      </c>
      <c r="Z3808" t="n">
        <v>1</v>
      </c>
      <c r="AA3808">
        <f>IF(ISNUMBER('IN-CLASS_Lab Part C'!$J$3808),'IN-CLASS_Lab Part C'!$J$3808,NA())</f>
        <v/>
      </c>
    </row>
    <row r="3809">
      <c r="J3809">
        <f>IF(AND(ISNUMBER('Data'!$F$3810),'Data'!$F$3810&lt;&gt;999,'Data'!$F$3810&lt;&gt;""),'Data'!$F$3810,"")</f>
        <v/>
      </c>
      <c r="Z3809" t="n">
        <v>1</v>
      </c>
      <c r="AA3809">
        <f>IF(ISNUMBER('IN-CLASS_Lab Part C'!$J$3809),'IN-CLASS_Lab Part C'!$J$3809,NA())</f>
        <v/>
      </c>
    </row>
    <row r="3810">
      <c r="J3810">
        <f>IF(AND(ISNUMBER('Data'!$F$3811),'Data'!$F$3811&lt;&gt;999,'Data'!$F$3811&lt;&gt;""),'Data'!$F$3811,"")</f>
        <v/>
      </c>
      <c r="Z3810" t="n">
        <v>1</v>
      </c>
      <c r="AA3810">
        <f>IF(ISNUMBER('IN-CLASS_Lab Part C'!$J$3810),'IN-CLASS_Lab Part C'!$J$3810,NA())</f>
        <v/>
      </c>
    </row>
    <row r="3811">
      <c r="J3811">
        <f>IF(AND(ISNUMBER('Data'!$F$3812),'Data'!$F$3812&lt;&gt;999,'Data'!$F$3812&lt;&gt;""),'Data'!$F$3812,"")</f>
        <v/>
      </c>
      <c r="Z3811" t="n">
        <v>1</v>
      </c>
      <c r="AA3811">
        <f>IF(ISNUMBER('IN-CLASS_Lab Part C'!$J$3811),'IN-CLASS_Lab Part C'!$J$3811,NA())</f>
        <v/>
      </c>
    </row>
    <row r="3812">
      <c r="J3812">
        <f>IF(AND(ISNUMBER('Data'!$F$3813),'Data'!$F$3813&lt;&gt;999,'Data'!$F$3813&lt;&gt;""),'Data'!$F$3813,"")</f>
        <v/>
      </c>
      <c r="Z3812" t="n">
        <v>1</v>
      </c>
      <c r="AA3812">
        <f>IF(ISNUMBER('IN-CLASS_Lab Part C'!$J$3812),'IN-CLASS_Lab Part C'!$J$3812,NA())</f>
        <v/>
      </c>
    </row>
    <row r="3813">
      <c r="J3813">
        <f>IF(AND(ISNUMBER('Data'!$F$3814),'Data'!$F$3814&lt;&gt;999,'Data'!$F$3814&lt;&gt;""),'Data'!$F$3814,"")</f>
        <v/>
      </c>
      <c r="Z3813" t="n">
        <v>1</v>
      </c>
      <c r="AA3813">
        <f>IF(ISNUMBER('IN-CLASS_Lab Part C'!$J$3813),'IN-CLASS_Lab Part C'!$J$3813,NA())</f>
        <v/>
      </c>
    </row>
    <row r="3814">
      <c r="J3814">
        <f>IF(AND(ISNUMBER('Data'!$F$3815),'Data'!$F$3815&lt;&gt;999,'Data'!$F$3815&lt;&gt;""),'Data'!$F$3815,"")</f>
        <v/>
      </c>
      <c r="Z3814" t="n">
        <v>1</v>
      </c>
      <c r="AA3814">
        <f>IF(ISNUMBER('IN-CLASS_Lab Part C'!$J$3814),'IN-CLASS_Lab Part C'!$J$3814,NA())</f>
        <v/>
      </c>
    </row>
    <row r="3815">
      <c r="J3815">
        <f>IF(AND(ISNUMBER('Data'!$F$3816),'Data'!$F$3816&lt;&gt;999,'Data'!$F$3816&lt;&gt;""),'Data'!$F$3816,"")</f>
        <v/>
      </c>
      <c r="Z3815" t="n">
        <v>1</v>
      </c>
      <c r="AA3815">
        <f>IF(ISNUMBER('IN-CLASS_Lab Part C'!$J$3815),'IN-CLASS_Lab Part C'!$J$3815,NA())</f>
        <v/>
      </c>
    </row>
    <row r="3816">
      <c r="J3816">
        <f>IF(AND(ISNUMBER('Data'!$F$3817),'Data'!$F$3817&lt;&gt;999,'Data'!$F$3817&lt;&gt;""),'Data'!$F$3817,"")</f>
        <v/>
      </c>
      <c r="Z3816" t="n">
        <v>1</v>
      </c>
      <c r="AA3816">
        <f>IF(ISNUMBER('IN-CLASS_Lab Part C'!$J$3816),'IN-CLASS_Lab Part C'!$J$3816,NA())</f>
        <v/>
      </c>
    </row>
    <row r="3817">
      <c r="J3817">
        <f>IF(AND(ISNUMBER('Data'!$F$3818),'Data'!$F$3818&lt;&gt;999,'Data'!$F$3818&lt;&gt;""),'Data'!$F$3818,"")</f>
        <v/>
      </c>
      <c r="Z3817" t="n">
        <v>1</v>
      </c>
      <c r="AA3817">
        <f>IF(ISNUMBER('IN-CLASS_Lab Part C'!$J$3817),'IN-CLASS_Lab Part C'!$J$3817,NA())</f>
        <v/>
      </c>
    </row>
    <row r="3818">
      <c r="J3818">
        <f>IF(AND(ISNUMBER('Data'!$F$3819),'Data'!$F$3819&lt;&gt;999,'Data'!$F$3819&lt;&gt;""),'Data'!$F$3819,"")</f>
        <v/>
      </c>
      <c r="Z3818" t="n">
        <v>1</v>
      </c>
      <c r="AA3818">
        <f>IF(ISNUMBER('IN-CLASS_Lab Part C'!$J$3818),'IN-CLASS_Lab Part C'!$J$3818,NA())</f>
        <v/>
      </c>
    </row>
    <row r="3819">
      <c r="J3819">
        <f>IF(AND(ISNUMBER('Data'!$F$3820),'Data'!$F$3820&lt;&gt;999,'Data'!$F$3820&lt;&gt;""),'Data'!$F$3820,"")</f>
        <v/>
      </c>
      <c r="Z3819" t="n">
        <v>1</v>
      </c>
      <c r="AA3819">
        <f>IF(ISNUMBER('IN-CLASS_Lab Part C'!$J$3819),'IN-CLASS_Lab Part C'!$J$3819,NA())</f>
        <v/>
      </c>
    </row>
    <row r="3820">
      <c r="J3820">
        <f>IF(AND(ISNUMBER('Data'!$F$3821),'Data'!$F$3821&lt;&gt;999,'Data'!$F$3821&lt;&gt;""),'Data'!$F$3821,"")</f>
        <v/>
      </c>
      <c r="Z3820" t="n">
        <v>1</v>
      </c>
      <c r="AA3820">
        <f>IF(ISNUMBER('IN-CLASS_Lab Part C'!$J$3820),'IN-CLASS_Lab Part C'!$J$3820,NA())</f>
        <v/>
      </c>
    </row>
    <row r="3821">
      <c r="J3821">
        <f>IF(AND(ISNUMBER('Data'!$F$3822),'Data'!$F$3822&lt;&gt;999,'Data'!$F$3822&lt;&gt;""),'Data'!$F$3822,"")</f>
        <v/>
      </c>
      <c r="Z3821" t="n">
        <v>1</v>
      </c>
      <c r="AA3821">
        <f>IF(ISNUMBER('IN-CLASS_Lab Part C'!$J$3821),'IN-CLASS_Lab Part C'!$J$3821,NA())</f>
        <v/>
      </c>
    </row>
    <row r="3822">
      <c r="J3822">
        <f>IF(AND(ISNUMBER('Data'!$F$3823),'Data'!$F$3823&lt;&gt;999,'Data'!$F$3823&lt;&gt;""),'Data'!$F$3823,"")</f>
        <v/>
      </c>
      <c r="Z3822" t="n">
        <v>1</v>
      </c>
      <c r="AA3822">
        <f>IF(ISNUMBER('IN-CLASS_Lab Part C'!$J$3822),'IN-CLASS_Lab Part C'!$J$3822,NA())</f>
        <v/>
      </c>
    </row>
    <row r="3823">
      <c r="J3823">
        <f>IF(AND(ISNUMBER('Data'!$F$3824),'Data'!$F$3824&lt;&gt;999,'Data'!$F$3824&lt;&gt;""),'Data'!$F$3824,"")</f>
        <v/>
      </c>
      <c r="Z3823" t="n">
        <v>1</v>
      </c>
      <c r="AA3823">
        <f>IF(ISNUMBER('IN-CLASS_Lab Part C'!$J$3823),'IN-CLASS_Lab Part C'!$J$3823,NA())</f>
        <v/>
      </c>
    </row>
    <row r="3824">
      <c r="J3824">
        <f>IF(AND(ISNUMBER('Data'!$F$3825),'Data'!$F$3825&lt;&gt;999,'Data'!$F$3825&lt;&gt;""),'Data'!$F$3825,"")</f>
        <v/>
      </c>
      <c r="Z3824" t="n">
        <v>1</v>
      </c>
      <c r="AA3824">
        <f>IF(ISNUMBER('IN-CLASS_Lab Part C'!$J$3824),'IN-CLASS_Lab Part C'!$J$3824,NA())</f>
        <v/>
      </c>
    </row>
    <row r="3825">
      <c r="J3825">
        <f>IF(AND(ISNUMBER('Data'!$F$3826),'Data'!$F$3826&lt;&gt;999,'Data'!$F$3826&lt;&gt;""),'Data'!$F$3826,"")</f>
        <v/>
      </c>
      <c r="Z3825" t="n">
        <v>1</v>
      </c>
      <c r="AA3825">
        <f>IF(ISNUMBER('IN-CLASS_Lab Part C'!$J$3825),'IN-CLASS_Lab Part C'!$J$3825,NA())</f>
        <v/>
      </c>
    </row>
    <row r="3826">
      <c r="J3826">
        <f>IF(AND(ISNUMBER('Data'!$F$3827),'Data'!$F$3827&lt;&gt;999,'Data'!$F$3827&lt;&gt;""),'Data'!$F$3827,"")</f>
        <v/>
      </c>
      <c r="Z3826" t="n">
        <v>1</v>
      </c>
      <c r="AA3826">
        <f>IF(ISNUMBER('IN-CLASS_Lab Part C'!$J$3826),'IN-CLASS_Lab Part C'!$J$3826,NA())</f>
        <v/>
      </c>
    </row>
    <row r="3827">
      <c r="J3827">
        <f>IF(AND(ISNUMBER('Data'!$F$3828),'Data'!$F$3828&lt;&gt;999,'Data'!$F$3828&lt;&gt;""),'Data'!$F$3828,"")</f>
        <v/>
      </c>
      <c r="Z3827" t="n">
        <v>1</v>
      </c>
      <c r="AA3827">
        <f>IF(ISNUMBER('IN-CLASS_Lab Part C'!$J$3827),'IN-CLASS_Lab Part C'!$J$3827,NA())</f>
        <v/>
      </c>
    </row>
    <row r="3828">
      <c r="J3828">
        <f>IF(AND(ISNUMBER('Data'!$F$3829),'Data'!$F$3829&lt;&gt;999,'Data'!$F$3829&lt;&gt;""),'Data'!$F$3829,"")</f>
        <v/>
      </c>
      <c r="Z3828" t="n">
        <v>1</v>
      </c>
      <c r="AA3828">
        <f>IF(ISNUMBER('IN-CLASS_Lab Part C'!$J$3828),'IN-CLASS_Lab Part C'!$J$3828,NA())</f>
        <v/>
      </c>
    </row>
    <row r="3829">
      <c r="J3829">
        <f>IF(AND(ISNUMBER('Data'!$F$3830),'Data'!$F$3830&lt;&gt;999,'Data'!$F$3830&lt;&gt;""),'Data'!$F$3830,"")</f>
        <v/>
      </c>
      <c r="Z3829" t="n">
        <v>1</v>
      </c>
      <c r="AA3829">
        <f>IF(ISNUMBER('IN-CLASS_Lab Part C'!$J$3829),'IN-CLASS_Lab Part C'!$J$3829,NA())</f>
        <v/>
      </c>
    </row>
    <row r="3830">
      <c r="J3830">
        <f>IF(AND(ISNUMBER('Data'!$F$3831),'Data'!$F$3831&lt;&gt;999,'Data'!$F$3831&lt;&gt;""),'Data'!$F$3831,"")</f>
        <v/>
      </c>
      <c r="Z3830" t="n">
        <v>1</v>
      </c>
      <c r="AA3830">
        <f>IF(ISNUMBER('IN-CLASS_Lab Part C'!$J$3830),'IN-CLASS_Lab Part C'!$J$3830,NA())</f>
        <v/>
      </c>
    </row>
    <row r="3831">
      <c r="J3831">
        <f>IF(AND(ISNUMBER('Data'!$F$3832),'Data'!$F$3832&lt;&gt;999,'Data'!$F$3832&lt;&gt;""),'Data'!$F$3832,"")</f>
        <v/>
      </c>
      <c r="Z3831" t="n">
        <v>1</v>
      </c>
      <c r="AA3831">
        <f>IF(ISNUMBER('IN-CLASS_Lab Part C'!$J$3831),'IN-CLASS_Lab Part C'!$J$3831,NA())</f>
        <v/>
      </c>
    </row>
    <row r="3832">
      <c r="J3832">
        <f>IF(AND(ISNUMBER('Data'!$F$3833),'Data'!$F$3833&lt;&gt;999,'Data'!$F$3833&lt;&gt;""),'Data'!$F$3833,"")</f>
        <v/>
      </c>
      <c r="Z3832" t="n">
        <v>1</v>
      </c>
      <c r="AA3832">
        <f>IF(ISNUMBER('IN-CLASS_Lab Part C'!$J$3832),'IN-CLASS_Lab Part C'!$J$3832,NA())</f>
        <v/>
      </c>
    </row>
    <row r="3833">
      <c r="J3833">
        <f>IF(AND(ISNUMBER('Data'!$F$3834),'Data'!$F$3834&lt;&gt;999,'Data'!$F$3834&lt;&gt;""),'Data'!$F$3834,"")</f>
        <v/>
      </c>
      <c r="Z3833" t="n">
        <v>1</v>
      </c>
      <c r="AA3833">
        <f>IF(ISNUMBER('IN-CLASS_Lab Part C'!$J$3833),'IN-CLASS_Lab Part C'!$J$3833,NA())</f>
        <v/>
      </c>
    </row>
    <row r="3834">
      <c r="J3834">
        <f>IF(AND(ISNUMBER('Data'!$F$3835),'Data'!$F$3835&lt;&gt;999,'Data'!$F$3835&lt;&gt;""),'Data'!$F$3835,"")</f>
        <v/>
      </c>
      <c r="Z3834" t="n">
        <v>1</v>
      </c>
      <c r="AA3834">
        <f>IF(ISNUMBER('IN-CLASS_Lab Part C'!$J$3834),'IN-CLASS_Lab Part C'!$J$3834,NA())</f>
        <v/>
      </c>
    </row>
    <row r="3835">
      <c r="J3835">
        <f>IF(AND(ISNUMBER('Data'!$F$3836),'Data'!$F$3836&lt;&gt;999,'Data'!$F$3836&lt;&gt;""),'Data'!$F$3836,"")</f>
        <v/>
      </c>
      <c r="Z3835" t="n">
        <v>1</v>
      </c>
      <c r="AA3835">
        <f>IF(ISNUMBER('IN-CLASS_Lab Part C'!$J$3835),'IN-CLASS_Lab Part C'!$J$3835,NA())</f>
        <v/>
      </c>
    </row>
    <row r="3836">
      <c r="J3836">
        <f>IF(AND(ISNUMBER('Data'!$F$3837),'Data'!$F$3837&lt;&gt;999,'Data'!$F$3837&lt;&gt;""),'Data'!$F$3837,"")</f>
        <v/>
      </c>
      <c r="Z3836" t="n">
        <v>1</v>
      </c>
      <c r="AA3836">
        <f>IF(ISNUMBER('IN-CLASS_Lab Part C'!$J$3836),'IN-CLASS_Lab Part C'!$J$3836,NA())</f>
        <v/>
      </c>
    </row>
    <row r="3837">
      <c r="J3837">
        <f>IF(AND(ISNUMBER('Data'!$F$3838),'Data'!$F$3838&lt;&gt;999,'Data'!$F$3838&lt;&gt;""),'Data'!$F$3838,"")</f>
        <v/>
      </c>
      <c r="Z3837" t="n">
        <v>1</v>
      </c>
      <c r="AA3837">
        <f>IF(ISNUMBER('IN-CLASS_Lab Part C'!$J$3837),'IN-CLASS_Lab Part C'!$J$3837,NA())</f>
        <v/>
      </c>
    </row>
    <row r="3838">
      <c r="J3838">
        <f>IF(AND(ISNUMBER('Data'!$F$3839),'Data'!$F$3839&lt;&gt;999,'Data'!$F$3839&lt;&gt;""),'Data'!$F$3839,"")</f>
        <v/>
      </c>
      <c r="Z3838" t="n">
        <v>1</v>
      </c>
      <c r="AA3838">
        <f>IF(ISNUMBER('IN-CLASS_Lab Part C'!$J$3838),'IN-CLASS_Lab Part C'!$J$3838,NA())</f>
        <v/>
      </c>
    </row>
    <row r="3839">
      <c r="J3839">
        <f>IF(AND(ISNUMBER('Data'!$F$3840),'Data'!$F$3840&lt;&gt;999,'Data'!$F$3840&lt;&gt;""),'Data'!$F$3840,"")</f>
        <v/>
      </c>
      <c r="Z3839" t="n">
        <v>1</v>
      </c>
      <c r="AA3839">
        <f>IF(ISNUMBER('IN-CLASS_Lab Part C'!$J$3839),'IN-CLASS_Lab Part C'!$J$3839,NA())</f>
        <v/>
      </c>
    </row>
    <row r="3840">
      <c r="J3840">
        <f>IF(AND(ISNUMBER('Data'!$F$3841),'Data'!$F$3841&lt;&gt;999,'Data'!$F$3841&lt;&gt;""),'Data'!$F$3841,"")</f>
        <v/>
      </c>
      <c r="Z3840" t="n">
        <v>1</v>
      </c>
      <c r="AA3840">
        <f>IF(ISNUMBER('IN-CLASS_Lab Part C'!$J$3840),'IN-CLASS_Lab Part C'!$J$3840,NA())</f>
        <v/>
      </c>
    </row>
    <row r="3841">
      <c r="J3841">
        <f>IF(AND(ISNUMBER('Data'!$F$3842),'Data'!$F$3842&lt;&gt;999,'Data'!$F$3842&lt;&gt;""),'Data'!$F$3842,"")</f>
        <v/>
      </c>
      <c r="Z3841" t="n">
        <v>1</v>
      </c>
      <c r="AA3841">
        <f>IF(ISNUMBER('IN-CLASS_Lab Part C'!$J$3841),'IN-CLASS_Lab Part C'!$J$3841,NA())</f>
        <v/>
      </c>
    </row>
    <row r="3842">
      <c r="J3842">
        <f>IF(AND(ISNUMBER('Data'!$F$3843),'Data'!$F$3843&lt;&gt;999,'Data'!$F$3843&lt;&gt;""),'Data'!$F$3843,"")</f>
        <v/>
      </c>
      <c r="Z3842" t="n">
        <v>1</v>
      </c>
      <c r="AA3842">
        <f>IF(ISNUMBER('IN-CLASS_Lab Part C'!$J$3842),'IN-CLASS_Lab Part C'!$J$3842,NA())</f>
        <v/>
      </c>
    </row>
    <row r="3843">
      <c r="J3843">
        <f>IF(AND(ISNUMBER('Data'!$F$3844),'Data'!$F$3844&lt;&gt;999,'Data'!$F$3844&lt;&gt;""),'Data'!$F$3844,"")</f>
        <v/>
      </c>
      <c r="Z3843" t="n">
        <v>1</v>
      </c>
      <c r="AA3843">
        <f>IF(ISNUMBER('IN-CLASS_Lab Part C'!$J$3843),'IN-CLASS_Lab Part C'!$J$3843,NA())</f>
        <v/>
      </c>
    </row>
    <row r="3844">
      <c r="J3844">
        <f>IF(AND(ISNUMBER('Data'!$F$3845),'Data'!$F$3845&lt;&gt;999,'Data'!$F$3845&lt;&gt;""),'Data'!$F$3845,"")</f>
        <v/>
      </c>
      <c r="Z3844" t="n">
        <v>1</v>
      </c>
      <c r="AA3844">
        <f>IF(ISNUMBER('IN-CLASS_Lab Part C'!$J$3844),'IN-CLASS_Lab Part C'!$J$3844,NA())</f>
        <v/>
      </c>
    </row>
    <row r="3845">
      <c r="J3845">
        <f>IF(AND(ISNUMBER('Data'!$F$3846),'Data'!$F$3846&lt;&gt;999,'Data'!$F$3846&lt;&gt;""),'Data'!$F$3846,"")</f>
        <v/>
      </c>
      <c r="Z3845" t="n">
        <v>1</v>
      </c>
      <c r="AA3845">
        <f>IF(ISNUMBER('IN-CLASS_Lab Part C'!$J$3845),'IN-CLASS_Lab Part C'!$J$3845,NA())</f>
        <v/>
      </c>
    </row>
    <row r="3846">
      <c r="J3846">
        <f>IF(AND(ISNUMBER('Data'!$F$3847),'Data'!$F$3847&lt;&gt;999,'Data'!$F$3847&lt;&gt;""),'Data'!$F$3847,"")</f>
        <v/>
      </c>
      <c r="Z3846" t="n">
        <v>1</v>
      </c>
      <c r="AA3846">
        <f>IF(ISNUMBER('IN-CLASS_Lab Part C'!$J$3846),'IN-CLASS_Lab Part C'!$J$3846,NA())</f>
        <v/>
      </c>
    </row>
    <row r="3847">
      <c r="J3847">
        <f>IF(AND(ISNUMBER('Data'!$F$3848),'Data'!$F$3848&lt;&gt;999,'Data'!$F$3848&lt;&gt;""),'Data'!$F$3848,"")</f>
        <v/>
      </c>
      <c r="Z3847" t="n">
        <v>1</v>
      </c>
      <c r="AA3847">
        <f>IF(ISNUMBER('IN-CLASS_Lab Part C'!$J$3847),'IN-CLASS_Lab Part C'!$J$3847,NA())</f>
        <v/>
      </c>
    </row>
    <row r="3848">
      <c r="J3848">
        <f>IF(AND(ISNUMBER('Data'!$F$3849),'Data'!$F$3849&lt;&gt;999,'Data'!$F$3849&lt;&gt;""),'Data'!$F$3849,"")</f>
        <v/>
      </c>
      <c r="Z3848" t="n">
        <v>1</v>
      </c>
      <c r="AA3848">
        <f>IF(ISNUMBER('IN-CLASS_Lab Part C'!$J$3848),'IN-CLASS_Lab Part C'!$J$3848,NA())</f>
        <v/>
      </c>
    </row>
    <row r="3849">
      <c r="J3849">
        <f>IF(AND(ISNUMBER('Data'!$F$3850),'Data'!$F$3850&lt;&gt;999,'Data'!$F$3850&lt;&gt;""),'Data'!$F$3850,"")</f>
        <v/>
      </c>
      <c r="Z3849" t="n">
        <v>1</v>
      </c>
      <c r="AA3849">
        <f>IF(ISNUMBER('IN-CLASS_Lab Part C'!$J$3849),'IN-CLASS_Lab Part C'!$J$3849,NA())</f>
        <v/>
      </c>
    </row>
    <row r="3850">
      <c r="J3850">
        <f>IF(AND(ISNUMBER('Data'!$F$3851),'Data'!$F$3851&lt;&gt;999,'Data'!$F$3851&lt;&gt;""),'Data'!$F$3851,"")</f>
        <v/>
      </c>
      <c r="Z3850" t="n">
        <v>1</v>
      </c>
      <c r="AA3850">
        <f>IF(ISNUMBER('IN-CLASS_Lab Part C'!$J$3850),'IN-CLASS_Lab Part C'!$J$3850,NA())</f>
        <v/>
      </c>
    </row>
    <row r="3851">
      <c r="J3851">
        <f>IF(AND(ISNUMBER('Data'!$F$3852),'Data'!$F$3852&lt;&gt;999,'Data'!$F$3852&lt;&gt;""),'Data'!$F$3852,"")</f>
        <v/>
      </c>
      <c r="Z3851" t="n">
        <v>1</v>
      </c>
      <c r="AA3851">
        <f>IF(ISNUMBER('IN-CLASS_Lab Part C'!$J$3851),'IN-CLASS_Lab Part C'!$J$3851,NA())</f>
        <v/>
      </c>
    </row>
    <row r="3852">
      <c r="J3852">
        <f>IF(AND(ISNUMBER('Data'!$F$3853),'Data'!$F$3853&lt;&gt;999,'Data'!$F$3853&lt;&gt;""),'Data'!$F$3853,"")</f>
        <v/>
      </c>
      <c r="Z3852" t="n">
        <v>1</v>
      </c>
      <c r="AA3852">
        <f>IF(ISNUMBER('IN-CLASS_Lab Part C'!$J$3852),'IN-CLASS_Lab Part C'!$J$3852,NA())</f>
        <v/>
      </c>
    </row>
    <row r="3853">
      <c r="J3853">
        <f>IF(AND(ISNUMBER('Data'!$F$3854),'Data'!$F$3854&lt;&gt;999,'Data'!$F$3854&lt;&gt;""),'Data'!$F$3854,"")</f>
        <v/>
      </c>
      <c r="Z3853" t="n">
        <v>1</v>
      </c>
      <c r="AA3853">
        <f>IF(ISNUMBER('IN-CLASS_Lab Part C'!$J$3853),'IN-CLASS_Lab Part C'!$J$3853,NA())</f>
        <v/>
      </c>
    </row>
    <row r="3854">
      <c r="J3854">
        <f>IF(AND(ISNUMBER('Data'!$F$3855),'Data'!$F$3855&lt;&gt;999,'Data'!$F$3855&lt;&gt;""),'Data'!$F$3855,"")</f>
        <v/>
      </c>
      <c r="Z3854" t="n">
        <v>1</v>
      </c>
      <c r="AA3854">
        <f>IF(ISNUMBER('IN-CLASS_Lab Part C'!$J$3854),'IN-CLASS_Lab Part C'!$J$3854,NA())</f>
        <v/>
      </c>
    </row>
    <row r="3855">
      <c r="J3855">
        <f>IF(AND(ISNUMBER('Data'!$F$3856),'Data'!$F$3856&lt;&gt;999,'Data'!$F$3856&lt;&gt;""),'Data'!$F$3856,"")</f>
        <v/>
      </c>
      <c r="Z3855" t="n">
        <v>1</v>
      </c>
      <c r="AA3855">
        <f>IF(ISNUMBER('IN-CLASS_Lab Part C'!$J$3855),'IN-CLASS_Lab Part C'!$J$3855,NA())</f>
        <v/>
      </c>
    </row>
    <row r="3856">
      <c r="J3856">
        <f>IF(AND(ISNUMBER('Data'!$F$3857),'Data'!$F$3857&lt;&gt;999,'Data'!$F$3857&lt;&gt;""),'Data'!$F$3857,"")</f>
        <v/>
      </c>
      <c r="Z3856" t="n">
        <v>1</v>
      </c>
      <c r="AA3856">
        <f>IF(ISNUMBER('IN-CLASS_Lab Part C'!$J$3856),'IN-CLASS_Lab Part C'!$J$3856,NA())</f>
        <v/>
      </c>
    </row>
    <row r="3857">
      <c r="J3857">
        <f>IF(AND(ISNUMBER('Data'!$F$3858),'Data'!$F$3858&lt;&gt;999,'Data'!$F$3858&lt;&gt;""),'Data'!$F$3858,"")</f>
        <v/>
      </c>
      <c r="Z3857" t="n">
        <v>1</v>
      </c>
      <c r="AA3857">
        <f>IF(ISNUMBER('IN-CLASS_Lab Part C'!$J$3857),'IN-CLASS_Lab Part C'!$J$3857,NA())</f>
        <v/>
      </c>
    </row>
    <row r="3858">
      <c r="J3858">
        <f>IF(AND(ISNUMBER('Data'!$F$3859),'Data'!$F$3859&lt;&gt;999,'Data'!$F$3859&lt;&gt;""),'Data'!$F$3859,"")</f>
        <v/>
      </c>
      <c r="Z3858" t="n">
        <v>1</v>
      </c>
      <c r="AA3858">
        <f>IF(ISNUMBER('IN-CLASS_Lab Part C'!$J$3858),'IN-CLASS_Lab Part C'!$J$3858,NA())</f>
        <v/>
      </c>
    </row>
    <row r="3859">
      <c r="J3859">
        <f>IF(AND(ISNUMBER('Data'!$F$3860),'Data'!$F$3860&lt;&gt;999,'Data'!$F$3860&lt;&gt;""),'Data'!$F$3860,"")</f>
        <v/>
      </c>
      <c r="Z3859" t="n">
        <v>1</v>
      </c>
      <c r="AA3859">
        <f>IF(ISNUMBER('IN-CLASS_Lab Part C'!$J$3859),'IN-CLASS_Lab Part C'!$J$3859,NA())</f>
        <v/>
      </c>
    </row>
    <row r="3860">
      <c r="J3860">
        <f>IF(AND(ISNUMBER('Data'!$F$3861),'Data'!$F$3861&lt;&gt;999,'Data'!$F$3861&lt;&gt;""),'Data'!$F$3861,"")</f>
        <v/>
      </c>
      <c r="Z3860" t="n">
        <v>1</v>
      </c>
      <c r="AA3860">
        <f>IF(ISNUMBER('IN-CLASS_Lab Part C'!$J$3860),'IN-CLASS_Lab Part C'!$J$3860,NA())</f>
        <v/>
      </c>
    </row>
    <row r="3861">
      <c r="J3861">
        <f>IF(AND(ISNUMBER('Data'!$F$3862),'Data'!$F$3862&lt;&gt;999,'Data'!$F$3862&lt;&gt;""),'Data'!$F$3862,"")</f>
        <v/>
      </c>
      <c r="Z3861" t="n">
        <v>1</v>
      </c>
      <c r="AA3861">
        <f>IF(ISNUMBER('IN-CLASS_Lab Part C'!$J$3861),'IN-CLASS_Lab Part C'!$J$3861,NA())</f>
        <v/>
      </c>
    </row>
    <row r="3862">
      <c r="J3862">
        <f>IF(AND(ISNUMBER('Data'!$F$3863),'Data'!$F$3863&lt;&gt;999,'Data'!$F$3863&lt;&gt;""),'Data'!$F$3863,"")</f>
        <v/>
      </c>
      <c r="Z3862" t="n">
        <v>1</v>
      </c>
      <c r="AA3862">
        <f>IF(ISNUMBER('IN-CLASS_Lab Part C'!$J$3862),'IN-CLASS_Lab Part C'!$J$3862,NA())</f>
        <v/>
      </c>
    </row>
    <row r="3863">
      <c r="J3863">
        <f>IF(AND(ISNUMBER('Data'!$F$3864),'Data'!$F$3864&lt;&gt;999,'Data'!$F$3864&lt;&gt;""),'Data'!$F$3864,"")</f>
        <v/>
      </c>
      <c r="Z3863" t="n">
        <v>1</v>
      </c>
      <c r="AA3863">
        <f>IF(ISNUMBER('IN-CLASS_Lab Part C'!$J$3863),'IN-CLASS_Lab Part C'!$J$3863,NA())</f>
        <v/>
      </c>
    </row>
    <row r="3864">
      <c r="J3864">
        <f>IF(AND(ISNUMBER('Data'!$F$3865),'Data'!$F$3865&lt;&gt;999,'Data'!$F$3865&lt;&gt;""),'Data'!$F$3865,"")</f>
        <v/>
      </c>
      <c r="Z3864" t="n">
        <v>1</v>
      </c>
      <c r="AA3864">
        <f>IF(ISNUMBER('IN-CLASS_Lab Part C'!$J$3864),'IN-CLASS_Lab Part C'!$J$3864,NA())</f>
        <v/>
      </c>
    </row>
    <row r="3865">
      <c r="J3865">
        <f>IF(AND(ISNUMBER('Data'!$F$3866),'Data'!$F$3866&lt;&gt;999,'Data'!$F$3866&lt;&gt;""),'Data'!$F$3866,"")</f>
        <v/>
      </c>
      <c r="Z3865" t="n">
        <v>1</v>
      </c>
      <c r="AA3865">
        <f>IF(ISNUMBER('IN-CLASS_Lab Part C'!$J$3865),'IN-CLASS_Lab Part C'!$J$3865,NA())</f>
        <v/>
      </c>
    </row>
    <row r="3866">
      <c r="J3866">
        <f>IF(AND(ISNUMBER('Data'!$F$3867),'Data'!$F$3867&lt;&gt;999,'Data'!$F$3867&lt;&gt;""),'Data'!$F$3867,"")</f>
        <v/>
      </c>
      <c r="Z3866" t="n">
        <v>1</v>
      </c>
      <c r="AA3866">
        <f>IF(ISNUMBER('IN-CLASS_Lab Part C'!$J$3866),'IN-CLASS_Lab Part C'!$J$3866,NA())</f>
        <v/>
      </c>
    </row>
    <row r="3867">
      <c r="J3867">
        <f>IF(AND(ISNUMBER('Data'!$F$3868),'Data'!$F$3868&lt;&gt;999,'Data'!$F$3868&lt;&gt;""),'Data'!$F$3868,"")</f>
        <v/>
      </c>
      <c r="Z3867" t="n">
        <v>1</v>
      </c>
      <c r="AA3867">
        <f>IF(ISNUMBER('IN-CLASS_Lab Part C'!$J$3867),'IN-CLASS_Lab Part C'!$J$3867,NA())</f>
        <v/>
      </c>
    </row>
    <row r="3868">
      <c r="J3868">
        <f>IF(AND(ISNUMBER('Data'!$F$3869),'Data'!$F$3869&lt;&gt;999,'Data'!$F$3869&lt;&gt;""),'Data'!$F$3869,"")</f>
        <v/>
      </c>
      <c r="Z3868" t="n">
        <v>1</v>
      </c>
      <c r="AA3868">
        <f>IF(ISNUMBER('IN-CLASS_Lab Part C'!$J$3868),'IN-CLASS_Lab Part C'!$J$3868,NA())</f>
        <v/>
      </c>
    </row>
    <row r="3869">
      <c r="J3869">
        <f>IF(AND(ISNUMBER('Data'!$F$3870),'Data'!$F$3870&lt;&gt;999,'Data'!$F$3870&lt;&gt;""),'Data'!$F$3870,"")</f>
        <v/>
      </c>
      <c r="Z3869" t="n">
        <v>1</v>
      </c>
      <c r="AA3869">
        <f>IF(ISNUMBER('IN-CLASS_Lab Part C'!$J$3869),'IN-CLASS_Lab Part C'!$J$3869,NA())</f>
        <v/>
      </c>
    </row>
    <row r="3870">
      <c r="J3870">
        <f>IF(AND(ISNUMBER('Data'!$F$3871),'Data'!$F$3871&lt;&gt;999,'Data'!$F$3871&lt;&gt;""),'Data'!$F$3871,"")</f>
        <v/>
      </c>
      <c r="Z3870" t="n">
        <v>1</v>
      </c>
      <c r="AA3870">
        <f>IF(ISNUMBER('IN-CLASS_Lab Part C'!$J$3870),'IN-CLASS_Lab Part C'!$J$3870,NA())</f>
        <v/>
      </c>
    </row>
    <row r="3871">
      <c r="J3871">
        <f>IF(AND(ISNUMBER('Data'!$F$3872),'Data'!$F$3872&lt;&gt;999,'Data'!$F$3872&lt;&gt;""),'Data'!$F$3872,"")</f>
        <v/>
      </c>
      <c r="Z3871" t="n">
        <v>1</v>
      </c>
      <c r="AA3871">
        <f>IF(ISNUMBER('IN-CLASS_Lab Part C'!$J$3871),'IN-CLASS_Lab Part C'!$J$3871,NA())</f>
        <v/>
      </c>
    </row>
    <row r="3872">
      <c r="J3872">
        <f>IF(AND(ISNUMBER('Data'!$F$3873),'Data'!$F$3873&lt;&gt;999,'Data'!$F$3873&lt;&gt;""),'Data'!$F$3873,"")</f>
        <v/>
      </c>
      <c r="Z3872" t="n">
        <v>1</v>
      </c>
      <c r="AA3872">
        <f>IF(ISNUMBER('IN-CLASS_Lab Part C'!$J$3872),'IN-CLASS_Lab Part C'!$J$3872,NA())</f>
        <v/>
      </c>
    </row>
    <row r="3873">
      <c r="J3873">
        <f>IF(AND(ISNUMBER('Data'!$F$3874),'Data'!$F$3874&lt;&gt;999,'Data'!$F$3874&lt;&gt;""),'Data'!$F$3874,"")</f>
        <v/>
      </c>
      <c r="Z3873" t="n">
        <v>1</v>
      </c>
      <c r="AA3873">
        <f>IF(ISNUMBER('IN-CLASS_Lab Part C'!$J$3873),'IN-CLASS_Lab Part C'!$J$3873,NA())</f>
        <v/>
      </c>
    </row>
    <row r="3874">
      <c r="J3874">
        <f>IF(AND(ISNUMBER('Data'!$F$3875),'Data'!$F$3875&lt;&gt;999,'Data'!$F$3875&lt;&gt;""),'Data'!$F$3875,"")</f>
        <v/>
      </c>
      <c r="Z3874" t="n">
        <v>1</v>
      </c>
      <c r="AA3874">
        <f>IF(ISNUMBER('IN-CLASS_Lab Part C'!$J$3874),'IN-CLASS_Lab Part C'!$J$3874,NA())</f>
        <v/>
      </c>
    </row>
    <row r="3875">
      <c r="J3875">
        <f>IF(AND(ISNUMBER('Data'!$F$3876),'Data'!$F$3876&lt;&gt;999,'Data'!$F$3876&lt;&gt;""),'Data'!$F$3876,"")</f>
        <v/>
      </c>
      <c r="Z3875" t="n">
        <v>1</v>
      </c>
      <c r="AA3875">
        <f>IF(ISNUMBER('IN-CLASS_Lab Part C'!$J$3875),'IN-CLASS_Lab Part C'!$J$3875,NA())</f>
        <v/>
      </c>
    </row>
    <row r="3876">
      <c r="J3876">
        <f>IF(AND(ISNUMBER('Data'!$F$3877),'Data'!$F$3877&lt;&gt;999,'Data'!$F$3877&lt;&gt;""),'Data'!$F$3877,"")</f>
        <v/>
      </c>
      <c r="Z3876" t="n">
        <v>1</v>
      </c>
      <c r="AA3876">
        <f>IF(ISNUMBER('IN-CLASS_Lab Part C'!$J$3876),'IN-CLASS_Lab Part C'!$J$3876,NA())</f>
        <v/>
      </c>
    </row>
    <row r="3877">
      <c r="J3877">
        <f>IF(AND(ISNUMBER('Data'!$F$3878),'Data'!$F$3878&lt;&gt;999,'Data'!$F$3878&lt;&gt;""),'Data'!$F$3878,"")</f>
        <v/>
      </c>
      <c r="Z3877" t="n">
        <v>1</v>
      </c>
      <c r="AA3877">
        <f>IF(ISNUMBER('IN-CLASS_Lab Part C'!$J$3877),'IN-CLASS_Lab Part C'!$J$3877,NA())</f>
        <v/>
      </c>
    </row>
    <row r="3878">
      <c r="J3878">
        <f>IF(AND(ISNUMBER('Data'!$F$3879),'Data'!$F$3879&lt;&gt;999,'Data'!$F$3879&lt;&gt;""),'Data'!$F$3879,"")</f>
        <v/>
      </c>
      <c r="Z3878" t="n">
        <v>1</v>
      </c>
      <c r="AA3878">
        <f>IF(ISNUMBER('IN-CLASS_Lab Part C'!$J$3878),'IN-CLASS_Lab Part C'!$J$3878,NA())</f>
        <v/>
      </c>
    </row>
    <row r="3879">
      <c r="J3879">
        <f>IF(AND(ISNUMBER('Data'!$F$3880),'Data'!$F$3880&lt;&gt;999,'Data'!$F$3880&lt;&gt;""),'Data'!$F$3880,"")</f>
        <v/>
      </c>
      <c r="Z3879" t="n">
        <v>1</v>
      </c>
      <c r="AA3879">
        <f>IF(ISNUMBER('IN-CLASS_Lab Part C'!$J$3879),'IN-CLASS_Lab Part C'!$J$3879,NA())</f>
        <v/>
      </c>
    </row>
    <row r="3880">
      <c r="J3880">
        <f>IF(AND(ISNUMBER('Data'!$F$3881),'Data'!$F$3881&lt;&gt;999,'Data'!$F$3881&lt;&gt;""),'Data'!$F$3881,"")</f>
        <v/>
      </c>
      <c r="Z3880" t="n">
        <v>1</v>
      </c>
      <c r="AA3880">
        <f>IF(ISNUMBER('IN-CLASS_Lab Part C'!$J$3880),'IN-CLASS_Lab Part C'!$J$3880,NA())</f>
        <v/>
      </c>
    </row>
    <row r="3881">
      <c r="J3881">
        <f>IF(AND(ISNUMBER('Data'!$F$3882),'Data'!$F$3882&lt;&gt;999,'Data'!$F$3882&lt;&gt;""),'Data'!$F$3882,"")</f>
        <v/>
      </c>
      <c r="Z3881" t="n">
        <v>1</v>
      </c>
      <c r="AA3881">
        <f>IF(ISNUMBER('IN-CLASS_Lab Part C'!$J$3881),'IN-CLASS_Lab Part C'!$J$3881,NA())</f>
        <v/>
      </c>
    </row>
    <row r="3882">
      <c r="J3882">
        <f>IF(AND(ISNUMBER('Data'!$F$3883),'Data'!$F$3883&lt;&gt;999,'Data'!$F$3883&lt;&gt;""),'Data'!$F$3883,"")</f>
        <v/>
      </c>
      <c r="Z3882" t="n">
        <v>1</v>
      </c>
      <c r="AA3882">
        <f>IF(ISNUMBER('IN-CLASS_Lab Part C'!$J$3882),'IN-CLASS_Lab Part C'!$J$3882,NA())</f>
        <v/>
      </c>
    </row>
    <row r="3883">
      <c r="J3883">
        <f>IF(AND(ISNUMBER('Data'!$F$3884),'Data'!$F$3884&lt;&gt;999,'Data'!$F$3884&lt;&gt;""),'Data'!$F$3884,"")</f>
        <v/>
      </c>
      <c r="Z3883" t="n">
        <v>1</v>
      </c>
      <c r="AA3883">
        <f>IF(ISNUMBER('IN-CLASS_Lab Part C'!$J$3883),'IN-CLASS_Lab Part C'!$J$3883,NA())</f>
        <v/>
      </c>
    </row>
    <row r="3884">
      <c r="J3884">
        <f>IF(AND(ISNUMBER('Data'!$F$3885),'Data'!$F$3885&lt;&gt;999,'Data'!$F$3885&lt;&gt;""),'Data'!$F$3885,"")</f>
        <v/>
      </c>
      <c r="Z3884" t="n">
        <v>1</v>
      </c>
      <c r="AA3884">
        <f>IF(ISNUMBER('IN-CLASS_Lab Part C'!$J$3884),'IN-CLASS_Lab Part C'!$J$3884,NA())</f>
        <v/>
      </c>
    </row>
    <row r="3885">
      <c r="J3885">
        <f>IF(AND(ISNUMBER('Data'!$F$3886),'Data'!$F$3886&lt;&gt;999,'Data'!$F$3886&lt;&gt;""),'Data'!$F$3886,"")</f>
        <v/>
      </c>
      <c r="Z3885" t="n">
        <v>1</v>
      </c>
      <c r="AA3885">
        <f>IF(ISNUMBER('IN-CLASS_Lab Part C'!$J$3885),'IN-CLASS_Lab Part C'!$J$3885,NA())</f>
        <v/>
      </c>
    </row>
    <row r="3886">
      <c r="J3886">
        <f>IF(AND(ISNUMBER('Data'!$F$3887),'Data'!$F$3887&lt;&gt;999,'Data'!$F$3887&lt;&gt;""),'Data'!$F$3887,"")</f>
        <v/>
      </c>
      <c r="Z3886" t="n">
        <v>1</v>
      </c>
      <c r="AA3886">
        <f>IF(ISNUMBER('IN-CLASS_Lab Part C'!$J$3886),'IN-CLASS_Lab Part C'!$J$3886,NA())</f>
        <v/>
      </c>
    </row>
    <row r="3887">
      <c r="J3887">
        <f>IF(AND(ISNUMBER('Data'!$F$3888),'Data'!$F$3888&lt;&gt;999,'Data'!$F$3888&lt;&gt;""),'Data'!$F$3888,"")</f>
        <v/>
      </c>
      <c r="Z3887" t="n">
        <v>1</v>
      </c>
      <c r="AA3887">
        <f>IF(ISNUMBER('IN-CLASS_Lab Part C'!$J$3887),'IN-CLASS_Lab Part C'!$J$3887,NA())</f>
        <v/>
      </c>
    </row>
    <row r="3888">
      <c r="J3888">
        <f>IF(AND(ISNUMBER('Data'!$F$3889),'Data'!$F$3889&lt;&gt;999,'Data'!$F$3889&lt;&gt;""),'Data'!$F$3889,"")</f>
        <v/>
      </c>
      <c r="Z3888" t="n">
        <v>1</v>
      </c>
      <c r="AA3888">
        <f>IF(ISNUMBER('IN-CLASS_Lab Part C'!$J$3888),'IN-CLASS_Lab Part C'!$J$3888,NA())</f>
        <v/>
      </c>
    </row>
    <row r="3889">
      <c r="J3889">
        <f>IF(AND(ISNUMBER('Data'!$F$3890),'Data'!$F$3890&lt;&gt;999,'Data'!$F$3890&lt;&gt;""),'Data'!$F$3890,"")</f>
        <v/>
      </c>
      <c r="Z3889" t="n">
        <v>1</v>
      </c>
      <c r="AA3889">
        <f>IF(ISNUMBER('IN-CLASS_Lab Part C'!$J$3889),'IN-CLASS_Lab Part C'!$J$3889,NA())</f>
        <v/>
      </c>
    </row>
    <row r="3890">
      <c r="J3890">
        <f>IF(AND(ISNUMBER('Data'!$F$3891),'Data'!$F$3891&lt;&gt;999,'Data'!$F$3891&lt;&gt;""),'Data'!$F$3891,"")</f>
        <v/>
      </c>
      <c r="Z3890" t="n">
        <v>1</v>
      </c>
      <c r="AA3890">
        <f>IF(ISNUMBER('IN-CLASS_Lab Part C'!$J$3890),'IN-CLASS_Lab Part C'!$J$3890,NA())</f>
        <v/>
      </c>
    </row>
    <row r="3891">
      <c r="J3891">
        <f>IF(AND(ISNUMBER('Data'!$F$3892),'Data'!$F$3892&lt;&gt;999,'Data'!$F$3892&lt;&gt;""),'Data'!$F$3892,"")</f>
        <v/>
      </c>
      <c r="Z3891" t="n">
        <v>1</v>
      </c>
      <c r="AA3891">
        <f>IF(ISNUMBER('IN-CLASS_Lab Part C'!$J$3891),'IN-CLASS_Lab Part C'!$J$3891,NA())</f>
        <v/>
      </c>
    </row>
    <row r="3892">
      <c r="J3892">
        <f>IF(AND(ISNUMBER('Data'!$F$3893),'Data'!$F$3893&lt;&gt;999,'Data'!$F$3893&lt;&gt;""),'Data'!$F$3893,"")</f>
        <v/>
      </c>
      <c r="Z3892" t="n">
        <v>1</v>
      </c>
      <c r="AA3892">
        <f>IF(ISNUMBER('IN-CLASS_Lab Part C'!$J$3892),'IN-CLASS_Lab Part C'!$J$3892,NA())</f>
        <v/>
      </c>
    </row>
    <row r="3893">
      <c r="J3893">
        <f>IF(AND(ISNUMBER('Data'!$F$3894),'Data'!$F$3894&lt;&gt;999,'Data'!$F$3894&lt;&gt;""),'Data'!$F$3894,"")</f>
        <v/>
      </c>
      <c r="Z3893" t="n">
        <v>1</v>
      </c>
      <c r="AA3893">
        <f>IF(ISNUMBER('IN-CLASS_Lab Part C'!$J$3893),'IN-CLASS_Lab Part C'!$J$3893,NA())</f>
        <v/>
      </c>
    </row>
    <row r="3894">
      <c r="J3894">
        <f>IF(AND(ISNUMBER('Data'!$F$3895),'Data'!$F$3895&lt;&gt;999,'Data'!$F$3895&lt;&gt;""),'Data'!$F$3895,"")</f>
        <v/>
      </c>
      <c r="Z3894" t="n">
        <v>1</v>
      </c>
      <c r="AA3894">
        <f>IF(ISNUMBER('IN-CLASS_Lab Part C'!$J$3894),'IN-CLASS_Lab Part C'!$J$3894,NA())</f>
        <v/>
      </c>
    </row>
    <row r="3895">
      <c r="J3895">
        <f>IF(AND(ISNUMBER('Data'!$F$3896),'Data'!$F$3896&lt;&gt;999,'Data'!$F$3896&lt;&gt;""),'Data'!$F$3896,"")</f>
        <v/>
      </c>
      <c r="Z3895" t="n">
        <v>1</v>
      </c>
      <c r="AA3895">
        <f>IF(ISNUMBER('IN-CLASS_Lab Part C'!$J$3895),'IN-CLASS_Lab Part C'!$J$3895,NA())</f>
        <v/>
      </c>
    </row>
    <row r="3896">
      <c r="J3896">
        <f>IF(AND(ISNUMBER('Data'!$F$3897),'Data'!$F$3897&lt;&gt;999,'Data'!$F$3897&lt;&gt;""),'Data'!$F$3897,"")</f>
        <v/>
      </c>
      <c r="Z3896" t="n">
        <v>1</v>
      </c>
      <c r="AA3896">
        <f>IF(ISNUMBER('IN-CLASS_Lab Part C'!$J$3896),'IN-CLASS_Lab Part C'!$J$3896,NA())</f>
        <v/>
      </c>
    </row>
    <row r="3897">
      <c r="J3897">
        <f>IF(AND(ISNUMBER('Data'!$F$3898),'Data'!$F$3898&lt;&gt;999,'Data'!$F$3898&lt;&gt;""),'Data'!$F$3898,"")</f>
        <v/>
      </c>
      <c r="Z3897" t="n">
        <v>1</v>
      </c>
      <c r="AA3897">
        <f>IF(ISNUMBER('IN-CLASS_Lab Part C'!$J$3897),'IN-CLASS_Lab Part C'!$J$3897,NA())</f>
        <v/>
      </c>
    </row>
    <row r="3898">
      <c r="J3898">
        <f>IF(AND(ISNUMBER('Data'!$F$3899),'Data'!$F$3899&lt;&gt;999,'Data'!$F$3899&lt;&gt;""),'Data'!$F$3899,"")</f>
        <v/>
      </c>
      <c r="Z3898" t="n">
        <v>1</v>
      </c>
      <c r="AA3898">
        <f>IF(ISNUMBER('IN-CLASS_Lab Part C'!$J$3898),'IN-CLASS_Lab Part C'!$J$3898,NA())</f>
        <v/>
      </c>
    </row>
    <row r="3899">
      <c r="J3899">
        <f>IF(AND(ISNUMBER('Data'!$F$3900),'Data'!$F$3900&lt;&gt;999,'Data'!$F$3900&lt;&gt;""),'Data'!$F$3900,"")</f>
        <v/>
      </c>
      <c r="Z3899" t="n">
        <v>1</v>
      </c>
      <c r="AA3899">
        <f>IF(ISNUMBER('IN-CLASS_Lab Part C'!$J$3899),'IN-CLASS_Lab Part C'!$J$3899,NA())</f>
        <v/>
      </c>
    </row>
    <row r="3900">
      <c r="J3900">
        <f>IF(AND(ISNUMBER('Data'!$F$3901),'Data'!$F$3901&lt;&gt;999,'Data'!$F$3901&lt;&gt;""),'Data'!$F$3901,"")</f>
        <v/>
      </c>
      <c r="Z3900" t="n">
        <v>1</v>
      </c>
      <c r="AA3900">
        <f>IF(ISNUMBER('IN-CLASS_Lab Part C'!$J$3900),'IN-CLASS_Lab Part C'!$J$3900,NA())</f>
        <v/>
      </c>
    </row>
    <row r="3901">
      <c r="J3901">
        <f>IF(AND(ISNUMBER('Data'!$F$3902),'Data'!$F$3902&lt;&gt;999,'Data'!$F$3902&lt;&gt;""),'Data'!$F$3902,"")</f>
        <v/>
      </c>
      <c r="Z3901" t="n">
        <v>1</v>
      </c>
      <c r="AA3901">
        <f>IF(ISNUMBER('IN-CLASS_Lab Part C'!$J$3901),'IN-CLASS_Lab Part C'!$J$3901,NA())</f>
        <v/>
      </c>
    </row>
    <row r="3902">
      <c r="J3902">
        <f>IF(AND(ISNUMBER('Data'!$F$3903),'Data'!$F$3903&lt;&gt;999,'Data'!$F$3903&lt;&gt;""),'Data'!$F$3903,"")</f>
        <v/>
      </c>
      <c r="Z3902" t="n">
        <v>1</v>
      </c>
      <c r="AA3902">
        <f>IF(ISNUMBER('IN-CLASS_Lab Part C'!$J$3902),'IN-CLASS_Lab Part C'!$J$3902,NA())</f>
        <v/>
      </c>
    </row>
    <row r="3903">
      <c r="J3903">
        <f>IF(AND(ISNUMBER('Data'!$F$3904),'Data'!$F$3904&lt;&gt;999,'Data'!$F$3904&lt;&gt;""),'Data'!$F$3904,"")</f>
        <v/>
      </c>
      <c r="Z3903" t="n">
        <v>1</v>
      </c>
      <c r="AA3903">
        <f>IF(ISNUMBER('IN-CLASS_Lab Part C'!$J$3903),'IN-CLASS_Lab Part C'!$J$3903,NA())</f>
        <v/>
      </c>
    </row>
    <row r="3904">
      <c r="J3904">
        <f>IF(AND(ISNUMBER('Data'!$F$3905),'Data'!$F$3905&lt;&gt;999,'Data'!$F$3905&lt;&gt;""),'Data'!$F$3905,"")</f>
        <v/>
      </c>
      <c r="Z3904" t="n">
        <v>1</v>
      </c>
      <c r="AA3904">
        <f>IF(ISNUMBER('IN-CLASS_Lab Part C'!$J$3904),'IN-CLASS_Lab Part C'!$J$3904,NA())</f>
        <v/>
      </c>
    </row>
    <row r="3905">
      <c r="J3905">
        <f>IF(AND(ISNUMBER('Data'!$F$3906),'Data'!$F$3906&lt;&gt;999,'Data'!$F$3906&lt;&gt;""),'Data'!$F$3906,"")</f>
        <v/>
      </c>
      <c r="Z3905" t="n">
        <v>1</v>
      </c>
      <c r="AA3905">
        <f>IF(ISNUMBER('IN-CLASS_Lab Part C'!$J$3905),'IN-CLASS_Lab Part C'!$J$3905,NA())</f>
        <v/>
      </c>
    </row>
    <row r="3906">
      <c r="J3906">
        <f>IF(AND(ISNUMBER('Data'!$F$3907),'Data'!$F$3907&lt;&gt;999,'Data'!$F$3907&lt;&gt;""),'Data'!$F$3907,"")</f>
        <v/>
      </c>
      <c r="Z3906" t="n">
        <v>1</v>
      </c>
      <c r="AA3906">
        <f>IF(ISNUMBER('IN-CLASS_Lab Part C'!$J$3906),'IN-CLASS_Lab Part C'!$J$3906,NA())</f>
        <v/>
      </c>
    </row>
    <row r="3907">
      <c r="J3907">
        <f>IF(AND(ISNUMBER('Data'!$F$3908),'Data'!$F$3908&lt;&gt;999,'Data'!$F$3908&lt;&gt;""),'Data'!$F$3908,"")</f>
        <v/>
      </c>
      <c r="Z3907" t="n">
        <v>1</v>
      </c>
      <c r="AA3907">
        <f>IF(ISNUMBER('IN-CLASS_Lab Part C'!$J$3907),'IN-CLASS_Lab Part C'!$J$3907,NA())</f>
        <v/>
      </c>
    </row>
    <row r="3908">
      <c r="J3908">
        <f>IF(AND(ISNUMBER('Data'!$F$3909),'Data'!$F$3909&lt;&gt;999,'Data'!$F$3909&lt;&gt;""),'Data'!$F$3909,"")</f>
        <v/>
      </c>
      <c r="Z3908" t="n">
        <v>1</v>
      </c>
      <c r="AA3908">
        <f>IF(ISNUMBER('IN-CLASS_Lab Part C'!$J$3908),'IN-CLASS_Lab Part C'!$J$3908,NA())</f>
        <v/>
      </c>
    </row>
    <row r="3909">
      <c r="J3909">
        <f>IF(AND(ISNUMBER('Data'!$F$3910),'Data'!$F$3910&lt;&gt;999,'Data'!$F$3910&lt;&gt;""),'Data'!$F$3910,"")</f>
        <v/>
      </c>
      <c r="Z3909" t="n">
        <v>1</v>
      </c>
      <c r="AA3909">
        <f>IF(ISNUMBER('IN-CLASS_Lab Part C'!$J$3909),'IN-CLASS_Lab Part C'!$J$3909,NA())</f>
        <v/>
      </c>
    </row>
    <row r="3910">
      <c r="J3910">
        <f>IF(AND(ISNUMBER('Data'!$F$3911),'Data'!$F$3911&lt;&gt;999,'Data'!$F$3911&lt;&gt;""),'Data'!$F$3911,"")</f>
        <v/>
      </c>
      <c r="Z3910" t="n">
        <v>1</v>
      </c>
      <c r="AA3910">
        <f>IF(ISNUMBER('IN-CLASS_Lab Part C'!$J$3910),'IN-CLASS_Lab Part C'!$J$3910,NA())</f>
        <v/>
      </c>
    </row>
    <row r="3911">
      <c r="J3911">
        <f>IF(AND(ISNUMBER('Data'!$F$3912),'Data'!$F$3912&lt;&gt;999,'Data'!$F$3912&lt;&gt;""),'Data'!$F$3912,"")</f>
        <v/>
      </c>
      <c r="Z3911" t="n">
        <v>1</v>
      </c>
      <c r="AA3911">
        <f>IF(ISNUMBER('IN-CLASS_Lab Part C'!$J$3911),'IN-CLASS_Lab Part C'!$J$3911,NA())</f>
        <v/>
      </c>
    </row>
    <row r="3912">
      <c r="J3912">
        <f>IF(AND(ISNUMBER('Data'!$F$3913),'Data'!$F$3913&lt;&gt;999,'Data'!$F$3913&lt;&gt;""),'Data'!$F$3913,"")</f>
        <v/>
      </c>
      <c r="Z3912" t="n">
        <v>1</v>
      </c>
      <c r="AA3912">
        <f>IF(ISNUMBER('IN-CLASS_Lab Part C'!$J$3912),'IN-CLASS_Lab Part C'!$J$3912,NA())</f>
        <v/>
      </c>
    </row>
    <row r="3913">
      <c r="J3913">
        <f>IF(AND(ISNUMBER('Data'!$F$3914),'Data'!$F$3914&lt;&gt;999,'Data'!$F$3914&lt;&gt;""),'Data'!$F$3914,"")</f>
        <v/>
      </c>
      <c r="Z3913" t="n">
        <v>1</v>
      </c>
      <c r="AA3913">
        <f>IF(ISNUMBER('IN-CLASS_Lab Part C'!$J$3913),'IN-CLASS_Lab Part C'!$J$3913,NA())</f>
        <v/>
      </c>
    </row>
    <row r="3914">
      <c r="J3914">
        <f>IF(AND(ISNUMBER('Data'!$F$3915),'Data'!$F$3915&lt;&gt;999,'Data'!$F$3915&lt;&gt;""),'Data'!$F$3915,"")</f>
        <v/>
      </c>
      <c r="Z3914" t="n">
        <v>1</v>
      </c>
      <c r="AA3914">
        <f>IF(ISNUMBER('IN-CLASS_Lab Part C'!$J$3914),'IN-CLASS_Lab Part C'!$J$3914,NA())</f>
        <v/>
      </c>
    </row>
    <row r="3915">
      <c r="J3915">
        <f>IF(AND(ISNUMBER('Data'!$F$3916),'Data'!$F$3916&lt;&gt;999,'Data'!$F$3916&lt;&gt;""),'Data'!$F$3916,"")</f>
        <v/>
      </c>
      <c r="Z3915" t="n">
        <v>1</v>
      </c>
      <c r="AA3915">
        <f>IF(ISNUMBER('IN-CLASS_Lab Part C'!$J$3915),'IN-CLASS_Lab Part C'!$J$3915,NA())</f>
        <v/>
      </c>
    </row>
    <row r="3916">
      <c r="J3916">
        <f>IF(AND(ISNUMBER('Data'!$F$3917),'Data'!$F$3917&lt;&gt;999,'Data'!$F$3917&lt;&gt;""),'Data'!$F$3917,"")</f>
        <v/>
      </c>
      <c r="Z3916" t="n">
        <v>1</v>
      </c>
      <c r="AA3916">
        <f>IF(ISNUMBER('IN-CLASS_Lab Part C'!$J$3916),'IN-CLASS_Lab Part C'!$J$3916,NA())</f>
        <v/>
      </c>
    </row>
    <row r="3917">
      <c r="J3917">
        <f>IF(AND(ISNUMBER('Data'!$F$3918),'Data'!$F$3918&lt;&gt;999,'Data'!$F$3918&lt;&gt;""),'Data'!$F$3918,"")</f>
        <v/>
      </c>
      <c r="Z3917" t="n">
        <v>1</v>
      </c>
      <c r="AA3917">
        <f>IF(ISNUMBER('IN-CLASS_Lab Part C'!$J$3917),'IN-CLASS_Lab Part C'!$J$3917,NA())</f>
        <v/>
      </c>
    </row>
    <row r="3918">
      <c r="J3918">
        <f>IF(AND(ISNUMBER('Data'!$F$3919),'Data'!$F$3919&lt;&gt;999,'Data'!$F$3919&lt;&gt;""),'Data'!$F$3919,"")</f>
        <v/>
      </c>
      <c r="Z3918" t="n">
        <v>1</v>
      </c>
      <c r="AA3918">
        <f>IF(ISNUMBER('IN-CLASS_Lab Part C'!$J$3918),'IN-CLASS_Lab Part C'!$J$3918,NA())</f>
        <v/>
      </c>
    </row>
    <row r="3919">
      <c r="J3919">
        <f>IF(AND(ISNUMBER('Data'!$F$3920),'Data'!$F$3920&lt;&gt;999,'Data'!$F$3920&lt;&gt;""),'Data'!$F$3920,"")</f>
        <v/>
      </c>
      <c r="Z3919" t="n">
        <v>1</v>
      </c>
      <c r="AA3919">
        <f>IF(ISNUMBER('IN-CLASS_Lab Part C'!$J$3919),'IN-CLASS_Lab Part C'!$J$3919,NA())</f>
        <v/>
      </c>
    </row>
    <row r="3920">
      <c r="J3920">
        <f>IF(AND(ISNUMBER('Data'!$F$3921),'Data'!$F$3921&lt;&gt;999,'Data'!$F$3921&lt;&gt;""),'Data'!$F$3921,"")</f>
        <v/>
      </c>
      <c r="Z3920" t="n">
        <v>1</v>
      </c>
      <c r="AA3920">
        <f>IF(ISNUMBER('IN-CLASS_Lab Part C'!$J$3920),'IN-CLASS_Lab Part C'!$J$3920,NA())</f>
        <v/>
      </c>
    </row>
    <row r="3921">
      <c r="J3921">
        <f>IF(AND(ISNUMBER('Data'!$F$3922),'Data'!$F$3922&lt;&gt;999,'Data'!$F$3922&lt;&gt;""),'Data'!$F$3922,"")</f>
        <v/>
      </c>
      <c r="Z3921" t="n">
        <v>1</v>
      </c>
      <c r="AA3921">
        <f>IF(ISNUMBER('IN-CLASS_Lab Part C'!$J$3921),'IN-CLASS_Lab Part C'!$J$3921,NA())</f>
        <v/>
      </c>
    </row>
    <row r="3922">
      <c r="J3922">
        <f>IF(AND(ISNUMBER('Data'!$F$3923),'Data'!$F$3923&lt;&gt;999,'Data'!$F$3923&lt;&gt;""),'Data'!$F$3923,"")</f>
        <v/>
      </c>
      <c r="Z3922" t="n">
        <v>1</v>
      </c>
      <c r="AA3922">
        <f>IF(ISNUMBER('IN-CLASS_Lab Part C'!$J$3922),'IN-CLASS_Lab Part C'!$J$3922,NA())</f>
        <v/>
      </c>
    </row>
    <row r="3923">
      <c r="J3923">
        <f>IF(AND(ISNUMBER('Data'!$F$3924),'Data'!$F$3924&lt;&gt;999,'Data'!$F$3924&lt;&gt;""),'Data'!$F$3924,"")</f>
        <v/>
      </c>
      <c r="Z3923" t="n">
        <v>1</v>
      </c>
      <c r="AA3923">
        <f>IF(ISNUMBER('IN-CLASS_Lab Part C'!$J$3923),'IN-CLASS_Lab Part C'!$J$3923,NA())</f>
        <v/>
      </c>
    </row>
    <row r="3924">
      <c r="J3924">
        <f>IF(AND(ISNUMBER('Data'!$F$3925),'Data'!$F$3925&lt;&gt;999,'Data'!$F$3925&lt;&gt;""),'Data'!$F$3925,"")</f>
        <v/>
      </c>
      <c r="Z3924" t="n">
        <v>1</v>
      </c>
      <c r="AA3924">
        <f>IF(ISNUMBER('IN-CLASS_Lab Part C'!$J$3924),'IN-CLASS_Lab Part C'!$J$3924,NA())</f>
        <v/>
      </c>
    </row>
    <row r="3925">
      <c r="J3925">
        <f>IF(AND(ISNUMBER('Data'!$F$3926),'Data'!$F$3926&lt;&gt;999,'Data'!$F$3926&lt;&gt;""),'Data'!$F$3926,"")</f>
        <v/>
      </c>
      <c r="Z3925" t="n">
        <v>1</v>
      </c>
      <c r="AA3925">
        <f>IF(ISNUMBER('IN-CLASS_Lab Part C'!$J$3925),'IN-CLASS_Lab Part C'!$J$3925,NA())</f>
        <v/>
      </c>
    </row>
    <row r="3926">
      <c r="J3926">
        <f>IF(AND(ISNUMBER('Data'!$F$3927),'Data'!$F$3927&lt;&gt;999,'Data'!$F$3927&lt;&gt;""),'Data'!$F$3927,"")</f>
        <v/>
      </c>
      <c r="Z3926" t="n">
        <v>1</v>
      </c>
      <c r="AA3926">
        <f>IF(ISNUMBER('IN-CLASS_Lab Part C'!$J$3926),'IN-CLASS_Lab Part C'!$J$3926,NA())</f>
        <v/>
      </c>
    </row>
    <row r="3927">
      <c r="J3927">
        <f>IF(AND(ISNUMBER('Data'!$F$3928),'Data'!$F$3928&lt;&gt;999,'Data'!$F$3928&lt;&gt;""),'Data'!$F$3928,"")</f>
        <v/>
      </c>
      <c r="Z3927" t="n">
        <v>1</v>
      </c>
      <c r="AA3927">
        <f>IF(ISNUMBER('IN-CLASS_Lab Part C'!$J$3927),'IN-CLASS_Lab Part C'!$J$3927,NA())</f>
        <v/>
      </c>
    </row>
    <row r="3928">
      <c r="J3928">
        <f>IF(AND(ISNUMBER('Data'!$F$3929),'Data'!$F$3929&lt;&gt;999,'Data'!$F$3929&lt;&gt;""),'Data'!$F$3929,"")</f>
        <v/>
      </c>
      <c r="Z3928" t="n">
        <v>1</v>
      </c>
      <c r="AA3928">
        <f>IF(ISNUMBER('IN-CLASS_Lab Part C'!$J$3928),'IN-CLASS_Lab Part C'!$J$3928,NA())</f>
        <v/>
      </c>
    </row>
    <row r="3929">
      <c r="J3929">
        <f>IF(AND(ISNUMBER('Data'!$F$3930),'Data'!$F$3930&lt;&gt;999,'Data'!$F$3930&lt;&gt;""),'Data'!$F$3930,"")</f>
        <v/>
      </c>
      <c r="Z3929" t="n">
        <v>1</v>
      </c>
      <c r="AA3929">
        <f>IF(ISNUMBER('IN-CLASS_Lab Part C'!$J$3929),'IN-CLASS_Lab Part C'!$J$3929,NA())</f>
        <v/>
      </c>
    </row>
    <row r="3930">
      <c r="J3930">
        <f>IF(AND(ISNUMBER('Data'!$F$3931),'Data'!$F$3931&lt;&gt;999,'Data'!$F$3931&lt;&gt;""),'Data'!$F$3931,"")</f>
        <v/>
      </c>
      <c r="Z3930" t="n">
        <v>1</v>
      </c>
      <c r="AA3930">
        <f>IF(ISNUMBER('IN-CLASS_Lab Part C'!$J$3930),'IN-CLASS_Lab Part C'!$J$3930,NA())</f>
        <v/>
      </c>
    </row>
    <row r="3931">
      <c r="J3931">
        <f>IF(AND(ISNUMBER('Data'!$F$3932),'Data'!$F$3932&lt;&gt;999,'Data'!$F$3932&lt;&gt;""),'Data'!$F$3932,"")</f>
        <v/>
      </c>
      <c r="Z3931" t="n">
        <v>1</v>
      </c>
      <c r="AA3931">
        <f>IF(ISNUMBER('IN-CLASS_Lab Part C'!$J$3931),'IN-CLASS_Lab Part C'!$J$3931,NA())</f>
        <v/>
      </c>
    </row>
    <row r="3932">
      <c r="J3932">
        <f>IF(AND(ISNUMBER('Data'!$F$3933),'Data'!$F$3933&lt;&gt;999,'Data'!$F$3933&lt;&gt;""),'Data'!$F$3933,"")</f>
        <v/>
      </c>
      <c r="Z3932" t="n">
        <v>1</v>
      </c>
      <c r="AA3932">
        <f>IF(ISNUMBER('IN-CLASS_Lab Part C'!$J$3932),'IN-CLASS_Lab Part C'!$J$3932,NA())</f>
        <v/>
      </c>
    </row>
    <row r="3933">
      <c r="J3933">
        <f>IF(AND(ISNUMBER('Data'!$F$3934),'Data'!$F$3934&lt;&gt;999,'Data'!$F$3934&lt;&gt;""),'Data'!$F$3934,"")</f>
        <v/>
      </c>
      <c r="Z3933" t="n">
        <v>1</v>
      </c>
      <c r="AA3933">
        <f>IF(ISNUMBER('IN-CLASS_Lab Part C'!$J$3933),'IN-CLASS_Lab Part C'!$J$3933,NA())</f>
        <v/>
      </c>
    </row>
    <row r="3934">
      <c r="J3934">
        <f>IF(AND(ISNUMBER('Data'!$F$3935),'Data'!$F$3935&lt;&gt;999,'Data'!$F$3935&lt;&gt;""),'Data'!$F$3935,"")</f>
        <v/>
      </c>
      <c r="Z3934" t="n">
        <v>1</v>
      </c>
      <c r="AA3934">
        <f>IF(ISNUMBER('IN-CLASS_Lab Part C'!$J$3934),'IN-CLASS_Lab Part C'!$J$3934,NA())</f>
        <v/>
      </c>
    </row>
    <row r="3935">
      <c r="J3935">
        <f>IF(AND(ISNUMBER('Data'!$F$3936),'Data'!$F$3936&lt;&gt;999,'Data'!$F$3936&lt;&gt;""),'Data'!$F$3936,"")</f>
        <v/>
      </c>
      <c r="Z3935" t="n">
        <v>1</v>
      </c>
      <c r="AA3935">
        <f>IF(ISNUMBER('IN-CLASS_Lab Part C'!$J$3935),'IN-CLASS_Lab Part C'!$J$3935,NA())</f>
        <v/>
      </c>
    </row>
    <row r="3936">
      <c r="J3936">
        <f>IF(AND(ISNUMBER('Data'!$F$3937),'Data'!$F$3937&lt;&gt;999,'Data'!$F$3937&lt;&gt;""),'Data'!$F$3937,"")</f>
        <v/>
      </c>
      <c r="Z3936" t="n">
        <v>1</v>
      </c>
      <c r="AA3936">
        <f>IF(ISNUMBER('IN-CLASS_Lab Part C'!$J$3936),'IN-CLASS_Lab Part C'!$J$3936,NA())</f>
        <v/>
      </c>
    </row>
    <row r="3937">
      <c r="J3937">
        <f>IF(AND(ISNUMBER('Data'!$F$3938),'Data'!$F$3938&lt;&gt;999,'Data'!$F$3938&lt;&gt;""),'Data'!$F$3938,"")</f>
        <v/>
      </c>
      <c r="Z3937" t="n">
        <v>1</v>
      </c>
      <c r="AA3937">
        <f>IF(ISNUMBER('IN-CLASS_Lab Part C'!$J$3937),'IN-CLASS_Lab Part C'!$J$3937,NA())</f>
        <v/>
      </c>
    </row>
    <row r="3938">
      <c r="J3938">
        <f>IF(AND(ISNUMBER('Data'!$F$3939),'Data'!$F$3939&lt;&gt;999,'Data'!$F$3939&lt;&gt;""),'Data'!$F$3939,"")</f>
        <v/>
      </c>
      <c r="Z3938" t="n">
        <v>1</v>
      </c>
      <c r="AA3938">
        <f>IF(ISNUMBER('IN-CLASS_Lab Part C'!$J$3938),'IN-CLASS_Lab Part C'!$J$3938,NA())</f>
        <v/>
      </c>
    </row>
    <row r="3939">
      <c r="J3939">
        <f>IF(AND(ISNUMBER('Data'!$F$3940),'Data'!$F$3940&lt;&gt;999,'Data'!$F$3940&lt;&gt;""),'Data'!$F$3940,"")</f>
        <v/>
      </c>
      <c r="Z3939" t="n">
        <v>1</v>
      </c>
      <c r="AA3939">
        <f>IF(ISNUMBER('IN-CLASS_Lab Part C'!$J$3939),'IN-CLASS_Lab Part C'!$J$3939,NA())</f>
        <v/>
      </c>
    </row>
    <row r="3940">
      <c r="J3940">
        <f>IF(AND(ISNUMBER('Data'!$F$3941),'Data'!$F$3941&lt;&gt;999,'Data'!$F$3941&lt;&gt;""),'Data'!$F$3941,"")</f>
        <v/>
      </c>
      <c r="Z3940" t="n">
        <v>1</v>
      </c>
      <c r="AA3940">
        <f>IF(ISNUMBER('IN-CLASS_Lab Part C'!$J$3940),'IN-CLASS_Lab Part C'!$J$3940,NA())</f>
        <v/>
      </c>
    </row>
    <row r="3941">
      <c r="J3941">
        <f>IF(AND(ISNUMBER('Data'!$F$3942),'Data'!$F$3942&lt;&gt;999,'Data'!$F$3942&lt;&gt;""),'Data'!$F$3942,"")</f>
        <v/>
      </c>
      <c r="Z3941" t="n">
        <v>1</v>
      </c>
      <c r="AA3941">
        <f>IF(ISNUMBER('IN-CLASS_Lab Part C'!$J$3941),'IN-CLASS_Lab Part C'!$J$3941,NA())</f>
        <v/>
      </c>
    </row>
    <row r="3942">
      <c r="J3942">
        <f>IF(AND(ISNUMBER('Data'!$F$3943),'Data'!$F$3943&lt;&gt;999,'Data'!$F$3943&lt;&gt;""),'Data'!$F$3943,"")</f>
        <v/>
      </c>
      <c r="Z3942" t="n">
        <v>1</v>
      </c>
      <c r="AA3942">
        <f>IF(ISNUMBER('IN-CLASS_Lab Part C'!$J$3942),'IN-CLASS_Lab Part C'!$J$3942,NA())</f>
        <v/>
      </c>
    </row>
    <row r="3943">
      <c r="J3943">
        <f>IF(AND(ISNUMBER('Data'!$F$3944),'Data'!$F$3944&lt;&gt;999,'Data'!$F$3944&lt;&gt;""),'Data'!$F$3944,"")</f>
        <v/>
      </c>
      <c r="Z3943" t="n">
        <v>1</v>
      </c>
      <c r="AA3943">
        <f>IF(ISNUMBER('IN-CLASS_Lab Part C'!$J$3943),'IN-CLASS_Lab Part C'!$J$3943,NA())</f>
        <v/>
      </c>
    </row>
    <row r="3944">
      <c r="J3944">
        <f>IF(AND(ISNUMBER('Data'!$F$3945),'Data'!$F$3945&lt;&gt;999,'Data'!$F$3945&lt;&gt;""),'Data'!$F$3945,"")</f>
        <v/>
      </c>
      <c r="Z3944" t="n">
        <v>1</v>
      </c>
      <c r="AA3944">
        <f>IF(ISNUMBER('IN-CLASS_Lab Part C'!$J$3944),'IN-CLASS_Lab Part C'!$J$3944,NA())</f>
        <v/>
      </c>
    </row>
    <row r="3945">
      <c r="J3945">
        <f>IF(AND(ISNUMBER('Data'!$F$3946),'Data'!$F$3946&lt;&gt;999,'Data'!$F$3946&lt;&gt;""),'Data'!$F$3946,"")</f>
        <v/>
      </c>
      <c r="Z3945" t="n">
        <v>1</v>
      </c>
      <c r="AA3945">
        <f>IF(ISNUMBER('IN-CLASS_Lab Part C'!$J$3945),'IN-CLASS_Lab Part C'!$J$3945,NA())</f>
        <v/>
      </c>
    </row>
    <row r="3946">
      <c r="J3946">
        <f>IF(AND(ISNUMBER('Data'!$F$3947),'Data'!$F$3947&lt;&gt;999,'Data'!$F$3947&lt;&gt;""),'Data'!$F$3947,"")</f>
        <v/>
      </c>
      <c r="Z3946" t="n">
        <v>1</v>
      </c>
      <c r="AA3946">
        <f>IF(ISNUMBER('IN-CLASS_Lab Part C'!$J$3946),'IN-CLASS_Lab Part C'!$J$3946,NA())</f>
        <v/>
      </c>
    </row>
    <row r="3947">
      <c r="J3947">
        <f>IF(AND(ISNUMBER('Data'!$F$3948),'Data'!$F$3948&lt;&gt;999,'Data'!$F$3948&lt;&gt;""),'Data'!$F$3948,"")</f>
        <v/>
      </c>
      <c r="Z3947" t="n">
        <v>1</v>
      </c>
      <c r="AA3947">
        <f>IF(ISNUMBER('IN-CLASS_Lab Part C'!$J$3947),'IN-CLASS_Lab Part C'!$J$3947,NA())</f>
        <v/>
      </c>
    </row>
    <row r="3948">
      <c r="J3948">
        <f>IF(AND(ISNUMBER('Data'!$F$3949),'Data'!$F$3949&lt;&gt;999,'Data'!$F$3949&lt;&gt;""),'Data'!$F$3949,"")</f>
        <v/>
      </c>
      <c r="Z3948" t="n">
        <v>1</v>
      </c>
      <c r="AA3948">
        <f>IF(ISNUMBER('IN-CLASS_Lab Part C'!$J$3948),'IN-CLASS_Lab Part C'!$J$3948,NA())</f>
        <v/>
      </c>
    </row>
    <row r="3949">
      <c r="J3949">
        <f>IF(AND(ISNUMBER('Data'!$F$3950),'Data'!$F$3950&lt;&gt;999,'Data'!$F$3950&lt;&gt;""),'Data'!$F$3950,"")</f>
        <v/>
      </c>
      <c r="Z3949" t="n">
        <v>1</v>
      </c>
      <c r="AA3949">
        <f>IF(ISNUMBER('IN-CLASS_Lab Part C'!$J$3949),'IN-CLASS_Lab Part C'!$J$3949,NA())</f>
        <v/>
      </c>
    </row>
    <row r="3950">
      <c r="J3950">
        <f>IF(AND(ISNUMBER('Data'!$F$3951),'Data'!$F$3951&lt;&gt;999,'Data'!$F$3951&lt;&gt;""),'Data'!$F$3951,"")</f>
        <v/>
      </c>
      <c r="Z3950" t="n">
        <v>1</v>
      </c>
      <c r="AA3950">
        <f>IF(ISNUMBER('IN-CLASS_Lab Part C'!$J$3950),'IN-CLASS_Lab Part C'!$J$3950,NA())</f>
        <v/>
      </c>
    </row>
    <row r="3951">
      <c r="J3951">
        <f>IF(AND(ISNUMBER('Data'!$F$3952),'Data'!$F$3952&lt;&gt;999,'Data'!$F$3952&lt;&gt;""),'Data'!$F$3952,"")</f>
        <v/>
      </c>
      <c r="Z3951" t="n">
        <v>1</v>
      </c>
      <c r="AA3951">
        <f>IF(ISNUMBER('IN-CLASS_Lab Part C'!$J$3951),'IN-CLASS_Lab Part C'!$J$3951,NA())</f>
        <v/>
      </c>
    </row>
    <row r="3952">
      <c r="J3952">
        <f>IF(AND(ISNUMBER('Data'!$F$3953),'Data'!$F$3953&lt;&gt;999,'Data'!$F$3953&lt;&gt;""),'Data'!$F$3953,"")</f>
        <v/>
      </c>
      <c r="Z3952" t="n">
        <v>1</v>
      </c>
      <c r="AA3952">
        <f>IF(ISNUMBER('IN-CLASS_Lab Part C'!$J$3952),'IN-CLASS_Lab Part C'!$J$3952,NA())</f>
        <v/>
      </c>
    </row>
    <row r="3953">
      <c r="J3953">
        <f>IF(AND(ISNUMBER('Data'!$F$3954),'Data'!$F$3954&lt;&gt;999,'Data'!$F$3954&lt;&gt;""),'Data'!$F$3954,"")</f>
        <v/>
      </c>
      <c r="Z3953" t="n">
        <v>1</v>
      </c>
      <c r="AA3953">
        <f>IF(ISNUMBER('IN-CLASS_Lab Part C'!$J$3953),'IN-CLASS_Lab Part C'!$J$3953,NA())</f>
        <v/>
      </c>
    </row>
    <row r="3954">
      <c r="J3954">
        <f>IF(AND(ISNUMBER('Data'!$F$3955),'Data'!$F$3955&lt;&gt;999,'Data'!$F$3955&lt;&gt;""),'Data'!$F$3955,"")</f>
        <v/>
      </c>
      <c r="Z3954" t="n">
        <v>1</v>
      </c>
      <c r="AA3954">
        <f>IF(ISNUMBER('IN-CLASS_Lab Part C'!$J$3954),'IN-CLASS_Lab Part C'!$J$3954,NA())</f>
        <v/>
      </c>
    </row>
    <row r="3955">
      <c r="J3955">
        <f>IF(AND(ISNUMBER('Data'!$F$3956),'Data'!$F$3956&lt;&gt;999,'Data'!$F$3956&lt;&gt;""),'Data'!$F$3956,"")</f>
        <v/>
      </c>
      <c r="Z3955" t="n">
        <v>1</v>
      </c>
      <c r="AA3955">
        <f>IF(ISNUMBER('IN-CLASS_Lab Part C'!$J$3955),'IN-CLASS_Lab Part C'!$J$3955,NA())</f>
        <v/>
      </c>
    </row>
    <row r="3956">
      <c r="J3956">
        <f>IF(AND(ISNUMBER('Data'!$F$3957),'Data'!$F$3957&lt;&gt;999,'Data'!$F$3957&lt;&gt;""),'Data'!$F$3957,"")</f>
        <v/>
      </c>
      <c r="Z3956" t="n">
        <v>1</v>
      </c>
      <c r="AA3956">
        <f>IF(ISNUMBER('IN-CLASS_Lab Part C'!$J$3956),'IN-CLASS_Lab Part C'!$J$3956,NA())</f>
        <v/>
      </c>
    </row>
    <row r="3957">
      <c r="J3957">
        <f>IF(AND(ISNUMBER('Data'!$F$3958),'Data'!$F$3958&lt;&gt;999,'Data'!$F$3958&lt;&gt;""),'Data'!$F$3958,"")</f>
        <v/>
      </c>
      <c r="Z3957" t="n">
        <v>1</v>
      </c>
      <c r="AA3957">
        <f>IF(ISNUMBER('IN-CLASS_Lab Part C'!$J$3957),'IN-CLASS_Lab Part C'!$J$3957,NA())</f>
        <v/>
      </c>
    </row>
    <row r="3958">
      <c r="J3958">
        <f>IF(AND(ISNUMBER('Data'!$F$3959),'Data'!$F$3959&lt;&gt;999,'Data'!$F$3959&lt;&gt;""),'Data'!$F$3959,"")</f>
        <v/>
      </c>
      <c r="Z3958" t="n">
        <v>1</v>
      </c>
      <c r="AA3958">
        <f>IF(ISNUMBER('IN-CLASS_Lab Part C'!$J$3958),'IN-CLASS_Lab Part C'!$J$3958,NA())</f>
        <v/>
      </c>
    </row>
    <row r="3959">
      <c r="J3959">
        <f>IF(AND(ISNUMBER('Data'!$F$3960),'Data'!$F$3960&lt;&gt;999,'Data'!$F$3960&lt;&gt;""),'Data'!$F$3960,"")</f>
        <v/>
      </c>
      <c r="Z3959" t="n">
        <v>1</v>
      </c>
      <c r="AA3959">
        <f>IF(ISNUMBER('IN-CLASS_Lab Part C'!$J$3959),'IN-CLASS_Lab Part C'!$J$3959,NA())</f>
        <v/>
      </c>
    </row>
    <row r="3960">
      <c r="J3960">
        <f>IF(AND(ISNUMBER('Data'!$F$3961),'Data'!$F$3961&lt;&gt;999,'Data'!$F$3961&lt;&gt;""),'Data'!$F$3961,"")</f>
        <v/>
      </c>
      <c r="Z3960" t="n">
        <v>1</v>
      </c>
      <c r="AA3960">
        <f>IF(ISNUMBER('IN-CLASS_Lab Part C'!$J$3960),'IN-CLASS_Lab Part C'!$J$3960,NA())</f>
        <v/>
      </c>
    </row>
    <row r="3961">
      <c r="J3961">
        <f>IF(AND(ISNUMBER('Data'!$F$3962),'Data'!$F$3962&lt;&gt;999,'Data'!$F$3962&lt;&gt;""),'Data'!$F$3962,"")</f>
        <v/>
      </c>
      <c r="Z3961" t="n">
        <v>1</v>
      </c>
      <c r="AA3961">
        <f>IF(ISNUMBER('IN-CLASS_Lab Part C'!$J$3961),'IN-CLASS_Lab Part C'!$J$3961,NA())</f>
        <v/>
      </c>
    </row>
    <row r="3962">
      <c r="J3962">
        <f>IF(AND(ISNUMBER('Data'!$F$3963),'Data'!$F$3963&lt;&gt;999,'Data'!$F$3963&lt;&gt;""),'Data'!$F$3963,"")</f>
        <v/>
      </c>
      <c r="Z3962" t="n">
        <v>1</v>
      </c>
      <c r="AA3962">
        <f>IF(ISNUMBER('IN-CLASS_Lab Part C'!$J$3962),'IN-CLASS_Lab Part C'!$J$3962,NA())</f>
        <v/>
      </c>
    </row>
    <row r="3963">
      <c r="J3963">
        <f>IF(AND(ISNUMBER('Data'!$F$3964),'Data'!$F$3964&lt;&gt;999,'Data'!$F$3964&lt;&gt;""),'Data'!$F$3964,"")</f>
        <v/>
      </c>
      <c r="Z3963" t="n">
        <v>1</v>
      </c>
      <c r="AA3963">
        <f>IF(ISNUMBER('IN-CLASS_Lab Part C'!$J$3963),'IN-CLASS_Lab Part C'!$J$3963,NA())</f>
        <v/>
      </c>
    </row>
    <row r="3964">
      <c r="J3964">
        <f>IF(AND(ISNUMBER('Data'!$F$3965),'Data'!$F$3965&lt;&gt;999,'Data'!$F$3965&lt;&gt;""),'Data'!$F$3965,"")</f>
        <v/>
      </c>
      <c r="Z3964" t="n">
        <v>1</v>
      </c>
      <c r="AA3964">
        <f>IF(ISNUMBER('IN-CLASS_Lab Part C'!$J$3964),'IN-CLASS_Lab Part C'!$J$3964,NA())</f>
        <v/>
      </c>
    </row>
    <row r="3965">
      <c r="J3965">
        <f>IF(AND(ISNUMBER('Data'!$F$3966),'Data'!$F$3966&lt;&gt;999,'Data'!$F$3966&lt;&gt;""),'Data'!$F$3966,"")</f>
        <v/>
      </c>
      <c r="Z3965" t="n">
        <v>1</v>
      </c>
      <c r="AA3965">
        <f>IF(ISNUMBER('IN-CLASS_Lab Part C'!$J$3965),'IN-CLASS_Lab Part C'!$J$3965,NA())</f>
        <v/>
      </c>
    </row>
    <row r="3966">
      <c r="J3966">
        <f>IF(AND(ISNUMBER('Data'!$F$3967),'Data'!$F$3967&lt;&gt;999,'Data'!$F$3967&lt;&gt;""),'Data'!$F$3967,"")</f>
        <v/>
      </c>
      <c r="Z3966" t="n">
        <v>1</v>
      </c>
      <c r="AA3966">
        <f>IF(ISNUMBER('IN-CLASS_Lab Part C'!$J$3966),'IN-CLASS_Lab Part C'!$J$3966,NA())</f>
        <v/>
      </c>
    </row>
    <row r="3967">
      <c r="J3967">
        <f>IF(AND(ISNUMBER('Data'!$F$3968),'Data'!$F$3968&lt;&gt;999,'Data'!$F$3968&lt;&gt;""),'Data'!$F$3968,"")</f>
        <v/>
      </c>
      <c r="Z3967" t="n">
        <v>1</v>
      </c>
      <c r="AA3967">
        <f>IF(ISNUMBER('IN-CLASS_Lab Part C'!$J$3967),'IN-CLASS_Lab Part C'!$J$3967,NA())</f>
        <v/>
      </c>
    </row>
    <row r="3968">
      <c r="J3968">
        <f>IF(AND(ISNUMBER('Data'!$F$3969),'Data'!$F$3969&lt;&gt;999,'Data'!$F$3969&lt;&gt;""),'Data'!$F$3969,"")</f>
        <v/>
      </c>
      <c r="Z3968" t="n">
        <v>1</v>
      </c>
      <c r="AA3968">
        <f>IF(ISNUMBER('IN-CLASS_Lab Part C'!$J$3968),'IN-CLASS_Lab Part C'!$J$3968,NA())</f>
        <v/>
      </c>
    </row>
    <row r="3969">
      <c r="J3969">
        <f>IF(AND(ISNUMBER('Data'!$F$3970),'Data'!$F$3970&lt;&gt;999,'Data'!$F$3970&lt;&gt;""),'Data'!$F$3970,"")</f>
        <v/>
      </c>
      <c r="Z3969" t="n">
        <v>1</v>
      </c>
      <c r="AA3969">
        <f>IF(ISNUMBER('IN-CLASS_Lab Part C'!$J$3969),'IN-CLASS_Lab Part C'!$J$3969,NA())</f>
        <v/>
      </c>
    </row>
    <row r="3970">
      <c r="J3970">
        <f>IF(AND(ISNUMBER('Data'!$F$3971),'Data'!$F$3971&lt;&gt;999,'Data'!$F$3971&lt;&gt;""),'Data'!$F$3971,"")</f>
        <v/>
      </c>
      <c r="Z3970" t="n">
        <v>1</v>
      </c>
      <c r="AA3970">
        <f>IF(ISNUMBER('IN-CLASS_Lab Part C'!$J$3970),'IN-CLASS_Lab Part C'!$J$3970,NA())</f>
        <v/>
      </c>
    </row>
    <row r="3971">
      <c r="J3971">
        <f>IF(AND(ISNUMBER('Data'!$F$3972),'Data'!$F$3972&lt;&gt;999,'Data'!$F$3972&lt;&gt;""),'Data'!$F$3972,"")</f>
        <v/>
      </c>
      <c r="Z3971" t="n">
        <v>1</v>
      </c>
      <c r="AA3971">
        <f>IF(ISNUMBER('IN-CLASS_Lab Part C'!$J$3971),'IN-CLASS_Lab Part C'!$J$3971,NA())</f>
        <v/>
      </c>
    </row>
    <row r="3972">
      <c r="J3972">
        <f>IF(AND(ISNUMBER('Data'!$F$3973),'Data'!$F$3973&lt;&gt;999,'Data'!$F$3973&lt;&gt;""),'Data'!$F$3973,"")</f>
        <v/>
      </c>
      <c r="Z3972" t="n">
        <v>1</v>
      </c>
      <c r="AA3972">
        <f>IF(ISNUMBER('IN-CLASS_Lab Part C'!$J$3972),'IN-CLASS_Lab Part C'!$J$3972,NA())</f>
        <v/>
      </c>
    </row>
    <row r="3973">
      <c r="J3973">
        <f>IF(AND(ISNUMBER('Data'!$F$3974),'Data'!$F$3974&lt;&gt;999,'Data'!$F$3974&lt;&gt;""),'Data'!$F$3974,"")</f>
        <v/>
      </c>
      <c r="Z3973" t="n">
        <v>1</v>
      </c>
      <c r="AA3973">
        <f>IF(ISNUMBER('IN-CLASS_Lab Part C'!$J$3973),'IN-CLASS_Lab Part C'!$J$3973,NA())</f>
        <v/>
      </c>
    </row>
    <row r="3974">
      <c r="J3974">
        <f>IF(AND(ISNUMBER('Data'!$F$3975),'Data'!$F$3975&lt;&gt;999,'Data'!$F$3975&lt;&gt;""),'Data'!$F$3975,"")</f>
        <v/>
      </c>
      <c r="Z3974" t="n">
        <v>1</v>
      </c>
      <c r="AA3974">
        <f>IF(ISNUMBER('IN-CLASS_Lab Part C'!$J$3974),'IN-CLASS_Lab Part C'!$J$3974,NA())</f>
        <v/>
      </c>
    </row>
    <row r="3975">
      <c r="J3975">
        <f>IF(AND(ISNUMBER('Data'!$F$3976),'Data'!$F$3976&lt;&gt;999,'Data'!$F$3976&lt;&gt;""),'Data'!$F$3976,"")</f>
        <v/>
      </c>
      <c r="Z3975" t="n">
        <v>1</v>
      </c>
      <c r="AA3975">
        <f>IF(ISNUMBER('IN-CLASS_Lab Part C'!$J$3975),'IN-CLASS_Lab Part C'!$J$3975,NA())</f>
        <v/>
      </c>
    </row>
    <row r="3976">
      <c r="J3976">
        <f>IF(AND(ISNUMBER('Data'!$F$3977),'Data'!$F$3977&lt;&gt;999,'Data'!$F$3977&lt;&gt;""),'Data'!$F$3977,"")</f>
        <v/>
      </c>
      <c r="Z3976" t="n">
        <v>1</v>
      </c>
      <c r="AA3976">
        <f>IF(ISNUMBER('IN-CLASS_Lab Part C'!$J$3976),'IN-CLASS_Lab Part C'!$J$3976,NA())</f>
        <v/>
      </c>
    </row>
    <row r="3977">
      <c r="J3977">
        <f>IF(AND(ISNUMBER('Data'!$F$3978),'Data'!$F$3978&lt;&gt;999,'Data'!$F$3978&lt;&gt;""),'Data'!$F$3978,"")</f>
        <v/>
      </c>
      <c r="Z3977" t="n">
        <v>1</v>
      </c>
      <c r="AA3977">
        <f>IF(ISNUMBER('IN-CLASS_Lab Part C'!$J$3977),'IN-CLASS_Lab Part C'!$J$3977,NA())</f>
        <v/>
      </c>
    </row>
    <row r="3978">
      <c r="J3978">
        <f>IF(AND(ISNUMBER('Data'!$F$3979),'Data'!$F$3979&lt;&gt;999,'Data'!$F$3979&lt;&gt;""),'Data'!$F$3979,"")</f>
        <v/>
      </c>
      <c r="Z3978" t="n">
        <v>1</v>
      </c>
      <c r="AA3978">
        <f>IF(ISNUMBER('IN-CLASS_Lab Part C'!$J$3978),'IN-CLASS_Lab Part C'!$J$3978,NA())</f>
        <v/>
      </c>
    </row>
    <row r="3979">
      <c r="J3979">
        <f>IF(AND(ISNUMBER('Data'!$F$3980),'Data'!$F$3980&lt;&gt;999,'Data'!$F$3980&lt;&gt;""),'Data'!$F$3980,"")</f>
        <v/>
      </c>
      <c r="Z3979" t="n">
        <v>1</v>
      </c>
      <c r="AA3979">
        <f>IF(ISNUMBER('IN-CLASS_Lab Part C'!$J$3979),'IN-CLASS_Lab Part C'!$J$3979,NA())</f>
        <v/>
      </c>
    </row>
    <row r="3980">
      <c r="J3980">
        <f>IF(AND(ISNUMBER('Data'!$F$3981),'Data'!$F$3981&lt;&gt;999,'Data'!$F$3981&lt;&gt;""),'Data'!$F$3981,"")</f>
        <v/>
      </c>
      <c r="Z3980" t="n">
        <v>1</v>
      </c>
      <c r="AA3980">
        <f>IF(ISNUMBER('IN-CLASS_Lab Part C'!$J$3980),'IN-CLASS_Lab Part C'!$J$3980,NA())</f>
        <v/>
      </c>
    </row>
    <row r="3981">
      <c r="J3981">
        <f>IF(AND(ISNUMBER('Data'!$F$3982),'Data'!$F$3982&lt;&gt;999,'Data'!$F$3982&lt;&gt;""),'Data'!$F$3982,"")</f>
        <v/>
      </c>
      <c r="Z3981" t="n">
        <v>1</v>
      </c>
      <c r="AA3981">
        <f>IF(ISNUMBER('IN-CLASS_Lab Part C'!$J$3981),'IN-CLASS_Lab Part C'!$J$3981,NA())</f>
        <v/>
      </c>
    </row>
    <row r="3982">
      <c r="J3982">
        <f>IF(AND(ISNUMBER('Data'!$F$3983),'Data'!$F$3983&lt;&gt;999,'Data'!$F$3983&lt;&gt;""),'Data'!$F$3983,"")</f>
        <v/>
      </c>
      <c r="Z3982" t="n">
        <v>1</v>
      </c>
      <c r="AA3982">
        <f>IF(ISNUMBER('IN-CLASS_Lab Part C'!$J$3982),'IN-CLASS_Lab Part C'!$J$3982,NA())</f>
        <v/>
      </c>
    </row>
    <row r="3983">
      <c r="J3983">
        <f>IF(AND(ISNUMBER('Data'!$F$3984),'Data'!$F$3984&lt;&gt;999,'Data'!$F$3984&lt;&gt;""),'Data'!$F$3984,"")</f>
        <v/>
      </c>
      <c r="Z3983" t="n">
        <v>1</v>
      </c>
      <c r="AA3983">
        <f>IF(ISNUMBER('IN-CLASS_Lab Part C'!$J$3983),'IN-CLASS_Lab Part C'!$J$3983,NA())</f>
        <v/>
      </c>
    </row>
    <row r="3984">
      <c r="J3984">
        <f>IF(AND(ISNUMBER('Data'!$F$3985),'Data'!$F$3985&lt;&gt;999,'Data'!$F$3985&lt;&gt;""),'Data'!$F$3985,"")</f>
        <v/>
      </c>
      <c r="Z3984" t="n">
        <v>1</v>
      </c>
      <c r="AA3984">
        <f>IF(ISNUMBER('IN-CLASS_Lab Part C'!$J$3984),'IN-CLASS_Lab Part C'!$J$3984,NA())</f>
        <v/>
      </c>
    </row>
    <row r="3985">
      <c r="J3985">
        <f>IF(AND(ISNUMBER('Data'!$F$3986),'Data'!$F$3986&lt;&gt;999,'Data'!$F$3986&lt;&gt;""),'Data'!$F$3986,"")</f>
        <v/>
      </c>
      <c r="Z3985" t="n">
        <v>1</v>
      </c>
      <c r="AA3985">
        <f>IF(ISNUMBER('IN-CLASS_Lab Part C'!$J$3985),'IN-CLASS_Lab Part C'!$J$3985,NA())</f>
        <v/>
      </c>
    </row>
    <row r="3986">
      <c r="J3986">
        <f>IF(AND(ISNUMBER('Data'!$F$3987),'Data'!$F$3987&lt;&gt;999,'Data'!$F$3987&lt;&gt;""),'Data'!$F$3987,"")</f>
        <v/>
      </c>
      <c r="Z3986" t="n">
        <v>1</v>
      </c>
      <c r="AA3986">
        <f>IF(ISNUMBER('IN-CLASS_Lab Part C'!$J$3986),'IN-CLASS_Lab Part C'!$J$3986,NA())</f>
        <v/>
      </c>
    </row>
    <row r="3987">
      <c r="J3987">
        <f>IF(AND(ISNUMBER('Data'!$F$3988),'Data'!$F$3988&lt;&gt;999,'Data'!$F$3988&lt;&gt;""),'Data'!$F$3988,"")</f>
        <v/>
      </c>
      <c r="Z3987" t="n">
        <v>1</v>
      </c>
      <c r="AA3987">
        <f>IF(ISNUMBER('IN-CLASS_Lab Part C'!$J$3987),'IN-CLASS_Lab Part C'!$J$3987,NA())</f>
        <v/>
      </c>
    </row>
    <row r="3988">
      <c r="J3988">
        <f>IF(AND(ISNUMBER('Data'!$F$3989),'Data'!$F$3989&lt;&gt;999,'Data'!$F$3989&lt;&gt;""),'Data'!$F$3989,"")</f>
        <v/>
      </c>
      <c r="Z3988" t="n">
        <v>1</v>
      </c>
      <c r="AA3988">
        <f>IF(ISNUMBER('IN-CLASS_Lab Part C'!$J$3988),'IN-CLASS_Lab Part C'!$J$3988,NA())</f>
        <v/>
      </c>
    </row>
    <row r="3989">
      <c r="J3989">
        <f>IF(AND(ISNUMBER('Data'!$F$3990),'Data'!$F$3990&lt;&gt;999,'Data'!$F$3990&lt;&gt;""),'Data'!$F$3990,"")</f>
        <v/>
      </c>
      <c r="Z3989" t="n">
        <v>1</v>
      </c>
      <c r="AA3989">
        <f>IF(ISNUMBER('IN-CLASS_Lab Part C'!$J$3989),'IN-CLASS_Lab Part C'!$J$3989,NA())</f>
        <v/>
      </c>
    </row>
    <row r="3990">
      <c r="J3990">
        <f>IF(AND(ISNUMBER('Data'!$F$3991),'Data'!$F$3991&lt;&gt;999,'Data'!$F$3991&lt;&gt;""),'Data'!$F$3991,"")</f>
        <v/>
      </c>
      <c r="Z3990" t="n">
        <v>1</v>
      </c>
      <c r="AA3990">
        <f>IF(ISNUMBER('IN-CLASS_Lab Part C'!$J$3990),'IN-CLASS_Lab Part C'!$J$3990,NA())</f>
        <v/>
      </c>
    </row>
    <row r="3991">
      <c r="J3991">
        <f>IF(AND(ISNUMBER('Data'!$F$3992),'Data'!$F$3992&lt;&gt;999,'Data'!$F$3992&lt;&gt;""),'Data'!$F$3992,"")</f>
        <v/>
      </c>
      <c r="Z3991" t="n">
        <v>1</v>
      </c>
      <c r="AA3991">
        <f>IF(ISNUMBER('IN-CLASS_Lab Part C'!$J$3991),'IN-CLASS_Lab Part C'!$J$3991,NA())</f>
        <v/>
      </c>
    </row>
    <row r="3992">
      <c r="J3992">
        <f>IF(AND(ISNUMBER('Data'!$F$3993),'Data'!$F$3993&lt;&gt;999,'Data'!$F$3993&lt;&gt;""),'Data'!$F$3993,"")</f>
        <v/>
      </c>
      <c r="Z3992" t="n">
        <v>1</v>
      </c>
      <c r="AA3992">
        <f>IF(ISNUMBER('IN-CLASS_Lab Part C'!$J$3992),'IN-CLASS_Lab Part C'!$J$3992,NA())</f>
        <v/>
      </c>
    </row>
    <row r="3993">
      <c r="J3993">
        <f>IF(AND(ISNUMBER('Data'!$F$3994),'Data'!$F$3994&lt;&gt;999,'Data'!$F$3994&lt;&gt;""),'Data'!$F$3994,"")</f>
        <v/>
      </c>
      <c r="Z3993" t="n">
        <v>1</v>
      </c>
      <c r="AA3993">
        <f>IF(ISNUMBER('IN-CLASS_Lab Part C'!$J$3993),'IN-CLASS_Lab Part C'!$J$3993,NA())</f>
        <v/>
      </c>
    </row>
    <row r="3994">
      <c r="J3994">
        <f>IF(AND(ISNUMBER('Data'!$F$3995),'Data'!$F$3995&lt;&gt;999,'Data'!$F$3995&lt;&gt;""),'Data'!$F$3995,"")</f>
        <v/>
      </c>
      <c r="Z3994" t="n">
        <v>1</v>
      </c>
      <c r="AA3994">
        <f>IF(ISNUMBER('IN-CLASS_Lab Part C'!$J$3994),'IN-CLASS_Lab Part C'!$J$3994,NA())</f>
        <v/>
      </c>
    </row>
    <row r="3995">
      <c r="J3995">
        <f>IF(AND(ISNUMBER('Data'!$F$3996),'Data'!$F$3996&lt;&gt;999,'Data'!$F$3996&lt;&gt;""),'Data'!$F$3996,"")</f>
        <v/>
      </c>
      <c r="Z3995" t="n">
        <v>1</v>
      </c>
      <c r="AA3995">
        <f>IF(ISNUMBER('IN-CLASS_Lab Part C'!$J$3995),'IN-CLASS_Lab Part C'!$J$3995,NA())</f>
        <v/>
      </c>
    </row>
    <row r="3996">
      <c r="J3996">
        <f>IF(AND(ISNUMBER('Data'!$F$3997),'Data'!$F$3997&lt;&gt;999,'Data'!$F$3997&lt;&gt;""),'Data'!$F$3997,"")</f>
        <v/>
      </c>
      <c r="Z3996" t="n">
        <v>1</v>
      </c>
      <c r="AA3996">
        <f>IF(ISNUMBER('IN-CLASS_Lab Part C'!$J$3996),'IN-CLASS_Lab Part C'!$J$3996,NA())</f>
        <v/>
      </c>
    </row>
    <row r="3997">
      <c r="J3997">
        <f>IF(AND(ISNUMBER('Data'!$F$3998),'Data'!$F$3998&lt;&gt;999,'Data'!$F$3998&lt;&gt;""),'Data'!$F$3998,"")</f>
        <v/>
      </c>
      <c r="Z3997" t="n">
        <v>1</v>
      </c>
      <c r="AA3997">
        <f>IF(ISNUMBER('IN-CLASS_Lab Part C'!$J$3997),'IN-CLASS_Lab Part C'!$J$3997,NA())</f>
        <v/>
      </c>
    </row>
    <row r="3998">
      <c r="J3998">
        <f>IF(AND(ISNUMBER('Data'!$F$3999),'Data'!$F$3999&lt;&gt;999,'Data'!$F$3999&lt;&gt;""),'Data'!$F$3999,"")</f>
        <v/>
      </c>
      <c r="Z3998" t="n">
        <v>1</v>
      </c>
      <c r="AA3998">
        <f>IF(ISNUMBER('IN-CLASS_Lab Part C'!$J$3998),'IN-CLASS_Lab Part C'!$J$3998,NA())</f>
        <v/>
      </c>
    </row>
    <row r="3999">
      <c r="J3999">
        <f>IF(AND(ISNUMBER('Data'!$F$4000),'Data'!$F$4000&lt;&gt;999,'Data'!$F$4000&lt;&gt;""),'Data'!$F$4000,"")</f>
        <v/>
      </c>
      <c r="Z3999" t="n">
        <v>1</v>
      </c>
      <c r="AA3999">
        <f>IF(ISNUMBER('IN-CLASS_Lab Part C'!$J$3999),'IN-CLASS_Lab Part C'!$J$3999,NA())</f>
        <v/>
      </c>
    </row>
    <row r="4000">
      <c r="J4000">
        <f>IF(AND(ISNUMBER('Data'!$F$4001),'Data'!$F$4001&lt;&gt;999,'Data'!$F$4001&lt;&gt;""),'Data'!$F$4001,"")</f>
        <v/>
      </c>
      <c r="Z4000" t="n">
        <v>1</v>
      </c>
      <c r="AA4000">
        <f>IF(ISNUMBER('IN-CLASS_Lab Part C'!$J$4000),'IN-CLASS_Lab Part C'!$J$4000,NA())</f>
        <v/>
      </c>
    </row>
    <row r="4001">
      <c r="J4001">
        <f>IF(AND(ISNUMBER('Data'!$F$4002),'Data'!$F$4002&lt;&gt;999,'Data'!$F$4002&lt;&gt;""),'Data'!$F$4002,"")</f>
        <v/>
      </c>
      <c r="Z4001" t="n">
        <v>1</v>
      </c>
      <c r="AA4001">
        <f>IF(ISNUMBER('IN-CLASS_Lab Part C'!$J$4001),'IN-CLASS_Lab Part C'!$J$4001,NA())</f>
        <v/>
      </c>
    </row>
    <row r="4002">
      <c r="J4002">
        <f>IF(AND(ISNUMBER('Data'!$F$4003),'Data'!$F$4003&lt;&gt;999,'Data'!$F$4003&lt;&gt;""),'Data'!$F$4003,"")</f>
        <v/>
      </c>
      <c r="Z4002" t="n">
        <v>1</v>
      </c>
      <c r="AA4002">
        <f>IF(ISNUMBER('IN-CLASS_Lab Part C'!$J$4002),'IN-CLASS_Lab Part C'!$J$4002,NA())</f>
        <v/>
      </c>
    </row>
    <row r="4003">
      <c r="J4003">
        <f>IF(AND(ISNUMBER('Data'!$F$4004),'Data'!$F$4004&lt;&gt;999,'Data'!$F$4004&lt;&gt;""),'Data'!$F$4004,"")</f>
        <v/>
      </c>
      <c r="Z4003" t="n">
        <v>1</v>
      </c>
      <c r="AA4003">
        <f>IF(ISNUMBER('IN-CLASS_Lab Part C'!$J$4003),'IN-CLASS_Lab Part C'!$J$4003,NA())</f>
        <v/>
      </c>
    </row>
    <row r="4004">
      <c r="J4004">
        <f>IF(AND(ISNUMBER('Data'!$F$4005),'Data'!$F$4005&lt;&gt;999,'Data'!$F$4005&lt;&gt;""),'Data'!$F$4005,"")</f>
        <v/>
      </c>
      <c r="Z4004" t="n">
        <v>1</v>
      </c>
      <c r="AA4004">
        <f>IF(ISNUMBER('IN-CLASS_Lab Part C'!$J$4004),'IN-CLASS_Lab Part C'!$J$4004,NA())</f>
        <v/>
      </c>
    </row>
    <row r="4005">
      <c r="J4005">
        <f>IF(AND(ISNUMBER('Data'!$F$4006),'Data'!$F$4006&lt;&gt;999,'Data'!$F$4006&lt;&gt;""),'Data'!$F$4006,"")</f>
        <v/>
      </c>
      <c r="Z4005" t="n">
        <v>1</v>
      </c>
      <c r="AA4005">
        <f>IF(ISNUMBER('IN-CLASS_Lab Part C'!$J$4005),'IN-CLASS_Lab Part C'!$J$4005,NA())</f>
        <v/>
      </c>
    </row>
    <row r="4006">
      <c r="J4006">
        <f>IF(AND(ISNUMBER('Data'!$F$4007),'Data'!$F$4007&lt;&gt;999,'Data'!$F$4007&lt;&gt;""),'Data'!$F$4007,"")</f>
        <v/>
      </c>
      <c r="Z4006" t="n">
        <v>1</v>
      </c>
      <c r="AA4006">
        <f>IF(ISNUMBER('IN-CLASS_Lab Part C'!$J$4006),'IN-CLASS_Lab Part C'!$J$4006,NA())</f>
        <v/>
      </c>
    </row>
    <row r="4007">
      <c r="J4007">
        <f>IF(AND(ISNUMBER('Data'!$F$4008),'Data'!$F$4008&lt;&gt;999,'Data'!$F$4008&lt;&gt;""),'Data'!$F$4008,"")</f>
        <v/>
      </c>
      <c r="Z4007" t="n">
        <v>1</v>
      </c>
      <c r="AA4007">
        <f>IF(ISNUMBER('IN-CLASS_Lab Part C'!$J$4007),'IN-CLASS_Lab Part C'!$J$4007,NA())</f>
        <v/>
      </c>
    </row>
    <row r="4008">
      <c r="J4008">
        <f>IF(AND(ISNUMBER('Data'!$F$4009),'Data'!$F$4009&lt;&gt;999,'Data'!$F$4009&lt;&gt;""),'Data'!$F$4009,"")</f>
        <v/>
      </c>
      <c r="Z4008" t="n">
        <v>1</v>
      </c>
      <c r="AA4008">
        <f>IF(ISNUMBER('IN-CLASS_Lab Part C'!$J$4008),'IN-CLASS_Lab Part C'!$J$4008,NA())</f>
        <v/>
      </c>
    </row>
    <row r="4009">
      <c r="J4009">
        <f>IF(AND(ISNUMBER('Data'!$F$4010),'Data'!$F$4010&lt;&gt;999,'Data'!$F$4010&lt;&gt;""),'Data'!$F$4010,"")</f>
        <v/>
      </c>
      <c r="Z4009" t="n">
        <v>1</v>
      </c>
      <c r="AA4009">
        <f>IF(ISNUMBER('IN-CLASS_Lab Part C'!$J$4009),'IN-CLASS_Lab Part C'!$J$4009,NA())</f>
        <v/>
      </c>
    </row>
    <row r="4010">
      <c r="J4010">
        <f>IF(AND(ISNUMBER('Data'!$F$4011),'Data'!$F$4011&lt;&gt;999,'Data'!$F$4011&lt;&gt;""),'Data'!$F$4011,"")</f>
        <v/>
      </c>
      <c r="Z4010" t="n">
        <v>1</v>
      </c>
      <c r="AA4010">
        <f>IF(ISNUMBER('IN-CLASS_Lab Part C'!$J$4010),'IN-CLASS_Lab Part C'!$J$4010,NA())</f>
        <v/>
      </c>
    </row>
    <row r="4011">
      <c r="J4011">
        <f>IF(AND(ISNUMBER('Data'!$F$4012),'Data'!$F$4012&lt;&gt;999,'Data'!$F$4012&lt;&gt;""),'Data'!$F$4012,"")</f>
        <v/>
      </c>
      <c r="Z4011" t="n">
        <v>1</v>
      </c>
      <c r="AA4011">
        <f>IF(ISNUMBER('IN-CLASS_Lab Part C'!$J$4011),'IN-CLASS_Lab Part C'!$J$4011,NA())</f>
        <v/>
      </c>
    </row>
    <row r="4012">
      <c r="J4012">
        <f>IF(AND(ISNUMBER('Data'!$F$4013),'Data'!$F$4013&lt;&gt;999,'Data'!$F$4013&lt;&gt;""),'Data'!$F$4013,"")</f>
        <v/>
      </c>
      <c r="Z4012" t="n">
        <v>1</v>
      </c>
      <c r="AA4012">
        <f>IF(ISNUMBER('IN-CLASS_Lab Part C'!$J$4012),'IN-CLASS_Lab Part C'!$J$4012,NA())</f>
        <v/>
      </c>
    </row>
    <row r="4013">
      <c r="J4013">
        <f>IF(AND(ISNUMBER('Data'!$F$4014),'Data'!$F$4014&lt;&gt;999,'Data'!$F$4014&lt;&gt;""),'Data'!$F$4014,"")</f>
        <v/>
      </c>
      <c r="Z4013" t="n">
        <v>1</v>
      </c>
      <c r="AA4013">
        <f>IF(ISNUMBER('IN-CLASS_Lab Part C'!$J$4013),'IN-CLASS_Lab Part C'!$J$4013,NA())</f>
        <v/>
      </c>
    </row>
    <row r="4014">
      <c r="J4014">
        <f>IF(AND(ISNUMBER('Data'!$F$4015),'Data'!$F$4015&lt;&gt;999,'Data'!$F$4015&lt;&gt;""),'Data'!$F$4015,"")</f>
        <v/>
      </c>
      <c r="Z4014" t="n">
        <v>1</v>
      </c>
      <c r="AA4014">
        <f>IF(ISNUMBER('IN-CLASS_Lab Part C'!$J$4014),'IN-CLASS_Lab Part C'!$J$4014,NA())</f>
        <v/>
      </c>
    </row>
    <row r="4015">
      <c r="J4015">
        <f>IF(AND(ISNUMBER('Data'!$F$4016),'Data'!$F$4016&lt;&gt;999,'Data'!$F$4016&lt;&gt;""),'Data'!$F$4016,"")</f>
        <v/>
      </c>
      <c r="Z4015" t="n">
        <v>1</v>
      </c>
      <c r="AA4015">
        <f>IF(ISNUMBER('IN-CLASS_Lab Part C'!$J$4015),'IN-CLASS_Lab Part C'!$J$4015,NA())</f>
        <v/>
      </c>
    </row>
    <row r="4016">
      <c r="J4016">
        <f>IF(AND(ISNUMBER('Data'!$F$4017),'Data'!$F$4017&lt;&gt;999,'Data'!$F$4017&lt;&gt;""),'Data'!$F$4017,"")</f>
        <v/>
      </c>
      <c r="Z4016" t="n">
        <v>1</v>
      </c>
      <c r="AA4016">
        <f>IF(ISNUMBER('IN-CLASS_Lab Part C'!$J$4016),'IN-CLASS_Lab Part C'!$J$4016,NA())</f>
        <v/>
      </c>
    </row>
    <row r="4017">
      <c r="J4017">
        <f>IF(AND(ISNUMBER('Data'!$F$4018),'Data'!$F$4018&lt;&gt;999,'Data'!$F$4018&lt;&gt;""),'Data'!$F$4018,"")</f>
        <v/>
      </c>
      <c r="Z4017" t="n">
        <v>1</v>
      </c>
      <c r="AA4017">
        <f>IF(ISNUMBER('IN-CLASS_Lab Part C'!$J$4017),'IN-CLASS_Lab Part C'!$J$4017,NA())</f>
        <v/>
      </c>
    </row>
    <row r="4018">
      <c r="J4018">
        <f>IF(AND(ISNUMBER('Data'!$F$4019),'Data'!$F$4019&lt;&gt;999,'Data'!$F$4019&lt;&gt;""),'Data'!$F$4019,"")</f>
        <v/>
      </c>
      <c r="Z4018" t="n">
        <v>1</v>
      </c>
      <c r="AA4018">
        <f>IF(ISNUMBER('IN-CLASS_Lab Part C'!$J$4018),'IN-CLASS_Lab Part C'!$J$4018,NA())</f>
        <v/>
      </c>
    </row>
    <row r="4019">
      <c r="J4019">
        <f>IF(AND(ISNUMBER('Data'!$F$4020),'Data'!$F$4020&lt;&gt;999,'Data'!$F$4020&lt;&gt;""),'Data'!$F$4020,"")</f>
        <v/>
      </c>
      <c r="Z4019" t="n">
        <v>1</v>
      </c>
      <c r="AA4019">
        <f>IF(ISNUMBER('IN-CLASS_Lab Part C'!$J$4019),'IN-CLASS_Lab Part C'!$J$4019,NA())</f>
        <v/>
      </c>
    </row>
    <row r="4020">
      <c r="J4020">
        <f>IF(AND(ISNUMBER('Data'!$F$4021),'Data'!$F$4021&lt;&gt;999,'Data'!$F$4021&lt;&gt;""),'Data'!$F$4021,"")</f>
        <v/>
      </c>
      <c r="Z4020" t="n">
        <v>1</v>
      </c>
      <c r="AA4020">
        <f>IF(ISNUMBER('IN-CLASS_Lab Part C'!$J$4020),'IN-CLASS_Lab Part C'!$J$4020,NA())</f>
        <v/>
      </c>
    </row>
    <row r="4021">
      <c r="J4021">
        <f>IF(AND(ISNUMBER('Data'!$F$4022),'Data'!$F$4022&lt;&gt;999,'Data'!$F$4022&lt;&gt;""),'Data'!$F$4022,"")</f>
        <v/>
      </c>
      <c r="Z4021" t="n">
        <v>1</v>
      </c>
      <c r="AA4021">
        <f>IF(ISNUMBER('IN-CLASS_Lab Part C'!$J$4021),'IN-CLASS_Lab Part C'!$J$4021,NA())</f>
        <v/>
      </c>
    </row>
    <row r="4022">
      <c r="J4022">
        <f>IF(AND(ISNUMBER('Data'!$F$4023),'Data'!$F$4023&lt;&gt;999,'Data'!$F$4023&lt;&gt;""),'Data'!$F$4023,"")</f>
        <v/>
      </c>
      <c r="Z4022" t="n">
        <v>1</v>
      </c>
      <c r="AA4022">
        <f>IF(ISNUMBER('IN-CLASS_Lab Part C'!$J$4022),'IN-CLASS_Lab Part C'!$J$4022,NA())</f>
        <v/>
      </c>
    </row>
    <row r="4023">
      <c r="J4023">
        <f>IF(AND(ISNUMBER('Data'!$F$4024),'Data'!$F$4024&lt;&gt;999,'Data'!$F$4024&lt;&gt;""),'Data'!$F$4024,"")</f>
        <v/>
      </c>
      <c r="Z4023" t="n">
        <v>1</v>
      </c>
      <c r="AA4023">
        <f>IF(ISNUMBER('IN-CLASS_Lab Part C'!$J$4023),'IN-CLASS_Lab Part C'!$J$4023,NA())</f>
        <v/>
      </c>
    </row>
    <row r="4024">
      <c r="J4024">
        <f>IF(AND(ISNUMBER('Data'!$F$4025),'Data'!$F$4025&lt;&gt;999,'Data'!$F$4025&lt;&gt;""),'Data'!$F$4025,"")</f>
        <v/>
      </c>
      <c r="Z4024" t="n">
        <v>1</v>
      </c>
      <c r="AA4024">
        <f>IF(ISNUMBER('IN-CLASS_Lab Part C'!$J$4024),'IN-CLASS_Lab Part C'!$J$4024,NA())</f>
        <v/>
      </c>
    </row>
    <row r="4025">
      <c r="J4025">
        <f>IF(AND(ISNUMBER('Data'!$F$4026),'Data'!$F$4026&lt;&gt;999,'Data'!$F$4026&lt;&gt;""),'Data'!$F$4026,"")</f>
        <v/>
      </c>
      <c r="Z4025" t="n">
        <v>1</v>
      </c>
      <c r="AA4025">
        <f>IF(ISNUMBER('IN-CLASS_Lab Part C'!$J$4025),'IN-CLASS_Lab Part C'!$J$4025,NA())</f>
        <v/>
      </c>
    </row>
    <row r="4026">
      <c r="J4026">
        <f>IF(AND(ISNUMBER('Data'!$F$4027),'Data'!$F$4027&lt;&gt;999,'Data'!$F$4027&lt;&gt;""),'Data'!$F$4027,"")</f>
        <v/>
      </c>
      <c r="Z4026" t="n">
        <v>1</v>
      </c>
      <c r="AA4026">
        <f>IF(ISNUMBER('IN-CLASS_Lab Part C'!$J$4026),'IN-CLASS_Lab Part C'!$J$4026,NA())</f>
        <v/>
      </c>
    </row>
    <row r="4027">
      <c r="J4027">
        <f>IF(AND(ISNUMBER('Data'!$F$4028),'Data'!$F$4028&lt;&gt;999,'Data'!$F$4028&lt;&gt;""),'Data'!$F$4028,"")</f>
        <v/>
      </c>
      <c r="Z4027" t="n">
        <v>1</v>
      </c>
      <c r="AA4027">
        <f>IF(ISNUMBER('IN-CLASS_Lab Part C'!$J$4027),'IN-CLASS_Lab Part C'!$J$4027,NA())</f>
        <v/>
      </c>
    </row>
    <row r="4028">
      <c r="J4028">
        <f>IF(AND(ISNUMBER('Data'!$F$4029),'Data'!$F$4029&lt;&gt;999,'Data'!$F$4029&lt;&gt;""),'Data'!$F$4029,"")</f>
        <v/>
      </c>
      <c r="Z4028" t="n">
        <v>1</v>
      </c>
      <c r="AA4028">
        <f>IF(ISNUMBER('IN-CLASS_Lab Part C'!$J$4028),'IN-CLASS_Lab Part C'!$J$4028,NA())</f>
        <v/>
      </c>
    </row>
    <row r="4029">
      <c r="J4029">
        <f>IF(AND(ISNUMBER('Data'!$F$4030),'Data'!$F$4030&lt;&gt;999,'Data'!$F$4030&lt;&gt;""),'Data'!$F$4030,"")</f>
        <v/>
      </c>
      <c r="Z4029" t="n">
        <v>1</v>
      </c>
      <c r="AA4029">
        <f>IF(ISNUMBER('IN-CLASS_Lab Part C'!$J$4029),'IN-CLASS_Lab Part C'!$J$4029,NA())</f>
        <v/>
      </c>
    </row>
    <row r="4030">
      <c r="J4030">
        <f>IF(AND(ISNUMBER('Data'!$F$4031),'Data'!$F$4031&lt;&gt;999,'Data'!$F$4031&lt;&gt;""),'Data'!$F$4031,"")</f>
        <v/>
      </c>
      <c r="Z4030" t="n">
        <v>1</v>
      </c>
      <c r="AA4030">
        <f>IF(ISNUMBER('IN-CLASS_Lab Part C'!$J$4030),'IN-CLASS_Lab Part C'!$J$4030,NA())</f>
        <v/>
      </c>
    </row>
    <row r="4031">
      <c r="J4031">
        <f>IF(AND(ISNUMBER('Data'!$F$4032),'Data'!$F$4032&lt;&gt;999,'Data'!$F$4032&lt;&gt;""),'Data'!$F$4032,"")</f>
        <v/>
      </c>
      <c r="Z4031" t="n">
        <v>1</v>
      </c>
      <c r="AA4031">
        <f>IF(ISNUMBER('IN-CLASS_Lab Part C'!$J$4031),'IN-CLASS_Lab Part C'!$J$4031,NA())</f>
        <v/>
      </c>
    </row>
    <row r="4032">
      <c r="J4032">
        <f>IF(AND(ISNUMBER('Data'!$F$4033),'Data'!$F$4033&lt;&gt;999,'Data'!$F$4033&lt;&gt;""),'Data'!$F$4033,"")</f>
        <v/>
      </c>
      <c r="Z4032" t="n">
        <v>1</v>
      </c>
      <c r="AA4032">
        <f>IF(ISNUMBER('IN-CLASS_Lab Part C'!$J$4032),'IN-CLASS_Lab Part C'!$J$4032,NA())</f>
        <v/>
      </c>
    </row>
    <row r="4033">
      <c r="J4033">
        <f>IF(AND(ISNUMBER('Data'!$F$4034),'Data'!$F$4034&lt;&gt;999,'Data'!$F$4034&lt;&gt;""),'Data'!$F$4034,"")</f>
        <v/>
      </c>
      <c r="Z4033" t="n">
        <v>1</v>
      </c>
      <c r="AA4033">
        <f>IF(ISNUMBER('IN-CLASS_Lab Part C'!$J$4033),'IN-CLASS_Lab Part C'!$J$4033,NA())</f>
        <v/>
      </c>
    </row>
    <row r="4034">
      <c r="J4034">
        <f>IF(AND(ISNUMBER('Data'!$F$4035),'Data'!$F$4035&lt;&gt;999,'Data'!$F$4035&lt;&gt;""),'Data'!$F$4035,"")</f>
        <v/>
      </c>
      <c r="Z4034" t="n">
        <v>1</v>
      </c>
      <c r="AA4034">
        <f>IF(ISNUMBER('IN-CLASS_Lab Part C'!$J$4034),'IN-CLASS_Lab Part C'!$J$4034,NA())</f>
        <v/>
      </c>
    </row>
    <row r="4035">
      <c r="J4035">
        <f>IF(AND(ISNUMBER('Data'!$F$4036),'Data'!$F$4036&lt;&gt;999,'Data'!$F$4036&lt;&gt;""),'Data'!$F$4036,"")</f>
        <v/>
      </c>
      <c r="Z4035" t="n">
        <v>1</v>
      </c>
      <c r="AA4035">
        <f>IF(ISNUMBER('IN-CLASS_Lab Part C'!$J$4035),'IN-CLASS_Lab Part C'!$J$4035,NA())</f>
        <v/>
      </c>
    </row>
    <row r="4036">
      <c r="J4036">
        <f>IF(AND(ISNUMBER('Data'!$F$4037),'Data'!$F$4037&lt;&gt;999,'Data'!$F$4037&lt;&gt;""),'Data'!$F$4037,"")</f>
        <v/>
      </c>
      <c r="Z4036" t="n">
        <v>1</v>
      </c>
      <c r="AA4036">
        <f>IF(ISNUMBER('IN-CLASS_Lab Part C'!$J$4036),'IN-CLASS_Lab Part C'!$J$4036,NA())</f>
        <v/>
      </c>
    </row>
    <row r="4037">
      <c r="J4037">
        <f>IF(AND(ISNUMBER('Data'!$F$4038),'Data'!$F$4038&lt;&gt;999,'Data'!$F$4038&lt;&gt;""),'Data'!$F$4038,"")</f>
        <v/>
      </c>
      <c r="Z4037" t="n">
        <v>1</v>
      </c>
      <c r="AA4037">
        <f>IF(ISNUMBER('IN-CLASS_Lab Part C'!$J$4037),'IN-CLASS_Lab Part C'!$J$4037,NA())</f>
        <v/>
      </c>
    </row>
    <row r="4038">
      <c r="J4038">
        <f>IF(AND(ISNUMBER('Data'!$F$4039),'Data'!$F$4039&lt;&gt;999,'Data'!$F$4039&lt;&gt;""),'Data'!$F$4039,"")</f>
        <v/>
      </c>
      <c r="Z4038" t="n">
        <v>1</v>
      </c>
      <c r="AA4038">
        <f>IF(ISNUMBER('IN-CLASS_Lab Part C'!$J$4038),'IN-CLASS_Lab Part C'!$J$4038,NA())</f>
        <v/>
      </c>
    </row>
    <row r="4039">
      <c r="J4039">
        <f>IF(AND(ISNUMBER('Data'!$F$4040),'Data'!$F$4040&lt;&gt;999,'Data'!$F$4040&lt;&gt;""),'Data'!$F$4040,"")</f>
        <v/>
      </c>
      <c r="Z4039" t="n">
        <v>1</v>
      </c>
      <c r="AA4039">
        <f>IF(ISNUMBER('IN-CLASS_Lab Part C'!$J$4039),'IN-CLASS_Lab Part C'!$J$4039,NA())</f>
        <v/>
      </c>
    </row>
    <row r="4040">
      <c r="J4040">
        <f>IF(AND(ISNUMBER('Data'!$F$4041),'Data'!$F$4041&lt;&gt;999,'Data'!$F$4041&lt;&gt;""),'Data'!$F$4041,"")</f>
        <v/>
      </c>
      <c r="Z4040" t="n">
        <v>1</v>
      </c>
      <c r="AA4040">
        <f>IF(ISNUMBER('IN-CLASS_Lab Part C'!$J$4040),'IN-CLASS_Lab Part C'!$J$4040,NA())</f>
        <v/>
      </c>
    </row>
    <row r="4041">
      <c r="J4041">
        <f>IF(AND(ISNUMBER('Data'!$F$4042),'Data'!$F$4042&lt;&gt;999,'Data'!$F$4042&lt;&gt;""),'Data'!$F$4042,"")</f>
        <v/>
      </c>
      <c r="Z4041" t="n">
        <v>1</v>
      </c>
      <c r="AA4041">
        <f>IF(ISNUMBER('IN-CLASS_Lab Part C'!$J$4041),'IN-CLASS_Lab Part C'!$J$4041,NA())</f>
        <v/>
      </c>
    </row>
    <row r="4042">
      <c r="J4042">
        <f>IF(AND(ISNUMBER('Data'!$F$4043),'Data'!$F$4043&lt;&gt;999,'Data'!$F$4043&lt;&gt;""),'Data'!$F$4043,"")</f>
        <v/>
      </c>
      <c r="Z4042" t="n">
        <v>1</v>
      </c>
      <c r="AA4042">
        <f>IF(ISNUMBER('IN-CLASS_Lab Part C'!$J$4042),'IN-CLASS_Lab Part C'!$J$4042,NA())</f>
        <v/>
      </c>
    </row>
    <row r="4043">
      <c r="J4043">
        <f>IF(AND(ISNUMBER('Data'!$F$4044),'Data'!$F$4044&lt;&gt;999,'Data'!$F$4044&lt;&gt;""),'Data'!$F$4044,"")</f>
        <v/>
      </c>
      <c r="Z4043" t="n">
        <v>1</v>
      </c>
      <c r="AA4043">
        <f>IF(ISNUMBER('IN-CLASS_Lab Part C'!$J$4043),'IN-CLASS_Lab Part C'!$J$4043,NA())</f>
        <v/>
      </c>
    </row>
    <row r="4044">
      <c r="J4044">
        <f>IF(AND(ISNUMBER('Data'!$F$4045),'Data'!$F$4045&lt;&gt;999,'Data'!$F$4045&lt;&gt;""),'Data'!$F$4045,"")</f>
        <v/>
      </c>
      <c r="Z4044" t="n">
        <v>1</v>
      </c>
      <c r="AA4044">
        <f>IF(ISNUMBER('IN-CLASS_Lab Part C'!$J$4044),'IN-CLASS_Lab Part C'!$J$4044,NA())</f>
        <v/>
      </c>
    </row>
    <row r="4045">
      <c r="J4045">
        <f>IF(AND(ISNUMBER('Data'!$F$4046),'Data'!$F$4046&lt;&gt;999,'Data'!$F$4046&lt;&gt;""),'Data'!$F$4046,"")</f>
        <v/>
      </c>
      <c r="Z4045" t="n">
        <v>1</v>
      </c>
      <c r="AA4045">
        <f>IF(ISNUMBER('IN-CLASS_Lab Part C'!$J$4045),'IN-CLASS_Lab Part C'!$J$4045,NA())</f>
        <v/>
      </c>
    </row>
    <row r="4046">
      <c r="J4046">
        <f>IF(AND(ISNUMBER('Data'!$F$4047),'Data'!$F$4047&lt;&gt;999,'Data'!$F$4047&lt;&gt;""),'Data'!$F$4047,"")</f>
        <v/>
      </c>
      <c r="Z4046" t="n">
        <v>1</v>
      </c>
      <c r="AA4046">
        <f>IF(ISNUMBER('IN-CLASS_Lab Part C'!$J$4046),'IN-CLASS_Lab Part C'!$J$4046,NA())</f>
        <v/>
      </c>
    </row>
    <row r="4047">
      <c r="J4047">
        <f>IF(AND(ISNUMBER('Data'!$F$4048),'Data'!$F$4048&lt;&gt;999,'Data'!$F$4048&lt;&gt;""),'Data'!$F$4048,"")</f>
        <v/>
      </c>
      <c r="Z4047" t="n">
        <v>1</v>
      </c>
      <c r="AA4047">
        <f>IF(ISNUMBER('IN-CLASS_Lab Part C'!$J$4047),'IN-CLASS_Lab Part C'!$J$4047,NA())</f>
        <v/>
      </c>
    </row>
    <row r="4048">
      <c r="J4048">
        <f>IF(AND(ISNUMBER('Data'!$F$4049),'Data'!$F$4049&lt;&gt;999,'Data'!$F$4049&lt;&gt;""),'Data'!$F$4049,"")</f>
        <v/>
      </c>
      <c r="Z4048" t="n">
        <v>1</v>
      </c>
      <c r="AA4048">
        <f>IF(ISNUMBER('IN-CLASS_Lab Part C'!$J$4048),'IN-CLASS_Lab Part C'!$J$4048,NA())</f>
        <v/>
      </c>
    </row>
    <row r="4049">
      <c r="J4049">
        <f>IF(AND(ISNUMBER('Data'!$F$4050),'Data'!$F$4050&lt;&gt;999,'Data'!$F$4050&lt;&gt;""),'Data'!$F$4050,"")</f>
        <v/>
      </c>
      <c r="Z4049" t="n">
        <v>1</v>
      </c>
      <c r="AA4049">
        <f>IF(ISNUMBER('IN-CLASS_Lab Part C'!$J$4049),'IN-CLASS_Lab Part C'!$J$4049,NA())</f>
        <v/>
      </c>
    </row>
    <row r="4050">
      <c r="J4050">
        <f>IF(AND(ISNUMBER('Data'!$F$4051),'Data'!$F$4051&lt;&gt;999,'Data'!$F$4051&lt;&gt;""),'Data'!$F$4051,"")</f>
        <v/>
      </c>
      <c r="Z4050" t="n">
        <v>1</v>
      </c>
      <c r="AA4050">
        <f>IF(ISNUMBER('IN-CLASS_Lab Part C'!$J$4050),'IN-CLASS_Lab Part C'!$J$4050,NA())</f>
        <v/>
      </c>
    </row>
    <row r="4051">
      <c r="J4051">
        <f>IF(AND(ISNUMBER('Data'!$F$4052),'Data'!$F$4052&lt;&gt;999,'Data'!$F$4052&lt;&gt;""),'Data'!$F$4052,"")</f>
        <v/>
      </c>
      <c r="Z4051" t="n">
        <v>1</v>
      </c>
      <c r="AA4051">
        <f>IF(ISNUMBER('IN-CLASS_Lab Part C'!$J$4051),'IN-CLASS_Lab Part C'!$J$4051,NA())</f>
        <v/>
      </c>
    </row>
    <row r="4052">
      <c r="J4052">
        <f>IF(AND(ISNUMBER('Data'!$F$4053),'Data'!$F$4053&lt;&gt;999,'Data'!$F$4053&lt;&gt;""),'Data'!$F$4053,"")</f>
        <v/>
      </c>
      <c r="Z4052" t="n">
        <v>1</v>
      </c>
      <c r="AA4052">
        <f>IF(ISNUMBER('IN-CLASS_Lab Part C'!$J$4052),'IN-CLASS_Lab Part C'!$J$4052,NA())</f>
        <v/>
      </c>
    </row>
    <row r="4053">
      <c r="J4053">
        <f>IF(AND(ISNUMBER('Data'!$F$4054),'Data'!$F$4054&lt;&gt;999,'Data'!$F$4054&lt;&gt;""),'Data'!$F$4054,"")</f>
        <v/>
      </c>
      <c r="Z4053" t="n">
        <v>1</v>
      </c>
      <c r="AA4053">
        <f>IF(ISNUMBER('IN-CLASS_Lab Part C'!$J$4053),'IN-CLASS_Lab Part C'!$J$4053,NA())</f>
        <v/>
      </c>
    </row>
    <row r="4054">
      <c r="J4054">
        <f>IF(AND(ISNUMBER('Data'!$F$4055),'Data'!$F$4055&lt;&gt;999,'Data'!$F$4055&lt;&gt;""),'Data'!$F$4055,"")</f>
        <v/>
      </c>
      <c r="Z4054" t="n">
        <v>1</v>
      </c>
      <c r="AA4054">
        <f>IF(ISNUMBER('IN-CLASS_Lab Part C'!$J$4054),'IN-CLASS_Lab Part C'!$J$4054,NA())</f>
        <v/>
      </c>
    </row>
    <row r="4055">
      <c r="J4055">
        <f>IF(AND(ISNUMBER('Data'!$F$4056),'Data'!$F$4056&lt;&gt;999,'Data'!$F$4056&lt;&gt;""),'Data'!$F$4056,"")</f>
        <v/>
      </c>
      <c r="Z4055" t="n">
        <v>1</v>
      </c>
      <c r="AA4055">
        <f>IF(ISNUMBER('IN-CLASS_Lab Part C'!$J$4055),'IN-CLASS_Lab Part C'!$J$4055,NA())</f>
        <v/>
      </c>
    </row>
    <row r="4056">
      <c r="J4056">
        <f>IF(AND(ISNUMBER('Data'!$F$4057),'Data'!$F$4057&lt;&gt;999,'Data'!$F$4057&lt;&gt;""),'Data'!$F$4057,"")</f>
        <v/>
      </c>
      <c r="Z4056" t="n">
        <v>1</v>
      </c>
      <c r="AA4056">
        <f>IF(ISNUMBER('IN-CLASS_Lab Part C'!$J$4056),'IN-CLASS_Lab Part C'!$J$4056,NA())</f>
        <v/>
      </c>
    </row>
    <row r="4057">
      <c r="J4057">
        <f>IF(AND(ISNUMBER('Data'!$F$4058),'Data'!$F$4058&lt;&gt;999,'Data'!$F$4058&lt;&gt;""),'Data'!$F$4058,"")</f>
        <v/>
      </c>
      <c r="Z4057" t="n">
        <v>1</v>
      </c>
      <c r="AA4057">
        <f>IF(ISNUMBER('IN-CLASS_Lab Part C'!$J$4057),'IN-CLASS_Lab Part C'!$J$4057,NA())</f>
        <v/>
      </c>
    </row>
    <row r="4058">
      <c r="J4058">
        <f>IF(AND(ISNUMBER('Data'!$F$4059),'Data'!$F$4059&lt;&gt;999,'Data'!$F$4059&lt;&gt;""),'Data'!$F$4059,"")</f>
        <v/>
      </c>
      <c r="Z4058" t="n">
        <v>1</v>
      </c>
      <c r="AA4058">
        <f>IF(ISNUMBER('IN-CLASS_Lab Part C'!$J$4058),'IN-CLASS_Lab Part C'!$J$4058,NA())</f>
        <v/>
      </c>
    </row>
    <row r="4059">
      <c r="J4059">
        <f>IF(AND(ISNUMBER('Data'!$F$4060),'Data'!$F$4060&lt;&gt;999,'Data'!$F$4060&lt;&gt;""),'Data'!$F$4060,"")</f>
        <v/>
      </c>
      <c r="Z4059" t="n">
        <v>1</v>
      </c>
      <c r="AA4059">
        <f>IF(ISNUMBER('IN-CLASS_Lab Part C'!$J$4059),'IN-CLASS_Lab Part C'!$J$4059,NA())</f>
        <v/>
      </c>
    </row>
    <row r="4060">
      <c r="J4060">
        <f>IF(AND(ISNUMBER('Data'!$F$4061),'Data'!$F$4061&lt;&gt;999,'Data'!$F$4061&lt;&gt;""),'Data'!$F$4061,"")</f>
        <v/>
      </c>
      <c r="Z4060" t="n">
        <v>1</v>
      </c>
      <c r="AA4060">
        <f>IF(ISNUMBER('IN-CLASS_Lab Part C'!$J$4060),'IN-CLASS_Lab Part C'!$J$4060,NA())</f>
        <v/>
      </c>
    </row>
    <row r="4061">
      <c r="J4061">
        <f>IF(AND(ISNUMBER('Data'!$F$4062),'Data'!$F$4062&lt;&gt;999,'Data'!$F$4062&lt;&gt;""),'Data'!$F$4062,"")</f>
        <v/>
      </c>
      <c r="Z4061" t="n">
        <v>1</v>
      </c>
      <c r="AA4061">
        <f>IF(ISNUMBER('IN-CLASS_Lab Part C'!$J$4061),'IN-CLASS_Lab Part C'!$J$4061,NA())</f>
        <v/>
      </c>
    </row>
    <row r="4062">
      <c r="J4062">
        <f>IF(AND(ISNUMBER('Data'!$F$4063),'Data'!$F$4063&lt;&gt;999,'Data'!$F$4063&lt;&gt;""),'Data'!$F$4063,"")</f>
        <v/>
      </c>
      <c r="Z4062" t="n">
        <v>1</v>
      </c>
      <c r="AA4062">
        <f>IF(ISNUMBER('IN-CLASS_Lab Part C'!$J$4062),'IN-CLASS_Lab Part C'!$J$4062,NA())</f>
        <v/>
      </c>
    </row>
    <row r="4063">
      <c r="J4063">
        <f>IF(AND(ISNUMBER('Data'!$F$4064),'Data'!$F$4064&lt;&gt;999,'Data'!$F$4064&lt;&gt;""),'Data'!$F$4064,"")</f>
        <v/>
      </c>
      <c r="Z4063" t="n">
        <v>1</v>
      </c>
      <c r="AA4063">
        <f>IF(ISNUMBER('IN-CLASS_Lab Part C'!$J$4063),'IN-CLASS_Lab Part C'!$J$4063,NA())</f>
        <v/>
      </c>
    </row>
    <row r="4064">
      <c r="J4064">
        <f>IF(AND(ISNUMBER('Data'!$F$4065),'Data'!$F$4065&lt;&gt;999,'Data'!$F$4065&lt;&gt;""),'Data'!$F$4065,"")</f>
        <v/>
      </c>
      <c r="Z4064" t="n">
        <v>1</v>
      </c>
      <c r="AA4064">
        <f>IF(ISNUMBER('IN-CLASS_Lab Part C'!$J$4064),'IN-CLASS_Lab Part C'!$J$4064,NA())</f>
        <v/>
      </c>
    </row>
    <row r="4065">
      <c r="J4065">
        <f>IF(AND(ISNUMBER('Data'!$F$4066),'Data'!$F$4066&lt;&gt;999,'Data'!$F$4066&lt;&gt;""),'Data'!$F$4066,"")</f>
        <v/>
      </c>
      <c r="Z4065" t="n">
        <v>1</v>
      </c>
      <c r="AA4065">
        <f>IF(ISNUMBER('IN-CLASS_Lab Part C'!$J$4065),'IN-CLASS_Lab Part C'!$J$4065,NA())</f>
        <v/>
      </c>
    </row>
    <row r="4066">
      <c r="J4066">
        <f>IF(AND(ISNUMBER('Data'!$F$4067),'Data'!$F$4067&lt;&gt;999,'Data'!$F$4067&lt;&gt;""),'Data'!$F$4067,"")</f>
        <v/>
      </c>
      <c r="Z4066" t="n">
        <v>1</v>
      </c>
      <c r="AA4066">
        <f>IF(ISNUMBER('IN-CLASS_Lab Part C'!$J$4066),'IN-CLASS_Lab Part C'!$J$4066,NA())</f>
        <v/>
      </c>
    </row>
    <row r="4067">
      <c r="J4067">
        <f>IF(AND(ISNUMBER('Data'!$F$4068),'Data'!$F$4068&lt;&gt;999,'Data'!$F$4068&lt;&gt;""),'Data'!$F$4068,"")</f>
        <v/>
      </c>
      <c r="Z4067" t="n">
        <v>1</v>
      </c>
      <c r="AA4067">
        <f>IF(ISNUMBER('IN-CLASS_Lab Part C'!$J$4067),'IN-CLASS_Lab Part C'!$J$4067,NA())</f>
        <v/>
      </c>
    </row>
    <row r="4068">
      <c r="J4068">
        <f>IF(AND(ISNUMBER('Data'!$F$4069),'Data'!$F$4069&lt;&gt;999,'Data'!$F$4069&lt;&gt;""),'Data'!$F$4069,"")</f>
        <v/>
      </c>
      <c r="Z4068" t="n">
        <v>1</v>
      </c>
      <c r="AA4068">
        <f>IF(ISNUMBER('IN-CLASS_Lab Part C'!$J$4068),'IN-CLASS_Lab Part C'!$J$4068,NA())</f>
        <v/>
      </c>
    </row>
    <row r="4069">
      <c r="J4069">
        <f>IF(AND(ISNUMBER('Data'!$F$4070),'Data'!$F$4070&lt;&gt;999,'Data'!$F$4070&lt;&gt;""),'Data'!$F$4070,"")</f>
        <v/>
      </c>
      <c r="Z4069" t="n">
        <v>1</v>
      </c>
      <c r="AA4069">
        <f>IF(ISNUMBER('IN-CLASS_Lab Part C'!$J$4069),'IN-CLASS_Lab Part C'!$J$4069,NA())</f>
        <v/>
      </c>
    </row>
    <row r="4070">
      <c r="J4070">
        <f>IF(AND(ISNUMBER('Data'!$F$4071),'Data'!$F$4071&lt;&gt;999,'Data'!$F$4071&lt;&gt;""),'Data'!$F$4071,"")</f>
        <v/>
      </c>
      <c r="Z4070" t="n">
        <v>1</v>
      </c>
      <c r="AA4070">
        <f>IF(ISNUMBER('IN-CLASS_Lab Part C'!$J$4070),'IN-CLASS_Lab Part C'!$J$4070,NA())</f>
        <v/>
      </c>
    </row>
    <row r="4071">
      <c r="J4071">
        <f>IF(AND(ISNUMBER('Data'!$F$4072),'Data'!$F$4072&lt;&gt;999,'Data'!$F$4072&lt;&gt;""),'Data'!$F$4072,"")</f>
        <v/>
      </c>
      <c r="Z4071" t="n">
        <v>1</v>
      </c>
      <c r="AA4071">
        <f>IF(ISNUMBER('IN-CLASS_Lab Part C'!$J$4071),'IN-CLASS_Lab Part C'!$J$4071,NA())</f>
        <v/>
      </c>
    </row>
    <row r="4072">
      <c r="J4072">
        <f>IF(AND(ISNUMBER('Data'!$F$4073),'Data'!$F$4073&lt;&gt;999,'Data'!$F$4073&lt;&gt;""),'Data'!$F$4073,"")</f>
        <v/>
      </c>
      <c r="Z4072" t="n">
        <v>1</v>
      </c>
      <c r="AA4072">
        <f>IF(ISNUMBER('IN-CLASS_Lab Part C'!$J$4072),'IN-CLASS_Lab Part C'!$J$4072,NA())</f>
        <v/>
      </c>
    </row>
    <row r="4073">
      <c r="J4073">
        <f>IF(AND(ISNUMBER('Data'!$F$4074),'Data'!$F$4074&lt;&gt;999,'Data'!$F$4074&lt;&gt;""),'Data'!$F$4074,"")</f>
        <v/>
      </c>
      <c r="Z4073" t="n">
        <v>1</v>
      </c>
      <c r="AA4073">
        <f>IF(ISNUMBER('IN-CLASS_Lab Part C'!$J$4073),'IN-CLASS_Lab Part C'!$J$4073,NA())</f>
        <v/>
      </c>
    </row>
    <row r="4074">
      <c r="J4074">
        <f>IF(AND(ISNUMBER('Data'!$F$4075),'Data'!$F$4075&lt;&gt;999,'Data'!$F$4075&lt;&gt;""),'Data'!$F$4075,"")</f>
        <v/>
      </c>
      <c r="Z4074" t="n">
        <v>1</v>
      </c>
      <c r="AA4074">
        <f>IF(ISNUMBER('IN-CLASS_Lab Part C'!$J$4074),'IN-CLASS_Lab Part C'!$J$4074,NA())</f>
        <v/>
      </c>
    </row>
    <row r="4075">
      <c r="J4075">
        <f>IF(AND(ISNUMBER('Data'!$F$4076),'Data'!$F$4076&lt;&gt;999,'Data'!$F$4076&lt;&gt;""),'Data'!$F$4076,"")</f>
        <v/>
      </c>
      <c r="Z4075" t="n">
        <v>1</v>
      </c>
      <c r="AA4075">
        <f>IF(ISNUMBER('IN-CLASS_Lab Part C'!$J$4075),'IN-CLASS_Lab Part C'!$J$4075,NA())</f>
        <v/>
      </c>
    </row>
    <row r="4076">
      <c r="J4076">
        <f>IF(AND(ISNUMBER('Data'!$F$4077),'Data'!$F$4077&lt;&gt;999,'Data'!$F$4077&lt;&gt;""),'Data'!$F$4077,"")</f>
        <v/>
      </c>
      <c r="Z4076" t="n">
        <v>1</v>
      </c>
      <c r="AA4076">
        <f>IF(ISNUMBER('IN-CLASS_Lab Part C'!$J$4076),'IN-CLASS_Lab Part C'!$J$4076,NA())</f>
        <v/>
      </c>
    </row>
    <row r="4077">
      <c r="J4077">
        <f>IF(AND(ISNUMBER('Data'!$F$4078),'Data'!$F$4078&lt;&gt;999,'Data'!$F$4078&lt;&gt;""),'Data'!$F$4078,"")</f>
        <v/>
      </c>
      <c r="Z4077" t="n">
        <v>1</v>
      </c>
      <c r="AA4077">
        <f>IF(ISNUMBER('IN-CLASS_Lab Part C'!$J$4077),'IN-CLASS_Lab Part C'!$J$4077,NA())</f>
        <v/>
      </c>
    </row>
    <row r="4078">
      <c r="J4078">
        <f>IF(AND(ISNUMBER('Data'!$F$4079),'Data'!$F$4079&lt;&gt;999,'Data'!$F$4079&lt;&gt;""),'Data'!$F$4079,"")</f>
        <v/>
      </c>
      <c r="Z4078" t="n">
        <v>1</v>
      </c>
      <c r="AA4078">
        <f>IF(ISNUMBER('IN-CLASS_Lab Part C'!$J$4078),'IN-CLASS_Lab Part C'!$J$4078,NA())</f>
        <v/>
      </c>
    </row>
    <row r="4079">
      <c r="J4079">
        <f>IF(AND(ISNUMBER('Data'!$F$4080),'Data'!$F$4080&lt;&gt;999,'Data'!$F$4080&lt;&gt;""),'Data'!$F$4080,"")</f>
        <v/>
      </c>
      <c r="Z4079" t="n">
        <v>1</v>
      </c>
      <c r="AA4079">
        <f>IF(ISNUMBER('IN-CLASS_Lab Part C'!$J$4079),'IN-CLASS_Lab Part C'!$J$4079,NA())</f>
        <v/>
      </c>
    </row>
    <row r="4080">
      <c r="J4080">
        <f>IF(AND(ISNUMBER('Data'!$F$4081),'Data'!$F$4081&lt;&gt;999,'Data'!$F$4081&lt;&gt;""),'Data'!$F$4081,"")</f>
        <v/>
      </c>
      <c r="Z4080" t="n">
        <v>1</v>
      </c>
      <c r="AA4080">
        <f>IF(ISNUMBER('IN-CLASS_Lab Part C'!$J$4080),'IN-CLASS_Lab Part C'!$J$4080,NA())</f>
        <v/>
      </c>
    </row>
    <row r="4081">
      <c r="J4081">
        <f>IF(AND(ISNUMBER('Data'!$F$4082),'Data'!$F$4082&lt;&gt;999,'Data'!$F$4082&lt;&gt;""),'Data'!$F$4082,"")</f>
        <v/>
      </c>
      <c r="Z4081" t="n">
        <v>1</v>
      </c>
      <c r="AA4081">
        <f>IF(ISNUMBER('IN-CLASS_Lab Part C'!$J$4081),'IN-CLASS_Lab Part C'!$J$4081,NA())</f>
        <v/>
      </c>
    </row>
    <row r="4082">
      <c r="J4082">
        <f>IF(AND(ISNUMBER('Data'!$F$4083),'Data'!$F$4083&lt;&gt;999,'Data'!$F$4083&lt;&gt;""),'Data'!$F$4083,"")</f>
        <v/>
      </c>
      <c r="Z4082" t="n">
        <v>1</v>
      </c>
      <c r="AA4082">
        <f>IF(ISNUMBER('IN-CLASS_Lab Part C'!$J$4082),'IN-CLASS_Lab Part C'!$J$4082,NA())</f>
        <v/>
      </c>
    </row>
    <row r="4083">
      <c r="J4083">
        <f>IF(AND(ISNUMBER('Data'!$F$4084),'Data'!$F$4084&lt;&gt;999,'Data'!$F$4084&lt;&gt;""),'Data'!$F$4084,"")</f>
        <v/>
      </c>
      <c r="Z4083" t="n">
        <v>1</v>
      </c>
      <c r="AA4083">
        <f>IF(ISNUMBER('IN-CLASS_Lab Part C'!$J$4083),'IN-CLASS_Lab Part C'!$J$4083,NA())</f>
        <v/>
      </c>
    </row>
    <row r="4084">
      <c r="J4084">
        <f>IF(AND(ISNUMBER('Data'!$F$4085),'Data'!$F$4085&lt;&gt;999,'Data'!$F$4085&lt;&gt;""),'Data'!$F$4085,"")</f>
        <v/>
      </c>
      <c r="Z4084" t="n">
        <v>1</v>
      </c>
      <c r="AA4084">
        <f>IF(ISNUMBER('IN-CLASS_Lab Part C'!$J$4084),'IN-CLASS_Lab Part C'!$J$4084,NA())</f>
        <v/>
      </c>
    </row>
    <row r="4085">
      <c r="J4085">
        <f>IF(AND(ISNUMBER('Data'!$F$4086),'Data'!$F$4086&lt;&gt;999,'Data'!$F$4086&lt;&gt;""),'Data'!$F$4086,"")</f>
        <v/>
      </c>
      <c r="Z4085" t="n">
        <v>1</v>
      </c>
      <c r="AA4085">
        <f>IF(ISNUMBER('IN-CLASS_Lab Part C'!$J$4085),'IN-CLASS_Lab Part C'!$J$4085,NA())</f>
        <v/>
      </c>
    </row>
    <row r="4086">
      <c r="J4086">
        <f>IF(AND(ISNUMBER('Data'!$F$4087),'Data'!$F$4087&lt;&gt;999,'Data'!$F$4087&lt;&gt;""),'Data'!$F$4087,"")</f>
        <v/>
      </c>
      <c r="Z4086" t="n">
        <v>1</v>
      </c>
      <c r="AA4086">
        <f>IF(ISNUMBER('IN-CLASS_Lab Part C'!$J$4086),'IN-CLASS_Lab Part C'!$J$4086,NA())</f>
        <v/>
      </c>
    </row>
    <row r="4087">
      <c r="J4087">
        <f>IF(AND(ISNUMBER('Data'!$F$4088),'Data'!$F$4088&lt;&gt;999,'Data'!$F$4088&lt;&gt;""),'Data'!$F$4088,"")</f>
        <v/>
      </c>
      <c r="Z4087" t="n">
        <v>1</v>
      </c>
      <c r="AA4087">
        <f>IF(ISNUMBER('IN-CLASS_Lab Part C'!$J$4087),'IN-CLASS_Lab Part C'!$J$4087,NA())</f>
        <v/>
      </c>
    </row>
    <row r="4088">
      <c r="J4088">
        <f>IF(AND(ISNUMBER('Data'!$F$4089),'Data'!$F$4089&lt;&gt;999,'Data'!$F$4089&lt;&gt;""),'Data'!$F$4089,"")</f>
        <v/>
      </c>
      <c r="Z4088" t="n">
        <v>1</v>
      </c>
      <c r="AA4088">
        <f>IF(ISNUMBER('IN-CLASS_Lab Part C'!$J$4088),'IN-CLASS_Lab Part C'!$J$4088,NA())</f>
        <v/>
      </c>
    </row>
    <row r="4089">
      <c r="J4089">
        <f>IF(AND(ISNUMBER('Data'!$F$4090),'Data'!$F$4090&lt;&gt;999,'Data'!$F$4090&lt;&gt;""),'Data'!$F$4090,"")</f>
        <v/>
      </c>
      <c r="Z4089" t="n">
        <v>1</v>
      </c>
      <c r="AA4089">
        <f>IF(ISNUMBER('IN-CLASS_Lab Part C'!$J$4089),'IN-CLASS_Lab Part C'!$J$4089,NA())</f>
        <v/>
      </c>
    </row>
    <row r="4090">
      <c r="J4090">
        <f>IF(AND(ISNUMBER('Data'!$F$4091),'Data'!$F$4091&lt;&gt;999,'Data'!$F$4091&lt;&gt;""),'Data'!$F$4091,"")</f>
        <v/>
      </c>
      <c r="Z4090" t="n">
        <v>1</v>
      </c>
      <c r="AA4090">
        <f>IF(ISNUMBER('IN-CLASS_Lab Part C'!$J$4090),'IN-CLASS_Lab Part C'!$J$4090,NA())</f>
        <v/>
      </c>
    </row>
    <row r="4091">
      <c r="J4091">
        <f>IF(AND(ISNUMBER('Data'!$F$4092),'Data'!$F$4092&lt;&gt;999,'Data'!$F$4092&lt;&gt;""),'Data'!$F$4092,"")</f>
        <v/>
      </c>
      <c r="Z4091" t="n">
        <v>1</v>
      </c>
      <c r="AA4091">
        <f>IF(ISNUMBER('IN-CLASS_Lab Part C'!$J$4091),'IN-CLASS_Lab Part C'!$J$4091,NA())</f>
        <v/>
      </c>
    </row>
    <row r="4092">
      <c r="J4092">
        <f>IF(AND(ISNUMBER('Data'!$F$4093),'Data'!$F$4093&lt;&gt;999,'Data'!$F$4093&lt;&gt;""),'Data'!$F$4093,"")</f>
        <v/>
      </c>
      <c r="Z4092" t="n">
        <v>1</v>
      </c>
      <c r="AA4092">
        <f>IF(ISNUMBER('IN-CLASS_Lab Part C'!$J$4092),'IN-CLASS_Lab Part C'!$J$4092,NA())</f>
        <v/>
      </c>
    </row>
    <row r="4093">
      <c r="J4093">
        <f>IF(AND(ISNUMBER('Data'!$F$4094),'Data'!$F$4094&lt;&gt;999,'Data'!$F$4094&lt;&gt;""),'Data'!$F$4094,"")</f>
        <v/>
      </c>
      <c r="Z4093" t="n">
        <v>1</v>
      </c>
      <c r="AA4093">
        <f>IF(ISNUMBER('IN-CLASS_Lab Part C'!$J$4093),'IN-CLASS_Lab Part C'!$J$4093,NA())</f>
        <v/>
      </c>
    </row>
    <row r="4094">
      <c r="J4094">
        <f>IF(AND(ISNUMBER('Data'!$F$4095),'Data'!$F$4095&lt;&gt;999,'Data'!$F$4095&lt;&gt;""),'Data'!$F$4095,"")</f>
        <v/>
      </c>
      <c r="Z4094" t="n">
        <v>1</v>
      </c>
      <c r="AA4094">
        <f>IF(ISNUMBER('IN-CLASS_Lab Part C'!$J$4094),'IN-CLASS_Lab Part C'!$J$4094,NA())</f>
        <v/>
      </c>
    </row>
    <row r="4095">
      <c r="J4095">
        <f>IF(AND(ISNUMBER('Data'!$F$4096),'Data'!$F$4096&lt;&gt;999,'Data'!$F$4096&lt;&gt;""),'Data'!$F$4096,"")</f>
        <v/>
      </c>
      <c r="Z4095" t="n">
        <v>1</v>
      </c>
      <c r="AA4095">
        <f>IF(ISNUMBER('IN-CLASS_Lab Part C'!$J$4095),'IN-CLASS_Lab Part C'!$J$4095,NA())</f>
        <v/>
      </c>
    </row>
    <row r="4096">
      <c r="J4096">
        <f>IF(AND(ISNUMBER('Data'!$F$4097),'Data'!$F$4097&lt;&gt;999,'Data'!$F$4097&lt;&gt;""),'Data'!$F$4097,"")</f>
        <v/>
      </c>
      <c r="Z4096" t="n">
        <v>1</v>
      </c>
      <c r="AA4096">
        <f>IF(ISNUMBER('IN-CLASS_Lab Part C'!$J$4096),'IN-CLASS_Lab Part C'!$J$4096,NA())</f>
        <v/>
      </c>
    </row>
    <row r="4097">
      <c r="J4097">
        <f>IF(AND(ISNUMBER('Data'!$F$4098),'Data'!$F$4098&lt;&gt;999,'Data'!$F$4098&lt;&gt;""),'Data'!$F$4098,"")</f>
        <v/>
      </c>
      <c r="Z4097" t="n">
        <v>1</v>
      </c>
      <c r="AA4097">
        <f>IF(ISNUMBER('IN-CLASS_Lab Part C'!$J$4097),'IN-CLASS_Lab Part C'!$J$4097,NA())</f>
        <v/>
      </c>
    </row>
    <row r="4098">
      <c r="J4098">
        <f>IF(AND(ISNUMBER('Data'!$F$4099),'Data'!$F$4099&lt;&gt;999,'Data'!$F$4099&lt;&gt;""),'Data'!$F$4099,"")</f>
        <v/>
      </c>
      <c r="Z4098" t="n">
        <v>1</v>
      </c>
      <c r="AA4098">
        <f>IF(ISNUMBER('IN-CLASS_Lab Part C'!$J$4098),'IN-CLASS_Lab Part C'!$J$4098,NA())</f>
        <v/>
      </c>
    </row>
    <row r="4099">
      <c r="J4099">
        <f>IF(AND(ISNUMBER('Data'!$F$4100),'Data'!$F$4100&lt;&gt;999,'Data'!$F$4100&lt;&gt;""),'Data'!$F$4100,"")</f>
        <v/>
      </c>
      <c r="Z4099" t="n">
        <v>1</v>
      </c>
      <c r="AA4099">
        <f>IF(ISNUMBER('IN-CLASS_Lab Part C'!$J$4099),'IN-CLASS_Lab Part C'!$J$4099,NA())</f>
        <v/>
      </c>
    </row>
    <row r="4100">
      <c r="J4100">
        <f>IF(AND(ISNUMBER('Data'!$F$4101),'Data'!$F$4101&lt;&gt;999,'Data'!$F$4101&lt;&gt;""),'Data'!$F$4101,"")</f>
        <v/>
      </c>
      <c r="Z4100" t="n">
        <v>1</v>
      </c>
      <c r="AA4100">
        <f>IF(ISNUMBER('IN-CLASS_Lab Part C'!$J$4100),'IN-CLASS_Lab Part C'!$J$4100,NA())</f>
        <v/>
      </c>
    </row>
    <row r="4101">
      <c r="J4101">
        <f>IF(AND(ISNUMBER('Data'!$F$4102),'Data'!$F$4102&lt;&gt;999,'Data'!$F$4102&lt;&gt;""),'Data'!$F$4102,"")</f>
        <v/>
      </c>
      <c r="Z4101" t="n">
        <v>1</v>
      </c>
      <c r="AA4101">
        <f>IF(ISNUMBER('IN-CLASS_Lab Part C'!$J$4101),'IN-CLASS_Lab Part C'!$J$4101,NA())</f>
        <v/>
      </c>
    </row>
    <row r="4102">
      <c r="J4102">
        <f>IF(AND(ISNUMBER('Data'!$F$4103),'Data'!$F$4103&lt;&gt;999,'Data'!$F$4103&lt;&gt;""),'Data'!$F$4103,"")</f>
        <v/>
      </c>
      <c r="Z4102" t="n">
        <v>1</v>
      </c>
      <c r="AA4102">
        <f>IF(ISNUMBER('IN-CLASS_Lab Part C'!$J$4102),'IN-CLASS_Lab Part C'!$J$4102,NA())</f>
        <v/>
      </c>
    </row>
    <row r="4103">
      <c r="J4103">
        <f>IF(AND(ISNUMBER('Data'!$F$4104),'Data'!$F$4104&lt;&gt;999,'Data'!$F$4104&lt;&gt;""),'Data'!$F$4104,"")</f>
        <v/>
      </c>
      <c r="Z4103" t="n">
        <v>1</v>
      </c>
      <c r="AA4103">
        <f>IF(ISNUMBER('IN-CLASS_Lab Part C'!$J$4103),'IN-CLASS_Lab Part C'!$J$4103,NA())</f>
        <v/>
      </c>
    </row>
    <row r="4104">
      <c r="J4104">
        <f>IF(AND(ISNUMBER('Data'!$F$4105),'Data'!$F$4105&lt;&gt;999,'Data'!$F$4105&lt;&gt;""),'Data'!$F$4105,"")</f>
        <v/>
      </c>
      <c r="Z4104" t="n">
        <v>1</v>
      </c>
      <c r="AA4104">
        <f>IF(ISNUMBER('IN-CLASS_Lab Part C'!$J$4104),'IN-CLASS_Lab Part C'!$J$4104,NA())</f>
        <v/>
      </c>
    </row>
    <row r="4105">
      <c r="J4105">
        <f>IF(AND(ISNUMBER('Data'!$F$4106),'Data'!$F$4106&lt;&gt;999,'Data'!$F$4106&lt;&gt;""),'Data'!$F$4106,"")</f>
        <v/>
      </c>
      <c r="Z4105" t="n">
        <v>1</v>
      </c>
      <c r="AA4105">
        <f>IF(ISNUMBER('IN-CLASS_Lab Part C'!$J$4105),'IN-CLASS_Lab Part C'!$J$4105,NA())</f>
        <v/>
      </c>
    </row>
    <row r="4106">
      <c r="J4106">
        <f>IF(AND(ISNUMBER('Data'!$F$4107),'Data'!$F$4107&lt;&gt;999,'Data'!$F$4107&lt;&gt;""),'Data'!$F$4107,"")</f>
        <v/>
      </c>
      <c r="Z4106" t="n">
        <v>1</v>
      </c>
      <c r="AA4106">
        <f>IF(ISNUMBER('IN-CLASS_Lab Part C'!$J$4106),'IN-CLASS_Lab Part C'!$J$4106,NA())</f>
        <v/>
      </c>
    </row>
    <row r="4107">
      <c r="J4107">
        <f>IF(AND(ISNUMBER('Data'!$F$4108),'Data'!$F$4108&lt;&gt;999,'Data'!$F$4108&lt;&gt;""),'Data'!$F$4108,"")</f>
        <v/>
      </c>
      <c r="Z4107" t="n">
        <v>1</v>
      </c>
      <c r="AA4107">
        <f>IF(ISNUMBER('IN-CLASS_Lab Part C'!$J$4107),'IN-CLASS_Lab Part C'!$J$4107,NA())</f>
        <v/>
      </c>
    </row>
    <row r="4108">
      <c r="J4108">
        <f>IF(AND(ISNUMBER('Data'!$F$4109),'Data'!$F$4109&lt;&gt;999,'Data'!$F$4109&lt;&gt;""),'Data'!$F$4109,"")</f>
        <v/>
      </c>
      <c r="Z4108" t="n">
        <v>1</v>
      </c>
      <c r="AA4108">
        <f>IF(ISNUMBER('IN-CLASS_Lab Part C'!$J$4108),'IN-CLASS_Lab Part C'!$J$4108,NA())</f>
        <v/>
      </c>
    </row>
    <row r="4109">
      <c r="J4109">
        <f>IF(AND(ISNUMBER('Data'!$F$4110),'Data'!$F$4110&lt;&gt;999,'Data'!$F$4110&lt;&gt;""),'Data'!$F$4110,"")</f>
        <v/>
      </c>
      <c r="Z4109" t="n">
        <v>1</v>
      </c>
      <c r="AA4109">
        <f>IF(ISNUMBER('IN-CLASS_Lab Part C'!$J$4109),'IN-CLASS_Lab Part C'!$J$4109,NA())</f>
        <v/>
      </c>
    </row>
    <row r="4110">
      <c r="J4110">
        <f>IF(AND(ISNUMBER('Data'!$F$4111),'Data'!$F$4111&lt;&gt;999,'Data'!$F$4111&lt;&gt;""),'Data'!$F$4111,"")</f>
        <v/>
      </c>
      <c r="Z4110" t="n">
        <v>1</v>
      </c>
      <c r="AA4110">
        <f>IF(ISNUMBER('IN-CLASS_Lab Part C'!$J$4110),'IN-CLASS_Lab Part C'!$J$4110,NA())</f>
        <v/>
      </c>
    </row>
    <row r="4111">
      <c r="J4111">
        <f>IF(AND(ISNUMBER('Data'!$F$4112),'Data'!$F$4112&lt;&gt;999,'Data'!$F$4112&lt;&gt;""),'Data'!$F$4112,"")</f>
        <v/>
      </c>
      <c r="Z4111" t="n">
        <v>1</v>
      </c>
      <c r="AA4111">
        <f>IF(ISNUMBER('IN-CLASS_Lab Part C'!$J$4111),'IN-CLASS_Lab Part C'!$J$4111,NA())</f>
        <v/>
      </c>
    </row>
    <row r="4112">
      <c r="J4112">
        <f>IF(AND(ISNUMBER('Data'!$F$4113),'Data'!$F$4113&lt;&gt;999,'Data'!$F$4113&lt;&gt;""),'Data'!$F$4113,"")</f>
        <v/>
      </c>
      <c r="Z4112" t="n">
        <v>1</v>
      </c>
      <c r="AA4112">
        <f>IF(ISNUMBER('IN-CLASS_Lab Part C'!$J$4112),'IN-CLASS_Lab Part C'!$J$4112,NA())</f>
        <v/>
      </c>
    </row>
    <row r="4113">
      <c r="J4113">
        <f>IF(AND(ISNUMBER('Data'!$F$4114),'Data'!$F$4114&lt;&gt;999,'Data'!$F$4114&lt;&gt;""),'Data'!$F$4114,"")</f>
        <v/>
      </c>
      <c r="Z4113" t="n">
        <v>1</v>
      </c>
      <c r="AA4113">
        <f>IF(ISNUMBER('IN-CLASS_Lab Part C'!$J$4113),'IN-CLASS_Lab Part C'!$J$4113,NA())</f>
        <v/>
      </c>
    </row>
    <row r="4114">
      <c r="J4114">
        <f>IF(AND(ISNUMBER('Data'!$F$4115),'Data'!$F$4115&lt;&gt;999,'Data'!$F$4115&lt;&gt;""),'Data'!$F$4115,"")</f>
        <v/>
      </c>
      <c r="Z4114" t="n">
        <v>1</v>
      </c>
      <c r="AA4114">
        <f>IF(ISNUMBER('IN-CLASS_Lab Part C'!$J$4114),'IN-CLASS_Lab Part C'!$J$4114,NA())</f>
        <v/>
      </c>
    </row>
    <row r="4115">
      <c r="J4115">
        <f>IF(AND(ISNUMBER('Data'!$F$4116),'Data'!$F$4116&lt;&gt;999,'Data'!$F$4116&lt;&gt;""),'Data'!$F$4116,"")</f>
        <v/>
      </c>
      <c r="Z4115" t="n">
        <v>1</v>
      </c>
      <c r="AA4115">
        <f>IF(ISNUMBER('IN-CLASS_Lab Part C'!$J$4115),'IN-CLASS_Lab Part C'!$J$4115,NA())</f>
        <v/>
      </c>
    </row>
    <row r="4116">
      <c r="J4116">
        <f>IF(AND(ISNUMBER('Data'!$F$4117),'Data'!$F$4117&lt;&gt;999,'Data'!$F$4117&lt;&gt;""),'Data'!$F$4117,"")</f>
        <v/>
      </c>
      <c r="Z4116" t="n">
        <v>1</v>
      </c>
      <c r="AA4116">
        <f>IF(ISNUMBER('IN-CLASS_Lab Part C'!$J$4116),'IN-CLASS_Lab Part C'!$J$4116,NA())</f>
        <v/>
      </c>
    </row>
    <row r="4117">
      <c r="J4117">
        <f>IF(AND(ISNUMBER('Data'!$F$4118),'Data'!$F$4118&lt;&gt;999,'Data'!$F$4118&lt;&gt;""),'Data'!$F$4118,"")</f>
        <v/>
      </c>
      <c r="Z4117" t="n">
        <v>1</v>
      </c>
      <c r="AA4117">
        <f>IF(ISNUMBER('IN-CLASS_Lab Part C'!$J$4117),'IN-CLASS_Lab Part C'!$J$4117,NA())</f>
        <v/>
      </c>
    </row>
    <row r="4118">
      <c r="J4118">
        <f>IF(AND(ISNUMBER('Data'!$F$4119),'Data'!$F$4119&lt;&gt;999,'Data'!$F$4119&lt;&gt;""),'Data'!$F$4119,"")</f>
        <v/>
      </c>
      <c r="Z4118" t="n">
        <v>1</v>
      </c>
      <c r="AA4118">
        <f>IF(ISNUMBER('IN-CLASS_Lab Part C'!$J$4118),'IN-CLASS_Lab Part C'!$J$4118,NA())</f>
        <v/>
      </c>
    </row>
    <row r="4119">
      <c r="J4119">
        <f>IF(AND(ISNUMBER('Data'!$F$4120),'Data'!$F$4120&lt;&gt;999,'Data'!$F$4120&lt;&gt;""),'Data'!$F$4120,"")</f>
        <v/>
      </c>
      <c r="Z4119" t="n">
        <v>1</v>
      </c>
      <c r="AA4119">
        <f>IF(ISNUMBER('IN-CLASS_Lab Part C'!$J$4119),'IN-CLASS_Lab Part C'!$J$4119,NA())</f>
        <v/>
      </c>
    </row>
    <row r="4120">
      <c r="J4120">
        <f>IF(AND(ISNUMBER('Data'!$F$4121),'Data'!$F$4121&lt;&gt;999,'Data'!$F$4121&lt;&gt;""),'Data'!$F$4121,"")</f>
        <v/>
      </c>
      <c r="Z4120" t="n">
        <v>1</v>
      </c>
      <c r="AA4120">
        <f>IF(ISNUMBER('IN-CLASS_Lab Part C'!$J$4120),'IN-CLASS_Lab Part C'!$J$4120,NA())</f>
        <v/>
      </c>
    </row>
    <row r="4121">
      <c r="J4121">
        <f>IF(AND(ISNUMBER('Data'!$F$4122),'Data'!$F$4122&lt;&gt;999,'Data'!$F$4122&lt;&gt;""),'Data'!$F$4122,"")</f>
        <v/>
      </c>
      <c r="Z4121" t="n">
        <v>1</v>
      </c>
      <c r="AA4121">
        <f>IF(ISNUMBER('IN-CLASS_Lab Part C'!$J$4121),'IN-CLASS_Lab Part C'!$J$4121,NA())</f>
        <v/>
      </c>
    </row>
    <row r="4122">
      <c r="J4122">
        <f>IF(AND(ISNUMBER('Data'!$F$4123),'Data'!$F$4123&lt;&gt;999,'Data'!$F$4123&lt;&gt;""),'Data'!$F$4123,"")</f>
        <v/>
      </c>
      <c r="Z4122" t="n">
        <v>1</v>
      </c>
      <c r="AA4122">
        <f>IF(ISNUMBER('IN-CLASS_Lab Part C'!$J$4122),'IN-CLASS_Lab Part C'!$J$4122,NA())</f>
        <v/>
      </c>
    </row>
    <row r="4123">
      <c r="J4123">
        <f>IF(AND(ISNUMBER('Data'!$F$4124),'Data'!$F$4124&lt;&gt;999,'Data'!$F$4124&lt;&gt;""),'Data'!$F$4124,"")</f>
        <v/>
      </c>
      <c r="Z4123" t="n">
        <v>1</v>
      </c>
      <c r="AA4123">
        <f>IF(ISNUMBER('IN-CLASS_Lab Part C'!$J$4123),'IN-CLASS_Lab Part C'!$J$4123,NA())</f>
        <v/>
      </c>
    </row>
    <row r="4124">
      <c r="J4124">
        <f>IF(AND(ISNUMBER('Data'!$F$4125),'Data'!$F$4125&lt;&gt;999,'Data'!$F$4125&lt;&gt;""),'Data'!$F$4125,"")</f>
        <v/>
      </c>
      <c r="Z4124" t="n">
        <v>1</v>
      </c>
      <c r="AA4124">
        <f>IF(ISNUMBER('IN-CLASS_Lab Part C'!$J$4124),'IN-CLASS_Lab Part C'!$J$4124,NA())</f>
        <v/>
      </c>
    </row>
    <row r="4125">
      <c r="J4125">
        <f>IF(AND(ISNUMBER('Data'!$F$4126),'Data'!$F$4126&lt;&gt;999,'Data'!$F$4126&lt;&gt;""),'Data'!$F$4126,"")</f>
        <v/>
      </c>
      <c r="Z4125" t="n">
        <v>1</v>
      </c>
      <c r="AA4125">
        <f>IF(ISNUMBER('IN-CLASS_Lab Part C'!$J$4125),'IN-CLASS_Lab Part C'!$J$4125,NA())</f>
        <v/>
      </c>
    </row>
    <row r="4126">
      <c r="J4126">
        <f>IF(AND(ISNUMBER('Data'!$F$4127),'Data'!$F$4127&lt;&gt;999,'Data'!$F$4127&lt;&gt;""),'Data'!$F$4127,"")</f>
        <v/>
      </c>
      <c r="Z4126" t="n">
        <v>1</v>
      </c>
      <c r="AA4126">
        <f>IF(ISNUMBER('IN-CLASS_Lab Part C'!$J$4126),'IN-CLASS_Lab Part C'!$J$4126,NA())</f>
        <v/>
      </c>
    </row>
    <row r="4127">
      <c r="J4127">
        <f>IF(AND(ISNUMBER('Data'!$F$4128),'Data'!$F$4128&lt;&gt;999,'Data'!$F$4128&lt;&gt;""),'Data'!$F$4128,"")</f>
        <v/>
      </c>
      <c r="Z4127" t="n">
        <v>1</v>
      </c>
      <c r="AA4127">
        <f>IF(ISNUMBER('IN-CLASS_Lab Part C'!$J$4127),'IN-CLASS_Lab Part C'!$J$4127,NA())</f>
        <v/>
      </c>
    </row>
    <row r="4128">
      <c r="J4128">
        <f>IF(AND(ISNUMBER('Data'!$F$4129),'Data'!$F$4129&lt;&gt;999,'Data'!$F$4129&lt;&gt;""),'Data'!$F$4129,"")</f>
        <v/>
      </c>
      <c r="Z4128" t="n">
        <v>1</v>
      </c>
      <c r="AA4128">
        <f>IF(ISNUMBER('IN-CLASS_Lab Part C'!$J$4128),'IN-CLASS_Lab Part C'!$J$4128,NA())</f>
        <v/>
      </c>
    </row>
    <row r="4129">
      <c r="J4129">
        <f>IF(AND(ISNUMBER('Data'!$F$4130),'Data'!$F$4130&lt;&gt;999,'Data'!$F$4130&lt;&gt;""),'Data'!$F$4130,"")</f>
        <v/>
      </c>
      <c r="Z4129" t="n">
        <v>1</v>
      </c>
      <c r="AA4129">
        <f>IF(ISNUMBER('IN-CLASS_Lab Part C'!$J$4129),'IN-CLASS_Lab Part C'!$J$4129,NA())</f>
        <v/>
      </c>
    </row>
    <row r="4130">
      <c r="J4130">
        <f>IF(AND(ISNUMBER('Data'!$F$4131),'Data'!$F$4131&lt;&gt;999,'Data'!$F$4131&lt;&gt;""),'Data'!$F$4131,"")</f>
        <v/>
      </c>
      <c r="Z4130" t="n">
        <v>1</v>
      </c>
      <c r="AA4130">
        <f>IF(ISNUMBER('IN-CLASS_Lab Part C'!$J$4130),'IN-CLASS_Lab Part C'!$J$4130,NA())</f>
        <v/>
      </c>
    </row>
    <row r="4131">
      <c r="J4131">
        <f>IF(AND(ISNUMBER('Data'!$F$4132),'Data'!$F$4132&lt;&gt;999,'Data'!$F$4132&lt;&gt;""),'Data'!$F$4132,"")</f>
        <v/>
      </c>
      <c r="Z4131" t="n">
        <v>1</v>
      </c>
      <c r="AA4131">
        <f>IF(ISNUMBER('IN-CLASS_Lab Part C'!$J$4131),'IN-CLASS_Lab Part C'!$J$4131,NA())</f>
        <v/>
      </c>
    </row>
    <row r="4132">
      <c r="J4132">
        <f>IF(AND(ISNUMBER('Data'!$F$4133),'Data'!$F$4133&lt;&gt;999,'Data'!$F$4133&lt;&gt;""),'Data'!$F$4133,"")</f>
        <v/>
      </c>
      <c r="Z4132" t="n">
        <v>1</v>
      </c>
      <c r="AA4132">
        <f>IF(ISNUMBER('IN-CLASS_Lab Part C'!$J$4132),'IN-CLASS_Lab Part C'!$J$4132,NA())</f>
        <v/>
      </c>
    </row>
    <row r="4133">
      <c r="J4133">
        <f>IF(AND(ISNUMBER('Data'!$F$4134),'Data'!$F$4134&lt;&gt;999,'Data'!$F$4134&lt;&gt;""),'Data'!$F$4134,"")</f>
        <v/>
      </c>
      <c r="Z4133" t="n">
        <v>1</v>
      </c>
      <c r="AA4133">
        <f>IF(ISNUMBER('IN-CLASS_Lab Part C'!$J$4133),'IN-CLASS_Lab Part C'!$J$4133,NA())</f>
        <v/>
      </c>
    </row>
    <row r="4134">
      <c r="J4134">
        <f>IF(AND(ISNUMBER('Data'!$F$4135),'Data'!$F$4135&lt;&gt;999,'Data'!$F$4135&lt;&gt;""),'Data'!$F$4135,"")</f>
        <v/>
      </c>
      <c r="Z4134" t="n">
        <v>1</v>
      </c>
      <c r="AA4134">
        <f>IF(ISNUMBER('IN-CLASS_Lab Part C'!$J$4134),'IN-CLASS_Lab Part C'!$J$4134,NA())</f>
        <v/>
      </c>
    </row>
    <row r="4135">
      <c r="J4135">
        <f>IF(AND(ISNUMBER('Data'!$F$4136),'Data'!$F$4136&lt;&gt;999,'Data'!$F$4136&lt;&gt;""),'Data'!$F$4136,"")</f>
        <v/>
      </c>
      <c r="Z4135" t="n">
        <v>1</v>
      </c>
      <c r="AA4135">
        <f>IF(ISNUMBER('IN-CLASS_Lab Part C'!$J$4135),'IN-CLASS_Lab Part C'!$J$4135,NA())</f>
        <v/>
      </c>
    </row>
    <row r="4136">
      <c r="J4136">
        <f>IF(AND(ISNUMBER('Data'!$F$4137),'Data'!$F$4137&lt;&gt;999,'Data'!$F$4137&lt;&gt;""),'Data'!$F$4137,"")</f>
        <v/>
      </c>
      <c r="Z4136" t="n">
        <v>1</v>
      </c>
      <c r="AA4136">
        <f>IF(ISNUMBER('IN-CLASS_Lab Part C'!$J$4136),'IN-CLASS_Lab Part C'!$J$4136,NA())</f>
        <v/>
      </c>
    </row>
    <row r="4137">
      <c r="J4137">
        <f>IF(AND(ISNUMBER('Data'!$F$4138),'Data'!$F$4138&lt;&gt;999,'Data'!$F$4138&lt;&gt;""),'Data'!$F$4138,"")</f>
        <v/>
      </c>
      <c r="Z4137" t="n">
        <v>1</v>
      </c>
      <c r="AA4137">
        <f>IF(ISNUMBER('IN-CLASS_Lab Part C'!$J$4137),'IN-CLASS_Lab Part C'!$J$4137,NA())</f>
        <v/>
      </c>
    </row>
    <row r="4138">
      <c r="J4138">
        <f>IF(AND(ISNUMBER('Data'!$F$4139),'Data'!$F$4139&lt;&gt;999,'Data'!$F$4139&lt;&gt;""),'Data'!$F$4139,"")</f>
        <v/>
      </c>
      <c r="Z4138" t="n">
        <v>1</v>
      </c>
      <c r="AA4138">
        <f>IF(ISNUMBER('IN-CLASS_Lab Part C'!$J$4138),'IN-CLASS_Lab Part C'!$J$4138,NA())</f>
        <v/>
      </c>
    </row>
    <row r="4139">
      <c r="J4139">
        <f>IF(AND(ISNUMBER('Data'!$F$4140),'Data'!$F$4140&lt;&gt;999,'Data'!$F$4140&lt;&gt;""),'Data'!$F$4140,"")</f>
        <v/>
      </c>
      <c r="Z4139" t="n">
        <v>1</v>
      </c>
      <c r="AA4139">
        <f>IF(ISNUMBER('IN-CLASS_Lab Part C'!$J$4139),'IN-CLASS_Lab Part C'!$J$4139,NA())</f>
        <v/>
      </c>
    </row>
    <row r="4140">
      <c r="J4140">
        <f>IF(AND(ISNUMBER('Data'!$F$4141),'Data'!$F$4141&lt;&gt;999,'Data'!$F$4141&lt;&gt;""),'Data'!$F$4141,"")</f>
        <v/>
      </c>
      <c r="Z4140" t="n">
        <v>1</v>
      </c>
      <c r="AA4140">
        <f>IF(ISNUMBER('IN-CLASS_Lab Part C'!$J$4140),'IN-CLASS_Lab Part C'!$J$4140,NA())</f>
        <v/>
      </c>
    </row>
    <row r="4141">
      <c r="J4141">
        <f>IF(AND(ISNUMBER('Data'!$F$4142),'Data'!$F$4142&lt;&gt;999,'Data'!$F$4142&lt;&gt;""),'Data'!$F$4142,"")</f>
        <v/>
      </c>
      <c r="Z4141" t="n">
        <v>1</v>
      </c>
      <c r="AA4141">
        <f>IF(ISNUMBER('IN-CLASS_Lab Part C'!$J$4141),'IN-CLASS_Lab Part C'!$J$4141,NA())</f>
        <v/>
      </c>
    </row>
    <row r="4142">
      <c r="J4142">
        <f>IF(AND(ISNUMBER('Data'!$F$4143),'Data'!$F$4143&lt;&gt;999,'Data'!$F$4143&lt;&gt;""),'Data'!$F$4143,"")</f>
        <v/>
      </c>
      <c r="Z4142" t="n">
        <v>1</v>
      </c>
      <c r="AA4142">
        <f>IF(ISNUMBER('IN-CLASS_Lab Part C'!$J$4142),'IN-CLASS_Lab Part C'!$J$4142,NA())</f>
        <v/>
      </c>
    </row>
    <row r="4143">
      <c r="J4143">
        <f>IF(AND(ISNUMBER('Data'!$F$4144),'Data'!$F$4144&lt;&gt;999,'Data'!$F$4144&lt;&gt;""),'Data'!$F$4144,"")</f>
        <v/>
      </c>
      <c r="Z4143" t="n">
        <v>1</v>
      </c>
      <c r="AA4143">
        <f>IF(ISNUMBER('IN-CLASS_Lab Part C'!$J$4143),'IN-CLASS_Lab Part C'!$J$4143,NA())</f>
        <v/>
      </c>
    </row>
    <row r="4144">
      <c r="J4144">
        <f>IF(AND(ISNUMBER('Data'!$F$4145),'Data'!$F$4145&lt;&gt;999,'Data'!$F$4145&lt;&gt;""),'Data'!$F$4145,"")</f>
        <v/>
      </c>
      <c r="Z4144" t="n">
        <v>1</v>
      </c>
      <c r="AA4144">
        <f>IF(ISNUMBER('IN-CLASS_Lab Part C'!$J$4144),'IN-CLASS_Lab Part C'!$J$4144,NA())</f>
        <v/>
      </c>
    </row>
    <row r="4145">
      <c r="J4145">
        <f>IF(AND(ISNUMBER('Data'!$F$4146),'Data'!$F$4146&lt;&gt;999,'Data'!$F$4146&lt;&gt;""),'Data'!$F$4146,"")</f>
        <v/>
      </c>
      <c r="Z4145" t="n">
        <v>1</v>
      </c>
      <c r="AA4145">
        <f>IF(ISNUMBER('IN-CLASS_Lab Part C'!$J$4145),'IN-CLASS_Lab Part C'!$J$4145,NA())</f>
        <v/>
      </c>
    </row>
    <row r="4146">
      <c r="J4146">
        <f>IF(AND(ISNUMBER('Data'!$F$4147),'Data'!$F$4147&lt;&gt;999,'Data'!$F$4147&lt;&gt;""),'Data'!$F$4147,"")</f>
        <v/>
      </c>
      <c r="Z4146" t="n">
        <v>1</v>
      </c>
      <c r="AA4146">
        <f>IF(ISNUMBER('IN-CLASS_Lab Part C'!$J$4146),'IN-CLASS_Lab Part C'!$J$4146,NA())</f>
        <v/>
      </c>
    </row>
    <row r="4147">
      <c r="J4147">
        <f>IF(AND(ISNUMBER('Data'!$F$4148),'Data'!$F$4148&lt;&gt;999,'Data'!$F$4148&lt;&gt;""),'Data'!$F$4148,"")</f>
        <v/>
      </c>
      <c r="Z4147" t="n">
        <v>1</v>
      </c>
      <c r="AA4147">
        <f>IF(ISNUMBER('IN-CLASS_Lab Part C'!$J$4147),'IN-CLASS_Lab Part C'!$J$4147,NA())</f>
        <v/>
      </c>
    </row>
    <row r="4148">
      <c r="J4148">
        <f>IF(AND(ISNUMBER('Data'!$F$4149),'Data'!$F$4149&lt;&gt;999,'Data'!$F$4149&lt;&gt;""),'Data'!$F$4149,"")</f>
        <v/>
      </c>
      <c r="Z4148" t="n">
        <v>1</v>
      </c>
      <c r="AA4148">
        <f>IF(ISNUMBER('IN-CLASS_Lab Part C'!$J$4148),'IN-CLASS_Lab Part C'!$J$4148,NA())</f>
        <v/>
      </c>
    </row>
    <row r="4149">
      <c r="J4149">
        <f>IF(AND(ISNUMBER('Data'!$F$4150),'Data'!$F$4150&lt;&gt;999,'Data'!$F$4150&lt;&gt;""),'Data'!$F$4150,"")</f>
        <v/>
      </c>
      <c r="Z4149" t="n">
        <v>1</v>
      </c>
      <c r="AA4149">
        <f>IF(ISNUMBER('IN-CLASS_Lab Part C'!$J$4149),'IN-CLASS_Lab Part C'!$J$4149,NA())</f>
        <v/>
      </c>
    </row>
    <row r="4150">
      <c r="J4150">
        <f>IF(AND(ISNUMBER('Data'!$F$4151),'Data'!$F$4151&lt;&gt;999,'Data'!$F$4151&lt;&gt;""),'Data'!$F$4151,"")</f>
        <v/>
      </c>
      <c r="Z4150" t="n">
        <v>1</v>
      </c>
      <c r="AA4150">
        <f>IF(ISNUMBER('IN-CLASS_Lab Part C'!$J$4150),'IN-CLASS_Lab Part C'!$J$4150,NA())</f>
        <v/>
      </c>
    </row>
    <row r="4151">
      <c r="J4151">
        <f>IF(AND(ISNUMBER('Data'!$F$4152),'Data'!$F$4152&lt;&gt;999,'Data'!$F$4152&lt;&gt;""),'Data'!$F$4152,"")</f>
        <v/>
      </c>
      <c r="Z4151" t="n">
        <v>1</v>
      </c>
      <c r="AA4151">
        <f>IF(ISNUMBER('IN-CLASS_Lab Part C'!$J$4151),'IN-CLASS_Lab Part C'!$J$4151,NA())</f>
        <v/>
      </c>
    </row>
    <row r="4152">
      <c r="J4152">
        <f>IF(AND(ISNUMBER('Data'!$F$4153),'Data'!$F$4153&lt;&gt;999,'Data'!$F$4153&lt;&gt;""),'Data'!$F$4153,"")</f>
        <v/>
      </c>
      <c r="Z4152" t="n">
        <v>1</v>
      </c>
      <c r="AA4152">
        <f>IF(ISNUMBER('IN-CLASS_Lab Part C'!$J$4152),'IN-CLASS_Lab Part C'!$J$4152,NA())</f>
        <v/>
      </c>
    </row>
    <row r="4153">
      <c r="J4153">
        <f>IF(AND(ISNUMBER('Data'!$F$4154),'Data'!$F$4154&lt;&gt;999,'Data'!$F$4154&lt;&gt;""),'Data'!$F$4154,"")</f>
        <v/>
      </c>
      <c r="Z4153" t="n">
        <v>1</v>
      </c>
      <c r="AA4153">
        <f>IF(ISNUMBER('IN-CLASS_Lab Part C'!$J$4153),'IN-CLASS_Lab Part C'!$J$4153,NA())</f>
        <v/>
      </c>
    </row>
    <row r="4154">
      <c r="J4154">
        <f>IF(AND(ISNUMBER('Data'!$F$4155),'Data'!$F$4155&lt;&gt;999,'Data'!$F$4155&lt;&gt;""),'Data'!$F$4155,"")</f>
        <v/>
      </c>
      <c r="Z4154" t="n">
        <v>1</v>
      </c>
      <c r="AA4154">
        <f>IF(ISNUMBER('IN-CLASS_Lab Part C'!$J$4154),'IN-CLASS_Lab Part C'!$J$4154,NA())</f>
        <v/>
      </c>
    </row>
    <row r="4155">
      <c r="J4155">
        <f>IF(AND(ISNUMBER('Data'!$F$4156),'Data'!$F$4156&lt;&gt;999,'Data'!$F$4156&lt;&gt;""),'Data'!$F$4156,"")</f>
        <v/>
      </c>
      <c r="Z4155" t="n">
        <v>1</v>
      </c>
      <c r="AA4155">
        <f>IF(ISNUMBER('IN-CLASS_Lab Part C'!$J$4155),'IN-CLASS_Lab Part C'!$J$4155,NA())</f>
        <v/>
      </c>
    </row>
    <row r="4156">
      <c r="J4156">
        <f>IF(AND(ISNUMBER('Data'!$F$4157),'Data'!$F$4157&lt;&gt;999,'Data'!$F$4157&lt;&gt;""),'Data'!$F$4157,"")</f>
        <v/>
      </c>
      <c r="Z4156" t="n">
        <v>1</v>
      </c>
      <c r="AA4156">
        <f>IF(ISNUMBER('IN-CLASS_Lab Part C'!$J$4156),'IN-CLASS_Lab Part C'!$J$4156,NA())</f>
        <v/>
      </c>
    </row>
    <row r="4157">
      <c r="J4157">
        <f>IF(AND(ISNUMBER('Data'!$F$4158),'Data'!$F$4158&lt;&gt;999,'Data'!$F$4158&lt;&gt;""),'Data'!$F$4158,"")</f>
        <v/>
      </c>
      <c r="Z4157" t="n">
        <v>1</v>
      </c>
      <c r="AA4157">
        <f>IF(ISNUMBER('IN-CLASS_Lab Part C'!$J$4157),'IN-CLASS_Lab Part C'!$J$4157,NA())</f>
        <v/>
      </c>
    </row>
    <row r="4158">
      <c r="J4158">
        <f>IF(AND(ISNUMBER('Data'!$F$4159),'Data'!$F$4159&lt;&gt;999,'Data'!$F$4159&lt;&gt;""),'Data'!$F$4159,"")</f>
        <v/>
      </c>
      <c r="Z4158" t="n">
        <v>1</v>
      </c>
      <c r="AA4158">
        <f>IF(ISNUMBER('IN-CLASS_Lab Part C'!$J$4158),'IN-CLASS_Lab Part C'!$J$4158,NA())</f>
        <v/>
      </c>
    </row>
    <row r="4159">
      <c r="J4159">
        <f>IF(AND(ISNUMBER('Data'!$F$4160),'Data'!$F$4160&lt;&gt;999,'Data'!$F$4160&lt;&gt;""),'Data'!$F$4160,"")</f>
        <v/>
      </c>
      <c r="Z4159" t="n">
        <v>1</v>
      </c>
      <c r="AA4159">
        <f>IF(ISNUMBER('IN-CLASS_Lab Part C'!$J$4159),'IN-CLASS_Lab Part C'!$J$4159,NA())</f>
        <v/>
      </c>
    </row>
    <row r="4160">
      <c r="J4160">
        <f>IF(AND(ISNUMBER('Data'!$F$4161),'Data'!$F$4161&lt;&gt;999,'Data'!$F$4161&lt;&gt;""),'Data'!$F$4161,"")</f>
        <v/>
      </c>
      <c r="Z4160" t="n">
        <v>1</v>
      </c>
      <c r="AA4160">
        <f>IF(ISNUMBER('IN-CLASS_Lab Part C'!$J$4160),'IN-CLASS_Lab Part C'!$J$4160,NA())</f>
        <v/>
      </c>
    </row>
    <row r="4161">
      <c r="J4161">
        <f>IF(AND(ISNUMBER('Data'!$F$4162),'Data'!$F$4162&lt;&gt;999,'Data'!$F$4162&lt;&gt;""),'Data'!$F$4162,"")</f>
        <v/>
      </c>
      <c r="Z4161" t="n">
        <v>1</v>
      </c>
      <c r="AA4161">
        <f>IF(ISNUMBER('IN-CLASS_Lab Part C'!$J$4161),'IN-CLASS_Lab Part C'!$J$4161,NA())</f>
        <v/>
      </c>
    </row>
    <row r="4162">
      <c r="J4162">
        <f>IF(AND(ISNUMBER('Data'!$F$4163),'Data'!$F$4163&lt;&gt;999,'Data'!$F$4163&lt;&gt;""),'Data'!$F$4163,"")</f>
        <v/>
      </c>
      <c r="Z4162" t="n">
        <v>1</v>
      </c>
      <c r="AA4162">
        <f>IF(ISNUMBER('IN-CLASS_Lab Part C'!$J$4162),'IN-CLASS_Lab Part C'!$J$4162,NA())</f>
        <v/>
      </c>
    </row>
    <row r="4163">
      <c r="J4163">
        <f>IF(AND(ISNUMBER('Data'!$F$4164),'Data'!$F$4164&lt;&gt;999,'Data'!$F$4164&lt;&gt;""),'Data'!$F$4164,"")</f>
        <v/>
      </c>
      <c r="Z4163" t="n">
        <v>1</v>
      </c>
      <c r="AA4163">
        <f>IF(ISNUMBER('IN-CLASS_Lab Part C'!$J$4163),'IN-CLASS_Lab Part C'!$J$4163,NA())</f>
        <v/>
      </c>
    </row>
    <row r="4164">
      <c r="J4164">
        <f>IF(AND(ISNUMBER('Data'!$F$4165),'Data'!$F$4165&lt;&gt;999,'Data'!$F$4165&lt;&gt;""),'Data'!$F$4165,"")</f>
        <v/>
      </c>
      <c r="Z4164" t="n">
        <v>1</v>
      </c>
      <c r="AA4164">
        <f>IF(ISNUMBER('IN-CLASS_Lab Part C'!$J$4164),'IN-CLASS_Lab Part C'!$J$4164,NA())</f>
        <v/>
      </c>
    </row>
    <row r="4165">
      <c r="J4165">
        <f>IF(AND(ISNUMBER('Data'!$F$4166),'Data'!$F$4166&lt;&gt;999,'Data'!$F$4166&lt;&gt;""),'Data'!$F$4166,"")</f>
        <v/>
      </c>
      <c r="Z4165" t="n">
        <v>1</v>
      </c>
      <c r="AA4165">
        <f>IF(ISNUMBER('IN-CLASS_Lab Part C'!$J$4165),'IN-CLASS_Lab Part C'!$J$4165,NA())</f>
        <v/>
      </c>
    </row>
    <row r="4166">
      <c r="J4166">
        <f>IF(AND(ISNUMBER('Data'!$F$4167),'Data'!$F$4167&lt;&gt;999,'Data'!$F$4167&lt;&gt;""),'Data'!$F$4167,"")</f>
        <v/>
      </c>
      <c r="Z4166" t="n">
        <v>1</v>
      </c>
      <c r="AA4166">
        <f>IF(ISNUMBER('IN-CLASS_Lab Part C'!$J$4166),'IN-CLASS_Lab Part C'!$J$4166,NA())</f>
        <v/>
      </c>
    </row>
    <row r="4167">
      <c r="J4167">
        <f>IF(AND(ISNUMBER('Data'!$F$4168),'Data'!$F$4168&lt;&gt;999,'Data'!$F$4168&lt;&gt;""),'Data'!$F$4168,"")</f>
        <v/>
      </c>
      <c r="Z4167" t="n">
        <v>1</v>
      </c>
      <c r="AA4167">
        <f>IF(ISNUMBER('IN-CLASS_Lab Part C'!$J$4167),'IN-CLASS_Lab Part C'!$J$4167,NA())</f>
        <v/>
      </c>
    </row>
    <row r="4168">
      <c r="J4168">
        <f>IF(AND(ISNUMBER('Data'!$F$4169),'Data'!$F$4169&lt;&gt;999,'Data'!$F$4169&lt;&gt;""),'Data'!$F$4169,"")</f>
        <v/>
      </c>
      <c r="Z4168" t="n">
        <v>1</v>
      </c>
      <c r="AA4168">
        <f>IF(ISNUMBER('IN-CLASS_Lab Part C'!$J$4168),'IN-CLASS_Lab Part C'!$J$4168,NA())</f>
        <v/>
      </c>
    </row>
    <row r="4169">
      <c r="J4169">
        <f>IF(AND(ISNUMBER('Data'!$F$4170),'Data'!$F$4170&lt;&gt;999,'Data'!$F$4170&lt;&gt;""),'Data'!$F$4170,"")</f>
        <v/>
      </c>
      <c r="Z4169" t="n">
        <v>1</v>
      </c>
      <c r="AA4169">
        <f>IF(ISNUMBER('IN-CLASS_Lab Part C'!$J$4169),'IN-CLASS_Lab Part C'!$J$4169,NA())</f>
        <v/>
      </c>
    </row>
    <row r="4170">
      <c r="J4170">
        <f>IF(AND(ISNUMBER('Data'!$F$4171),'Data'!$F$4171&lt;&gt;999,'Data'!$F$4171&lt;&gt;""),'Data'!$F$4171,"")</f>
        <v/>
      </c>
      <c r="Z4170" t="n">
        <v>1</v>
      </c>
      <c r="AA4170">
        <f>IF(ISNUMBER('IN-CLASS_Lab Part C'!$J$4170),'IN-CLASS_Lab Part C'!$J$4170,NA())</f>
        <v/>
      </c>
    </row>
    <row r="4171">
      <c r="J4171">
        <f>IF(AND(ISNUMBER('Data'!$F$4172),'Data'!$F$4172&lt;&gt;999,'Data'!$F$4172&lt;&gt;""),'Data'!$F$4172,"")</f>
        <v/>
      </c>
      <c r="Z4171" t="n">
        <v>1</v>
      </c>
      <c r="AA4171">
        <f>IF(ISNUMBER('IN-CLASS_Lab Part C'!$J$4171),'IN-CLASS_Lab Part C'!$J$4171,NA())</f>
        <v/>
      </c>
    </row>
    <row r="4172">
      <c r="J4172">
        <f>IF(AND(ISNUMBER('Data'!$F$4173),'Data'!$F$4173&lt;&gt;999,'Data'!$F$4173&lt;&gt;""),'Data'!$F$4173,"")</f>
        <v/>
      </c>
      <c r="Z4172" t="n">
        <v>1</v>
      </c>
      <c r="AA4172">
        <f>IF(ISNUMBER('IN-CLASS_Lab Part C'!$J$4172),'IN-CLASS_Lab Part C'!$J$4172,NA())</f>
        <v/>
      </c>
    </row>
    <row r="4173">
      <c r="J4173">
        <f>IF(AND(ISNUMBER('Data'!$F$4174),'Data'!$F$4174&lt;&gt;999,'Data'!$F$4174&lt;&gt;""),'Data'!$F$4174,"")</f>
        <v/>
      </c>
      <c r="Z4173" t="n">
        <v>1</v>
      </c>
      <c r="AA4173">
        <f>IF(ISNUMBER('IN-CLASS_Lab Part C'!$J$4173),'IN-CLASS_Lab Part C'!$J$4173,NA())</f>
        <v/>
      </c>
    </row>
    <row r="4174">
      <c r="J4174">
        <f>IF(AND(ISNUMBER('Data'!$F$4175),'Data'!$F$4175&lt;&gt;999,'Data'!$F$4175&lt;&gt;""),'Data'!$F$4175,"")</f>
        <v/>
      </c>
      <c r="Z4174" t="n">
        <v>1</v>
      </c>
      <c r="AA4174">
        <f>IF(ISNUMBER('IN-CLASS_Lab Part C'!$J$4174),'IN-CLASS_Lab Part C'!$J$4174,NA())</f>
        <v/>
      </c>
    </row>
    <row r="4175">
      <c r="J4175">
        <f>IF(AND(ISNUMBER('Data'!$F$4176),'Data'!$F$4176&lt;&gt;999,'Data'!$F$4176&lt;&gt;""),'Data'!$F$4176,"")</f>
        <v/>
      </c>
      <c r="Z4175" t="n">
        <v>1</v>
      </c>
      <c r="AA4175">
        <f>IF(ISNUMBER('IN-CLASS_Lab Part C'!$J$4175),'IN-CLASS_Lab Part C'!$J$4175,NA())</f>
        <v/>
      </c>
    </row>
    <row r="4176">
      <c r="J4176">
        <f>IF(AND(ISNUMBER('Data'!$F$4177),'Data'!$F$4177&lt;&gt;999,'Data'!$F$4177&lt;&gt;""),'Data'!$F$4177,"")</f>
        <v/>
      </c>
      <c r="Z4176" t="n">
        <v>1</v>
      </c>
      <c r="AA4176">
        <f>IF(ISNUMBER('IN-CLASS_Lab Part C'!$J$4176),'IN-CLASS_Lab Part C'!$J$4176,NA())</f>
        <v/>
      </c>
    </row>
    <row r="4177">
      <c r="J4177">
        <f>IF(AND(ISNUMBER('Data'!$F$4178),'Data'!$F$4178&lt;&gt;999,'Data'!$F$4178&lt;&gt;""),'Data'!$F$4178,"")</f>
        <v/>
      </c>
      <c r="Z4177" t="n">
        <v>1</v>
      </c>
      <c r="AA4177">
        <f>IF(ISNUMBER('IN-CLASS_Lab Part C'!$J$4177),'IN-CLASS_Lab Part C'!$J$4177,NA())</f>
        <v/>
      </c>
    </row>
    <row r="4178">
      <c r="J4178">
        <f>IF(AND(ISNUMBER('Data'!$F$4179),'Data'!$F$4179&lt;&gt;999,'Data'!$F$4179&lt;&gt;""),'Data'!$F$4179,"")</f>
        <v/>
      </c>
      <c r="Z4178" t="n">
        <v>1</v>
      </c>
      <c r="AA4178">
        <f>IF(ISNUMBER('IN-CLASS_Lab Part C'!$J$4178),'IN-CLASS_Lab Part C'!$J$4178,NA())</f>
        <v/>
      </c>
    </row>
    <row r="4179">
      <c r="J4179">
        <f>IF(AND(ISNUMBER('Data'!$F$4180),'Data'!$F$4180&lt;&gt;999,'Data'!$F$4180&lt;&gt;""),'Data'!$F$4180,"")</f>
        <v/>
      </c>
      <c r="Z4179" t="n">
        <v>1</v>
      </c>
      <c r="AA4179">
        <f>IF(ISNUMBER('IN-CLASS_Lab Part C'!$J$4179),'IN-CLASS_Lab Part C'!$J$4179,NA())</f>
        <v/>
      </c>
    </row>
    <row r="4180">
      <c r="J4180">
        <f>IF(AND(ISNUMBER('Data'!$F$4181),'Data'!$F$4181&lt;&gt;999,'Data'!$F$4181&lt;&gt;""),'Data'!$F$4181,"")</f>
        <v/>
      </c>
      <c r="Z4180" t="n">
        <v>1</v>
      </c>
      <c r="AA4180">
        <f>IF(ISNUMBER('IN-CLASS_Lab Part C'!$J$4180),'IN-CLASS_Lab Part C'!$J$4180,NA())</f>
        <v/>
      </c>
    </row>
    <row r="4181">
      <c r="J4181">
        <f>IF(AND(ISNUMBER('Data'!$F$4182),'Data'!$F$4182&lt;&gt;999,'Data'!$F$4182&lt;&gt;""),'Data'!$F$4182,"")</f>
        <v/>
      </c>
      <c r="Z4181" t="n">
        <v>1</v>
      </c>
      <c r="AA4181">
        <f>IF(ISNUMBER('IN-CLASS_Lab Part C'!$J$4181),'IN-CLASS_Lab Part C'!$J$4181,NA())</f>
        <v/>
      </c>
    </row>
    <row r="4182">
      <c r="J4182">
        <f>IF(AND(ISNUMBER('Data'!$F$4183),'Data'!$F$4183&lt;&gt;999,'Data'!$F$4183&lt;&gt;""),'Data'!$F$4183,"")</f>
        <v/>
      </c>
      <c r="Z4182" t="n">
        <v>1</v>
      </c>
      <c r="AA4182">
        <f>IF(ISNUMBER('IN-CLASS_Lab Part C'!$J$4182),'IN-CLASS_Lab Part C'!$J$4182,NA())</f>
        <v/>
      </c>
    </row>
    <row r="4183">
      <c r="J4183">
        <f>IF(AND(ISNUMBER('Data'!$F$4184),'Data'!$F$4184&lt;&gt;999,'Data'!$F$4184&lt;&gt;""),'Data'!$F$4184,"")</f>
        <v/>
      </c>
      <c r="Z4183" t="n">
        <v>1</v>
      </c>
      <c r="AA4183">
        <f>IF(ISNUMBER('IN-CLASS_Lab Part C'!$J$4183),'IN-CLASS_Lab Part C'!$J$4183,NA())</f>
        <v/>
      </c>
    </row>
    <row r="4184">
      <c r="J4184">
        <f>IF(AND(ISNUMBER('Data'!$F$4185),'Data'!$F$4185&lt;&gt;999,'Data'!$F$4185&lt;&gt;""),'Data'!$F$4185,"")</f>
        <v/>
      </c>
      <c r="Z4184" t="n">
        <v>1</v>
      </c>
      <c r="AA4184">
        <f>IF(ISNUMBER('IN-CLASS_Lab Part C'!$J$4184),'IN-CLASS_Lab Part C'!$J$4184,NA())</f>
        <v/>
      </c>
    </row>
    <row r="4185">
      <c r="J4185">
        <f>IF(AND(ISNUMBER('Data'!$F$4186),'Data'!$F$4186&lt;&gt;999,'Data'!$F$4186&lt;&gt;""),'Data'!$F$4186,"")</f>
        <v/>
      </c>
      <c r="Z4185" t="n">
        <v>1</v>
      </c>
      <c r="AA4185">
        <f>IF(ISNUMBER('IN-CLASS_Lab Part C'!$J$4185),'IN-CLASS_Lab Part C'!$J$4185,NA())</f>
        <v/>
      </c>
    </row>
    <row r="4186">
      <c r="J4186">
        <f>IF(AND(ISNUMBER('Data'!$F$4187),'Data'!$F$4187&lt;&gt;999,'Data'!$F$4187&lt;&gt;""),'Data'!$F$4187,"")</f>
        <v/>
      </c>
      <c r="Z4186" t="n">
        <v>1</v>
      </c>
      <c r="AA4186">
        <f>IF(ISNUMBER('IN-CLASS_Lab Part C'!$J$4186),'IN-CLASS_Lab Part C'!$J$4186,NA())</f>
        <v/>
      </c>
    </row>
    <row r="4187">
      <c r="J4187">
        <f>IF(AND(ISNUMBER('Data'!$F$4188),'Data'!$F$4188&lt;&gt;999,'Data'!$F$4188&lt;&gt;""),'Data'!$F$4188,"")</f>
        <v/>
      </c>
      <c r="Z4187" t="n">
        <v>1</v>
      </c>
      <c r="AA4187">
        <f>IF(ISNUMBER('IN-CLASS_Lab Part C'!$J$4187),'IN-CLASS_Lab Part C'!$J$4187,NA())</f>
        <v/>
      </c>
    </row>
    <row r="4188">
      <c r="J4188">
        <f>IF(AND(ISNUMBER('Data'!$F$4189),'Data'!$F$4189&lt;&gt;999,'Data'!$F$4189&lt;&gt;""),'Data'!$F$4189,"")</f>
        <v/>
      </c>
      <c r="Z4188" t="n">
        <v>1</v>
      </c>
      <c r="AA4188">
        <f>IF(ISNUMBER('IN-CLASS_Lab Part C'!$J$4188),'IN-CLASS_Lab Part C'!$J$4188,NA())</f>
        <v/>
      </c>
    </row>
    <row r="4189">
      <c r="J4189">
        <f>IF(AND(ISNUMBER('Data'!$F$4190),'Data'!$F$4190&lt;&gt;999,'Data'!$F$4190&lt;&gt;""),'Data'!$F$4190,"")</f>
        <v/>
      </c>
      <c r="Z4189" t="n">
        <v>1</v>
      </c>
      <c r="AA4189">
        <f>IF(ISNUMBER('IN-CLASS_Lab Part C'!$J$4189),'IN-CLASS_Lab Part C'!$J$4189,NA())</f>
        <v/>
      </c>
    </row>
    <row r="4190">
      <c r="J4190">
        <f>IF(AND(ISNUMBER('Data'!$F$4191),'Data'!$F$4191&lt;&gt;999,'Data'!$F$4191&lt;&gt;""),'Data'!$F$4191,"")</f>
        <v/>
      </c>
      <c r="Z4190" t="n">
        <v>1</v>
      </c>
      <c r="AA4190">
        <f>IF(ISNUMBER('IN-CLASS_Lab Part C'!$J$4190),'IN-CLASS_Lab Part C'!$J$4190,NA())</f>
        <v/>
      </c>
    </row>
    <row r="4191">
      <c r="J4191">
        <f>IF(AND(ISNUMBER('Data'!$F$4192),'Data'!$F$4192&lt;&gt;999,'Data'!$F$4192&lt;&gt;""),'Data'!$F$4192,"")</f>
        <v/>
      </c>
      <c r="Z4191" t="n">
        <v>1</v>
      </c>
      <c r="AA4191">
        <f>IF(ISNUMBER('IN-CLASS_Lab Part C'!$J$4191),'IN-CLASS_Lab Part C'!$J$4191,NA())</f>
        <v/>
      </c>
    </row>
    <row r="4192">
      <c r="J4192">
        <f>IF(AND(ISNUMBER('Data'!$F$4193),'Data'!$F$4193&lt;&gt;999,'Data'!$F$4193&lt;&gt;""),'Data'!$F$4193,"")</f>
        <v/>
      </c>
      <c r="Z4192" t="n">
        <v>1</v>
      </c>
      <c r="AA4192">
        <f>IF(ISNUMBER('IN-CLASS_Lab Part C'!$J$4192),'IN-CLASS_Lab Part C'!$J$4192,NA())</f>
        <v/>
      </c>
    </row>
    <row r="4193">
      <c r="J4193">
        <f>IF(AND(ISNUMBER('Data'!$F$4194),'Data'!$F$4194&lt;&gt;999,'Data'!$F$4194&lt;&gt;""),'Data'!$F$4194,"")</f>
        <v/>
      </c>
      <c r="Z4193" t="n">
        <v>1</v>
      </c>
      <c r="AA4193">
        <f>IF(ISNUMBER('IN-CLASS_Lab Part C'!$J$4193),'IN-CLASS_Lab Part C'!$J$4193,NA())</f>
        <v/>
      </c>
    </row>
    <row r="4194">
      <c r="J4194">
        <f>IF(AND(ISNUMBER('Data'!$F$4195),'Data'!$F$4195&lt;&gt;999,'Data'!$F$4195&lt;&gt;""),'Data'!$F$4195,"")</f>
        <v/>
      </c>
      <c r="Z4194" t="n">
        <v>1</v>
      </c>
      <c r="AA4194">
        <f>IF(ISNUMBER('IN-CLASS_Lab Part C'!$J$4194),'IN-CLASS_Lab Part C'!$J$4194,NA())</f>
        <v/>
      </c>
    </row>
    <row r="4195">
      <c r="J4195">
        <f>IF(AND(ISNUMBER('Data'!$F$4196),'Data'!$F$4196&lt;&gt;999,'Data'!$F$4196&lt;&gt;""),'Data'!$F$4196,"")</f>
        <v/>
      </c>
      <c r="Z4195" t="n">
        <v>1</v>
      </c>
      <c r="AA4195">
        <f>IF(ISNUMBER('IN-CLASS_Lab Part C'!$J$4195),'IN-CLASS_Lab Part C'!$J$4195,NA())</f>
        <v/>
      </c>
    </row>
    <row r="4196">
      <c r="J4196">
        <f>IF(AND(ISNUMBER('Data'!$F$4197),'Data'!$F$4197&lt;&gt;999,'Data'!$F$4197&lt;&gt;""),'Data'!$F$4197,"")</f>
        <v/>
      </c>
      <c r="Z4196" t="n">
        <v>1</v>
      </c>
      <c r="AA4196">
        <f>IF(ISNUMBER('IN-CLASS_Lab Part C'!$J$4196),'IN-CLASS_Lab Part C'!$J$4196,NA())</f>
        <v/>
      </c>
    </row>
    <row r="4197">
      <c r="J4197">
        <f>IF(AND(ISNUMBER('Data'!$F$4198),'Data'!$F$4198&lt;&gt;999,'Data'!$F$4198&lt;&gt;""),'Data'!$F$4198,"")</f>
        <v/>
      </c>
      <c r="Z4197" t="n">
        <v>1</v>
      </c>
      <c r="AA4197">
        <f>IF(ISNUMBER('IN-CLASS_Lab Part C'!$J$4197),'IN-CLASS_Lab Part C'!$J$4197,NA())</f>
        <v/>
      </c>
    </row>
    <row r="4198">
      <c r="J4198">
        <f>IF(AND(ISNUMBER('Data'!$F$4199),'Data'!$F$4199&lt;&gt;999,'Data'!$F$4199&lt;&gt;""),'Data'!$F$4199,"")</f>
        <v/>
      </c>
      <c r="Z4198" t="n">
        <v>1</v>
      </c>
      <c r="AA4198">
        <f>IF(ISNUMBER('IN-CLASS_Lab Part C'!$J$4198),'IN-CLASS_Lab Part C'!$J$4198,NA())</f>
        <v/>
      </c>
    </row>
    <row r="4199">
      <c r="J4199">
        <f>IF(AND(ISNUMBER('Data'!$F$4200),'Data'!$F$4200&lt;&gt;999,'Data'!$F$4200&lt;&gt;""),'Data'!$F$4200,"")</f>
        <v/>
      </c>
      <c r="Z4199" t="n">
        <v>1</v>
      </c>
      <c r="AA4199">
        <f>IF(ISNUMBER('IN-CLASS_Lab Part C'!$J$4199),'IN-CLASS_Lab Part C'!$J$4199,NA())</f>
        <v/>
      </c>
    </row>
    <row r="4200">
      <c r="J4200">
        <f>IF(AND(ISNUMBER('Data'!$F$4201),'Data'!$F$4201&lt;&gt;999,'Data'!$F$4201&lt;&gt;""),'Data'!$F$4201,"")</f>
        <v/>
      </c>
      <c r="Z4200" t="n">
        <v>1</v>
      </c>
      <c r="AA4200">
        <f>IF(ISNUMBER('IN-CLASS_Lab Part C'!$J$4200),'IN-CLASS_Lab Part C'!$J$4200,NA())</f>
        <v/>
      </c>
    </row>
    <row r="4201">
      <c r="J4201">
        <f>IF(AND(ISNUMBER('Data'!$F$4202),'Data'!$F$4202&lt;&gt;999,'Data'!$F$4202&lt;&gt;""),'Data'!$F$4202,"")</f>
        <v/>
      </c>
      <c r="Z4201" t="n">
        <v>1</v>
      </c>
      <c r="AA4201">
        <f>IF(ISNUMBER('IN-CLASS_Lab Part C'!$J$4201),'IN-CLASS_Lab Part C'!$J$4201,NA())</f>
        <v/>
      </c>
    </row>
    <row r="4202">
      <c r="J4202">
        <f>IF(AND(ISNUMBER('Data'!$F$4203),'Data'!$F$4203&lt;&gt;999,'Data'!$F$4203&lt;&gt;""),'Data'!$F$4203,"")</f>
        <v/>
      </c>
      <c r="Z4202" t="n">
        <v>1</v>
      </c>
      <c r="AA4202">
        <f>IF(ISNUMBER('IN-CLASS_Lab Part C'!$J$4202),'IN-CLASS_Lab Part C'!$J$4202,NA())</f>
        <v/>
      </c>
    </row>
    <row r="4203">
      <c r="J4203">
        <f>IF(AND(ISNUMBER('Data'!$F$4204),'Data'!$F$4204&lt;&gt;999,'Data'!$F$4204&lt;&gt;""),'Data'!$F$4204,"")</f>
        <v/>
      </c>
      <c r="Z4203" t="n">
        <v>1</v>
      </c>
      <c r="AA4203">
        <f>IF(ISNUMBER('IN-CLASS_Lab Part C'!$J$4203),'IN-CLASS_Lab Part C'!$J$4203,NA())</f>
        <v/>
      </c>
    </row>
    <row r="4204">
      <c r="J4204">
        <f>IF(AND(ISNUMBER('Data'!$F$4205),'Data'!$F$4205&lt;&gt;999,'Data'!$F$4205&lt;&gt;""),'Data'!$F$4205,"")</f>
        <v/>
      </c>
      <c r="Z4204" t="n">
        <v>1</v>
      </c>
      <c r="AA4204">
        <f>IF(ISNUMBER('IN-CLASS_Lab Part C'!$J$4204),'IN-CLASS_Lab Part C'!$J$4204,NA())</f>
        <v/>
      </c>
    </row>
    <row r="4205">
      <c r="J4205">
        <f>IF(AND(ISNUMBER('Data'!$F$4206),'Data'!$F$4206&lt;&gt;999,'Data'!$F$4206&lt;&gt;""),'Data'!$F$4206,"")</f>
        <v/>
      </c>
      <c r="Z4205" t="n">
        <v>1</v>
      </c>
      <c r="AA4205">
        <f>IF(ISNUMBER('IN-CLASS_Lab Part C'!$J$4205),'IN-CLASS_Lab Part C'!$J$4205,NA())</f>
        <v/>
      </c>
    </row>
    <row r="4206">
      <c r="J4206">
        <f>IF(AND(ISNUMBER('Data'!$F$4207),'Data'!$F$4207&lt;&gt;999,'Data'!$F$4207&lt;&gt;""),'Data'!$F$4207,"")</f>
        <v/>
      </c>
      <c r="Z4206" t="n">
        <v>1</v>
      </c>
      <c r="AA4206">
        <f>IF(ISNUMBER('IN-CLASS_Lab Part C'!$J$4206),'IN-CLASS_Lab Part C'!$J$4206,NA())</f>
        <v/>
      </c>
    </row>
    <row r="4207">
      <c r="J4207">
        <f>IF(AND(ISNUMBER('Data'!$F$4208),'Data'!$F$4208&lt;&gt;999,'Data'!$F$4208&lt;&gt;""),'Data'!$F$4208,"")</f>
        <v/>
      </c>
      <c r="Z4207" t="n">
        <v>1</v>
      </c>
      <c r="AA4207">
        <f>IF(ISNUMBER('IN-CLASS_Lab Part C'!$J$4207),'IN-CLASS_Lab Part C'!$J$4207,NA())</f>
        <v/>
      </c>
    </row>
    <row r="4208">
      <c r="J4208">
        <f>IF(AND(ISNUMBER('Data'!$F$4209),'Data'!$F$4209&lt;&gt;999,'Data'!$F$4209&lt;&gt;""),'Data'!$F$4209,"")</f>
        <v/>
      </c>
      <c r="Z4208" t="n">
        <v>1</v>
      </c>
      <c r="AA4208">
        <f>IF(ISNUMBER('IN-CLASS_Lab Part C'!$J$4208),'IN-CLASS_Lab Part C'!$J$4208,NA())</f>
        <v/>
      </c>
    </row>
    <row r="4209">
      <c r="J4209">
        <f>IF(AND(ISNUMBER('Data'!$F$4210),'Data'!$F$4210&lt;&gt;999,'Data'!$F$4210&lt;&gt;""),'Data'!$F$4210,"")</f>
        <v/>
      </c>
      <c r="Z4209" t="n">
        <v>1</v>
      </c>
      <c r="AA4209">
        <f>IF(ISNUMBER('IN-CLASS_Lab Part C'!$J$4209),'IN-CLASS_Lab Part C'!$J$4209,NA())</f>
        <v/>
      </c>
    </row>
    <row r="4210">
      <c r="J4210">
        <f>IF(AND(ISNUMBER('Data'!$F$4211),'Data'!$F$4211&lt;&gt;999,'Data'!$F$4211&lt;&gt;""),'Data'!$F$4211,"")</f>
        <v/>
      </c>
      <c r="Z4210" t="n">
        <v>1</v>
      </c>
      <c r="AA4210">
        <f>IF(ISNUMBER('IN-CLASS_Lab Part C'!$J$4210),'IN-CLASS_Lab Part C'!$J$4210,NA())</f>
        <v/>
      </c>
    </row>
    <row r="4211">
      <c r="J4211">
        <f>IF(AND(ISNUMBER('Data'!$F$4212),'Data'!$F$4212&lt;&gt;999,'Data'!$F$4212&lt;&gt;""),'Data'!$F$4212,"")</f>
        <v/>
      </c>
      <c r="Z4211" t="n">
        <v>1</v>
      </c>
      <c r="AA4211">
        <f>IF(ISNUMBER('IN-CLASS_Lab Part C'!$J$4211),'IN-CLASS_Lab Part C'!$J$4211,NA())</f>
        <v/>
      </c>
    </row>
    <row r="4212">
      <c r="J4212">
        <f>IF(AND(ISNUMBER('Data'!$F$4213),'Data'!$F$4213&lt;&gt;999,'Data'!$F$4213&lt;&gt;""),'Data'!$F$4213,"")</f>
        <v/>
      </c>
      <c r="Z4212" t="n">
        <v>1</v>
      </c>
      <c r="AA4212">
        <f>IF(ISNUMBER('IN-CLASS_Lab Part C'!$J$4212),'IN-CLASS_Lab Part C'!$J$4212,NA())</f>
        <v/>
      </c>
    </row>
    <row r="4213">
      <c r="J4213">
        <f>IF(AND(ISNUMBER('Data'!$F$4214),'Data'!$F$4214&lt;&gt;999,'Data'!$F$4214&lt;&gt;""),'Data'!$F$4214,"")</f>
        <v/>
      </c>
      <c r="Z4213" t="n">
        <v>1</v>
      </c>
      <c r="AA4213">
        <f>IF(ISNUMBER('IN-CLASS_Lab Part C'!$J$4213),'IN-CLASS_Lab Part C'!$J$4213,NA())</f>
        <v/>
      </c>
    </row>
    <row r="4214">
      <c r="J4214">
        <f>IF(AND(ISNUMBER('Data'!$F$4215),'Data'!$F$4215&lt;&gt;999,'Data'!$F$4215&lt;&gt;""),'Data'!$F$4215,"")</f>
        <v/>
      </c>
      <c r="Z4214" t="n">
        <v>1</v>
      </c>
      <c r="AA4214">
        <f>IF(ISNUMBER('IN-CLASS_Lab Part C'!$J$4214),'IN-CLASS_Lab Part C'!$J$4214,NA())</f>
        <v/>
      </c>
    </row>
    <row r="4215">
      <c r="J4215">
        <f>IF(AND(ISNUMBER('Data'!$F$4216),'Data'!$F$4216&lt;&gt;999,'Data'!$F$4216&lt;&gt;""),'Data'!$F$4216,"")</f>
        <v/>
      </c>
      <c r="Z4215" t="n">
        <v>1</v>
      </c>
      <c r="AA4215">
        <f>IF(ISNUMBER('IN-CLASS_Lab Part C'!$J$4215),'IN-CLASS_Lab Part C'!$J$4215,NA())</f>
        <v/>
      </c>
    </row>
    <row r="4216">
      <c r="J4216">
        <f>IF(AND(ISNUMBER('Data'!$F$4217),'Data'!$F$4217&lt;&gt;999,'Data'!$F$4217&lt;&gt;""),'Data'!$F$4217,"")</f>
        <v/>
      </c>
      <c r="Z4216" t="n">
        <v>1</v>
      </c>
      <c r="AA4216">
        <f>IF(ISNUMBER('IN-CLASS_Lab Part C'!$J$4216),'IN-CLASS_Lab Part C'!$J$4216,NA())</f>
        <v/>
      </c>
    </row>
    <row r="4217">
      <c r="J4217">
        <f>IF(AND(ISNUMBER('Data'!$F$4218),'Data'!$F$4218&lt;&gt;999,'Data'!$F$4218&lt;&gt;""),'Data'!$F$4218,"")</f>
        <v/>
      </c>
      <c r="Z4217" t="n">
        <v>1</v>
      </c>
      <c r="AA4217">
        <f>IF(ISNUMBER('IN-CLASS_Lab Part C'!$J$4217),'IN-CLASS_Lab Part C'!$J$4217,NA())</f>
        <v/>
      </c>
    </row>
    <row r="4218">
      <c r="J4218">
        <f>IF(AND(ISNUMBER('Data'!$F$4219),'Data'!$F$4219&lt;&gt;999,'Data'!$F$4219&lt;&gt;""),'Data'!$F$4219,"")</f>
        <v/>
      </c>
      <c r="Z4218" t="n">
        <v>1</v>
      </c>
      <c r="AA4218">
        <f>IF(ISNUMBER('IN-CLASS_Lab Part C'!$J$4218),'IN-CLASS_Lab Part C'!$J$4218,NA())</f>
        <v/>
      </c>
    </row>
    <row r="4219">
      <c r="J4219">
        <f>IF(AND(ISNUMBER('Data'!$F$4220),'Data'!$F$4220&lt;&gt;999,'Data'!$F$4220&lt;&gt;""),'Data'!$F$4220,"")</f>
        <v/>
      </c>
      <c r="Z4219" t="n">
        <v>1</v>
      </c>
      <c r="AA4219">
        <f>IF(ISNUMBER('IN-CLASS_Lab Part C'!$J$4219),'IN-CLASS_Lab Part C'!$J$4219,NA())</f>
        <v/>
      </c>
    </row>
    <row r="4220">
      <c r="J4220">
        <f>IF(AND(ISNUMBER('Data'!$F$4221),'Data'!$F$4221&lt;&gt;999,'Data'!$F$4221&lt;&gt;""),'Data'!$F$4221,"")</f>
        <v/>
      </c>
      <c r="Z4220" t="n">
        <v>1</v>
      </c>
      <c r="AA4220">
        <f>IF(ISNUMBER('IN-CLASS_Lab Part C'!$J$4220),'IN-CLASS_Lab Part C'!$J$4220,NA())</f>
        <v/>
      </c>
    </row>
    <row r="4221">
      <c r="J4221">
        <f>IF(AND(ISNUMBER('Data'!$F$4222),'Data'!$F$4222&lt;&gt;999,'Data'!$F$4222&lt;&gt;""),'Data'!$F$4222,"")</f>
        <v/>
      </c>
      <c r="Z4221" t="n">
        <v>1</v>
      </c>
      <c r="AA4221">
        <f>IF(ISNUMBER('IN-CLASS_Lab Part C'!$J$4221),'IN-CLASS_Lab Part C'!$J$4221,NA())</f>
        <v/>
      </c>
    </row>
    <row r="4222">
      <c r="J4222">
        <f>IF(AND(ISNUMBER('Data'!$F$4223),'Data'!$F$4223&lt;&gt;999,'Data'!$F$4223&lt;&gt;""),'Data'!$F$4223,"")</f>
        <v/>
      </c>
      <c r="Z4222" t="n">
        <v>1</v>
      </c>
      <c r="AA4222">
        <f>IF(ISNUMBER('IN-CLASS_Lab Part C'!$J$4222),'IN-CLASS_Lab Part C'!$J$4222,NA())</f>
        <v/>
      </c>
    </row>
    <row r="4223">
      <c r="J4223">
        <f>IF(AND(ISNUMBER('Data'!$F$4224),'Data'!$F$4224&lt;&gt;999,'Data'!$F$4224&lt;&gt;""),'Data'!$F$4224,"")</f>
        <v/>
      </c>
      <c r="Z4223" t="n">
        <v>1</v>
      </c>
      <c r="AA4223">
        <f>IF(ISNUMBER('IN-CLASS_Lab Part C'!$J$4223),'IN-CLASS_Lab Part C'!$J$4223,NA())</f>
        <v/>
      </c>
    </row>
    <row r="4224">
      <c r="J4224">
        <f>IF(AND(ISNUMBER('Data'!$F$4225),'Data'!$F$4225&lt;&gt;999,'Data'!$F$4225&lt;&gt;""),'Data'!$F$4225,"")</f>
        <v/>
      </c>
      <c r="Z4224" t="n">
        <v>1</v>
      </c>
      <c r="AA4224">
        <f>IF(ISNUMBER('IN-CLASS_Lab Part C'!$J$4224),'IN-CLASS_Lab Part C'!$J$4224,NA())</f>
        <v/>
      </c>
    </row>
    <row r="4225">
      <c r="J4225">
        <f>IF(AND(ISNUMBER('Data'!$F$4226),'Data'!$F$4226&lt;&gt;999,'Data'!$F$4226&lt;&gt;""),'Data'!$F$4226,"")</f>
        <v/>
      </c>
      <c r="Z4225" t="n">
        <v>1</v>
      </c>
      <c r="AA4225">
        <f>IF(ISNUMBER('IN-CLASS_Lab Part C'!$J$4225),'IN-CLASS_Lab Part C'!$J$4225,NA())</f>
        <v/>
      </c>
    </row>
    <row r="4226">
      <c r="J4226">
        <f>IF(AND(ISNUMBER('Data'!$F$4227),'Data'!$F$4227&lt;&gt;999,'Data'!$F$4227&lt;&gt;""),'Data'!$F$4227,"")</f>
        <v/>
      </c>
      <c r="Z4226" t="n">
        <v>1</v>
      </c>
      <c r="AA4226">
        <f>IF(ISNUMBER('IN-CLASS_Lab Part C'!$J$4226),'IN-CLASS_Lab Part C'!$J$4226,NA())</f>
        <v/>
      </c>
    </row>
    <row r="4227">
      <c r="J4227">
        <f>IF(AND(ISNUMBER('Data'!$F$4228),'Data'!$F$4228&lt;&gt;999,'Data'!$F$4228&lt;&gt;""),'Data'!$F$4228,"")</f>
        <v/>
      </c>
      <c r="Z4227" t="n">
        <v>1</v>
      </c>
      <c r="AA4227">
        <f>IF(ISNUMBER('IN-CLASS_Lab Part C'!$J$4227),'IN-CLASS_Lab Part C'!$J$4227,NA())</f>
        <v/>
      </c>
    </row>
    <row r="4228">
      <c r="J4228">
        <f>IF(AND(ISNUMBER('Data'!$F$4229),'Data'!$F$4229&lt;&gt;999,'Data'!$F$4229&lt;&gt;""),'Data'!$F$4229,"")</f>
        <v/>
      </c>
      <c r="Z4228" t="n">
        <v>1</v>
      </c>
      <c r="AA4228">
        <f>IF(ISNUMBER('IN-CLASS_Lab Part C'!$J$4228),'IN-CLASS_Lab Part C'!$J$4228,NA())</f>
        <v/>
      </c>
    </row>
    <row r="4229">
      <c r="J4229">
        <f>IF(AND(ISNUMBER('Data'!$F$4230),'Data'!$F$4230&lt;&gt;999,'Data'!$F$4230&lt;&gt;""),'Data'!$F$4230,"")</f>
        <v/>
      </c>
      <c r="Z4229" t="n">
        <v>1</v>
      </c>
      <c r="AA4229">
        <f>IF(ISNUMBER('IN-CLASS_Lab Part C'!$J$4229),'IN-CLASS_Lab Part C'!$J$4229,NA())</f>
        <v/>
      </c>
    </row>
    <row r="4230">
      <c r="J4230">
        <f>IF(AND(ISNUMBER('Data'!$F$4231),'Data'!$F$4231&lt;&gt;999,'Data'!$F$4231&lt;&gt;""),'Data'!$F$4231,"")</f>
        <v/>
      </c>
      <c r="Z4230" t="n">
        <v>1</v>
      </c>
      <c r="AA4230">
        <f>IF(ISNUMBER('IN-CLASS_Lab Part C'!$J$4230),'IN-CLASS_Lab Part C'!$J$4230,NA())</f>
        <v/>
      </c>
    </row>
    <row r="4231">
      <c r="J4231">
        <f>IF(AND(ISNUMBER('Data'!$F$4232),'Data'!$F$4232&lt;&gt;999,'Data'!$F$4232&lt;&gt;""),'Data'!$F$4232,"")</f>
        <v/>
      </c>
      <c r="Z4231" t="n">
        <v>1</v>
      </c>
      <c r="AA4231">
        <f>IF(ISNUMBER('IN-CLASS_Lab Part C'!$J$4231),'IN-CLASS_Lab Part C'!$J$4231,NA())</f>
        <v/>
      </c>
    </row>
    <row r="4232">
      <c r="J4232">
        <f>IF(AND(ISNUMBER('Data'!$F$4233),'Data'!$F$4233&lt;&gt;999,'Data'!$F$4233&lt;&gt;""),'Data'!$F$4233,"")</f>
        <v/>
      </c>
      <c r="Z4232" t="n">
        <v>1</v>
      </c>
      <c r="AA4232">
        <f>IF(ISNUMBER('IN-CLASS_Lab Part C'!$J$4232),'IN-CLASS_Lab Part C'!$J$4232,NA())</f>
        <v/>
      </c>
    </row>
    <row r="4233">
      <c r="J4233">
        <f>IF(AND(ISNUMBER('Data'!$F$4234),'Data'!$F$4234&lt;&gt;999,'Data'!$F$4234&lt;&gt;""),'Data'!$F$4234,"")</f>
        <v/>
      </c>
      <c r="Z4233" t="n">
        <v>1</v>
      </c>
      <c r="AA4233">
        <f>IF(ISNUMBER('IN-CLASS_Lab Part C'!$J$4233),'IN-CLASS_Lab Part C'!$J$4233,NA())</f>
        <v/>
      </c>
    </row>
    <row r="4234">
      <c r="J4234">
        <f>IF(AND(ISNUMBER('Data'!$F$4235),'Data'!$F$4235&lt;&gt;999,'Data'!$F$4235&lt;&gt;""),'Data'!$F$4235,"")</f>
        <v/>
      </c>
      <c r="Z4234" t="n">
        <v>1</v>
      </c>
      <c r="AA4234">
        <f>IF(ISNUMBER('IN-CLASS_Lab Part C'!$J$4234),'IN-CLASS_Lab Part C'!$J$4234,NA())</f>
        <v/>
      </c>
    </row>
    <row r="4235">
      <c r="J4235">
        <f>IF(AND(ISNUMBER('Data'!$F$4236),'Data'!$F$4236&lt;&gt;999,'Data'!$F$4236&lt;&gt;""),'Data'!$F$4236,"")</f>
        <v/>
      </c>
      <c r="Z4235" t="n">
        <v>1</v>
      </c>
      <c r="AA4235">
        <f>IF(ISNUMBER('IN-CLASS_Lab Part C'!$J$4235),'IN-CLASS_Lab Part C'!$J$4235,NA())</f>
        <v/>
      </c>
    </row>
    <row r="4236">
      <c r="J4236">
        <f>IF(AND(ISNUMBER('Data'!$F$4237),'Data'!$F$4237&lt;&gt;999,'Data'!$F$4237&lt;&gt;""),'Data'!$F$4237,"")</f>
        <v/>
      </c>
      <c r="Z4236" t="n">
        <v>1</v>
      </c>
      <c r="AA4236">
        <f>IF(ISNUMBER('IN-CLASS_Lab Part C'!$J$4236),'IN-CLASS_Lab Part C'!$J$4236,NA())</f>
        <v/>
      </c>
    </row>
    <row r="4237">
      <c r="J4237">
        <f>IF(AND(ISNUMBER('Data'!$F$4238),'Data'!$F$4238&lt;&gt;999,'Data'!$F$4238&lt;&gt;""),'Data'!$F$4238,"")</f>
        <v/>
      </c>
      <c r="Z4237" t="n">
        <v>1</v>
      </c>
      <c r="AA4237">
        <f>IF(ISNUMBER('IN-CLASS_Lab Part C'!$J$4237),'IN-CLASS_Lab Part C'!$J$4237,NA())</f>
        <v/>
      </c>
    </row>
    <row r="4238">
      <c r="J4238">
        <f>IF(AND(ISNUMBER('Data'!$F$4239),'Data'!$F$4239&lt;&gt;999,'Data'!$F$4239&lt;&gt;""),'Data'!$F$4239,"")</f>
        <v/>
      </c>
      <c r="Z4238" t="n">
        <v>1</v>
      </c>
      <c r="AA4238">
        <f>IF(ISNUMBER('IN-CLASS_Lab Part C'!$J$4238),'IN-CLASS_Lab Part C'!$J$4238,NA())</f>
        <v/>
      </c>
    </row>
    <row r="4239">
      <c r="J4239">
        <f>IF(AND(ISNUMBER('Data'!$F$4240),'Data'!$F$4240&lt;&gt;999,'Data'!$F$4240&lt;&gt;""),'Data'!$F$4240,"")</f>
        <v/>
      </c>
      <c r="Z4239" t="n">
        <v>1</v>
      </c>
      <c r="AA4239">
        <f>IF(ISNUMBER('IN-CLASS_Lab Part C'!$J$4239),'IN-CLASS_Lab Part C'!$J$4239,NA())</f>
        <v/>
      </c>
    </row>
    <row r="4240">
      <c r="J4240">
        <f>IF(AND(ISNUMBER('Data'!$F$4241),'Data'!$F$4241&lt;&gt;999,'Data'!$F$4241&lt;&gt;""),'Data'!$F$4241,"")</f>
        <v/>
      </c>
      <c r="Z4240" t="n">
        <v>1</v>
      </c>
      <c r="AA4240">
        <f>IF(ISNUMBER('IN-CLASS_Lab Part C'!$J$4240),'IN-CLASS_Lab Part C'!$J$4240,NA())</f>
        <v/>
      </c>
    </row>
    <row r="4241">
      <c r="J4241">
        <f>IF(AND(ISNUMBER('Data'!$F$4242),'Data'!$F$4242&lt;&gt;999,'Data'!$F$4242&lt;&gt;""),'Data'!$F$4242,"")</f>
        <v/>
      </c>
      <c r="Z4241" t="n">
        <v>1</v>
      </c>
      <c r="AA4241">
        <f>IF(ISNUMBER('IN-CLASS_Lab Part C'!$J$4241),'IN-CLASS_Lab Part C'!$J$4241,NA())</f>
        <v/>
      </c>
    </row>
    <row r="4242">
      <c r="J4242">
        <f>IF(AND(ISNUMBER('Data'!$F$4243),'Data'!$F$4243&lt;&gt;999,'Data'!$F$4243&lt;&gt;""),'Data'!$F$4243,"")</f>
        <v/>
      </c>
      <c r="Z4242" t="n">
        <v>1</v>
      </c>
      <c r="AA4242">
        <f>IF(ISNUMBER('IN-CLASS_Lab Part C'!$J$4242),'IN-CLASS_Lab Part C'!$J$4242,NA())</f>
        <v/>
      </c>
    </row>
    <row r="4243">
      <c r="J4243">
        <f>IF(AND(ISNUMBER('Data'!$F$4244),'Data'!$F$4244&lt;&gt;999,'Data'!$F$4244&lt;&gt;""),'Data'!$F$4244,"")</f>
        <v/>
      </c>
      <c r="Z4243" t="n">
        <v>1</v>
      </c>
      <c r="AA4243">
        <f>IF(ISNUMBER('IN-CLASS_Lab Part C'!$J$4243),'IN-CLASS_Lab Part C'!$J$4243,NA())</f>
        <v/>
      </c>
    </row>
    <row r="4244">
      <c r="J4244">
        <f>IF(AND(ISNUMBER('Data'!$F$4245),'Data'!$F$4245&lt;&gt;999,'Data'!$F$4245&lt;&gt;""),'Data'!$F$4245,"")</f>
        <v/>
      </c>
      <c r="Z4244" t="n">
        <v>1</v>
      </c>
      <c r="AA4244">
        <f>IF(ISNUMBER('IN-CLASS_Lab Part C'!$J$4244),'IN-CLASS_Lab Part C'!$J$4244,NA())</f>
        <v/>
      </c>
    </row>
    <row r="4245">
      <c r="J4245">
        <f>IF(AND(ISNUMBER('Data'!$F$4246),'Data'!$F$4246&lt;&gt;999,'Data'!$F$4246&lt;&gt;""),'Data'!$F$4246,"")</f>
        <v/>
      </c>
      <c r="Z4245" t="n">
        <v>1</v>
      </c>
      <c r="AA4245">
        <f>IF(ISNUMBER('IN-CLASS_Lab Part C'!$J$4245),'IN-CLASS_Lab Part C'!$J$4245,NA())</f>
        <v/>
      </c>
    </row>
    <row r="4246">
      <c r="J4246">
        <f>IF(AND(ISNUMBER('Data'!$F$4247),'Data'!$F$4247&lt;&gt;999,'Data'!$F$4247&lt;&gt;""),'Data'!$F$4247,"")</f>
        <v/>
      </c>
      <c r="Z4246" t="n">
        <v>1</v>
      </c>
      <c r="AA4246">
        <f>IF(ISNUMBER('IN-CLASS_Lab Part C'!$J$4246),'IN-CLASS_Lab Part C'!$J$4246,NA())</f>
        <v/>
      </c>
    </row>
    <row r="4247">
      <c r="J4247">
        <f>IF(AND(ISNUMBER('Data'!$F$4248),'Data'!$F$4248&lt;&gt;999,'Data'!$F$4248&lt;&gt;""),'Data'!$F$4248,"")</f>
        <v/>
      </c>
      <c r="Z4247" t="n">
        <v>1</v>
      </c>
      <c r="AA4247">
        <f>IF(ISNUMBER('IN-CLASS_Lab Part C'!$J$4247),'IN-CLASS_Lab Part C'!$J$4247,NA())</f>
        <v/>
      </c>
    </row>
    <row r="4248">
      <c r="J4248">
        <f>IF(AND(ISNUMBER('Data'!$F$4249),'Data'!$F$4249&lt;&gt;999,'Data'!$F$4249&lt;&gt;""),'Data'!$F$4249,"")</f>
        <v/>
      </c>
      <c r="Z4248" t="n">
        <v>1</v>
      </c>
      <c r="AA4248">
        <f>IF(ISNUMBER('IN-CLASS_Lab Part C'!$J$4248),'IN-CLASS_Lab Part C'!$J$4248,NA())</f>
        <v/>
      </c>
    </row>
    <row r="4249">
      <c r="J4249">
        <f>IF(AND(ISNUMBER('Data'!$F$4250),'Data'!$F$4250&lt;&gt;999,'Data'!$F$4250&lt;&gt;""),'Data'!$F$4250,"")</f>
        <v/>
      </c>
      <c r="Z4249" t="n">
        <v>1</v>
      </c>
      <c r="AA4249">
        <f>IF(ISNUMBER('IN-CLASS_Lab Part C'!$J$4249),'IN-CLASS_Lab Part C'!$J$4249,NA())</f>
        <v/>
      </c>
    </row>
    <row r="4250">
      <c r="J4250">
        <f>IF(AND(ISNUMBER('Data'!$F$4251),'Data'!$F$4251&lt;&gt;999,'Data'!$F$4251&lt;&gt;""),'Data'!$F$4251,"")</f>
        <v/>
      </c>
      <c r="Z4250" t="n">
        <v>1</v>
      </c>
      <c r="AA4250">
        <f>IF(ISNUMBER('IN-CLASS_Lab Part C'!$J$4250),'IN-CLASS_Lab Part C'!$J$4250,NA())</f>
        <v/>
      </c>
    </row>
    <row r="4251">
      <c r="J4251">
        <f>IF(AND(ISNUMBER('Data'!$F$4252),'Data'!$F$4252&lt;&gt;999,'Data'!$F$4252&lt;&gt;""),'Data'!$F$4252,"")</f>
        <v/>
      </c>
      <c r="Z4251" t="n">
        <v>1</v>
      </c>
      <c r="AA4251">
        <f>IF(ISNUMBER('IN-CLASS_Lab Part C'!$J$4251),'IN-CLASS_Lab Part C'!$J$4251,NA())</f>
        <v/>
      </c>
    </row>
    <row r="4252">
      <c r="J4252">
        <f>IF(AND(ISNUMBER('Data'!$F$4253),'Data'!$F$4253&lt;&gt;999,'Data'!$F$4253&lt;&gt;""),'Data'!$F$4253,"")</f>
        <v/>
      </c>
      <c r="Z4252" t="n">
        <v>1</v>
      </c>
      <c r="AA4252">
        <f>IF(ISNUMBER('IN-CLASS_Lab Part C'!$J$4252),'IN-CLASS_Lab Part C'!$J$4252,NA())</f>
        <v/>
      </c>
    </row>
    <row r="4253">
      <c r="J4253">
        <f>IF(AND(ISNUMBER('Data'!$F$4254),'Data'!$F$4254&lt;&gt;999,'Data'!$F$4254&lt;&gt;""),'Data'!$F$4254,"")</f>
        <v/>
      </c>
      <c r="Z4253" t="n">
        <v>1</v>
      </c>
      <c r="AA4253">
        <f>IF(ISNUMBER('IN-CLASS_Lab Part C'!$J$4253),'IN-CLASS_Lab Part C'!$J$4253,NA())</f>
        <v/>
      </c>
    </row>
    <row r="4254">
      <c r="J4254">
        <f>IF(AND(ISNUMBER('Data'!$F$4255),'Data'!$F$4255&lt;&gt;999,'Data'!$F$4255&lt;&gt;""),'Data'!$F$4255,"")</f>
        <v/>
      </c>
      <c r="Z4254" t="n">
        <v>1</v>
      </c>
      <c r="AA4254">
        <f>IF(ISNUMBER('IN-CLASS_Lab Part C'!$J$4254),'IN-CLASS_Lab Part C'!$J$4254,NA())</f>
        <v/>
      </c>
    </row>
    <row r="4255">
      <c r="J4255">
        <f>IF(AND(ISNUMBER('Data'!$F$4256),'Data'!$F$4256&lt;&gt;999,'Data'!$F$4256&lt;&gt;""),'Data'!$F$4256,"")</f>
        <v/>
      </c>
      <c r="Z4255" t="n">
        <v>1</v>
      </c>
      <c r="AA4255">
        <f>IF(ISNUMBER('IN-CLASS_Lab Part C'!$J$4255),'IN-CLASS_Lab Part C'!$J$4255,NA())</f>
        <v/>
      </c>
    </row>
    <row r="4256">
      <c r="J4256">
        <f>IF(AND(ISNUMBER('Data'!$F$4257),'Data'!$F$4257&lt;&gt;999,'Data'!$F$4257&lt;&gt;""),'Data'!$F$4257,"")</f>
        <v/>
      </c>
      <c r="Z4256" t="n">
        <v>1</v>
      </c>
      <c r="AA4256">
        <f>IF(ISNUMBER('IN-CLASS_Lab Part C'!$J$4256),'IN-CLASS_Lab Part C'!$J$4256,NA())</f>
        <v/>
      </c>
    </row>
    <row r="4257">
      <c r="J4257">
        <f>IF(AND(ISNUMBER('Data'!$F$4258),'Data'!$F$4258&lt;&gt;999,'Data'!$F$4258&lt;&gt;""),'Data'!$F$4258,"")</f>
        <v/>
      </c>
      <c r="Z4257" t="n">
        <v>1</v>
      </c>
      <c r="AA4257">
        <f>IF(ISNUMBER('IN-CLASS_Lab Part C'!$J$4257),'IN-CLASS_Lab Part C'!$J$4257,NA())</f>
        <v/>
      </c>
    </row>
    <row r="4258">
      <c r="J4258">
        <f>IF(AND(ISNUMBER('Data'!$F$4259),'Data'!$F$4259&lt;&gt;999,'Data'!$F$4259&lt;&gt;""),'Data'!$F$4259,"")</f>
        <v/>
      </c>
      <c r="Z4258" t="n">
        <v>1</v>
      </c>
      <c r="AA4258">
        <f>IF(ISNUMBER('IN-CLASS_Lab Part C'!$J$4258),'IN-CLASS_Lab Part C'!$J$4258,NA())</f>
        <v/>
      </c>
    </row>
    <row r="4259">
      <c r="J4259">
        <f>IF(AND(ISNUMBER('Data'!$F$4260),'Data'!$F$4260&lt;&gt;999,'Data'!$F$4260&lt;&gt;""),'Data'!$F$4260,"")</f>
        <v/>
      </c>
      <c r="Z4259" t="n">
        <v>1</v>
      </c>
      <c r="AA4259">
        <f>IF(ISNUMBER('IN-CLASS_Lab Part C'!$J$4259),'IN-CLASS_Lab Part C'!$J$4259,NA())</f>
        <v/>
      </c>
    </row>
    <row r="4260">
      <c r="J4260">
        <f>IF(AND(ISNUMBER('Data'!$F$4261),'Data'!$F$4261&lt;&gt;999,'Data'!$F$4261&lt;&gt;""),'Data'!$F$4261,"")</f>
        <v/>
      </c>
      <c r="Z4260" t="n">
        <v>1</v>
      </c>
      <c r="AA4260">
        <f>IF(ISNUMBER('IN-CLASS_Lab Part C'!$J$4260),'IN-CLASS_Lab Part C'!$J$4260,NA())</f>
        <v/>
      </c>
    </row>
    <row r="4261">
      <c r="J4261">
        <f>IF(AND(ISNUMBER('Data'!$F$4262),'Data'!$F$4262&lt;&gt;999,'Data'!$F$4262&lt;&gt;""),'Data'!$F$4262,"")</f>
        <v/>
      </c>
      <c r="Z4261" t="n">
        <v>1</v>
      </c>
      <c r="AA4261">
        <f>IF(ISNUMBER('IN-CLASS_Lab Part C'!$J$4261),'IN-CLASS_Lab Part C'!$J$4261,NA())</f>
        <v/>
      </c>
    </row>
    <row r="4262">
      <c r="J4262">
        <f>IF(AND(ISNUMBER('Data'!$F$4263),'Data'!$F$4263&lt;&gt;999,'Data'!$F$4263&lt;&gt;""),'Data'!$F$4263,"")</f>
        <v/>
      </c>
      <c r="Z4262" t="n">
        <v>1</v>
      </c>
      <c r="AA4262">
        <f>IF(ISNUMBER('IN-CLASS_Lab Part C'!$J$4262),'IN-CLASS_Lab Part C'!$J$4262,NA())</f>
        <v/>
      </c>
    </row>
    <row r="4263">
      <c r="J4263">
        <f>IF(AND(ISNUMBER('Data'!$F$4264),'Data'!$F$4264&lt;&gt;999,'Data'!$F$4264&lt;&gt;""),'Data'!$F$4264,"")</f>
        <v/>
      </c>
      <c r="Z4263" t="n">
        <v>1</v>
      </c>
      <c r="AA4263">
        <f>IF(ISNUMBER('IN-CLASS_Lab Part C'!$J$4263),'IN-CLASS_Lab Part C'!$J$4263,NA())</f>
        <v/>
      </c>
    </row>
    <row r="4264">
      <c r="J4264">
        <f>IF(AND(ISNUMBER('Data'!$F$4265),'Data'!$F$4265&lt;&gt;999,'Data'!$F$4265&lt;&gt;""),'Data'!$F$4265,"")</f>
        <v/>
      </c>
      <c r="Z4264" t="n">
        <v>1</v>
      </c>
      <c r="AA4264">
        <f>IF(ISNUMBER('IN-CLASS_Lab Part C'!$J$4264),'IN-CLASS_Lab Part C'!$J$4264,NA())</f>
        <v/>
      </c>
    </row>
    <row r="4265">
      <c r="J4265">
        <f>IF(AND(ISNUMBER('Data'!$F$4266),'Data'!$F$4266&lt;&gt;999,'Data'!$F$4266&lt;&gt;""),'Data'!$F$4266,"")</f>
        <v/>
      </c>
      <c r="Z4265" t="n">
        <v>1</v>
      </c>
      <c r="AA4265">
        <f>IF(ISNUMBER('IN-CLASS_Lab Part C'!$J$4265),'IN-CLASS_Lab Part C'!$J$4265,NA())</f>
        <v/>
      </c>
    </row>
    <row r="4266">
      <c r="J4266">
        <f>IF(AND(ISNUMBER('Data'!$F$4267),'Data'!$F$4267&lt;&gt;999,'Data'!$F$4267&lt;&gt;""),'Data'!$F$4267,"")</f>
        <v/>
      </c>
      <c r="Z4266" t="n">
        <v>1</v>
      </c>
      <c r="AA4266">
        <f>IF(ISNUMBER('IN-CLASS_Lab Part C'!$J$4266),'IN-CLASS_Lab Part C'!$J$4266,NA())</f>
        <v/>
      </c>
    </row>
    <row r="4267">
      <c r="J4267">
        <f>IF(AND(ISNUMBER('Data'!$F$4268),'Data'!$F$4268&lt;&gt;999,'Data'!$F$4268&lt;&gt;""),'Data'!$F$4268,"")</f>
        <v/>
      </c>
      <c r="Z4267" t="n">
        <v>1</v>
      </c>
      <c r="AA4267">
        <f>IF(ISNUMBER('IN-CLASS_Lab Part C'!$J$4267),'IN-CLASS_Lab Part C'!$J$4267,NA())</f>
        <v/>
      </c>
    </row>
    <row r="4268">
      <c r="J4268">
        <f>IF(AND(ISNUMBER('Data'!$F$4269),'Data'!$F$4269&lt;&gt;999,'Data'!$F$4269&lt;&gt;""),'Data'!$F$4269,"")</f>
        <v/>
      </c>
      <c r="Z4268" t="n">
        <v>1</v>
      </c>
      <c r="AA4268">
        <f>IF(ISNUMBER('IN-CLASS_Lab Part C'!$J$4268),'IN-CLASS_Lab Part C'!$J$4268,NA())</f>
        <v/>
      </c>
    </row>
    <row r="4269">
      <c r="J4269">
        <f>IF(AND(ISNUMBER('Data'!$F$4270),'Data'!$F$4270&lt;&gt;999,'Data'!$F$4270&lt;&gt;""),'Data'!$F$4270,"")</f>
        <v/>
      </c>
      <c r="Z4269" t="n">
        <v>1</v>
      </c>
      <c r="AA4269">
        <f>IF(ISNUMBER('IN-CLASS_Lab Part C'!$J$4269),'IN-CLASS_Lab Part C'!$J$4269,NA())</f>
        <v/>
      </c>
    </row>
    <row r="4270">
      <c r="J4270">
        <f>IF(AND(ISNUMBER('Data'!$F$4271),'Data'!$F$4271&lt;&gt;999,'Data'!$F$4271&lt;&gt;""),'Data'!$F$4271,"")</f>
        <v/>
      </c>
      <c r="Z4270" t="n">
        <v>1</v>
      </c>
      <c r="AA4270">
        <f>IF(ISNUMBER('IN-CLASS_Lab Part C'!$J$4270),'IN-CLASS_Lab Part C'!$J$4270,NA())</f>
        <v/>
      </c>
    </row>
    <row r="4271">
      <c r="J4271">
        <f>IF(AND(ISNUMBER('Data'!$F$4272),'Data'!$F$4272&lt;&gt;999,'Data'!$F$4272&lt;&gt;""),'Data'!$F$4272,"")</f>
        <v/>
      </c>
      <c r="Z4271" t="n">
        <v>1</v>
      </c>
      <c r="AA4271">
        <f>IF(ISNUMBER('IN-CLASS_Lab Part C'!$J$4271),'IN-CLASS_Lab Part C'!$J$4271,NA())</f>
        <v/>
      </c>
    </row>
    <row r="4272">
      <c r="J4272">
        <f>IF(AND(ISNUMBER('Data'!$F$4273),'Data'!$F$4273&lt;&gt;999,'Data'!$F$4273&lt;&gt;""),'Data'!$F$4273,"")</f>
        <v/>
      </c>
      <c r="Z4272" t="n">
        <v>1</v>
      </c>
      <c r="AA4272">
        <f>IF(ISNUMBER('IN-CLASS_Lab Part C'!$J$4272),'IN-CLASS_Lab Part C'!$J$4272,NA())</f>
        <v/>
      </c>
    </row>
    <row r="4273">
      <c r="J4273">
        <f>IF(AND(ISNUMBER('Data'!$F$4274),'Data'!$F$4274&lt;&gt;999,'Data'!$F$4274&lt;&gt;""),'Data'!$F$4274,"")</f>
        <v/>
      </c>
      <c r="Z4273" t="n">
        <v>1</v>
      </c>
      <c r="AA4273">
        <f>IF(ISNUMBER('IN-CLASS_Lab Part C'!$J$4273),'IN-CLASS_Lab Part C'!$J$4273,NA())</f>
        <v/>
      </c>
    </row>
    <row r="4274">
      <c r="J4274">
        <f>IF(AND(ISNUMBER('Data'!$F$4275),'Data'!$F$4275&lt;&gt;999,'Data'!$F$4275&lt;&gt;""),'Data'!$F$4275,"")</f>
        <v/>
      </c>
      <c r="Z4274" t="n">
        <v>1</v>
      </c>
      <c r="AA4274">
        <f>IF(ISNUMBER('IN-CLASS_Lab Part C'!$J$4274),'IN-CLASS_Lab Part C'!$J$4274,NA())</f>
        <v/>
      </c>
    </row>
    <row r="4275">
      <c r="J4275">
        <f>IF(AND(ISNUMBER('Data'!$F$4276),'Data'!$F$4276&lt;&gt;999,'Data'!$F$4276&lt;&gt;""),'Data'!$F$4276,"")</f>
        <v/>
      </c>
      <c r="Z4275" t="n">
        <v>1</v>
      </c>
      <c r="AA4275">
        <f>IF(ISNUMBER('IN-CLASS_Lab Part C'!$J$4275),'IN-CLASS_Lab Part C'!$J$4275,NA())</f>
        <v/>
      </c>
    </row>
    <row r="4276">
      <c r="J4276">
        <f>IF(AND(ISNUMBER('Data'!$F$4277),'Data'!$F$4277&lt;&gt;999,'Data'!$F$4277&lt;&gt;""),'Data'!$F$4277,"")</f>
        <v/>
      </c>
      <c r="Z4276" t="n">
        <v>1</v>
      </c>
      <c r="AA4276">
        <f>IF(ISNUMBER('IN-CLASS_Lab Part C'!$J$4276),'IN-CLASS_Lab Part C'!$J$4276,NA())</f>
        <v/>
      </c>
    </row>
    <row r="4277">
      <c r="J4277">
        <f>IF(AND(ISNUMBER('Data'!$F$4278),'Data'!$F$4278&lt;&gt;999,'Data'!$F$4278&lt;&gt;""),'Data'!$F$4278,"")</f>
        <v/>
      </c>
      <c r="Z4277" t="n">
        <v>1</v>
      </c>
      <c r="AA4277">
        <f>IF(ISNUMBER('IN-CLASS_Lab Part C'!$J$4277),'IN-CLASS_Lab Part C'!$J$4277,NA())</f>
        <v/>
      </c>
    </row>
    <row r="4278">
      <c r="J4278">
        <f>IF(AND(ISNUMBER('Data'!$F$4279),'Data'!$F$4279&lt;&gt;999,'Data'!$F$4279&lt;&gt;""),'Data'!$F$4279,"")</f>
        <v/>
      </c>
      <c r="Z4278" t="n">
        <v>1</v>
      </c>
      <c r="AA4278">
        <f>IF(ISNUMBER('IN-CLASS_Lab Part C'!$J$4278),'IN-CLASS_Lab Part C'!$J$4278,NA())</f>
        <v/>
      </c>
    </row>
    <row r="4279">
      <c r="J4279">
        <f>IF(AND(ISNUMBER('Data'!$F$4280),'Data'!$F$4280&lt;&gt;999,'Data'!$F$4280&lt;&gt;""),'Data'!$F$4280,"")</f>
        <v/>
      </c>
      <c r="Z4279" t="n">
        <v>1</v>
      </c>
      <c r="AA4279">
        <f>IF(ISNUMBER('IN-CLASS_Lab Part C'!$J$4279),'IN-CLASS_Lab Part C'!$J$4279,NA())</f>
        <v/>
      </c>
    </row>
    <row r="4280">
      <c r="J4280">
        <f>IF(AND(ISNUMBER('Data'!$F$4281),'Data'!$F$4281&lt;&gt;999,'Data'!$F$4281&lt;&gt;""),'Data'!$F$4281,"")</f>
        <v/>
      </c>
      <c r="Z4280" t="n">
        <v>1</v>
      </c>
      <c r="AA4280">
        <f>IF(ISNUMBER('IN-CLASS_Lab Part C'!$J$4280),'IN-CLASS_Lab Part C'!$J$4280,NA())</f>
        <v/>
      </c>
    </row>
    <row r="4281">
      <c r="J4281">
        <f>IF(AND(ISNUMBER('Data'!$F$4282),'Data'!$F$4282&lt;&gt;999,'Data'!$F$4282&lt;&gt;""),'Data'!$F$4282,"")</f>
        <v/>
      </c>
      <c r="Z4281" t="n">
        <v>1</v>
      </c>
      <c r="AA4281">
        <f>IF(ISNUMBER('IN-CLASS_Lab Part C'!$J$4281),'IN-CLASS_Lab Part C'!$J$4281,NA())</f>
        <v/>
      </c>
    </row>
    <row r="4282">
      <c r="J4282">
        <f>IF(AND(ISNUMBER('Data'!$F$4283),'Data'!$F$4283&lt;&gt;999,'Data'!$F$4283&lt;&gt;""),'Data'!$F$4283,"")</f>
        <v/>
      </c>
      <c r="Z4282" t="n">
        <v>1</v>
      </c>
      <c r="AA4282">
        <f>IF(ISNUMBER('IN-CLASS_Lab Part C'!$J$4282),'IN-CLASS_Lab Part C'!$J$4282,NA())</f>
        <v/>
      </c>
    </row>
    <row r="4283">
      <c r="J4283">
        <f>IF(AND(ISNUMBER('Data'!$F$4284),'Data'!$F$4284&lt;&gt;999,'Data'!$F$4284&lt;&gt;""),'Data'!$F$4284,"")</f>
        <v/>
      </c>
      <c r="Z4283" t="n">
        <v>1</v>
      </c>
      <c r="AA4283">
        <f>IF(ISNUMBER('IN-CLASS_Lab Part C'!$J$4283),'IN-CLASS_Lab Part C'!$J$4283,NA())</f>
        <v/>
      </c>
    </row>
    <row r="4284">
      <c r="J4284">
        <f>IF(AND(ISNUMBER('Data'!$F$4285),'Data'!$F$4285&lt;&gt;999,'Data'!$F$4285&lt;&gt;""),'Data'!$F$4285,"")</f>
        <v/>
      </c>
      <c r="Z4284" t="n">
        <v>1</v>
      </c>
      <c r="AA4284">
        <f>IF(ISNUMBER('IN-CLASS_Lab Part C'!$J$4284),'IN-CLASS_Lab Part C'!$J$4284,NA())</f>
        <v/>
      </c>
    </row>
    <row r="4285">
      <c r="J4285">
        <f>IF(AND(ISNUMBER('Data'!$F$4286),'Data'!$F$4286&lt;&gt;999,'Data'!$F$4286&lt;&gt;""),'Data'!$F$4286,"")</f>
        <v/>
      </c>
      <c r="Z4285" t="n">
        <v>1</v>
      </c>
      <c r="AA4285">
        <f>IF(ISNUMBER('IN-CLASS_Lab Part C'!$J$4285),'IN-CLASS_Lab Part C'!$J$4285,NA())</f>
        <v/>
      </c>
    </row>
    <row r="4286">
      <c r="J4286">
        <f>IF(AND(ISNUMBER('Data'!$F$4287),'Data'!$F$4287&lt;&gt;999,'Data'!$F$4287&lt;&gt;""),'Data'!$F$4287,"")</f>
        <v/>
      </c>
      <c r="Z4286" t="n">
        <v>1</v>
      </c>
      <c r="AA4286">
        <f>IF(ISNUMBER('IN-CLASS_Lab Part C'!$J$4286),'IN-CLASS_Lab Part C'!$J$4286,NA())</f>
        <v/>
      </c>
    </row>
    <row r="4287">
      <c r="J4287">
        <f>IF(AND(ISNUMBER('Data'!$F$4288),'Data'!$F$4288&lt;&gt;999,'Data'!$F$4288&lt;&gt;""),'Data'!$F$4288,"")</f>
        <v/>
      </c>
      <c r="Z4287" t="n">
        <v>1</v>
      </c>
      <c r="AA4287">
        <f>IF(ISNUMBER('IN-CLASS_Lab Part C'!$J$4287),'IN-CLASS_Lab Part C'!$J$4287,NA())</f>
        <v/>
      </c>
    </row>
    <row r="4288">
      <c r="J4288">
        <f>IF(AND(ISNUMBER('Data'!$F$4289),'Data'!$F$4289&lt;&gt;999,'Data'!$F$4289&lt;&gt;""),'Data'!$F$4289,"")</f>
        <v/>
      </c>
      <c r="Z4288" t="n">
        <v>1</v>
      </c>
      <c r="AA4288">
        <f>IF(ISNUMBER('IN-CLASS_Lab Part C'!$J$4288),'IN-CLASS_Lab Part C'!$J$4288,NA())</f>
        <v/>
      </c>
    </row>
    <row r="4289">
      <c r="J4289">
        <f>IF(AND(ISNUMBER('Data'!$F$4290),'Data'!$F$4290&lt;&gt;999,'Data'!$F$4290&lt;&gt;""),'Data'!$F$4290,"")</f>
        <v/>
      </c>
      <c r="Z4289" t="n">
        <v>1</v>
      </c>
      <c r="AA4289">
        <f>IF(ISNUMBER('IN-CLASS_Lab Part C'!$J$4289),'IN-CLASS_Lab Part C'!$J$4289,NA())</f>
        <v/>
      </c>
    </row>
    <row r="4290">
      <c r="J4290">
        <f>IF(AND(ISNUMBER('Data'!$F$4291),'Data'!$F$4291&lt;&gt;999,'Data'!$F$4291&lt;&gt;""),'Data'!$F$4291,"")</f>
        <v/>
      </c>
      <c r="Z4290" t="n">
        <v>1</v>
      </c>
      <c r="AA4290">
        <f>IF(ISNUMBER('IN-CLASS_Lab Part C'!$J$4290),'IN-CLASS_Lab Part C'!$J$4290,NA())</f>
        <v/>
      </c>
    </row>
    <row r="4291">
      <c r="J4291">
        <f>IF(AND(ISNUMBER('Data'!$F$4292),'Data'!$F$4292&lt;&gt;999,'Data'!$F$4292&lt;&gt;""),'Data'!$F$4292,"")</f>
        <v/>
      </c>
      <c r="Z4291" t="n">
        <v>1</v>
      </c>
      <c r="AA4291">
        <f>IF(ISNUMBER('IN-CLASS_Lab Part C'!$J$4291),'IN-CLASS_Lab Part C'!$J$4291,NA())</f>
        <v/>
      </c>
    </row>
    <row r="4292">
      <c r="J4292">
        <f>IF(AND(ISNUMBER('Data'!$F$4293),'Data'!$F$4293&lt;&gt;999,'Data'!$F$4293&lt;&gt;""),'Data'!$F$4293,"")</f>
        <v/>
      </c>
      <c r="Z4292" t="n">
        <v>1</v>
      </c>
      <c r="AA4292">
        <f>IF(ISNUMBER('IN-CLASS_Lab Part C'!$J$4292),'IN-CLASS_Lab Part C'!$J$4292,NA())</f>
        <v/>
      </c>
    </row>
    <row r="4293">
      <c r="J4293">
        <f>IF(AND(ISNUMBER('Data'!$F$4294),'Data'!$F$4294&lt;&gt;999,'Data'!$F$4294&lt;&gt;""),'Data'!$F$4294,"")</f>
        <v/>
      </c>
      <c r="Z4293" t="n">
        <v>1</v>
      </c>
      <c r="AA4293">
        <f>IF(ISNUMBER('IN-CLASS_Lab Part C'!$J$4293),'IN-CLASS_Lab Part C'!$J$4293,NA())</f>
        <v/>
      </c>
    </row>
    <row r="4294">
      <c r="J4294">
        <f>IF(AND(ISNUMBER('Data'!$F$4295),'Data'!$F$4295&lt;&gt;999,'Data'!$F$4295&lt;&gt;""),'Data'!$F$4295,"")</f>
        <v/>
      </c>
      <c r="Z4294" t="n">
        <v>1</v>
      </c>
      <c r="AA4294">
        <f>IF(ISNUMBER('IN-CLASS_Lab Part C'!$J$4294),'IN-CLASS_Lab Part C'!$J$4294,NA())</f>
        <v/>
      </c>
    </row>
    <row r="4295">
      <c r="J4295">
        <f>IF(AND(ISNUMBER('Data'!$F$4296),'Data'!$F$4296&lt;&gt;999,'Data'!$F$4296&lt;&gt;""),'Data'!$F$4296,"")</f>
        <v/>
      </c>
      <c r="Z4295" t="n">
        <v>1</v>
      </c>
      <c r="AA4295">
        <f>IF(ISNUMBER('IN-CLASS_Lab Part C'!$J$4295),'IN-CLASS_Lab Part C'!$J$4295,NA())</f>
        <v/>
      </c>
    </row>
    <row r="4296">
      <c r="J4296">
        <f>IF(AND(ISNUMBER('Data'!$F$4297),'Data'!$F$4297&lt;&gt;999,'Data'!$F$4297&lt;&gt;""),'Data'!$F$4297,"")</f>
        <v/>
      </c>
      <c r="Z4296" t="n">
        <v>1</v>
      </c>
      <c r="AA4296">
        <f>IF(ISNUMBER('IN-CLASS_Lab Part C'!$J$4296),'IN-CLASS_Lab Part C'!$J$4296,NA())</f>
        <v/>
      </c>
    </row>
    <row r="4297">
      <c r="J4297">
        <f>IF(AND(ISNUMBER('Data'!$F$4298),'Data'!$F$4298&lt;&gt;999,'Data'!$F$4298&lt;&gt;""),'Data'!$F$4298,"")</f>
        <v/>
      </c>
      <c r="Z4297" t="n">
        <v>1</v>
      </c>
      <c r="AA4297">
        <f>IF(ISNUMBER('IN-CLASS_Lab Part C'!$J$4297),'IN-CLASS_Lab Part C'!$J$4297,NA())</f>
        <v/>
      </c>
    </row>
    <row r="4298">
      <c r="J4298">
        <f>IF(AND(ISNUMBER('Data'!$F$4299),'Data'!$F$4299&lt;&gt;999,'Data'!$F$4299&lt;&gt;""),'Data'!$F$4299,"")</f>
        <v/>
      </c>
      <c r="Z4298" t="n">
        <v>1</v>
      </c>
      <c r="AA4298">
        <f>IF(ISNUMBER('IN-CLASS_Lab Part C'!$J$4298),'IN-CLASS_Lab Part C'!$J$4298,NA())</f>
        <v/>
      </c>
    </row>
    <row r="4299">
      <c r="J4299">
        <f>IF(AND(ISNUMBER('Data'!$F$4300),'Data'!$F$4300&lt;&gt;999,'Data'!$F$4300&lt;&gt;""),'Data'!$F$4300,"")</f>
        <v/>
      </c>
      <c r="Z4299" t="n">
        <v>1</v>
      </c>
      <c r="AA4299">
        <f>IF(ISNUMBER('IN-CLASS_Lab Part C'!$J$4299),'IN-CLASS_Lab Part C'!$J$4299,NA())</f>
        <v/>
      </c>
    </row>
    <row r="4300">
      <c r="J4300">
        <f>IF(AND(ISNUMBER('Data'!$F$4301),'Data'!$F$4301&lt;&gt;999,'Data'!$F$4301&lt;&gt;""),'Data'!$F$4301,"")</f>
        <v/>
      </c>
      <c r="Z4300" t="n">
        <v>1</v>
      </c>
      <c r="AA4300">
        <f>IF(ISNUMBER('IN-CLASS_Lab Part C'!$J$4300),'IN-CLASS_Lab Part C'!$J$4300,NA())</f>
        <v/>
      </c>
    </row>
    <row r="4301">
      <c r="J4301">
        <f>IF(AND(ISNUMBER('Data'!$F$4302),'Data'!$F$4302&lt;&gt;999,'Data'!$F$4302&lt;&gt;""),'Data'!$F$4302,"")</f>
        <v/>
      </c>
      <c r="Z4301" t="n">
        <v>1</v>
      </c>
      <c r="AA4301">
        <f>IF(ISNUMBER('IN-CLASS_Lab Part C'!$J$4301),'IN-CLASS_Lab Part C'!$J$4301,NA())</f>
        <v/>
      </c>
    </row>
    <row r="4302">
      <c r="J4302">
        <f>IF(AND(ISNUMBER('Data'!$F$4303),'Data'!$F$4303&lt;&gt;999,'Data'!$F$4303&lt;&gt;""),'Data'!$F$4303,"")</f>
        <v/>
      </c>
      <c r="Z4302" t="n">
        <v>1</v>
      </c>
      <c r="AA4302">
        <f>IF(ISNUMBER('IN-CLASS_Lab Part C'!$J$4302),'IN-CLASS_Lab Part C'!$J$4302,NA())</f>
        <v/>
      </c>
    </row>
    <row r="4303">
      <c r="J4303">
        <f>IF(AND(ISNUMBER('Data'!$F$4304),'Data'!$F$4304&lt;&gt;999,'Data'!$F$4304&lt;&gt;""),'Data'!$F$4304,"")</f>
        <v/>
      </c>
      <c r="Z4303" t="n">
        <v>1</v>
      </c>
      <c r="AA4303">
        <f>IF(ISNUMBER('IN-CLASS_Lab Part C'!$J$4303),'IN-CLASS_Lab Part C'!$J$4303,NA())</f>
        <v/>
      </c>
    </row>
    <row r="4304">
      <c r="J4304">
        <f>IF(AND(ISNUMBER('Data'!$F$4305),'Data'!$F$4305&lt;&gt;999,'Data'!$F$4305&lt;&gt;""),'Data'!$F$4305,"")</f>
        <v/>
      </c>
      <c r="Z4304" t="n">
        <v>1</v>
      </c>
      <c r="AA4304">
        <f>IF(ISNUMBER('IN-CLASS_Lab Part C'!$J$4304),'IN-CLASS_Lab Part C'!$J$4304,NA())</f>
        <v/>
      </c>
    </row>
    <row r="4305">
      <c r="J4305">
        <f>IF(AND(ISNUMBER('Data'!$F$4306),'Data'!$F$4306&lt;&gt;999,'Data'!$F$4306&lt;&gt;""),'Data'!$F$4306,"")</f>
        <v/>
      </c>
      <c r="Z4305" t="n">
        <v>1</v>
      </c>
      <c r="AA4305">
        <f>IF(ISNUMBER('IN-CLASS_Lab Part C'!$J$4305),'IN-CLASS_Lab Part C'!$J$4305,NA())</f>
        <v/>
      </c>
    </row>
    <row r="4306">
      <c r="J4306">
        <f>IF(AND(ISNUMBER('Data'!$F$4307),'Data'!$F$4307&lt;&gt;999,'Data'!$F$4307&lt;&gt;""),'Data'!$F$4307,"")</f>
        <v/>
      </c>
      <c r="Z4306" t="n">
        <v>1</v>
      </c>
      <c r="AA4306">
        <f>IF(ISNUMBER('IN-CLASS_Lab Part C'!$J$4306),'IN-CLASS_Lab Part C'!$J$4306,NA())</f>
        <v/>
      </c>
    </row>
    <row r="4307">
      <c r="J4307">
        <f>IF(AND(ISNUMBER('Data'!$F$4308),'Data'!$F$4308&lt;&gt;999,'Data'!$F$4308&lt;&gt;""),'Data'!$F$4308,"")</f>
        <v/>
      </c>
      <c r="Z4307" t="n">
        <v>1</v>
      </c>
      <c r="AA4307">
        <f>IF(ISNUMBER('IN-CLASS_Lab Part C'!$J$4307),'IN-CLASS_Lab Part C'!$J$4307,NA())</f>
        <v/>
      </c>
    </row>
    <row r="4308">
      <c r="J4308">
        <f>IF(AND(ISNUMBER('Data'!$F$4309),'Data'!$F$4309&lt;&gt;999,'Data'!$F$4309&lt;&gt;""),'Data'!$F$4309,"")</f>
        <v/>
      </c>
      <c r="Z4308" t="n">
        <v>1</v>
      </c>
      <c r="AA4308">
        <f>IF(ISNUMBER('IN-CLASS_Lab Part C'!$J$4308),'IN-CLASS_Lab Part C'!$J$4308,NA())</f>
        <v/>
      </c>
    </row>
    <row r="4309">
      <c r="J4309">
        <f>IF(AND(ISNUMBER('Data'!$F$4310),'Data'!$F$4310&lt;&gt;999,'Data'!$F$4310&lt;&gt;""),'Data'!$F$4310,"")</f>
        <v/>
      </c>
      <c r="Z4309" t="n">
        <v>1</v>
      </c>
      <c r="AA4309">
        <f>IF(ISNUMBER('IN-CLASS_Lab Part C'!$J$4309),'IN-CLASS_Lab Part C'!$J$4309,NA())</f>
        <v/>
      </c>
    </row>
    <row r="4310">
      <c r="J4310">
        <f>IF(AND(ISNUMBER('Data'!$F$4311),'Data'!$F$4311&lt;&gt;999,'Data'!$F$4311&lt;&gt;""),'Data'!$F$4311,"")</f>
        <v/>
      </c>
      <c r="Z4310" t="n">
        <v>1</v>
      </c>
      <c r="AA4310">
        <f>IF(ISNUMBER('IN-CLASS_Lab Part C'!$J$4310),'IN-CLASS_Lab Part C'!$J$4310,NA())</f>
        <v/>
      </c>
    </row>
    <row r="4311">
      <c r="J4311">
        <f>IF(AND(ISNUMBER('Data'!$F$4312),'Data'!$F$4312&lt;&gt;999,'Data'!$F$4312&lt;&gt;""),'Data'!$F$4312,"")</f>
        <v/>
      </c>
      <c r="Z4311" t="n">
        <v>1</v>
      </c>
      <c r="AA4311">
        <f>IF(ISNUMBER('IN-CLASS_Lab Part C'!$J$4311),'IN-CLASS_Lab Part C'!$J$4311,NA())</f>
        <v/>
      </c>
    </row>
    <row r="4312">
      <c r="J4312">
        <f>IF(AND(ISNUMBER('Data'!$F$4313),'Data'!$F$4313&lt;&gt;999,'Data'!$F$4313&lt;&gt;""),'Data'!$F$4313,"")</f>
        <v/>
      </c>
      <c r="Z4312" t="n">
        <v>1</v>
      </c>
      <c r="AA4312">
        <f>IF(ISNUMBER('IN-CLASS_Lab Part C'!$J$4312),'IN-CLASS_Lab Part C'!$J$4312,NA())</f>
        <v/>
      </c>
    </row>
    <row r="4313">
      <c r="J4313">
        <f>IF(AND(ISNUMBER('Data'!$F$4314),'Data'!$F$4314&lt;&gt;999,'Data'!$F$4314&lt;&gt;""),'Data'!$F$4314,"")</f>
        <v/>
      </c>
      <c r="Z4313" t="n">
        <v>1</v>
      </c>
      <c r="AA4313">
        <f>IF(ISNUMBER('IN-CLASS_Lab Part C'!$J$4313),'IN-CLASS_Lab Part C'!$J$4313,NA())</f>
        <v/>
      </c>
    </row>
    <row r="4314">
      <c r="J4314">
        <f>IF(AND(ISNUMBER('Data'!$F$4315),'Data'!$F$4315&lt;&gt;999,'Data'!$F$4315&lt;&gt;""),'Data'!$F$4315,"")</f>
        <v/>
      </c>
      <c r="Z4314" t="n">
        <v>1</v>
      </c>
      <c r="AA4314">
        <f>IF(ISNUMBER('IN-CLASS_Lab Part C'!$J$4314),'IN-CLASS_Lab Part C'!$J$4314,NA())</f>
        <v/>
      </c>
    </row>
    <row r="4315">
      <c r="J4315">
        <f>IF(AND(ISNUMBER('Data'!$F$4316),'Data'!$F$4316&lt;&gt;999,'Data'!$F$4316&lt;&gt;""),'Data'!$F$4316,"")</f>
        <v/>
      </c>
      <c r="Z4315" t="n">
        <v>1</v>
      </c>
      <c r="AA4315">
        <f>IF(ISNUMBER('IN-CLASS_Lab Part C'!$J$4315),'IN-CLASS_Lab Part C'!$J$4315,NA())</f>
        <v/>
      </c>
    </row>
    <row r="4316">
      <c r="J4316">
        <f>IF(AND(ISNUMBER('Data'!$F$4317),'Data'!$F$4317&lt;&gt;999,'Data'!$F$4317&lt;&gt;""),'Data'!$F$4317,"")</f>
        <v/>
      </c>
      <c r="Z4316" t="n">
        <v>1</v>
      </c>
      <c r="AA4316">
        <f>IF(ISNUMBER('IN-CLASS_Lab Part C'!$J$4316),'IN-CLASS_Lab Part C'!$J$4316,NA())</f>
        <v/>
      </c>
    </row>
    <row r="4317">
      <c r="J4317">
        <f>IF(AND(ISNUMBER('Data'!$F$4318),'Data'!$F$4318&lt;&gt;999,'Data'!$F$4318&lt;&gt;""),'Data'!$F$4318,"")</f>
        <v/>
      </c>
      <c r="Z4317" t="n">
        <v>1</v>
      </c>
      <c r="AA4317">
        <f>IF(ISNUMBER('IN-CLASS_Lab Part C'!$J$4317),'IN-CLASS_Lab Part C'!$J$4317,NA())</f>
        <v/>
      </c>
    </row>
    <row r="4318">
      <c r="J4318">
        <f>IF(AND(ISNUMBER('Data'!$F$4319),'Data'!$F$4319&lt;&gt;999,'Data'!$F$4319&lt;&gt;""),'Data'!$F$4319,"")</f>
        <v/>
      </c>
      <c r="Z4318" t="n">
        <v>1</v>
      </c>
      <c r="AA4318">
        <f>IF(ISNUMBER('IN-CLASS_Lab Part C'!$J$4318),'IN-CLASS_Lab Part C'!$J$4318,NA())</f>
        <v/>
      </c>
    </row>
    <row r="4319">
      <c r="J4319">
        <f>IF(AND(ISNUMBER('Data'!$F$4320),'Data'!$F$4320&lt;&gt;999,'Data'!$F$4320&lt;&gt;""),'Data'!$F$4320,"")</f>
        <v/>
      </c>
      <c r="Z4319" t="n">
        <v>1</v>
      </c>
      <c r="AA4319">
        <f>IF(ISNUMBER('IN-CLASS_Lab Part C'!$J$4319),'IN-CLASS_Lab Part C'!$J$4319,NA())</f>
        <v/>
      </c>
    </row>
    <row r="4320">
      <c r="J4320">
        <f>IF(AND(ISNUMBER('Data'!$F$4321),'Data'!$F$4321&lt;&gt;999,'Data'!$F$4321&lt;&gt;""),'Data'!$F$4321,"")</f>
        <v/>
      </c>
      <c r="Z4320" t="n">
        <v>1</v>
      </c>
      <c r="AA4320">
        <f>IF(ISNUMBER('IN-CLASS_Lab Part C'!$J$4320),'IN-CLASS_Lab Part C'!$J$4320,NA())</f>
        <v/>
      </c>
    </row>
    <row r="4321">
      <c r="J4321">
        <f>IF(AND(ISNUMBER('Data'!$F$4322),'Data'!$F$4322&lt;&gt;999,'Data'!$F$4322&lt;&gt;""),'Data'!$F$4322,"")</f>
        <v/>
      </c>
      <c r="Z4321" t="n">
        <v>1</v>
      </c>
      <c r="AA4321">
        <f>IF(ISNUMBER('IN-CLASS_Lab Part C'!$J$4321),'IN-CLASS_Lab Part C'!$J$4321,NA())</f>
        <v/>
      </c>
    </row>
    <row r="4322">
      <c r="J4322">
        <f>IF(AND(ISNUMBER('Data'!$F$4323),'Data'!$F$4323&lt;&gt;999,'Data'!$F$4323&lt;&gt;""),'Data'!$F$4323,"")</f>
        <v/>
      </c>
      <c r="Z4322" t="n">
        <v>1</v>
      </c>
      <c r="AA4322">
        <f>IF(ISNUMBER('IN-CLASS_Lab Part C'!$J$4322),'IN-CLASS_Lab Part C'!$J$4322,NA())</f>
        <v/>
      </c>
    </row>
    <row r="4323">
      <c r="J4323">
        <f>IF(AND(ISNUMBER('Data'!$F$4324),'Data'!$F$4324&lt;&gt;999,'Data'!$F$4324&lt;&gt;""),'Data'!$F$4324,"")</f>
        <v/>
      </c>
      <c r="Z4323" t="n">
        <v>1</v>
      </c>
      <c r="AA4323">
        <f>IF(ISNUMBER('IN-CLASS_Lab Part C'!$J$4323),'IN-CLASS_Lab Part C'!$J$4323,NA())</f>
        <v/>
      </c>
    </row>
    <row r="4324">
      <c r="J4324">
        <f>IF(AND(ISNUMBER('Data'!$F$4325),'Data'!$F$4325&lt;&gt;999,'Data'!$F$4325&lt;&gt;""),'Data'!$F$4325,"")</f>
        <v/>
      </c>
      <c r="Z4324" t="n">
        <v>1</v>
      </c>
      <c r="AA4324">
        <f>IF(ISNUMBER('IN-CLASS_Lab Part C'!$J$4324),'IN-CLASS_Lab Part C'!$J$4324,NA())</f>
        <v/>
      </c>
    </row>
    <row r="4325">
      <c r="J4325">
        <f>IF(AND(ISNUMBER('Data'!$F$4326),'Data'!$F$4326&lt;&gt;999,'Data'!$F$4326&lt;&gt;""),'Data'!$F$4326,"")</f>
        <v/>
      </c>
      <c r="Z4325" t="n">
        <v>1</v>
      </c>
      <c r="AA4325">
        <f>IF(ISNUMBER('IN-CLASS_Lab Part C'!$J$4325),'IN-CLASS_Lab Part C'!$J$4325,NA())</f>
        <v/>
      </c>
    </row>
    <row r="4326">
      <c r="J4326">
        <f>IF(AND(ISNUMBER('Data'!$F$4327),'Data'!$F$4327&lt;&gt;999,'Data'!$F$4327&lt;&gt;""),'Data'!$F$4327,"")</f>
        <v/>
      </c>
      <c r="Z4326" t="n">
        <v>1</v>
      </c>
      <c r="AA4326">
        <f>IF(ISNUMBER('IN-CLASS_Lab Part C'!$J$4326),'IN-CLASS_Lab Part C'!$J$4326,NA())</f>
        <v/>
      </c>
    </row>
    <row r="4327">
      <c r="J4327">
        <f>IF(AND(ISNUMBER('Data'!$F$4328),'Data'!$F$4328&lt;&gt;999,'Data'!$F$4328&lt;&gt;""),'Data'!$F$4328,"")</f>
        <v/>
      </c>
      <c r="Z4327" t="n">
        <v>1</v>
      </c>
      <c r="AA4327">
        <f>IF(ISNUMBER('IN-CLASS_Lab Part C'!$J$4327),'IN-CLASS_Lab Part C'!$J$4327,NA())</f>
        <v/>
      </c>
    </row>
    <row r="4328">
      <c r="J4328">
        <f>IF(AND(ISNUMBER('Data'!$F$4329),'Data'!$F$4329&lt;&gt;999,'Data'!$F$4329&lt;&gt;""),'Data'!$F$4329,"")</f>
        <v/>
      </c>
      <c r="Z4328" t="n">
        <v>1</v>
      </c>
      <c r="AA4328">
        <f>IF(ISNUMBER('IN-CLASS_Lab Part C'!$J$4328),'IN-CLASS_Lab Part C'!$J$4328,NA())</f>
        <v/>
      </c>
    </row>
    <row r="4329">
      <c r="J4329">
        <f>IF(AND(ISNUMBER('Data'!$F$4330),'Data'!$F$4330&lt;&gt;999,'Data'!$F$4330&lt;&gt;""),'Data'!$F$4330,"")</f>
        <v/>
      </c>
      <c r="Z4329" t="n">
        <v>1</v>
      </c>
      <c r="AA4329">
        <f>IF(ISNUMBER('IN-CLASS_Lab Part C'!$J$4329),'IN-CLASS_Lab Part C'!$J$4329,NA())</f>
        <v/>
      </c>
    </row>
    <row r="4330">
      <c r="J4330">
        <f>IF(AND(ISNUMBER('Data'!$F$4331),'Data'!$F$4331&lt;&gt;999,'Data'!$F$4331&lt;&gt;""),'Data'!$F$4331,"")</f>
        <v/>
      </c>
      <c r="Z4330" t="n">
        <v>1</v>
      </c>
      <c r="AA4330">
        <f>IF(ISNUMBER('IN-CLASS_Lab Part C'!$J$4330),'IN-CLASS_Lab Part C'!$J$4330,NA())</f>
        <v/>
      </c>
    </row>
    <row r="4331">
      <c r="J4331">
        <f>IF(AND(ISNUMBER('Data'!$F$4332),'Data'!$F$4332&lt;&gt;999,'Data'!$F$4332&lt;&gt;""),'Data'!$F$4332,"")</f>
        <v/>
      </c>
      <c r="Z4331" t="n">
        <v>1</v>
      </c>
      <c r="AA4331">
        <f>IF(ISNUMBER('IN-CLASS_Lab Part C'!$J$4331),'IN-CLASS_Lab Part C'!$J$4331,NA())</f>
        <v/>
      </c>
    </row>
    <row r="4332">
      <c r="J4332">
        <f>IF(AND(ISNUMBER('Data'!$F$4333),'Data'!$F$4333&lt;&gt;999,'Data'!$F$4333&lt;&gt;""),'Data'!$F$4333,"")</f>
        <v/>
      </c>
      <c r="Z4332" t="n">
        <v>1</v>
      </c>
      <c r="AA4332">
        <f>IF(ISNUMBER('IN-CLASS_Lab Part C'!$J$4332),'IN-CLASS_Lab Part C'!$J$4332,NA())</f>
        <v/>
      </c>
    </row>
    <row r="4333">
      <c r="J4333">
        <f>IF(AND(ISNUMBER('Data'!$F$4334),'Data'!$F$4334&lt;&gt;999,'Data'!$F$4334&lt;&gt;""),'Data'!$F$4334,"")</f>
        <v/>
      </c>
      <c r="Z4333" t="n">
        <v>1</v>
      </c>
      <c r="AA4333">
        <f>IF(ISNUMBER('IN-CLASS_Lab Part C'!$J$4333),'IN-CLASS_Lab Part C'!$J$4333,NA())</f>
        <v/>
      </c>
    </row>
    <row r="4334">
      <c r="J4334">
        <f>IF(AND(ISNUMBER('Data'!$F$4335),'Data'!$F$4335&lt;&gt;999,'Data'!$F$4335&lt;&gt;""),'Data'!$F$4335,"")</f>
        <v/>
      </c>
      <c r="Z4334" t="n">
        <v>1</v>
      </c>
      <c r="AA4334">
        <f>IF(ISNUMBER('IN-CLASS_Lab Part C'!$J$4334),'IN-CLASS_Lab Part C'!$J$4334,NA())</f>
        <v/>
      </c>
    </row>
    <row r="4335">
      <c r="J4335">
        <f>IF(AND(ISNUMBER('Data'!$F$4336),'Data'!$F$4336&lt;&gt;999,'Data'!$F$4336&lt;&gt;""),'Data'!$F$4336,"")</f>
        <v/>
      </c>
      <c r="Z4335" t="n">
        <v>1</v>
      </c>
      <c r="AA4335">
        <f>IF(ISNUMBER('IN-CLASS_Lab Part C'!$J$4335),'IN-CLASS_Lab Part C'!$J$4335,NA())</f>
        <v/>
      </c>
    </row>
    <row r="4336">
      <c r="J4336">
        <f>IF(AND(ISNUMBER('Data'!$F$4337),'Data'!$F$4337&lt;&gt;999,'Data'!$F$4337&lt;&gt;""),'Data'!$F$4337,"")</f>
        <v/>
      </c>
      <c r="Z4336" t="n">
        <v>1</v>
      </c>
      <c r="AA4336">
        <f>IF(ISNUMBER('IN-CLASS_Lab Part C'!$J$4336),'IN-CLASS_Lab Part C'!$J$4336,NA())</f>
        <v/>
      </c>
    </row>
    <row r="4337">
      <c r="J4337">
        <f>IF(AND(ISNUMBER('Data'!$F$4338),'Data'!$F$4338&lt;&gt;999,'Data'!$F$4338&lt;&gt;""),'Data'!$F$4338,"")</f>
        <v/>
      </c>
      <c r="Z4337" t="n">
        <v>1</v>
      </c>
      <c r="AA4337">
        <f>IF(ISNUMBER('IN-CLASS_Lab Part C'!$J$4337),'IN-CLASS_Lab Part C'!$J$4337,NA())</f>
        <v/>
      </c>
    </row>
    <row r="4338">
      <c r="J4338">
        <f>IF(AND(ISNUMBER('Data'!$F$4339),'Data'!$F$4339&lt;&gt;999,'Data'!$F$4339&lt;&gt;""),'Data'!$F$4339,"")</f>
        <v/>
      </c>
      <c r="Z4338" t="n">
        <v>1</v>
      </c>
      <c r="AA4338">
        <f>IF(ISNUMBER('IN-CLASS_Lab Part C'!$J$4338),'IN-CLASS_Lab Part C'!$J$4338,NA())</f>
        <v/>
      </c>
    </row>
    <row r="4339">
      <c r="J4339">
        <f>IF(AND(ISNUMBER('Data'!$F$4340),'Data'!$F$4340&lt;&gt;999,'Data'!$F$4340&lt;&gt;""),'Data'!$F$4340,"")</f>
        <v/>
      </c>
      <c r="Z4339" t="n">
        <v>1</v>
      </c>
      <c r="AA4339">
        <f>IF(ISNUMBER('IN-CLASS_Lab Part C'!$J$4339),'IN-CLASS_Lab Part C'!$J$4339,NA())</f>
        <v/>
      </c>
    </row>
    <row r="4340">
      <c r="J4340">
        <f>IF(AND(ISNUMBER('Data'!$F$4341),'Data'!$F$4341&lt;&gt;999,'Data'!$F$4341&lt;&gt;""),'Data'!$F$4341,"")</f>
        <v/>
      </c>
      <c r="Z4340" t="n">
        <v>1</v>
      </c>
      <c r="AA4340">
        <f>IF(ISNUMBER('IN-CLASS_Lab Part C'!$J$4340),'IN-CLASS_Lab Part C'!$J$4340,NA())</f>
        <v/>
      </c>
    </row>
    <row r="4341">
      <c r="J4341">
        <f>IF(AND(ISNUMBER('Data'!$F$4342),'Data'!$F$4342&lt;&gt;999,'Data'!$F$4342&lt;&gt;""),'Data'!$F$4342,"")</f>
        <v/>
      </c>
      <c r="Z4341" t="n">
        <v>1</v>
      </c>
      <c r="AA4341">
        <f>IF(ISNUMBER('IN-CLASS_Lab Part C'!$J$4341),'IN-CLASS_Lab Part C'!$J$4341,NA())</f>
        <v/>
      </c>
    </row>
    <row r="4342">
      <c r="J4342">
        <f>IF(AND(ISNUMBER('Data'!$F$4343),'Data'!$F$4343&lt;&gt;999,'Data'!$F$4343&lt;&gt;""),'Data'!$F$4343,"")</f>
        <v/>
      </c>
      <c r="Z4342" t="n">
        <v>1</v>
      </c>
      <c r="AA4342">
        <f>IF(ISNUMBER('IN-CLASS_Lab Part C'!$J$4342),'IN-CLASS_Lab Part C'!$J$4342,NA())</f>
        <v/>
      </c>
    </row>
    <row r="4343">
      <c r="J4343">
        <f>IF(AND(ISNUMBER('Data'!$F$4344),'Data'!$F$4344&lt;&gt;999,'Data'!$F$4344&lt;&gt;""),'Data'!$F$4344,"")</f>
        <v/>
      </c>
      <c r="Z4343" t="n">
        <v>1</v>
      </c>
      <c r="AA4343">
        <f>IF(ISNUMBER('IN-CLASS_Lab Part C'!$J$4343),'IN-CLASS_Lab Part C'!$J$4343,NA())</f>
        <v/>
      </c>
    </row>
    <row r="4344">
      <c r="J4344">
        <f>IF(AND(ISNUMBER('Data'!$F$4345),'Data'!$F$4345&lt;&gt;999,'Data'!$F$4345&lt;&gt;""),'Data'!$F$4345,"")</f>
        <v/>
      </c>
      <c r="Z4344" t="n">
        <v>1</v>
      </c>
      <c r="AA4344">
        <f>IF(ISNUMBER('IN-CLASS_Lab Part C'!$J$4344),'IN-CLASS_Lab Part C'!$J$4344,NA())</f>
        <v/>
      </c>
    </row>
    <row r="4345">
      <c r="J4345">
        <f>IF(AND(ISNUMBER('Data'!$F$4346),'Data'!$F$4346&lt;&gt;999,'Data'!$F$4346&lt;&gt;""),'Data'!$F$4346,"")</f>
        <v/>
      </c>
      <c r="Z4345" t="n">
        <v>1</v>
      </c>
      <c r="AA4345">
        <f>IF(ISNUMBER('IN-CLASS_Lab Part C'!$J$4345),'IN-CLASS_Lab Part C'!$J$4345,NA())</f>
        <v/>
      </c>
    </row>
    <row r="4346">
      <c r="J4346">
        <f>IF(AND(ISNUMBER('Data'!$F$4347),'Data'!$F$4347&lt;&gt;999,'Data'!$F$4347&lt;&gt;""),'Data'!$F$4347,"")</f>
        <v/>
      </c>
      <c r="Z4346" t="n">
        <v>1</v>
      </c>
      <c r="AA4346">
        <f>IF(ISNUMBER('IN-CLASS_Lab Part C'!$J$4346),'IN-CLASS_Lab Part C'!$J$4346,NA())</f>
        <v/>
      </c>
    </row>
    <row r="4347">
      <c r="J4347">
        <f>IF(AND(ISNUMBER('Data'!$F$4348),'Data'!$F$4348&lt;&gt;999,'Data'!$F$4348&lt;&gt;""),'Data'!$F$4348,"")</f>
        <v/>
      </c>
      <c r="Z4347" t="n">
        <v>1</v>
      </c>
      <c r="AA4347">
        <f>IF(ISNUMBER('IN-CLASS_Lab Part C'!$J$4347),'IN-CLASS_Lab Part C'!$J$4347,NA())</f>
        <v/>
      </c>
    </row>
    <row r="4348">
      <c r="J4348">
        <f>IF(AND(ISNUMBER('Data'!$F$4349),'Data'!$F$4349&lt;&gt;999,'Data'!$F$4349&lt;&gt;""),'Data'!$F$4349,"")</f>
        <v/>
      </c>
      <c r="Z4348" t="n">
        <v>1</v>
      </c>
      <c r="AA4348">
        <f>IF(ISNUMBER('IN-CLASS_Lab Part C'!$J$4348),'IN-CLASS_Lab Part C'!$J$4348,NA())</f>
        <v/>
      </c>
    </row>
    <row r="4349">
      <c r="J4349">
        <f>IF(AND(ISNUMBER('Data'!$F$4350),'Data'!$F$4350&lt;&gt;999,'Data'!$F$4350&lt;&gt;""),'Data'!$F$4350,"")</f>
        <v/>
      </c>
      <c r="Z4349" t="n">
        <v>1</v>
      </c>
      <c r="AA4349">
        <f>IF(ISNUMBER('IN-CLASS_Lab Part C'!$J$4349),'IN-CLASS_Lab Part C'!$J$4349,NA())</f>
        <v/>
      </c>
    </row>
    <row r="4350">
      <c r="J4350">
        <f>IF(AND(ISNUMBER('Data'!$F$4351),'Data'!$F$4351&lt;&gt;999,'Data'!$F$4351&lt;&gt;""),'Data'!$F$4351,"")</f>
        <v/>
      </c>
      <c r="Z4350" t="n">
        <v>1</v>
      </c>
      <c r="AA4350">
        <f>IF(ISNUMBER('IN-CLASS_Lab Part C'!$J$4350),'IN-CLASS_Lab Part C'!$J$4350,NA())</f>
        <v/>
      </c>
    </row>
    <row r="4351">
      <c r="J4351">
        <f>IF(AND(ISNUMBER('Data'!$F$4352),'Data'!$F$4352&lt;&gt;999,'Data'!$F$4352&lt;&gt;""),'Data'!$F$4352,"")</f>
        <v/>
      </c>
      <c r="Z4351" t="n">
        <v>1</v>
      </c>
      <c r="AA4351">
        <f>IF(ISNUMBER('IN-CLASS_Lab Part C'!$J$4351),'IN-CLASS_Lab Part C'!$J$4351,NA())</f>
        <v/>
      </c>
    </row>
    <row r="4352">
      <c r="J4352">
        <f>IF(AND(ISNUMBER('Data'!$F$4353),'Data'!$F$4353&lt;&gt;999,'Data'!$F$4353&lt;&gt;""),'Data'!$F$4353,"")</f>
        <v/>
      </c>
      <c r="Z4352" t="n">
        <v>1</v>
      </c>
      <c r="AA4352">
        <f>IF(ISNUMBER('IN-CLASS_Lab Part C'!$J$4352),'IN-CLASS_Lab Part C'!$J$4352,NA())</f>
        <v/>
      </c>
    </row>
    <row r="4353">
      <c r="J4353">
        <f>IF(AND(ISNUMBER('Data'!$F$4354),'Data'!$F$4354&lt;&gt;999,'Data'!$F$4354&lt;&gt;""),'Data'!$F$4354,"")</f>
        <v/>
      </c>
      <c r="Z4353" t="n">
        <v>1</v>
      </c>
      <c r="AA4353">
        <f>IF(ISNUMBER('IN-CLASS_Lab Part C'!$J$4353),'IN-CLASS_Lab Part C'!$J$4353,NA())</f>
        <v/>
      </c>
    </row>
    <row r="4354">
      <c r="J4354">
        <f>IF(AND(ISNUMBER('Data'!$F$4355),'Data'!$F$4355&lt;&gt;999,'Data'!$F$4355&lt;&gt;""),'Data'!$F$4355,"")</f>
        <v/>
      </c>
      <c r="Z4354" t="n">
        <v>1</v>
      </c>
      <c r="AA4354">
        <f>IF(ISNUMBER('IN-CLASS_Lab Part C'!$J$4354),'IN-CLASS_Lab Part C'!$J$4354,NA())</f>
        <v/>
      </c>
    </row>
    <row r="4355">
      <c r="J4355">
        <f>IF(AND(ISNUMBER('Data'!$F$4356),'Data'!$F$4356&lt;&gt;999,'Data'!$F$4356&lt;&gt;""),'Data'!$F$4356,"")</f>
        <v/>
      </c>
      <c r="Z4355" t="n">
        <v>1</v>
      </c>
      <c r="AA4355">
        <f>IF(ISNUMBER('IN-CLASS_Lab Part C'!$J$4355),'IN-CLASS_Lab Part C'!$J$4355,NA())</f>
        <v/>
      </c>
    </row>
    <row r="4356">
      <c r="J4356">
        <f>IF(AND(ISNUMBER('Data'!$F$4357),'Data'!$F$4357&lt;&gt;999,'Data'!$F$4357&lt;&gt;""),'Data'!$F$4357,"")</f>
        <v/>
      </c>
      <c r="Z4356" t="n">
        <v>1</v>
      </c>
      <c r="AA4356">
        <f>IF(ISNUMBER('IN-CLASS_Lab Part C'!$J$4356),'IN-CLASS_Lab Part C'!$J$4356,NA())</f>
        <v/>
      </c>
    </row>
    <row r="4357">
      <c r="J4357">
        <f>IF(AND(ISNUMBER('Data'!$F$4358),'Data'!$F$4358&lt;&gt;999,'Data'!$F$4358&lt;&gt;""),'Data'!$F$4358,"")</f>
        <v/>
      </c>
      <c r="Z4357" t="n">
        <v>1</v>
      </c>
      <c r="AA4357">
        <f>IF(ISNUMBER('IN-CLASS_Lab Part C'!$J$4357),'IN-CLASS_Lab Part C'!$J$4357,NA())</f>
        <v/>
      </c>
    </row>
    <row r="4358">
      <c r="J4358">
        <f>IF(AND(ISNUMBER('Data'!$F$4359),'Data'!$F$4359&lt;&gt;999,'Data'!$F$4359&lt;&gt;""),'Data'!$F$4359,"")</f>
        <v/>
      </c>
      <c r="Z4358" t="n">
        <v>1</v>
      </c>
      <c r="AA4358">
        <f>IF(ISNUMBER('IN-CLASS_Lab Part C'!$J$4358),'IN-CLASS_Lab Part C'!$J$4358,NA())</f>
        <v/>
      </c>
    </row>
    <row r="4359">
      <c r="J4359">
        <f>IF(AND(ISNUMBER('Data'!$F$4360),'Data'!$F$4360&lt;&gt;999,'Data'!$F$4360&lt;&gt;""),'Data'!$F$4360,"")</f>
        <v/>
      </c>
      <c r="Z4359" t="n">
        <v>1</v>
      </c>
      <c r="AA4359">
        <f>IF(ISNUMBER('IN-CLASS_Lab Part C'!$J$4359),'IN-CLASS_Lab Part C'!$J$4359,NA())</f>
        <v/>
      </c>
    </row>
    <row r="4360">
      <c r="J4360">
        <f>IF(AND(ISNUMBER('Data'!$F$4361),'Data'!$F$4361&lt;&gt;999,'Data'!$F$4361&lt;&gt;""),'Data'!$F$4361,"")</f>
        <v/>
      </c>
      <c r="Z4360" t="n">
        <v>1</v>
      </c>
      <c r="AA4360">
        <f>IF(ISNUMBER('IN-CLASS_Lab Part C'!$J$4360),'IN-CLASS_Lab Part C'!$J$4360,NA())</f>
        <v/>
      </c>
    </row>
    <row r="4361">
      <c r="J4361">
        <f>IF(AND(ISNUMBER('Data'!$F$4362),'Data'!$F$4362&lt;&gt;999,'Data'!$F$4362&lt;&gt;""),'Data'!$F$4362,"")</f>
        <v/>
      </c>
      <c r="Z4361" t="n">
        <v>1</v>
      </c>
      <c r="AA4361">
        <f>IF(ISNUMBER('IN-CLASS_Lab Part C'!$J$4361),'IN-CLASS_Lab Part C'!$J$4361,NA())</f>
        <v/>
      </c>
    </row>
    <row r="4362">
      <c r="J4362">
        <f>IF(AND(ISNUMBER('Data'!$F$4363),'Data'!$F$4363&lt;&gt;999,'Data'!$F$4363&lt;&gt;""),'Data'!$F$4363,"")</f>
        <v/>
      </c>
      <c r="Z4362" t="n">
        <v>1</v>
      </c>
      <c r="AA4362">
        <f>IF(ISNUMBER('IN-CLASS_Lab Part C'!$J$4362),'IN-CLASS_Lab Part C'!$J$4362,NA())</f>
        <v/>
      </c>
    </row>
    <row r="4363">
      <c r="J4363">
        <f>IF(AND(ISNUMBER('Data'!$F$4364),'Data'!$F$4364&lt;&gt;999,'Data'!$F$4364&lt;&gt;""),'Data'!$F$4364,"")</f>
        <v/>
      </c>
      <c r="Z4363" t="n">
        <v>1</v>
      </c>
      <c r="AA4363">
        <f>IF(ISNUMBER('IN-CLASS_Lab Part C'!$J$4363),'IN-CLASS_Lab Part C'!$J$4363,NA())</f>
        <v/>
      </c>
    </row>
    <row r="4364">
      <c r="J4364">
        <f>IF(AND(ISNUMBER('Data'!$F$4365),'Data'!$F$4365&lt;&gt;999,'Data'!$F$4365&lt;&gt;""),'Data'!$F$4365,"")</f>
        <v/>
      </c>
      <c r="Z4364" t="n">
        <v>1</v>
      </c>
      <c r="AA4364">
        <f>IF(ISNUMBER('IN-CLASS_Lab Part C'!$J$4364),'IN-CLASS_Lab Part C'!$J$4364,NA())</f>
        <v/>
      </c>
    </row>
    <row r="4365">
      <c r="J4365">
        <f>IF(AND(ISNUMBER('Data'!$F$4366),'Data'!$F$4366&lt;&gt;999,'Data'!$F$4366&lt;&gt;""),'Data'!$F$4366,"")</f>
        <v/>
      </c>
      <c r="Z4365" t="n">
        <v>1</v>
      </c>
      <c r="AA4365">
        <f>IF(ISNUMBER('IN-CLASS_Lab Part C'!$J$4365),'IN-CLASS_Lab Part C'!$J$4365,NA())</f>
        <v/>
      </c>
    </row>
    <row r="4366">
      <c r="J4366">
        <f>IF(AND(ISNUMBER('Data'!$F$4367),'Data'!$F$4367&lt;&gt;999,'Data'!$F$4367&lt;&gt;""),'Data'!$F$4367,"")</f>
        <v/>
      </c>
      <c r="Z4366" t="n">
        <v>1</v>
      </c>
      <c r="AA4366">
        <f>IF(ISNUMBER('IN-CLASS_Lab Part C'!$J$4366),'IN-CLASS_Lab Part C'!$J$4366,NA())</f>
        <v/>
      </c>
    </row>
    <row r="4367">
      <c r="J4367">
        <f>IF(AND(ISNUMBER('Data'!$F$4368),'Data'!$F$4368&lt;&gt;999,'Data'!$F$4368&lt;&gt;""),'Data'!$F$4368,"")</f>
        <v/>
      </c>
      <c r="Z4367" t="n">
        <v>1</v>
      </c>
      <c r="AA4367">
        <f>IF(ISNUMBER('IN-CLASS_Lab Part C'!$J$4367),'IN-CLASS_Lab Part C'!$J$4367,NA())</f>
        <v/>
      </c>
    </row>
    <row r="4368">
      <c r="J4368">
        <f>IF(AND(ISNUMBER('Data'!$F$4369),'Data'!$F$4369&lt;&gt;999,'Data'!$F$4369&lt;&gt;""),'Data'!$F$4369,"")</f>
        <v/>
      </c>
      <c r="Z4368" t="n">
        <v>1</v>
      </c>
      <c r="AA4368">
        <f>IF(ISNUMBER('IN-CLASS_Lab Part C'!$J$4368),'IN-CLASS_Lab Part C'!$J$4368,NA())</f>
        <v/>
      </c>
    </row>
    <row r="4369">
      <c r="J4369">
        <f>IF(AND(ISNUMBER('Data'!$F$4370),'Data'!$F$4370&lt;&gt;999,'Data'!$F$4370&lt;&gt;""),'Data'!$F$4370,"")</f>
        <v/>
      </c>
      <c r="Z4369" t="n">
        <v>1</v>
      </c>
      <c r="AA4369">
        <f>IF(ISNUMBER('IN-CLASS_Lab Part C'!$J$4369),'IN-CLASS_Lab Part C'!$J$4369,NA())</f>
        <v/>
      </c>
    </row>
    <row r="4370">
      <c r="J4370">
        <f>IF(AND(ISNUMBER('Data'!$F$4371),'Data'!$F$4371&lt;&gt;999,'Data'!$F$4371&lt;&gt;""),'Data'!$F$4371,"")</f>
        <v/>
      </c>
      <c r="Z4370" t="n">
        <v>1</v>
      </c>
      <c r="AA4370">
        <f>IF(ISNUMBER('IN-CLASS_Lab Part C'!$J$4370),'IN-CLASS_Lab Part C'!$J$4370,NA())</f>
        <v/>
      </c>
    </row>
    <row r="4371">
      <c r="J4371">
        <f>IF(AND(ISNUMBER('Data'!$F$4372),'Data'!$F$4372&lt;&gt;999,'Data'!$F$4372&lt;&gt;""),'Data'!$F$4372,"")</f>
        <v/>
      </c>
      <c r="Z4371" t="n">
        <v>1</v>
      </c>
      <c r="AA4371">
        <f>IF(ISNUMBER('IN-CLASS_Lab Part C'!$J$4371),'IN-CLASS_Lab Part C'!$J$4371,NA())</f>
        <v/>
      </c>
    </row>
    <row r="4372">
      <c r="J4372">
        <f>IF(AND(ISNUMBER('Data'!$F$4373),'Data'!$F$4373&lt;&gt;999,'Data'!$F$4373&lt;&gt;""),'Data'!$F$4373,"")</f>
        <v/>
      </c>
      <c r="Z4372" t="n">
        <v>1</v>
      </c>
      <c r="AA4372">
        <f>IF(ISNUMBER('IN-CLASS_Lab Part C'!$J$4372),'IN-CLASS_Lab Part C'!$J$4372,NA())</f>
        <v/>
      </c>
    </row>
    <row r="4373">
      <c r="J4373">
        <f>IF(AND(ISNUMBER('Data'!$F$4374),'Data'!$F$4374&lt;&gt;999,'Data'!$F$4374&lt;&gt;""),'Data'!$F$4374,"")</f>
        <v/>
      </c>
      <c r="Z4373" t="n">
        <v>1</v>
      </c>
      <c r="AA4373">
        <f>IF(ISNUMBER('IN-CLASS_Lab Part C'!$J$4373),'IN-CLASS_Lab Part C'!$J$4373,NA())</f>
        <v/>
      </c>
    </row>
    <row r="4374">
      <c r="J4374">
        <f>IF(AND(ISNUMBER('Data'!$F$4375),'Data'!$F$4375&lt;&gt;999,'Data'!$F$4375&lt;&gt;""),'Data'!$F$4375,"")</f>
        <v/>
      </c>
      <c r="Z4374" t="n">
        <v>1</v>
      </c>
      <c r="AA4374">
        <f>IF(ISNUMBER('IN-CLASS_Lab Part C'!$J$4374),'IN-CLASS_Lab Part C'!$J$4374,NA())</f>
        <v/>
      </c>
    </row>
    <row r="4375">
      <c r="J4375">
        <f>IF(AND(ISNUMBER('Data'!$F$4376),'Data'!$F$4376&lt;&gt;999,'Data'!$F$4376&lt;&gt;""),'Data'!$F$4376,"")</f>
        <v/>
      </c>
      <c r="Z4375" t="n">
        <v>1</v>
      </c>
      <c r="AA4375">
        <f>IF(ISNUMBER('IN-CLASS_Lab Part C'!$J$4375),'IN-CLASS_Lab Part C'!$J$4375,NA())</f>
        <v/>
      </c>
    </row>
    <row r="4376">
      <c r="J4376">
        <f>IF(AND(ISNUMBER('Data'!$F$4377),'Data'!$F$4377&lt;&gt;999,'Data'!$F$4377&lt;&gt;""),'Data'!$F$4377,"")</f>
        <v/>
      </c>
      <c r="Z4376" t="n">
        <v>1</v>
      </c>
      <c r="AA4376">
        <f>IF(ISNUMBER('IN-CLASS_Lab Part C'!$J$4376),'IN-CLASS_Lab Part C'!$J$4376,NA())</f>
        <v/>
      </c>
    </row>
    <row r="4377">
      <c r="J4377">
        <f>IF(AND(ISNUMBER('Data'!$F$4378),'Data'!$F$4378&lt;&gt;999,'Data'!$F$4378&lt;&gt;""),'Data'!$F$4378,"")</f>
        <v/>
      </c>
      <c r="Z4377" t="n">
        <v>1</v>
      </c>
      <c r="AA4377">
        <f>IF(ISNUMBER('IN-CLASS_Lab Part C'!$J$4377),'IN-CLASS_Lab Part C'!$J$4377,NA())</f>
        <v/>
      </c>
    </row>
    <row r="4378">
      <c r="J4378">
        <f>IF(AND(ISNUMBER('Data'!$F$4379),'Data'!$F$4379&lt;&gt;999,'Data'!$F$4379&lt;&gt;""),'Data'!$F$4379,"")</f>
        <v/>
      </c>
      <c r="Z4378" t="n">
        <v>1</v>
      </c>
      <c r="AA4378">
        <f>IF(ISNUMBER('IN-CLASS_Lab Part C'!$J$4378),'IN-CLASS_Lab Part C'!$J$4378,NA())</f>
        <v/>
      </c>
    </row>
    <row r="4379">
      <c r="J4379">
        <f>IF(AND(ISNUMBER('Data'!$F$4380),'Data'!$F$4380&lt;&gt;999,'Data'!$F$4380&lt;&gt;""),'Data'!$F$4380,"")</f>
        <v/>
      </c>
      <c r="Z4379" t="n">
        <v>1</v>
      </c>
      <c r="AA4379">
        <f>IF(ISNUMBER('IN-CLASS_Lab Part C'!$J$4379),'IN-CLASS_Lab Part C'!$J$4379,NA())</f>
        <v/>
      </c>
    </row>
    <row r="4380">
      <c r="J4380">
        <f>IF(AND(ISNUMBER('Data'!$F$4381),'Data'!$F$4381&lt;&gt;999,'Data'!$F$4381&lt;&gt;""),'Data'!$F$4381,"")</f>
        <v/>
      </c>
      <c r="Z4380" t="n">
        <v>1</v>
      </c>
      <c r="AA4380">
        <f>IF(ISNUMBER('IN-CLASS_Lab Part C'!$J$4380),'IN-CLASS_Lab Part C'!$J$4380,NA())</f>
        <v/>
      </c>
    </row>
    <row r="4381">
      <c r="J4381">
        <f>IF(AND(ISNUMBER('Data'!$F$4382),'Data'!$F$4382&lt;&gt;999,'Data'!$F$4382&lt;&gt;""),'Data'!$F$4382,"")</f>
        <v/>
      </c>
      <c r="Z4381" t="n">
        <v>1</v>
      </c>
      <c r="AA4381">
        <f>IF(ISNUMBER('IN-CLASS_Lab Part C'!$J$4381),'IN-CLASS_Lab Part C'!$J$4381,NA())</f>
        <v/>
      </c>
    </row>
    <row r="4382">
      <c r="J4382">
        <f>IF(AND(ISNUMBER('Data'!$F$4383),'Data'!$F$4383&lt;&gt;999,'Data'!$F$4383&lt;&gt;""),'Data'!$F$4383,"")</f>
        <v/>
      </c>
      <c r="Z4382" t="n">
        <v>1</v>
      </c>
      <c r="AA4382">
        <f>IF(ISNUMBER('IN-CLASS_Lab Part C'!$J$4382),'IN-CLASS_Lab Part C'!$J$4382,NA())</f>
        <v/>
      </c>
    </row>
    <row r="4383">
      <c r="J4383">
        <f>IF(AND(ISNUMBER('Data'!$F$4384),'Data'!$F$4384&lt;&gt;999,'Data'!$F$4384&lt;&gt;""),'Data'!$F$4384,"")</f>
        <v/>
      </c>
      <c r="Z4383" t="n">
        <v>1</v>
      </c>
      <c r="AA4383">
        <f>IF(ISNUMBER('IN-CLASS_Lab Part C'!$J$4383),'IN-CLASS_Lab Part C'!$J$4383,NA())</f>
        <v/>
      </c>
    </row>
    <row r="4384">
      <c r="J4384">
        <f>IF(AND(ISNUMBER('Data'!$F$4385),'Data'!$F$4385&lt;&gt;999,'Data'!$F$4385&lt;&gt;""),'Data'!$F$4385,"")</f>
        <v/>
      </c>
      <c r="Z4384" t="n">
        <v>1</v>
      </c>
      <c r="AA4384">
        <f>IF(ISNUMBER('IN-CLASS_Lab Part C'!$J$4384),'IN-CLASS_Lab Part C'!$J$4384,NA())</f>
        <v/>
      </c>
    </row>
    <row r="4385">
      <c r="J4385">
        <f>IF(AND(ISNUMBER('Data'!$F$4386),'Data'!$F$4386&lt;&gt;999,'Data'!$F$4386&lt;&gt;""),'Data'!$F$4386,"")</f>
        <v/>
      </c>
      <c r="Z4385" t="n">
        <v>1</v>
      </c>
      <c r="AA4385">
        <f>IF(ISNUMBER('IN-CLASS_Lab Part C'!$J$4385),'IN-CLASS_Lab Part C'!$J$4385,NA())</f>
        <v/>
      </c>
    </row>
    <row r="4386">
      <c r="J4386">
        <f>IF(AND(ISNUMBER('Data'!$F$4387),'Data'!$F$4387&lt;&gt;999,'Data'!$F$4387&lt;&gt;""),'Data'!$F$4387,"")</f>
        <v/>
      </c>
      <c r="Z4386" t="n">
        <v>1</v>
      </c>
      <c r="AA4386">
        <f>IF(ISNUMBER('IN-CLASS_Lab Part C'!$J$4386),'IN-CLASS_Lab Part C'!$J$4386,NA())</f>
        <v/>
      </c>
    </row>
    <row r="4387">
      <c r="J4387">
        <f>IF(AND(ISNUMBER('Data'!$F$4388),'Data'!$F$4388&lt;&gt;999,'Data'!$F$4388&lt;&gt;""),'Data'!$F$4388,"")</f>
        <v/>
      </c>
      <c r="Z4387" t="n">
        <v>1</v>
      </c>
      <c r="AA4387">
        <f>IF(ISNUMBER('IN-CLASS_Lab Part C'!$J$4387),'IN-CLASS_Lab Part C'!$J$4387,NA())</f>
        <v/>
      </c>
    </row>
    <row r="4388">
      <c r="J4388">
        <f>IF(AND(ISNUMBER('Data'!$F$4389),'Data'!$F$4389&lt;&gt;999,'Data'!$F$4389&lt;&gt;""),'Data'!$F$4389,"")</f>
        <v/>
      </c>
      <c r="Z4388" t="n">
        <v>1</v>
      </c>
      <c r="AA4388">
        <f>IF(ISNUMBER('IN-CLASS_Lab Part C'!$J$4388),'IN-CLASS_Lab Part C'!$J$4388,NA())</f>
        <v/>
      </c>
    </row>
    <row r="4389">
      <c r="J4389">
        <f>IF(AND(ISNUMBER('Data'!$F$4390),'Data'!$F$4390&lt;&gt;999,'Data'!$F$4390&lt;&gt;""),'Data'!$F$4390,"")</f>
        <v/>
      </c>
      <c r="Z4389" t="n">
        <v>1</v>
      </c>
      <c r="AA4389">
        <f>IF(ISNUMBER('IN-CLASS_Lab Part C'!$J$4389),'IN-CLASS_Lab Part C'!$J$4389,NA())</f>
        <v/>
      </c>
    </row>
    <row r="4390">
      <c r="J4390">
        <f>IF(AND(ISNUMBER('Data'!$F$4391),'Data'!$F$4391&lt;&gt;999,'Data'!$F$4391&lt;&gt;""),'Data'!$F$4391,"")</f>
        <v/>
      </c>
      <c r="Z4390" t="n">
        <v>1</v>
      </c>
      <c r="AA4390">
        <f>IF(ISNUMBER('IN-CLASS_Lab Part C'!$J$4390),'IN-CLASS_Lab Part C'!$J$4390,NA())</f>
        <v/>
      </c>
    </row>
    <row r="4391">
      <c r="J4391">
        <f>IF(AND(ISNUMBER('Data'!$F$4392),'Data'!$F$4392&lt;&gt;999,'Data'!$F$4392&lt;&gt;""),'Data'!$F$4392,"")</f>
        <v/>
      </c>
      <c r="Z4391" t="n">
        <v>1</v>
      </c>
      <c r="AA4391">
        <f>IF(ISNUMBER('IN-CLASS_Lab Part C'!$J$4391),'IN-CLASS_Lab Part C'!$J$4391,NA())</f>
        <v/>
      </c>
    </row>
    <row r="4392">
      <c r="J4392">
        <f>IF(AND(ISNUMBER('Data'!$F$4393),'Data'!$F$4393&lt;&gt;999,'Data'!$F$4393&lt;&gt;""),'Data'!$F$4393,"")</f>
        <v/>
      </c>
      <c r="Z4392" t="n">
        <v>1</v>
      </c>
      <c r="AA4392">
        <f>IF(ISNUMBER('IN-CLASS_Lab Part C'!$J$4392),'IN-CLASS_Lab Part C'!$J$4392,NA())</f>
        <v/>
      </c>
    </row>
    <row r="4393">
      <c r="J4393">
        <f>IF(AND(ISNUMBER('Data'!$F$4394),'Data'!$F$4394&lt;&gt;999,'Data'!$F$4394&lt;&gt;""),'Data'!$F$4394,"")</f>
        <v/>
      </c>
      <c r="Z4393" t="n">
        <v>1</v>
      </c>
      <c r="AA4393">
        <f>IF(ISNUMBER('IN-CLASS_Lab Part C'!$J$4393),'IN-CLASS_Lab Part C'!$J$4393,NA())</f>
        <v/>
      </c>
    </row>
    <row r="4394">
      <c r="J4394">
        <f>IF(AND(ISNUMBER('Data'!$F$4395),'Data'!$F$4395&lt;&gt;999,'Data'!$F$4395&lt;&gt;""),'Data'!$F$4395,"")</f>
        <v/>
      </c>
      <c r="Z4394" t="n">
        <v>1</v>
      </c>
      <c r="AA4394">
        <f>IF(ISNUMBER('IN-CLASS_Lab Part C'!$J$4394),'IN-CLASS_Lab Part C'!$J$4394,NA())</f>
        <v/>
      </c>
    </row>
    <row r="4395">
      <c r="J4395">
        <f>IF(AND(ISNUMBER('Data'!$F$4396),'Data'!$F$4396&lt;&gt;999,'Data'!$F$4396&lt;&gt;""),'Data'!$F$4396,"")</f>
        <v/>
      </c>
      <c r="Z4395" t="n">
        <v>1</v>
      </c>
      <c r="AA4395">
        <f>IF(ISNUMBER('IN-CLASS_Lab Part C'!$J$4395),'IN-CLASS_Lab Part C'!$J$4395,NA())</f>
        <v/>
      </c>
    </row>
    <row r="4396">
      <c r="J4396">
        <f>IF(AND(ISNUMBER('Data'!$F$4397),'Data'!$F$4397&lt;&gt;999,'Data'!$F$4397&lt;&gt;""),'Data'!$F$4397,"")</f>
        <v/>
      </c>
      <c r="Z4396" t="n">
        <v>1</v>
      </c>
      <c r="AA4396">
        <f>IF(ISNUMBER('IN-CLASS_Lab Part C'!$J$4396),'IN-CLASS_Lab Part C'!$J$4396,NA())</f>
        <v/>
      </c>
    </row>
    <row r="4397">
      <c r="J4397">
        <f>IF(AND(ISNUMBER('Data'!$F$4398),'Data'!$F$4398&lt;&gt;999,'Data'!$F$4398&lt;&gt;""),'Data'!$F$4398,"")</f>
        <v/>
      </c>
      <c r="Z4397" t="n">
        <v>1</v>
      </c>
      <c r="AA4397">
        <f>IF(ISNUMBER('IN-CLASS_Lab Part C'!$J$4397),'IN-CLASS_Lab Part C'!$J$4397,NA())</f>
        <v/>
      </c>
    </row>
    <row r="4398">
      <c r="J4398">
        <f>IF(AND(ISNUMBER('Data'!$F$4399),'Data'!$F$4399&lt;&gt;999,'Data'!$F$4399&lt;&gt;""),'Data'!$F$4399,"")</f>
        <v/>
      </c>
      <c r="Z4398" t="n">
        <v>1</v>
      </c>
      <c r="AA4398">
        <f>IF(ISNUMBER('IN-CLASS_Lab Part C'!$J$4398),'IN-CLASS_Lab Part C'!$J$4398,NA())</f>
        <v/>
      </c>
    </row>
    <row r="4399">
      <c r="J4399">
        <f>IF(AND(ISNUMBER('Data'!$F$4400),'Data'!$F$4400&lt;&gt;999,'Data'!$F$4400&lt;&gt;""),'Data'!$F$4400,"")</f>
        <v/>
      </c>
      <c r="Z4399" t="n">
        <v>1</v>
      </c>
      <c r="AA4399">
        <f>IF(ISNUMBER('IN-CLASS_Lab Part C'!$J$4399),'IN-CLASS_Lab Part C'!$J$4399,NA())</f>
        <v/>
      </c>
    </row>
    <row r="4400">
      <c r="J4400">
        <f>IF(AND(ISNUMBER('Data'!$F$4401),'Data'!$F$4401&lt;&gt;999,'Data'!$F$4401&lt;&gt;""),'Data'!$F$4401,"")</f>
        <v/>
      </c>
      <c r="Z4400" t="n">
        <v>1</v>
      </c>
      <c r="AA4400">
        <f>IF(ISNUMBER('IN-CLASS_Lab Part C'!$J$4400),'IN-CLASS_Lab Part C'!$J$4400,NA())</f>
        <v/>
      </c>
    </row>
    <row r="4401">
      <c r="J4401">
        <f>IF(AND(ISNUMBER('Data'!$F$4402),'Data'!$F$4402&lt;&gt;999,'Data'!$F$4402&lt;&gt;""),'Data'!$F$4402,"")</f>
        <v/>
      </c>
      <c r="Z4401" t="n">
        <v>1</v>
      </c>
      <c r="AA4401">
        <f>IF(ISNUMBER('IN-CLASS_Lab Part C'!$J$4401),'IN-CLASS_Lab Part C'!$J$4401,NA())</f>
        <v/>
      </c>
    </row>
    <row r="4402">
      <c r="J4402">
        <f>IF(AND(ISNUMBER('Data'!$F$4403),'Data'!$F$4403&lt;&gt;999,'Data'!$F$4403&lt;&gt;""),'Data'!$F$4403,"")</f>
        <v/>
      </c>
      <c r="Z4402" t="n">
        <v>1</v>
      </c>
      <c r="AA4402">
        <f>IF(ISNUMBER('IN-CLASS_Lab Part C'!$J$4402),'IN-CLASS_Lab Part C'!$J$4402,NA())</f>
        <v/>
      </c>
    </row>
    <row r="4403">
      <c r="J4403">
        <f>IF(AND(ISNUMBER('Data'!$F$4404),'Data'!$F$4404&lt;&gt;999,'Data'!$F$4404&lt;&gt;""),'Data'!$F$4404,"")</f>
        <v/>
      </c>
      <c r="Z4403" t="n">
        <v>1</v>
      </c>
      <c r="AA4403">
        <f>IF(ISNUMBER('IN-CLASS_Lab Part C'!$J$4403),'IN-CLASS_Lab Part C'!$J$4403,NA())</f>
        <v/>
      </c>
    </row>
    <row r="4404">
      <c r="J4404">
        <f>IF(AND(ISNUMBER('Data'!$F$4405),'Data'!$F$4405&lt;&gt;999,'Data'!$F$4405&lt;&gt;""),'Data'!$F$4405,"")</f>
        <v/>
      </c>
      <c r="Z4404" t="n">
        <v>1</v>
      </c>
      <c r="AA4404">
        <f>IF(ISNUMBER('IN-CLASS_Lab Part C'!$J$4404),'IN-CLASS_Lab Part C'!$J$4404,NA())</f>
        <v/>
      </c>
    </row>
    <row r="4405">
      <c r="J4405">
        <f>IF(AND(ISNUMBER('Data'!$F$4406),'Data'!$F$4406&lt;&gt;999,'Data'!$F$4406&lt;&gt;""),'Data'!$F$4406,"")</f>
        <v/>
      </c>
      <c r="Z4405" t="n">
        <v>1</v>
      </c>
      <c r="AA4405">
        <f>IF(ISNUMBER('IN-CLASS_Lab Part C'!$J$4405),'IN-CLASS_Lab Part C'!$J$4405,NA())</f>
        <v/>
      </c>
    </row>
    <row r="4406">
      <c r="J4406">
        <f>IF(AND(ISNUMBER('Data'!$F$4407),'Data'!$F$4407&lt;&gt;999,'Data'!$F$4407&lt;&gt;""),'Data'!$F$4407,"")</f>
        <v/>
      </c>
      <c r="Z4406" t="n">
        <v>1</v>
      </c>
      <c r="AA4406">
        <f>IF(ISNUMBER('IN-CLASS_Lab Part C'!$J$4406),'IN-CLASS_Lab Part C'!$J$4406,NA())</f>
        <v/>
      </c>
    </row>
    <row r="4407">
      <c r="J4407">
        <f>IF(AND(ISNUMBER('Data'!$F$4408),'Data'!$F$4408&lt;&gt;999,'Data'!$F$4408&lt;&gt;""),'Data'!$F$4408,"")</f>
        <v/>
      </c>
      <c r="Z4407" t="n">
        <v>1</v>
      </c>
      <c r="AA4407">
        <f>IF(ISNUMBER('IN-CLASS_Lab Part C'!$J$4407),'IN-CLASS_Lab Part C'!$J$4407,NA())</f>
        <v/>
      </c>
    </row>
    <row r="4408">
      <c r="J4408">
        <f>IF(AND(ISNUMBER('Data'!$F$4409),'Data'!$F$4409&lt;&gt;999,'Data'!$F$4409&lt;&gt;""),'Data'!$F$4409,"")</f>
        <v/>
      </c>
      <c r="Z4408" t="n">
        <v>1</v>
      </c>
      <c r="AA4408">
        <f>IF(ISNUMBER('IN-CLASS_Lab Part C'!$J$4408),'IN-CLASS_Lab Part C'!$J$4408,NA())</f>
        <v/>
      </c>
    </row>
    <row r="4409">
      <c r="J4409">
        <f>IF(AND(ISNUMBER('Data'!$F$4410),'Data'!$F$4410&lt;&gt;999,'Data'!$F$4410&lt;&gt;""),'Data'!$F$4410,"")</f>
        <v/>
      </c>
      <c r="Z4409" t="n">
        <v>1</v>
      </c>
      <c r="AA4409">
        <f>IF(ISNUMBER('IN-CLASS_Lab Part C'!$J$4409),'IN-CLASS_Lab Part C'!$J$4409,NA())</f>
        <v/>
      </c>
    </row>
    <row r="4410">
      <c r="J4410">
        <f>IF(AND(ISNUMBER('Data'!$F$4411),'Data'!$F$4411&lt;&gt;999,'Data'!$F$4411&lt;&gt;""),'Data'!$F$4411,"")</f>
        <v/>
      </c>
      <c r="Z4410" t="n">
        <v>1</v>
      </c>
      <c r="AA4410">
        <f>IF(ISNUMBER('IN-CLASS_Lab Part C'!$J$4410),'IN-CLASS_Lab Part C'!$J$4410,NA())</f>
        <v/>
      </c>
    </row>
    <row r="4411">
      <c r="J4411">
        <f>IF(AND(ISNUMBER('Data'!$F$4412),'Data'!$F$4412&lt;&gt;999,'Data'!$F$4412&lt;&gt;""),'Data'!$F$4412,"")</f>
        <v/>
      </c>
      <c r="Z4411" t="n">
        <v>1</v>
      </c>
      <c r="AA4411">
        <f>IF(ISNUMBER('IN-CLASS_Lab Part C'!$J$4411),'IN-CLASS_Lab Part C'!$J$4411,NA())</f>
        <v/>
      </c>
    </row>
    <row r="4412">
      <c r="J4412">
        <f>IF(AND(ISNUMBER('Data'!$F$4413),'Data'!$F$4413&lt;&gt;999,'Data'!$F$4413&lt;&gt;""),'Data'!$F$4413,"")</f>
        <v/>
      </c>
      <c r="Z4412" t="n">
        <v>1</v>
      </c>
      <c r="AA4412">
        <f>IF(ISNUMBER('IN-CLASS_Lab Part C'!$J$4412),'IN-CLASS_Lab Part C'!$J$4412,NA())</f>
        <v/>
      </c>
    </row>
    <row r="4413">
      <c r="J4413">
        <f>IF(AND(ISNUMBER('Data'!$F$4414),'Data'!$F$4414&lt;&gt;999,'Data'!$F$4414&lt;&gt;""),'Data'!$F$4414,"")</f>
        <v/>
      </c>
      <c r="Z4413" t="n">
        <v>1</v>
      </c>
      <c r="AA4413">
        <f>IF(ISNUMBER('IN-CLASS_Lab Part C'!$J$4413),'IN-CLASS_Lab Part C'!$J$4413,NA())</f>
        <v/>
      </c>
    </row>
    <row r="4414">
      <c r="J4414">
        <f>IF(AND(ISNUMBER('Data'!$F$4415),'Data'!$F$4415&lt;&gt;999,'Data'!$F$4415&lt;&gt;""),'Data'!$F$4415,"")</f>
        <v/>
      </c>
      <c r="Z4414" t="n">
        <v>1</v>
      </c>
      <c r="AA4414">
        <f>IF(ISNUMBER('IN-CLASS_Lab Part C'!$J$4414),'IN-CLASS_Lab Part C'!$J$4414,NA())</f>
        <v/>
      </c>
    </row>
    <row r="4415">
      <c r="J4415">
        <f>IF(AND(ISNUMBER('Data'!$F$4416),'Data'!$F$4416&lt;&gt;999,'Data'!$F$4416&lt;&gt;""),'Data'!$F$4416,"")</f>
        <v/>
      </c>
      <c r="Z4415" t="n">
        <v>1</v>
      </c>
      <c r="AA4415">
        <f>IF(ISNUMBER('IN-CLASS_Lab Part C'!$J$4415),'IN-CLASS_Lab Part C'!$J$4415,NA())</f>
        <v/>
      </c>
    </row>
    <row r="4416">
      <c r="J4416">
        <f>IF(AND(ISNUMBER('Data'!$F$4417),'Data'!$F$4417&lt;&gt;999,'Data'!$F$4417&lt;&gt;""),'Data'!$F$4417,"")</f>
        <v/>
      </c>
      <c r="Z4416" t="n">
        <v>1</v>
      </c>
      <c r="AA4416">
        <f>IF(ISNUMBER('IN-CLASS_Lab Part C'!$J$4416),'IN-CLASS_Lab Part C'!$J$4416,NA())</f>
        <v/>
      </c>
    </row>
    <row r="4417">
      <c r="J4417">
        <f>IF(AND(ISNUMBER('Data'!$F$4418),'Data'!$F$4418&lt;&gt;999,'Data'!$F$4418&lt;&gt;""),'Data'!$F$4418,"")</f>
        <v/>
      </c>
      <c r="Z4417" t="n">
        <v>1</v>
      </c>
      <c r="AA4417">
        <f>IF(ISNUMBER('IN-CLASS_Lab Part C'!$J$4417),'IN-CLASS_Lab Part C'!$J$4417,NA())</f>
        <v/>
      </c>
    </row>
    <row r="4418">
      <c r="J4418">
        <f>IF(AND(ISNUMBER('Data'!$F$4419),'Data'!$F$4419&lt;&gt;999,'Data'!$F$4419&lt;&gt;""),'Data'!$F$4419,"")</f>
        <v/>
      </c>
      <c r="Z4418" t="n">
        <v>1</v>
      </c>
      <c r="AA4418">
        <f>IF(ISNUMBER('IN-CLASS_Lab Part C'!$J$4418),'IN-CLASS_Lab Part C'!$J$4418,NA())</f>
        <v/>
      </c>
    </row>
    <row r="4419">
      <c r="J4419">
        <f>IF(AND(ISNUMBER('Data'!$F$4420),'Data'!$F$4420&lt;&gt;999,'Data'!$F$4420&lt;&gt;""),'Data'!$F$4420,"")</f>
        <v/>
      </c>
      <c r="Z4419" t="n">
        <v>1</v>
      </c>
      <c r="AA4419">
        <f>IF(ISNUMBER('IN-CLASS_Lab Part C'!$J$4419),'IN-CLASS_Lab Part C'!$J$4419,NA())</f>
        <v/>
      </c>
    </row>
    <row r="4420">
      <c r="J4420">
        <f>IF(AND(ISNUMBER('Data'!$F$4421),'Data'!$F$4421&lt;&gt;999,'Data'!$F$4421&lt;&gt;""),'Data'!$F$4421,"")</f>
        <v/>
      </c>
      <c r="Z4420" t="n">
        <v>1</v>
      </c>
      <c r="AA4420">
        <f>IF(ISNUMBER('IN-CLASS_Lab Part C'!$J$4420),'IN-CLASS_Lab Part C'!$J$4420,NA())</f>
        <v/>
      </c>
    </row>
    <row r="4421">
      <c r="J4421">
        <f>IF(AND(ISNUMBER('Data'!$F$4422),'Data'!$F$4422&lt;&gt;999,'Data'!$F$4422&lt;&gt;""),'Data'!$F$4422,"")</f>
        <v/>
      </c>
      <c r="Z4421" t="n">
        <v>1</v>
      </c>
      <c r="AA4421">
        <f>IF(ISNUMBER('IN-CLASS_Lab Part C'!$J$4421),'IN-CLASS_Lab Part C'!$J$4421,NA())</f>
        <v/>
      </c>
    </row>
    <row r="4422">
      <c r="J4422">
        <f>IF(AND(ISNUMBER('Data'!$F$4423),'Data'!$F$4423&lt;&gt;999,'Data'!$F$4423&lt;&gt;""),'Data'!$F$4423,"")</f>
        <v/>
      </c>
      <c r="Z4422" t="n">
        <v>1</v>
      </c>
      <c r="AA4422">
        <f>IF(ISNUMBER('IN-CLASS_Lab Part C'!$J$4422),'IN-CLASS_Lab Part C'!$J$4422,NA())</f>
        <v/>
      </c>
    </row>
    <row r="4423">
      <c r="J4423">
        <f>IF(AND(ISNUMBER('Data'!$F$4424),'Data'!$F$4424&lt;&gt;999,'Data'!$F$4424&lt;&gt;""),'Data'!$F$4424,"")</f>
        <v/>
      </c>
      <c r="Z4423" t="n">
        <v>1</v>
      </c>
      <c r="AA4423">
        <f>IF(ISNUMBER('IN-CLASS_Lab Part C'!$J$4423),'IN-CLASS_Lab Part C'!$J$4423,NA())</f>
        <v/>
      </c>
    </row>
    <row r="4424">
      <c r="J4424">
        <f>IF(AND(ISNUMBER('Data'!$F$4425),'Data'!$F$4425&lt;&gt;999,'Data'!$F$4425&lt;&gt;""),'Data'!$F$4425,"")</f>
        <v/>
      </c>
      <c r="Z4424" t="n">
        <v>1</v>
      </c>
      <c r="AA4424">
        <f>IF(ISNUMBER('IN-CLASS_Lab Part C'!$J$4424),'IN-CLASS_Lab Part C'!$J$4424,NA())</f>
        <v/>
      </c>
    </row>
    <row r="4425">
      <c r="J4425">
        <f>IF(AND(ISNUMBER('Data'!$F$4426),'Data'!$F$4426&lt;&gt;999,'Data'!$F$4426&lt;&gt;""),'Data'!$F$4426,"")</f>
        <v/>
      </c>
      <c r="Z4425" t="n">
        <v>1</v>
      </c>
      <c r="AA4425">
        <f>IF(ISNUMBER('IN-CLASS_Lab Part C'!$J$4425),'IN-CLASS_Lab Part C'!$J$4425,NA())</f>
        <v/>
      </c>
    </row>
    <row r="4426">
      <c r="J4426">
        <f>IF(AND(ISNUMBER('Data'!$F$4427),'Data'!$F$4427&lt;&gt;999,'Data'!$F$4427&lt;&gt;""),'Data'!$F$4427,"")</f>
        <v/>
      </c>
      <c r="Z4426" t="n">
        <v>1</v>
      </c>
      <c r="AA4426">
        <f>IF(ISNUMBER('IN-CLASS_Lab Part C'!$J$4426),'IN-CLASS_Lab Part C'!$J$4426,NA())</f>
        <v/>
      </c>
    </row>
    <row r="4427">
      <c r="J4427">
        <f>IF(AND(ISNUMBER('Data'!$F$4428),'Data'!$F$4428&lt;&gt;999,'Data'!$F$4428&lt;&gt;""),'Data'!$F$4428,"")</f>
        <v/>
      </c>
      <c r="Z4427" t="n">
        <v>1</v>
      </c>
      <c r="AA4427">
        <f>IF(ISNUMBER('IN-CLASS_Lab Part C'!$J$4427),'IN-CLASS_Lab Part C'!$J$4427,NA())</f>
        <v/>
      </c>
    </row>
    <row r="4428">
      <c r="J4428">
        <f>IF(AND(ISNUMBER('Data'!$F$4429),'Data'!$F$4429&lt;&gt;999,'Data'!$F$4429&lt;&gt;""),'Data'!$F$4429,"")</f>
        <v/>
      </c>
      <c r="Z4428" t="n">
        <v>1</v>
      </c>
      <c r="AA4428">
        <f>IF(ISNUMBER('IN-CLASS_Lab Part C'!$J$4428),'IN-CLASS_Lab Part C'!$J$4428,NA())</f>
        <v/>
      </c>
    </row>
    <row r="4429">
      <c r="J4429">
        <f>IF(AND(ISNUMBER('Data'!$F$4430),'Data'!$F$4430&lt;&gt;999,'Data'!$F$4430&lt;&gt;""),'Data'!$F$4430,"")</f>
        <v/>
      </c>
      <c r="Z4429" t="n">
        <v>1</v>
      </c>
      <c r="AA4429">
        <f>IF(ISNUMBER('IN-CLASS_Lab Part C'!$J$4429),'IN-CLASS_Lab Part C'!$J$4429,NA())</f>
        <v/>
      </c>
    </row>
    <row r="4430">
      <c r="J4430">
        <f>IF(AND(ISNUMBER('Data'!$F$4431),'Data'!$F$4431&lt;&gt;999,'Data'!$F$4431&lt;&gt;""),'Data'!$F$4431,"")</f>
        <v/>
      </c>
      <c r="Z4430" t="n">
        <v>1</v>
      </c>
      <c r="AA4430">
        <f>IF(ISNUMBER('IN-CLASS_Lab Part C'!$J$4430),'IN-CLASS_Lab Part C'!$J$4430,NA())</f>
        <v/>
      </c>
    </row>
    <row r="4431">
      <c r="J4431">
        <f>IF(AND(ISNUMBER('Data'!$F$4432),'Data'!$F$4432&lt;&gt;999,'Data'!$F$4432&lt;&gt;""),'Data'!$F$4432,"")</f>
        <v/>
      </c>
      <c r="Z4431" t="n">
        <v>1</v>
      </c>
      <c r="AA4431">
        <f>IF(ISNUMBER('IN-CLASS_Lab Part C'!$J$4431),'IN-CLASS_Lab Part C'!$J$4431,NA())</f>
        <v/>
      </c>
    </row>
    <row r="4432">
      <c r="J4432">
        <f>IF(AND(ISNUMBER('Data'!$F$4433),'Data'!$F$4433&lt;&gt;999,'Data'!$F$4433&lt;&gt;""),'Data'!$F$4433,"")</f>
        <v/>
      </c>
      <c r="Z4432" t="n">
        <v>1</v>
      </c>
      <c r="AA4432">
        <f>IF(ISNUMBER('IN-CLASS_Lab Part C'!$J$4432),'IN-CLASS_Lab Part C'!$J$4432,NA())</f>
        <v/>
      </c>
    </row>
    <row r="4433">
      <c r="J4433">
        <f>IF(AND(ISNUMBER('Data'!$F$4434),'Data'!$F$4434&lt;&gt;999,'Data'!$F$4434&lt;&gt;""),'Data'!$F$4434,"")</f>
        <v/>
      </c>
      <c r="Z4433" t="n">
        <v>1</v>
      </c>
      <c r="AA4433">
        <f>IF(ISNUMBER('IN-CLASS_Lab Part C'!$J$4433),'IN-CLASS_Lab Part C'!$J$4433,NA())</f>
        <v/>
      </c>
    </row>
    <row r="4434">
      <c r="J4434">
        <f>IF(AND(ISNUMBER('Data'!$F$4435),'Data'!$F$4435&lt;&gt;999,'Data'!$F$4435&lt;&gt;""),'Data'!$F$4435,"")</f>
        <v/>
      </c>
      <c r="Z4434" t="n">
        <v>1</v>
      </c>
      <c r="AA4434">
        <f>IF(ISNUMBER('IN-CLASS_Lab Part C'!$J$4434),'IN-CLASS_Lab Part C'!$J$4434,NA())</f>
        <v/>
      </c>
    </row>
    <row r="4435">
      <c r="J4435">
        <f>IF(AND(ISNUMBER('Data'!$F$4436),'Data'!$F$4436&lt;&gt;999,'Data'!$F$4436&lt;&gt;""),'Data'!$F$4436,"")</f>
        <v/>
      </c>
      <c r="Z4435" t="n">
        <v>1</v>
      </c>
      <c r="AA4435">
        <f>IF(ISNUMBER('IN-CLASS_Lab Part C'!$J$4435),'IN-CLASS_Lab Part C'!$J$4435,NA())</f>
        <v/>
      </c>
    </row>
    <row r="4436">
      <c r="J4436">
        <f>IF(AND(ISNUMBER('Data'!$F$4437),'Data'!$F$4437&lt;&gt;999,'Data'!$F$4437&lt;&gt;""),'Data'!$F$4437,"")</f>
        <v/>
      </c>
      <c r="Z4436" t="n">
        <v>1</v>
      </c>
      <c r="AA4436">
        <f>IF(ISNUMBER('IN-CLASS_Lab Part C'!$J$4436),'IN-CLASS_Lab Part C'!$J$4436,NA())</f>
        <v/>
      </c>
    </row>
    <row r="4437">
      <c r="J4437">
        <f>IF(AND(ISNUMBER('Data'!$F$4438),'Data'!$F$4438&lt;&gt;999,'Data'!$F$4438&lt;&gt;""),'Data'!$F$4438,"")</f>
        <v/>
      </c>
      <c r="Z4437" t="n">
        <v>1</v>
      </c>
      <c r="AA4437">
        <f>IF(ISNUMBER('IN-CLASS_Lab Part C'!$J$4437),'IN-CLASS_Lab Part C'!$J$4437,NA())</f>
        <v/>
      </c>
    </row>
    <row r="4438">
      <c r="J4438">
        <f>IF(AND(ISNUMBER('Data'!$F$4439),'Data'!$F$4439&lt;&gt;999,'Data'!$F$4439&lt;&gt;""),'Data'!$F$4439,"")</f>
        <v/>
      </c>
      <c r="Z4438" t="n">
        <v>1</v>
      </c>
      <c r="AA4438">
        <f>IF(ISNUMBER('IN-CLASS_Lab Part C'!$J$4438),'IN-CLASS_Lab Part C'!$J$4438,NA())</f>
        <v/>
      </c>
    </row>
    <row r="4439">
      <c r="J4439">
        <f>IF(AND(ISNUMBER('Data'!$F$4440),'Data'!$F$4440&lt;&gt;999,'Data'!$F$4440&lt;&gt;""),'Data'!$F$4440,"")</f>
        <v/>
      </c>
      <c r="Z4439" t="n">
        <v>1</v>
      </c>
      <c r="AA4439">
        <f>IF(ISNUMBER('IN-CLASS_Lab Part C'!$J$4439),'IN-CLASS_Lab Part C'!$J$4439,NA())</f>
        <v/>
      </c>
    </row>
    <row r="4440">
      <c r="J4440">
        <f>IF(AND(ISNUMBER('Data'!$F$4441),'Data'!$F$4441&lt;&gt;999,'Data'!$F$4441&lt;&gt;""),'Data'!$F$4441,"")</f>
        <v/>
      </c>
      <c r="Z4440" t="n">
        <v>1</v>
      </c>
      <c r="AA4440">
        <f>IF(ISNUMBER('IN-CLASS_Lab Part C'!$J$4440),'IN-CLASS_Lab Part C'!$J$4440,NA())</f>
        <v/>
      </c>
    </row>
    <row r="4441">
      <c r="J4441">
        <f>IF(AND(ISNUMBER('Data'!$F$4442),'Data'!$F$4442&lt;&gt;999,'Data'!$F$4442&lt;&gt;""),'Data'!$F$4442,"")</f>
        <v/>
      </c>
      <c r="Z4441" t="n">
        <v>1</v>
      </c>
      <c r="AA4441">
        <f>IF(ISNUMBER('IN-CLASS_Lab Part C'!$J$4441),'IN-CLASS_Lab Part C'!$J$4441,NA())</f>
        <v/>
      </c>
    </row>
    <row r="4442">
      <c r="J4442">
        <f>IF(AND(ISNUMBER('Data'!$F$4443),'Data'!$F$4443&lt;&gt;999,'Data'!$F$4443&lt;&gt;""),'Data'!$F$4443,"")</f>
        <v/>
      </c>
      <c r="Z4442" t="n">
        <v>1</v>
      </c>
      <c r="AA4442">
        <f>IF(ISNUMBER('IN-CLASS_Lab Part C'!$J$4442),'IN-CLASS_Lab Part C'!$J$4442,NA())</f>
        <v/>
      </c>
    </row>
    <row r="4443">
      <c r="J4443">
        <f>IF(AND(ISNUMBER('Data'!$F$4444),'Data'!$F$4444&lt;&gt;999,'Data'!$F$4444&lt;&gt;""),'Data'!$F$4444,"")</f>
        <v/>
      </c>
      <c r="Z4443" t="n">
        <v>1</v>
      </c>
      <c r="AA4443">
        <f>IF(ISNUMBER('IN-CLASS_Lab Part C'!$J$4443),'IN-CLASS_Lab Part C'!$J$4443,NA())</f>
        <v/>
      </c>
    </row>
    <row r="4444">
      <c r="J4444">
        <f>IF(AND(ISNUMBER('Data'!$F$4445),'Data'!$F$4445&lt;&gt;999,'Data'!$F$4445&lt;&gt;""),'Data'!$F$4445,"")</f>
        <v/>
      </c>
      <c r="Z4444" t="n">
        <v>1</v>
      </c>
      <c r="AA4444">
        <f>IF(ISNUMBER('IN-CLASS_Lab Part C'!$J$4444),'IN-CLASS_Lab Part C'!$J$4444,NA())</f>
        <v/>
      </c>
    </row>
    <row r="4445">
      <c r="J4445">
        <f>IF(AND(ISNUMBER('Data'!$F$4446),'Data'!$F$4446&lt;&gt;999,'Data'!$F$4446&lt;&gt;""),'Data'!$F$4446,"")</f>
        <v/>
      </c>
      <c r="Z4445" t="n">
        <v>1</v>
      </c>
      <c r="AA4445">
        <f>IF(ISNUMBER('IN-CLASS_Lab Part C'!$J$4445),'IN-CLASS_Lab Part C'!$J$4445,NA())</f>
        <v/>
      </c>
    </row>
    <row r="4446">
      <c r="J4446">
        <f>IF(AND(ISNUMBER('Data'!$F$4447),'Data'!$F$4447&lt;&gt;999,'Data'!$F$4447&lt;&gt;""),'Data'!$F$4447,"")</f>
        <v/>
      </c>
      <c r="Z4446" t="n">
        <v>1</v>
      </c>
      <c r="AA4446">
        <f>IF(ISNUMBER('IN-CLASS_Lab Part C'!$J$4446),'IN-CLASS_Lab Part C'!$J$4446,NA())</f>
        <v/>
      </c>
    </row>
    <row r="4447">
      <c r="J4447">
        <f>IF(AND(ISNUMBER('Data'!$F$4448),'Data'!$F$4448&lt;&gt;999,'Data'!$F$4448&lt;&gt;""),'Data'!$F$4448,"")</f>
        <v/>
      </c>
      <c r="Z4447" t="n">
        <v>1</v>
      </c>
      <c r="AA4447">
        <f>IF(ISNUMBER('IN-CLASS_Lab Part C'!$J$4447),'IN-CLASS_Lab Part C'!$J$4447,NA())</f>
        <v/>
      </c>
    </row>
    <row r="4448">
      <c r="J4448">
        <f>IF(AND(ISNUMBER('Data'!$F$4449),'Data'!$F$4449&lt;&gt;999,'Data'!$F$4449&lt;&gt;""),'Data'!$F$4449,"")</f>
        <v/>
      </c>
      <c r="Z4448" t="n">
        <v>1</v>
      </c>
      <c r="AA4448">
        <f>IF(ISNUMBER('IN-CLASS_Lab Part C'!$J$4448),'IN-CLASS_Lab Part C'!$J$4448,NA())</f>
        <v/>
      </c>
    </row>
    <row r="4449">
      <c r="J4449">
        <f>IF(AND(ISNUMBER('Data'!$F$4450),'Data'!$F$4450&lt;&gt;999,'Data'!$F$4450&lt;&gt;""),'Data'!$F$4450,"")</f>
        <v/>
      </c>
      <c r="Z4449" t="n">
        <v>1</v>
      </c>
      <c r="AA4449">
        <f>IF(ISNUMBER('IN-CLASS_Lab Part C'!$J$4449),'IN-CLASS_Lab Part C'!$J$4449,NA())</f>
        <v/>
      </c>
    </row>
    <row r="4450">
      <c r="J4450">
        <f>IF(AND(ISNUMBER('Data'!$F$4451),'Data'!$F$4451&lt;&gt;999,'Data'!$F$4451&lt;&gt;""),'Data'!$F$4451,"")</f>
        <v/>
      </c>
      <c r="Z4450" t="n">
        <v>1</v>
      </c>
      <c r="AA4450">
        <f>IF(ISNUMBER('IN-CLASS_Lab Part C'!$J$4450),'IN-CLASS_Lab Part C'!$J$4450,NA())</f>
        <v/>
      </c>
    </row>
    <row r="4451">
      <c r="J4451">
        <f>IF(AND(ISNUMBER('Data'!$F$4452),'Data'!$F$4452&lt;&gt;999,'Data'!$F$4452&lt;&gt;""),'Data'!$F$4452,"")</f>
        <v/>
      </c>
      <c r="Z4451" t="n">
        <v>1</v>
      </c>
      <c r="AA4451">
        <f>IF(ISNUMBER('IN-CLASS_Lab Part C'!$J$4451),'IN-CLASS_Lab Part C'!$J$4451,NA())</f>
        <v/>
      </c>
    </row>
    <row r="4452">
      <c r="J4452">
        <f>IF(AND(ISNUMBER('Data'!$F$4453),'Data'!$F$4453&lt;&gt;999,'Data'!$F$4453&lt;&gt;""),'Data'!$F$4453,"")</f>
        <v/>
      </c>
      <c r="Z4452" t="n">
        <v>1</v>
      </c>
      <c r="AA4452">
        <f>IF(ISNUMBER('IN-CLASS_Lab Part C'!$J$4452),'IN-CLASS_Lab Part C'!$J$4452,NA())</f>
        <v/>
      </c>
    </row>
    <row r="4453">
      <c r="J4453">
        <f>IF(AND(ISNUMBER('Data'!$F$4454),'Data'!$F$4454&lt;&gt;999,'Data'!$F$4454&lt;&gt;""),'Data'!$F$4454,"")</f>
        <v/>
      </c>
      <c r="Z4453" t="n">
        <v>1</v>
      </c>
      <c r="AA4453">
        <f>IF(ISNUMBER('IN-CLASS_Lab Part C'!$J$4453),'IN-CLASS_Lab Part C'!$J$4453,NA())</f>
        <v/>
      </c>
    </row>
    <row r="4454">
      <c r="J4454">
        <f>IF(AND(ISNUMBER('Data'!$F$4455),'Data'!$F$4455&lt;&gt;999,'Data'!$F$4455&lt;&gt;""),'Data'!$F$4455,"")</f>
        <v/>
      </c>
      <c r="Z4454" t="n">
        <v>1</v>
      </c>
      <c r="AA4454">
        <f>IF(ISNUMBER('IN-CLASS_Lab Part C'!$J$4454),'IN-CLASS_Lab Part C'!$J$4454,NA())</f>
        <v/>
      </c>
    </row>
    <row r="4455">
      <c r="J4455">
        <f>IF(AND(ISNUMBER('Data'!$F$4456),'Data'!$F$4456&lt;&gt;999,'Data'!$F$4456&lt;&gt;""),'Data'!$F$4456,"")</f>
        <v/>
      </c>
      <c r="Z4455" t="n">
        <v>1</v>
      </c>
      <c r="AA4455">
        <f>IF(ISNUMBER('IN-CLASS_Lab Part C'!$J$4455),'IN-CLASS_Lab Part C'!$J$4455,NA())</f>
        <v/>
      </c>
    </row>
    <row r="4456">
      <c r="J4456">
        <f>IF(AND(ISNUMBER('Data'!$F$4457),'Data'!$F$4457&lt;&gt;999,'Data'!$F$4457&lt;&gt;""),'Data'!$F$4457,"")</f>
        <v/>
      </c>
      <c r="Z4456" t="n">
        <v>1</v>
      </c>
      <c r="AA4456">
        <f>IF(ISNUMBER('IN-CLASS_Lab Part C'!$J$4456),'IN-CLASS_Lab Part C'!$J$4456,NA())</f>
        <v/>
      </c>
    </row>
    <row r="4457">
      <c r="J4457">
        <f>IF(AND(ISNUMBER('Data'!$F$4458),'Data'!$F$4458&lt;&gt;999,'Data'!$F$4458&lt;&gt;""),'Data'!$F$4458,"")</f>
        <v/>
      </c>
      <c r="Z4457" t="n">
        <v>1</v>
      </c>
      <c r="AA4457">
        <f>IF(ISNUMBER('IN-CLASS_Lab Part C'!$J$4457),'IN-CLASS_Lab Part C'!$J$4457,NA())</f>
        <v/>
      </c>
    </row>
    <row r="4458">
      <c r="J4458">
        <f>IF(AND(ISNUMBER('Data'!$F$4459),'Data'!$F$4459&lt;&gt;999,'Data'!$F$4459&lt;&gt;""),'Data'!$F$4459,"")</f>
        <v/>
      </c>
      <c r="Z4458" t="n">
        <v>1</v>
      </c>
      <c r="AA4458">
        <f>IF(ISNUMBER('IN-CLASS_Lab Part C'!$J$4458),'IN-CLASS_Lab Part C'!$J$4458,NA())</f>
        <v/>
      </c>
    </row>
    <row r="4459">
      <c r="J4459">
        <f>IF(AND(ISNUMBER('Data'!$F$4460),'Data'!$F$4460&lt;&gt;999,'Data'!$F$4460&lt;&gt;""),'Data'!$F$4460,"")</f>
        <v/>
      </c>
      <c r="Z4459" t="n">
        <v>1</v>
      </c>
      <c r="AA4459">
        <f>IF(ISNUMBER('IN-CLASS_Lab Part C'!$J$4459),'IN-CLASS_Lab Part C'!$J$4459,NA())</f>
        <v/>
      </c>
    </row>
    <row r="4460">
      <c r="J4460">
        <f>IF(AND(ISNUMBER('Data'!$F$4461),'Data'!$F$4461&lt;&gt;999,'Data'!$F$4461&lt;&gt;""),'Data'!$F$4461,"")</f>
        <v/>
      </c>
      <c r="Z4460" t="n">
        <v>1</v>
      </c>
      <c r="AA4460">
        <f>IF(ISNUMBER('IN-CLASS_Lab Part C'!$J$4460),'IN-CLASS_Lab Part C'!$J$4460,NA())</f>
        <v/>
      </c>
    </row>
    <row r="4461">
      <c r="J4461">
        <f>IF(AND(ISNUMBER('Data'!$F$4462),'Data'!$F$4462&lt;&gt;999,'Data'!$F$4462&lt;&gt;""),'Data'!$F$4462,"")</f>
        <v/>
      </c>
      <c r="Z4461" t="n">
        <v>1</v>
      </c>
      <c r="AA4461">
        <f>IF(ISNUMBER('IN-CLASS_Lab Part C'!$J$4461),'IN-CLASS_Lab Part C'!$J$4461,NA())</f>
        <v/>
      </c>
    </row>
    <row r="4462">
      <c r="J4462">
        <f>IF(AND(ISNUMBER('Data'!$F$4463),'Data'!$F$4463&lt;&gt;999,'Data'!$F$4463&lt;&gt;""),'Data'!$F$4463,"")</f>
        <v/>
      </c>
      <c r="Z4462" t="n">
        <v>1</v>
      </c>
      <c r="AA4462">
        <f>IF(ISNUMBER('IN-CLASS_Lab Part C'!$J$4462),'IN-CLASS_Lab Part C'!$J$4462,NA())</f>
        <v/>
      </c>
    </row>
    <row r="4463">
      <c r="J4463">
        <f>IF(AND(ISNUMBER('Data'!$F$4464),'Data'!$F$4464&lt;&gt;999,'Data'!$F$4464&lt;&gt;""),'Data'!$F$4464,"")</f>
        <v/>
      </c>
      <c r="Z4463" t="n">
        <v>1</v>
      </c>
      <c r="AA4463">
        <f>IF(ISNUMBER('IN-CLASS_Lab Part C'!$J$4463),'IN-CLASS_Lab Part C'!$J$4463,NA())</f>
        <v/>
      </c>
    </row>
    <row r="4464">
      <c r="J4464">
        <f>IF(AND(ISNUMBER('Data'!$F$4465),'Data'!$F$4465&lt;&gt;999,'Data'!$F$4465&lt;&gt;""),'Data'!$F$4465,"")</f>
        <v/>
      </c>
      <c r="Z4464" t="n">
        <v>1</v>
      </c>
      <c r="AA4464">
        <f>IF(ISNUMBER('IN-CLASS_Lab Part C'!$J$4464),'IN-CLASS_Lab Part C'!$J$4464,NA())</f>
        <v/>
      </c>
    </row>
    <row r="4465">
      <c r="J4465">
        <f>IF(AND(ISNUMBER('Data'!$F$4466),'Data'!$F$4466&lt;&gt;999,'Data'!$F$4466&lt;&gt;""),'Data'!$F$4466,"")</f>
        <v/>
      </c>
      <c r="Z4465" t="n">
        <v>1</v>
      </c>
      <c r="AA4465">
        <f>IF(ISNUMBER('IN-CLASS_Lab Part C'!$J$4465),'IN-CLASS_Lab Part C'!$J$4465,NA())</f>
        <v/>
      </c>
    </row>
    <row r="4466">
      <c r="J4466">
        <f>IF(AND(ISNUMBER('Data'!$F$4467),'Data'!$F$4467&lt;&gt;999,'Data'!$F$4467&lt;&gt;""),'Data'!$F$4467,"")</f>
        <v/>
      </c>
      <c r="Z4466" t="n">
        <v>1</v>
      </c>
      <c r="AA4466">
        <f>IF(ISNUMBER('IN-CLASS_Lab Part C'!$J$4466),'IN-CLASS_Lab Part C'!$J$4466,NA())</f>
        <v/>
      </c>
    </row>
    <row r="4467">
      <c r="J4467">
        <f>IF(AND(ISNUMBER('Data'!$F$4468),'Data'!$F$4468&lt;&gt;999,'Data'!$F$4468&lt;&gt;""),'Data'!$F$4468,"")</f>
        <v/>
      </c>
      <c r="Z4467" t="n">
        <v>1</v>
      </c>
      <c r="AA4467">
        <f>IF(ISNUMBER('IN-CLASS_Lab Part C'!$J$4467),'IN-CLASS_Lab Part C'!$J$4467,NA())</f>
        <v/>
      </c>
    </row>
    <row r="4468">
      <c r="J4468">
        <f>IF(AND(ISNUMBER('Data'!$F$4469),'Data'!$F$4469&lt;&gt;999,'Data'!$F$4469&lt;&gt;""),'Data'!$F$4469,"")</f>
        <v/>
      </c>
      <c r="Z4468" t="n">
        <v>1</v>
      </c>
      <c r="AA4468">
        <f>IF(ISNUMBER('IN-CLASS_Lab Part C'!$J$4468),'IN-CLASS_Lab Part C'!$J$4468,NA())</f>
        <v/>
      </c>
    </row>
    <row r="4469">
      <c r="J4469">
        <f>IF(AND(ISNUMBER('Data'!$F$4470),'Data'!$F$4470&lt;&gt;999,'Data'!$F$4470&lt;&gt;""),'Data'!$F$4470,"")</f>
        <v/>
      </c>
      <c r="Z4469" t="n">
        <v>1</v>
      </c>
      <c r="AA4469">
        <f>IF(ISNUMBER('IN-CLASS_Lab Part C'!$J$4469),'IN-CLASS_Lab Part C'!$J$4469,NA())</f>
        <v/>
      </c>
    </row>
    <row r="4470">
      <c r="J4470">
        <f>IF(AND(ISNUMBER('Data'!$F$4471),'Data'!$F$4471&lt;&gt;999,'Data'!$F$4471&lt;&gt;""),'Data'!$F$4471,"")</f>
        <v/>
      </c>
      <c r="Z4470" t="n">
        <v>1</v>
      </c>
      <c r="AA4470">
        <f>IF(ISNUMBER('IN-CLASS_Lab Part C'!$J$4470),'IN-CLASS_Lab Part C'!$J$4470,NA())</f>
        <v/>
      </c>
    </row>
    <row r="4471">
      <c r="J4471">
        <f>IF(AND(ISNUMBER('Data'!$F$4472),'Data'!$F$4472&lt;&gt;999,'Data'!$F$4472&lt;&gt;""),'Data'!$F$4472,"")</f>
        <v/>
      </c>
      <c r="Z4471" t="n">
        <v>1</v>
      </c>
      <c r="AA4471">
        <f>IF(ISNUMBER('IN-CLASS_Lab Part C'!$J$4471),'IN-CLASS_Lab Part C'!$J$4471,NA())</f>
        <v/>
      </c>
    </row>
    <row r="4472">
      <c r="J4472">
        <f>IF(AND(ISNUMBER('Data'!$F$4473),'Data'!$F$4473&lt;&gt;999,'Data'!$F$4473&lt;&gt;""),'Data'!$F$4473,"")</f>
        <v/>
      </c>
      <c r="Z4472" t="n">
        <v>1</v>
      </c>
      <c r="AA4472">
        <f>IF(ISNUMBER('IN-CLASS_Lab Part C'!$J$4472),'IN-CLASS_Lab Part C'!$J$4472,NA())</f>
        <v/>
      </c>
    </row>
    <row r="4473">
      <c r="J4473">
        <f>IF(AND(ISNUMBER('Data'!$F$4474),'Data'!$F$4474&lt;&gt;999,'Data'!$F$4474&lt;&gt;""),'Data'!$F$4474,"")</f>
        <v/>
      </c>
      <c r="Z4473" t="n">
        <v>1</v>
      </c>
      <c r="AA4473">
        <f>IF(ISNUMBER('IN-CLASS_Lab Part C'!$J$4473),'IN-CLASS_Lab Part C'!$J$4473,NA())</f>
        <v/>
      </c>
    </row>
    <row r="4474">
      <c r="J4474">
        <f>IF(AND(ISNUMBER('Data'!$F$4475),'Data'!$F$4475&lt;&gt;999,'Data'!$F$4475&lt;&gt;""),'Data'!$F$4475,"")</f>
        <v/>
      </c>
      <c r="Z4474" t="n">
        <v>1</v>
      </c>
      <c r="AA4474">
        <f>IF(ISNUMBER('IN-CLASS_Lab Part C'!$J$4474),'IN-CLASS_Lab Part C'!$J$4474,NA())</f>
        <v/>
      </c>
    </row>
    <row r="4475">
      <c r="J4475">
        <f>IF(AND(ISNUMBER('Data'!$F$4476),'Data'!$F$4476&lt;&gt;999,'Data'!$F$4476&lt;&gt;""),'Data'!$F$4476,"")</f>
        <v/>
      </c>
      <c r="Z4475" t="n">
        <v>1</v>
      </c>
      <c r="AA4475">
        <f>IF(ISNUMBER('IN-CLASS_Lab Part C'!$J$4475),'IN-CLASS_Lab Part C'!$J$4475,NA())</f>
        <v/>
      </c>
    </row>
    <row r="4476">
      <c r="J4476">
        <f>IF(AND(ISNUMBER('Data'!$F$4477),'Data'!$F$4477&lt;&gt;999,'Data'!$F$4477&lt;&gt;""),'Data'!$F$4477,"")</f>
        <v/>
      </c>
      <c r="Z4476" t="n">
        <v>1</v>
      </c>
      <c r="AA4476">
        <f>IF(ISNUMBER('IN-CLASS_Lab Part C'!$J$4476),'IN-CLASS_Lab Part C'!$J$4476,NA())</f>
        <v/>
      </c>
    </row>
    <row r="4477">
      <c r="J4477">
        <f>IF(AND(ISNUMBER('Data'!$F$4478),'Data'!$F$4478&lt;&gt;999,'Data'!$F$4478&lt;&gt;""),'Data'!$F$4478,"")</f>
        <v/>
      </c>
      <c r="Z4477" t="n">
        <v>1</v>
      </c>
      <c r="AA4477">
        <f>IF(ISNUMBER('IN-CLASS_Lab Part C'!$J$4477),'IN-CLASS_Lab Part C'!$J$4477,NA())</f>
        <v/>
      </c>
    </row>
    <row r="4478">
      <c r="J4478">
        <f>IF(AND(ISNUMBER('Data'!$F$4479),'Data'!$F$4479&lt;&gt;999,'Data'!$F$4479&lt;&gt;""),'Data'!$F$4479,"")</f>
        <v/>
      </c>
      <c r="Z4478" t="n">
        <v>1</v>
      </c>
      <c r="AA4478">
        <f>IF(ISNUMBER('IN-CLASS_Lab Part C'!$J$4478),'IN-CLASS_Lab Part C'!$J$4478,NA())</f>
        <v/>
      </c>
    </row>
    <row r="4479">
      <c r="J4479">
        <f>IF(AND(ISNUMBER('Data'!$F$4480),'Data'!$F$4480&lt;&gt;999,'Data'!$F$4480&lt;&gt;""),'Data'!$F$4480,"")</f>
        <v/>
      </c>
      <c r="Z4479" t="n">
        <v>1</v>
      </c>
      <c r="AA4479">
        <f>IF(ISNUMBER('IN-CLASS_Lab Part C'!$J$4479),'IN-CLASS_Lab Part C'!$J$4479,NA())</f>
        <v/>
      </c>
    </row>
    <row r="4480">
      <c r="J4480">
        <f>IF(AND(ISNUMBER('Data'!$F$4481),'Data'!$F$4481&lt;&gt;999,'Data'!$F$4481&lt;&gt;""),'Data'!$F$4481,"")</f>
        <v/>
      </c>
      <c r="Z4480" t="n">
        <v>1</v>
      </c>
      <c r="AA4480">
        <f>IF(ISNUMBER('IN-CLASS_Lab Part C'!$J$4480),'IN-CLASS_Lab Part C'!$J$4480,NA())</f>
        <v/>
      </c>
    </row>
    <row r="4481">
      <c r="J4481">
        <f>IF(AND(ISNUMBER('Data'!$F$4482),'Data'!$F$4482&lt;&gt;999,'Data'!$F$4482&lt;&gt;""),'Data'!$F$4482,"")</f>
        <v/>
      </c>
      <c r="Z4481" t="n">
        <v>1</v>
      </c>
      <c r="AA4481">
        <f>IF(ISNUMBER('IN-CLASS_Lab Part C'!$J$4481),'IN-CLASS_Lab Part C'!$J$4481,NA())</f>
        <v/>
      </c>
    </row>
    <row r="4482">
      <c r="J4482">
        <f>IF(AND(ISNUMBER('Data'!$F$4483),'Data'!$F$4483&lt;&gt;999,'Data'!$F$4483&lt;&gt;""),'Data'!$F$4483,"")</f>
        <v/>
      </c>
      <c r="Z4482" t="n">
        <v>1</v>
      </c>
      <c r="AA4482">
        <f>IF(ISNUMBER('IN-CLASS_Lab Part C'!$J$4482),'IN-CLASS_Lab Part C'!$J$4482,NA())</f>
        <v/>
      </c>
    </row>
    <row r="4483">
      <c r="J4483">
        <f>IF(AND(ISNUMBER('Data'!$F$4484),'Data'!$F$4484&lt;&gt;999,'Data'!$F$4484&lt;&gt;""),'Data'!$F$4484,"")</f>
        <v/>
      </c>
      <c r="Z4483" t="n">
        <v>1</v>
      </c>
      <c r="AA4483">
        <f>IF(ISNUMBER('IN-CLASS_Lab Part C'!$J$4483),'IN-CLASS_Lab Part C'!$J$4483,NA())</f>
        <v/>
      </c>
    </row>
    <row r="4484">
      <c r="J4484">
        <f>IF(AND(ISNUMBER('Data'!$F$4485),'Data'!$F$4485&lt;&gt;999,'Data'!$F$4485&lt;&gt;""),'Data'!$F$4485,"")</f>
        <v/>
      </c>
      <c r="Z4484" t="n">
        <v>1</v>
      </c>
      <c r="AA4484">
        <f>IF(ISNUMBER('IN-CLASS_Lab Part C'!$J$4484),'IN-CLASS_Lab Part C'!$J$4484,NA())</f>
        <v/>
      </c>
    </row>
    <row r="4485">
      <c r="J4485">
        <f>IF(AND(ISNUMBER('Data'!$F$4486),'Data'!$F$4486&lt;&gt;999,'Data'!$F$4486&lt;&gt;""),'Data'!$F$4486,"")</f>
        <v/>
      </c>
      <c r="Z4485" t="n">
        <v>1</v>
      </c>
      <c r="AA4485">
        <f>IF(ISNUMBER('IN-CLASS_Lab Part C'!$J$4485),'IN-CLASS_Lab Part C'!$J$4485,NA())</f>
        <v/>
      </c>
    </row>
    <row r="4486">
      <c r="J4486">
        <f>IF(AND(ISNUMBER('Data'!$F$4487),'Data'!$F$4487&lt;&gt;999,'Data'!$F$4487&lt;&gt;""),'Data'!$F$4487,"")</f>
        <v/>
      </c>
      <c r="Z4486" t="n">
        <v>1</v>
      </c>
      <c r="AA4486">
        <f>IF(ISNUMBER('IN-CLASS_Lab Part C'!$J$4486),'IN-CLASS_Lab Part C'!$J$4486,NA())</f>
        <v/>
      </c>
    </row>
    <row r="4487">
      <c r="J4487">
        <f>IF(AND(ISNUMBER('Data'!$F$4488),'Data'!$F$4488&lt;&gt;999,'Data'!$F$4488&lt;&gt;""),'Data'!$F$4488,"")</f>
        <v/>
      </c>
      <c r="Z4487" t="n">
        <v>1</v>
      </c>
      <c r="AA4487">
        <f>IF(ISNUMBER('IN-CLASS_Lab Part C'!$J$4487),'IN-CLASS_Lab Part C'!$J$4487,NA())</f>
        <v/>
      </c>
    </row>
    <row r="4488">
      <c r="J4488">
        <f>IF(AND(ISNUMBER('Data'!$F$4489),'Data'!$F$4489&lt;&gt;999,'Data'!$F$4489&lt;&gt;""),'Data'!$F$4489,"")</f>
        <v/>
      </c>
      <c r="Z4488" t="n">
        <v>1</v>
      </c>
      <c r="AA4488">
        <f>IF(ISNUMBER('IN-CLASS_Lab Part C'!$J$4488),'IN-CLASS_Lab Part C'!$J$4488,NA())</f>
        <v/>
      </c>
    </row>
    <row r="4489">
      <c r="J4489">
        <f>IF(AND(ISNUMBER('Data'!$F$4490),'Data'!$F$4490&lt;&gt;999,'Data'!$F$4490&lt;&gt;""),'Data'!$F$4490,"")</f>
        <v/>
      </c>
      <c r="Z4489" t="n">
        <v>1</v>
      </c>
      <c r="AA4489">
        <f>IF(ISNUMBER('IN-CLASS_Lab Part C'!$J$4489),'IN-CLASS_Lab Part C'!$J$4489,NA())</f>
        <v/>
      </c>
    </row>
    <row r="4490">
      <c r="J4490">
        <f>IF(AND(ISNUMBER('Data'!$F$4491),'Data'!$F$4491&lt;&gt;999,'Data'!$F$4491&lt;&gt;""),'Data'!$F$4491,"")</f>
        <v/>
      </c>
      <c r="Z4490" t="n">
        <v>1</v>
      </c>
      <c r="AA4490">
        <f>IF(ISNUMBER('IN-CLASS_Lab Part C'!$J$4490),'IN-CLASS_Lab Part C'!$J$4490,NA())</f>
        <v/>
      </c>
    </row>
    <row r="4491">
      <c r="J4491">
        <f>IF(AND(ISNUMBER('Data'!$F$4492),'Data'!$F$4492&lt;&gt;999,'Data'!$F$4492&lt;&gt;""),'Data'!$F$4492,"")</f>
        <v/>
      </c>
      <c r="Z4491" t="n">
        <v>1</v>
      </c>
      <c r="AA4491">
        <f>IF(ISNUMBER('IN-CLASS_Lab Part C'!$J$4491),'IN-CLASS_Lab Part C'!$J$4491,NA())</f>
        <v/>
      </c>
    </row>
    <row r="4492">
      <c r="J4492">
        <f>IF(AND(ISNUMBER('Data'!$F$4493),'Data'!$F$4493&lt;&gt;999,'Data'!$F$4493&lt;&gt;""),'Data'!$F$4493,"")</f>
        <v/>
      </c>
      <c r="Z4492" t="n">
        <v>1</v>
      </c>
      <c r="AA4492">
        <f>IF(ISNUMBER('IN-CLASS_Lab Part C'!$J$4492),'IN-CLASS_Lab Part C'!$J$4492,NA())</f>
        <v/>
      </c>
    </row>
    <row r="4493">
      <c r="J4493">
        <f>IF(AND(ISNUMBER('Data'!$F$4494),'Data'!$F$4494&lt;&gt;999,'Data'!$F$4494&lt;&gt;""),'Data'!$F$4494,"")</f>
        <v/>
      </c>
      <c r="Z4493" t="n">
        <v>1</v>
      </c>
      <c r="AA4493">
        <f>IF(ISNUMBER('IN-CLASS_Lab Part C'!$J$4493),'IN-CLASS_Lab Part C'!$J$4493,NA())</f>
        <v/>
      </c>
    </row>
    <row r="4494">
      <c r="J4494">
        <f>IF(AND(ISNUMBER('Data'!$F$4495),'Data'!$F$4495&lt;&gt;999,'Data'!$F$4495&lt;&gt;""),'Data'!$F$4495,"")</f>
        <v/>
      </c>
      <c r="Z4494" t="n">
        <v>1</v>
      </c>
      <c r="AA4494">
        <f>IF(ISNUMBER('IN-CLASS_Lab Part C'!$J$4494),'IN-CLASS_Lab Part C'!$J$4494,NA())</f>
        <v/>
      </c>
    </row>
    <row r="4495">
      <c r="J4495">
        <f>IF(AND(ISNUMBER('Data'!$F$4496),'Data'!$F$4496&lt;&gt;999,'Data'!$F$4496&lt;&gt;""),'Data'!$F$4496,"")</f>
        <v/>
      </c>
      <c r="Z4495" t="n">
        <v>1</v>
      </c>
      <c r="AA4495">
        <f>IF(ISNUMBER('IN-CLASS_Lab Part C'!$J$4495),'IN-CLASS_Lab Part C'!$J$4495,NA())</f>
        <v/>
      </c>
    </row>
    <row r="4496">
      <c r="J4496">
        <f>IF(AND(ISNUMBER('Data'!$F$4497),'Data'!$F$4497&lt;&gt;999,'Data'!$F$4497&lt;&gt;""),'Data'!$F$4497,"")</f>
        <v/>
      </c>
      <c r="Z4496" t="n">
        <v>1</v>
      </c>
      <c r="AA4496">
        <f>IF(ISNUMBER('IN-CLASS_Lab Part C'!$J$4496),'IN-CLASS_Lab Part C'!$J$4496,NA())</f>
        <v/>
      </c>
    </row>
    <row r="4497">
      <c r="J4497">
        <f>IF(AND(ISNUMBER('Data'!$F$4498),'Data'!$F$4498&lt;&gt;999,'Data'!$F$4498&lt;&gt;""),'Data'!$F$4498,"")</f>
        <v/>
      </c>
      <c r="Z4497" t="n">
        <v>1</v>
      </c>
      <c r="AA4497">
        <f>IF(ISNUMBER('IN-CLASS_Lab Part C'!$J$4497),'IN-CLASS_Lab Part C'!$J$4497,NA())</f>
        <v/>
      </c>
    </row>
    <row r="4498">
      <c r="J4498">
        <f>IF(AND(ISNUMBER('Data'!$F$4499),'Data'!$F$4499&lt;&gt;999,'Data'!$F$4499&lt;&gt;""),'Data'!$F$4499,"")</f>
        <v/>
      </c>
      <c r="Z4498" t="n">
        <v>1</v>
      </c>
      <c r="AA4498">
        <f>IF(ISNUMBER('IN-CLASS_Lab Part C'!$J$4498),'IN-CLASS_Lab Part C'!$J$4498,NA())</f>
        <v/>
      </c>
    </row>
    <row r="4499">
      <c r="J4499">
        <f>IF(AND(ISNUMBER('Data'!$F$4500),'Data'!$F$4500&lt;&gt;999,'Data'!$F$4500&lt;&gt;""),'Data'!$F$4500,"")</f>
        <v/>
      </c>
      <c r="Z4499" t="n">
        <v>1</v>
      </c>
      <c r="AA4499">
        <f>IF(ISNUMBER('IN-CLASS_Lab Part C'!$J$4499),'IN-CLASS_Lab Part C'!$J$4499,NA())</f>
        <v/>
      </c>
    </row>
    <row r="4500">
      <c r="J4500">
        <f>IF(AND(ISNUMBER('Data'!$F$4501),'Data'!$F$4501&lt;&gt;999,'Data'!$F$4501&lt;&gt;""),'Data'!$F$4501,"")</f>
        <v/>
      </c>
      <c r="Z4500" t="n">
        <v>1</v>
      </c>
      <c r="AA4500">
        <f>IF(ISNUMBER('IN-CLASS_Lab Part C'!$J$4500),'IN-CLASS_Lab Part C'!$J$4500,NA())</f>
        <v/>
      </c>
    </row>
    <row r="4501">
      <c r="J4501">
        <f>IF(AND(ISNUMBER('Data'!$F$4502),'Data'!$F$4502&lt;&gt;999,'Data'!$F$4502&lt;&gt;""),'Data'!$F$4502,"")</f>
        <v/>
      </c>
      <c r="Z4501" t="n">
        <v>1</v>
      </c>
      <c r="AA4501">
        <f>IF(ISNUMBER('IN-CLASS_Lab Part C'!$J$4501),'IN-CLASS_Lab Part C'!$J$4501,NA())</f>
        <v/>
      </c>
    </row>
    <row r="4502">
      <c r="J4502">
        <f>IF(AND(ISNUMBER('Data'!$F$4503),'Data'!$F$4503&lt;&gt;999,'Data'!$F$4503&lt;&gt;""),'Data'!$F$4503,"")</f>
        <v/>
      </c>
      <c r="Z4502" t="n">
        <v>1</v>
      </c>
      <c r="AA4502">
        <f>IF(ISNUMBER('IN-CLASS_Lab Part C'!$J$4502),'IN-CLASS_Lab Part C'!$J$4502,NA())</f>
        <v/>
      </c>
    </row>
    <row r="4503">
      <c r="J4503">
        <f>IF(AND(ISNUMBER('Data'!$F$4504),'Data'!$F$4504&lt;&gt;999,'Data'!$F$4504&lt;&gt;""),'Data'!$F$4504,"")</f>
        <v/>
      </c>
      <c r="Z4503" t="n">
        <v>1</v>
      </c>
      <c r="AA4503">
        <f>IF(ISNUMBER('IN-CLASS_Lab Part C'!$J$4503),'IN-CLASS_Lab Part C'!$J$4503,NA())</f>
        <v/>
      </c>
    </row>
    <row r="4504">
      <c r="J4504">
        <f>IF(AND(ISNUMBER('Data'!$F$4505),'Data'!$F$4505&lt;&gt;999,'Data'!$F$4505&lt;&gt;""),'Data'!$F$4505,"")</f>
        <v/>
      </c>
      <c r="Z4504" t="n">
        <v>1</v>
      </c>
      <c r="AA4504">
        <f>IF(ISNUMBER('IN-CLASS_Lab Part C'!$J$4504),'IN-CLASS_Lab Part C'!$J$4504,NA())</f>
        <v/>
      </c>
    </row>
    <row r="4505">
      <c r="J4505">
        <f>IF(AND(ISNUMBER('Data'!$F$4506),'Data'!$F$4506&lt;&gt;999,'Data'!$F$4506&lt;&gt;""),'Data'!$F$4506,"")</f>
        <v/>
      </c>
      <c r="Z4505" t="n">
        <v>1</v>
      </c>
      <c r="AA4505">
        <f>IF(ISNUMBER('IN-CLASS_Lab Part C'!$J$4505),'IN-CLASS_Lab Part C'!$J$4505,NA())</f>
        <v/>
      </c>
    </row>
    <row r="4506">
      <c r="J4506">
        <f>IF(AND(ISNUMBER('Data'!$F$4507),'Data'!$F$4507&lt;&gt;999,'Data'!$F$4507&lt;&gt;""),'Data'!$F$4507,"")</f>
        <v/>
      </c>
      <c r="Z4506" t="n">
        <v>1</v>
      </c>
      <c r="AA4506">
        <f>IF(ISNUMBER('IN-CLASS_Lab Part C'!$J$4506),'IN-CLASS_Lab Part C'!$J$4506,NA())</f>
        <v/>
      </c>
    </row>
    <row r="4507">
      <c r="J4507">
        <f>IF(AND(ISNUMBER('Data'!$F$4508),'Data'!$F$4508&lt;&gt;999,'Data'!$F$4508&lt;&gt;""),'Data'!$F$4508,"")</f>
        <v/>
      </c>
      <c r="Z4507" t="n">
        <v>1</v>
      </c>
      <c r="AA4507">
        <f>IF(ISNUMBER('IN-CLASS_Lab Part C'!$J$4507),'IN-CLASS_Lab Part C'!$J$4507,NA())</f>
        <v/>
      </c>
    </row>
    <row r="4508">
      <c r="J4508">
        <f>IF(AND(ISNUMBER('Data'!$F$4509),'Data'!$F$4509&lt;&gt;999,'Data'!$F$4509&lt;&gt;""),'Data'!$F$4509,"")</f>
        <v/>
      </c>
      <c r="Z4508" t="n">
        <v>1</v>
      </c>
      <c r="AA4508">
        <f>IF(ISNUMBER('IN-CLASS_Lab Part C'!$J$4508),'IN-CLASS_Lab Part C'!$J$4508,NA())</f>
        <v/>
      </c>
    </row>
    <row r="4509">
      <c r="J4509">
        <f>IF(AND(ISNUMBER('Data'!$F$4510),'Data'!$F$4510&lt;&gt;999,'Data'!$F$4510&lt;&gt;""),'Data'!$F$4510,"")</f>
        <v/>
      </c>
      <c r="Z4509" t="n">
        <v>1</v>
      </c>
      <c r="AA4509">
        <f>IF(ISNUMBER('IN-CLASS_Lab Part C'!$J$4509),'IN-CLASS_Lab Part C'!$J$4509,NA())</f>
        <v/>
      </c>
    </row>
    <row r="4510">
      <c r="J4510">
        <f>IF(AND(ISNUMBER('Data'!$F$4511),'Data'!$F$4511&lt;&gt;999,'Data'!$F$4511&lt;&gt;""),'Data'!$F$4511,"")</f>
        <v/>
      </c>
      <c r="Z4510" t="n">
        <v>1</v>
      </c>
      <c r="AA4510">
        <f>IF(ISNUMBER('IN-CLASS_Lab Part C'!$J$4510),'IN-CLASS_Lab Part C'!$J$4510,NA())</f>
        <v/>
      </c>
    </row>
    <row r="4511">
      <c r="J4511">
        <f>IF(AND(ISNUMBER('Data'!$F$4512),'Data'!$F$4512&lt;&gt;999,'Data'!$F$4512&lt;&gt;""),'Data'!$F$4512,"")</f>
        <v/>
      </c>
      <c r="Z4511" t="n">
        <v>1</v>
      </c>
      <c r="AA4511">
        <f>IF(ISNUMBER('IN-CLASS_Lab Part C'!$J$4511),'IN-CLASS_Lab Part C'!$J$4511,NA())</f>
        <v/>
      </c>
    </row>
    <row r="4512">
      <c r="J4512">
        <f>IF(AND(ISNUMBER('Data'!$F$4513),'Data'!$F$4513&lt;&gt;999,'Data'!$F$4513&lt;&gt;""),'Data'!$F$4513,"")</f>
        <v/>
      </c>
      <c r="Z4512" t="n">
        <v>1</v>
      </c>
      <c r="AA4512">
        <f>IF(ISNUMBER('IN-CLASS_Lab Part C'!$J$4512),'IN-CLASS_Lab Part C'!$J$4512,NA())</f>
        <v/>
      </c>
    </row>
    <row r="4513">
      <c r="J4513">
        <f>IF(AND(ISNUMBER('Data'!$F$4514),'Data'!$F$4514&lt;&gt;999,'Data'!$F$4514&lt;&gt;""),'Data'!$F$4514,"")</f>
        <v/>
      </c>
      <c r="Z4513" t="n">
        <v>1</v>
      </c>
      <c r="AA4513">
        <f>IF(ISNUMBER('IN-CLASS_Lab Part C'!$J$4513),'IN-CLASS_Lab Part C'!$J$4513,NA())</f>
        <v/>
      </c>
    </row>
    <row r="4514">
      <c r="J4514">
        <f>IF(AND(ISNUMBER('Data'!$F$4515),'Data'!$F$4515&lt;&gt;999,'Data'!$F$4515&lt;&gt;""),'Data'!$F$4515,"")</f>
        <v/>
      </c>
      <c r="Z4514" t="n">
        <v>1</v>
      </c>
      <c r="AA4514">
        <f>IF(ISNUMBER('IN-CLASS_Lab Part C'!$J$4514),'IN-CLASS_Lab Part C'!$J$4514,NA())</f>
        <v/>
      </c>
    </row>
    <row r="4515">
      <c r="J4515">
        <f>IF(AND(ISNUMBER('Data'!$F$4516),'Data'!$F$4516&lt;&gt;999,'Data'!$F$4516&lt;&gt;""),'Data'!$F$4516,"")</f>
        <v/>
      </c>
      <c r="Z4515" t="n">
        <v>1</v>
      </c>
      <c r="AA4515">
        <f>IF(ISNUMBER('IN-CLASS_Lab Part C'!$J$4515),'IN-CLASS_Lab Part C'!$J$4515,NA())</f>
        <v/>
      </c>
    </row>
    <row r="4516">
      <c r="J4516">
        <f>IF(AND(ISNUMBER('Data'!$F$4517),'Data'!$F$4517&lt;&gt;999,'Data'!$F$4517&lt;&gt;""),'Data'!$F$4517,"")</f>
        <v/>
      </c>
      <c r="Z4516" t="n">
        <v>1</v>
      </c>
      <c r="AA4516">
        <f>IF(ISNUMBER('IN-CLASS_Lab Part C'!$J$4516),'IN-CLASS_Lab Part C'!$J$4516,NA())</f>
        <v/>
      </c>
    </row>
    <row r="4517">
      <c r="J4517">
        <f>IF(AND(ISNUMBER('Data'!$F$4518),'Data'!$F$4518&lt;&gt;999,'Data'!$F$4518&lt;&gt;""),'Data'!$F$4518,"")</f>
        <v/>
      </c>
      <c r="Z4517" t="n">
        <v>1</v>
      </c>
      <c r="AA4517">
        <f>IF(ISNUMBER('IN-CLASS_Lab Part C'!$J$4517),'IN-CLASS_Lab Part C'!$J$4517,NA())</f>
        <v/>
      </c>
    </row>
    <row r="4518">
      <c r="J4518">
        <f>IF(AND(ISNUMBER('Data'!$F$4519),'Data'!$F$4519&lt;&gt;999,'Data'!$F$4519&lt;&gt;""),'Data'!$F$4519,"")</f>
        <v/>
      </c>
      <c r="Z4518" t="n">
        <v>1</v>
      </c>
      <c r="AA4518">
        <f>IF(ISNUMBER('IN-CLASS_Lab Part C'!$J$4518),'IN-CLASS_Lab Part C'!$J$4518,NA())</f>
        <v/>
      </c>
    </row>
    <row r="4519">
      <c r="J4519">
        <f>IF(AND(ISNUMBER('Data'!$F$4520),'Data'!$F$4520&lt;&gt;999,'Data'!$F$4520&lt;&gt;""),'Data'!$F$4520,"")</f>
        <v/>
      </c>
      <c r="Z4519" t="n">
        <v>1</v>
      </c>
      <c r="AA4519">
        <f>IF(ISNUMBER('IN-CLASS_Lab Part C'!$J$4519),'IN-CLASS_Lab Part C'!$J$4519,NA())</f>
        <v/>
      </c>
    </row>
    <row r="4520">
      <c r="J4520">
        <f>IF(AND(ISNUMBER('Data'!$F$4521),'Data'!$F$4521&lt;&gt;999,'Data'!$F$4521&lt;&gt;""),'Data'!$F$4521,"")</f>
        <v/>
      </c>
      <c r="Z4520" t="n">
        <v>1</v>
      </c>
      <c r="AA4520">
        <f>IF(ISNUMBER('IN-CLASS_Lab Part C'!$J$4520),'IN-CLASS_Lab Part C'!$J$4520,NA())</f>
        <v/>
      </c>
    </row>
    <row r="4521">
      <c r="J4521">
        <f>IF(AND(ISNUMBER('Data'!$F$4522),'Data'!$F$4522&lt;&gt;999,'Data'!$F$4522&lt;&gt;""),'Data'!$F$4522,"")</f>
        <v/>
      </c>
      <c r="Z4521" t="n">
        <v>1</v>
      </c>
      <c r="AA4521">
        <f>IF(ISNUMBER('IN-CLASS_Lab Part C'!$J$4521),'IN-CLASS_Lab Part C'!$J$4521,NA())</f>
        <v/>
      </c>
    </row>
    <row r="4522">
      <c r="J4522">
        <f>IF(AND(ISNUMBER('Data'!$F$4523),'Data'!$F$4523&lt;&gt;999,'Data'!$F$4523&lt;&gt;""),'Data'!$F$4523,"")</f>
        <v/>
      </c>
      <c r="Z4522" t="n">
        <v>1</v>
      </c>
      <c r="AA4522">
        <f>IF(ISNUMBER('IN-CLASS_Lab Part C'!$J$4522),'IN-CLASS_Lab Part C'!$J$4522,NA())</f>
        <v/>
      </c>
    </row>
    <row r="4523">
      <c r="J4523">
        <f>IF(AND(ISNUMBER('Data'!$F$4524),'Data'!$F$4524&lt;&gt;999,'Data'!$F$4524&lt;&gt;""),'Data'!$F$4524,"")</f>
        <v/>
      </c>
      <c r="Z4523" t="n">
        <v>1</v>
      </c>
      <c r="AA4523">
        <f>IF(ISNUMBER('IN-CLASS_Lab Part C'!$J$4523),'IN-CLASS_Lab Part C'!$J$4523,NA())</f>
        <v/>
      </c>
    </row>
    <row r="4524">
      <c r="J4524">
        <f>IF(AND(ISNUMBER('Data'!$F$4525),'Data'!$F$4525&lt;&gt;999,'Data'!$F$4525&lt;&gt;""),'Data'!$F$4525,"")</f>
        <v/>
      </c>
      <c r="Z4524" t="n">
        <v>1</v>
      </c>
      <c r="AA4524">
        <f>IF(ISNUMBER('IN-CLASS_Lab Part C'!$J$4524),'IN-CLASS_Lab Part C'!$J$4524,NA())</f>
        <v/>
      </c>
    </row>
    <row r="4525">
      <c r="J4525">
        <f>IF(AND(ISNUMBER('Data'!$F$4526),'Data'!$F$4526&lt;&gt;999,'Data'!$F$4526&lt;&gt;""),'Data'!$F$4526,"")</f>
        <v/>
      </c>
      <c r="Z4525" t="n">
        <v>1</v>
      </c>
      <c r="AA4525">
        <f>IF(ISNUMBER('IN-CLASS_Lab Part C'!$J$4525),'IN-CLASS_Lab Part C'!$J$4525,NA())</f>
        <v/>
      </c>
    </row>
    <row r="4526">
      <c r="J4526">
        <f>IF(AND(ISNUMBER('Data'!$F$4527),'Data'!$F$4527&lt;&gt;999,'Data'!$F$4527&lt;&gt;""),'Data'!$F$4527,"")</f>
        <v/>
      </c>
      <c r="Z4526" t="n">
        <v>1</v>
      </c>
      <c r="AA4526">
        <f>IF(ISNUMBER('IN-CLASS_Lab Part C'!$J$4526),'IN-CLASS_Lab Part C'!$J$4526,NA())</f>
        <v/>
      </c>
    </row>
    <row r="4527">
      <c r="J4527">
        <f>IF(AND(ISNUMBER('Data'!$F$4528),'Data'!$F$4528&lt;&gt;999,'Data'!$F$4528&lt;&gt;""),'Data'!$F$4528,"")</f>
        <v/>
      </c>
      <c r="Z4527" t="n">
        <v>1</v>
      </c>
      <c r="AA4527">
        <f>IF(ISNUMBER('IN-CLASS_Lab Part C'!$J$4527),'IN-CLASS_Lab Part C'!$J$4527,NA())</f>
        <v/>
      </c>
    </row>
    <row r="4528">
      <c r="J4528">
        <f>IF(AND(ISNUMBER('Data'!$F$4529),'Data'!$F$4529&lt;&gt;999,'Data'!$F$4529&lt;&gt;""),'Data'!$F$4529,"")</f>
        <v/>
      </c>
      <c r="Z4528" t="n">
        <v>1</v>
      </c>
      <c r="AA4528">
        <f>IF(ISNUMBER('IN-CLASS_Lab Part C'!$J$4528),'IN-CLASS_Lab Part C'!$J$4528,NA())</f>
        <v/>
      </c>
    </row>
    <row r="4529">
      <c r="J4529">
        <f>IF(AND(ISNUMBER('Data'!$F$4530),'Data'!$F$4530&lt;&gt;999,'Data'!$F$4530&lt;&gt;""),'Data'!$F$4530,"")</f>
        <v/>
      </c>
      <c r="Z4529" t="n">
        <v>1</v>
      </c>
      <c r="AA4529">
        <f>IF(ISNUMBER('IN-CLASS_Lab Part C'!$J$4529),'IN-CLASS_Lab Part C'!$J$4529,NA())</f>
        <v/>
      </c>
    </row>
    <row r="4530">
      <c r="J4530">
        <f>IF(AND(ISNUMBER('Data'!$F$4531),'Data'!$F$4531&lt;&gt;999,'Data'!$F$4531&lt;&gt;""),'Data'!$F$4531,"")</f>
        <v/>
      </c>
      <c r="Z4530" t="n">
        <v>1</v>
      </c>
      <c r="AA4530">
        <f>IF(ISNUMBER('IN-CLASS_Lab Part C'!$J$4530),'IN-CLASS_Lab Part C'!$J$4530,NA())</f>
        <v/>
      </c>
    </row>
    <row r="4531">
      <c r="J4531">
        <f>IF(AND(ISNUMBER('Data'!$F$4532),'Data'!$F$4532&lt;&gt;999,'Data'!$F$4532&lt;&gt;""),'Data'!$F$4532,"")</f>
        <v/>
      </c>
      <c r="Z4531" t="n">
        <v>1</v>
      </c>
      <c r="AA4531">
        <f>IF(ISNUMBER('IN-CLASS_Lab Part C'!$J$4531),'IN-CLASS_Lab Part C'!$J$4531,NA())</f>
        <v/>
      </c>
    </row>
    <row r="4532">
      <c r="J4532">
        <f>IF(AND(ISNUMBER('Data'!$F$4533),'Data'!$F$4533&lt;&gt;999,'Data'!$F$4533&lt;&gt;""),'Data'!$F$4533,"")</f>
        <v/>
      </c>
      <c r="Z4532" t="n">
        <v>1</v>
      </c>
      <c r="AA4532">
        <f>IF(ISNUMBER('IN-CLASS_Lab Part C'!$J$4532),'IN-CLASS_Lab Part C'!$J$4532,NA())</f>
        <v/>
      </c>
    </row>
    <row r="4533">
      <c r="J4533">
        <f>IF(AND(ISNUMBER('Data'!$F$4534),'Data'!$F$4534&lt;&gt;999,'Data'!$F$4534&lt;&gt;""),'Data'!$F$4534,"")</f>
        <v/>
      </c>
      <c r="Z4533" t="n">
        <v>1</v>
      </c>
      <c r="AA4533">
        <f>IF(ISNUMBER('IN-CLASS_Lab Part C'!$J$4533),'IN-CLASS_Lab Part C'!$J$4533,NA())</f>
        <v/>
      </c>
    </row>
    <row r="4534">
      <c r="J4534">
        <f>IF(AND(ISNUMBER('Data'!$F$4535),'Data'!$F$4535&lt;&gt;999,'Data'!$F$4535&lt;&gt;""),'Data'!$F$4535,"")</f>
        <v/>
      </c>
      <c r="Z4534" t="n">
        <v>1</v>
      </c>
      <c r="AA4534">
        <f>IF(ISNUMBER('IN-CLASS_Lab Part C'!$J$4534),'IN-CLASS_Lab Part C'!$J$4534,NA())</f>
        <v/>
      </c>
    </row>
    <row r="4535">
      <c r="J4535">
        <f>IF(AND(ISNUMBER('Data'!$F$4536),'Data'!$F$4536&lt;&gt;999,'Data'!$F$4536&lt;&gt;""),'Data'!$F$4536,"")</f>
        <v/>
      </c>
      <c r="Z4535" t="n">
        <v>1</v>
      </c>
      <c r="AA4535">
        <f>IF(ISNUMBER('IN-CLASS_Lab Part C'!$J$4535),'IN-CLASS_Lab Part C'!$J$4535,NA())</f>
        <v/>
      </c>
    </row>
    <row r="4536">
      <c r="J4536">
        <f>IF(AND(ISNUMBER('Data'!$F$4537),'Data'!$F$4537&lt;&gt;999,'Data'!$F$4537&lt;&gt;""),'Data'!$F$4537,"")</f>
        <v/>
      </c>
      <c r="Z4536" t="n">
        <v>1</v>
      </c>
      <c r="AA4536">
        <f>IF(ISNUMBER('IN-CLASS_Lab Part C'!$J$4536),'IN-CLASS_Lab Part C'!$J$4536,NA())</f>
        <v/>
      </c>
    </row>
    <row r="4537">
      <c r="J4537">
        <f>IF(AND(ISNUMBER('Data'!$F$4538),'Data'!$F$4538&lt;&gt;999,'Data'!$F$4538&lt;&gt;""),'Data'!$F$4538,"")</f>
        <v/>
      </c>
      <c r="Z4537" t="n">
        <v>1</v>
      </c>
      <c r="AA4537">
        <f>IF(ISNUMBER('IN-CLASS_Lab Part C'!$J$4537),'IN-CLASS_Lab Part C'!$J$4537,NA())</f>
        <v/>
      </c>
    </row>
    <row r="4538">
      <c r="J4538">
        <f>IF(AND(ISNUMBER('Data'!$F$4539),'Data'!$F$4539&lt;&gt;999,'Data'!$F$4539&lt;&gt;""),'Data'!$F$4539,"")</f>
        <v/>
      </c>
      <c r="Z4538" t="n">
        <v>1</v>
      </c>
      <c r="AA4538">
        <f>IF(ISNUMBER('IN-CLASS_Lab Part C'!$J$4538),'IN-CLASS_Lab Part C'!$J$4538,NA())</f>
        <v/>
      </c>
    </row>
    <row r="4539">
      <c r="J4539">
        <f>IF(AND(ISNUMBER('Data'!$F$4540),'Data'!$F$4540&lt;&gt;999,'Data'!$F$4540&lt;&gt;""),'Data'!$F$4540,"")</f>
        <v/>
      </c>
      <c r="Z4539" t="n">
        <v>1</v>
      </c>
      <c r="AA4539">
        <f>IF(ISNUMBER('IN-CLASS_Lab Part C'!$J$4539),'IN-CLASS_Lab Part C'!$J$4539,NA())</f>
        <v/>
      </c>
    </row>
    <row r="4540">
      <c r="J4540">
        <f>IF(AND(ISNUMBER('Data'!$F$4541),'Data'!$F$4541&lt;&gt;999,'Data'!$F$4541&lt;&gt;""),'Data'!$F$4541,"")</f>
        <v/>
      </c>
      <c r="Z4540" t="n">
        <v>1</v>
      </c>
      <c r="AA4540">
        <f>IF(ISNUMBER('IN-CLASS_Lab Part C'!$J$4540),'IN-CLASS_Lab Part C'!$J$4540,NA())</f>
        <v/>
      </c>
    </row>
    <row r="4541">
      <c r="J4541">
        <f>IF(AND(ISNUMBER('Data'!$F$4542),'Data'!$F$4542&lt;&gt;999,'Data'!$F$4542&lt;&gt;""),'Data'!$F$4542,"")</f>
        <v/>
      </c>
      <c r="Z4541" t="n">
        <v>1</v>
      </c>
      <c r="AA4541">
        <f>IF(ISNUMBER('IN-CLASS_Lab Part C'!$J$4541),'IN-CLASS_Lab Part C'!$J$4541,NA())</f>
        <v/>
      </c>
    </row>
    <row r="4542">
      <c r="J4542">
        <f>IF(AND(ISNUMBER('Data'!$F$4543),'Data'!$F$4543&lt;&gt;999,'Data'!$F$4543&lt;&gt;""),'Data'!$F$4543,"")</f>
        <v/>
      </c>
      <c r="Z4542" t="n">
        <v>1</v>
      </c>
      <c r="AA4542">
        <f>IF(ISNUMBER('IN-CLASS_Lab Part C'!$J$4542),'IN-CLASS_Lab Part C'!$J$4542,NA())</f>
        <v/>
      </c>
    </row>
    <row r="4543">
      <c r="J4543">
        <f>IF(AND(ISNUMBER('Data'!$F$4544),'Data'!$F$4544&lt;&gt;999,'Data'!$F$4544&lt;&gt;""),'Data'!$F$4544,"")</f>
        <v/>
      </c>
      <c r="Z4543" t="n">
        <v>1</v>
      </c>
      <c r="AA4543">
        <f>IF(ISNUMBER('IN-CLASS_Lab Part C'!$J$4543),'IN-CLASS_Lab Part C'!$J$4543,NA())</f>
        <v/>
      </c>
    </row>
    <row r="4544">
      <c r="J4544">
        <f>IF(AND(ISNUMBER('Data'!$F$4545),'Data'!$F$4545&lt;&gt;999,'Data'!$F$4545&lt;&gt;""),'Data'!$F$4545,"")</f>
        <v/>
      </c>
      <c r="Z4544" t="n">
        <v>1</v>
      </c>
      <c r="AA4544">
        <f>IF(ISNUMBER('IN-CLASS_Lab Part C'!$J$4544),'IN-CLASS_Lab Part C'!$J$4544,NA())</f>
        <v/>
      </c>
    </row>
    <row r="4545">
      <c r="J4545">
        <f>IF(AND(ISNUMBER('Data'!$F$4546),'Data'!$F$4546&lt;&gt;999,'Data'!$F$4546&lt;&gt;""),'Data'!$F$4546,"")</f>
        <v/>
      </c>
      <c r="Z4545" t="n">
        <v>1</v>
      </c>
      <c r="AA4545">
        <f>IF(ISNUMBER('IN-CLASS_Lab Part C'!$J$4545),'IN-CLASS_Lab Part C'!$J$4545,NA())</f>
        <v/>
      </c>
    </row>
    <row r="4546">
      <c r="J4546">
        <f>IF(AND(ISNUMBER('Data'!$F$4547),'Data'!$F$4547&lt;&gt;999,'Data'!$F$4547&lt;&gt;""),'Data'!$F$4547,"")</f>
        <v/>
      </c>
      <c r="Z4546" t="n">
        <v>1</v>
      </c>
      <c r="AA4546">
        <f>IF(ISNUMBER('IN-CLASS_Lab Part C'!$J$4546),'IN-CLASS_Lab Part C'!$J$4546,NA())</f>
        <v/>
      </c>
    </row>
    <row r="4547">
      <c r="J4547">
        <f>IF(AND(ISNUMBER('Data'!$F$4548),'Data'!$F$4548&lt;&gt;999,'Data'!$F$4548&lt;&gt;""),'Data'!$F$4548,"")</f>
        <v/>
      </c>
      <c r="Z4547" t="n">
        <v>1</v>
      </c>
      <c r="AA4547">
        <f>IF(ISNUMBER('IN-CLASS_Lab Part C'!$J$4547),'IN-CLASS_Lab Part C'!$J$4547,NA())</f>
        <v/>
      </c>
    </row>
    <row r="4548">
      <c r="J4548">
        <f>IF(AND(ISNUMBER('Data'!$F$4549),'Data'!$F$4549&lt;&gt;999,'Data'!$F$4549&lt;&gt;""),'Data'!$F$4549,"")</f>
        <v/>
      </c>
      <c r="Z4548" t="n">
        <v>1</v>
      </c>
      <c r="AA4548">
        <f>IF(ISNUMBER('IN-CLASS_Lab Part C'!$J$4548),'IN-CLASS_Lab Part C'!$J$4548,NA())</f>
        <v/>
      </c>
    </row>
    <row r="4549">
      <c r="J4549">
        <f>IF(AND(ISNUMBER('Data'!$F$4550),'Data'!$F$4550&lt;&gt;999,'Data'!$F$4550&lt;&gt;""),'Data'!$F$4550,"")</f>
        <v/>
      </c>
      <c r="Z4549" t="n">
        <v>1</v>
      </c>
      <c r="AA4549">
        <f>IF(ISNUMBER('IN-CLASS_Lab Part C'!$J$4549),'IN-CLASS_Lab Part C'!$J$4549,NA())</f>
        <v/>
      </c>
    </row>
    <row r="4550">
      <c r="J4550">
        <f>IF(AND(ISNUMBER('Data'!$F$4551),'Data'!$F$4551&lt;&gt;999,'Data'!$F$4551&lt;&gt;""),'Data'!$F$4551,"")</f>
        <v/>
      </c>
      <c r="Z4550" t="n">
        <v>1</v>
      </c>
      <c r="AA4550">
        <f>IF(ISNUMBER('IN-CLASS_Lab Part C'!$J$4550),'IN-CLASS_Lab Part C'!$J$4550,NA())</f>
        <v/>
      </c>
    </row>
    <row r="4551">
      <c r="J4551">
        <f>IF(AND(ISNUMBER('Data'!$F$4552),'Data'!$F$4552&lt;&gt;999,'Data'!$F$4552&lt;&gt;""),'Data'!$F$4552,"")</f>
        <v/>
      </c>
      <c r="Z4551" t="n">
        <v>1</v>
      </c>
      <c r="AA4551">
        <f>IF(ISNUMBER('IN-CLASS_Lab Part C'!$J$4551),'IN-CLASS_Lab Part C'!$J$4551,NA())</f>
        <v/>
      </c>
    </row>
    <row r="4552">
      <c r="J4552">
        <f>IF(AND(ISNUMBER('Data'!$F$4553),'Data'!$F$4553&lt;&gt;999,'Data'!$F$4553&lt;&gt;""),'Data'!$F$4553,"")</f>
        <v/>
      </c>
      <c r="Z4552" t="n">
        <v>1</v>
      </c>
      <c r="AA4552">
        <f>IF(ISNUMBER('IN-CLASS_Lab Part C'!$J$4552),'IN-CLASS_Lab Part C'!$J$4552,NA())</f>
        <v/>
      </c>
    </row>
    <row r="4553">
      <c r="J4553">
        <f>IF(AND(ISNUMBER('Data'!$F$4554),'Data'!$F$4554&lt;&gt;999,'Data'!$F$4554&lt;&gt;""),'Data'!$F$4554,"")</f>
        <v/>
      </c>
      <c r="Z4553" t="n">
        <v>1</v>
      </c>
      <c r="AA4553">
        <f>IF(ISNUMBER('IN-CLASS_Lab Part C'!$J$4553),'IN-CLASS_Lab Part C'!$J$4553,NA())</f>
        <v/>
      </c>
    </row>
    <row r="4554">
      <c r="J4554">
        <f>IF(AND(ISNUMBER('Data'!$F$4555),'Data'!$F$4555&lt;&gt;999,'Data'!$F$4555&lt;&gt;""),'Data'!$F$4555,"")</f>
        <v/>
      </c>
      <c r="Z4554" t="n">
        <v>1</v>
      </c>
      <c r="AA4554">
        <f>IF(ISNUMBER('IN-CLASS_Lab Part C'!$J$4554),'IN-CLASS_Lab Part C'!$J$4554,NA())</f>
        <v/>
      </c>
    </row>
    <row r="4555">
      <c r="J4555">
        <f>IF(AND(ISNUMBER('Data'!$F$4556),'Data'!$F$4556&lt;&gt;999,'Data'!$F$4556&lt;&gt;""),'Data'!$F$4556,"")</f>
        <v/>
      </c>
      <c r="Z4555" t="n">
        <v>1</v>
      </c>
      <c r="AA4555">
        <f>IF(ISNUMBER('IN-CLASS_Lab Part C'!$J$4555),'IN-CLASS_Lab Part C'!$J$4555,NA())</f>
        <v/>
      </c>
    </row>
    <row r="4556">
      <c r="J4556">
        <f>IF(AND(ISNUMBER('Data'!$F$4557),'Data'!$F$4557&lt;&gt;999,'Data'!$F$4557&lt;&gt;""),'Data'!$F$4557,"")</f>
        <v/>
      </c>
      <c r="Z4556" t="n">
        <v>1</v>
      </c>
      <c r="AA4556">
        <f>IF(ISNUMBER('IN-CLASS_Lab Part C'!$J$4556),'IN-CLASS_Lab Part C'!$J$4556,NA())</f>
        <v/>
      </c>
    </row>
    <row r="4557">
      <c r="J4557">
        <f>IF(AND(ISNUMBER('Data'!$F$4558),'Data'!$F$4558&lt;&gt;999,'Data'!$F$4558&lt;&gt;""),'Data'!$F$4558,"")</f>
        <v/>
      </c>
      <c r="Z4557" t="n">
        <v>1</v>
      </c>
      <c r="AA4557">
        <f>IF(ISNUMBER('IN-CLASS_Lab Part C'!$J$4557),'IN-CLASS_Lab Part C'!$J$4557,NA())</f>
        <v/>
      </c>
    </row>
    <row r="4558">
      <c r="J4558">
        <f>IF(AND(ISNUMBER('Data'!$F$4559),'Data'!$F$4559&lt;&gt;999,'Data'!$F$4559&lt;&gt;""),'Data'!$F$4559,"")</f>
        <v/>
      </c>
      <c r="Z4558" t="n">
        <v>1</v>
      </c>
      <c r="AA4558">
        <f>IF(ISNUMBER('IN-CLASS_Lab Part C'!$J$4558),'IN-CLASS_Lab Part C'!$J$4558,NA())</f>
        <v/>
      </c>
    </row>
    <row r="4559">
      <c r="J4559">
        <f>IF(AND(ISNUMBER('Data'!$F$4560),'Data'!$F$4560&lt;&gt;999,'Data'!$F$4560&lt;&gt;""),'Data'!$F$4560,"")</f>
        <v/>
      </c>
      <c r="Z4559" t="n">
        <v>1</v>
      </c>
      <c r="AA4559">
        <f>IF(ISNUMBER('IN-CLASS_Lab Part C'!$J$4559),'IN-CLASS_Lab Part C'!$J$4559,NA())</f>
        <v/>
      </c>
    </row>
    <row r="4560">
      <c r="J4560">
        <f>IF(AND(ISNUMBER('Data'!$F$4561),'Data'!$F$4561&lt;&gt;999,'Data'!$F$4561&lt;&gt;""),'Data'!$F$4561,"")</f>
        <v/>
      </c>
      <c r="Z4560" t="n">
        <v>1</v>
      </c>
      <c r="AA4560">
        <f>IF(ISNUMBER('IN-CLASS_Lab Part C'!$J$4560),'IN-CLASS_Lab Part C'!$J$4560,NA())</f>
        <v/>
      </c>
    </row>
    <row r="4561">
      <c r="J4561">
        <f>IF(AND(ISNUMBER('Data'!$F$4562),'Data'!$F$4562&lt;&gt;999,'Data'!$F$4562&lt;&gt;""),'Data'!$F$4562,"")</f>
        <v/>
      </c>
      <c r="Z4561" t="n">
        <v>1</v>
      </c>
      <c r="AA4561">
        <f>IF(ISNUMBER('IN-CLASS_Lab Part C'!$J$4561),'IN-CLASS_Lab Part C'!$J$4561,NA())</f>
        <v/>
      </c>
    </row>
    <row r="4562">
      <c r="J4562">
        <f>IF(AND(ISNUMBER('Data'!$F$4563),'Data'!$F$4563&lt;&gt;999,'Data'!$F$4563&lt;&gt;""),'Data'!$F$4563,"")</f>
        <v/>
      </c>
      <c r="Z4562" t="n">
        <v>1</v>
      </c>
      <c r="AA4562">
        <f>IF(ISNUMBER('IN-CLASS_Lab Part C'!$J$4562),'IN-CLASS_Lab Part C'!$J$4562,NA())</f>
        <v/>
      </c>
    </row>
    <row r="4563">
      <c r="J4563">
        <f>IF(AND(ISNUMBER('Data'!$F$4564),'Data'!$F$4564&lt;&gt;999,'Data'!$F$4564&lt;&gt;""),'Data'!$F$4564,"")</f>
        <v/>
      </c>
      <c r="Z4563" t="n">
        <v>1</v>
      </c>
      <c r="AA4563">
        <f>IF(ISNUMBER('IN-CLASS_Lab Part C'!$J$4563),'IN-CLASS_Lab Part C'!$J$4563,NA())</f>
        <v/>
      </c>
    </row>
    <row r="4564">
      <c r="J4564">
        <f>IF(AND(ISNUMBER('Data'!$F$4565),'Data'!$F$4565&lt;&gt;999,'Data'!$F$4565&lt;&gt;""),'Data'!$F$4565,"")</f>
        <v/>
      </c>
      <c r="Z4564" t="n">
        <v>1</v>
      </c>
      <c r="AA4564">
        <f>IF(ISNUMBER('IN-CLASS_Lab Part C'!$J$4564),'IN-CLASS_Lab Part C'!$J$4564,NA())</f>
        <v/>
      </c>
    </row>
    <row r="4565">
      <c r="J4565">
        <f>IF(AND(ISNUMBER('Data'!$F$4566),'Data'!$F$4566&lt;&gt;999,'Data'!$F$4566&lt;&gt;""),'Data'!$F$4566,"")</f>
        <v/>
      </c>
      <c r="Z4565" t="n">
        <v>1</v>
      </c>
      <c r="AA4565">
        <f>IF(ISNUMBER('IN-CLASS_Lab Part C'!$J$4565),'IN-CLASS_Lab Part C'!$J$4565,NA())</f>
        <v/>
      </c>
    </row>
    <row r="4566">
      <c r="J4566">
        <f>IF(AND(ISNUMBER('Data'!$F$4567),'Data'!$F$4567&lt;&gt;999,'Data'!$F$4567&lt;&gt;""),'Data'!$F$4567,"")</f>
        <v/>
      </c>
      <c r="Z4566" t="n">
        <v>1</v>
      </c>
      <c r="AA4566">
        <f>IF(ISNUMBER('IN-CLASS_Lab Part C'!$J$4566),'IN-CLASS_Lab Part C'!$J$4566,NA())</f>
        <v/>
      </c>
    </row>
    <row r="4567">
      <c r="J4567">
        <f>IF(AND(ISNUMBER('Data'!$F$4568),'Data'!$F$4568&lt;&gt;999,'Data'!$F$4568&lt;&gt;""),'Data'!$F$4568,"")</f>
        <v/>
      </c>
      <c r="Z4567" t="n">
        <v>1</v>
      </c>
      <c r="AA4567">
        <f>IF(ISNUMBER('IN-CLASS_Lab Part C'!$J$4567),'IN-CLASS_Lab Part C'!$J$4567,NA())</f>
        <v/>
      </c>
    </row>
    <row r="4568">
      <c r="J4568">
        <f>IF(AND(ISNUMBER('Data'!$F$4569),'Data'!$F$4569&lt;&gt;999,'Data'!$F$4569&lt;&gt;""),'Data'!$F$4569,"")</f>
        <v/>
      </c>
      <c r="Z4568" t="n">
        <v>1</v>
      </c>
      <c r="AA4568">
        <f>IF(ISNUMBER('IN-CLASS_Lab Part C'!$J$4568),'IN-CLASS_Lab Part C'!$J$4568,NA())</f>
        <v/>
      </c>
    </row>
    <row r="4569">
      <c r="J4569">
        <f>IF(AND(ISNUMBER('Data'!$F$4570),'Data'!$F$4570&lt;&gt;999,'Data'!$F$4570&lt;&gt;""),'Data'!$F$4570,"")</f>
        <v/>
      </c>
      <c r="Z4569" t="n">
        <v>1</v>
      </c>
      <c r="AA4569">
        <f>IF(ISNUMBER('IN-CLASS_Lab Part C'!$J$4569),'IN-CLASS_Lab Part C'!$J$4569,NA())</f>
        <v/>
      </c>
    </row>
    <row r="4570">
      <c r="J4570">
        <f>IF(AND(ISNUMBER('Data'!$F$4571),'Data'!$F$4571&lt;&gt;999,'Data'!$F$4571&lt;&gt;""),'Data'!$F$4571,"")</f>
        <v/>
      </c>
      <c r="Z4570" t="n">
        <v>1</v>
      </c>
      <c r="AA4570">
        <f>IF(ISNUMBER('IN-CLASS_Lab Part C'!$J$4570),'IN-CLASS_Lab Part C'!$J$4570,NA())</f>
        <v/>
      </c>
    </row>
    <row r="4571">
      <c r="J4571">
        <f>IF(AND(ISNUMBER('Data'!$F$4572),'Data'!$F$4572&lt;&gt;999,'Data'!$F$4572&lt;&gt;""),'Data'!$F$4572,"")</f>
        <v/>
      </c>
      <c r="Z4571" t="n">
        <v>1</v>
      </c>
      <c r="AA4571">
        <f>IF(ISNUMBER('IN-CLASS_Lab Part C'!$J$4571),'IN-CLASS_Lab Part C'!$J$4571,NA())</f>
        <v/>
      </c>
    </row>
    <row r="4572">
      <c r="J4572">
        <f>IF(AND(ISNUMBER('Data'!$F$4573),'Data'!$F$4573&lt;&gt;999,'Data'!$F$4573&lt;&gt;""),'Data'!$F$4573,"")</f>
        <v/>
      </c>
      <c r="Z4572" t="n">
        <v>1</v>
      </c>
      <c r="AA4572">
        <f>IF(ISNUMBER('IN-CLASS_Lab Part C'!$J$4572),'IN-CLASS_Lab Part C'!$J$4572,NA())</f>
        <v/>
      </c>
    </row>
    <row r="4573">
      <c r="J4573">
        <f>IF(AND(ISNUMBER('Data'!$F$4574),'Data'!$F$4574&lt;&gt;999,'Data'!$F$4574&lt;&gt;""),'Data'!$F$4574,"")</f>
        <v/>
      </c>
      <c r="Z4573" t="n">
        <v>1</v>
      </c>
      <c r="AA4573">
        <f>IF(ISNUMBER('IN-CLASS_Lab Part C'!$J$4573),'IN-CLASS_Lab Part C'!$J$4573,NA())</f>
        <v/>
      </c>
    </row>
    <row r="4574">
      <c r="J4574">
        <f>IF(AND(ISNUMBER('Data'!$F$4575),'Data'!$F$4575&lt;&gt;999,'Data'!$F$4575&lt;&gt;""),'Data'!$F$4575,"")</f>
        <v/>
      </c>
      <c r="Z4574" t="n">
        <v>1</v>
      </c>
      <c r="AA4574">
        <f>IF(ISNUMBER('IN-CLASS_Lab Part C'!$J$4574),'IN-CLASS_Lab Part C'!$J$4574,NA())</f>
        <v/>
      </c>
    </row>
    <row r="4575">
      <c r="J4575">
        <f>IF(AND(ISNUMBER('Data'!$F$4576),'Data'!$F$4576&lt;&gt;999,'Data'!$F$4576&lt;&gt;""),'Data'!$F$4576,"")</f>
        <v/>
      </c>
      <c r="Z4575" t="n">
        <v>1</v>
      </c>
      <c r="AA4575">
        <f>IF(ISNUMBER('IN-CLASS_Lab Part C'!$J$4575),'IN-CLASS_Lab Part C'!$J$4575,NA())</f>
        <v/>
      </c>
    </row>
    <row r="4576">
      <c r="J4576">
        <f>IF(AND(ISNUMBER('Data'!$F$4577),'Data'!$F$4577&lt;&gt;999,'Data'!$F$4577&lt;&gt;""),'Data'!$F$4577,"")</f>
        <v/>
      </c>
      <c r="Z4576" t="n">
        <v>1</v>
      </c>
      <c r="AA4576">
        <f>IF(ISNUMBER('IN-CLASS_Lab Part C'!$J$4576),'IN-CLASS_Lab Part C'!$J$4576,NA())</f>
        <v/>
      </c>
    </row>
    <row r="4577">
      <c r="J4577">
        <f>IF(AND(ISNUMBER('Data'!$F$4578),'Data'!$F$4578&lt;&gt;999,'Data'!$F$4578&lt;&gt;""),'Data'!$F$4578,"")</f>
        <v/>
      </c>
      <c r="Z4577" t="n">
        <v>1</v>
      </c>
      <c r="AA4577">
        <f>IF(ISNUMBER('IN-CLASS_Lab Part C'!$J$4577),'IN-CLASS_Lab Part C'!$J$4577,NA())</f>
        <v/>
      </c>
    </row>
    <row r="4578">
      <c r="J4578">
        <f>IF(AND(ISNUMBER('Data'!$F$4579),'Data'!$F$4579&lt;&gt;999,'Data'!$F$4579&lt;&gt;""),'Data'!$F$4579,"")</f>
        <v/>
      </c>
      <c r="Z4578" t="n">
        <v>1</v>
      </c>
      <c r="AA4578">
        <f>IF(ISNUMBER('IN-CLASS_Lab Part C'!$J$4578),'IN-CLASS_Lab Part C'!$J$4578,NA())</f>
        <v/>
      </c>
    </row>
    <row r="4579">
      <c r="J4579">
        <f>IF(AND(ISNUMBER('Data'!$F$4580),'Data'!$F$4580&lt;&gt;999,'Data'!$F$4580&lt;&gt;""),'Data'!$F$4580,"")</f>
        <v/>
      </c>
      <c r="Z4579" t="n">
        <v>1</v>
      </c>
      <c r="AA4579">
        <f>IF(ISNUMBER('IN-CLASS_Lab Part C'!$J$4579),'IN-CLASS_Lab Part C'!$J$4579,NA())</f>
        <v/>
      </c>
    </row>
    <row r="4580">
      <c r="J4580">
        <f>IF(AND(ISNUMBER('Data'!$F$4581),'Data'!$F$4581&lt;&gt;999,'Data'!$F$4581&lt;&gt;""),'Data'!$F$4581,"")</f>
        <v/>
      </c>
      <c r="Z4580" t="n">
        <v>1</v>
      </c>
      <c r="AA4580">
        <f>IF(ISNUMBER('IN-CLASS_Lab Part C'!$J$4580),'IN-CLASS_Lab Part C'!$J$4580,NA())</f>
        <v/>
      </c>
    </row>
    <row r="4581">
      <c r="J4581">
        <f>IF(AND(ISNUMBER('Data'!$F$4582),'Data'!$F$4582&lt;&gt;999,'Data'!$F$4582&lt;&gt;""),'Data'!$F$4582,"")</f>
        <v/>
      </c>
      <c r="Z4581" t="n">
        <v>1</v>
      </c>
      <c r="AA4581">
        <f>IF(ISNUMBER('IN-CLASS_Lab Part C'!$J$4581),'IN-CLASS_Lab Part C'!$J$4581,NA())</f>
        <v/>
      </c>
    </row>
    <row r="4582">
      <c r="J4582">
        <f>IF(AND(ISNUMBER('Data'!$F$4583),'Data'!$F$4583&lt;&gt;999,'Data'!$F$4583&lt;&gt;""),'Data'!$F$4583,"")</f>
        <v/>
      </c>
      <c r="Z4582" t="n">
        <v>1</v>
      </c>
      <c r="AA4582">
        <f>IF(ISNUMBER('IN-CLASS_Lab Part C'!$J$4582),'IN-CLASS_Lab Part C'!$J$4582,NA())</f>
        <v/>
      </c>
    </row>
    <row r="4583">
      <c r="J4583">
        <f>IF(AND(ISNUMBER('Data'!$F$4584),'Data'!$F$4584&lt;&gt;999,'Data'!$F$4584&lt;&gt;""),'Data'!$F$4584,"")</f>
        <v/>
      </c>
      <c r="Z4583" t="n">
        <v>1</v>
      </c>
      <c r="AA4583">
        <f>IF(ISNUMBER('IN-CLASS_Lab Part C'!$J$4583),'IN-CLASS_Lab Part C'!$J$4583,NA())</f>
        <v/>
      </c>
    </row>
    <row r="4584">
      <c r="J4584">
        <f>IF(AND(ISNUMBER('Data'!$F$4585),'Data'!$F$4585&lt;&gt;999,'Data'!$F$4585&lt;&gt;""),'Data'!$F$4585,"")</f>
        <v/>
      </c>
      <c r="Z4584" t="n">
        <v>1</v>
      </c>
      <c r="AA4584">
        <f>IF(ISNUMBER('IN-CLASS_Lab Part C'!$J$4584),'IN-CLASS_Lab Part C'!$J$4584,NA())</f>
        <v/>
      </c>
    </row>
    <row r="4585">
      <c r="J4585">
        <f>IF(AND(ISNUMBER('Data'!$F$4586),'Data'!$F$4586&lt;&gt;999,'Data'!$F$4586&lt;&gt;""),'Data'!$F$4586,"")</f>
        <v/>
      </c>
      <c r="Z4585" t="n">
        <v>1</v>
      </c>
      <c r="AA4585">
        <f>IF(ISNUMBER('IN-CLASS_Lab Part C'!$J$4585),'IN-CLASS_Lab Part C'!$J$4585,NA())</f>
        <v/>
      </c>
    </row>
    <row r="4586">
      <c r="J4586">
        <f>IF(AND(ISNUMBER('Data'!$F$4587),'Data'!$F$4587&lt;&gt;999,'Data'!$F$4587&lt;&gt;""),'Data'!$F$4587,"")</f>
        <v/>
      </c>
      <c r="Z4586" t="n">
        <v>1</v>
      </c>
      <c r="AA4586">
        <f>IF(ISNUMBER('IN-CLASS_Lab Part C'!$J$4586),'IN-CLASS_Lab Part C'!$J$4586,NA())</f>
        <v/>
      </c>
    </row>
    <row r="4587">
      <c r="J4587">
        <f>IF(AND(ISNUMBER('Data'!$F$4588),'Data'!$F$4588&lt;&gt;999,'Data'!$F$4588&lt;&gt;""),'Data'!$F$4588,"")</f>
        <v/>
      </c>
      <c r="Z4587" t="n">
        <v>1</v>
      </c>
      <c r="AA4587">
        <f>IF(ISNUMBER('IN-CLASS_Lab Part C'!$J$4587),'IN-CLASS_Lab Part C'!$J$4587,NA())</f>
        <v/>
      </c>
    </row>
    <row r="4588">
      <c r="J4588">
        <f>IF(AND(ISNUMBER('Data'!$F$4589),'Data'!$F$4589&lt;&gt;999,'Data'!$F$4589&lt;&gt;""),'Data'!$F$4589,"")</f>
        <v/>
      </c>
      <c r="Z4588" t="n">
        <v>1</v>
      </c>
      <c r="AA4588">
        <f>IF(ISNUMBER('IN-CLASS_Lab Part C'!$J$4588),'IN-CLASS_Lab Part C'!$J$4588,NA())</f>
        <v/>
      </c>
    </row>
    <row r="4589">
      <c r="J4589">
        <f>IF(AND(ISNUMBER('Data'!$F$4590),'Data'!$F$4590&lt;&gt;999,'Data'!$F$4590&lt;&gt;""),'Data'!$F$4590,"")</f>
        <v/>
      </c>
      <c r="Z4589" t="n">
        <v>1</v>
      </c>
      <c r="AA4589">
        <f>IF(ISNUMBER('IN-CLASS_Lab Part C'!$J$4589),'IN-CLASS_Lab Part C'!$J$4589,NA())</f>
        <v/>
      </c>
    </row>
    <row r="4590">
      <c r="J4590">
        <f>IF(AND(ISNUMBER('Data'!$F$4591),'Data'!$F$4591&lt;&gt;999,'Data'!$F$4591&lt;&gt;""),'Data'!$F$4591,"")</f>
        <v/>
      </c>
      <c r="Z4590" t="n">
        <v>1</v>
      </c>
      <c r="AA4590">
        <f>IF(ISNUMBER('IN-CLASS_Lab Part C'!$J$4590),'IN-CLASS_Lab Part C'!$J$4590,NA())</f>
        <v/>
      </c>
    </row>
    <row r="4591">
      <c r="J4591">
        <f>IF(AND(ISNUMBER('Data'!$F$4592),'Data'!$F$4592&lt;&gt;999,'Data'!$F$4592&lt;&gt;""),'Data'!$F$4592,"")</f>
        <v/>
      </c>
      <c r="Z4591" t="n">
        <v>1</v>
      </c>
      <c r="AA4591">
        <f>IF(ISNUMBER('IN-CLASS_Lab Part C'!$J$4591),'IN-CLASS_Lab Part C'!$J$4591,NA())</f>
        <v/>
      </c>
    </row>
    <row r="4592">
      <c r="J4592">
        <f>IF(AND(ISNUMBER('Data'!$F$4593),'Data'!$F$4593&lt;&gt;999,'Data'!$F$4593&lt;&gt;""),'Data'!$F$4593,"")</f>
        <v/>
      </c>
      <c r="Z4592" t="n">
        <v>1</v>
      </c>
      <c r="AA4592">
        <f>IF(ISNUMBER('IN-CLASS_Lab Part C'!$J$4592),'IN-CLASS_Lab Part C'!$J$4592,NA())</f>
        <v/>
      </c>
    </row>
    <row r="4593">
      <c r="J4593">
        <f>IF(AND(ISNUMBER('Data'!$F$4594),'Data'!$F$4594&lt;&gt;999,'Data'!$F$4594&lt;&gt;""),'Data'!$F$4594,"")</f>
        <v/>
      </c>
      <c r="Z4593" t="n">
        <v>1</v>
      </c>
      <c r="AA4593">
        <f>IF(ISNUMBER('IN-CLASS_Lab Part C'!$J$4593),'IN-CLASS_Lab Part C'!$J$4593,NA())</f>
        <v/>
      </c>
    </row>
    <row r="4594">
      <c r="J4594">
        <f>IF(AND(ISNUMBER('Data'!$F$4595),'Data'!$F$4595&lt;&gt;999,'Data'!$F$4595&lt;&gt;""),'Data'!$F$4595,"")</f>
        <v/>
      </c>
      <c r="Z4594" t="n">
        <v>1</v>
      </c>
      <c r="AA4594">
        <f>IF(ISNUMBER('IN-CLASS_Lab Part C'!$J$4594),'IN-CLASS_Lab Part C'!$J$4594,NA())</f>
        <v/>
      </c>
    </row>
    <row r="4595">
      <c r="J4595">
        <f>IF(AND(ISNUMBER('Data'!$F$4596),'Data'!$F$4596&lt;&gt;999,'Data'!$F$4596&lt;&gt;""),'Data'!$F$4596,"")</f>
        <v/>
      </c>
      <c r="Z4595" t="n">
        <v>1</v>
      </c>
      <c r="AA4595">
        <f>IF(ISNUMBER('IN-CLASS_Lab Part C'!$J$4595),'IN-CLASS_Lab Part C'!$J$4595,NA())</f>
        <v/>
      </c>
    </row>
    <row r="4596">
      <c r="J4596">
        <f>IF(AND(ISNUMBER('Data'!$F$4597),'Data'!$F$4597&lt;&gt;999,'Data'!$F$4597&lt;&gt;""),'Data'!$F$4597,"")</f>
        <v/>
      </c>
      <c r="Z4596" t="n">
        <v>1</v>
      </c>
      <c r="AA4596">
        <f>IF(ISNUMBER('IN-CLASS_Lab Part C'!$J$4596),'IN-CLASS_Lab Part C'!$J$4596,NA())</f>
        <v/>
      </c>
    </row>
    <row r="4597">
      <c r="J4597">
        <f>IF(AND(ISNUMBER('Data'!$F$4598),'Data'!$F$4598&lt;&gt;999,'Data'!$F$4598&lt;&gt;""),'Data'!$F$4598,"")</f>
        <v/>
      </c>
      <c r="Z4597" t="n">
        <v>1</v>
      </c>
      <c r="AA4597">
        <f>IF(ISNUMBER('IN-CLASS_Lab Part C'!$J$4597),'IN-CLASS_Lab Part C'!$J$4597,NA())</f>
        <v/>
      </c>
    </row>
    <row r="4598">
      <c r="J4598">
        <f>IF(AND(ISNUMBER('Data'!$F$4599),'Data'!$F$4599&lt;&gt;999,'Data'!$F$4599&lt;&gt;""),'Data'!$F$4599,"")</f>
        <v/>
      </c>
      <c r="Z4598" t="n">
        <v>1</v>
      </c>
      <c r="AA4598">
        <f>IF(ISNUMBER('IN-CLASS_Lab Part C'!$J$4598),'IN-CLASS_Lab Part C'!$J$4598,NA())</f>
        <v/>
      </c>
    </row>
    <row r="4599">
      <c r="J4599">
        <f>IF(AND(ISNUMBER('Data'!$F$4600),'Data'!$F$4600&lt;&gt;999,'Data'!$F$4600&lt;&gt;""),'Data'!$F$4600,"")</f>
        <v/>
      </c>
      <c r="Z4599" t="n">
        <v>1</v>
      </c>
      <c r="AA4599">
        <f>IF(ISNUMBER('IN-CLASS_Lab Part C'!$J$4599),'IN-CLASS_Lab Part C'!$J$4599,NA())</f>
        <v/>
      </c>
    </row>
    <row r="4600">
      <c r="J4600">
        <f>IF(AND(ISNUMBER('Data'!$F$4601),'Data'!$F$4601&lt;&gt;999,'Data'!$F$4601&lt;&gt;""),'Data'!$F$4601,"")</f>
        <v/>
      </c>
      <c r="Z4600" t="n">
        <v>1</v>
      </c>
      <c r="AA4600">
        <f>IF(ISNUMBER('IN-CLASS_Lab Part C'!$J$4600),'IN-CLASS_Lab Part C'!$J$4600,NA())</f>
        <v/>
      </c>
    </row>
    <row r="4601">
      <c r="J4601">
        <f>IF(AND(ISNUMBER('Data'!$F$4602),'Data'!$F$4602&lt;&gt;999,'Data'!$F$4602&lt;&gt;""),'Data'!$F$4602,"")</f>
        <v/>
      </c>
      <c r="Z4601" t="n">
        <v>1</v>
      </c>
      <c r="AA4601">
        <f>IF(ISNUMBER('IN-CLASS_Lab Part C'!$J$4601),'IN-CLASS_Lab Part C'!$J$4601,NA())</f>
        <v/>
      </c>
    </row>
    <row r="4602">
      <c r="J4602">
        <f>IF(AND(ISNUMBER('Data'!$F$4603),'Data'!$F$4603&lt;&gt;999,'Data'!$F$4603&lt;&gt;""),'Data'!$F$4603,"")</f>
        <v/>
      </c>
      <c r="Z4602" t="n">
        <v>1</v>
      </c>
      <c r="AA4602">
        <f>IF(ISNUMBER('IN-CLASS_Lab Part C'!$J$4602),'IN-CLASS_Lab Part C'!$J$4602,NA())</f>
        <v/>
      </c>
    </row>
    <row r="4603">
      <c r="J4603">
        <f>IF(AND(ISNUMBER('Data'!$F$4604),'Data'!$F$4604&lt;&gt;999,'Data'!$F$4604&lt;&gt;""),'Data'!$F$4604,"")</f>
        <v/>
      </c>
      <c r="Z4603" t="n">
        <v>1</v>
      </c>
      <c r="AA4603">
        <f>IF(ISNUMBER('IN-CLASS_Lab Part C'!$J$4603),'IN-CLASS_Lab Part C'!$J$4603,NA())</f>
        <v/>
      </c>
    </row>
    <row r="4604">
      <c r="J4604">
        <f>IF(AND(ISNUMBER('Data'!$F$4605),'Data'!$F$4605&lt;&gt;999,'Data'!$F$4605&lt;&gt;""),'Data'!$F$4605,"")</f>
        <v/>
      </c>
      <c r="Z4604" t="n">
        <v>1</v>
      </c>
      <c r="AA4604">
        <f>IF(ISNUMBER('IN-CLASS_Lab Part C'!$J$4604),'IN-CLASS_Lab Part C'!$J$4604,NA())</f>
        <v/>
      </c>
    </row>
    <row r="4605">
      <c r="J4605">
        <f>IF(AND(ISNUMBER('Data'!$F$4606),'Data'!$F$4606&lt;&gt;999,'Data'!$F$4606&lt;&gt;""),'Data'!$F$4606,"")</f>
        <v/>
      </c>
      <c r="Z4605" t="n">
        <v>1</v>
      </c>
      <c r="AA4605">
        <f>IF(ISNUMBER('IN-CLASS_Lab Part C'!$J$4605),'IN-CLASS_Lab Part C'!$J$4605,NA())</f>
        <v/>
      </c>
    </row>
    <row r="4606">
      <c r="J4606">
        <f>IF(AND(ISNUMBER('Data'!$F$4607),'Data'!$F$4607&lt;&gt;999,'Data'!$F$4607&lt;&gt;""),'Data'!$F$4607,"")</f>
        <v/>
      </c>
      <c r="Z4606" t="n">
        <v>1</v>
      </c>
      <c r="AA4606">
        <f>IF(ISNUMBER('IN-CLASS_Lab Part C'!$J$4606),'IN-CLASS_Lab Part C'!$J$4606,NA())</f>
        <v/>
      </c>
    </row>
    <row r="4607">
      <c r="J4607">
        <f>IF(AND(ISNUMBER('Data'!$F$4608),'Data'!$F$4608&lt;&gt;999,'Data'!$F$4608&lt;&gt;""),'Data'!$F$4608,"")</f>
        <v/>
      </c>
      <c r="Z4607" t="n">
        <v>1</v>
      </c>
      <c r="AA4607">
        <f>IF(ISNUMBER('IN-CLASS_Lab Part C'!$J$4607),'IN-CLASS_Lab Part C'!$J$4607,NA())</f>
        <v/>
      </c>
    </row>
    <row r="4608">
      <c r="J4608">
        <f>IF(AND(ISNUMBER('Data'!$F$4609),'Data'!$F$4609&lt;&gt;999,'Data'!$F$4609&lt;&gt;""),'Data'!$F$4609,"")</f>
        <v/>
      </c>
      <c r="Z4608" t="n">
        <v>1</v>
      </c>
      <c r="AA4608">
        <f>IF(ISNUMBER('IN-CLASS_Lab Part C'!$J$4608),'IN-CLASS_Lab Part C'!$J$4608,NA())</f>
        <v/>
      </c>
    </row>
    <row r="4609">
      <c r="J4609">
        <f>IF(AND(ISNUMBER('Data'!$F$4610),'Data'!$F$4610&lt;&gt;999,'Data'!$F$4610&lt;&gt;""),'Data'!$F$4610,"")</f>
        <v/>
      </c>
      <c r="Z4609" t="n">
        <v>1</v>
      </c>
      <c r="AA4609">
        <f>IF(ISNUMBER('IN-CLASS_Lab Part C'!$J$4609),'IN-CLASS_Lab Part C'!$J$4609,NA())</f>
        <v/>
      </c>
    </row>
    <row r="4610">
      <c r="J4610">
        <f>IF(AND(ISNUMBER('Data'!$F$4611),'Data'!$F$4611&lt;&gt;999,'Data'!$F$4611&lt;&gt;""),'Data'!$F$4611,"")</f>
        <v/>
      </c>
      <c r="Z4610" t="n">
        <v>1</v>
      </c>
      <c r="AA4610">
        <f>IF(ISNUMBER('IN-CLASS_Lab Part C'!$J$4610),'IN-CLASS_Lab Part C'!$J$4610,NA())</f>
        <v/>
      </c>
    </row>
    <row r="4611">
      <c r="J4611">
        <f>IF(AND(ISNUMBER('Data'!$F$4612),'Data'!$F$4612&lt;&gt;999,'Data'!$F$4612&lt;&gt;""),'Data'!$F$4612,"")</f>
        <v/>
      </c>
      <c r="Z4611" t="n">
        <v>1</v>
      </c>
      <c r="AA4611">
        <f>IF(ISNUMBER('IN-CLASS_Lab Part C'!$J$4611),'IN-CLASS_Lab Part C'!$J$4611,NA())</f>
        <v/>
      </c>
    </row>
    <row r="4612">
      <c r="J4612">
        <f>IF(AND(ISNUMBER('Data'!$F$4613),'Data'!$F$4613&lt;&gt;999,'Data'!$F$4613&lt;&gt;""),'Data'!$F$4613,"")</f>
        <v/>
      </c>
      <c r="Z4612" t="n">
        <v>1</v>
      </c>
      <c r="AA4612">
        <f>IF(ISNUMBER('IN-CLASS_Lab Part C'!$J$4612),'IN-CLASS_Lab Part C'!$J$4612,NA())</f>
        <v/>
      </c>
    </row>
    <row r="4613">
      <c r="J4613">
        <f>IF(AND(ISNUMBER('Data'!$F$4614),'Data'!$F$4614&lt;&gt;999,'Data'!$F$4614&lt;&gt;""),'Data'!$F$4614,"")</f>
        <v/>
      </c>
      <c r="Z4613" t="n">
        <v>1</v>
      </c>
      <c r="AA4613">
        <f>IF(ISNUMBER('IN-CLASS_Lab Part C'!$J$4613),'IN-CLASS_Lab Part C'!$J$4613,NA())</f>
        <v/>
      </c>
    </row>
    <row r="4614">
      <c r="J4614">
        <f>IF(AND(ISNUMBER('Data'!$F$4615),'Data'!$F$4615&lt;&gt;999,'Data'!$F$4615&lt;&gt;""),'Data'!$F$4615,"")</f>
        <v/>
      </c>
      <c r="Z4614" t="n">
        <v>1</v>
      </c>
      <c r="AA4614">
        <f>IF(ISNUMBER('IN-CLASS_Lab Part C'!$J$4614),'IN-CLASS_Lab Part C'!$J$4614,NA())</f>
        <v/>
      </c>
    </row>
    <row r="4615">
      <c r="J4615">
        <f>IF(AND(ISNUMBER('Data'!$F$4616),'Data'!$F$4616&lt;&gt;999,'Data'!$F$4616&lt;&gt;""),'Data'!$F$4616,"")</f>
        <v/>
      </c>
      <c r="Z4615" t="n">
        <v>1</v>
      </c>
      <c r="AA4615">
        <f>IF(ISNUMBER('IN-CLASS_Lab Part C'!$J$4615),'IN-CLASS_Lab Part C'!$J$4615,NA())</f>
        <v/>
      </c>
    </row>
    <row r="4616">
      <c r="J4616">
        <f>IF(AND(ISNUMBER('Data'!$F$4617),'Data'!$F$4617&lt;&gt;999,'Data'!$F$4617&lt;&gt;""),'Data'!$F$4617,"")</f>
        <v/>
      </c>
      <c r="Z4616" t="n">
        <v>1</v>
      </c>
      <c r="AA4616">
        <f>IF(ISNUMBER('IN-CLASS_Lab Part C'!$J$4616),'IN-CLASS_Lab Part C'!$J$4616,NA())</f>
        <v/>
      </c>
    </row>
    <row r="4617">
      <c r="J4617">
        <f>IF(AND(ISNUMBER('Data'!$F$4618),'Data'!$F$4618&lt;&gt;999,'Data'!$F$4618&lt;&gt;""),'Data'!$F$4618,"")</f>
        <v/>
      </c>
      <c r="Z4617" t="n">
        <v>1</v>
      </c>
      <c r="AA4617">
        <f>IF(ISNUMBER('IN-CLASS_Lab Part C'!$J$4617),'IN-CLASS_Lab Part C'!$J$4617,NA())</f>
        <v/>
      </c>
    </row>
    <row r="4618">
      <c r="J4618">
        <f>IF(AND(ISNUMBER('Data'!$F$4619),'Data'!$F$4619&lt;&gt;999,'Data'!$F$4619&lt;&gt;""),'Data'!$F$4619,"")</f>
        <v/>
      </c>
      <c r="Z4618" t="n">
        <v>1</v>
      </c>
      <c r="AA4618">
        <f>IF(ISNUMBER('IN-CLASS_Lab Part C'!$J$4618),'IN-CLASS_Lab Part C'!$J$4618,NA())</f>
        <v/>
      </c>
    </row>
    <row r="4619">
      <c r="J4619">
        <f>IF(AND(ISNUMBER('Data'!$F$4620),'Data'!$F$4620&lt;&gt;999,'Data'!$F$4620&lt;&gt;""),'Data'!$F$4620,"")</f>
        <v/>
      </c>
      <c r="Z4619" t="n">
        <v>1</v>
      </c>
      <c r="AA4619">
        <f>IF(ISNUMBER('IN-CLASS_Lab Part C'!$J$4619),'IN-CLASS_Lab Part C'!$J$4619,NA())</f>
        <v/>
      </c>
    </row>
    <row r="4620">
      <c r="J4620">
        <f>IF(AND(ISNUMBER('Data'!$F$4621),'Data'!$F$4621&lt;&gt;999,'Data'!$F$4621&lt;&gt;""),'Data'!$F$4621,"")</f>
        <v/>
      </c>
      <c r="Z4620" t="n">
        <v>1</v>
      </c>
      <c r="AA4620">
        <f>IF(ISNUMBER('IN-CLASS_Lab Part C'!$J$4620),'IN-CLASS_Lab Part C'!$J$4620,NA())</f>
        <v/>
      </c>
    </row>
    <row r="4621">
      <c r="J4621">
        <f>IF(AND(ISNUMBER('Data'!$F$4622),'Data'!$F$4622&lt;&gt;999,'Data'!$F$4622&lt;&gt;""),'Data'!$F$4622,"")</f>
        <v/>
      </c>
      <c r="Z4621" t="n">
        <v>1</v>
      </c>
      <c r="AA4621">
        <f>IF(ISNUMBER('IN-CLASS_Lab Part C'!$J$4621),'IN-CLASS_Lab Part C'!$J$4621,NA())</f>
        <v/>
      </c>
    </row>
    <row r="4622">
      <c r="J4622">
        <f>IF(AND(ISNUMBER('Data'!$F$4623),'Data'!$F$4623&lt;&gt;999,'Data'!$F$4623&lt;&gt;""),'Data'!$F$4623,"")</f>
        <v/>
      </c>
      <c r="Z4622" t="n">
        <v>1</v>
      </c>
      <c r="AA4622">
        <f>IF(ISNUMBER('IN-CLASS_Lab Part C'!$J$4622),'IN-CLASS_Lab Part C'!$J$4622,NA())</f>
        <v/>
      </c>
    </row>
    <row r="4623">
      <c r="J4623">
        <f>IF(AND(ISNUMBER('Data'!$F$4624),'Data'!$F$4624&lt;&gt;999,'Data'!$F$4624&lt;&gt;""),'Data'!$F$4624,"")</f>
        <v/>
      </c>
      <c r="Z4623" t="n">
        <v>1</v>
      </c>
      <c r="AA4623">
        <f>IF(ISNUMBER('IN-CLASS_Lab Part C'!$J$4623),'IN-CLASS_Lab Part C'!$J$4623,NA())</f>
        <v/>
      </c>
    </row>
    <row r="4624">
      <c r="J4624">
        <f>IF(AND(ISNUMBER('Data'!$F$4625),'Data'!$F$4625&lt;&gt;999,'Data'!$F$4625&lt;&gt;""),'Data'!$F$4625,"")</f>
        <v/>
      </c>
      <c r="Z4624" t="n">
        <v>1</v>
      </c>
      <c r="AA4624">
        <f>IF(ISNUMBER('IN-CLASS_Lab Part C'!$J$4624),'IN-CLASS_Lab Part C'!$J$4624,NA())</f>
        <v/>
      </c>
    </row>
    <row r="4625">
      <c r="J4625">
        <f>IF(AND(ISNUMBER('Data'!$F$4626),'Data'!$F$4626&lt;&gt;999,'Data'!$F$4626&lt;&gt;""),'Data'!$F$4626,"")</f>
        <v/>
      </c>
      <c r="Z4625" t="n">
        <v>1</v>
      </c>
      <c r="AA4625">
        <f>IF(ISNUMBER('IN-CLASS_Lab Part C'!$J$4625),'IN-CLASS_Lab Part C'!$J$4625,NA())</f>
        <v/>
      </c>
    </row>
    <row r="4626">
      <c r="J4626">
        <f>IF(AND(ISNUMBER('Data'!$F$4627),'Data'!$F$4627&lt;&gt;999,'Data'!$F$4627&lt;&gt;""),'Data'!$F$4627,"")</f>
        <v/>
      </c>
      <c r="Z4626" t="n">
        <v>1</v>
      </c>
      <c r="AA4626">
        <f>IF(ISNUMBER('IN-CLASS_Lab Part C'!$J$4626),'IN-CLASS_Lab Part C'!$J$4626,NA())</f>
        <v/>
      </c>
    </row>
    <row r="4627">
      <c r="J4627">
        <f>IF(AND(ISNUMBER('Data'!$F$4628),'Data'!$F$4628&lt;&gt;999,'Data'!$F$4628&lt;&gt;""),'Data'!$F$4628,"")</f>
        <v/>
      </c>
      <c r="Z4627" t="n">
        <v>1</v>
      </c>
      <c r="AA4627">
        <f>IF(ISNUMBER('IN-CLASS_Lab Part C'!$J$4627),'IN-CLASS_Lab Part C'!$J$4627,NA())</f>
        <v/>
      </c>
    </row>
    <row r="4628">
      <c r="J4628">
        <f>IF(AND(ISNUMBER('Data'!$F$4629),'Data'!$F$4629&lt;&gt;999,'Data'!$F$4629&lt;&gt;""),'Data'!$F$4629,"")</f>
        <v/>
      </c>
      <c r="Z4628" t="n">
        <v>1</v>
      </c>
      <c r="AA4628">
        <f>IF(ISNUMBER('IN-CLASS_Lab Part C'!$J$4628),'IN-CLASS_Lab Part C'!$J$4628,NA())</f>
        <v/>
      </c>
    </row>
    <row r="4629">
      <c r="J4629">
        <f>IF(AND(ISNUMBER('Data'!$F$4630),'Data'!$F$4630&lt;&gt;999,'Data'!$F$4630&lt;&gt;""),'Data'!$F$4630,"")</f>
        <v/>
      </c>
      <c r="Z4629" t="n">
        <v>1</v>
      </c>
      <c r="AA4629">
        <f>IF(ISNUMBER('IN-CLASS_Lab Part C'!$J$4629),'IN-CLASS_Lab Part C'!$J$4629,NA())</f>
        <v/>
      </c>
    </row>
    <row r="4630">
      <c r="J4630">
        <f>IF(AND(ISNUMBER('Data'!$F$4631),'Data'!$F$4631&lt;&gt;999,'Data'!$F$4631&lt;&gt;""),'Data'!$F$4631,"")</f>
        <v/>
      </c>
      <c r="Z4630" t="n">
        <v>1</v>
      </c>
      <c r="AA4630">
        <f>IF(ISNUMBER('IN-CLASS_Lab Part C'!$J$4630),'IN-CLASS_Lab Part C'!$J$4630,NA())</f>
        <v/>
      </c>
    </row>
    <row r="4631">
      <c r="J4631">
        <f>IF(AND(ISNUMBER('Data'!$F$4632),'Data'!$F$4632&lt;&gt;999,'Data'!$F$4632&lt;&gt;""),'Data'!$F$4632,"")</f>
        <v/>
      </c>
      <c r="Z4631" t="n">
        <v>1</v>
      </c>
      <c r="AA4631">
        <f>IF(ISNUMBER('IN-CLASS_Lab Part C'!$J$4631),'IN-CLASS_Lab Part C'!$J$4631,NA())</f>
        <v/>
      </c>
    </row>
    <row r="4632">
      <c r="J4632">
        <f>IF(AND(ISNUMBER('Data'!$F$4633),'Data'!$F$4633&lt;&gt;999,'Data'!$F$4633&lt;&gt;""),'Data'!$F$4633,"")</f>
        <v/>
      </c>
      <c r="Z4632" t="n">
        <v>1</v>
      </c>
      <c r="AA4632">
        <f>IF(ISNUMBER('IN-CLASS_Lab Part C'!$J$4632),'IN-CLASS_Lab Part C'!$J$4632,NA())</f>
        <v/>
      </c>
    </row>
    <row r="4633">
      <c r="J4633">
        <f>IF(AND(ISNUMBER('Data'!$F$4634),'Data'!$F$4634&lt;&gt;999,'Data'!$F$4634&lt;&gt;""),'Data'!$F$4634,"")</f>
        <v/>
      </c>
      <c r="Z4633" t="n">
        <v>1</v>
      </c>
      <c r="AA4633">
        <f>IF(ISNUMBER('IN-CLASS_Lab Part C'!$J$4633),'IN-CLASS_Lab Part C'!$J$4633,NA())</f>
        <v/>
      </c>
    </row>
    <row r="4634">
      <c r="J4634">
        <f>IF(AND(ISNUMBER('Data'!$F$4635),'Data'!$F$4635&lt;&gt;999,'Data'!$F$4635&lt;&gt;""),'Data'!$F$4635,"")</f>
        <v/>
      </c>
      <c r="Z4634" t="n">
        <v>1</v>
      </c>
      <c r="AA4634">
        <f>IF(ISNUMBER('IN-CLASS_Lab Part C'!$J$4634),'IN-CLASS_Lab Part C'!$J$4634,NA())</f>
        <v/>
      </c>
    </row>
    <row r="4635">
      <c r="J4635">
        <f>IF(AND(ISNUMBER('Data'!$F$4636),'Data'!$F$4636&lt;&gt;999,'Data'!$F$4636&lt;&gt;""),'Data'!$F$4636,"")</f>
        <v/>
      </c>
      <c r="Z4635" t="n">
        <v>1</v>
      </c>
      <c r="AA4635">
        <f>IF(ISNUMBER('IN-CLASS_Lab Part C'!$J$4635),'IN-CLASS_Lab Part C'!$J$4635,NA())</f>
        <v/>
      </c>
    </row>
    <row r="4636">
      <c r="J4636">
        <f>IF(AND(ISNUMBER('Data'!$F$4637),'Data'!$F$4637&lt;&gt;999,'Data'!$F$4637&lt;&gt;""),'Data'!$F$4637,"")</f>
        <v/>
      </c>
      <c r="Z4636" t="n">
        <v>1</v>
      </c>
      <c r="AA4636">
        <f>IF(ISNUMBER('IN-CLASS_Lab Part C'!$J$4636),'IN-CLASS_Lab Part C'!$J$4636,NA())</f>
        <v/>
      </c>
    </row>
    <row r="4637">
      <c r="J4637">
        <f>IF(AND(ISNUMBER('Data'!$F$4638),'Data'!$F$4638&lt;&gt;999,'Data'!$F$4638&lt;&gt;""),'Data'!$F$4638,"")</f>
        <v/>
      </c>
      <c r="Z4637" t="n">
        <v>1</v>
      </c>
      <c r="AA4637">
        <f>IF(ISNUMBER('IN-CLASS_Lab Part C'!$J$4637),'IN-CLASS_Lab Part C'!$J$4637,NA())</f>
        <v/>
      </c>
    </row>
    <row r="4638">
      <c r="J4638">
        <f>IF(AND(ISNUMBER('Data'!$F$4639),'Data'!$F$4639&lt;&gt;999,'Data'!$F$4639&lt;&gt;""),'Data'!$F$4639,"")</f>
        <v/>
      </c>
      <c r="Z4638" t="n">
        <v>1</v>
      </c>
      <c r="AA4638">
        <f>IF(ISNUMBER('IN-CLASS_Lab Part C'!$J$4638),'IN-CLASS_Lab Part C'!$J$4638,NA())</f>
        <v/>
      </c>
    </row>
    <row r="4639">
      <c r="J4639">
        <f>IF(AND(ISNUMBER('Data'!$F$4640),'Data'!$F$4640&lt;&gt;999,'Data'!$F$4640&lt;&gt;""),'Data'!$F$4640,"")</f>
        <v/>
      </c>
      <c r="Z4639" t="n">
        <v>1</v>
      </c>
      <c r="AA4639">
        <f>IF(ISNUMBER('IN-CLASS_Lab Part C'!$J$4639),'IN-CLASS_Lab Part C'!$J$4639,NA())</f>
        <v/>
      </c>
    </row>
    <row r="4640">
      <c r="J4640">
        <f>IF(AND(ISNUMBER('Data'!$F$4641),'Data'!$F$4641&lt;&gt;999,'Data'!$F$4641&lt;&gt;""),'Data'!$F$4641,"")</f>
        <v/>
      </c>
      <c r="Z4640" t="n">
        <v>1</v>
      </c>
      <c r="AA4640">
        <f>IF(ISNUMBER('IN-CLASS_Lab Part C'!$J$4640),'IN-CLASS_Lab Part C'!$J$4640,NA())</f>
        <v/>
      </c>
    </row>
    <row r="4641">
      <c r="J4641">
        <f>IF(AND(ISNUMBER('Data'!$F$4642),'Data'!$F$4642&lt;&gt;999,'Data'!$F$4642&lt;&gt;""),'Data'!$F$4642,"")</f>
        <v/>
      </c>
      <c r="Z4641" t="n">
        <v>1</v>
      </c>
      <c r="AA4641">
        <f>IF(ISNUMBER('IN-CLASS_Lab Part C'!$J$4641),'IN-CLASS_Lab Part C'!$J$4641,NA())</f>
        <v/>
      </c>
    </row>
    <row r="4642">
      <c r="J4642">
        <f>IF(AND(ISNUMBER('Data'!$F$4643),'Data'!$F$4643&lt;&gt;999,'Data'!$F$4643&lt;&gt;""),'Data'!$F$4643,"")</f>
        <v/>
      </c>
      <c r="Z4642" t="n">
        <v>1</v>
      </c>
      <c r="AA4642">
        <f>IF(ISNUMBER('IN-CLASS_Lab Part C'!$J$4642),'IN-CLASS_Lab Part C'!$J$4642,NA())</f>
        <v/>
      </c>
    </row>
    <row r="4643">
      <c r="J4643">
        <f>IF(AND(ISNUMBER('Data'!$F$4644),'Data'!$F$4644&lt;&gt;999,'Data'!$F$4644&lt;&gt;""),'Data'!$F$4644,"")</f>
        <v/>
      </c>
      <c r="Z4643" t="n">
        <v>1</v>
      </c>
      <c r="AA4643">
        <f>IF(ISNUMBER('IN-CLASS_Lab Part C'!$J$4643),'IN-CLASS_Lab Part C'!$J$4643,NA())</f>
        <v/>
      </c>
    </row>
    <row r="4644">
      <c r="J4644">
        <f>IF(AND(ISNUMBER('Data'!$F$4645),'Data'!$F$4645&lt;&gt;999,'Data'!$F$4645&lt;&gt;""),'Data'!$F$4645,"")</f>
        <v/>
      </c>
      <c r="Z4644" t="n">
        <v>1</v>
      </c>
      <c r="AA4644">
        <f>IF(ISNUMBER('IN-CLASS_Lab Part C'!$J$4644),'IN-CLASS_Lab Part C'!$J$4644,NA())</f>
        <v/>
      </c>
    </row>
    <row r="4645">
      <c r="J4645">
        <f>IF(AND(ISNUMBER('Data'!$F$4646),'Data'!$F$4646&lt;&gt;999,'Data'!$F$4646&lt;&gt;""),'Data'!$F$4646,"")</f>
        <v/>
      </c>
      <c r="Z4645" t="n">
        <v>1</v>
      </c>
      <c r="AA4645">
        <f>IF(ISNUMBER('IN-CLASS_Lab Part C'!$J$4645),'IN-CLASS_Lab Part C'!$J$4645,NA())</f>
        <v/>
      </c>
    </row>
    <row r="4646">
      <c r="J4646">
        <f>IF(AND(ISNUMBER('Data'!$F$4647),'Data'!$F$4647&lt;&gt;999,'Data'!$F$4647&lt;&gt;""),'Data'!$F$4647,"")</f>
        <v/>
      </c>
      <c r="Z4646" t="n">
        <v>1</v>
      </c>
      <c r="AA4646">
        <f>IF(ISNUMBER('IN-CLASS_Lab Part C'!$J$4646),'IN-CLASS_Lab Part C'!$J$4646,NA())</f>
        <v/>
      </c>
    </row>
    <row r="4647">
      <c r="J4647">
        <f>IF(AND(ISNUMBER('Data'!$F$4648),'Data'!$F$4648&lt;&gt;999,'Data'!$F$4648&lt;&gt;""),'Data'!$F$4648,"")</f>
        <v/>
      </c>
      <c r="Z4647" t="n">
        <v>1</v>
      </c>
      <c r="AA4647">
        <f>IF(ISNUMBER('IN-CLASS_Lab Part C'!$J$4647),'IN-CLASS_Lab Part C'!$J$4647,NA())</f>
        <v/>
      </c>
    </row>
    <row r="4648">
      <c r="J4648">
        <f>IF(AND(ISNUMBER('Data'!$F$4649),'Data'!$F$4649&lt;&gt;999,'Data'!$F$4649&lt;&gt;""),'Data'!$F$4649,"")</f>
        <v/>
      </c>
      <c r="Z4648" t="n">
        <v>1</v>
      </c>
      <c r="AA4648">
        <f>IF(ISNUMBER('IN-CLASS_Lab Part C'!$J$4648),'IN-CLASS_Lab Part C'!$J$4648,NA())</f>
        <v/>
      </c>
    </row>
    <row r="4649">
      <c r="J4649">
        <f>IF(AND(ISNUMBER('Data'!$F$4650),'Data'!$F$4650&lt;&gt;999,'Data'!$F$4650&lt;&gt;""),'Data'!$F$4650,"")</f>
        <v/>
      </c>
      <c r="Z4649" t="n">
        <v>1</v>
      </c>
      <c r="AA4649">
        <f>IF(ISNUMBER('IN-CLASS_Lab Part C'!$J$4649),'IN-CLASS_Lab Part C'!$J$4649,NA())</f>
        <v/>
      </c>
    </row>
    <row r="4650">
      <c r="J4650">
        <f>IF(AND(ISNUMBER('Data'!$F$4651),'Data'!$F$4651&lt;&gt;999,'Data'!$F$4651&lt;&gt;""),'Data'!$F$4651,"")</f>
        <v/>
      </c>
      <c r="Z4650" t="n">
        <v>1</v>
      </c>
      <c r="AA4650">
        <f>IF(ISNUMBER('IN-CLASS_Lab Part C'!$J$4650),'IN-CLASS_Lab Part C'!$J$4650,NA())</f>
        <v/>
      </c>
    </row>
    <row r="4651">
      <c r="J4651">
        <f>IF(AND(ISNUMBER('Data'!$F$4652),'Data'!$F$4652&lt;&gt;999,'Data'!$F$4652&lt;&gt;""),'Data'!$F$4652,"")</f>
        <v/>
      </c>
      <c r="Z4651" t="n">
        <v>1</v>
      </c>
      <c r="AA4651">
        <f>IF(ISNUMBER('IN-CLASS_Lab Part C'!$J$4651),'IN-CLASS_Lab Part C'!$J$4651,NA())</f>
        <v/>
      </c>
    </row>
    <row r="4652">
      <c r="J4652">
        <f>IF(AND(ISNUMBER('Data'!$F$4653),'Data'!$F$4653&lt;&gt;999,'Data'!$F$4653&lt;&gt;""),'Data'!$F$4653,"")</f>
        <v/>
      </c>
      <c r="Z4652" t="n">
        <v>1</v>
      </c>
      <c r="AA4652">
        <f>IF(ISNUMBER('IN-CLASS_Lab Part C'!$J$4652),'IN-CLASS_Lab Part C'!$J$4652,NA())</f>
        <v/>
      </c>
    </row>
    <row r="4653">
      <c r="J4653">
        <f>IF(AND(ISNUMBER('Data'!$F$4654),'Data'!$F$4654&lt;&gt;999,'Data'!$F$4654&lt;&gt;""),'Data'!$F$4654,"")</f>
        <v/>
      </c>
      <c r="Z4653" t="n">
        <v>1</v>
      </c>
      <c r="AA4653">
        <f>IF(ISNUMBER('IN-CLASS_Lab Part C'!$J$4653),'IN-CLASS_Lab Part C'!$J$4653,NA())</f>
        <v/>
      </c>
    </row>
    <row r="4654">
      <c r="J4654">
        <f>IF(AND(ISNUMBER('Data'!$F$4655),'Data'!$F$4655&lt;&gt;999,'Data'!$F$4655&lt;&gt;""),'Data'!$F$4655,"")</f>
        <v/>
      </c>
      <c r="Z4654" t="n">
        <v>1</v>
      </c>
      <c r="AA4654">
        <f>IF(ISNUMBER('IN-CLASS_Lab Part C'!$J$4654),'IN-CLASS_Lab Part C'!$J$4654,NA())</f>
        <v/>
      </c>
    </row>
    <row r="4655">
      <c r="J4655">
        <f>IF(AND(ISNUMBER('Data'!$F$4656),'Data'!$F$4656&lt;&gt;999,'Data'!$F$4656&lt;&gt;""),'Data'!$F$4656,"")</f>
        <v/>
      </c>
      <c r="Z4655" t="n">
        <v>1</v>
      </c>
      <c r="AA4655">
        <f>IF(ISNUMBER('IN-CLASS_Lab Part C'!$J$4655),'IN-CLASS_Lab Part C'!$J$4655,NA())</f>
        <v/>
      </c>
    </row>
    <row r="4656">
      <c r="J4656">
        <f>IF(AND(ISNUMBER('Data'!$F$4657),'Data'!$F$4657&lt;&gt;999,'Data'!$F$4657&lt;&gt;""),'Data'!$F$4657,"")</f>
        <v/>
      </c>
      <c r="Z4656" t="n">
        <v>1</v>
      </c>
      <c r="AA4656">
        <f>IF(ISNUMBER('IN-CLASS_Lab Part C'!$J$4656),'IN-CLASS_Lab Part C'!$J$4656,NA())</f>
        <v/>
      </c>
    </row>
    <row r="4657">
      <c r="J4657">
        <f>IF(AND(ISNUMBER('Data'!$F$4658),'Data'!$F$4658&lt;&gt;999,'Data'!$F$4658&lt;&gt;""),'Data'!$F$4658,"")</f>
        <v/>
      </c>
      <c r="Z4657" t="n">
        <v>1</v>
      </c>
      <c r="AA4657">
        <f>IF(ISNUMBER('IN-CLASS_Lab Part C'!$J$4657),'IN-CLASS_Lab Part C'!$J$4657,NA())</f>
        <v/>
      </c>
    </row>
    <row r="4658">
      <c r="J4658">
        <f>IF(AND(ISNUMBER('Data'!$F$4659),'Data'!$F$4659&lt;&gt;999,'Data'!$F$4659&lt;&gt;""),'Data'!$F$4659,"")</f>
        <v/>
      </c>
      <c r="Z4658" t="n">
        <v>1</v>
      </c>
      <c r="AA4658">
        <f>IF(ISNUMBER('IN-CLASS_Lab Part C'!$J$4658),'IN-CLASS_Lab Part C'!$J$4658,NA())</f>
        <v/>
      </c>
    </row>
    <row r="4659">
      <c r="J4659">
        <f>IF(AND(ISNUMBER('Data'!$F$4660),'Data'!$F$4660&lt;&gt;999,'Data'!$F$4660&lt;&gt;""),'Data'!$F$4660,"")</f>
        <v/>
      </c>
      <c r="Z4659" t="n">
        <v>1</v>
      </c>
      <c r="AA4659">
        <f>IF(ISNUMBER('IN-CLASS_Lab Part C'!$J$4659),'IN-CLASS_Lab Part C'!$J$4659,NA())</f>
        <v/>
      </c>
    </row>
    <row r="4660">
      <c r="J4660">
        <f>IF(AND(ISNUMBER('Data'!$F$4661),'Data'!$F$4661&lt;&gt;999,'Data'!$F$4661&lt;&gt;""),'Data'!$F$4661,"")</f>
        <v/>
      </c>
      <c r="Z4660" t="n">
        <v>1</v>
      </c>
      <c r="AA4660">
        <f>IF(ISNUMBER('IN-CLASS_Lab Part C'!$J$4660),'IN-CLASS_Lab Part C'!$J$4660,NA())</f>
        <v/>
      </c>
    </row>
    <row r="4661">
      <c r="J4661">
        <f>IF(AND(ISNUMBER('Data'!$F$4662),'Data'!$F$4662&lt;&gt;999,'Data'!$F$4662&lt;&gt;""),'Data'!$F$4662,"")</f>
        <v/>
      </c>
      <c r="Z4661" t="n">
        <v>1</v>
      </c>
      <c r="AA4661">
        <f>IF(ISNUMBER('IN-CLASS_Lab Part C'!$J$4661),'IN-CLASS_Lab Part C'!$J$4661,NA())</f>
        <v/>
      </c>
    </row>
    <row r="4662">
      <c r="J4662">
        <f>IF(AND(ISNUMBER('Data'!$F$4663),'Data'!$F$4663&lt;&gt;999,'Data'!$F$4663&lt;&gt;""),'Data'!$F$4663,"")</f>
        <v/>
      </c>
      <c r="Z4662" t="n">
        <v>1</v>
      </c>
      <c r="AA4662">
        <f>IF(ISNUMBER('IN-CLASS_Lab Part C'!$J$4662),'IN-CLASS_Lab Part C'!$J$4662,NA())</f>
        <v/>
      </c>
    </row>
    <row r="4663">
      <c r="J4663">
        <f>IF(AND(ISNUMBER('Data'!$F$4664),'Data'!$F$4664&lt;&gt;999,'Data'!$F$4664&lt;&gt;""),'Data'!$F$4664,"")</f>
        <v/>
      </c>
      <c r="Z4663" t="n">
        <v>1</v>
      </c>
      <c r="AA4663">
        <f>IF(ISNUMBER('IN-CLASS_Lab Part C'!$J$4663),'IN-CLASS_Lab Part C'!$J$4663,NA())</f>
        <v/>
      </c>
    </row>
    <row r="4664">
      <c r="J4664">
        <f>IF(AND(ISNUMBER('Data'!$F$4665),'Data'!$F$4665&lt;&gt;999,'Data'!$F$4665&lt;&gt;""),'Data'!$F$4665,"")</f>
        <v/>
      </c>
      <c r="Z4664" t="n">
        <v>1</v>
      </c>
      <c r="AA4664">
        <f>IF(ISNUMBER('IN-CLASS_Lab Part C'!$J$4664),'IN-CLASS_Lab Part C'!$J$4664,NA())</f>
        <v/>
      </c>
    </row>
    <row r="4665">
      <c r="J4665">
        <f>IF(AND(ISNUMBER('Data'!$F$4666),'Data'!$F$4666&lt;&gt;999,'Data'!$F$4666&lt;&gt;""),'Data'!$F$4666,"")</f>
        <v/>
      </c>
      <c r="Z4665" t="n">
        <v>1</v>
      </c>
      <c r="AA4665">
        <f>IF(ISNUMBER('IN-CLASS_Lab Part C'!$J$4665),'IN-CLASS_Lab Part C'!$J$4665,NA())</f>
        <v/>
      </c>
    </row>
    <row r="4666">
      <c r="J4666">
        <f>IF(AND(ISNUMBER('Data'!$F$4667),'Data'!$F$4667&lt;&gt;999,'Data'!$F$4667&lt;&gt;""),'Data'!$F$4667,"")</f>
        <v/>
      </c>
      <c r="Z4666" t="n">
        <v>1</v>
      </c>
      <c r="AA4666">
        <f>IF(ISNUMBER('IN-CLASS_Lab Part C'!$J$4666),'IN-CLASS_Lab Part C'!$J$4666,NA())</f>
        <v/>
      </c>
    </row>
    <row r="4667">
      <c r="J4667">
        <f>IF(AND(ISNUMBER('Data'!$F$4668),'Data'!$F$4668&lt;&gt;999,'Data'!$F$4668&lt;&gt;""),'Data'!$F$4668,"")</f>
        <v/>
      </c>
      <c r="Z4667" t="n">
        <v>1</v>
      </c>
      <c r="AA4667">
        <f>IF(ISNUMBER('IN-CLASS_Lab Part C'!$J$4667),'IN-CLASS_Lab Part C'!$J$4667,NA())</f>
        <v/>
      </c>
    </row>
    <row r="4668">
      <c r="J4668">
        <f>IF(AND(ISNUMBER('Data'!$F$4669),'Data'!$F$4669&lt;&gt;999,'Data'!$F$4669&lt;&gt;""),'Data'!$F$4669,"")</f>
        <v/>
      </c>
      <c r="Z4668" t="n">
        <v>1</v>
      </c>
      <c r="AA4668">
        <f>IF(ISNUMBER('IN-CLASS_Lab Part C'!$J$4668),'IN-CLASS_Lab Part C'!$J$4668,NA())</f>
        <v/>
      </c>
    </row>
    <row r="4669">
      <c r="J4669">
        <f>IF(AND(ISNUMBER('Data'!$F$4670),'Data'!$F$4670&lt;&gt;999,'Data'!$F$4670&lt;&gt;""),'Data'!$F$4670,"")</f>
        <v/>
      </c>
      <c r="Z4669" t="n">
        <v>1</v>
      </c>
      <c r="AA4669">
        <f>IF(ISNUMBER('IN-CLASS_Lab Part C'!$J$4669),'IN-CLASS_Lab Part C'!$J$4669,NA())</f>
        <v/>
      </c>
    </row>
    <row r="4670">
      <c r="J4670">
        <f>IF(AND(ISNUMBER('Data'!$F$4671),'Data'!$F$4671&lt;&gt;999,'Data'!$F$4671&lt;&gt;""),'Data'!$F$4671,"")</f>
        <v/>
      </c>
      <c r="Z4670" t="n">
        <v>1</v>
      </c>
      <c r="AA4670">
        <f>IF(ISNUMBER('IN-CLASS_Lab Part C'!$J$4670),'IN-CLASS_Lab Part C'!$J$4670,NA())</f>
        <v/>
      </c>
    </row>
    <row r="4671">
      <c r="J4671">
        <f>IF(AND(ISNUMBER('Data'!$F$4672),'Data'!$F$4672&lt;&gt;999,'Data'!$F$4672&lt;&gt;""),'Data'!$F$4672,"")</f>
        <v/>
      </c>
      <c r="Z4671" t="n">
        <v>1</v>
      </c>
      <c r="AA4671">
        <f>IF(ISNUMBER('IN-CLASS_Lab Part C'!$J$4671),'IN-CLASS_Lab Part C'!$J$4671,NA())</f>
        <v/>
      </c>
    </row>
    <row r="4672">
      <c r="J4672">
        <f>IF(AND(ISNUMBER('Data'!$F$4673),'Data'!$F$4673&lt;&gt;999,'Data'!$F$4673&lt;&gt;""),'Data'!$F$4673,"")</f>
        <v/>
      </c>
      <c r="Z4672" t="n">
        <v>1</v>
      </c>
      <c r="AA4672">
        <f>IF(ISNUMBER('IN-CLASS_Lab Part C'!$J$4672),'IN-CLASS_Lab Part C'!$J$4672,NA())</f>
        <v/>
      </c>
    </row>
    <row r="4673">
      <c r="J4673">
        <f>IF(AND(ISNUMBER('Data'!$F$4674),'Data'!$F$4674&lt;&gt;999,'Data'!$F$4674&lt;&gt;""),'Data'!$F$4674,"")</f>
        <v/>
      </c>
      <c r="Z4673" t="n">
        <v>1</v>
      </c>
      <c r="AA4673">
        <f>IF(ISNUMBER('IN-CLASS_Lab Part C'!$J$4673),'IN-CLASS_Lab Part C'!$J$4673,NA())</f>
        <v/>
      </c>
    </row>
    <row r="4674">
      <c r="J4674">
        <f>IF(AND(ISNUMBER('Data'!$F$4675),'Data'!$F$4675&lt;&gt;999,'Data'!$F$4675&lt;&gt;""),'Data'!$F$4675,"")</f>
        <v/>
      </c>
      <c r="Z4674" t="n">
        <v>1</v>
      </c>
      <c r="AA4674">
        <f>IF(ISNUMBER('IN-CLASS_Lab Part C'!$J$4674),'IN-CLASS_Lab Part C'!$J$4674,NA())</f>
        <v/>
      </c>
    </row>
    <row r="4675">
      <c r="J4675">
        <f>IF(AND(ISNUMBER('Data'!$F$4676),'Data'!$F$4676&lt;&gt;999,'Data'!$F$4676&lt;&gt;""),'Data'!$F$4676,"")</f>
        <v/>
      </c>
      <c r="Z4675" t="n">
        <v>1</v>
      </c>
      <c r="AA4675">
        <f>IF(ISNUMBER('IN-CLASS_Lab Part C'!$J$4675),'IN-CLASS_Lab Part C'!$J$4675,NA())</f>
        <v/>
      </c>
    </row>
    <row r="4676">
      <c r="J4676">
        <f>IF(AND(ISNUMBER('Data'!$F$4677),'Data'!$F$4677&lt;&gt;999,'Data'!$F$4677&lt;&gt;""),'Data'!$F$4677,"")</f>
        <v/>
      </c>
      <c r="Z4676" t="n">
        <v>1</v>
      </c>
      <c r="AA4676">
        <f>IF(ISNUMBER('IN-CLASS_Lab Part C'!$J$4676),'IN-CLASS_Lab Part C'!$J$4676,NA())</f>
        <v/>
      </c>
    </row>
    <row r="4677">
      <c r="J4677">
        <f>IF(AND(ISNUMBER('Data'!$F$4678),'Data'!$F$4678&lt;&gt;999,'Data'!$F$4678&lt;&gt;""),'Data'!$F$4678,"")</f>
        <v/>
      </c>
      <c r="Z4677" t="n">
        <v>1</v>
      </c>
      <c r="AA4677">
        <f>IF(ISNUMBER('IN-CLASS_Lab Part C'!$J$4677),'IN-CLASS_Lab Part C'!$J$4677,NA())</f>
        <v/>
      </c>
    </row>
    <row r="4678">
      <c r="J4678">
        <f>IF(AND(ISNUMBER('Data'!$F$4679),'Data'!$F$4679&lt;&gt;999,'Data'!$F$4679&lt;&gt;""),'Data'!$F$4679,"")</f>
        <v/>
      </c>
      <c r="Z4678" t="n">
        <v>1</v>
      </c>
      <c r="AA4678">
        <f>IF(ISNUMBER('IN-CLASS_Lab Part C'!$J$4678),'IN-CLASS_Lab Part C'!$J$4678,NA())</f>
        <v/>
      </c>
    </row>
    <row r="4679">
      <c r="J4679">
        <f>IF(AND(ISNUMBER('Data'!$F$4680),'Data'!$F$4680&lt;&gt;999,'Data'!$F$4680&lt;&gt;""),'Data'!$F$4680,"")</f>
        <v/>
      </c>
      <c r="Z4679" t="n">
        <v>1</v>
      </c>
      <c r="AA4679">
        <f>IF(ISNUMBER('IN-CLASS_Lab Part C'!$J$4679),'IN-CLASS_Lab Part C'!$J$4679,NA())</f>
        <v/>
      </c>
    </row>
    <row r="4680">
      <c r="J4680">
        <f>IF(AND(ISNUMBER('Data'!$F$4681),'Data'!$F$4681&lt;&gt;999,'Data'!$F$4681&lt;&gt;""),'Data'!$F$4681,"")</f>
        <v/>
      </c>
      <c r="Z4680" t="n">
        <v>1</v>
      </c>
      <c r="AA4680">
        <f>IF(ISNUMBER('IN-CLASS_Lab Part C'!$J$4680),'IN-CLASS_Lab Part C'!$J$4680,NA())</f>
        <v/>
      </c>
    </row>
    <row r="4681">
      <c r="J4681">
        <f>IF(AND(ISNUMBER('Data'!$F$4682),'Data'!$F$4682&lt;&gt;999,'Data'!$F$4682&lt;&gt;""),'Data'!$F$4682,"")</f>
        <v/>
      </c>
      <c r="Z4681" t="n">
        <v>1</v>
      </c>
      <c r="AA4681">
        <f>IF(ISNUMBER('IN-CLASS_Lab Part C'!$J$4681),'IN-CLASS_Lab Part C'!$J$4681,NA())</f>
        <v/>
      </c>
    </row>
    <row r="4682">
      <c r="J4682">
        <f>IF(AND(ISNUMBER('Data'!$F$4683),'Data'!$F$4683&lt;&gt;999,'Data'!$F$4683&lt;&gt;""),'Data'!$F$4683,"")</f>
        <v/>
      </c>
      <c r="Z4682" t="n">
        <v>1</v>
      </c>
      <c r="AA4682">
        <f>IF(ISNUMBER('IN-CLASS_Lab Part C'!$J$4682),'IN-CLASS_Lab Part C'!$J$4682,NA())</f>
        <v/>
      </c>
    </row>
    <row r="4683">
      <c r="J4683">
        <f>IF(AND(ISNUMBER('Data'!$F$4684),'Data'!$F$4684&lt;&gt;999,'Data'!$F$4684&lt;&gt;""),'Data'!$F$4684,"")</f>
        <v/>
      </c>
      <c r="Z4683" t="n">
        <v>1</v>
      </c>
      <c r="AA4683">
        <f>IF(ISNUMBER('IN-CLASS_Lab Part C'!$J$4683),'IN-CLASS_Lab Part C'!$J$4683,NA())</f>
        <v/>
      </c>
    </row>
    <row r="4684">
      <c r="J4684">
        <f>IF(AND(ISNUMBER('Data'!$F$4685),'Data'!$F$4685&lt;&gt;999,'Data'!$F$4685&lt;&gt;""),'Data'!$F$4685,"")</f>
        <v/>
      </c>
      <c r="Z4684" t="n">
        <v>1</v>
      </c>
      <c r="AA4684">
        <f>IF(ISNUMBER('IN-CLASS_Lab Part C'!$J$4684),'IN-CLASS_Lab Part C'!$J$4684,NA())</f>
        <v/>
      </c>
    </row>
    <row r="4685">
      <c r="J4685">
        <f>IF(AND(ISNUMBER('Data'!$F$4686),'Data'!$F$4686&lt;&gt;999,'Data'!$F$4686&lt;&gt;""),'Data'!$F$4686,"")</f>
        <v/>
      </c>
      <c r="Z4685" t="n">
        <v>1</v>
      </c>
      <c r="AA4685">
        <f>IF(ISNUMBER('IN-CLASS_Lab Part C'!$J$4685),'IN-CLASS_Lab Part C'!$J$4685,NA())</f>
        <v/>
      </c>
    </row>
    <row r="4686">
      <c r="J4686">
        <f>IF(AND(ISNUMBER('Data'!$F$4687),'Data'!$F$4687&lt;&gt;999,'Data'!$F$4687&lt;&gt;""),'Data'!$F$4687,"")</f>
        <v/>
      </c>
      <c r="Z4686" t="n">
        <v>1</v>
      </c>
      <c r="AA4686">
        <f>IF(ISNUMBER('IN-CLASS_Lab Part C'!$J$4686),'IN-CLASS_Lab Part C'!$J$4686,NA())</f>
        <v/>
      </c>
    </row>
    <row r="4687">
      <c r="J4687">
        <f>IF(AND(ISNUMBER('Data'!$F$4688),'Data'!$F$4688&lt;&gt;999,'Data'!$F$4688&lt;&gt;""),'Data'!$F$4688,"")</f>
        <v/>
      </c>
      <c r="Z4687" t="n">
        <v>1</v>
      </c>
      <c r="AA4687">
        <f>IF(ISNUMBER('IN-CLASS_Lab Part C'!$J$4687),'IN-CLASS_Lab Part C'!$J$4687,NA())</f>
        <v/>
      </c>
    </row>
    <row r="4688">
      <c r="J4688">
        <f>IF(AND(ISNUMBER('Data'!$F$4689),'Data'!$F$4689&lt;&gt;999,'Data'!$F$4689&lt;&gt;""),'Data'!$F$4689,"")</f>
        <v/>
      </c>
      <c r="Z4688" t="n">
        <v>1</v>
      </c>
      <c r="AA4688">
        <f>IF(ISNUMBER('IN-CLASS_Lab Part C'!$J$4688),'IN-CLASS_Lab Part C'!$J$4688,NA())</f>
        <v/>
      </c>
    </row>
    <row r="4689">
      <c r="J4689">
        <f>IF(AND(ISNUMBER('Data'!$F$4690),'Data'!$F$4690&lt;&gt;999,'Data'!$F$4690&lt;&gt;""),'Data'!$F$4690,"")</f>
        <v/>
      </c>
      <c r="Z4689" t="n">
        <v>1</v>
      </c>
      <c r="AA4689">
        <f>IF(ISNUMBER('IN-CLASS_Lab Part C'!$J$4689),'IN-CLASS_Lab Part C'!$J$4689,NA())</f>
        <v/>
      </c>
    </row>
    <row r="4690">
      <c r="J4690">
        <f>IF(AND(ISNUMBER('Data'!$F$4691),'Data'!$F$4691&lt;&gt;999,'Data'!$F$4691&lt;&gt;""),'Data'!$F$4691,"")</f>
        <v/>
      </c>
      <c r="Z4690" t="n">
        <v>1</v>
      </c>
      <c r="AA4690">
        <f>IF(ISNUMBER('IN-CLASS_Lab Part C'!$J$4690),'IN-CLASS_Lab Part C'!$J$4690,NA())</f>
        <v/>
      </c>
    </row>
    <row r="4691">
      <c r="J4691">
        <f>IF(AND(ISNUMBER('Data'!$F$4692),'Data'!$F$4692&lt;&gt;999,'Data'!$F$4692&lt;&gt;""),'Data'!$F$4692,"")</f>
        <v/>
      </c>
      <c r="Z4691" t="n">
        <v>1</v>
      </c>
      <c r="AA4691">
        <f>IF(ISNUMBER('IN-CLASS_Lab Part C'!$J$4691),'IN-CLASS_Lab Part C'!$J$4691,NA())</f>
        <v/>
      </c>
    </row>
    <row r="4692">
      <c r="J4692">
        <f>IF(AND(ISNUMBER('Data'!$F$4693),'Data'!$F$4693&lt;&gt;999,'Data'!$F$4693&lt;&gt;""),'Data'!$F$4693,"")</f>
        <v/>
      </c>
      <c r="Z4692" t="n">
        <v>1</v>
      </c>
      <c r="AA4692">
        <f>IF(ISNUMBER('IN-CLASS_Lab Part C'!$J$4692),'IN-CLASS_Lab Part C'!$J$4692,NA())</f>
        <v/>
      </c>
    </row>
    <row r="4693">
      <c r="J4693">
        <f>IF(AND(ISNUMBER('Data'!$F$4694),'Data'!$F$4694&lt;&gt;999,'Data'!$F$4694&lt;&gt;""),'Data'!$F$4694,"")</f>
        <v/>
      </c>
      <c r="Z4693" t="n">
        <v>1</v>
      </c>
      <c r="AA4693">
        <f>IF(ISNUMBER('IN-CLASS_Lab Part C'!$J$4693),'IN-CLASS_Lab Part C'!$J$4693,NA())</f>
        <v/>
      </c>
    </row>
    <row r="4694">
      <c r="J4694">
        <f>IF(AND(ISNUMBER('Data'!$F$4695),'Data'!$F$4695&lt;&gt;999,'Data'!$F$4695&lt;&gt;""),'Data'!$F$4695,"")</f>
        <v/>
      </c>
      <c r="Z4694" t="n">
        <v>1</v>
      </c>
      <c r="AA4694">
        <f>IF(ISNUMBER('IN-CLASS_Lab Part C'!$J$4694),'IN-CLASS_Lab Part C'!$J$4694,NA())</f>
        <v/>
      </c>
    </row>
    <row r="4695">
      <c r="J4695">
        <f>IF(AND(ISNUMBER('Data'!$F$4696),'Data'!$F$4696&lt;&gt;999,'Data'!$F$4696&lt;&gt;""),'Data'!$F$4696,"")</f>
        <v/>
      </c>
      <c r="Z4695" t="n">
        <v>1</v>
      </c>
      <c r="AA4695">
        <f>IF(ISNUMBER('IN-CLASS_Lab Part C'!$J$4695),'IN-CLASS_Lab Part C'!$J$4695,NA())</f>
        <v/>
      </c>
    </row>
    <row r="4696">
      <c r="J4696">
        <f>IF(AND(ISNUMBER('Data'!$F$4697),'Data'!$F$4697&lt;&gt;999,'Data'!$F$4697&lt;&gt;""),'Data'!$F$4697,"")</f>
        <v/>
      </c>
      <c r="Z4696" t="n">
        <v>1</v>
      </c>
      <c r="AA4696">
        <f>IF(ISNUMBER('IN-CLASS_Lab Part C'!$J$4696),'IN-CLASS_Lab Part C'!$J$4696,NA())</f>
        <v/>
      </c>
    </row>
    <row r="4697">
      <c r="J4697">
        <f>IF(AND(ISNUMBER('Data'!$F$4698),'Data'!$F$4698&lt;&gt;999,'Data'!$F$4698&lt;&gt;""),'Data'!$F$4698,"")</f>
        <v/>
      </c>
      <c r="Z4697" t="n">
        <v>1</v>
      </c>
      <c r="AA4697">
        <f>IF(ISNUMBER('IN-CLASS_Lab Part C'!$J$4697),'IN-CLASS_Lab Part C'!$J$4697,NA())</f>
        <v/>
      </c>
    </row>
    <row r="4698">
      <c r="J4698">
        <f>IF(AND(ISNUMBER('Data'!$F$4699),'Data'!$F$4699&lt;&gt;999,'Data'!$F$4699&lt;&gt;""),'Data'!$F$4699,"")</f>
        <v/>
      </c>
      <c r="Z4698" t="n">
        <v>1</v>
      </c>
      <c r="AA4698">
        <f>IF(ISNUMBER('IN-CLASS_Lab Part C'!$J$4698),'IN-CLASS_Lab Part C'!$J$4698,NA())</f>
        <v/>
      </c>
    </row>
    <row r="4699">
      <c r="J4699">
        <f>IF(AND(ISNUMBER('Data'!$F$4700),'Data'!$F$4700&lt;&gt;999,'Data'!$F$4700&lt;&gt;""),'Data'!$F$4700,"")</f>
        <v/>
      </c>
      <c r="Z4699" t="n">
        <v>1</v>
      </c>
      <c r="AA4699">
        <f>IF(ISNUMBER('IN-CLASS_Lab Part C'!$J$4699),'IN-CLASS_Lab Part C'!$J$4699,NA())</f>
        <v/>
      </c>
    </row>
    <row r="4700">
      <c r="J4700">
        <f>IF(AND(ISNUMBER('Data'!$F$4701),'Data'!$F$4701&lt;&gt;999,'Data'!$F$4701&lt;&gt;""),'Data'!$F$4701,"")</f>
        <v/>
      </c>
      <c r="Z4700" t="n">
        <v>1</v>
      </c>
      <c r="AA4700">
        <f>IF(ISNUMBER('IN-CLASS_Lab Part C'!$J$4700),'IN-CLASS_Lab Part C'!$J$4700,NA())</f>
        <v/>
      </c>
    </row>
    <row r="4701">
      <c r="J4701">
        <f>IF(AND(ISNUMBER('Data'!$F$4702),'Data'!$F$4702&lt;&gt;999,'Data'!$F$4702&lt;&gt;""),'Data'!$F$4702,"")</f>
        <v/>
      </c>
      <c r="Z4701" t="n">
        <v>1</v>
      </c>
      <c r="AA4701">
        <f>IF(ISNUMBER('IN-CLASS_Lab Part C'!$J$4701),'IN-CLASS_Lab Part C'!$J$4701,NA())</f>
        <v/>
      </c>
    </row>
    <row r="4702">
      <c r="J4702">
        <f>IF(AND(ISNUMBER('Data'!$F$4703),'Data'!$F$4703&lt;&gt;999,'Data'!$F$4703&lt;&gt;""),'Data'!$F$4703,"")</f>
        <v/>
      </c>
      <c r="Z4702" t="n">
        <v>1</v>
      </c>
      <c r="AA4702">
        <f>IF(ISNUMBER('IN-CLASS_Lab Part C'!$J$4702),'IN-CLASS_Lab Part C'!$J$4702,NA())</f>
        <v/>
      </c>
    </row>
    <row r="4703">
      <c r="J4703">
        <f>IF(AND(ISNUMBER('Data'!$F$4704),'Data'!$F$4704&lt;&gt;999,'Data'!$F$4704&lt;&gt;""),'Data'!$F$4704,"")</f>
        <v/>
      </c>
      <c r="Z4703" t="n">
        <v>1</v>
      </c>
      <c r="AA4703">
        <f>IF(ISNUMBER('IN-CLASS_Lab Part C'!$J$4703),'IN-CLASS_Lab Part C'!$J$4703,NA())</f>
        <v/>
      </c>
    </row>
    <row r="4704">
      <c r="J4704">
        <f>IF(AND(ISNUMBER('Data'!$F$4705),'Data'!$F$4705&lt;&gt;999,'Data'!$F$4705&lt;&gt;""),'Data'!$F$4705,"")</f>
        <v/>
      </c>
      <c r="Z4704" t="n">
        <v>1</v>
      </c>
      <c r="AA4704">
        <f>IF(ISNUMBER('IN-CLASS_Lab Part C'!$J$4704),'IN-CLASS_Lab Part C'!$J$4704,NA())</f>
        <v/>
      </c>
    </row>
    <row r="4705">
      <c r="J4705">
        <f>IF(AND(ISNUMBER('Data'!$F$4706),'Data'!$F$4706&lt;&gt;999,'Data'!$F$4706&lt;&gt;""),'Data'!$F$4706,"")</f>
        <v/>
      </c>
      <c r="Z4705" t="n">
        <v>1</v>
      </c>
      <c r="AA4705">
        <f>IF(ISNUMBER('IN-CLASS_Lab Part C'!$J$4705),'IN-CLASS_Lab Part C'!$J$4705,NA())</f>
        <v/>
      </c>
    </row>
    <row r="4706">
      <c r="J4706">
        <f>IF(AND(ISNUMBER('Data'!$F$4707),'Data'!$F$4707&lt;&gt;999,'Data'!$F$4707&lt;&gt;""),'Data'!$F$4707,"")</f>
        <v/>
      </c>
      <c r="Z4706" t="n">
        <v>1</v>
      </c>
      <c r="AA4706">
        <f>IF(ISNUMBER('IN-CLASS_Lab Part C'!$J$4706),'IN-CLASS_Lab Part C'!$J$4706,NA())</f>
        <v/>
      </c>
    </row>
    <row r="4707">
      <c r="J4707">
        <f>IF(AND(ISNUMBER('Data'!$F$4708),'Data'!$F$4708&lt;&gt;999,'Data'!$F$4708&lt;&gt;""),'Data'!$F$4708,"")</f>
        <v/>
      </c>
      <c r="Z4707" t="n">
        <v>1</v>
      </c>
      <c r="AA4707">
        <f>IF(ISNUMBER('IN-CLASS_Lab Part C'!$J$4707),'IN-CLASS_Lab Part C'!$J$4707,NA())</f>
        <v/>
      </c>
    </row>
    <row r="4708">
      <c r="J4708">
        <f>IF(AND(ISNUMBER('Data'!$F$4709),'Data'!$F$4709&lt;&gt;999,'Data'!$F$4709&lt;&gt;""),'Data'!$F$4709,"")</f>
        <v/>
      </c>
      <c r="Z4708" t="n">
        <v>1</v>
      </c>
      <c r="AA4708">
        <f>IF(ISNUMBER('IN-CLASS_Lab Part C'!$J$4708),'IN-CLASS_Lab Part C'!$J$4708,NA())</f>
        <v/>
      </c>
    </row>
    <row r="4709">
      <c r="J4709">
        <f>IF(AND(ISNUMBER('Data'!$F$4710),'Data'!$F$4710&lt;&gt;999,'Data'!$F$4710&lt;&gt;""),'Data'!$F$4710,"")</f>
        <v/>
      </c>
      <c r="Z4709" t="n">
        <v>1</v>
      </c>
      <c r="AA4709">
        <f>IF(ISNUMBER('IN-CLASS_Lab Part C'!$J$4709),'IN-CLASS_Lab Part C'!$J$4709,NA())</f>
        <v/>
      </c>
    </row>
    <row r="4710">
      <c r="J4710">
        <f>IF(AND(ISNUMBER('Data'!$F$4711),'Data'!$F$4711&lt;&gt;999,'Data'!$F$4711&lt;&gt;""),'Data'!$F$4711,"")</f>
        <v/>
      </c>
      <c r="Z4710" t="n">
        <v>1</v>
      </c>
      <c r="AA4710">
        <f>IF(ISNUMBER('IN-CLASS_Lab Part C'!$J$4710),'IN-CLASS_Lab Part C'!$J$4710,NA())</f>
        <v/>
      </c>
    </row>
    <row r="4711">
      <c r="J4711">
        <f>IF(AND(ISNUMBER('Data'!$F$4712),'Data'!$F$4712&lt;&gt;999,'Data'!$F$4712&lt;&gt;""),'Data'!$F$4712,"")</f>
        <v/>
      </c>
      <c r="Z4711" t="n">
        <v>1</v>
      </c>
      <c r="AA4711">
        <f>IF(ISNUMBER('IN-CLASS_Lab Part C'!$J$4711),'IN-CLASS_Lab Part C'!$J$4711,NA())</f>
        <v/>
      </c>
    </row>
    <row r="4712">
      <c r="J4712">
        <f>IF(AND(ISNUMBER('Data'!$F$4713),'Data'!$F$4713&lt;&gt;999,'Data'!$F$4713&lt;&gt;""),'Data'!$F$4713,"")</f>
        <v/>
      </c>
      <c r="Z4712" t="n">
        <v>1</v>
      </c>
      <c r="AA4712">
        <f>IF(ISNUMBER('IN-CLASS_Lab Part C'!$J$4712),'IN-CLASS_Lab Part C'!$J$4712,NA())</f>
        <v/>
      </c>
    </row>
    <row r="4713">
      <c r="J4713">
        <f>IF(AND(ISNUMBER('Data'!$F$4714),'Data'!$F$4714&lt;&gt;999,'Data'!$F$4714&lt;&gt;""),'Data'!$F$4714,"")</f>
        <v/>
      </c>
      <c r="Z4713" t="n">
        <v>1</v>
      </c>
      <c r="AA4713">
        <f>IF(ISNUMBER('IN-CLASS_Lab Part C'!$J$4713),'IN-CLASS_Lab Part C'!$J$4713,NA())</f>
        <v/>
      </c>
    </row>
    <row r="4714">
      <c r="J4714">
        <f>IF(AND(ISNUMBER('Data'!$F$4715),'Data'!$F$4715&lt;&gt;999,'Data'!$F$4715&lt;&gt;""),'Data'!$F$4715,"")</f>
        <v/>
      </c>
      <c r="Z4714" t="n">
        <v>1</v>
      </c>
      <c r="AA4714">
        <f>IF(ISNUMBER('IN-CLASS_Lab Part C'!$J$4714),'IN-CLASS_Lab Part C'!$J$4714,NA())</f>
        <v/>
      </c>
    </row>
    <row r="4715">
      <c r="J4715">
        <f>IF(AND(ISNUMBER('Data'!$F$4716),'Data'!$F$4716&lt;&gt;999,'Data'!$F$4716&lt;&gt;""),'Data'!$F$4716,"")</f>
        <v/>
      </c>
      <c r="Z4715" t="n">
        <v>1</v>
      </c>
      <c r="AA4715">
        <f>IF(ISNUMBER('IN-CLASS_Lab Part C'!$J$4715),'IN-CLASS_Lab Part C'!$J$4715,NA())</f>
        <v/>
      </c>
    </row>
    <row r="4716">
      <c r="J4716">
        <f>IF(AND(ISNUMBER('Data'!$F$4717),'Data'!$F$4717&lt;&gt;999,'Data'!$F$4717&lt;&gt;""),'Data'!$F$4717,"")</f>
        <v/>
      </c>
      <c r="Z4716" t="n">
        <v>1</v>
      </c>
      <c r="AA4716">
        <f>IF(ISNUMBER('IN-CLASS_Lab Part C'!$J$4716),'IN-CLASS_Lab Part C'!$J$4716,NA())</f>
        <v/>
      </c>
    </row>
    <row r="4717">
      <c r="J4717">
        <f>IF(AND(ISNUMBER('Data'!$F$4718),'Data'!$F$4718&lt;&gt;999,'Data'!$F$4718&lt;&gt;""),'Data'!$F$4718,"")</f>
        <v/>
      </c>
      <c r="Z4717" t="n">
        <v>1</v>
      </c>
      <c r="AA4717">
        <f>IF(ISNUMBER('IN-CLASS_Lab Part C'!$J$4717),'IN-CLASS_Lab Part C'!$J$4717,NA())</f>
        <v/>
      </c>
    </row>
    <row r="4718">
      <c r="J4718">
        <f>IF(AND(ISNUMBER('Data'!$F$4719),'Data'!$F$4719&lt;&gt;999,'Data'!$F$4719&lt;&gt;""),'Data'!$F$4719,"")</f>
        <v/>
      </c>
      <c r="Z4718" t="n">
        <v>1</v>
      </c>
      <c r="AA4718">
        <f>IF(ISNUMBER('IN-CLASS_Lab Part C'!$J$4718),'IN-CLASS_Lab Part C'!$J$4718,NA())</f>
        <v/>
      </c>
    </row>
    <row r="4719">
      <c r="J4719">
        <f>IF(AND(ISNUMBER('Data'!$F$4720),'Data'!$F$4720&lt;&gt;999,'Data'!$F$4720&lt;&gt;""),'Data'!$F$4720,"")</f>
        <v/>
      </c>
      <c r="Z4719" t="n">
        <v>1</v>
      </c>
      <c r="AA4719">
        <f>IF(ISNUMBER('IN-CLASS_Lab Part C'!$J$4719),'IN-CLASS_Lab Part C'!$J$4719,NA())</f>
        <v/>
      </c>
    </row>
    <row r="4720">
      <c r="J4720">
        <f>IF(AND(ISNUMBER('Data'!$F$4721),'Data'!$F$4721&lt;&gt;999,'Data'!$F$4721&lt;&gt;""),'Data'!$F$4721,"")</f>
        <v/>
      </c>
      <c r="Z4720" t="n">
        <v>1</v>
      </c>
      <c r="AA4720">
        <f>IF(ISNUMBER('IN-CLASS_Lab Part C'!$J$4720),'IN-CLASS_Lab Part C'!$J$4720,NA())</f>
        <v/>
      </c>
    </row>
    <row r="4721">
      <c r="J4721">
        <f>IF(AND(ISNUMBER('Data'!$F$4722),'Data'!$F$4722&lt;&gt;999,'Data'!$F$4722&lt;&gt;""),'Data'!$F$4722,"")</f>
        <v/>
      </c>
      <c r="Z4721" t="n">
        <v>1</v>
      </c>
      <c r="AA4721">
        <f>IF(ISNUMBER('IN-CLASS_Lab Part C'!$J$4721),'IN-CLASS_Lab Part C'!$J$4721,NA())</f>
        <v/>
      </c>
    </row>
    <row r="4722">
      <c r="J4722">
        <f>IF(AND(ISNUMBER('Data'!$F$4723),'Data'!$F$4723&lt;&gt;999,'Data'!$F$4723&lt;&gt;""),'Data'!$F$4723,"")</f>
        <v/>
      </c>
      <c r="Z4722" t="n">
        <v>1</v>
      </c>
      <c r="AA4722">
        <f>IF(ISNUMBER('IN-CLASS_Lab Part C'!$J$4722),'IN-CLASS_Lab Part C'!$J$4722,NA())</f>
        <v/>
      </c>
    </row>
    <row r="4723">
      <c r="J4723">
        <f>IF(AND(ISNUMBER('Data'!$F$4724),'Data'!$F$4724&lt;&gt;999,'Data'!$F$4724&lt;&gt;""),'Data'!$F$4724,"")</f>
        <v/>
      </c>
      <c r="Z4723" t="n">
        <v>1</v>
      </c>
      <c r="AA4723">
        <f>IF(ISNUMBER('IN-CLASS_Lab Part C'!$J$4723),'IN-CLASS_Lab Part C'!$J$4723,NA())</f>
        <v/>
      </c>
    </row>
    <row r="4724">
      <c r="J4724">
        <f>IF(AND(ISNUMBER('Data'!$F$4725),'Data'!$F$4725&lt;&gt;999,'Data'!$F$4725&lt;&gt;""),'Data'!$F$4725,"")</f>
        <v/>
      </c>
      <c r="Z4724" t="n">
        <v>1</v>
      </c>
      <c r="AA4724">
        <f>IF(ISNUMBER('IN-CLASS_Lab Part C'!$J$4724),'IN-CLASS_Lab Part C'!$J$4724,NA())</f>
        <v/>
      </c>
    </row>
    <row r="4725">
      <c r="J4725">
        <f>IF(AND(ISNUMBER('Data'!$F$4726),'Data'!$F$4726&lt;&gt;999,'Data'!$F$4726&lt;&gt;""),'Data'!$F$4726,"")</f>
        <v/>
      </c>
      <c r="Z4725" t="n">
        <v>1</v>
      </c>
      <c r="AA4725">
        <f>IF(ISNUMBER('IN-CLASS_Lab Part C'!$J$4725),'IN-CLASS_Lab Part C'!$J$4725,NA())</f>
        <v/>
      </c>
    </row>
    <row r="4726">
      <c r="J4726">
        <f>IF(AND(ISNUMBER('Data'!$F$4727),'Data'!$F$4727&lt;&gt;999,'Data'!$F$4727&lt;&gt;""),'Data'!$F$4727,"")</f>
        <v/>
      </c>
      <c r="Z4726" t="n">
        <v>1</v>
      </c>
      <c r="AA4726">
        <f>IF(ISNUMBER('IN-CLASS_Lab Part C'!$J$4726),'IN-CLASS_Lab Part C'!$J$4726,NA())</f>
        <v/>
      </c>
    </row>
    <row r="4727">
      <c r="J4727">
        <f>IF(AND(ISNUMBER('Data'!$F$4728),'Data'!$F$4728&lt;&gt;999,'Data'!$F$4728&lt;&gt;""),'Data'!$F$4728,"")</f>
        <v/>
      </c>
      <c r="Z4727" t="n">
        <v>1</v>
      </c>
      <c r="AA4727">
        <f>IF(ISNUMBER('IN-CLASS_Lab Part C'!$J$4727),'IN-CLASS_Lab Part C'!$J$4727,NA())</f>
        <v/>
      </c>
    </row>
    <row r="4728">
      <c r="J4728">
        <f>IF(AND(ISNUMBER('Data'!$F$4729),'Data'!$F$4729&lt;&gt;999,'Data'!$F$4729&lt;&gt;""),'Data'!$F$4729,"")</f>
        <v/>
      </c>
      <c r="Z4728" t="n">
        <v>1</v>
      </c>
      <c r="AA4728">
        <f>IF(ISNUMBER('IN-CLASS_Lab Part C'!$J$4728),'IN-CLASS_Lab Part C'!$J$4728,NA())</f>
        <v/>
      </c>
    </row>
    <row r="4729">
      <c r="J4729">
        <f>IF(AND(ISNUMBER('Data'!$F$4730),'Data'!$F$4730&lt;&gt;999,'Data'!$F$4730&lt;&gt;""),'Data'!$F$4730,"")</f>
        <v/>
      </c>
      <c r="Z4729" t="n">
        <v>1</v>
      </c>
      <c r="AA4729">
        <f>IF(ISNUMBER('IN-CLASS_Lab Part C'!$J$4729),'IN-CLASS_Lab Part C'!$J$4729,NA())</f>
        <v/>
      </c>
    </row>
    <row r="4730">
      <c r="J4730">
        <f>IF(AND(ISNUMBER('Data'!$F$4731),'Data'!$F$4731&lt;&gt;999,'Data'!$F$4731&lt;&gt;""),'Data'!$F$4731,"")</f>
        <v/>
      </c>
      <c r="Z4730" t="n">
        <v>1</v>
      </c>
      <c r="AA4730">
        <f>IF(ISNUMBER('IN-CLASS_Lab Part C'!$J$4730),'IN-CLASS_Lab Part C'!$J$4730,NA())</f>
        <v/>
      </c>
    </row>
    <row r="4731">
      <c r="J4731">
        <f>IF(AND(ISNUMBER('Data'!$F$4732),'Data'!$F$4732&lt;&gt;999,'Data'!$F$4732&lt;&gt;""),'Data'!$F$4732,"")</f>
        <v/>
      </c>
      <c r="Z4731" t="n">
        <v>1</v>
      </c>
      <c r="AA4731">
        <f>IF(ISNUMBER('IN-CLASS_Lab Part C'!$J$4731),'IN-CLASS_Lab Part C'!$J$4731,NA())</f>
        <v/>
      </c>
    </row>
    <row r="4732">
      <c r="J4732">
        <f>IF(AND(ISNUMBER('Data'!$F$4733),'Data'!$F$4733&lt;&gt;999,'Data'!$F$4733&lt;&gt;""),'Data'!$F$4733,"")</f>
        <v/>
      </c>
      <c r="Z4732" t="n">
        <v>1</v>
      </c>
      <c r="AA4732">
        <f>IF(ISNUMBER('IN-CLASS_Lab Part C'!$J$4732),'IN-CLASS_Lab Part C'!$J$4732,NA())</f>
        <v/>
      </c>
    </row>
    <row r="4733">
      <c r="J4733">
        <f>IF(AND(ISNUMBER('Data'!$F$4734),'Data'!$F$4734&lt;&gt;999,'Data'!$F$4734&lt;&gt;""),'Data'!$F$4734,"")</f>
        <v/>
      </c>
      <c r="Z4733" t="n">
        <v>1</v>
      </c>
      <c r="AA4733">
        <f>IF(ISNUMBER('IN-CLASS_Lab Part C'!$J$4733),'IN-CLASS_Lab Part C'!$J$4733,NA())</f>
        <v/>
      </c>
    </row>
    <row r="4734">
      <c r="J4734">
        <f>IF(AND(ISNUMBER('Data'!$F$4735),'Data'!$F$4735&lt;&gt;999,'Data'!$F$4735&lt;&gt;""),'Data'!$F$4735,"")</f>
        <v/>
      </c>
      <c r="Z4734" t="n">
        <v>1</v>
      </c>
      <c r="AA4734">
        <f>IF(ISNUMBER('IN-CLASS_Lab Part C'!$J$4734),'IN-CLASS_Lab Part C'!$J$4734,NA())</f>
        <v/>
      </c>
    </row>
    <row r="4735">
      <c r="J4735">
        <f>IF(AND(ISNUMBER('Data'!$F$4736),'Data'!$F$4736&lt;&gt;999,'Data'!$F$4736&lt;&gt;""),'Data'!$F$4736,"")</f>
        <v/>
      </c>
      <c r="Z4735" t="n">
        <v>1</v>
      </c>
      <c r="AA4735">
        <f>IF(ISNUMBER('IN-CLASS_Lab Part C'!$J$4735),'IN-CLASS_Lab Part C'!$J$4735,NA())</f>
        <v/>
      </c>
    </row>
    <row r="4736">
      <c r="J4736">
        <f>IF(AND(ISNUMBER('Data'!$F$4737),'Data'!$F$4737&lt;&gt;999,'Data'!$F$4737&lt;&gt;""),'Data'!$F$4737,"")</f>
        <v/>
      </c>
      <c r="Z4736" t="n">
        <v>1</v>
      </c>
      <c r="AA4736">
        <f>IF(ISNUMBER('IN-CLASS_Lab Part C'!$J$4736),'IN-CLASS_Lab Part C'!$J$4736,NA())</f>
        <v/>
      </c>
    </row>
    <row r="4737">
      <c r="J4737">
        <f>IF(AND(ISNUMBER('Data'!$F$4738),'Data'!$F$4738&lt;&gt;999,'Data'!$F$4738&lt;&gt;""),'Data'!$F$4738,"")</f>
        <v/>
      </c>
      <c r="Z4737" t="n">
        <v>1</v>
      </c>
      <c r="AA4737">
        <f>IF(ISNUMBER('IN-CLASS_Lab Part C'!$J$4737),'IN-CLASS_Lab Part C'!$J$4737,NA())</f>
        <v/>
      </c>
    </row>
    <row r="4738">
      <c r="J4738">
        <f>IF(AND(ISNUMBER('Data'!$F$4739),'Data'!$F$4739&lt;&gt;999,'Data'!$F$4739&lt;&gt;""),'Data'!$F$4739,"")</f>
        <v/>
      </c>
      <c r="Z4738" t="n">
        <v>1</v>
      </c>
      <c r="AA4738">
        <f>IF(ISNUMBER('IN-CLASS_Lab Part C'!$J$4738),'IN-CLASS_Lab Part C'!$J$4738,NA())</f>
        <v/>
      </c>
    </row>
    <row r="4739">
      <c r="J4739">
        <f>IF(AND(ISNUMBER('Data'!$F$4740),'Data'!$F$4740&lt;&gt;999,'Data'!$F$4740&lt;&gt;""),'Data'!$F$4740,"")</f>
        <v/>
      </c>
      <c r="Z4739" t="n">
        <v>1</v>
      </c>
      <c r="AA4739">
        <f>IF(ISNUMBER('IN-CLASS_Lab Part C'!$J$4739),'IN-CLASS_Lab Part C'!$J$4739,NA())</f>
        <v/>
      </c>
    </row>
    <row r="4740">
      <c r="J4740">
        <f>IF(AND(ISNUMBER('Data'!$F$4741),'Data'!$F$4741&lt;&gt;999,'Data'!$F$4741&lt;&gt;""),'Data'!$F$4741,"")</f>
        <v/>
      </c>
      <c r="Z4740" t="n">
        <v>1</v>
      </c>
      <c r="AA4740">
        <f>IF(ISNUMBER('IN-CLASS_Lab Part C'!$J$4740),'IN-CLASS_Lab Part C'!$J$4740,NA())</f>
        <v/>
      </c>
    </row>
    <row r="4741">
      <c r="J4741">
        <f>IF(AND(ISNUMBER('Data'!$F$4742),'Data'!$F$4742&lt;&gt;999,'Data'!$F$4742&lt;&gt;""),'Data'!$F$4742,"")</f>
        <v/>
      </c>
      <c r="Z4741" t="n">
        <v>1</v>
      </c>
      <c r="AA4741">
        <f>IF(ISNUMBER('IN-CLASS_Lab Part C'!$J$4741),'IN-CLASS_Lab Part C'!$J$4741,NA())</f>
        <v/>
      </c>
    </row>
    <row r="4742">
      <c r="J4742">
        <f>IF(AND(ISNUMBER('Data'!$F$4743),'Data'!$F$4743&lt;&gt;999,'Data'!$F$4743&lt;&gt;""),'Data'!$F$4743,"")</f>
        <v/>
      </c>
      <c r="Z4742" t="n">
        <v>1</v>
      </c>
      <c r="AA4742">
        <f>IF(ISNUMBER('IN-CLASS_Lab Part C'!$J$4742),'IN-CLASS_Lab Part C'!$J$4742,NA())</f>
        <v/>
      </c>
    </row>
    <row r="4743">
      <c r="J4743">
        <f>IF(AND(ISNUMBER('Data'!$F$4744),'Data'!$F$4744&lt;&gt;999,'Data'!$F$4744&lt;&gt;""),'Data'!$F$4744,"")</f>
        <v/>
      </c>
      <c r="Z4743" t="n">
        <v>1</v>
      </c>
      <c r="AA4743">
        <f>IF(ISNUMBER('IN-CLASS_Lab Part C'!$J$4743),'IN-CLASS_Lab Part C'!$J$4743,NA())</f>
        <v/>
      </c>
    </row>
    <row r="4744">
      <c r="J4744">
        <f>IF(AND(ISNUMBER('Data'!$F$4745),'Data'!$F$4745&lt;&gt;999,'Data'!$F$4745&lt;&gt;""),'Data'!$F$4745,"")</f>
        <v/>
      </c>
      <c r="Z4744" t="n">
        <v>1</v>
      </c>
      <c r="AA4744">
        <f>IF(ISNUMBER('IN-CLASS_Lab Part C'!$J$4744),'IN-CLASS_Lab Part C'!$J$4744,NA())</f>
        <v/>
      </c>
    </row>
    <row r="4745">
      <c r="J4745">
        <f>IF(AND(ISNUMBER('Data'!$F$4746),'Data'!$F$4746&lt;&gt;999,'Data'!$F$4746&lt;&gt;""),'Data'!$F$4746,"")</f>
        <v/>
      </c>
      <c r="Z4745" t="n">
        <v>1</v>
      </c>
      <c r="AA4745">
        <f>IF(ISNUMBER('IN-CLASS_Lab Part C'!$J$4745),'IN-CLASS_Lab Part C'!$J$4745,NA())</f>
        <v/>
      </c>
    </row>
    <row r="4746">
      <c r="J4746">
        <f>IF(AND(ISNUMBER('Data'!$F$4747),'Data'!$F$4747&lt;&gt;999,'Data'!$F$4747&lt;&gt;""),'Data'!$F$4747,"")</f>
        <v/>
      </c>
      <c r="Z4746" t="n">
        <v>1</v>
      </c>
      <c r="AA4746">
        <f>IF(ISNUMBER('IN-CLASS_Lab Part C'!$J$4746),'IN-CLASS_Lab Part C'!$J$4746,NA())</f>
        <v/>
      </c>
    </row>
    <row r="4747">
      <c r="J4747">
        <f>IF(AND(ISNUMBER('Data'!$F$4748),'Data'!$F$4748&lt;&gt;999,'Data'!$F$4748&lt;&gt;""),'Data'!$F$4748,"")</f>
        <v/>
      </c>
      <c r="Z4747" t="n">
        <v>1</v>
      </c>
      <c r="AA4747">
        <f>IF(ISNUMBER('IN-CLASS_Lab Part C'!$J$4747),'IN-CLASS_Lab Part C'!$J$4747,NA())</f>
        <v/>
      </c>
    </row>
    <row r="4748">
      <c r="J4748">
        <f>IF(AND(ISNUMBER('Data'!$F$4749),'Data'!$F$4749&lt;&gt;999,'Data'!$F$4749&lt;&gt;""),'Data'!$F$4749,"")</f>
        <v/>
      </c>
      <c r="Z4748" t="n">
        <v>1</v>
      </c>
      <c r="AA4748">
        <f>IF(ISNUMBER('IN-CLASS_Lab Part C'!$J$4748),'IN-CLASS_Lab Part C'!$J$4748,NA())</f>
        <v/>
      </c>
    </row>
    <row r="4749">
      <c r="J4749">
        <f>IF(AND(ISNUMBER('Data'!$F$4750),'Data'!$F$4750&lt;&gt;999,'Data'!$F$4750&lt;&gt;""),'Data'!$F$4750,"")</f>
        <v/>
      </c>
      <c r="Z4749" t="n">
        <v>1</v>
      </c>
      <c r="AA4749">
        <f>IF(ISNUMBER('IN-CLASS_Lab Part C'!$J$4749),'IN-CLASS_Lab Part C'!$J$4749,NA())</f>
        <v/>
      </c>
    </row>
    <row r="4750">
      <c r="J4750">
        <f>IF(AND(ISNUMBER('Data'!$F$4751),'Data'!$F$4751&lt;&gt;999,'Data'!$F$4751&lt;&gt;""),'Data'!$F$4751,"")</f>
        <v/>
      </c>
      <c r="Z4750" t="n">
        <v>1</v>
      </c>
      <c r="AA4750">
        <f>IF(ISNUMBER('IN-CLASS_Lab Part C'!$J$4750),'IN-CLASS_Lab Part C'!$J$4750,NA())</f>
        <v/>
      </c>
    </row>
    <row r="4751">
      <c r="J4751">
        <f>IF(AND(ISNUMBER('Data'!$F$4752),'Data'!$F$4752&lt;&gt;999,'Data'!$F$4752&lt;&gt;""),'Data'!$F$4752,"")</f>
        <v/>
      </c>
      <c r="Z4751" t="n">
        <v>1</v>
      </c>
      <c r="AA4751">
        <f>IF(ISNUMBER('IN-CLASS_Lab Part C'!$J$4751),'IN-CLASS_Lab Part C'!$J$4751,NA())</f>
        <v/>
      </c>
    </row>
    <row r="4752">
      <c r="J4752">
        <f>IF(AND(ISNUMBER('Data'!$F$4753),'Data'!$F$4753&lt;&gt;999,'Data'!$F$4753&lt;&gt;""),'Data'!$F$4753,"")</f>
        <v/>
      </c>
      <c r="Z4752" t="n">
        <v>1</v>
      </c>
      <c r="AA4752">
        <f>IF(ISNUMBER('IN-CLASS_Lab Part C'!$J$4752),'IN-CLASS_Lab Part C'!$J$4752,NA())</f>
        <v/>
      </c>
    </row>
    <row r="4753">
      <c r="J4753">
        <f>IF(AND(ISNUMBER('Data'!$F$4754),'Data'!$F$4754&lt;&gt;999,'Data'!$F$4754&lt;&gt;""),'Data'!$F$4754,"")</f>
        <v/>
      </c>
      <c r="Z4753" t="n">
        <v>1</v>
      </c>
      <c r="AA4753">
        <f>IF(ISNUMBER('IN-CLASS_Lab Part C'!$J$4753),'IN-CLASS_Lab Part C'!$J$4753,NA())</f>
        <v/>
      </c>
    </row>
    <row r="4754">
      <c r="J4754">
        <f>IF(AND(ISNUMBER('Data'!$F$4755),'Data'!$F$4755&lt;&gt;999,'Data'!$F$4755&lt;&gt;""),'Data'!$F$4755,"")</f>
        <v/>
      </c>
      <c r="Z4754" t="n">
        <v>1</v>
      </c>
      <c r="AA4754">
        <f>IF(ISNUMBER('IN-CLASS_Lab Part C'!$J$4754),'IN-CLASS_Lab Part C'!$J$4754,NA())</f>
        <v/>
      </c>
    </row>
    <row r="4755">
      <c r="J4755">
        <f>IF(AND(ISNUMBER('Data'!$F$4756),'Data'!$F$4756&lt;&gt;999,'Data'!$F$4756&lt;&gt;""),'Data'!$F$4756,"")</f>
        <v/>
      </c>
      <c r="Z4755" t="n">
        <v>1</v>
      </c>
      <c r="AA4755">
        <f>IF(ISNUMBER('IN-CLASS_Lab Part C'!$J$4755),'IN-CLASS_Lab Part C'!$J$4755,NA())</f>
        <v/>
      </c>
    </row>
    <row r="4756">
      <c r="J4756">
        <f>IF(AND(ISNUMBER('Data'!$F$4757),'Data'!$F$4757&lt;&gt;999,'Data'!$F$4757&lt;&gt;""),'Data'!$F$4757,"")</f>
        <v/>
      </c>
      <c r="Z4756" t="n">
        <v>1</v>
      </c>
      <c r="AA4756">
        <f>IF(ISNUMBER('IN-CLASS_Lab Part C'!$J$4756),'IN-CLASS_Lab Part C'!$J$4756,NA())</f>
        <v/>
      </c>
    </row>
    <row r="4757">
      <c r="J4757">
        <f>IF(AND(ISNUMBER('Data'!$F$4758),'Data'!$F$4758&lt;&gt;999,'Data'!$F$4758&lt;&gt;""),'Data'!$F$4758,"")</f>
        <v/>
      </c>
      <c r="Z4757" t="n">
        <v>1</v>
      </c>
      <c r="AA4757">
        <f>IF(ISNUMBER('IN-CLASS_Lab Part C'!$J$4757),'IN-CLASS_Lab Part C'!$J$4757,NA())</f>
        <v/>
      </c>
    </row>
    <row r="4758">
      <c r="J4758">
        <f>IF(AND(ISNUMBER('Data'!$F$4759),'Data'!$F$4759&lt;&gt;999,'Data'!$F$4759&lt;&gt;""),'Data'!$F$4759,"")</f>
        <v/>
      </c>
      <c r="Z4758" t="n">
        <v>1</v>
      </c>
      <c r="AA4758">
        <f>IF(ISNUMBER('IN-CLASS_Lab Part C'!$J$4758),'IN-CLASS_Lab Part C'!$J$4758,NA())</f>
        <v/>
      </c>
    </row>
    <row r="4759">
      <c r="J4759">
        <f>IF(AND(ISNUMBER('Data'!$F$4760),'Data'!$F$4760&lt;&gt;999,'Data'!$F$4760&lt;&gt;""),'Data'!$F$4760,"")</f>
        <v/>
      </c>
      <c r="Z4759" t="n">
        <v>1</v>
      </c>
      <c r="AA4759">
        <f>IF(ISNUMBER('IN-CLASS_Lab Part C'!$J$4759),'IN-CLASS_Lab Part C'!$J$4759,NA())</f>
        <v/>
      </c>
    </row>
    <row r="4760">
      <c r="J4760">
        <f>IF(AND(ISNUMBER('Data'!$F$4761),'Data'!$F$4761&lt;&gt;999,'Data'!$F$4761&lt;&gt;""),'Data'!$F$4761,"")</f>
        <v/>
      </c>
      <c r="Z4760" t="n">
        <v>1</v>
      </c>
      <c r="AA4760">
        <f>IF(ISNUMBER('IN-CLASS_Lab Part C'!$J$4760),'IN-CLASS_Lab Part C'!$J$4760,NA())</f>
        <v/>
      </c>
    </row>
    <row r="4761">
      <c r="J4761">
        <f>IF(AND(ISNUMBER('Data'!$F$4762),'Data'!$F$4762&lt;&gt;999,'Data'!$F$4762&lt;&gt;""),'Data'!$F$4762,"")</f>
        <v/>
      </c>
      <c r="Z4761" t="n">
        <v>1</v>
      </c>
      <c r="AA4761">
        <f>IF(ISNUMBER('IN-CLASS_Lab Part C'!$J$4761),'IN-CLASS_Lab Part C'!$J$4761,NA())</f>
        <v/>
      </c>
    </row>
    <row r="4762">
      <c r="J4762">
        <f>IF(AND(ISNUMBER('Data'!$F$4763),'Data'!$F$4763&lt;&gt;999,'Data'!$F$4763&lt;&gt;""),'Data'!$F$4763,"")</f>
        <v/>
      </c>
      <c r="Z4762" t="n">
        <v>1</v>
      </c>
      <c r="AA4762">
        <f>IF(ISNUMBER('IN-CLASS_Lab Part C'!$J$4762),'IN-CLASS_Lab Part C'!$J$4762,NA())</f>
        <v/>
      </c>
    </row>
    <row r="4763">
      <c r="J4763">
        <f>IF(AND(ISNUMBER('Data'!$F$4764),'Data'!$F$4764&lt;&gt;999,'Data'!$F$4764&lt;&gt;""),'Data'!$F$4764,"")</f>
        <v/>
      </c>
      <c r="Z4763" t="n">
        <v>1</v>
      </c>
      <c r="AA4763">
        <f>IF(ISNUMBER('IN-CLASS_Lab Part C'!$J$4763),'IN-CLASS_Lab Part C'!$J$4763,NA())</f>
        <v/>
      </c>
    </row>
    <row r="4764">
      <c r="J4764">
        <f>IF(AND(ISNUMBER('Data'!$F$4765),'Data'!$F$4765&lt;&gt;999,'Data'!$F$4765&lt;&gt;""),'Data'!$F$4765,"")</f>
        <v/>
      </c>
      <c r="Z4764" t="n">
        <v>1</v>
      </c>
      <c r="AA4764">
        <f>IF(ISNUMBER('IN-CLASS_Lab Part C'!$J$4764),'IN-CLASS_Lab Part C'!$J$4764,NA())</f>
        <v/>
      </c>
    </row>
    <row r="4765">
      <c r="J4765">
        <f>IF(AND(ISNUMBER('Data'!$F$4766),'Data'!$F$4766&lt;&gt;999,'Data'!$F$4766&lt;&gt;""),'Data'!$F$4766,"")</f>
        <v/>
      </c>
      <c r="Z4765" t="n">
        <v>1</v>
      </c>
      <c r="AA4765">
        <f>IF(ISNUMBER('IN-CLASS_Lab Part C'!$J$4765),'IN-CLASS_Lab Part C'!$J$4765,NA())</f>
        <v/>
      </c>
    </row>
    <row r="4766">
      <c r="J4766">
        <f>IF(AND(ISNUMBER('Data'!$F$4767),'Data'!$F$4767&lt;&gt;999,'Data'!$F$4767&lt;&gt;""),'Data'!$F$4767,"")</f>
        <v/>
      </c>
      <c r="Z4766" t="n">
        <v>1</v>
      </c>
      <c r="AA4766">
        <f>IF(ISNUMBER('IN-CLASS_Lab Part C'!$J$4766),'IN-CLASS_Lab Part C'!$J$4766,NA())</f>
        <v/>
      </c>
    </row>
    <row r="4767">
      <c r="J4767">
        <f>IF(AND(ISNUMBER('Data'!$F$4768),'Data'!$F$4768&lt;&gt;999,'Data'!$F$4768&lt;&gt;""),'Data'!$F$4768,"")</f>
        <v/>
      </c>
      <c r="Z4767" t="n">
        <v>1</v>
      </c>
      <c r="AA4767">
        <f>IF(ISNUMBER('IN-CLASS_Lab Part C'!$J$4767),'IN-CLASS_Lab Part C'!$J$4767,NA())</f>
        <v/>
      </c>
    </row>
    <row r="4768">
      <c r="J4768">
        <f>IF(AND(ISNUMBER('Data'!$F$4769),'Data'!$F$4769&lt;&gt;999,'Data'!$F$4769&lt;&gt;""),'Data'!$F$4769,"")</f>
        <v/>
      </c>
      <c r="Z4768" t="n">
        <v>1</v>
      </c>
      <c r="AA4768">
        <f>IF(ISNUMBER('IN-CLASS_Lab Part C'!$J$4768),'IN-CLASS_Lab Part C'!$J$4768,NA())</f>
        <v/>
      </c>
    </row>
    <row r="4769">
      <c r="J4769">
        <f>IF(AND(ISNUMBER('Data'!$F$4770),'Data'!$F$4770&lt;&gt;999,'Data'!$F$4770&lt;&gt;""),'Data'!$F$4770,"")</f>
        <v/>
      </c>
      <c r="Z4769" t="n">
        <v>1</v>
      </c>
      <c r="AA4769">
        <f>IF(ISNUMBER('IN-CLASS_Lab Part C'!$J$4769),'IN-CLASS_Lab Part C'!$J$4769,NA())</f>
        <v/>
      </c>
    </row>
    <row r="4770">
      <c r="J4770">
        <f>IF(AND(ISNUMBER('Data'!$F$4771),'Data'!$F$4771&lt;&gt;999,'Data'!$F$4771&lt;&gt;""),'Data'!$F$4771,"")</f>
        <v/>
      </c>
      <c r="Z4770" t="n">
        <v>1</v>
      </c>
      <c r="AA4770">
        <f>IF(ISNUMBER('IN-CLASS_Lab Part C'!$J$4770),'IN-CLASS_Lab Part C'!$J$4770,NA())</f>
        <v/>
      </c>
    </row>
    <row r="4771">
      <c r="J4771">
        <f>IF(AND(ISNUMBER('Data'!$F$4772),'Data'!$F$4772&lt;&gt;999,'Data'!$F$4772&lt;&gt;""),'Data'!$F$4772,"")</f>
        <v/>
      </c>
      <c r="Z4771" t="n">
        <v>1</v>
      </c>
      <c r="AA4771">
        <f>IF(ISNUMBER('IN-CLASS_Lab Part C'!$J$4771),'IN-CLASS_Lab Part C'!$J$4771,NA())</f>
        <v/>
      </c>
    </row>
    <row r="4772">
      <c r="J4772">
        <f>IF(AND(ISNUMBER('Data'!$F$4773),'Data'!$F$4773&lt;&gt;999,'Data'!$F$4773&lt;&gt;""),'Data'!$F$4773,"")</f>
        <v/>
      </c>
      <c r="Z4772" t="n">
        <v>1</v>
      </c>
      <c r="AA4772">
        <f>IF(ISNUMBER('IN-CLASS_Lab Part C'!$J$4772),'IN-CLASS_Lab Part C'!$J$4772,NA())</f>
        <v/>
      </c>
    </row>
    <row r="4773">
      <c r="J4773">
        <f>IF(AND(ISNUMBER('Data'!$F$4774),'Data'!$F$4774&lt;&gt;999,'Data'!$F$4774&lt;&gt;""),'Data'!$F$4774,"")</f>
        <v/>
      </c>
      <c r="Z4773" t="n">
        <v>1</v>
      </c>
      <c r="AA4773">
        <f>IF(ISNUMBER('IN-CLASS_Lab Part C'!$J$4773),'IN-CLASS_Lab Part C'!$J$4773,NA())</f>
        <v/>
      </c>
    </row>
    <row r="4774">
      <c r="J4774">
        <f>IF(AND(ISNUMBER('Data'!$F$4775),'Data'!$F$4775&lt;&gt;999,'Data'!$F$4775&lt;&gt;""),'Data'!$F$4775,"")</f>
        <v/>
      </c>
      <c r="Z4774" t="n">
        <v>1</v>
      </c>
      <c r="AA4774">
        <f>IF(ISNUMBER('IN-CLASS_Lab Part C'!$J$4774),'IN-CLASS_Lab Part C'!$J$4774,NA())</f>
        <v/>
      </c>
    </row>
    <row r="4775">
      <c r="J4775">
        <f>IF(AND(ISNUMBER('Data'!$F$4776),'Data'!$F$4776&lt;&gt;999,'Data'!$F$4776&lt;&gt;""),'Data'!$F$4776,"")</f>
        <v/>
      </c>
      <c r="Z4775" t="n">
        <v>1</v>
      </c>
      <c r="AA4775">
        <f>IF(ISNUMBER('IN-CLASS_Lab Part C'!$J$4775),'IN-CLASS_Lab Part C'!$J$4775,NA())</f>
        <v/>
      </c>
    </row>
    <row r="4776">
      <c r="J4776">
        <f>IF(AND(ISNUMBER('Data'!$F$4777),'Data'!$F$4777&lt;&gt;999,'Data'!$F$4777&lt;&gt;""),'Data'!$F$4777,"")</f>
        <v/>
      </c>
      <c r="Z4776" t="n">
        <v>1</v>
      </c>
      <c r="AA4776">
        <f>IF(ISNUMBER('IN-CLASS_Lab Part C'!$J$4776),'IN-CLASS_Lab Part C'!$J$4776,NA())</f>
        <v/>
      </c>
    </row>
    <row r="4777">
      <c r="J4777">
        <f>IF(AND(ISNUMBER('Data'!$F$4778),'Data'!$F$4778&lt;&gt;999,'Data'!$F$4778&lt;&gt;""),'Data'!$F$4778,"")</f>
        <v/>
      </c>
      <c r="Z4777" t="n">
        <v>1</v>
      </c>
      <c r="AA4777">
        <f>IF(ISNUMBER('IN-CLASS_Lab Part C'!$J$4777),'IN-CLASS_Lab Part C'!$J$4777,NA())</f>
        <v/>
      </c>
    </row>
    <row r="4778">
      <c r="J4778">
        <f>IF(AND(ISNUMBER('Data'!$F$4779),'Data'!$F$4779&lt;&gt;999,'Data'!$F$4779&lt;&gt;""),'Data'!$F$4779,"")</f>
        <v/>
      </c>
      <c r="Z4778" t="n">
        <v>1</v>
      </c>
      <c r="AA4778">
        <f>IF(ISNUMBER('IN-CLASS_Lab Part C'!$J$4778),'IN-CLASS_Lab Part C'!$J$4778,NA())</f>
        <v/>
      </c>
    </row>
    <row r="4779">
      <c r="J4779">
        <f>IF(AND(ISNUMBER('Data'!$F$4780),'Data'!$F$4780&lt;&gt;999,'Data'!$F$4780&lt;&gt;""),'Data'!$F$4780,"")</f>
        <v/>
      </c>
      <c r="Z4779" t="n">
        <v>1</v>
      </c>
      <c r="AA4779">
        <f>IF(ISNUMBER('IN-CLASS_Lab Part C'!$J$4779),'IN-CLASS_Lab Part C'!$J$4779,NA())</f>
        <v/>
      </c>
    </row>
    <row r="4780">
      <c r="J4780">
        <f>IF(AND(ISNUMBER('Data'!$F$4781),'Data'!$F$4781&lt;&gt;999,'Data'!$F$4781&lt;&gt;""),'Data'!$F$4781,"")</f>
        <v/>
      </c>
      <c r="Z4780" t="n">
        <v>1</v>
      </c>
      <c r="AA4780">
        <f>IF(ISNUMBER('IN-CLASS_Lab Part C'!$J$4780),'IN-CLASS_Lab Part C'!$J$4780,NA())</f>
        <v/>
      </c>
    </row>
    <row r="4781">
      <c r="J4781">
        <f>IF(AND(ISNUMBER('Data'!$F$4782),'Data'!$F$4782&lt;&gt;999,'Data'!$F$4782&lt;&gt;""),'Data'!$F$4782,"")</f>
        <v/>
      </c>
      <c r="Z4781" t="n">
        <v>1</v>
      </c>
      <c r="AA4781">
        <f>IF(ISNUMBER('IN-CLASS_Lab Part C'!$J$4781),'IN-CLASS_Lab Part C'!$J$4781,NA())</f>
        <v/>
      </c>
    </row>
    <row r="4782">
      <c r="J4782">
        <f>IF(AND(ISNUMBER('Data'!$F$4783),'Data'!$F$4783&lt;&gt;999,'Data'!$F$4783&lt;&gt;""),'Data'!$F$4783,"")</f>
        <v/>
      </c>
      <c r="Z4782" t="n">
        <v>1</v>
      </c>
      <c r="AA4782">
        <f>IF(ISNUMBER('IN-CLASS_Lab Part C'!$J$4782),'IN-CLASS_Lab Part C'!$J$4782,NA())</f>
        <v/>
      </c>
    </row>
    <row r="4783">
      <c r="J4783">
        <f>IF(AND(ISNUMBER('Data'!$F$4784),'Data'!$F$4784&lt;&gt;999,'Data'!$F$4784&lt;&gt;""),'Data'!$F$4784,"")</f>
        <v/>
      </c>
      <c r="Z4783" t="n">
        <v>1</v>
      </c>
      <c r="AA4783">
        <f>IF(ISNUMBER('IN-CLASS_Lab Part C'!$J$4783),'IN-CLASS_Lab Part C'!$J$4783,NA())</f>
        <v/>
      </c>
    </row>
    <row r="4784">
      <c r="J4784">
        <f>IF(AND(ISNUMBER('Data'!$F$4785),'Data'!$F$4785&lt;&gt;999,'Data'!$F$4785&lt;&gt;""),'Data'!$F$4785,"")</f>
        <v/>
      </c>
      <c r="Z4784" t="n">
        <v>1</v>
      </c>
      <c r="AA4784">
        <f>IF(ISNUMBER('IN-CLASS_Lab Part C'!$J$4784),'IN-CLASS_Lab Part C'!$J$4784,NA())</f>
        <v/>
      </c>
    </row>
    <row r="4785">
      <c r="J4785">
        <f>IF(AND(ISNUMBER('Data'!$F$4786),'Data'!$F$4786&lt;&gt;999,'Data'!$F$4786&lt;&gt;""),'Data'!$F$4786,"")</f>
        <v/>
      </c>
      <c r="Z4785" t="n">
        <v>1</v>
      </c>
      <c r="AA4785">
        <f>IF(ISNUMBER('IN-CLASS_Lab Part C'!$J$4785),'IN-CLASS_Lab Part C'!$J$4785,NA())</f>
        <v/>
      </c>
    </row>
    <row r="4786">
      <c r="J4786">
        <f>IF(AND(ISNUMBER('Data'!$F$4787),'Data'!$F$4787&lt;&gt;999,'Data'!$F$4787&lt;&gt;""),'Data'!$F$4787,"")</f>
        <v/>
      </c>
      <c r="Z4786" t="n">
        <v>1</v>
      </c>
      <c r="AA4786">
        <f>IF(ISNUMBER('IN-CLASS_Lab Part C'!$J$4786),'IN-CLASS_Lab Part C'!$J$4786,NA())</f>
        <v/>
      </c>
    </row>
    <row r="4787">
      <c r="J4787">
        <f>IF(AND(ISNUMBER('Data'!$F$4788),'Data'!$F$4788&lt;&gt;999,'Data'!$F$4788&lt;&gt;""),'Data'!$F$4788,"")</f>
        <v/>
      </c>
      <c r="Z4787" t="n">
        <v>1</v>
      </c>
      <c r="AA4787">
        <f>IF(ISNUMBER('IN-CLASS_Lab Part C'!$J$4787),'IN-CLASS_Lab Part C'!$J$4787,NA())</f>
        <v/>
      </c>
    </row>
    <row r="4788">
      <c r="J4788">
        <f>IF(AND(ISNUMBER('Data'!$F$4789),'Data'!$F$4789&lt;&gt;999,'Data'!$F$4789&lt;&gt;""),'Data'!$F$4789,"")</f>
        <v/>
      </c>
      <c r="Z4788" t="n">
        <v>1</v>
      </c>
      <c r="AA4788">
        <f>IF(ISNUMBER('IN-CLASS_Lab Part C'!$J$4788),'IN-CLASS_Lab Part C'!$J$4788,NA())</f>
        <v/>
      </c>
    </row>
    <row r="4789">
      <c r="J4789">
        <f>IF(AND(ISNUMBER('Data'!$F$4790),'Data'!$F$4790&lt;&gt;999,'Data'!$F$4790&lt;&gt;""),'Data'!$F$4790,"")</f>
        <v/>
      </c>
      <c r="Z4789" t="n">
        <v>1</v>
      </c>
      <c r="AA4789">
        <f>IF(ISNUMBER('IN-CLASS_Lab Part C'!$J$4789),'IN-CLASS_Lab Part C'!$J$4789,NA())</f>
        <v/>
      </c>
    </row>
    <row r="4790">
      <c r="J4790">
        <f>IF(AND(ISNUMBER('Data'!$F$4791),'Data'!$F$4791&lt;&gt;999,'Data'!$F$4791&lt;&gt;""),'Data'!$F$4791,"")</f>
        <v/>
      </c>
      <c r="Z4790" t="n">
        <v>1</v>
      </c>
      <c r="AA4790">
        <f>IF(ISNUMBER('IN-CLASS_Lab Part C'!$J$4790),'IN-CLASS_Lab Part C'!$J$4790,NA())</f>
        <v/>
      </c>
    </row>
    <row r="4791">
      <c r="J4791">
        <f>IF(AND(ISNUMBER('Data'!$F$4792),'Data'!$F$4792&lt;&gt;999,'Data'!$F$4792&lt;&gt;""),'Data'!$F$4792,"")</f>
        <v/>
      </c>
      <c r="Z4791" t="n">
        <v>1</v>
      </c>
      <c r="AA4791">
        <f>IF(ISNUMBER('IN-CLASS_Lab Part C'!$J$4791),'IN-CLASS_Lab Part C'!$J$4791,NA())</f>
        <v/>
      </c>
    </row>
    <row r="4792">
      <c r="J4792">
        <f>IF(AND(ISNUMBER('Data'!$F$4793),'Data'!$F$4793&lt;&gt;999,'Data'!$F$4793&lt;&gt;""),'Data'!$F$4793,"")</f>
        <v/>
      </c>
      <c r="Z4792" t="n">
        <v>1</v>
      </c>
      <c r="AA4792">
        <f>IF(ISNUMBER('IN-CLASS_Lab Part C'!$J$4792),'IN-CLASS_Lab Part C'!$J$4792,NA())</f>
        <v/>
      </c>
    </row>
    <row r="4793">
      <c r="J4793">
        <f>IF(AND(ISNUMBER('Data'!$F$4794),'Data'!$F$4794&lt;&gt;999,'Data'!$F$4794&lt;&gt;""),'Data'!$F$4794,"")</f>
        <v/>
      </c>
      <c r="Z4793" t="n">
        <v>1</v>
      </c>
      <c r="AA4793">
        <f>IF(ISNUMBER('IN-CLASS_Lab Part C'!$J$4793),'IN-CLASS_Lab Part C'!$J$4793,NA())</f>
        <v/>
      </c>
    </row>
    <row r="4794">
      <c r="J4794">
        <f>IF(AND(ISNUMBER('Data'!$F$4795),'Data'!$F$4795&lt;&gt;999,'Data'!$F$4795&lt;&gt;""),'Data'!$F$4795,"")</f>
        <v/>
      </c>
      <c r="Z4794" t="n">
        <v>1</v>
      </c>
      <c r="AA4794">
        <f>IF(ISNUMBER('IN-CLASS_Lab Part C'!$J$4794),'IN-CLASS_Lab Part C'!$J$4794,NA())</f>
        <v/>
      </c>
    </row>
    <row r="4795">
      <c r="J4795">
        <f>IF(AND(ISNUMBER('Data'!$F$4796),'Data'!$F$4796&lt;&gt;999,'Data'!$F$4796&lt;&gt;""),'Data'!$F$4796,"")</f>
        <v/>
      </c>
      <c r="Z4795" t="n">
        <v>1</v>
      </c>
      <c r="AA4795">
        <f>IF(ISNUMBER('IN-CLASS_Lab Part C'!$J$4795),'IN-CLASS_Lab Part C'!$J$4795,NA())</f>
        <v/>
      </c>
    </row>
    <row r="4796">
      <c r="J4796">
        <f>IF(AND(ISNUMBER('Data'!$F$4797),'Data'!$F$4797&lt;&gt;999,'Data'!$F$4797&lt;&gt;""),'Data'!$F$4797,"")</f>
        <v/>
      </c>
      <c r="Z4796" t="n">
        <v>1</v>
      </c>
      <c r="AA4796">
        <f>IF(ISNUMBER('IN-CLASS_Lab Part C'!$J$4796),'IN-CLASS_Lab Part C'!$J$4796,NA())</f>
        <v/>
      </c>
    </row>
    <row r="4797">
      <c r="J4797">
        <f>IF(AND(ISNUMBER('Data'!$F$4798),'Data'!$F$4798&lt;&gt;999,'Data'!$F$4798&lt;&gt;""),'Data'!$F$4798,"")</f>
        <v/>
      </c>
      <c r="Z4797" t="n">
        <v>1</v>
      </c>
      <c r="AA4797">
        <f>IF(ISNUMBER('IN-CLASS_Lab Part C'!$J$4797),'IN-CLASS_Lab Part C'!$J$4797,NA())</f>
        <v/>
      </c>
    </row>
    <row r="4798">
      <c r="J4798">
        <f>IF(AND(ISNUMBER('Data'!$F$4799),'Data'!$F$4799&lt;&gt;999,'Data'!$F$4799&lt;&gt;""),'Data'!$F$4799,"")</f>
        <v/>
      </c>
      <c r="Z4798" t="n">
        <v>1</v>
      </c>
      <c r="AA4798">
        <f>IF(ISNUMBER('IN-CLASS_Lab Part C'!$J$4798),'IN-CLASS_Lab Part C'!$J$4798,NA())</f>
        <v/>
      </c>
    </row>
    <row r="4799">
      <c r="J4799">
        <f>IF(AND(ISNUMBER('Data'!$F$4800),'Data'!$F$4800&lt;&gt;999,'Data'!$F$4800&lt;&gt;""),'Data'!$F$4800,"")</f>
        <v/>
      </c>
      <c r="Z4799" t="n">
        <v>1</v>
      </c>
      <c r="AA4799">
        <f>IF(ISNUMBER('IN-CLASS_Lab Part C'!$J$4799),'IN-CLASS_Lab Part C'!$J$4799,NA())</f>
        <v/>
      </c>
    </row>
    <row r="4800">
      <c r="J4800">
        <f>IF(AND(ISNUMBER('Data'!$F$4801),'Data'!$F$4801&lt;&gt;999,'Data'!$F$4801&lt;&gt;""),'Data'!$F$4801,"")</f>
        <v/>
      </c>
      <c r="Z4800" t="n">
        <v>1</v>
      </c>
      <c r="AA4800">
        <f>IF(ISNUMBER('IN-CLASS_Lab Part C'!$J$4800),'IN-CLASS_Lab Part C'!$J$4800,NA())</f>
        <v/>
      </c>
    </row>
    <row r="4801">
      <c r="J4801">
        <f>IF(AND(ISNUMBER('Data'!$F$4802),'Data'!$F$4802&lt;&gt;999,'Data'!$F$4802&lt;&gt;""),'Data'!$F$4802,"")</f>
        <v/>
      </c>
      <c r="Z4801" t="n">
        <v>1</v>
      </c>
      <c r="AA4801">
        <f>IF(ISNUMBER('IN-CLASS_Lab Part C'!$J$4801),'IN-CLASS_Lab Part C'!$J$4801,NA())</f>
        <v/>
      </c>
    </row>
    <row r="4802">
      <c r="J4802">
        <f>IF(AND(ISNUMBER('Data'!$F$4803),'Data'!$F$4803&lt;&gt;999,'Data'!$F$4803&lt;&gt;""),'Data'!$F$4803,"")</f>
        <v/>
      </c>
      <c r="Z4802" t="n">
        <v>1</v>
      </c>
      <c r="AA4802">
        <f>IF(ISNUMBER('IN-CLASS_Lab Part C'!$J$4802),'IN-CLASS_Lab Part C'!$J$4802,NA())</f>
        <v/>
      </c>
    </row>
    <row r="4803">
      <c r="J4803">
        <f>IF(AND(ISNUMBER('Data'!$F$4804),'Data'!$F$4804&lt;&gt;999,'Data'!$F$4804&lt;&gt;""),'Data'!$F$4804,"")</f>
        <v/>
      </c>
      <c r="Z4803" t="n">
        <v>1</v>
      </c>
      <c r="AA4803">
        <f>IF(ISNUMBER('IN-CLASS_Lab Part C'!$J$4803),'IN-CLASS_Lab Part C'!$J$4803,NA())</f>
        <v/>
      </c>
    </row>
    <row r="4804">
      <c r="J4804">
        <f>IF(AND(ISNUMBER('Data'!$F$4805),'Data'!$F$4805&lt;&gt;999,'Data'!$F$4805&lt;&gt;""),'Data'!$F$4805,"")</f>
        <v/>
      </c>
      <c r="Z4804" t="n">
        <v>1</v>
      </c>
      <c r="AA4804">
        <f>IF(ISNUMBER('IN-CLASS_Lab Part C'!$J$4804),'IN-CLASS_Lab Part C'!$J$4804,NA())</f>
        <v/>
      </c>
    </row>
    <row r="4805">
      <c r="J4805">
        <f>IF(AND(ISNUMBER('Data'!$F$4806),'Data'!$F$4806&lt;&gt;999,'Data'!$F$4806&lt;&gt;""),'Data'!$F$4806,"")</f>
        <v/>
      </c>
      <c r="Z4805" t="n">
        <v>1</v>
      </c>
      <c r="AA4805">
        <f>IF(ISNUMBER('IN-CLASS_Lab Part C'!$J$4805),'IN-CLASS_Lab Part C'!$J$4805,NA())</f>
        <v/>
      </c>
    </row>
    <row r="4806">
      <c r="J4806">
        <f>IF(AND(ISNUMBER('Data'!$F$4807),'Data'!$F$4807&lt;&gt;999,'Data'!$F$4807&lt;&gt;""),'Data'!$F$4807,"")</f>
        <v/>
      </c>
      <c r="Z4806" t="n">
        <v>1</v>
      </c>
      <c r="AA4806">
        <f>IF(ISNUMBER('IN-CLASS_Lab Part C'!$J$4806),'IN-CLASS_Lab Part C'!$J$4806,NA())</f>
        <v/>
      </c>
    </row>
    <row r="4807">
      <c r="J4807">
        <f>IF(AND(ISNUMBER('Data'!$F$4808),'Data'!$F$4808&lt;&gt;999,'Data'!$F$4808&lt;&gt;""),'Data'!$F$4808,"")</f>
        <v/>
      </c>
      <c r="Z4807" t="n">
        <v>1</v>
      </c>
      <c r="AA4807">
        <f>IF(ISNUMBER('IN-CLASS_Lab Part C'!$J$4807),'IN-CLASS_Lab Part C'!$J$4807,NA())</f>
        <v/>
      </c>
    </row>
    <row r="4808">
      <c r="J4808">
        <f>IF(AND(ISNUMBER('Data'!$F$4809),'Data'!$F$4809&lt;&gt;999,'Data'!$F$4809&lt;&gt;""),'Data'!$F$4809,"")</f>
        <v/>
      </c>
      <c r="Z4808" t="n">
        <v>1</v>
      </c>
      <c r="AA4808">
        <f>IF(ISNUMBER('IN-CLASS_Lab Part C'!$J$4808),'IN-CLASS_Lab Part C'!$J$4808,NA())</f>
        <v/>
      </c>
    </row>
    <row r="4809">
      <c r="J4809">
        <f>IF(AND(ISNUMBER('Data'!$F$4810),'Data'!$F$4810&lt;&gt;999,'Data'!$F$4810&lt;&gt;""),'Data'!$F$4810,"")</f>
        <v/>
      </c>
      <c r="Z4809" t="n">
        <v>1</v>
      </c>
      <c r="AA4809">
        <f>IF(ISNUMBER('IN-CLASS_Lab Part C'!$J$4809),'IN-CLASS_Lab Part C'!$J$4809,NA())</f>
        <v/>
      </c>
    </row>
    <row r="4810">
      <c r="J4810">
        <f>IF(AND(ISNUMBER('Data'!$F$4811),'Data'!$F$4811&lt;&gt;999,'Data'!$F$4811&lt;&gt;""),'Data'!$F$4811,"")</f>
        <v/>
      </c>
      <c r="Z4810" t="n">
        <v>1</v>
      </c>
      <c r="AA4810">
        <f>IF(ISNUMBER('IN-CLASS_Lab Part C'!$J$4810),'IN-CLASS_Lab Part C'!$J$4810,NA())</f>
        <v/>
      </c>
    </row>
    <row r="4811">
      <c r="J4811">
        <f>IF(AND(ISNUMBER('Data'!$F$4812),'Data'!$F$4812&lt;&gt;999,'Data'!$F$4812&lt;&gt;""),'Data'!$F$4812,"")</f>
        <v/>
      </c>
      <c r="Z4811" t="n">
        <v>1</v>
      </c>
      <c r="AA4811">
        <f>IF(ISNUMBER('IN-CLASS_Lab Part C'!$J$4811),'IN-CLASS_Lab Part C'!$J$4811,NA())</f>
        <v/>
      </c>
    </row>
    <row r="4812">
      <c r="J4812">
        <f>IF(AND(ISNUMBER('Data'!$F$4813),'Data'!$F$4813&lt;&gt;999,'Data'!$F$4813&lt;&gt;""),'Data'!$F$4813,"")</f>
        <v/>
      </c>
      <c r="Z4812" t="n">
        <v>1</v>
      </c>
      <c r="AA4812">
        <f>IF(ISNUMBER('IN-CLASS_Lab Part C'!$J$4812),'IN-CLASS_Lab Part C'!$J$4812,NA())</f>
        <v/>
      </c>
    </row>
    <row r="4813">
      <c r="J4813">
        <f>IF(AND(ISNUMBER('Data'!$F$4814),'Data'!$F$4814&lt;&gt;999,'Data'!$F$4814&lt;&gt;""),'Data'!$F$4814,"")</f>
        <v/>
      </c>
      <c r="Z4813" t="n">
        <v>1</v>
      </c>
      <c r="AA4813">
        <f>IF(ISNUMBER('IN-CLASS_Lab Part C'!$J$4813),'IN-CLASS_Lab Part C'!$J$4813,NA())</f>
        <v/>
      </c>
    </row>
    <row r="4814">
      <c r="J4814">
        <f>IF(AND(ISNUMBER('Data'!$F$4815),'Data'!$F$4815&lt;&gt;999,'Data'!$F$4815&lt;&gt;""),'Data'!$F$4815,"")</f>
        <v/>
      </c>
      <c r="Z4814" t="n">
        <v>1</v>
      </c>
      <c r="AA4814">
        <f>IF(ISNUMBER('IN-CLASS_Lab Part C'!$J$4814),'IN-CLASS_Lab Part C'!$J$4814,NA())</f>
        <v/>
      </c>
    </row>
    <row r="4815">
      <c r="J4815">
        <f>IF(AND(ISNUMBER('Data'!$F$4816),'Data'!$F$4816&lt;&gt;999,'Data'!$F$4816&lt;&gt;""),'Data'!$F$4816,"")</f>
        <v/>
      </c>
      <c r="Z4815" t="n">
        <v>1</v>
      </c>
      <c r="AA4815">
        <f>IF(ISNUMBER('IN-CLASS_Lab Part C'!$J$4815),'IN-CLASS_Lab Part C'!$J$4815,NA())</f>
        <v/>
      </c>
    </row>
    <row r="4816">
      <c r="J4816">
        <f>IF(AND(ISNUMBER('Data'!$F$4817),'Data'!$F$4817&lt;&gt;999,'Data'!$F$4817&lt;&gt;""),'Data'!$F$4817,"")</f>
        <v/>
      </c>
      <c r="Z4816" t="n">
        <v>1</v>
      </c>
      <c r="AA4816">
        <f>IF(ISNUMBER('IN-CLASS_Lab Part C'!$J$4816),'IN-CLASS_Lab Part C'!$J$4816,NA())</f>
        <v/>
      </c>
    </row>
    <row r="4817">
      <c r="J4817">
        <f>IF(AND(ISNUMBER('Data'!$F$4818),'Data'!$F$4818&lt;&gt;999,'Data'!$F$4818&lt;&gt;""),'Data'!$F$4818,"")</f>
        <v/>
      </c>
      <c r="Z4817" t="n">
        <v>1</v>
      </c>
      <c r="AA4817">
        <f>IF(ISNUMBER('IN-CLASS_Lab Part C'!$J$4817),'IN-CLASS_Lab Part C'!$J$4817,NA())</f>
        <v/>
      </c>
    </row>
    <row r="4818">
      <c r="J4818">
        <f>IF(AND(ISNUMBER('Data'!$F$4819),'Data'!$F$4819&lt;&gt;999,'Data'!$F$4819&lt;&gt;""),'Data'!$F$4819,"")</f>
        <v/>
      </c>
      <c r="Z4818" t="n">
        <v>1</v>
      </c>
      <c r="AA4818">
        <f>IF(ISNUMBER('IN-CLASS_Lab Part C'!$J$4818),'IN-CLASS_Lab Part C'!$J$4818,NA())</f>
        <v/>
      </c>
    </row>
    <row r="4819">
      <c r="J4819">
        <f>IF(AND(ISNUMBER('Data'!$F$4820),'Data'!$F$4820&lt;&gt;999,'Data'!$F$4820&lt;&gt;""),'Data'!$F$4820,"")</f>
        <v/>
      </c>
      <c r="Z4819" t="n">
        <v>1</v>
      </c>
      <c r="AA4819">
        <f>IF(ISNUMBER('IN-CLASS_Lab Part C'!$J$4819),'IN-CLASS_Lab Part C'!$J$4819,NA())</f>
        <v/>
      </c>
    </row>
    <row r="4820">
      <c r="J4820">
        <f>IF(AND(ISNUMBER('Data'!$F$4821),'Data'!$F$4821&lt;&gt;999,'Data'!$F$4821&lt;&gt;""),'Data'!$F$4821,"")</f>
        <v/>
      </c>
      <c r="Z4820" t="n">
        <v>1</v>
      </c>
      <c r="AA4820">
        <f>IF(ISNUMBER('IN-CLASS_Lab Part C'!$J$4820),'IN-CLASS_Lab Part C'!$J$4820,NA())</f>
        <v/>
      </c>
    </row>
    <row r="4821">
      <c r="J4821">
        <f>IF(AND(ISNUMBER('Data'!$F$4822),'Data'!$F$4822&lt;&gt;999,'Data'!$F$4822&lt;&gt;""),'Data'!$F$4822,"")</f>
        <v/>
      </c>
      <c r="Z4821" t="n">
        <v>1</v>
      </c>
      <c r="AA4821">
        <f>IF(ISNUMBER('IN-CLASS_Lab Part C'!$J$4821),'IN-CLASS_Lab Part C'!$J$4821,NA())</f>
        <v/>
      </c>
    </row>
    <row r="4822">
      <c r="J4822">
        <f>IF(AND(ISNUMBER('Data'!$F$4823),'Data'!$F$4823&lt;&gt;999,'Data'!$F$4823&lt;&gt;""),'Data'!$F$4823,"")</f>
        <v/>
      </c>
      <c r="Z4822" t="n">
        <v>1</v>
      </c>
      <c r="AA4822">
        <f>IF(ISNUMBER('IN-CLASS_Lab Part C'!$J$4822),'IN-CLASS_Lab Part C'!$J$4822,NA())</f>
        <v/>
      </c>
    </row>
    <row r="4823">
      <c r="J4823">
        <f>IF(AND(ISNUMBER('Data'!$F$4824),'Data'!$F$4824&lt;&gt;999,'Data'!$F$4824&lt;&gt;""),'Data'!$F$4824,"")</f>
        <v/>
      </c>
      <c r="Z4823" t="n">
        <v>1</v>
      </c>
      <c r="AA4823">
        <f>IF(ISNUMBER('IN-CLASS_Lab Part C'!$J$4823),'IN-CLASS_Lab Part C'!$J$4823,NA())</f>
        <v/>
      </c>
    </row>
    <row r="4824">
      <c r="J4824">
        <f>IF(AND(ISNUMBER('Data'!$F$4825),'Data'!$F$4825&lt;&gt;999,'Data'!$F$4825&lt;&gt;""),'Data'!$F$4825,"")</f>
        <v/>
      </c>
      <c r="Z4824" t="n">
        <v>1</v>
      </c>
      <c r="AA4824">
        <f>IF(ISNUMBER('IN-CLASS_Lab Part C'!$J$4824),'IN-CLASS_Lab Part C'!$J$4824,NA())</f>
        <v/>
      </c>
    </row>
    <row r="4825">
      <c r="J4825">
        <f>IF(AND(ISNUMBER('Data'!$F$4826),'Data'!$F$4826&lt;&gt;999,'Data'!$F$4826&lt;&gt;""),'Data'!$F$4826,"")</f>
        <v/>
      </c>
      <c r="Z4825" t="n">
        <v>1</v>
      </c>
      <c r="AA4825">
        <f>IF(ISNUMBER('IN-CLASS_Lab Part C'!$J$4825),'IN-CLASS_Lab Part C'!$J$4825,NA())</f>
        <v/>
      </c>
    </row>
    <row r="4826">
      <c r="J4826">
        <f>IF(AND(ISNUMBER('Data'!$F$4827),'Data'!$F$4827&lt;&gt;999,'Data'!$F$4827&lt;&gt;""),'Data'!$F$4827,"")</f>
        <v/>
      </c>
      <c r="Z4826" t="n">
        <v>1</v>
      </c>
      <c r="AA4826">
        <f>IF(ISNUMBER('IN-CLASS_Lab Part C'!$J$4826),'IN-CLASS_Lab Part C'!$J$4826,NA())</f>
        <v/>
      </c>
    </row>
    <row r="4827">
      <c r="J4827">
        <f>IF(AND(ISNUMBER('Data'!$F$4828),'Data'!$F$4828&lt;&gt;999,'Data'!$F$4828&lt;&gt;""),'Data'!$F$4828,"")</f>
        <v/>
      </c>
      <c r="Z4827" t="n">
        <v>1</v>
      </c>
      <c r="AA4827">
        <f>IF(ISNUMBER('IN-CLASS_Lab Part C'!$J$4827),'IN-CLASS_Lab Part C'!$J$4827,NA())</f>
        <v/>
      </c>
    </row>
    <row r="4828">
      <c r="J4828">
        <f>IF(AND(ISNUMBER('Data'!$F$4829),'Data'!$F$4829&lt;&gt;999,'Data'!$F$4829&lt;&gt;""),'Data'!$F$4829,"")</f>
        <v/>
      </c>
      <c r="Z4828" t="n">
        <v>1</v>
      </c>
      <c r="AA4828">
        <f>IF(ISNUMBER('IN-CLASS_Lab Part C'!$J$4828),'IN-CLASS_Lab Part C'!$J$4828,NA())</f>
        <v/>
      </c>
    </row>
    <row r="4829">
      <c r="J4829">
        <f>IF(AND(ISNUMBER('Data'!$F$4830),'Data'!$F$4830&lt;&gt;999,'Data'!$F$4830&lt;&gt;""),'Data'!$F$4830,"")</f>
        <v/>
      </c>
      <c r="Z4829" t="n">
        <v>1</v>
      </c>
      <c r="AA4829">
        <f>IF(ISNUMBER('IN-CLASS_Lab Part C'!$J$4829),'IN-CLASS_Lab Part C'!$J$4829,NA())</f>
        <v/>
      </c>
    </row>
    <row r="4830">
      <c r="J4830">
        <f>IF(AND(ISNUMBER('Data'!$F$4831),'Data'!$F$4831&lt;&gt;999,'Data'!$F$4831&lt;&gt;""),'Data'!$F$4831,"")</f>
        <v/>
      </c>
      <c r="Z4830" t="n">
        <v>1</v>
      </c>
      <c r="AA4830">
        <f>IF(ISNUMBER('IN-CLASS_Lab Part C'!$J$4830),'IN-CLASS_Lab Part C'!$J$4830,NA())</f>
        <v/>
      </c>
    </row>
    <row r="4831">
      <c r="J4831">
        <f>IF(AND(ISNUMBER('Data'!$F$4832),'Data'!$F$4832&lt;&gt;999,'Data'!$F$4832&lt;&gt;""),'Data'!$F$4832,"")</f>
        <v/>
      </c>
      <c r="Z4831" t="n">
        <v>1</v>
      </c>
      <c r="AA4831">
        <f>IF(ISNUMBER('IN-CLASS_Lab Part C'!$J$4831),'IN-CLASS_Lab Part C'!$J$4831,NA())</f>
        <v/>
      </c>
    </row>
    <row r="4832">
      <c r="J4832">
        <f>IF(AND(ISNUMBER('Data'!$F$4833),'Data'!$F$4833&lt;&gt;999,'Data'!$F$4833&lt;&gt;""),'Data'!$F$4833,"")</f>
        <v/>
      </c>
      <c r="Z4832" t="n">
        <v>1</v>
      </c>
      <c r="AA4832">
        <f>IF(ISNUMBER('IN-CLASS_Lab Part C'!$J$4832),'IN-CLASS_Lab Part C'!$J$4832,NA())</f>
        <v/>
      </c>
    </row>
    <row r="4833">
      <c r="J4833">
        <f>IF(AND(ISNUMBER('Data'!$F$4834),'Data'!$F$4834&lt;&gt;999,'Data'!$F$4834&lt;&gt;""),'Data'!$F$4834,"")</f>
        <v/>
      </c>
      <c r="Z4833" t="n">
        <v>1</v>
      </c>
      <c r="AA4833">
        <f>IF(ISNUMBER('IN-CLASS_Lab Part C'!$J$4833),'IN-CLASS_Lab Part C'!$J$4833,NA())</f>
        <v/>
      </c>
    </row>
    <row r="4834">
      <c r="J4834">
        <f>IF(AND(ISNUMBER('Data'!$F$4835),'Data'!$F$4835&lt;&gt;999,'Data'!$F$4835&lt;&gt;""),'Data'!$F$4835,"")</f>
        <v/>
      </c>
      <c r="Z4834" t="n">
        <v>1</v>
      </c>
      <c r="AA4834">
        <f>IF(ISNUMBER('IN-CLASS_Lab Part C'!$J$4834),'IN-CLASS_Lab Part C'!$J$4834,NA())</f>
        <v/>
      </c>
    </row>
    <row r="4835">
      <c r="J4835">
        <f>IF(AND(ISNUMBER('Data'!$F$4836),'Data'!$F$4836&lt;&gt;999,'Data'!$F$4836&lt;&gt;""),'Data'!$F$4836,"")</f>
        <v/>
      </c>
      <c r="Z4835" t="n">
        <v>1</v>
      </c>
      <c r="AA4835">
        <f>IF(ISNUMBER('IN-CLASS_Lab Part C'!$J$4835),'IN-CLASS_Lab Part C'!$J$4835,NA())</f>
        <v/>
      </c>
    </row>
    <row r="4836">
      <c r="J4836">
        <f>IF(AND(ISNUMBER('Data'!$F$4837),'Data'!$F$4837&lt;&gt;999,'Data'!$F$4837&lt;&gt;""),'Data'!$F$4837,"")</f>
        <v/>
      </c>
      <c r="Z4836" t="n">
        <v>1</v>
      </c>
      <c r="AA4836">
        <f>IF(ISNUMBER('IN-CLASS_Lab Part C'!$J$4836),'IN-CLASS_Lab Part C'!$J$4836,NA())</f>
        <v/>
      </c>
    </row>
    <row r="4837">
      <c r="J4837">
        <f>IF(AND(ISNUMBER('Data'!$F$4838),'Data'!$F$4838&lt;&gt;999,'Data'!$F$4838&lt;&gt;""),'Data'!$F$4838,"")</f>
        <v/>
      </c>
      <c r="Z4837" t="n">
        <v>1</v>
      </c>
      <c r="AA4837">
        <f>IF(ISNUMBER('IN-CLASS_Lab Part C'!$J$4837),'IN-CLASS_Lab Part C'!$J$4837,NA())</f>
        <v/>
      </c>
    </row>
    <row r="4838">
      <c r="J4838">
        <f>IF(AND(ISNUMBER('Data'!$F$4839),'Data'!$F$4839&lt;&gt;999,'Data'!$F$4839&lt;&gt;""),'Data'!$F$4839,"")</f>
        <v/>
      </c>
      <c r="Z4838" t="n">
        <v>1</v>
      </c>
      <c r="AA4838">
        <f>IF(ISNUMBER('IN-CLASS_Lab Part C'!$J$4838),'IN-CLASS_Lab Part C'!$J$4838,NA())</f>
        <v/>
      </c>
    </row>
    <row r="4839">
      <c r="J4839">
        <f>IF(AND(ISNUMBER('Data'!$F$4840),'Data'!$F$4840&lt;&gt;999,'Data'!$F$4840&lt;&gt;""),'Data'!$F$4840,"")</f>
        <v/>
      </c>
      <c r="Z4839" t="n">
        <v>1</v>
      </c>
      <c r="AA4839">
        <f>IF(ISNUMBER('IN-CLASS_Lab Part C'!$J$4839),'IN-CLASS_Lab Part C'!$J$4839,NA())</f>
        <v/>
      </c>
    </row>
    <row r="4840">
      <c r="J4840">
        <f>IF(AND(ISNUMBER('Data'!$F$4841),'Data'!$F$4841&lt;&gt;999,'Data'!$F$4841&lt;&gt;""),'Data'!$F$4841,"")</f>
        <v/>
      </c>
      <c r="Z4840" t="n">
        <v>1</v>
      </c>
      <c r="AA4840">
        <f>IF(ISNUMBER('IN-CLASS_Lab Part C'!$J$4840),'IN-CLASS_Lab Part C'!$J$4840,NA())</f>
        <v/>
      </c>
    </row>
    <row r="4841">
      <c r="J4841">
        <f>IF(AND(ISNUMBER('Data'!$F$4842),'Data'!$F$4842&lt;&gt;999,'Data'!$F$4842&lt;&gt;""),'Data'!$F$4842,"")</f>
        <v/>
      </c>
      <c r="Z4841" t="n">
        <v>1</v>
      </c>
      <c r="AA4841">
        <f>IF(ISNUMBER('IN-CLASS_Lab Part C'!$J$4841),'IN-CLASS_Lab Part C'!$J$4841,NA())</f>
        <v/>
      </c>
    </row>
    <row r="4842">
      <c r="J4842">
        <f>IF(AND(ISNUMBER('Data'!$F$4843),'Data'!$F$4843&lt;&gt;999,'Data'!$F$4843&lt;&gt;""),'Data'!$F$4843,"")</f>
        <v/>
      </c>
      <c r="Z4842" t="n">
        <v>1</v>
      </c>
      <c r="AA4842">
        <f>IF(ISNUMBER('IN-CLASS_Lab Part C'!$J$4842),'IN-CLASS_Lab Part C'!$J$4842,NA())</f>
        <v/>
      </c>
    </row>
    <row r="4843">
      <c r="J4843">
        <f>IF(AND(ISNUMBER('Data'!$F$4844),'Data'!$F$4844&lt;&gt;999,'Data'!$F$4844&lt;&gt;""),'Data'!$F$4844,"")</f>
        <v/>
      </c>
      <c r="Z4843" t="n">
        <v>1</v>
      </c>
      <c r="AA4843">
        <f>IF(ISNUMBER('IN-CLASS_Lab Part C'!$J$4843),'IN-CLASS_Lab Part C'!$J$4843,NA())</f>
        <v/>
      </c>
    </row>
    <row r="4844">
      <c r="J4844">
        <f>IF(AND(ISNUMBER('Data'!$F$4845),'Data'!$F$4845&lt;&gt;999,'Data'!$F$4845&lt;&gt;""),'Data'!$F$4845,"")</f>
        <v/>
      </c>
      <c r="Z4844" t="n">
        <v>1</v>
      </c>
      <c r="AA4844">
        <f>IF(ISNUMBER('IN-CLASS_Lab Part C'!$J$4844),'IN-CLASS_Lab Part C'!$J$4844,NA())</f>
        <v/>
      </c>
    </row>
    <row r="4845">
      <c r="J4845">
        <f>IF(AND(ISNUMBER('Data'!$F$4846),'Data'!$F$4846&lt;&gt;999,'Data'!$F$4846&lt;&gt;""),'Data'!$F$4846,"")</f>
        <v/>
      </c>
      <c r="Z4845" t="n">
        <v>1</v>
      </c>
      <c r="AA4845">
        <f>IF(ISNUMBER('IN-CLASS_Lab Part C'!$J$4845),'IN-CLASS_Lab Part C'!$J$4845,NA())</f>
        <v/>
      </c>
    </row>
    <row r="4846">
      <c r="J4846">
        <f>IF(AND(ISNUMBER('Data'!$F$4847),'Data'!$F$4847&lt;&gt;999,'Data'!$F$4847&lt;&gt;""),'Data'!$F$4847,"")</f>
        <v/>
      </c>
      <c r="Z4846" t="n">
        <v>1</v>
      </c>
      <c r="AA4846">
        <f>IF(ISNUMBER('IN-CLASS_Lab Part C'!$J$4846),'IN-CLASS_Lab Part C'!$J$4846,NA())</f>
        <v/>
      </c>
    </row>
    <row r="4847">
      <c r="J4847">
        <f>IF(AND(ISNUMBER('Data'!$F$4848),'Data'!$F$4848&lt;&gt;999,'Data'!$F$4848&lt;&gt;""),'Data'!$F$4848,"")</f>
        <v/>
      </c>
      <c r="Z4847" t="n">
        <v>1</v>
      </c>
      <c r="AA4847">
        <f>IF(ISNUMBER('IN-CLASS_Lab Part C'!$J$4847),'IN-CLASS_Lab Part C'!$J$4847,NA())</f>
        <v/>
      </c>
    </row>
    <row r="4848">
      <c r="J4848">
        <f>IF(AND(ISNUMBER('Data'!$F$4849),'Data'!$F$4849&lt;&gt;999,'Data'!$F$4849&lt;&gt;""),'Data'!$F$4849,"")</f>
        <v/>
      </c>
      <c r="Z4848" t="n">
        <v>1</v>
      </c>
      <c r="AA4848">
        <f>IF(ISNUMBER('IN-CLASS_Lab Part C'!$J$4848),'IN-CLASS_Lab Part C'!$J$4848,NA())</f>
        <v/>
      </c>
    </row>
    <row r="4849">
      <c r="J4849">
        <f>IF(AND(ISNUMBER('Data'!$F$4850),'Data'!$F$4850&lt;&gt;999,'Data'!$F$4850&lt;&gt;""),'Data'!$F$4850,"")</f>
        <v/>
      </c>
      <c r="Z4849" t="n">
        <v>1</v>
      </c>
      <c r="AA4849">
        <f>IF(ISNUMBER('IN-CLASS_Lab Part C'!$J$4849),'IN-CLASS_Lab Part C'!$J$4849,NA())</f>
        <v/>
      </c>
    </row>
    <row r="4850">
      <c r="J4850">
        <f>IF(AND(ISNUMBER('Data'!$F$4851),'Data'!$F$4851&lt;&gt;999,'Data'!$F$4851&lt;&gt;""),'Data'!$F$4851,"")</f>
        <v/>
      </c>
      <c r="Z4850" t="n">
        <v>1</v>
      </c>
      <c r="AA4850">
        <f>IF(ISNUMBER('IN-CLASS_Lab Part C'!$J$4850),'IN-CLASS_Lab Part C'!$J$4850,NA())</f>
        <v/>
      </c>
    </row>
    <row r="4851">
      <c r="J4851">
        <f>IF(AND(ISNUMBER('Data'!$F$4852),'Data'!$F$4852&lt;&gt;999,'Data'!$F$4852&lt;&gt;""),'Data'!$F$4852,"")</f>
        <v/>
      </c>
      <c r="Z4851" t="n">
        <v>1</v>
      </c>
      <c r="AA4851">
        <f>IF(ISNUMBER('IN-CLASS_Lab Part C'!$J$4851),'IN-CLASS_Lab Part C'!$J$4851,NA())</f>
        <v/>
      </c>
    </row>
    <row r="4852">
      <c r="J4852">
        <f>IF(AND(ISNUMBER('Data'!$F$4853),'Data'!$F$4853&lt;&gt;999,'Data'!$F$4853&lt;&gt;""),'Data'!$F$4853,"")</f>
        <v/>
      </c>
      <c r="Z4852" t="n">
        <v>1</v>
      </c>
      <c r="AA4852">
        <f>IF(ISNUMBER('IN-CLASS_Lab Part C'!$J$4852),'IN-CLASS_Lab Part C'!$J$4852,NA())</f>
        <v/>
      </c>
    </row>
    <row r="4853">
      <c r="J4853">
        <f>IF(AND(ISNUMBER('Data'!$F$4854),'Data'!$F$4854&lt;&gt;999,'Data'!$F$4854&lt;&gt;""),'Data'!$F$4854,"")</f>
        <v/>
      </c>
      <c r="Z4853" t="n">
        <v>1</v>
      </c>
      <c r="AA4853">
        <f>IF(ISNUMBER('IN-CLASS_Lab Part C'!$J$4853),'IN-CLASS_Lab Part C'!$J$4853,NA())</f>
        <v/>
      </c>
    </row>
    <row r="4854">
      <c r="J4854">
        <f>IF(AND(ISNUMBER('Data'!$F$4855),'Data'!$F$4855&lt;&gt;999,'Data'!$F$4855&lt;&gt;""),'Data'!$F$4855,"")</f>
        <v/>
      </c>
      <c r="Z4854" t="n">
        <v>1</v>
      </c>
      <c r="AA4854">
        <f>IF(ISNUMBER('IN-CLASS_Lab Part C'!$J$4854),'IN-CLASS_Lab Part C'!$J$4854,NA())</f>
        <v/>
      </c>
    </row>
    <row r="4855">
      <c r="J4855">
        <f>IF(AND(ISNUMBER('Data'!$F$4856),'Data'!$F$4856&lt;&gt;999,'Data'!$F$4856&lt;&gt;""),'Data'!$F$4856,"")</f>
        <v/>
      </c>
      <c r="Z4855" t="n">
        <v>1</v>
      </c>
      <c r="AA4855">
        <f>IF(ISNUMBER('IN-CLASS_Lab Part C'!$J$4855),'IN-CLASS_Lab Part C'!$J$4855,NA())</f>
        <v/>
      </c>
    </row>
    <row r="4856">
      <c r="J4856">
        <f>IF(AND(ISNUMBER('Data'!$F$4857),'Data'!$F$4857&lt;&gt;999,'Data'!$F$4857&lt;&gt;""),'Data'!$F$4857,"")</f>
        <v/>
      </c>
      <c r="Z4856" t="n">
        <v>1</v>
      </c>
      <c r="AA4856">
        <f>IF(ISNUMBER('IN-CLASS_Lab Part C'!$J$4856),'IN-CLASS_Lab Part C'!$J$4856,NA())</f>
        <v/>
      </c>
    </row>
    <row r="4857">
      <c r="J4857">
        <f>IF(AND(ISNUMBER('Data'!$F$4858),'Data'!$F$4858&lt;&gt;999,'Data'!$F$4858&lt;&gt;""),'Data'!$F$4858,"")</f>
        <v/>
      </c>
      <c r="Z4857" t="n">
        <v>1</v>
      </c>
      <c r="AA4857">
        <f>IF(ISNUMBER('IN-CLASS_Lab Part C'!$J$4857),'IN-CLASS_Lab Part C'!$J$4857,NA())</f>
        <v/>
      </c>
    </row>
    <row r="4858">
      <c r="J4858">
        <f>IF(AND(ISNUMBER('Data'!$F$4859),'Data'!$F$4859&lt;&gt;999,'Data'!$F$4859&lt;&gt;""),'Data'!$F$4859,"")</f>
        <v/>
      </c>
      <c r="Z4858" t="n">
        <v>1</v>
      </c>
      <c r="AA4858">
        <f>IF(ISNUMBER('IN-CLASS_Lab Part C'!$J$4858),'IN-CLASS_Lab Part C'!$J$4858,NA())</f>
        <v/>
      </c>
    </row>
    <row r="4859">
      <c r="J4859">
        <f>IF(AND(ISNUMBER('Data'!$F$4860),'Data'!$F$4860&lt;&gt;999,'Data'!$F$4860&lt;&gt;""),'Data'!$F$4860,"")</f>
        <v/>
      </c>
      <c r="Z4859" t="n">
        <v>1</v>
      </c>
      <c r="AA4859">
        <f>IF(ISNUMBER('IN-CLASS_Lab Part C'!$J$4859),'IN-CLASS_Lab Part C'!$J$4859,NA())</f>
        <v/>
      </c>
    </row>
    <row r="4860">
      <c r="J4860">
        <f>IF(AND(ISNUMBER('Data'!$F$4861),'Data'!$F$4861&lt;&gt;999,'Data'!$F$4861&lt;&gt;""),'Data'!$F$4861,"")</f>
        <v/>
      </c>
      <c r="Z4860" t="n">
        <v>1</v>
      </c>
      <c r="AA4860">
        <f>IF(ISNUMBER('IN-CLASS_Lab Part C'!$J$4860),'IN-CLASS_Lab Part C'!$J$4860,NA())</f>
        <v/>
      </c>
    </row>
    <row r="4861">
      <c r="J4861">
        <f>IF(AND(ISNUMBER('Data'!$F$4862),'Data'!$F$4862&lt;&gt;999,'Data'!$F$4862&lt;&gt;""),'Data'!$F$4862,"")</f>
        <v/>
      </c>
      <c r="Z4861" t="n">
        <v>1</v>
      </c>
      <c r="AA4861">
        <f>IF(ISNUMBER('IN-CLASS_Lab Part C'!$J$4861),'IN-CLASS_Lab Part C'!$J$4861,NA())</f>
        <v/>
      </c>
    </row>
    <row r="4862">
      <c r="J4862">
        <f>IF(AND(ISNUMBER('Data'!$F$4863),'Data'!$F$4863&lt;&gt;999,'Data'!$F$4863&lt;&gt;""),'Data'!$F$4863,"")</f>
        <v/>
      </c>
      <c r="Z4862" t="n">
        <v>1</v>
      </c>
      <c r="AA4862">
        <f>IF(ISNUMBER('IN-CLASS_Lab Part C'!$J$4862),'IN-CLASS_Lab Part C'!$J$4862,NA())</f>
        <v/>
      </c>
    </row>
    <row r="4863">
      <c r="J4863">
        <f>IF(AND(ISNUMBER('Data'!$F$4864),'Data'!$F$4864&lt;&gt;999,'Data'!$F$4864&lt;&gt;""),'Data'!$F$4864,"")</f>
        <v/>
      </c>
      <c r="Z4863" t="n">
        <v>1</v>
      </c>
      <c r="AA4863">
        <f>IF(ISNUMBER('IN-CLASS_Lab Part C'!$J$4863),'IN-CLASS_Lab Part C'!$J$4863,NA())</f>
        <v/>
      </c>
    </row>
    <row r="4864">
      <c r="J4864">
        <f>IF(AND(ISNUMBER('Data'!$F$4865),'Data'!$F$4865&lt;&gt;999,'Data'!$F$4865&lt;&gt;""),'Data'!$F$4865,"")</f>
        <v/>
      </c>
      <c r="Z4864" t="n">
        <v>1</v>
      </c>
      <c r="AA4864">
        <f>IF(ISNUMBER('IN-CLASS_Lab Part C'!$J$4864),'IN-CLASS_Lab Part C'!$J$4864,NA())</f>
        <v/>
      </c>
    </row>
    <row r="4865">
      <c r="J4865">
        <f>IF(AND(ISNUMBER('Data'!$F$4866),'Data'!$F$4866&lt;&gt;999,'Data'!$F$4866&lt;&gt;""),'Data'!$F$4866,"")</f>
        <v/>
      </c>
      <c r="Z4865" t="n">
        <v>1</v>
      </c>
      <c r="AA4865">
        <f>IF(ISNUMBER('IN-CLASS_Lab Part C'!$J$4865),'IN-CLASS_Lab Part C'!$J$4865,NA())</f>
        <v/>
      </c>
    </row>
    <row r="4866">
      <c r="J4866">
        <f>IF(AND(ISNUMBER('Data'!$F$4867),'Data'!$F$4867&lt;&gt;999,'Data'!$F$4867&lt;&gt;""),'Data'!$F$4867,"")</f>
        <v/>
      </c>
      <c r="Z4866" t="n">
        <v>1</v>
      </c>
      <c r="AA4866">
        <f>IF(ISNUMBER('IN-CLASS_Lab Part C'!$J$4866),'IN-CLASS_Lab Part C'!$J$4866,NA())</f>
        <v/>
      </c>
    </row>
    <row r="4867">
      <c r="J4867">
        <f>IF(AND(ISNUMBER('Data'!$F$4868),'Data'!$F$4868&lt;&gt;999,'Data'!$F$4868&lt;&gt;""),'Data'!$F$4868,"")</f>
        <v/>
      </c>
      <c r="Z4867" t="n">
        <v>1</v>
      </c>
      <c r="AA4867">
        <f>IF(ISNUMBER('IN-CLASS_Lab Part C'!$J$4867),'IN-CLASS_Lab Part C'!$J$4867,NA())</f>
        <v/>
      </c>
    </row>
    <row r="4868">
      <c r="J4868">
        <f>IF(AND(ISNUMBER('Data'!$F$4869),'Data'!$F$4869&lt;&gt;999,'Data'!$F$4869&lt;&gt;""),'Data'!$F$4869,"")</f>
        <v/>
      </c>
      <c r="Z4868" t="n">
        <v>1</v>
      </c>
      <c r="AA4868">
        <f>IF(ISNUMBER('IN-CLASS_Lab Part C'!$J$4868),'IN-CLASS_Lab Part C'!$J$4868,NA())</f>
        <v/>
      </c>
    </row>
    <row r="4869">
      <c r="J4869">
        <f>IF(AND(ISNUMBER('Data'!$F$4870),'Data'!$F$4870&lt;&gt;999,'Data'!$F$4870&lt;&gt;""),'Data'!$F$4870,"")</f>
        <v/>
      </c>
      <c r="Z4869" t="n">
        <v>1</v>
      </c>
      <c r="AA4869">
        <f>IF(ISNUMBER('IN-CLASS_Lab Part C'!$J$4869),'IN-CLASS_Lab Part C'!$J$4869,NA())</f>
        <v/>
      </c>
    </row>
    <row r="4870">
      <c r="J4870">
        <f>IF(AND(ISNUMBER('Data'!$F$4871),'Data'!$F$4871&lt;&gt;999,'Data'!$F$4871&lt;&gt;""),'Data'!$F$4871,"")</f>
        <v/>
      </c>
      <c r="Z4870" t="n">
        <v>1</v>
      </c>
      <c r="AA4870">
        <f>IF(ISNUMBER('IN-CLASS_Lab Part C'!$J$4870),'IN-CLASS_Lab Part C'!$J$4870,NA())</f>
        <v/>
      </c>
    </row>
    <row r="4871">
      <c r="J4871">
        <f>IF(AND(ISNUMBER('Data'!$F$4872),'Data'!$F$4872&lt;&gt;999,'Data'!$F$4872&lt;&gt;""),'Data'!$F$4872,"")</f>
        <v/>
      </c>
      <c r="Z4871" t="n">
        <v>1</v>
      </c>
      <c r="AA4871">
        <f>IF(ISNUMBER('IN-CLASS_Lab Part C'!$J$4871),'IN-CLASS_Lab Part C'!$J$4871,NA())</f>
        <v/>
      </c>
    </row>
    <row r="4872">
      <c r="J4872">
        <f>IF(AND(ISNUMBER('Data'!$F$4873),'Data'!$F$4873&lt;&gt;999,'Data'!$F$4873&lt;&gt;""),'Data'!$F$4873,"")</f>
        <v/>
      </c>
      <c r="Z4872" t="n">
        <v>1</v>
      </c>
      <c r="AA4872">
        <f>IF(ISNUMBER('IN-CLASS_Lab Part C'!$J$4872),'IN-CLASS_Lab Part C'!$J$4872,NA())</f>
        <v/>
      </c>
    </row>
    <row r="4873">
      <c r="J4873">
        <f>IF(AND(ISNUMBER('Data'!$F$4874),'Data'!$F$4874&lt;&gt;999,'Data'!$F$4874&lt;&gt;""),'Data'!$F$4874,"")</f>
        <v/>
      </c>
      <c r="Z4873" t="n">
        <v>1</v>
      </c>
      <c r="AA4873">
        <f>IF(ISNUMBER('IN-CLASS_Lab Part C'!$J$4873),'IN-CLASS_Lab Part C'!$J$4873,NA())</f>
        <v/>
      </c>
    </row>
    <row r="4874">
      <c r="J4874">
        <f>IF(AND(ISNUMBER('Data'!$F$4875),'Data'!$F$4875&lt;&gt;999,'Data'!$F$4875&lt;&gt;""),'Data'!$F$4875,"")</f>
        <v/>
      </c>
      <c r="Z4874" t="n">
        <v>1</v>
      </c>
      <c r="AA4874">
        <f>IF(ISNUMBER('IN-CLASS_Lab Part C'!$J$4874),'IN-CLASS_Lab Part C'!$J$4874,NA())</f>
        <v/>
      </c>
    </row>
    <row r="4875">
      <c r="J4875">
        <f>IF(AND(ISNUMBER('Data'!$F$4876),'Data'!$F$4876&lt;&gt;999,'Data'!$F$4876&lt;&gt;""),'Data'!$F$4876,"")</f>
        <v/>
      </c>
      <c r="Z4875" t="n">
        <v>1</v>
      </c>
      <c r="AA4875">
        <f>IF(ISNUMBER('IN-CLASS_Lab Part C'!$J$4875),'IN-CLASS_Lab Part C'!$J$4875,NA())</f>
        <v/>
      </c>
    </row>
    <row r="4876">
      <c r="J4876">
        <f>IF(AND(ISNUMBER('Data'!$F$4877),'Data'!$F$4877&lt;&gt;999,'Data'!$F$4877&lt;&gt;""),'Data'!$F$4877,"")</f>
        <v/>
      </c>
      <c r="Z4876" t="n">
        <v>1</v>
      </c>
      <c r="AA4876">
        <f>IF(ISNUMBER('IN-CLASS_Lab Part C'!$J$4876),'IN-CLASS_Lab Part C'!$J$4876,NA())</f>
        <v/>
      </c>
    </row>
    <row r="4877">
      <c r="J4877">
        <f>IF(AND(ISNUMBER('Data'!$F$4878),'Data'!$F$4878&lt;&gt;999,'Data'!$F$4878&lt;&gt;""),'Data'!$F$4878,"")</f>
        <v/>
      </c>
      <c r="Z4877" t="n">
        <v>1</v>
      </c>
      <c r="AA4877">
        <f>IF(ISNUMBER('IN-CLASS_Lab Part C'!$J$4877),'IN-CLASS_Lab Part C'!$J$4877,NA())</f>
        <v/>
      </c>
    </row>
    <row r="4878">
      <c r="J4878">
        <f>IF(AND(ISNUMBER('Data'!$F$4879),'Data'!$F$4879&lt;&gt;999,'Data'!$F$4879&lt;&gt;""),'Data'!$F$4879,"")</f>
        <v/>
      </c>
      <c r="Z4878" t="n">
        <v>1</v>
      </c>
      <c r="AA4878">
        <f>IF(ISNUMBER('IN-CLASS_Lab Part C'!$J$4878),'IN-CLASS_Lab Part C'!$J$4878,NA())</f>
        <v/>
      </c>
    </row>
    <row r="4879">
      <c r="J4879">
        <f>IF(AND(ISNUMBER('Data'!$F$4880),'Data'!$F$4880&lt;&gt;999,'Data'!$F$4880&lt;&gt;""),'Data'!$F$4880,"")</f>
        <v/>
      </c>
      <c r="Z4879" t="n">
        <v>1</v>
      </c>
      <c r="AA4879">
        <f>IF(ISNUMBER('IN-CLASS_Lab Part C'!$J$4879),'IN-CLASS_Lab Part C'!$J$4879,NA())</f>
        <v/>
      </c>
    </row>
    <row r="4880">
      <c r="J4880">
        <f>IF(AND(ISNUMBER('Data'!$F$4881),'Data'!$F$4881&lt;&gt;999,'Data'!$F$4881&lt;&gt;""),'Data'!$F$4881,"")</f>
        <v/>
      </c>
      <c r="Z4880" t="n">
        <v>1</v>
      </c>
      <c r="AA4880">
        <f>IF(ISNUMBER('IN-CLASS_Lab Part C'!$J$4880),'IN-CLASS_Lab Part C'!$J$4880,NA())</f>
        <v/>
      </c>
    </row>
    <row r="4881">
      <c r="J4881">
        <f>IF(AND(ISNUMBER('Data'!$F$4882),'Data'!$F$4882&lt;&gt;999,'Data'!$F$4882&lt;&gt;""),'Data'!$F$4882,"")</f>
        <v/>
      </c>
      <c r="Z4881" t="n">
        <v>1</v>
      </c>
      <c r="AA4881">
        <f>IF(ISNUMBER('IN-CLASS_Lab Part C'!$J$4881),'IN-CLASS_Lab Part C'!$J$4881,NA())</f>
        <v/>
      </c>
    </row>
    <row r="4882">
      <c r="J4882">
        <f>IF(AND(ISNUMBER('Data'!$F$4883),'Data'!$F$4883&lt;&gt;999,'Data'!$F$4883&lt;&gt;""),'Data'!$F$4883,"")</f>
        <v/>
      </c>
      <c r="Z4882" t="n">
        <v>1</v>
      </c>
      <c r="AA4882">
        <f>IF(ISNUMBER('IN-CLASS_Lab Part C'!$J$4882),'IN-CLASS_Lab Part C'!$J$4882,NA())</f>
        <v/>
      </c>
    </row>
    <row r="4883">
      <c r="J4883">
        <f>IF(AND(ISNUMBER('Data'!$F$4884),'Data'!$F$4884&lt;&gt;999,'Data'!$F$4884&lt;&gt;""),'Data'!$F$4884,"")</f>
        <v/>
      </c>
      <c r="Z4883" t="n">
        <v>1</v>
      </c>
      <c r="AA4883">
        <f>IF(ISNUMBER('IN-CLASS_Lab Part C'!$J$4883),'IN-CLASS_Lab Part C'!$J$4883,NA())</f>
        <v/>
      </c>
    </row>
    <row r="4884">
      <c r="J4884">
        <f>IF(AND(ISNUMBER('Data'!$F$4885),'Data'!$F$4885&lt;&gt;999,'Data'!$F$4885&lt;&gt;""),'Data'!$F$4885,"")</f>
        <v/>
      </c>
      <c r="Z4884" t="n">
        <v>1</v>
      </c>
      <c r="AA4884">
        <f>IF(ISNUMBER('IN-CLASS_Lab Part C'!$J$4884),'IN-CLASS_Lab Part C'!$J$4884,NA())</f>
        <v/>
      </c>
    </row>
    <row r="4885">
      <c r="J4885">
        <f>IF(AND(ISNUMBER('Data'!$F$4886),'Data'!$F$4886&lt;&gt;999,'Data'!$F$4886&lt;&gt;""),'Data'!$F$4886,"")</f>
        <v/>
      </c>
      <c r="Z4885" t="n">
        <v>1</v>
      </c>
      <c r="AA4885">
        <f>IF(ISNUMBER('IN-CLASS_Lab Part C'!$J$4885),'IN-CLASS_Lab Part C'!$J$4885,NA())</f>
        <v/>
      </c>
    </row>
    <row r="4886">
      <c r="J4886">
        <f>IF(AND(ISNUMBER('Data'!$F$4887),'Data'!$F$4887&lt;&gt;999,'Data'!$F$4887&lt;&gt;""),'Data'!$F$4887,"")</f>
        <v/>
      </c>
      <c r="Z4886" t="n">
        <v>1</v>
      </c>
      <c r="AA4886">
        <f>IF(ISNUMBER('IN-CLASS_Lab Part C'!$J$4886),'IN-CLASS_Lab Part C'!$J$4886,NA())</f>
        <v/>
      </c>
    </row>
    <row r="4887">
      <c r="J4887">
        <f>IF(AND(ISNUMBER('Data'!$F$4888),'Data'!$F$4888&lt;&gt;999,'Data'!$F$4888&lt;&gt;""),'Data'!$F$4888,"")</f>
        <v/>
      </c>
      <c r="Z4887" t="n">
        <v>1</v>
      </c>
      <c r="AA4887">
        <f>IF(ISNUMBER('IN-CLASS_Lab Part C'!$J$4887),'IN-CLASS_Lab Part C'!$J$4887,NA())</f>
        <v/>
      </c>
    </row>
    <row r="4888">
      <c r="J4888">
        <f>IF(AND(ISNUMBER('Data'!$F$4889),'Data'!$F$4889&lt;&gt;999,'Data'!$F$4889&lt;&gt;""),'Data'!$F$4889,"")</f>
        <v/>
      </c>
      <c r="Z4888" t="n">
        <v>1</v>
      </c>
      <c r="AA4888">
        <f>IF(ISNUMBER('IN-CLASS_Lab Part C'!$J$4888),'IN-CLASS_Lab Part C'!$J$4888,NA())</f>
        <v/>
      </c>
    </row>
    <row r="4889">
      <c r="J4889">
        <f>IF(AND(ISNUMBER('Data'!$F$4890),'Data'!$F$4890&lt;&gt;999,'Data'!$F$4890&lt;&gt;""),'Data'!$F$4890,"")</f>
        <v/>
      </c>
      <c r="Z4889" t="n">
        <v>1</v>
      </c>
      <c r="AA4889">
        <f>IF(ISNUMBER('IN-CLASS_Lab Part C'!$J$4889),'IN-CLASS_Lab Part C'!$J$4889,NA())</f>
        <v/>
      </c>
    </row>
    <row r="4890">
      <c r="J4890">
        <f>IF(AND(ISNUMBER('Data'!$F$4891),'Data'!$F$4891&lt;&gt;999,'Data'!$F$4891&lt;&gt;""),'Data'!$F$4891,"")</f>
        <v/>
      </c>
      <c r="Z4890" t="n">
        <v>1</v>
      </c>
      <c r="AA4890">
        <f>IF(ISNUMBER('IN-CLASS_Lab Part C'!$J$4890),'IN-CLASS_Lab Part C'!$J$4890,NA())</f>
        <v/>
      </c>
    </row>
    <row r="4891">
      <c r="J4891">
        <f>IF(AND(ISNUMBER('Data'!$F$4892),'Data'!$F$4892&lt;&gt;999,'Data'!$F$4892&lt;&gt;""),'Data'!$F$4892,"")</f>
        <v/>
      </c>
      <c r="Z4891" t="n">
        <v>1</v>
      </c>
      <c r="AA4891">
        <f>IF(ISNUMBER('IN-CLASS_Lab Part C'!$J$4891),'IN-CLASS_Lab Part C'!$J$4891,NA())</f>
        <v/>
      </c>
    </row>
    <row r="4892">
      <c r="J4892">
        <f>IF(AND(ISNUMBER('Data'!$F$4893),'Data'!$F$4893&lt;&gt;999,'Data'!$F$4893&lt;&gt;""),'Data'!$F$4893,"")</f>
        <v/>
      </c>
      <c r="Z4892" t="n">
        <v>1</v>
      </c>
      <c r="AA4892">
        <f>IF(ISNUMBER('IN-CLASS_Lab Part C'!$J$4892),'IN-CLASS_Lab Part C'!$J$4892,NA())</f>
        <v/>
      </c>
    </row>
    <row r="4893">
      <c r="J4893">
        <f>IF(AND(ISNUMBER('Data'!$F$4894),'Data'!$F$4894&lt;&gt;999,'Data'!$F$4894&lt;&gt;""),'Data'!$F$4894,"")</f>
        <v/>
      </c>
      <c r="Z4893" t="n">
        <v>1</v>
      </c>
      <c r="AA4893">
        <f>IF(ISNUMBER('IN-CLASS_Lab Part C'!$J$4893),'IN-CLASS_Lab Part C'!$J$4893,NA())</f>
        <v/>
      </c>
    </row>
    <row r="4894">
      <c r="J4894">
        <f>IF(AND(ISNUMBER('Data'!$F$4895),'Data'!$F$4895&lt;&gt;999,'Data'!$F$4895&lt;&gt;""),'Data'!$F$4895,"")</f>
        <v/>
      </c>
      <c r="Z4894" t="n">
        <v>1</v>
      </c>
      <c r="AA4894">
        <f>IF(ISNUMBER('IN-CLASS_Lab Part C'!$J$4894),'IN-CLASS_Lab Part C'!$J$4894,NA())</f>
        <v/>
      </c>
    </row>
    <row r="4895">
      <c r="J4895">
        <f>IF(AND(ISNUMBER('Data'!$F$4896),'Data'!$F$4896&lt;&gt;999,'Data'!$F$4896&lt;&gt;""),'Data'!$F$4896,"")</f>
        <v/>
      </c>
      <c r="Z4895" t="n">
        <v>1</v>
      </c>
      <c r="AA4895">
        <f>IF(ISNUMBER('IN-CLASS_Lab Part C'!$J$4895),'IN-CLASS_Lab Part C'!$J$4895,NA())</f>
        <v/>
      </c>
    </row>
    <row r="4896">
      <c r="J4896">
        <f>IF(AND(ISNUMBER('Data'!$F$4897),'Data'!$F$4897&lt;&gt;999,'Data'!$F$4897&lt;&gt;""),'Data'!$F$4897,"")</f>
        <v/>
      </c>
      <c r="Z4896" t="n">
        <v>1</v>
      </c>
      <c r="AA4896">
        <f>IF(ISNUMBER('IN-CLASS_Lab Part C'!$J$4896),'IN-CLASS_Lab Part C'!$J$4896,NA())</f>
        <v/>
      </c>
    </row>
    <row r="4897">
      <c r="J4897">
        <f>IF(AND(ISNUMBER('Data'!$F$4898),'Data'!$F$4898&lt;&gt;999,'Data'!$F$4898&lt;&gt;""),'Data'!$F$4898,"")</f>
        <v/>
      </c>
      <c r="Z4897" t="n">
        <v>1</v>
      </c>
      <c r="AA4897">
        <f>IF(ISNUMBER('IN-CLASS_Lab Part C'!$J$4897),'IN-CLASS_Lab Part C'!$J$4897,NA())</f>
        <v/>
      </c>
    </row>
    <row r="4898">
      <c r="J4898">
        <f>IF(AND(ISNUMBER('Data'!$F$4899),'Data'!$F$4899&lt;&gt;999,'Data'!$F$4899&lt;&gt;""),'Data'!$F$4899,"")</f>
        <v/>
      </c>
      <c r="Z4898" t="n">
        <v>1</v>
      </c>
      <c r="AA4898">
        <f>IF(ISNUMBER('IN-CLASS_Lab Part C'!$J$4898),'IN-CLASS_Lab Part C'!$J$4898,NA())</f>
        <v/>
      </c>
    </row>
    <row r="4899">
      <c r="J4899">
        <f>IF(AND(ISNUMBER('Data'!$F$4900),'Data'!$F$4900&lt;&gt;999,'Data'!$F$4900&lt;&gt;""),'Data'!$F$4900,"")</f>
        <v/>
      </c>
      <c r="Z4899" t="n">
        <v>1</v>
      </c>
      <c r="AA4899">
        <f>IF(ISNUMBER('IN-CLASS_Lab Part C'!$J$4899),'IN-CLASS_Lab Part C'!$J$4899,NA())</f>
        <v/>
      </c>
    </row>
    <row r="4900">
      <c r="J4900">
        <f>IF(AND(ISNUMBER('Data'!$F$4901),'Data'!$F$4901&lt;&gt;999,'Data'!$F$4901&lt;&gt;""),'Data'!$F$4901,"")</f>
        <v/>
      </c>
      <c r="Z4900" t="n">
        <v>1</v>
      </c>
      <c r="AA4900">
        <f>IF(ISNUMBER('IN-CLASS_Lab Part C'!$J$4900),'IN-CLASS_Lab Part C'!$J$4900,NA())</f>
        <v/>
      </c>
    </row>
    <row r="4901">
      <c r="J4901">
        <f>IF(AND(ISNUMBER('Data'!$F$4902),'Data'!$F$4902&lt;&gt;999,'Data'!$F$4902&lt;&gt;""),'Data'!$F$4902,"")</f>
        <v/>
      </c>
      <c r="Z4901" t="n">
        <v>1</v>
      </c>
      <c r="AA4901">
        <f>IF(ISNUMBER('IN-CLASS_Lab Part C'!$J$4901),'IN-CLASS_Lab Part C'!$J$4901,NA())</f>
        <v/>
      </c>
    </row>
    <row r="4902">
      <c r="J4902">
        <f>IF(AND(ISNUMBER('Data'!$F$4903),'Data'!$F$4903&lt;&gt;999,'Data'!$F$4903&lt;&gt;""),'Data'!$F$4903,"")</f>
        <v/>
      </c>
      <c r="Z4902" t="n">
        <v>1</v>
      </c>
      <c r="AA4902">
        <f>IF(ISNUMBER('IN-CLASS_Lab Part C'!$J$4902),'IN-CLASS_Lab Part C'!$J$4902,NA())</f>
        <v/>
      </c>
    </row>
    <row r="4903">
      <c r="J4903">
        <f>IF(AND(ISNUMBER('Data'!$F$4904),'Data'!$F$4904&lt;&gt;999,'Data'!$F$4904&lt;&gt;""),'Data'!$F$4904,"")</f>
        <v/>
      </c>
      <c r="Z4903" t="n">
        <v>1</v>
      </c>
      <c r="AA4903">
        <f>IF(ISNUMBER('IN-CLASS_Lab Part C'!$J$4903),'IN-CLASS_Lab Part C'!$J$4903,NA())</f>
        <v/>
      </c>
    </row>
    <row r="4904">
      <c r="J4904">
        <f>IF(AND(ISNUMBER('Data'!$F$4905),'Data'!$F$4905&lt;&gt;999,'Data'!$F$4905&lt;&gt;""),'Data'!$F$4905,"")</f>
        <v/>
      </c>
      <c r="Z4904" t="n">
        <v>1</v>
      </c>
      <c r="AA4904">
        <f>IF(ISNUMBER('IN-CLASS_Lab Part C'!$J$4904),'IN-CLASS_Lab Part C'!$J$4904,NA())</f>
        <v/>
      </c>
    </row>
    <row r="4905">
      <c r="J4905">
        <f>IF(AND(ISNUMBER('Data'!$F$4906),'Data'!$F$4906&lt;&gt;999,'Data'!$F$4906&lt;&gt;""),'Data'!$F$4906,"")</f>
        <v/>
      </c>
      <c r="Z4905" t="n">
        <v>1</v>
      </c>
      <c r="AA4905">
        <f>IF(ISNUMBER('IN-CLASS_Lab Part C'!$J$4905),'IN-CLASS_Lab Part C'!$J$4905,NA())</f>
        <v/>
      </c>
    </row>
    <row r="4906">
      <c r="J4906">
        <f>IF(AND(ISNUMBER('Data'!$F$4907),'Data'!$F$4907&lt;&gt;999,'Data'!$F$4907&lt;&gt;""),'Data'!$F$4907,"")</f>
        <v/>
      </c>
      <c r="Z4906" t="n">
        <v>1</v>
      </c>
      <c r="AA4906">
        <f>IF(ISNUMBER('IN-CLASS_Lab Part C'!$J$4906),'IN-CLASS_Lab Part C'!$J$4906,NA())</f>
        <v/>
      </c>
    </row>
    <row r="4907">
      <c r="J4907">
        <f>IF(AND(ISNUMBER('Data'!$F$4908),'Data'!$F$4908&lt;&gt;999,'Data'!$F$4908&lt;&gt;""),'Data'!$F$4908,"")</f>
        <v/>
      </c>
      <c r="Z4907" t="n">
        <v>1</v>
      </c>
      <c r="AA4907">
        <f>IF(ISNUMBER('IN-CLASS_Lab Part C'!$J$4907),'IN-CLASS_Lab Part C'!$J$4907,NA())</f>
        <v/>
      </c>
    </row>
    <row r="4908">
      <c r="J4908">
        <f>IF(AND(ISNUMBER('Data'!$F$4909),'Data'!$F$4909&lt;&gt;999,'Data'!$F$4909&lt;&gt;""),'Data'!$F$4909,"")</f>
        <v/>
      </c>
      <c r="Z4908" t="n">
        <v>1</v>
      </c>
      <c r="AA4908">
        <f>IF(ISNUMBER('IN-CLASS_Lab Part C'!$J$4908),'IN-CLASS_Lab Part C'!$J$4908,NA())</f>
        <v/>
      </c>
    </row>
    <row r="4909">
      <c r="J4909">
        <f>IF(AND(ISNUMBER('Data'!$F$4910),'Data'!$F$4910&lt;&gt;999,'Data'!$F$4910&lt;&gt;""),'Data'!$F$4910,"")</f>
        <v/>
      </c>
      <c r="Z4909" t="n">
        <v>1</v>
      </c>
      <c r="AA4909">
        <f>IF(ISNUMBER('IN-CLASS_Lab Part C'!$J$4909),'IN-CLASS_Lab Part C'!$J$4909,NA())</f>
        <v/>
      </c>
    </row>
    <row r="4910">
      <c r="J4910">
        <f>IF(AND(ISNUMBER('Data'!$F$4911),'Data'!$F$4911&lt;&gt;999,'Data'!$F$4911&lt;&gt;""),'Data'!$F$4911,"")</f>
        <v/>
      </c>
      <c r="Z4910" t="n">
        <v>1</v>
      </c>
      <c r="AA4910">
        <f>IF(ISNUMBER('IN-CLASS_Lab Part C'!$J$4910),'IN-CLASS_Lab Part C'!$J$4910,NA())</f>
        <v/>
      </c>
    </row>
    <row r="4911">
      <c r="J4911">
        <f>IF(AND(ISNUMBER('Data'!$F$4912),'Data'!$F$4912&lt;&gt;999,'Data'!$F$4912&lt;&gt;""),'Data'!$F$4912,"")</f>
        <v/>
      </c>
      <c r="Z4911" t="n">
        <v>1</v>
      </c>
      <c r="AA4911">
        <f>IF(ISNUMBER('IN-CLASS_Lab Part C'!$J$4911),'IN-CLASS_Lab Part C'!$J$4911,NA())</f>
        <v/>
      </c>
    </row>
    <row r="4912">
      <c r="J4912">
        <f>IF(AND(ISNUMBER('Data'!$F$4913),'Data'!$F$4913&lt;&gt;999,'Data'!$F$4913&lt;&gt;""),'Data'!$F$4913,"")</f>
        <v/>
      </c>
      <c r="Z4912" t="n">
        <v>1</v>
      </c>
      <c r="AA4912">
        <f>IF(ISNUMBER('IN-CLASS_Lab Part C'!$J$4912),'IN-CLASS_Lab Part C'!$J$4912,NA())</f>
        <v/>
      </c>
    </row>
    <row r="4913">
      <c r="J4913">
        <f>IF(AND(ISNUMBER('Data'!$F$4914),'Data'!$F$4914&lt;&gt;999,'Data'!$F$4914&lt;&gt;""),'Data'!$F$4914,"")</f>
        <v/>
      </c>
      <c r="Z4913" t="n">
        <v>1</v>
      </c>
      <c r="AA4913">
        <f>IF(ISNUMBER('IN-CLASS_Lab Part C'!$J$4913),'IN-CLASS_Lab Part C'!$J$4913,NA())</f>
        <v/>
      </c>
    </row>
    <row r="4914">
      <c r="J4914">
        <f>IF(AND(ISNUMBER('Data'!$F$4915),'Data'!$F$4915&lt;&gt;999,'Data'!$F$4915&lt;&gt;""),'Data'!$F$4915,"")</f>
        <v/>
      </c>
      <c r="Z4914" t="n">
        <v>1</v>
      </c>
      <c r="AA4914">
        <f>IF(ISNUMBER('IN-CLASS_Lab Part C'!$J$4914),'IN-CLASS_Lab Part C'!$J$4914,NA())</f>
        <v/>
      </c>
    </row>
    <row r="4915">
      <c r="J4915">
        <f>IF(AND(ISNUMBER('Data'!$F$4916),'Data'!$F$4916&lt;&gt;999,'Data'!$F$4916&lt;&gt;""),'Data'!$F$4916,"")</f>
        <v/>
      </c>
      <c r="Z4915" t="n">
        <v>1</v>
      </c>
      <c r="AA4915">
        <f>IF(ISNUMBER('IN-CLASS_Lab Part C'!$J$4915),'IN-CLASS_Lab Part C'!$J$4915,NA())</f>
        <v/>
      </c>
    </row>
    <row r="4916">
      <c r="J4916">
        <f>IF(AND(ISNUMBER('Data'!$F$4917),'Data'!$F$4917&lt;&gt;999,'Data'!$F$4917&lt;&gt;""),'Data'!$F$4917,"")</f>
        <v/>
      </c>
      <c r="Z4916" t="n">
        <v>1</v>
      </c>
      <c r="AA4916">
        <f>IF(ISNUMBER('IN-CLASS_Lab Part C'!$J$4916),'IN-CLASS_Lab Part C'!$J$4916,NA())</f>
        <v/>
      </c>
    </row>
    <row r="4917">
      <c r="J4917">
        <f>IF(AND(ISNUMBER('Data'!$F$4918),'Data'!$F$4918&lt;&gt;999,'Data'!$F$4918&lt;&gt;""),'Data'!$F$4918,"")</f>
        <v/>
      </c>
      <c r="Z4917" t="n">
        <v>1</v>
      </c>
      <c r="AA4917">
        <f>IF(ISNUMBER('IN-CLASS_Lab Part C'!$J$4917),'IN-CLASS_Lab Part C'!$J$4917,NA())</f>
        <v/>
      </c>
    </row>
    <row r="4918">
      <c r="J4918">
        <f>IF(AND(ISNUMBER('Data'!$F$4919),'Data'!$F$4919&lt;&gt;999,'Data'!$F$4919&lt;&gt;""),'Data'!$F$4919,"")</f>
        <v/>
      </c>
      <c r="Z4918" t="n">
        <v>1</v>
      </c>
      <c r="AA4918">
        <f>IF(ISNUMBER('IN-CLASS_Lab Part C'!$J$4918),'IN-CLASS_Lab Part C'!$J$4918,NA())</f>
        <v/>
      </c>
    </row>
    <row r="4919">
      <c r="J4919">
        <f>IF(AND(ISNUMBER('Data'!$F$4920),'Data'!$F$4920&lt;&gt;999,'Data'!$F$4920&lt;&gt;""),'Data'!$F$4920,"")</f>
        <v/>
      </c>
      <c r="Z4919" t="n">
        <v>1</v>
      </c>
      <c r="AA4919">
        <f>IF(ISNUMBER('IN-CLASS_Lab Part C'!$J$4919),'IN-CLASS_Lab Part C'!$J$4919,NA())</f>
        <v/>
      </c>
    </row>
    <row r="4920">
      <c r="J4920">
        <f>IF(AND(ISNUMBER('Data'!$F$4921),'Data'!$F$4921&lt;&gt;999,'Data'!$F$4921&lt;&gt;""),'Data'!$F$4921,"")</f>
        <v/>
      </c>
      <c r="Z4920" t="n">
        <v>1</v>
      </c>
      <c r="AA4920">
        <f>IF(ISNUMBER('IN-CLASS_Lab Part C'!$J$4920),'IN-CLASS_Lab Part C'!$J$4920,NA())</f>
        <v/>
      </c>
    </row>
    <row r="4921">
      <c r="J4921">
        <f>IF(AND(ISNUMBER('Data'!$F$4922),'Data'!$F$4922&lt;&gt;999,'Data'!$F$4922&lt;&gt;""),'Data'!$F$4922,"")</f>
        <v/>
      </c>
      <c r="Z4921" t="n">
        <v>1</v>
      </c>
      <c r="AA4921">
        <f>IF(ISNUMBER('IN-CLASS_Lab Part C'!$J$4921),'IN-CLASS_Lab Part C'!$J$4921,NA())</f>
        <v/>
      </c>
    </row>
    <row r="4922">
      <c r="J4922">
        <f>IF(AND(ISNUMBER('Data'!$F$4923),'Data'!$F$4923&lt;&gt;999,'Data'!$F$4923&lt;&gt;""),'Data'!$F$4923,"")</f>
        <v/>
      </c>
      <c r="Z4922" t="n">
        <v>1</v>
      </c>
      <c r="AA4922">
        <f>IF(ISNUMBER('IN-CLASS_Lab Part C'!$J$4922),'IN-CLASS_Lab Part C'!$J$4922,NA())</f>
        <v/>
      </c>
    </row>
    <row r="4923">
      <c r="J4923">
        <f>IF(AND(ISNUMBER('Data'!$F$4924),'Data'!$F$4924&lt;&gt;999,'Data'!$F$4924&lt;&gt;""),'Data'!$F$4924,"")</f>
        <v/>
      </c>
      <c r="Z4923" t="n">
        <v>1</v>
      </c>
      <c r="AA4923">
        <f>IF(ISNUMBER('IN-CLASS_Lab Part C'!$J$4923),'IN-CLASS_Lab Part C'!$J$4923,NA())</f>
        <v/>
      </c>
    </row>
    <row r="4924">
      <c r="J4924">
        <f>IF(AND(ISNUMBER('Data'!$F$4925),'Data'!$F$4925&lt;&gt;999,'Data'!$F$4925&lt;&gt;""),'Data'!$F$4925,"")</f>
        <v/>
      </c>
      <c r="Z4924" t="n">
        <v>1</v>
      </c>
      <c r="AA4924">
        <f>IF(ISNUMBER('IN-CLASS_Lab Part C'!$J$4924),'IN-CLASS_Lab Part C'!$J$4924,NA())</f>
        <v/>
      </c>
    </row>
    <row r="4925">
      <c r="J4925">
        <f>IF(AND(ISNUMBER('Data'!$F$4926),'Data'!$F$4926&lt;&gt;999,'Data'!$F$4926&lt;&gt;""),'Data'!$F$4926,"")</f>
        <v/>
      </c>
      <c r="Z4925" t="n">
        <v>1</v>
      </c>
      <c r="AA4925">
        <f>IF(ISNUMBER('IN-CLASS_Lab Part C'!$J$4925),'IN-CLASS_Lab Part C'!$J$4925,NA())</f>
        <v/>
      </c>
    </row>
    <row r="4926">
      <c r="J4926">
        <f>IF(AND(ISNUMBER('Data'!$F$4927),'Data'!$F$4927&lt;&gt;999,'Data'!$F$4927&lt;&gt;""),'Data'!$F$4927,"")</f>
        <v/>
      </c>
      <c r="Z4926" t="n">
        <v>1</v>
      </c>
      <c r="AA4926">
        <f>IF(ISNUMBER('IN-CLASS_Lab Part C'!$J$4926),'IN-CLASS_Lab Part C'!$J$4926,NA())</f>
        <v/>
      </c>
    </row>
    <row r="4927">
      <c r="J4927">
        <f>IF(AND(ISNUMBER('Data'!$F$4928),'Data'!$F$4928&lt;&gt;999,'Data'!$F$4928&lt;&gt;""),'Data'!$F$4928,"")</f>
        <v/>
      </c>
      <c r="Z4927" t="n">
        <v>1</v>
      </c>
      <c r="AA4927">
        <f>IF(ISNUMBER('IN-CLASS_Lab Part C'!$J$4927),'IN-CLASS_Lab Part C'!$J$4927,NA())</f>
        <v/>
      </c>
    </row>
    <row r="4928">
      <c r="J4928">
        <f>IF(AND(ISNUMBER('Data'!$F$4929),'Data'!$F$4929&lt;&gt;999,'Data'!$F$4929&lt;&gt;""),'Data'!$F$4929,"")</f>
        <v/>
      </c>
      <c r="Z4928" t="n">
        <v>1</v>
      </c>
      <c r="AA4928">
        <f>IF(ISNUMBER('IN-CLASS_Lab Part C'!$J$4928),'IN-CLASS_Lab Part C'!$J$4928,NA())</f>
        <v/>
      </c>
    </row>
    <row r="4929">
      <c r="J4929">
        <f>IF(AND(ISNUMBER('Data'!$F$4930),'Data'!$F$4930&lt;&gt;999,'Data'!$F$4930&lt;&gt;""),'Data'!$F$4930,"")</f>
        <v/>
      </c>
      <c r="Z4929" t="n">
        <v>1</v>
      </c>
      <c r="AA4929">
        <f>IF(ISNUMBER('IN-CLASS_Lab Part C'!$J$4929),'IN-CLASS_Lab Part C'!$J$4929,NA())</f>
        <v/>
      </c>
    </row>
    <row r="4930">
      <c r="J4930">
        <f>IF(AND(ISNUMBER('Data'!$F$4931),'Data'!$F$4931&lt;&gt;999,'Data'!$F$4931&lt;&gt;""),'Data'!$F$4931,"")</f>
        <v/>
      </c>
      <c r="Z4930" t="n">
        <v>1</v>
      </c>
      <c r="AA4930">
        <f>IF(ISNUMBER('IN-CLASS_Lab Part C'!$J$4930),'IN-CLASS_Lab Part C'!$J$4930,NA())</f>
        <v/>
      </c>
    </row>
    <row r="4931">
      <c r="J4931">
        <f>IF(AND(ISNUMBER('Data'!$F$4932),'Data'!$F$4932&lt;&gt;999,'Data'!$F$4932&lt;&gt;""),'Data'!$F$4932,"")</f>
        <v/>
      </c>
      <c r="Z4931" t="n">
        <v>1</v>
      </c>
      <c r="AA4931">
        <f>IF(ISNUMBER('IN-CLASS_Lab Part C'!$J$4931),'IN-CLASS_Lab Part C'!$J$4931,NA())</f>
        <v/>
      </c>
    </row>
    <row r="4932">
      <c r="J4932">
        <f>IF(AND(ISNUMBER('Data'!$F$4933),'Data'!$F$4933&lt;&gt;999,'Data'!$F$4933&lt;&gt;""),'Data'!$F$4933,"")</f>
        <v/>
      </c>
      <c r="Z4932" t="n">
        <v>1</v>
      </c>
      <c r="AA4932">
        <f>IF(ISNUMBER('IN-CLASS_Lab Part C'!$J$4932),'IN-CLASS_Lab Part C'!$J$4932,NA())</f>
        <v/>
      </c>
    </row>
    <row r="4933">
      <c r="J4933">
        <f>IF(AND(ISNUMBER('Data'!$F$4934),'Data'!$F$4934&lt;&gt;999,'Data'!$F$4934&lt;&gt;""),'Data'!$F$4934,"")</f>
        <v/>
      </c>
      <c r="Z4933" t="n">
        <v>1</v>
      </c>
      <c r="AA4933">
        <f>IF(ISNUMBER('IN-CLASS_Lab Part C'!$J$4933),'IN-CLASS_Lab Part C'!$J$4933,NA())</f>
        <v/>
      </c>
    </row>
    <row r="4934">
      <c r="J4934">
        <f>IF(AND(ISNUMBER('Data'!$F$4935),'Data'!$F$4935&lt;&gt;999,'Data'!$F$4935&lt;&gt;""),'Data'!$F$4935,"")</f>
        <v/>
      </c>
      <c r="Z4934" t="n">
        <v>1</v>
      </c>
      <c r="AA4934">
        <f>IF(ISNUMBER('IN-CLASS_Lab Part C'!$J$4934),'IN-CLASS_Lab Part C'!$J$4934,NA())</f>
        <v/>
      </c>
    </row>
    <row r="4935">
      <c r="J4935">
        <f>IF(AND(ISNUMBER('Data'!$F$4936),'Data'!$F$4936&lt;&gt;999,'Data'!$F$4936&lt;&gt;""),'Data'!$F$4936,"")</f>
        <v/>
      </c>
      <c r="Z4935" t="n">
        <v>1</v>
      </c>
      <c r="AA4935">
        <f>IF(ISNUMBER('IN-CLASS_Lab Part C'!$J$4935),'IN-CLASS_Lab Part C'!$J$4935,NA())</f>
        <v/>
      </c>
    </row>
    <row r="4936">
      <c r="J4936">
        <f>IF(AND(ISNUMBER('Data'!$F$4937),'Data'!$F$4937&lt;&gt;999,'Data'!$F$4937&lt;&gt;""),'Data'!$F$4937,"")</f>
        <v/>
      </c>
      <c r="Z4936" t="n">
        <v>1</v>
      </c>
      <c r="AA4936">
        <f>IF(ISNUMBER('IN-CLASS_Lab Part C'!$J$4936),'IN-CLASS_Lab Part C'!$J$4936,NA())</f>
        <v/>
      </c>
    </row>
    <row r="4937">
      <c r="J4937">
        <f>IF(AND(ISNUMBER('Data'!$F$4938),'Data'!$F$4938&lt;&gt;999,'Data'!$F$4938&lt;&gt;""),'Data'!$F$4938,"")</f>
        <v/>
      </c>
      <c r="Z4937" t="n">
        <v>1</v>
      </c>
      <c r="AA4937">
        <f>IF(ISNUMBER('IN-CLASS_Lab Part C'!$J$4937),'IN-CLASS_Lab Part C'!$J$4937,NA())</f>
        <v/>
      </c>
    </row>
    <row r="4938">
      <c r="J4938">
        <f>IF(AND(ISNUMBER('Data'!$F$4939),'Data'!$F$4939&lt;&gt;999,'Data'!$F$4939&lt;&gt;""),'Data'!$F$4939,"")</f>
        <v/>
      </c>
      <c r="Z4938" t="n">
        <v>1</v>
      </c>
      <c r="AA4938">
        <f>IF(ISNUMBER('IN-CLASS_Lab Part C'!$J$4938),'IN-CLASS_Lab Part C'!$J$4938,NA())</f>
        <v/>
      </c>
    </row>
    <row r="4939">
      <c r="J4939">
        <f>IF(AND(ISNUMBER('Data'!$F$4940),'Data'!$F$4940&lt;&gt;999,'Data'!$F$4940&lt;&gt;""),'Data'!$F$4940,"")</f>
        <v/>
      </c>
      <c r="Z4939" t="n">
        <v>1</v>
      </c>
      <c r="AA4939">
        <f>IF(ISNUMBER('IN-CLASS_Lab Part C'!$J$4939),'IN-CLASS_Lab Part C'!$J$4939,NA())</f>
        <v/>
      </c>
    </row>
    <row r="4940">
      <c r="J4940">
        <f>IF(AND(ISNUMBER('Data'!$F$4941),'Data'!$F$4941&lt;&gt;999,'Data'!$F$4941&lt;&gt;""),'Data'!$F$4941,"")</f>
        <v/>
      </c>
      <c r="Z4940" t="n">
        <v>1</v>
      </c>
      <c r="AA4940">
        <f>IF(ISNUMBER('IN-CLASS_Lab Part C'!$J$4940),'IN-CLASS_Lab Part C'!$J$4940,NA())</f>
        <v/>
      </c>
    </row>
    <row r="4941">
      <c r="J4941">
        <f>IF(AND(ISNUMBER('Data'!$F$4942),'Data'!$F$4942&lt;&gt;999,'Data'!$F$4942&lt;&gt;""),'Data'!$F$4942,"")</f>
        <v/>
      </c>
      <c r="Z4941" t="n">
        <v>1</v>
      </c>
      <c r="AA4941">
        <f>IF(ISNUMBER('IN-CLASS_Lab Part C'!$J$4941),'IN-CLASS_Lab Part C'!$J$4941,NA())</f>
        <v/>
      </c>
    </row>
    <row r="4942">
      <c r="J4942">
        <f>IF(AND(ISNUMBER('Data'!$F$4943),'Data'!$F$4943&lt;&gt;999,'Data'!$F$4943&lt;&gt;""),'Data'!$F$4943,"")</f>
        <v/>
      </c>
      <c r="Z4942" t="n">
        <v>1</v>
      </c>
      <c r="AA4942">
        <f>IF(ISNUMBER('IN-CLASS_Lab Part C'!$J$4942),'IN-CLASS_Lab Part C'!$J$4942,NA())</f>
        <v/>
      </c>
    </row>
    <row r="4943">
      <c r="J4943">
        <f>IF(AND(ISNUMBER('Data'!$F$4944),'Data'!$F$4944&lt;&gt;999,'Data'!$F$4944&lt;&gt;""),'Data'!$F$4944,"")</f>
        <v/>
      </c>
      <c r="Z4943" t="n">
        <v>1</v>
      </c>
      <c r="AA4943">
        <f>IF(ISNUMBER('IN-CLASS_Lab Part C'!$J$4943),'IN-CLASS_Lab Part C'!$J$4943,NA())</f>
        <v/>
      </c>
    </row>
    <row r="4944">
      <c r="J4944">
        <f>IF(AND(ISNUMBER('Data'!$F$4945),'Data'!$F$4945&lt;&gt;999,'Data'!$F$4945&lt;&gt;""),'Data'!$F$4945,"")</f>
        <v/>
      </c>
      <c r="Z4944" t="n">
        <v>1</v>
      </c>
      <c r="AA4944">
        <f>IF(ISNUMBER('IN-CLASS_Lab Part C'!$J$4944),'IN-CLASS_Lab Part C'!$J$4944,NA())</f>
        <v/>
      </c>
    </row>
    <row r="4945">
      <c r="J4945">
        <f>IF(AND(ISNUMBER('Data'!$F$4946),'Data'!$F$4946&lt;&gt;999,'Data'!$F$4946&lt;&gt;""),'Data'!$F$4946,"")</f>
        <v/>
      </c>
      <c r="Z4945" t="n">
        <v>1</v>
      </c>
      <c r="AA4945">
        <f>IF(ISNUMBER('IN-CLASS_Lab Part C'!$J$4945),'IN-CLASS_Lab Part C'!$J$4945,NA())</f>
        <v/>
      </c>
    </row>
    <row r="4946">
      <c r="J4946">
        <f>IF(AND(ISNUMBER('Data'!$F$4947),'Data'!$F$4947&lt;&gt;999,'Data'!$F$4947&lt;&gt;""),'Data'!$F$4947,"")</f>
        <v/>
      </c>
      <c r="Z4946" t="n">
        <v>1</v>
      </c>
      <c r="AA4946">
        <f>IF(ISNUMBER('IN-CLASS_Lab Part C'!$J$4946),'IN-CLASS_Lab Part C'!$J$4946,NA())</f>
        <v/>
      </c>
    </row>
    <row r="4947">
      <c r="J4947">
        <f>IF(AND(ISNUMBER('Data'!$F$4948),'Data'!$F$4948&lt;&gt;999,'Data'!$F$4948&lt;&gt;""),'Data'!$F$4948,"")</f>
        <v/>
      </c>
      <c r="Z4947" t="n">
        <v>1</v>
      </c>
      <c r="AA4947">
        <f>IF(ISNUMBER('IN-CLASS_Lab Part C'!$J$4947),'IN-CLASS_Lab Part C'!$J$4947,NA())</f>
        <v/>
      </c>
    </row>
    <row r="4948">
      <c r="J4948">
        <f>IF(AND(ISNUMBER('Data'!$F$4949),'Data'!$F$4949&lt;&gt;999,'Data'!$F$4949&lt;&gt;""),'Data'!$F$4949,"")</f>
        <v/>
      </c>
      <c r="Z4948" t="n">
        <v>1</v>
      </c>
      <c r="AA4948">
        <f>IF(ISNUMBER('IN-CLASS_Lab Part C'!$J$4948),'IN-CLASS_Lab Part C'!$J$4948,NA())</f>
        <v/>
      </c>
    </row>
    <row r="4949">
      <c r="J4949">
        <f>IF(AND(ISNUMBER('Data'!$F$4950),'Data'!$F$4950&lt;&gt;999,'Data'!$F$4950&lt;&gt;""),'Data'!$F$4950,"")</f>
        <v/>
      </c>
      <c r="Z4949" t="n">
        <v>1</v>
      </c>
      <c r="AA4949">
        <f>IF(ISNUMBER('IN-CLASS_Lab Part C'!$J$4949),'IN-CLASS_Lab Part C'!$J$4949,NA())</f>
        <v/>
      </c>
    </row>
    <row r="4950">
      <c r="J4950">
        <f>IF(AND(ISNUMBER('Data'!$F$4951),'Data'!$F$4951&lt;&gt;999,'Data'!$F$4951&lt;&gt;""),'Data'!$F$4951,"")</f>
        <v/>
      </c>
      <c r="Z4950" t="n">
        <v>1</v>
      </c>
      <c r="AA4950">
        <f>IF(ISNUMBER('IN-CLASS_Lab Part C'!$J$4950),'IN-CLASS_Lab Part C'!$J$4950,NA())</f>
        <v/>
      </c>
    </row>
    <row r="4951">
      <c r="J4951">
        <f>IF(AND(ISNUMBER('Data'!$F$4952),'Data'!$F$4952&lt;&gt;999,'Data'!$F$4952&lt;&gt;""),'Data'!$F$4952,"")</f>
        <v/>
      </c>
      <c r="Z4951" t="n">
        <v>1</v>
      </c>
      <c r="AA4951">
        <f>IF(ISNUMBER('IN-CLASS_Lab Part C'!$J$4951),'IN-CLASS_Lab Part C'!$J$4951,NA())</f>
        <v/>
      </c>
    </row>
    <row r="4952">
      <c r="J4952">
        <f>IF(AND(ISNUMBER('Data'!$F$4953),'Data'!$F$4953&lt;&gt;999,'Data'!$F$4953&lt;&gt;""),'Data'!$F$4953,"")</f>
        <v/>
      </c>
      <c r="Z4952" t="n">
        <v>1</v>
      </c>
      <c r="AA4952">
        <f>IF(ISNUMBER('IN-CLASS_Lab Part C'!$J$4952),'IN-CLASS_Lab Part C'!$J$4952,NA())</f>
        <v/>
      </c>
    </row>
    <row r="4953">
      <c r="J4953">
        <f>IF(AND(ISNUMBER('Data'!$F$4954),'Data'!$F$4954&lt;&gt;999,'Data'!$F$4954&lt;&gt;""),'Data'!$F$4954,"")</f>
        <v/>
      </c>
      <c r="Z4953" t="n">
        <v>1</v>
      </c>
      <c r="AA4953">
        <f>IF(ISNUMBER('IN-CLASS_Lab Part C'!$J$4953),'IN-CLASS_Lab Part C'!$J$4953,NA())</f>
        <v/>
      </c>
    </row>
    <row r="4954">
      <c r="J4954">
        <f>IF(AND(ISNUMBER('Data'!$F$4955),'Data'!$F$4955&lt;&gt;999,'Data'!$F$4955&lt;&gt;""),'Data'!$F$4955,"")</f>
        <v/>
      </c>
      <c r="Z4954" t="n">
        <v>1</v>
      </c>
      <c r="AA4954">
        <f>IF(ISNUMBER('IN-CLASS_Lab Part C'!$J$4954),'IN-CLASS_Lab Part C'!$J$4954,NA())</f>
        <v/>
      </c>
    </row>
    <row r="4955">
      <c r="J4955">
        <f>IF(AND(ISNUMBER('Data'!$F$4956),'Data'!$F$4956&lt;&gt;999,'Data'!$F$4956&lt;&gt;""),'Data'!$F$4956,"")</f>
        <v/>
      </c>
      <c r="Z4955" t="n">
        <v>1</v>
      </c>
      <c r="AA4955">
        <f>IF(ISNUMBER('IN-CLASS_Lab Part C'!$J$4955),'IN-CLASS_Lab Part C'!$J$4955,NA())</f>
        <v/>
      </c>
    </row>
    <row r="4956">
      <c r="J4956">
        <f>IF(AND(ISNUMBER('Data'!$F$4957),'Data'!$F$4957&lt;&gt;999,'Data'!$F$4957&lt;&gt;""),'Data'!$F$4957,"")</f>
        <v/>
      </c>
      <c r="Z4956" t="n">
        <v>1</v>
      </c>
      <c r="AA4956">
        <f>IF(ISNUMBER('IN-CLASS_Lab Part C'!$J$4956),'IN-CLASS_Lab Part C'!$J$4956,NA())</f>
        <v/>
      </c>
    </row>
    <row r="4957">
      <c r="J4957">
        <f>IF(AND(ISNUMBER('Data'!$F$4958),'Data'!$F$4958&lt;&gt;999,'Data'!$F$4958&lt;&gt;""),'Data'!$F$4958,"")</f>
        <v/>
      </c>
      <c r="Z4957" t="n">
        <v>1</v>
      </c>
      <c r="AA4957">
        <f>IF(ISNUMBER('IN-CLASS_Lab Part C'!$J$4957),'IN-CLASS_Lab Part C'!$J$4957,NA())</f>
        <v/>
      </c>
    </row>
    <row r="4958">
      <c r="J4958">
        <f>IF(AND(ISNUMBER('Data'!$F$4959),'Data'!$F$4959&lt;&gt;999,'Data'!$F$4959&lt;&gt;""),'Data'!$F$4959,"")</f>
        <v/>
      </c>
      <c r="Z4958" t="n">
        <v>1</v>
      </c>
      <c r="AA4958">
        <f>IF(ISNUMBER('IN-CLASS_Lab Part C'!$J$4958),'IN-CLASS_Lab Part C'!$J$4958,NA())</f>
        <v/>
      </c>
    </row>
    <row r="4959">
      <c r="J4959">
        <f>IF(AND(ISNUMBER('Data'!$F$4960),'Data'!$F$4960&lt;&gt;999,'Data'!$F$4960&lt;&gt;""),'Data'!$F$4960,"")</f>
        <v/>
      </c>
      <c r="Z4959" t="n">
        <v>1</v>
      </c>
      <c r="AA4959">
        <f>IF(ISNUMBER('IN-CLASS_Lab Part C'!$J$4959),'IN-CLASS_Lab Part C'!$J$4959,NA())</f>
        <v/>
      </c>
    </row>
    <row r="4960">
      <c r="J4960">
        <f>IF(AND(ISNUMBER('Data'!$F$4961),'Data'!$F$4961&lt;&gt;999,'Data'!$F$4961&lt;&gt;""),'Data'!$F$4961,"")</f>
        <v/>
      </c>
      <c r="Z4960" t="n">
        <v>1</v>
      </c>
      <c r="AA4960">
        <f>IF(ISNUMBER('IN-CLASS_Lab Part C'!$J$4960),'IN-CLASS_Lab Part C'!$J$4960,NA())</f>
        <v/>
      </c>
    </row>
    <row r="4961">
      <c r="J4961">
        <f>IF(AND(ISNUMBER('Data'!$F$4962),'Data'!$F$4962&lt;&gt;999,'Data'!$F$4962&lt;&gt;""),'Data'!$F$4962,"")</f>
        <v/>
      </c>
      <c r="Z4961" t="n">
        <v>1</v>
      </c>
      <c r="AA4961">
        <f>IF(ISNUMBER('IN-CLASS_Lab Part C'!$J$4961),'IN-CLASS_Lab Part C'!$J$4961,NA())</f>
        <v/>
      </c>
    </row>
    <row r="4962">
      <c r="J4962">
        <f>IF(AND(ISNUMBER('Data'!$F$4963),'Data'!$F$4963&lt;&gt;999,'Data'!$F$4963&lt;&gt;""),'Data'!$F$4963,"")</f>
        <v/>
      </c>
      <c r="Z4962" t="n">
        <v>1</v>
      </c>
      <c r="AA4962">
        <f>IF(ISNUMBER('IN-CLASS_Lab Part C'!$J$4962),'IN-CLASS_Lab Part C'!$J$4962,NA())</f>
        <v/>
      </c>
    </row>
    <row r="4963">
      <c r="J4963">
        <f>IF(AND(ISNUMBER('Data'!$F$4964),'Data'!$F$4964&lt;&gt;999,'Data'!$F$4964&lt;&gt;""),'Data'!$F$4964,"")</f>
        <v/>
      </c>
      <c r="Z4963" t="n">
        <v>1</v>
      </c>
      <c r="AA4963">
        <f>IF(ISNUMBER('IN-CLASS_Lab Part C'!$J$4963),'IN-CLASS_Lab Part C'!$J$4963,NA())</f>
        <v/>
      </c>
    </row>
    <row r="4964">
      <c r="J4964">
        <f>IF(AND(ISNUMBER('Data'!$F$4965),'Data'!$F$4965&lt;&gt;999,'Data'!$F$4965&lt;&gt;""),'Data'!$F$4965,"")</f>
        <v/>
      </c>
      <c r="Z4964" t="n">
        <v>1</v>
      </c>
      <c r="AA4964">
        <f>IF(ISNUMBER('IN-CLASS_Lab Part C'!$J$4964),'IN-CLASS_Lab Part C'!$J$4964,NA())</f>
        <v/>
      </c>
    </row>
    <row r="4965">
      <c r="J4965">
        <f>IF(AND(ISNUMBER('Data'!$F$4966),'Data'!$F$4966&lt;&gt;999,'Data'!$F$4966&lt;&gt;""),'Data'!$F$4966,"")</f>
        <v/>
      </c>
      <c r="Z4965" t="n">
        <v>1</v>
      </c>
      <c r="AA4965">
        <f>IF(ISNUMBER('IN-CLASS_Lab Part C'!$J$4965),'IN-CLASS_Lab Part C'!$J$4965,NA())</f>
        <v/>
      </c>
    </row>
    <row r="4966">
      <c r="J4966">
        <f>IF(AND(ISNUMBER('Data'!$F$4967),'Data'!$F$4967&lt;&gt;999,'Data'!$F$4967&lt;&gt;""),'Data'!$F$4967,"")</f>
        <v/>
      </c>
      <c r="Z4966" t="n">
        <v>1</v>
      </c>
      <c r="AA4966">
        <f>IF(ISNUMBER('IN-CLASS_Lab Part C'!$J$4966),'IN-CLASS_Lab Part C'!$J$4966,NA())</f>
        <v/>
      </c>
    </row>
    <row r="4967">
      <c r="J4967">
        <f>IF(AND(ISNUMBER('Data'!$F$4968),'Data'!$F$4968&lt;&gt;999,'Data'!$F$4968&lt;&gt;""),'Data'!$F$4968,"")</f>
        <v/>
      </c>
      <c r="Z4967" t="n">
        <v>1</v>
      </c>
      <c r="AA4967">
        <f>IF(ISNUMBER('IN-CLASS_Lab Part C'!$J$4967),'IN-CLASS_Lab Part C'!$J$4967,NA())</f>
        <v/>
      </c>
    </row>
    <row r="4968">
      <c r="J4968">
        <f>IF(AND(ISNUMBER('Data'!$F$4969),'Data'!$F$4969&lt;&gt;999,'Data'!$F$4969&lt;&gt;""),'Data'!$F$4969,"")</f>
        <v/>
      </c>
      <c r="Z4968" t="n">
        <v>1</v>
      </c>
      <c r="AA4968">
        <f>IF(ISNUMBER('IN-CLASS_Lab Part C'!$J$4968),'IN-CLASS_Lab Part C'!$J$4968,NA())</f>
        <v/>
      </c>
    </row>
    <row r="4969">
      <c r="J4969">
        <f>IF(AND(ISNUMBER('Data'!$F$4970),'Data'!$F$4970&lt;&gt;999,'Data'!$F$4970&lt;&gt;""),'Data'!$F$4970,"")</f>
        <v/>
      </c>
      <c r="Z4969" t="n">
        <v>1</v>
      </c>
      <c r="AA4969">
        <f>IF(ISNUMBER('IN-CLASS_Lab Part C'!$J$4969),'IN-CLASS_Lab Part C'!$J$4969,NA())</f>
        <v/>
      </c>
    </row>
    <row r="4970">
      <c r="J4970">
        <f>IF(AND(ISNUMBER('Data'!$F$4971),'Data'!$F$4971&lt;&gt;999,'Data'!$F$4971&lt;&gt;""),'Data'!$F$4971,"")</f>
        <v/>
      </c>
      <c r="Z4970" t="n">
        <v>1</v>
      </c>
      <c r="AA4970">
        <f>IF(ISNUMBER('IN-CLASS_Lab Part C'!$J$4970),'IN-CLASS_Lab Part C'!$J$4970,NA())</f>
        <v/>
      </c>
    </row>
    <row r="4971">
      <c r="J4971">
        <f>IF(AND(ISNUMBER('Data'!$F$4972),'Data'!$F$4972&lt;&gt;999,'Data'!$F$4972&lt;&gt;""),'Data'!$F$4972,"")</f>
        <v/>
      </c>
      <c r="Z4971" t="n">
        <v>1</v>
      </c>
      <c r="AA4971">
        <f>IF(ISNUMBER('IN-CLASS_Lab Part C'!$J$4971),'IN-CLASS_Lab Part C'!$J$4971,NA())</f>
        <v/>
      </c>
    </row>
    <row r="4972">
      <c r="J4972">
        <f>IF(AND(ISNUMBER('Data'!$F$4973),'Data'!$F$4973&lt;&gt;999,'Data'!$F$4973&lt;&gt;""),'Data'!$F$4973,"")</f>
        <v/>
      </c>
      <c r="Z4972" t="n">
        <v>1</v>
      </c>
      <c r="AA4972">
        <f>IF(ISNUMBER('IN-CLASS_Lab Part C'!$J$4972),'IN-CLASS_Lab Part C'!$J$4972,NA())</f>
        <v/>
      </c>
    </row>
    <row r="4973">
      <c r="J4973">
        <f>IF(AND(ISNUMBER('Data'!$F$4974),'Data'!$F$4974&lt;&gt;999,'Data'!$F$4974&lt;&gt;""),'Data'!$F$4974,"")</f>
        <v/>
      </c>
      <c r="Z4973" t="n">
        <v>1</v>
      </c>
      <c r="AA4973">
        <f>IF(ISNUMBER('IN-CLASS_Lab Part C'!$J$4973),'IN-CLASS_Lab Part C'!$J$4973,NA())</f>
        <v/>
      </c>
    </row>
    <row r="4974">
      <c r="J4974">
        <f>IF(AND(ISNUMBER('Data'!$F$4975),'Data'!$F$4975&lt;&gt;999,'Data'!$F$4975&lt;&gt;""),'Data'!$F$4975,"")</f>
        <v/>
      </c>
      <c r="Z4974" t="n">
        <v>1</v>
      </c>
      <c r="AA4974">
        <f>IF(ISNUMBER('IN-CLASS_Lab Part C'!$J$4974),'IN-CLASS_Lab Part C'!$J$4974,NA())</f>
        <v/>
      </c>
    </row>
    <row r="4975">
      <c r="J4975">
        <f>IF(AND(ISNUMBER('Data'!$F$4976),'Data'!$F$4976&lt;&gt;999,'Data'!$F$4976&lt;&gt;""),'Data'!$F$4976,"")</f>
        <v/>
      </c>
      <c r="Z4975" t="n">
        <v>1</v>
      </c>
      <c r="AA4975">
        <f>IF(ISNUMBER('IN-CLASS_Lab Part C'!$J$4975),'IN-CLASS_Lab Part C'!$J$4975,NA())</f>
        <v/>
      </c>
    </row>
    <row r="4976">
      <c r="J4976">
        <f>IF(AND(ISNUMBER('Data'!$F$4977),'Data'!$F$4977&lt;&gt;999,'Data'!$F$4977&lt;&gt;""),'Data'!$F$4977,"")</f>
        <v/>
      </c>
      <c r="Z4976" t="n">
        <v>1</v>
      </c>
      <c r="AA4976">
        <f>IF(ISNUMBER('IN-CLASS_Lab Part C'!$J$4976),'IN-CLASS_Lab Part C'!$J$4976,NA())</f>
        <v/>
      </c>
    </row>
    <row r="4977">
      <c r="J4977">
        <f>IF(AND(ISNUMBER('Data'!$F$4978),'Data'!$F$4978&lt;&gt;999,'Data'!$F$4978&lt;&gt;""),'Data'!$F$4978,"")</f>
        <v/>
      </c>
      <c r="Z4977" t="n">
        <v>1</v>
      </c>
      <c r="AA4977">
        <f>IF(ISNUMBER('IN-CLASS_Lab Part C'!$J$4977),'IN-CLASS_Lab Part C'!$J$4977,NA())</f>
        <v/>
      </c>
    </row>
    <row r="4978">
      <c r="J4978">
        <f>IF(AND(ISNUMBER('Data'!$F$4979),'Data'!$F$4979&lt;&gt;999,'Data'!$F$4979&lt;&gt;""),'Data'!$F$4979,"")</f>
        <v/>
      </c>
      <c r="Z4978" t="n">
        <v>1</v>
      </c>
      <c r="AA4978">
        <f>IF(ISNUMBER('IN-CLASS_Lab Part C'!$J$4978),'IN-CLASS_Lab Part C'!$J$4978,NA())</f>
        <v/>
      </c>
    </row>
    <row r="4979">
      <c r="J4979">
        <f>IF(AND(ISNUMBER('Data'!$F$4980),'Data'!$F$4980&lt;&gt;999,'Data'!$F$4980&lt;&gt;""),'Data'!$F$4980,"")</f>
        <v/>
      </c>
      <c r="Z4979" t="n">
        <v>1</v>
      </c>
      <c r="AA4979">
        <f>IF(ISNUMBER('IN-CLASS_Lab Part C'!$J$4979),'IN-CLASS_Lab Part C'!$J$4979,NA())</f>
        <v/>
      </c>
    </row>
    <row r="4980">
      <c r="J4980">
        <f>IF(AND(ISNUMBER('Data'!$F$4981),'Data'!$F$4981&lt;&gt;999,'Data'!$F$4981&lt;&gt;""),'Data'!$F$4981,"")</f>
        <v/>
      </c>
      <c r="Z4980" t="n">
        <v>1</v>
      </c>
      <c r="AA4980">
        <f>IF(ISNUMBER('IN-CLASS_Lab Part C'!$J$4980),'IN-CLASS_Lab Part C'!$J$4980,NA())</f>
        <v/>
      </c>
    </row>
    <row r="4981">
      <c r="J4981">
        <f>IF(AND(ISNUMBER('Data'!$F$4982),'Data'!$F$4982&lt;&gt;999,'Data'!$F$4982&lt;&gt;""),'Data'!$F$4982,"")</f>
        <v/>
      </c>
      <c r="Z4981" t="n">
        <v>1</v>
      </c>
      <c r="AA4981">
        <f>IF(ISNUMBER('IN-CLASS_Lab Part C'!$J$4981),'IN-CLASS_Lab Part C'!$J$4981,NA())</f>
        <v/>
      </c>
    </row>
    <row r="4982">
      <c r="J4982">
        <f>IF(AND(ISNUMBER('Data'!$F$4983),'Data'!$F$4983&lt;&gt;999,'Data'!$F$4983&lt;&gt;""),'Data'!$F$4983,"")</f>
        <v/>
      </c>
      <c r="Z4982" t="n">
        <v>1</v>
      </c>
      <c r="AA4982">
        <f>IF(ISNUMBER('IN-CLASS_Lab Part C'!$J$4982),'IN-CLASS_Lab Part C'!$J$4982,NA())</f>
        <v/>
      </c>
    </row>
    <row r="4983">
      <c r="J4983">
        <f>IF(AND(ISNUMBER('Data'!$F$4984),'Data'!$F$4984&lt;&gt;999,'Data'!$F$4984&lt;&gt;""),'Data'!$F$4984,"")</f>
        <v/>
      </c>
      <c r="Z4983" t="n">
        <v>1</v>
      </c>
      <c r="AA4983">
        <f>IF(ISNUMBER('IN-CLASS_Lab Part C'!$J$4983),'IN-CLASS_Lab Part C'!$J$4983,NA())</f>
        <v/>
      </c>
    </row>
    <row r="4984">
      <c r="J4984">
        <f>IF(AND(ISNUMBER('Data'!$F$4985),'Data'!$F$4985&lt;&gt;999,'Data'!$F$4985&lt;&gt;""),'Data'!$F$4985,"")</f>
        <v/>
      </c>
      <c r="Z4984" t="n">
        <v>1</v>
      </c>
      <c r="AA4984">
        <f>IF(ISNUMBER('IN-CLASS_Lab Part C'!$J$4984),'IN-CLASS_Lab Part C'!$J$4984,NA())</f>
        <v/>
      </c>
    </row>
    <row r="4985">
      <c r="J4985">
        <f>IF(AND(ISNUMBER('Data'!$F$4986),'Data'!$F$4986&lt;&gt;999,'Data'!$F$4986&lt;&gt;""),'Data'!$F$4986,"")</f>
        <v/>
      </c>
      <c r="Z4985" t="n">
        <v>1</v>
      </c>
      <c r="AA4985">
        <f>IF(ISNUMBER('IN-CLASS_Lab Part C'!$J$4985),'IN-CLASS_Lab Part C'!$J$4985,NA())</f>
        <v/>
      </c>
    </row>
    <row r="4986">
      <c r="J4986">
        <f>IF(AND(ISNUMBER('Data'!$F$4987),'Data'!$F$4987&lt;&gt;999,'Data'!$F$4987&lt;&gt;""),'Data'!$F$4987,"")</f>
        <v/>
      </c>
      <c r="Z4986" t="n">
        <v>1</v>
      </c>
      <c r="AA4986">
        <f>IF(ISNUMBER('IN-CLASS_Lab Part C'!$J$4986),'IN-CLASS_Lab Part C'!$J$4986,NA())</f>
        <v/>
      </c>
    </row>
    <row r="4987">
      <c r="J4987">
        <f>IF(AND(ISNUMBER('Data'!$F$4988),'Data'!$F$4988&lt;&gt;999,'Data'!$F$4988&lt;&gt;""),'Data'!$F$4988,"")</f>
        <v/>
      </c>
      <c r="Z4987" t="n">
        <v>1</v>
      </c>
      <c r="AA4987">
        <f>IF(ISNUMBER('IN-CLASS_Lab Part C'!$J$4987),'IN-CLASS_Lab Part C'!$J$4987,NA())</f>
        <v/>
      </c>
    </row>
    <row r="4988">
      <c r="J4988">
        <f>IF(AND(ISNUMBER('Data'!$F$4989),'Data'!$F$4989&lt;&gt;999,'Data'!$F$4989&lt;&gt;""),'Data'!$F$4989,"")</f>
        <v/>
      </c>
      <c r="Z4988" t="n">
        <v>1</v>
      </c>
      <c r="AA4988">
        <f>IF(ISNUMBER('IN-CLASS_Lab Part C'!$J$4988),'IN-CLASS_Lab Part C'!$J$4988,NA())</f>
        <v/>
      </c>
    </row>
    <row r="4989">
      <c r="J4989">
        <f>IF(AND(ISNUMBER('Data'!$F$4990),'Data'!$F$4990&lt;&gt;999,'Data'!$F$4990&lt;&gt;""),'Data'!$F$4990,"")</f>
        <v/>
      </c>
      <c r="Z4989" t="n">
        <v>1</v>
      </c>
      <c r="AA4989">
        <f>IF(ISNUMBER('IN-CLASS_Lab Part C'!$J$4989),'IN-CLASS_Lab Part C'!$J$4989,NA())</f>
        <v/>
      </c>
    </row>
    <row r="4990">
      <c r="J4990">
        <f>IF(AND(ISNUMBER('Data'!$F$4991),'Data'!$F$4991&lt;&gt;999,'Data'!$F$4991&lt;&gt;""),'Data'!$F$4991,"")</f>
        <v/>
      </c>
      <c r="Z4990" t="n">
        <v>1</v>
      </c>
      <c r="AA4990">
        <f>IF(ISNUMBER('IN-CLASS_Lab Part C'!$J$4990),'IN-CLASS_Lab Part C'!$J$4990,NA())</f>
        <v/>
      </c>
    </row>
    <row r="4991">
      <c r="J4991">
        <f>IF(AND(ISNUMBER('Data'!$F$4992),'Data'!$F$4992&lt;&gt;999,'Data'!$F$4992&lt;&gt;""),'Data'!$F$4992,"")</f>
        <v/>
      </c>
      <c r="Z4991" t="n">
        <v>1</v>
      </c>
      <c r="AA4991">
        <f>IF(ISNUMBER('IN-CLASS_Lab Part C'!$J$4991),'IN-CLASS_Lab Part C'!$J$4991,NA())</f>
        <v/>
      </c>
    </row>
    <row r="4992">
      <c r="J4992">
        <f>IF(AND(ISNUMBER('Data'!$F$4993),'Data'!$F$4993&lt;&gt;999,'Data'!$F$4993&lt;&gt;""),'Data'!$F$4993,"")</f>
        <v/>
      </c>
      <c r="Z4992" t="n">
        <v>1</v>
      </c>
      <c r="AA4992">
        <f>IF(ISNUMBER('IN-CLASS_Lab Part C'!$J$4992),'IN-CLASS_Lab Part C'!$J$4992,NA())</f>
        <v/>
      </c>
    </row>
    <row r="4993">
      <c r="J4993">
        <f>IF(AND(ISNUMBER('Data'!$F$4994),'Data'!$F$4994&lt;&gt;999,'Data'!$F$4994&lt;&gt;""),'Data'!$F$4994,"")</f>
        <v/>
      </c>
      <c r="Z4993" t="n">
        <v>1</v>
      </c>
      <c r="AA4993">
        <f>IF(ISNUMBER('IN-CLASS_Lab Part C'!$J$4993),'IN-CLASS_Lab Part C'!$J$4993,NA())</f>
        <v/>
      </c>
    </row>
    <row r="4994">
      <c r="J4994">
        <f>IF(AND(ISNUMBER('Data'!$F$4995),'Data'!$F$4995&lt;&gt;999,'Data'!$F$4995&lt;&gt;""),'Data'!$F$4995,"")</f>
        <v/>
      </c>
      <c r="Z4994" t="n">
        <v>1</v>
      </c>
      <c r="AA4994">
        <f>IF(ISNUMBER('IN-CLASS_Lab Part C'!$J$4994),'IN-CLASS_Lab Part C'!$J$4994,NA())</f>
        <v/>
      </c>
    </row>
    <row r="4995">
      <c r="J4995">
        <f>IF(AND(ISNUMBER('Data'!$F$4996),'Data'!$F$4996&lt;&gt;999,'Data'!$F$4996&lt;&gt;""),'Data'!$F$4996,"")</f>
        <v/>
      </c>
      <c r="Z4995" t="n">
        <v>1</v>
      </c>
      <c r="AA4995">
        <f>IF(ISNUMBER('IN-CLASS_Lab Part C'!$J$4995),'IN-CLASS_Lab Part C'!$J$4995,NA())</f>
        <v/>
      </c>
    </row>
    <row r="4996">
      <c r="J4996">
        <f>IF(AND(ISNUMBER('Data'!$F$4997),'Data'!$F$4997&lt;&gt;999,'Data'!$F$4997&lt;&gt;""),'Data'!$F$4997,"")</f>
        <v/>
      </c>
      <c r="Z4996" t="n">
        <v>1</v>
      </c>
      <c r="AA4996">
        <f>IF(ISNUMBER('IN-CLASS_Lab Part C'!$J$4996),'IN-CLASS_Lab Part C'!$J$4996,NA())</f>
        <v/>
      </c>
    </row>
    <row r="4997">
      <c r="J4997">
        <f>IF(AND(ISNUMBER('Data'!$F$4998),'Data'!$F$4998&lt;&gt;999,'Data'!$F$4998&lt;&gt;""),'Data'!$F$4998,"")</f>
        <v/>
      </c>
      <c r="Z4997" t="n">
        <v>1</v>
      </c>
      <c r="AA4997">
        <f>IF(ISNUMBER('IN-CLASS_Lab Part C'!$J$4997),'IN-CLASS_Lab Part C'!$J$4997,NA())</f>
        <v/>
      </c>
    </row>
    <row r="4998">
      <c r="J4998">
        <f>IF(AND(ISNUMBER('Data'!$F$4999),'Data'!$F$4999&lt;&gt;999,'Data'!$F$4999&lt;&gt;""),'Data'!$F$4999,"")</f>
        <v/>
      </c>
      <c r="Z4998" t="n">
        <v>1</v>
      </c>
      <c r="AA4998">
        <f>IF(ISNUMBER('IN-CLASS_Lab Part C'!$J$4998),'IN-CLASS_Lab Part C'!$J$4998,NA())</f>
        <v/>
      </c>
    </row>
    <row r="4999">
      <c r="J4999">
        <f>IF(AND(ISNUMBER('Data'!$F$5000),'Data'!$F$5000&lt;&gt;999,'Data'!$F$5000&lt;&gt;""),'Data'!$F$5000,"")</f>
        <v/>
      </c>
      <c r="Z4999" t="n">
        <v>1</v>
      </c>
      <c r="AA4999">
        <f>IF(ISNUMBER('IN-CLASS_Lab Part C'!$J$4999),'IN-CLASS_Lab Part C'!$J$4999,NA())</f>
        <v/>
      </c>
    </row>
    <row r="5000">
      <c r="J5000">
        <f>IF(AND(ISNUMBER('Data'!$F$5001),'Data'!$F$5001&lt;&gt;999,'Data'!$F$5001&lt;&gt;""),'Data'!$F$5001,"")</f>
        <v/>
      </c>
      <c r="Z5000" t="n">
        <v>1</v>
      </c>
      <c r="AA5000">
        <f>IF(ISNUMBER('IN-CLASS_Lab Part C'!$J$5000),'IN-CLASS_Lab Part C'!$J$5000,NA())</f>
        <v/>
      </c>
    </row>
    <row r="5001">
      <c r="J5001">
        <f>IF(AND(ISNUMBER('Data'!$F$5002),'Data'!$F$5002&lt;&gt;999,'Data'!$F$5002&lt;&gt;""),'Data'!$F$5002,"")</f>
        <v/>
      </c>
      <c r="Z5001" t="n">
        <v>1</v>
      </c>
      <c r="AA5001">
        <f>IF(ISNUMBER('IN-CLASS_Lab Part C'!$J$5001),'IN-CLASS_Lab Part C'!$J$5001,NA())</f>
        <v/>
      </c>
    </row>
    <row r="5002">
      <c r="J5002">
        <f>IF(AND(ISNUMBER('Data'!$F$5003),'Data'!$F$5003&lt;&gt;999,'Data'!$F$5003&lt;&gt;""),'Data'!$F$5003,"")</f>
        <v/>
      </c>
      <c r="Z5002" t="n">
        <v>1</v>
      </c>
      <c r="AA5002">
        <f>IF(ISNUMBER('IN-CLASS_Lab Part C'!$J$5002),'IN-CLASS_Lab Part C'!$J$5002,NA())</f>
        <v/>
      </c>
    </row>
    <row r="5003">
      <c r="J5003">
        <f>IF(AND(ISNUMBER('Data'!$F$5004),'Data'!$F$5004&lt;&gt;999,'Data'!$F$5004&lt;&gt;""),'Data'!$F$5004,"")</f>
        <v/>
      </c>
      <c r="Z5003" t="n">
        <v>1</v>
      </c>
      <c r="AA5003">
        <f>IF(ISNUMBER('IN-CLASS_Lab Part C'!$J$5003),'IN-CLASS_Lab Part C'!$J$5003,NA())</f>
        <v/>
      </c>
    </row>
    <row r="5004">
      <c r="J5004">
        <f>IF(AND(ISNUMBER('Data'!$F$5005),'Data'!$F$5005&lt;&gt;999,'Data'!$F$5005&lt;&gt;""),'Data'!$F$5005,"")</f>
        <v/>
      </c>
      <c r="Z5004" t="n">
        <v>1</v>
      </c>
      <c r="AA5004">
        <f>IF(ISNUMBER('IN-CLASS_Lab Part C'!$J$5004),'IN-CLASS_Lab Part C'!$J$5004,NA())</f>
        <v/>
      </c>
    </row>
    <row r="5005">
      <c r="J5005">
        <f>IF(AND(ISNUMBER('Data'!$F$5006),'Data'!$F$5006&lt;&gt;999,'Data'!$F$5006&lt;&gt;""),'Data'!$F$5006,"")</f>
        <v/>
      </c>
      <c r="Z5005" t="n">
        <v>1</v>
      </c>
      <c r="AA5005">
        <f>IF(ISNUMBER('IN-CLASS_Lab Part C'!$J$5005),'IN-CLASS_Lab Part C'!$J$5005,NA())</f>
        <v/>
      </c>
    </row>
    <row r="5006">
      <c r="J5006">
        <f>IF(AND(ISNUMBER('Data'!$F$5007),'Data'!$F$5007&lt;&gt;999,'Data'!$F$5007&lt;&gt;""),'Data'!$F$5007,"")</f>
        <v/>
      </c>
      <c r="Z5006" t="n">
        <v>1</v>
      </c>
      <c r="AA5006">
        <f>IF(ISNUMBER('IN-CLASS_Lab Part C'!$J$5006),'IN-CLASS_Lab Part C'!$J$5006,NA())</f>
        <v/>
      </c>
    </row>
    <row r="5007">
      <c r="J5007">
        <f>IF(AND(ISNUMBER('Data'!$F$5008),'Data'!$F$5008&lt;&gt;999,'Data'!$F$5008&lt;&gt;""),'Data'!$F$5008,"")</f>
        <v/>
      </c>
      <c r="Z5007" t="n">
        <v>1</v>
      </c>
      <c r="AA5007">
        <f>IF(ISNUMBER('IN-CLASS_Lab Part C'!$J$5007),'IN-CLASS_Lab Part C'!$J$5007,NA())</f>
        <v/>
      </c>
    </row>
    <row r="5008">
      <c r="J5008">
        <f>IF(AND(ISNUMBER('Data'!$F$5009),'Data'!$F$5009&lt;&gt;999,'Data'!$F$5009&lt;&gt;""),'Data'!$F$5009,"")</f>
        <v/>
      </c>
      <c r="Z5008" t="n">
        <v>1</v>
      </c>
      <c r="AA5008">
        <f>IF(ISNUMBER('IN-CLASS_Lab Part C'!$J$5008),'IN-CLASS_Lab Part C'!$J$5008,NA())</f>
        <v/>
      </c>
    </row>
    <row r="5009">
      <c r="J5009">
        <f>IF(AND(ISNUMBER('Data'!$F$5010),'Data'!$F$5010&lt;&gt;999,'Data'!$F$5010&lt;&gt;""),'Data'!$F$5010,"")</f>
        <v/>
      </c>
      <c r="Z5009" t="n">
        <v>1</v>
      </c>
      <c r="AA5009">
        <f>IF(ISNUMBER('IN-CLASS_Lab Part C'!$J$5009),'IN-CLASS_Lab Part C'!$J$5009,NA())</f>
        <v/>
      </c>
    </row>
    <row r="5010">
      <c r="J5010">
        <f>IF(AND(ISNUMBER('Data'!$F$5011),'Data'!$F$5011&lt;&gt;999,'Data'!$F$5011&lt;&gt;""),'Data'!$F$5011,"")</f>
        <v/>
      </c>
      <c r="Z5010" t="n">
        <v>1</v>
      </c>
      <c r="AA5010">
        <f>IF(ISNUMBER('IN-CLASS_Lab Part C'!$J$5010),'IN-CLASS_Lab Part C'!$J$5010,NA())</f>
        <v/>
      </c>
    </row>
    <row r="5011">
      <c r="J5011">
        <f>IF(AND(ISNUMBER('Data'!$F$5012),'Data'!$F$5012&lt;&gt;999,'Data'!$F$5012&lt;&gt;""),'Data'!$F$5012,"")</f>
        <v/>
      </c>
      <c r="Z5011" t="n">
        <v>1</v>
      </c>
      <c r="AA5011">
        <f>IF(ISNUMBER('IN-CLASS_Lab Part C'!$J$5011),'IN-CLASS_Lab Part C'!$J$5011,NA())</f>
        <v/>
      </c>
    </row>
    <row r="5012">
      <c r="J5012">
        <f>IF(AND(ISNUMBER('Data'!$F$5013),'Data'!$F$5013&lt;&gt;999,'Data'!$F$5013&lt;&gt;""),'Data'!$F$5013,"")</f>
        <v/>
      </c>
      <c r="Z5012" t="n">
        <v>1</v>
      </c>
      <c r="AA5012">
        <f>IF(ISNUMBER('IN-CLASS_Lab Part C'!$J$5012),'IN-CLASS_Lab Part C'!$J$5012,NA())</f>
        <v/>
      </c>
    </row>
    <row r="5013">
      <c r="J5013">
        <f>IF(AND(ISNUMBER('Data'!$F$5014),'Data'!$F$5014&lt;&gt;999,'Data'!$F$5014&lt;&gt;""),'Data'!$F$5014,"")</f>
        <v/>
      </c>
      <c r="Z5013" t="n">
        <v>1</v>
      </c>
      <c r="AA5013">
        <f>IF(ISNUMBER('IN-CLASS_Lab Part C'!$J$5013),'IN-CLASS_Lab Part C'!$J$5013,NA())</f>
        <v/>
      </c>
    </row>
    <row r="5014">
      <c r="J5014">
        <f>IF(AND(ISNUMBER('Data'!$F$5015),'Data'!$F$5015&lt;&gt;999,'Data'!$F$5015&lt;&gt;""),'Data'!$F$5015,"")</f>
        <v/>
      </c>
      <c r="Z5014" t="n">
        <v>1</v>
      </c>
      <c r="AA5014">
        <f>IF(ISNUMBER('IN-CLASS_Lab Part C'!$J$5014),'IN-CLASS_Lab Part C'!$J$5014,NA())</f>
        <v/>
      </c>
    </row>
    <row r="5015">
      <c r="J5015">
        <f>IF(AND(ISNUMBER('Data'!$F$5016),'Data'!$F$5016&lt;&gt;999,'Data'!$F$5016&lt;&gt;""),'Data'!$F$5016,"")</f>
        <v/>
      </c>
      <c r="Z5015" t="n">
        <v>1</v>
      </c>
      <c r="AA5015">
        <f>IF(ISNUMBER('IN-CLASS_Lab Part C'!$J$5015),'IN-CLASS_Lab Part C'!$J$5015,NA())</f>
        <v/>
      </c>
    </row>
    <row r="5016">
      <c r="J5016">
        <f>IF(AND(ISNUMBER('Data'!$F$5017),'Data'!$F$5017&lt;&gt;999,'Data'!$F$5017&lt;&gt;""),'Data'!$F$5017,"")</f>
        <v/>
      </c>
      <c r="Z5016" t="n">
        <v>1</v>
      </c>
      <c r="AA5016">
        <f>IF(ISNUMBER('IN-CLASS_Lab Part C'!$J$5016),'IN-CLASS_Lab Part C'!$J$5016,NA())</f>
        <v/>
      </c>
    </row>
    <row r="5017">
      <c r="J5017">
        <f>IF(AND(ISNUMBER('Data'!$F$5018),'Data'!$F$5018&lt;&gt;999,'Data'!$F$5018&lt;&gt;""),'Data'!$F$5018,"")</f>
        <v/>
      </c>
      <c r="Z5017" t="n">
        <v>1</v>
      </c>
      <c r="AA5017">
        <f>IF(ISNUMBER('IN-CLASS_Lab Part C'!$J$5017),'IN-CLASS_Lab Part C'!$J$5017,NA())</f>
        <v/>
      </c>
    </row>
    <row r="5018">
      <c r="J5018">
        <f>IF(AND(ISNUMBER('Data'!$F$5019),'Data'!$F$5019&lt;&gt;999,'Data'!$F$5019&lt;&gt;""),'Data'!$F$5019,"")</f>
        <v/>
      </c>
      <c r="Z5018" t="n">
        <v>1</v>
      </c>
      <c r="AA5018">
        <f>IF(ISNUMBER('IN-CLASS_Lab Part C'!$J$5018),'IN-CLASS_Lab Part C'!$J$5018,NA())</f>
        <v/>
      </c>
    </row>
    <row r="5019">
      <c r="J5019">
        <f>IF(AND(ISNUMBER('Data'!$F$5020),'Data'!$F$5020&lt;&gt;999,'Data'!$F$5020&lt;&gt;""),'Data'!$F$5020,"")</f>
        <v/>
      </c>
      <c r="Z5019" t="n">
        <v>1</v>
      </c>
      <c r="AA5019">
        <f>IF(ISNUMBER('IN-CLASS_Lab Part C'!$J$5019),'IN-CLASS_Lab Part C'!$J$5019,NA())</f>
        <v/>
      </c>
    </row>
    <row r="5020">
      <c r="J5020">
        <f>IF(AND(ISNUMBER('Data'!$F$5021),'Data'!$F$5021&lt;&gt;999,'Data'!$F$5021&lt;&gt;""),'Data'!$F$5021,"")</f>
        <v/>
      </c>
      <c r="Z5020" t="n">
        <v>1</v>
      </c>
      <c r="AA5020">
        <f>IF(ISNUMBER('IN-CLASS_Lab Part C'!$J$5020),'IN-CLASS_Lab Part C'!$J$5020,NA())</f>
        <v/>
      </c>
    </row>
    <row r="5021">
      <c r="J5021">
        <f>IF(AND(ISNUMBER('Data'!$F$5022),'Data'!$F$5022&lt;&gt;999,'Data'!$F$5022&lt;&gt;""),'Data'!$F$5022,"")</f>
        <v/>
      </c>
      <c r="Z5021" t="n">
        <v>1</v>
      </c>
      <c r="AA5021">
        <f>IF(ISNUMBER('IN-CLASS_Lab Part C'!$J$5021),'IN-CLASS_Lab Part C'!$J$5021,NA())</f>
        <v/>
      </c>
    </row>
    <row r="5022">
      <c r="J5022">
        <f>IF(AND(ISNUMBER('Data'!$F$5023),'Data'!$F$5023&lt;&gt;999,'Data'!$F$5023&lt;&gt;""),'Data'!$F$5023,"")</f>
        <v/>
      </c>
      <c r="Z5022" t="n">
        <v>1</v>
      </c>
      <c r="AA5022">
        <f>IF(ISNUMBER('IN-CLASS_Lab Part C'!$J$5022),'IN-CLASS_Lab Part C'!$J$5022,NA())</f>
        <v/>
      </c>
    </row>
    <row r="5023">
      <c r="J5023">
        <f>IF(AND(ISNUMBER('Data'!$F$5024),'Data'!$F$5024&lt;&gt;999,'Data'!$F$5024&lt;&gt;""),'Data'!$F$5024,"")</f>
        <v/>
      </c>
      <c r="Z5023" t="n">
        <v>1</v>
      </c>
      <c r="AA5023">
        <f>IF(ISNUMBER('IN-CLASS_Lab Part C'!$J$5023),'IN-CLASS_Lab Part C'!$J$5023,NA())</f>
        <v/>
      </c>
    </row>
    <row r="5024">
      <c r="J5024">
        <f>IF(AND(ISNUMBER('Data'!$F$5025),'Data'!$F$5025&lt;&gt;999,'Data'!$F$5025&lt;&gt;""),'Data'!$F$5025,"")</f>
        <v/>
      </c>
      <c r="Z5024" t="n">
        <v>1</v>
      </c>
      <c r="AA5024">
        <f>IF(ISNUMBER('IN-CLASS_Lab Part C'!$J$5024),'IN-CLASS_Lab Part C'!$J$5024,NA())</f>
        <v/>
      </c>
    </row>
    <row r="5025">
      <c r="J5025">
        <f>IF(AND(ISNUMBER('Data'!$F$5026),'Data'!$F$5026&lt;&gt;999,'Data'!$F$5026&lt;&gt;""),'Data'!$F$5026,"")</f>
        <v/>
      </c>
      <c r="Z5025" t="n">
        <v>1</v>
      </c>
      <c r="AA5025">
        <f>IF(ISNUMBER('IN-CLASS_Lab Part C'!$J$5025),'IN-CLASS_Lab Part C'!$J$5025,NA())</f>
        <v/>
      </c>
    </row>
    <row r="5026">
      <c r="J5026">
        <f>IF(AND(ISNUMBER('Data'!$F$5027),'Data'!$F$5027&lt;&gt;999,'Data'!$F$5027&lt;&gt;""),'Data'!$F$5027,"")</f>
        <v/>
      </c>
      <c r="Z5026" t="n">
        <v>1</v>
      </c>
      <c r="AA5026">
        <f>IF(ISNUMBER('IN-CLASS_Lab Part C'!$J$5026),'IN-CLASS_Lab Part C'!$J$5026,NA())</f>
        <v/>
      </c>
    </row>
    <row r="5027">
      <c r="J5027">
        <f>IF(AND(ISNUMBER('Data'!$F$5028),'Data'!$F$5028&lt;&gt;999,'Data'!$F$5028&lt;&gt;""),'Data'!$F$5028,"")</f>
        <v/>
      </c>
      <c r="Z5027" t="n">
        <v>1</v>
      </c>
      <c r="AA5027">
        <f>IF(ISNUMBER('IN-CLASS_Lab Part C'!$J$5027),'IN-CLASS_Lab Part C'!$J$5027,NA())</f>
        <v/>
      </c>
    </row>
    <row r="5028">
      <c r="J5028">
        <f>IF(AND(ISNUMBER('Data'!$F$5029),'Data'!$F$5029&lt;&gt;999,'Data'!$F$5029&lt;&gt;""),'Data'!$F$5029,"")</f>
        <v/>
      </c>
      <c r="Z5028" t="n">
        <v>1</v>
      </c>
      <c r="AA5028">
        <f>IF(ISNUMBER('IN-CLASS_Lab Part C'!$J$5028),'IN-CLASS_Lab Part C'!$J$5028,NA())</f>
        <v/>
      </c>
    </row>
    <row r="5029">
      <c r="J5029">
        <f>IF(AND(ISNUMBER('Data'!$F$5030),'Data'!$F$5030&lt;&gt;999,'Data'!$F$5030&lt;&gt;""),'Data'!$F$5030,"")</f>
        <v/>
      </c>
      <c r="Z5029" t="n">
        <v>1</v>
      </c>
      <c r="AA5029">
        <f>IF(ISNUMBER('IN-CLASS_Lab Part C'!$J$5029),'IN-CLASS_Lab Part C'!$J$5029,NA())</f>
        <v/>
      </c>
    </row>
    <row r="5030">
      <c r="J5030">
        <f>IF(AND(ISNUMBER('Data'!$F$5031),'Data'!$F$5031&lt;&gt;999,'Data'!$F$5031&lt;&gt;""),'Data'!$F$5031,"")</f>
        <v/>
      </c>
      <c r="Z5030" t="n">
        <v>1</v>
      </c>
      <c r="AA5030">
        <f>IF(ISNUMBER('IN-CLASS_Lab Part C'!$J$5030),'IN-CLASS_Lab Part C'!$J$5030,NA())</f>
        <v/>
      </c>
    </row>
    <row r="5031">
      <c r="J5031">
        <f>IF(AND(ISNUMBER('Data'!$F$5032),'Data'!$F$5032&lt;&gt;999,'Data'!$F$5032&lt;&gt;""),'Data'!$F$5032,"")</f>
        <v/>
      </c>
      <c r="Z5031" t="n">
        <v>1</v>
      </c>
      <c r="AA5031">
        <f>IF(ISNUMBER('IN-CLASS_Lab Part C'!$J$5031),'IN-CLASS_Lab Part C'!$J$5031,NA())</f>
        <v/>
      </c>
    </row>
    <row r="5032">
      <c r="J5032">
        <f>IF(AND(ISNUMBER('Data'!$F$5033),'Data'!$F$5033&lt;&gt;999,'Data'!$F$5033&lt;&gt;""),'Data'!$F$5033,"")</f>
        <v/>
      </c>
      <c r="Z5032" t="n">
        <v>1</v>
      </c>
      <c r="AA5032">
        <f>IF(ISNUMBER('IN-CLASS_Lab Part C'!$J$5032),'IN-CLASS_Lab Part C'!$J$5032,NA())</f>
        <v/>
      </c>
    </row>
    <row r="5033">
      <c r="J5033">
        <f>IF(AND(ISNUMBER('Data'!$F$5034),'Data'!$F$5034&lt;&gt;999,'Data'!$F$5034&lt;&gt;""),'Data'!$F$5034,"")</f>
        <v/>
      </c>
      <c r="Z5033" t="n">
        <v>1</v>
      </c>
      <c r="AA5033">
        <f>IF(ISNUMBER('IN-CLASS_Lab Part C'!$J$5033),'IN-CLASS_Lab Part C'!$J$5033,NA())</f>
        <v/>
      </c>
    </row>
    <row r="5034">
      <c r="J5034">
        <f>IF(AND(ISNUMBER('Data'!$F$5035),'Data'!$F$5035&lt;&gt;999,'Data'!$F$5035&lt;&gt;""),'Data'!$F$5035,"")</f>
        <v/>
      </c>
      <c r="Z5034" t="n">
        <v>1</v>
      </c>
      <c r="AA5034">
        <f>IF(ISNUMBER('IN-CLASS_Lab Part C'!$J$5034),'IN-CLASS_Lab Part C'!$J$5034,NA())</f>
        <v/>
      </c>
    </row>
    <row r="5035">
      <c r="J5035">
        <f>IF(AND(ISNUMBER('Data'!$F$5036),'Data'!$F$5036&lt;&gt;999,'Data'!$F$5036&lt;&gt;""),'Data'!$F$5036,"")</f>
        <v/>
      </c>
      <c r="Z5035" t="n">
        <v>1</v>
      </c>
      <c r="AA5035">
        <f>IF(ISNUMBER('IN-CLASS_Lab Part C'!$J$5035),'IN-CLASS_Lab Part C'!$J$5035,NA())</f>
        <v/>
      </c>
    </row>
    <row r="5036">
      <c r="J5036">
        <f>IF(AND(ISNUMBER('Data'!$F$5037),'Data'!$F$5037&lt;&gt;999,'Data'!$F$5037&lt;&gt;""),'Data'!$F$5037,"")</f>
        <v/>
      </c>
      <c r="Z5036" t="n">
        <v>1</v>
      </c>
      <c r="AA5036">
        <f>IF(ISNUMBER('IN-CLASS_Lab Part C'!$J$5036),'IN-CLASS_Lab Part C'!$J$5036,NA())</f>
        <v/>
      </c>
    </row>
    <row r="5037">
      <c r="J5037">
        <f>IF(AND(ISNUMBER('Data'!$F$5038),'Data'!$F$5038&lt;&gt;999,'Data'!$F$5038&lt;&gt;""),'Data'!$F$5038,"")</f>
        <v/>
      </c>
      <c r="Z5037" t="n">
        <v>1</v>
      </c>
      <c r="AA5037">
        <f>IF(ISNUMBER('IN-CLASS_Lab Part C'!$J$5037),'IN-CLASS_Lab Part C'!$J$5037,NA())</f>
        <v/>
      </c>
    </row>
    <row r="5038">
      <c r="J5038">
        <f>IF(AND(ISNUMBER('Data'!$F$5039),'Data'!$F$5039&lt;&gt;999,'Data'!$F$5039&lt;&gt;""),'Data'!$F$5039,"")</f>
        <v/>
      </c>
      <c r="Z5038" t="n">
        <v>1</v>
      </c>
      <c r="AA5038">
        <f>IF(ISNUMBER('IN-CLASS_Lab Part C'!$J$5038),'IN-CLASS_Lab Part C'!$J$5038,NA())</f>
        <v/>
      </c>
    </row>
    <row r="5039">
      <c r="J5039">
        <f>IF(AND(ISNUMBER('Data'!$F$5040),'Data'!$F$5040&lt;&gt;999,'Data'!$F$5040&lt;&gt;""),'Data'!$F$5040,"")</f>
        <v/>
      </c>
      <c r="Z5039" t="n">
        <v>1</v>
      </c>
      <c r="AA5039">
        <f>IF(ISNUMBER('IN-CLASS_Lab Part C'!$J$5039),'IN-CLASS_Lab Part C'!$J$5039,NA())</f>
        <v/>
      </c>
    </row>
    <row r="5040">
      <c r="J5040">
        <f>IF(AND(ISNUMBER('Data'!$F$5041),'Data'!$F$5041&lt;&gt;999,'Data'!$F$5041&lt;&gt;""),'Data'!$F$5041,"")</f>
        <v/>
      </c>
      <c r="Z5040" t="n">
        <v>1</v>
      </c>
      <c r="AA5040">
        <f>IF(ISNUMBER('IN-CLASS_Lab Part C'!$J$5040),'IN-CLASS_Lab Part C'!$J$5040,NA())</f>
        <v/>
      </c>
    </row>
    <row r="5041">
      <c r="J5041">
        <f>IF(AND(ISNUMBER('Data'!$F$5042),'Data'!$F$5042&lt;&gt;999,'Data'!$F$5042&lt;&gt;""),'Data'!$F$5042,"")</f>
        <v/>
      </c>
      <c r="Z5041" t="n">
        <v>1</v>
      </c>
      <c r="AA5041">
        <f>IF(ISNUMBER('IN-CLASS_Lab Part C'!$J$5041),'IN-CLASS_Lab Part C'!$J$5041,NA())</f>
        <v/>
      </c>
    </row>
    <row r="5042">
      <c r="J5042">
        <f>IF(AND(ISNUMBER('Data'!$F$5043),'Data'!$F$5043&lt;&gt;999,'Data'!$F$5043&lt;&gt;""),'Data'!$F$5043,"")</f>
        <v/>
      </c>
      <c r="Z5042" t="n">
        <v>1</v>
      </c>
      <c r="AA5042">
        <f>IF(ISNUMBER('IN-CLASS_Lab Part C'!$J$5042),'IN-CLASS_Lab Part C'!$J$5042,NA())</f>
        <v/>
      </c>
    </row>
    <row r="5043">
      <c r="J5043">
        <f>IF(AND(ISNUMBER('Data'!$F$5044),'Data'!$F$5044&lt;&gt;999,'Data'!$F$5044&lt;&gt;""),'Data'!$F$5044,"")</f>
        <v/>
      </c>
      <c r="Z5043" t="n">
        <v>1</v>
      </c>
      <c r="AA5043">
        <f>IF(ISNUMBER('IN-CLASS_Lab Part C'!$J$5043),'IN-CLASS_Lab Part C'!$J$5043,NA())</f>
        <v/>
      </c>
    </row>
    <row r="5044">
      <c r="J5044">
        <f>IF(AND(ISNUMBER('Data'!$F$5045),'Data'!$F$5045&lt;&gt;999,'Data'!$F$5045&lt;&gt;""),'Data'!$F$5045,"")</f>
        <v/>
      </c>
      <c r="Z5044" t="n">
        <v>1</v>
      </c>
      <c r="AA5044">
        <f>IF(ISNUMBER('IN-CLASS_Lab Part C'!$J$5044),'IN-CLASS_Lab Part C'!$J$5044,NA())</f>
        <v/>
      </c>
    </row>
    <row r="5045">
      <c r="J5045">
        <f>IF(AND(ISNUMBER('Data'!$F$5046),'Data'!$F$5046&lt;&gt;999,'Data'!$F$5046&lt;&gt;""),'Data'!$F$5046,"")</f>
        <v/>
      </c>
      <c r="Z5045" t="n">
        <v>1</v>
      </c>
      <c r="AA5045">
        <f>IF(ISNUMBER('IN-CLASS_Lab Part C'!$J$5045),'IN-CLASS_Lab Part C'!$J$5045,NA())</f>
        <v/>
      </c>
    </row>
    <row r="5046">
      <c r="J5046">
        <f>IF(AND(ISNUMBER('Data'!$F$5047),'Data'!$F$5047&lt;&gt;999,'Data'!$F$5047&lt;&gt;""),'Data'!$F$5047,"")</f>
        <v/>
      </c>
      <c r="Z5046" t="n">
        <v>1</v>
      </c>
      <c r="AA5046">
        <f>IF(ISNUMBER('IN-CLASS_Lab Part C'!$J$5046),'IN-CLASS_Lab Part C'!$J$5046,NA())</f>
        <v/>
      </c>
    </row>
    <row r="5047">
      <c r="J5047">
        <f>IF(AND(ISNUMBER('Data'!$F$5048),'Data'!$F$5048&lt;&gt;999,'Data'!$F$5048&lt;&gt;""),'Data'!$F$5048,"")</f>
        <v/>
      </c>
      <c r="Z5047" t="n">
        <v>1</v>
      </c>
      <c r="AA5047">
        <f>IF(ISNUMBER('IN-CLASS_Lab Part C'!$J$5047),'IN-CLASS_Lab Part C'!$J$5047,NA())</f>
        <v/>
      </c>
    </row>
    <row r="5048">
      <c r="J5048">
        <f>IF(AND(ISNUMBER('Data'!$F$5049),'Data'!$F$5049&lt;&gt;999,'Data'!$F$5049&lt;&gt;""),'Data'!$F$5049,"")</f>
        <v/>
      </c>
      <c r="Z5048" t="n">
        <v>1</v>
      </c>
      <c r="AA5048">
        <f>IF(ISNUMBER('IN-CLASS_Lab Part C'!$J$5048),'IN-CLASS_Lab Part C'!$J$5048,NA())</f>
        <v/>
      </c>
    </row>
    <row r="5049">
      <c r="J5049">
        <f>IF(AND(ISNUMBER('Data'!$F$5050),'Data'!$F$5050&lt;&gt;999,'Data'!$F$5050&lt;&gt;""),'Data'!$F$5050,"")</f>
        <v/>
      </c>
      <c r="Z5049" t="n">
        <v>1</v>
      </c>
      <c r="AA5049">
        <f>IF(ISNUMBER('IN-CLASS_Lab Part C'!$J$5049),'IN-CLASS_Lab Part C'!$J$5049,NA())</f>
        <v/>
      </c>
    </row>
    <row r="5050">
      <c r="J5050">
        <f>IF(AND(ISNUMBER('Data'!$F$5051),'Data'!$F$5051&lt;&gt;999,'Data'!$F$5051&lt;&gt;""),'Data'!$F$5051,"")</f>
        <v/>
      </c>
      <c r="Z5050" t="n">
        <v>1</v>
      </c>
      <c r="AA5050">
        <f>IF(ISNUMBER('IN-CLASS_Lab Part C'!$J$5050),'IN-CLASS_Lab Part C'!$J$5050,NA())</f>
        <v/>
      </c>
    </row>
    <row r="5051">
      <c r="J5051">
        <f>IF(AND(ISNUMBER('Data'!$F$5052),'Data'!$F$5052&lt;&gt;999,'Data'!$F$5052&lt;&gt;""),'Data'!$F$5052,"")</f>
        <v/>
      </c>
      <c r="Z5051" t="n">
        <v>1</v>
      </c>
      <c r="AA5051">
        <f>IF(ISNUMBER('IN-CLASS_Lab Part C'!$J$5051),'IN-CLASS_Lab Part C'!$J$5051,NA())</f>
        <v/>
      </c>
    </row>
    <row r="5052">
      <c r="J5052">
        <f>IF(AND(ISNUMBER('Data'!$F$5053),'Data'!$F$5053&lt;&gt;999,'Data'!$F$5053&lt;&gt;""),'Data'!$F$5053,"")</f>
        <v/>
      </c>
      <c r="Z5052" t="n">
        <v>1</v>
      </c>
      <c r="AA5052">
        <f>IF(ISNUMBER('IN-CLASS_Lab Part C'!$J$5052),'IN-CLASS_Lab Part C'!$J$5052,NA())</f>
        <v/>
      </c>
    </row>
    <row r="5053">
      <c r="J5053">
        <f>IF(AND(ISNUMBER('Data'!$F$5054),'Data'!$F$5054&lt;&gt;999,'Data'!$F$5054&lt;&gt;""),'Data'!$F$5054,"")</f>
        <v/>
      </c>
      <c r="Z5053" t="n">
        <v>1</v>
      </c>
      <c r="AA5053">
        <f>IF(ISNUMBER('IN-CLASS_Lab Part C'!$J$5053),'IN-CLASS_Lab Part C'!$J$5053,NA())</f>
        <v/>
      </c>
    </row>
    <row r="5054">
      <c r="J5054">
        <f>IF(AND(ISNUMBER('Data'!$F$5055),'Data'!$F$5055&lt;&gt;999,'Data'!$F$5055&lt;&gt;""),'Data'!$F$5055,"")</f>
        <v/>
      </c>
      <c r="Z5054" t="n">
        <v>1</v>
      </c>
      <c r="AA5054">
        <f>IF(ISNUMBER('IN-CLASS_Lab Part C'!$J$5054),'IN-CLASS_Lab Part C'!$J$5054,NA())</f>
        <v/>
      </c>
    </row>
    <row r="5055">
      <c r="J5055">
        <f>IF(AND(ISNUMBER('Data'!$F$5056),'Data'!$F$5056&lt;&gt;999,'Data'!$F$5056&lt;&gt;""),'Data'!$F$5056,"")</f>
        <v/>
      </c>
      <c r="Z5055" t="n">
        <v>1</v>
      </c>
      <c r="AA5055">
        <f>IF(ISNUMBER('IN-CLASS_Lab Part C'!$J$5055),'IN-CLASS_Lab Part C'!$J$5055,NA())</f>
        <v/>
      </c>
    </row>
    <row r="5056">
      <c r="J5056">
        <f>IF(AND(ISNUMBER('Data'!$F$5057),'Data'!$F$5057&lt;&gt;999,'Data'!$F$5057&lt;&gt;""),'Data'!$F$5057,"")</f>
        <v/>
      </c>
      <c r="Z5056" t="n">
        <v>1</v>
      </c>
      <c r="AA5056">
        <f>IF(ISNUMBER('IN-CLASS_Lab Part C'!$J$5056),'IN-CLASS_Lab Part C'!$J$5056,NA())</f>
        <v/>
      </c>
    </row>
    <row r="5057">
      <c r="J5057">
        <f>IF(AND(ISNUMBER('Data'!$F$5058),'Data'!$F$5058&lt;&gt;999,'Data'!$F$5058&lt;&gt;""),'Data'!$F$5058,"")</f>
        <v/>
      </c>
      <c r="Z5057" t="n">
        <v>1</v>
      </c>
      <c r="AA5057">
        <f>IF(ISNUMBER('IN-CLASS_Lab Part C'!$J$5057),'IN-CLASS_Lab Part C'!$J$5057,NA())</f>
        <v/>
      </c>
    </row>
    <row r="5058">
      <c r="J5058">
        <f>IF(AND(ISNUMBER('Data'!$F$5059),'Data'!$F$5059&lt;&gt;999,'Data'!$F$5059&lt;&gt;""),'Data'!$F$5059,"")</f>
        <v/>
      </c>
      <c r="Z5058" t="n">
        <v>1</v>
      </c>
      <c r="AA5058">
        <f>IF(ISNUMBER('IN-CLASS_Lab Part C'!$J$5058),'IN-CLASS_Lab Part C'!$J$5058,NA())</f>
        <v/>
      </c>
    </row>
    <row r="5059">
      <c r="J5059">
        <f>IF(AND(ISNUMBER('Data'!$F$5060),'Data'!$F$5060&lt;&gt;999,'Data'!$F$5060&lt;&gt;""),'Data'!$F$5060,"")</f>
        <v/>
      </c>
      <c r="Z5059" t="n">
        <v>1</v>
      </c>
      <c r="AA5059">
        <f>IF(ISNUMBER('IN-CLASS_Lab Part C'!$J$5059),'IN-CLASS_Lab Part C'!$J$5059,NA())</f>
        <v/>
      </c>
    </row>
    <row r="5060">
      <c r="J5060">
        <f>IF(AND(ISNUMBER('Data'!$F$5061),'Data'!$F$5061&lt;&gt;999,'Data'!$F$5061&lt;&gt;""),'Data'!$F$5061,"")</f>
        <v/>
      </c>
      <c r="Z5060" t="n">
        <v>1</v>
      </c>
      <c r="AA5060">
        <f>IF(ISNUMBER('IN-CLASS_Lab Part C'!$J$5060),'IN-CLASS_Lab Part C'!$J$5060,NA())</f>
        <v/>
      </c>
    </row>
    <row r="5061">
      <c r="J5061">
        <f>IF(AND(ISNUMBER('Data'!$F$5062),'Data'!$F$5062&lt;&gt;999,'Data'!$F$5062&lt;&gt;""),'Data'!$F$5062,"")</f>
        <v/>
      </c>
      <c r="Z5061" t="n">
        <v>1</v>
      </c>
      <c r="AA5061">
        <f>IF(ISNUMBER('IN-CLASS_Lab Part C'!$J$5061),'IN-CLASS_Lab Part C'!$J$5061,NA())</f>
        <v/>
      </c>
    </row>
    <row r="5062">
      <c r="J5062">
        <f>IF(AND(ISNUMBER('Data'!$F$5063),'Data'!$F$5063&lt;&gt;999,'Data'!$F$5063&lt;&gt;""),'Data'!$F$5063,"")</f>
        <v/>
      </c>
      <c r="Z5062" t="n">
        <v>1</v>
      </c>
      <c r="AA5062">
        <f>IF(ISNUMBER('IN-CLASS_Lab Part C'!$J$5062),'IN-CLASS_Lab Part C'!$J$5062,NA())</f>
        <v/>
      </c>
    </row>
    <row r="5063">
      <c r="J5063">
        <f>IF(AND(ISNUMBER('Data'!$F$5064),'Data'!$F$5064&lt;&gt;999,'Data'!$F$5064&lt;&gt;""),'Data'!$F$5064,"")</f>
        <v/>
      </c>
      <c r="Z5063" t="n">
        <v>1</v>
      </c>
      <c r="AA5063">
        <f>IF(ISNUMBER('IN-CLASS_Lab Part C'!$J$5063),'IN-CLASS_Lab Part C'!$J$5063,NA())</f>
        <v/>
      </c>
    </row>
    <row r="5064">
      <c r="J5064">
        <f>IF(AND(ISNUMBER('Data'!$F$5065),'Data'!$F$5065&lt;&gt;999,'Data'!$F$5065&lt;&gt;""),'Data'!$F$5065,"")</f>
        <v/>
      </c>
      <c r="Z5064" t="n">
        <v>1</v>
      </c>
      <c r="AA5064">
        <f>IF(ISNUMBER('IN-CLASS_Lab Part C'!$J$5064),'IN-CLASS_Lab Part C'!$J$5064,NA())</f>
        <v/>
      </c>
    </row>
    <row r="5065">
      <c r="J5065">
        <f>IF(AND(ISNUMBER('Data'!$F$5066),'Data'!$F$5066&lt;&gt;999,'Data'!$F$5066&lt;&gt;""),'Data'!$F$5066,"")</f>
        <v/>
      </c>
      <c r="Z5065" t="n">
        <v>1</v>
      </c>
      <c r="AA5065">
        <f>IF(ISNUMBER('IN-CLASS_Lab Part C'!$J$5065),'IN-CLASS_Lab Part C'!$J$5065,NA())</f>
        <v/>
      </c>
    </row>
    <row r="5066">
      <c r="J5066">
        <f>IF(AND(ISNUMBER('Data'!$F$5067),'Data'!$F$5067&lt;&gt;999,'Data'!$F$5067&lt;&gt;""),'Data'!$F$5067,"")</f>
        <v/>
      </c>
      <c r="Z5066" t="n">
        <v>1</v>
      </c>
      <c r="AA5066">
        <f>IF(ISNUMBER('IN-CLASS_Lab Part C'!$J$5066),'IN-CLASS_Lab Part C'!$J$5066,NA())</f>
        <v/>
      </c>
    </row>
    <row r="5067">
      <c r="J5067">
        <f>IF(AND(ISNUMBER('Data'!$F$5068),'Data'!$F$5068&lt;&gt;999,'Data'!$F$5068&lt;&gt;""),'Data'!$F$5068,"")</f>
        <v/>
      </c>
      <c r="Z5067" t="n">
        <v>1</v>
      </c>
      <c r="AA5067">
        <f>IF(ISNUMBER('IN-CLASS_Lab Part C'!$J$5067),'IN-CLASS_Lab Part C'!$J$5067,NA())</f>
        <v/>
      </c>
    </row>
    <row r="5068">
      <c r="J5068">
        <f>IF(AND(ISNUMBER('Data'!$F$5069),'Data'!$F$5069&lt;&gt;999,'Data'!$F$5069&lt;&gt;""),'Data'!$F$5069,"")</f>
        <v/>
      </c>
      <c r="Z5068" t="n">
        <v>1</v>
      </c>
      <c r="AA5068">
        <f>IF(ISNUMBER('IN-CLASS_Lab Part C'!$J$5068),'IN-CLASS_Lab Part C'!$J$5068,NA())</f>
        <v/>
      </c>
    </row>
    <row r="5069">
      <c r="J5069">
        <f>IF(AND(ISNUMBER('Data'!$F$5070),'Data'!$F$5070&lt;&gt;999,'Data'!$F$5070&lt;&gt;""),'Data'!$F$5070,"")</f>
        <v/>
      </c>
      <c r="Z5069" t="n">
        <v>1</v>
      </c>
      <c r="AA5069">
        <f>IF(ISNUMBER('IN-CLASS_Lab Part C'!$J$5069),'IN-CLASS_Lab Part C'!$J$5069,NA())</f>
        <v/>
      </c>
    </row>
    <row r="5070">
      <c r="J5070">
        <f>IF(AND(ISNUMBER('Data'!$F$5071),'Data'!$F$5071&lt;&gt;999,'Data'!$F$5071&lt;&gt;""),'Data'!$F$5071,"")</f>
        <v/>
      </c>
      <c r="Z5070" t="n">
        <v>1</v>
      </c>
      <c r="AA5070">
        <f>IF(ISNUMBER('IN-CLASS_Lab Part C'!$J$5070),'IN-CLASS_Lab Part C'!$J$5070,NA())</f>
        <v/>
      </c>
    </row>
    <row r="5071">
      <c r="J5071">
        <f>IF(AND(ISNUMBER('Data'!$F$5072),'Data'!$F$5072&lt;&gt;999,'Data'!$F$5072&lt;&gt;""),'Data'!$F$5072,"")</f>
        <v/>
      </c>
      <c r="Z5071" t="n">
        <v>1</v>
      </c>
      <c r="AA5071">
        <f>IF(ISNUMBER('IN-CLASS_Lab Part C'!$J$5071),'IN-CLASS_Lab Part C'!$J$5071,NA())</f>
        <v/>
      </c>
    </row>
    <row r="5072">
      <c r="J5072">
        <f>IF(AND(ISNUMBER('Data'!$F$5073),'Data'!$F$5073&lt;&gt;999,'Data'!$F$5073&lt;&gt;""),'Data'!$F$5073,"")</f>
        <v/>
      </c>
      <c r="Z5072" t="n">
        <v>1</v>
      </c>
      <c r="AA5072">
        <f>IF(ISNUMBER('IN-CLASS_Lab Part C'!$J$5072),'IN-CLASS_Lab Part C'!$J$5072,NA())</f>
        <v/>
      </c>
    </row>
    <row r="5073">
      <c r="J5073">
        <f>IF(AND(ISNUMBER('Data'!$F$5074),'Data'!$F$5074&lt;&gt;999,'Data'!$F$5074&lt;&gt;""),'Data'!$F$5074,"")</f>
        <v/>
      </c>
      <c r="Z5073" t="n">
        <v>1</v>
      </c>
      <c r="AA5073">
        <f>IF(ISNUMBER('IN-CLASS_Lab Part C'!$J$5073),'IN-CLASS_Lab Part C'!$J$5073,NA())</f>
        <v/>
      </c>
    </row>
    <row r="5074">
      <c r="J5074">
        <f>IF(AND(ISNUMBER('Data'!$F$5075),'Data'!$F$5075&lt;&gt;999,'Data'!$F$5075&lt;&gt;""),'Data'!$F$5075,"")</f>
        <v/>
      </c>
      <c r="Z5074" t="n">
        <v>1</v>
      </c>
      <c r="AA5074">
        <f>IF(ISNUMBER('IN-CLASS_Lab Part C'!$J$5074),'IN-CLASS_Lab Part C'!$J$5074,NA())</f>
        <v/>
      </c>
    </row>
    <row r="5075">
      <c r="J5075">
        <f>IF(AND(ISNUMBER('Data'!$F$5076),'Data'!$F$5076&lt;&gt;999,'Data'!$F$5076&lt;&gt;""),'Data'!$F$5076,"")</f>
        <v/>
      </c>
      <c r="Z5075" t="n">
        <v>1</v>
      </c>
      <c r="AA5075">
        <f>IF(ISNUMBER('IN-CLASS_Lab Part C'!$J$5075),'IN-CLASS_Lab Part C'!$J$5075,NA())</f>
        <v/>
      </c>
    </row>
    <row r="5076">
      <c r="J5076">
        <f>IF(AND(ISNUMBER('Data'!$F$5077),'Data'!$F$5077&lt;&gt;999,'Data'!$F$5077&lt;&gt;""),'Data'!$F$5077,"")</f>
        <v/>
      </c>
      <c r="Z5076" t="n">
        <v>1</v>
      </c>
      <c r="AA5076">
        <f>IF(ISNUMBER('IN-CLASS_Lab Part C'!$J$5076),'IN-CLASS_Lab Part C'!$J$5076,NA())</f>
        <v/>
      </c>
    </row>
    <row r="5077">
      <c r="J5077">
        <f>IF(AND(ISNUMBER('Data'!$F$5078),'Data'!$F$5078&lt;&gt;999,'Data'!$F$5078&lt;&gt;""),'Data'!$F$5078,"")</f>
        <v/>
      </c>
      <c r="Z5077" t="n">
        <v>1</v>
      </c>
      <c r="AA5077">
        <f>IF(ISNUMBER('IN-CLASS_Lab Part C'!$J$5077),'IN-CLASS_Lab Part C'!$J$5077,NA())</f>
        <v/>
      </c>
    </row>
    <row r="5078">
      <c r="J5078">
        <f>IF(AND(ISNUMBER('Data'!$F$5079),'Data'!$F$5079&lt;&gt;999,'Data'!$F$5079&lt;&gt;""),'Data'!$F$5079,"")</f>
        <v/>
      </c>
      <c r="Z5078" t="n">
        <v>1</v>
      </c>
      <c r="AA5078">
        <f>IF(ISNUMBER('IN-CLASS_Lab Part C'!$J$5078),'IN-CLASS_Lab Part C'!$J$5078,NA())</f>
        <v/>
      </c>
    </row>
    <row r="5079">
      <c r="J5079">
        <f>IF(AND(ISNUMBER('Data'!$F$5080),'Data'!$F$5080&lt;&gt;999,'Data'!$F$5080&lt;&gt;""),'Data'!$F$5080,"")</f>
        <v/>
      </c>
      <c r="Z5079" t="n">
        <v>1</v>
      </c>
      <c r="AA5079">
        <f>IF(ISNUMBER('IN-CLASS_Lab Part C'!$J$5079),'IN-CLASS_Lab Part C'!$J$5079,NA())</f>
        <v/>
      </c>
    </row>
    <row r="5080">
      <c r="J5080">
        <f>IF(AND(ISNUMBER('Data'!$F$5081),'Data'!$F$5081&lt;&gt;999,'Data'!$F$5081&lt;&gt;""),'Data'!$F$5081,"")</f>
        <v/>
      </c>
      <c r="Z5080" t="n">
        <v>1</v>
      </c>
      <c r="AA5080">
        <f>IF(ISNUMBER('IN-CLASS_Lab Part C'!$J$5080),'IN-CLASS_Lab Part C'!$J$5080,NA())</f>
        <v/>
      </c>
    </row>
    <row r="5081">
      <c r="J5081">
        <f>IF(AND(ISNUMBER('Data'!$F$5082),'Data'!$F$5082&lt;&gt;999,'Data'!$F$5082&lt;&gt;""),'Data'!$F$5082,"")</f>
        <v/>
      </c>
      <c r="Z5081" t="n">
        <v>1</v>
      </c>
      <c r="AA5081">
        <f>IF(ISNUMBER('IN-CLASS_Lab Part C'!$J$5081),'IN-CLASS_Lab Part C'!$J$5081,NA())</f>
        <v/>
      </c>
    </row>
    <row r="5082">
      <c r="J5082">
        <f>IF(AND(ISNUMBER('Data'!$F$5083),'Data'!$F$5083&lt;&gt;999,'Data'!$F$5083&lt;&gt;""),'Data'!$F$5083,"")</f>
        <v/>
      </c>
      <c r="Z5082" t="n">
        <v>1</v>
      </c>
      <c r="AA5082">
        <f>IF(ISNUMBER('IN-CLASS_Lab Part C'!$J$5082),'IN-CLASS_Lab Part C'!$J$5082,NA())</f>
        <v/>
      </c>
    </row>
    <row r="5083">
      <c r="J5083">
        <f>IF(AND(ISNUMBER('Data'!$F$5084),'Data'!$F$5084&lt;&gt;999,'Data'!$F$5084&lt;&gt;""),'Data'!$F$5084,"")</f>
        <v/>
      </c>
      <c r="Z5083" t="n">
        <v>1</v>
      </c>
      <c r="AA5083">
        <f>IF(ISNUMBER('IN-CLASS_Lab Part C'!$J$5083),'IN-CLASS_Lab Part C'!$J$5083,NA())</f>
        <v/>
      </c>
    </row>
    <row r="5084">
      <c r="J5084">
        <f>IF(AND(ISNUMBER('Data'!$F$5085),'Data'!$F$5085&lt;&gt;999,'Data'!$F$5085&lt;&gt;""),'Data'!$F$5085,"")</f>
        <v/>
      </c>
      <c r="Z5084" t="n">
        <v>1</v>
      </c>
      <c r="AA5084">
        <f>IF(ISNUMBER('IN-CLASS_Lab Part C'!$J$5084),'IN-CLASS_Lab Part C'!$J$5084,NA())</f>
        <v/>
      </c>
    </row>
    <row r="5085">
      <c r="J5085">
        <f>IF(AND(ISNUMBER('Data'!$F$5086),'Data'!$F$5086&lt;&gt;999,'Data'!$F$5086&lt;&gt;""),'Data'!$F$5086,"")</f>
        <v/>
      </c>
      <c r="Z5085" t="n">
        <v>1</v>
      </c>
      <c r="AA5085">
        <f>IF(ISNUMBER('IN-CLASS_Lab Part C'!$J$5085),'IN-CLASS_Lab Part C'!$J$5085,NA())</f>
        <v/>
      </c>
    </row>
    <row r="5086">
      <c r="J5086">
        <f>IF(AND(ISNUMBER('Data'!$F$5087),'Data'!$F$5087&lt;&gt;999,'Data'!$F$5087&lt;&gt;""),'Data'!$F$5087,"")</f>
        <v/>
      </c>
      <c r="Z5086" t="n">
        <v>1</v>
      </c>
      <c r="AA5086">
        <f>IF(ISNUMBER('IN-CLASS_Lab Part C'!$J$5086),'IN-CLASS_Lab Part C'!$J$5086,NA())</f>
        <v/>
      </c>
    </row>
    <row r="5087">
      <c r="J5087">
        <f>IF(AND(ISNUMBER('Data'!$F$5088),'Data'!$F$5088&lt;&gt;999,'Data'!$F$5088&lt;&gt;""),'Data'!$F$5088,"")</f>
        <v/>
      </c>
      <c r="Z5087" t="n">
        <v>1</v>
      </c>
      <c r="AA5087">
        <f>IF(ISNUMBER('IN-CLASS_Lab Part C'!$J$5087),'IN-CLASS_Lab Part C'!$J$5087,NA())</f>
        <v/>
      </c>
    </row>
    <row r="5088">
      <c r="J5088">
        <f>IF(AND(ISNUMBER('Data'!$F$5089),'Data'!$F$5089&lt;&gt;999,'Data'!$F$5089&lt;&gt;""),'Data'!$F$5089,"")</f>
        <v/>
      </c>
      <c r="Z5088" t="n">
        <v>1</v>
      </c>
      <c r="AA5088">
        <f>IF(ISNUMBER('IN-CLASS_Lab Part C'!$J$5088),'IN-CLASS_Lab Part C'!$J$5088,NA())</f>
        <v/>
      </c>
    </row>
    <row r="5089">
      <c r="J5089">
        <f>IF(AND(ISNUMBER('Data'!$F$5090),'Data'!$F$5090&lt;&gt;999,'Data'!$F$5090&lt;&gt;""),'Data'!$F$5090,"")</f>
        <v/>
      </c>
      <c r="Z5089" t="n">
        <v>1</v>
      </c>
      <c r="AA5089">
        <f>IF(ISNUMBER('IN-CLASS_Lab Part C'!$J$5089),'IN-CLASS_Lab Part C'!$J$5089,NA())</f>
        <v/>
      </c>
    </row>
    <row r="5090">
      <c r="J5090">
        <f>IF(AND(ISNUMBER('Data'!$F$5091),'Data'!$F$5091&lt;&gt;999,'Data'!$F$5091&lt;&gt;""),'Data'!$F$5091,"")</f>
        <v/>
      </c>
      <c r="Z5090" t="n">
        <v>1</v>
      </c>
      <c r="AA5090">
        <f>IF(ISNUMBER('IN-CLASS_Lab Part C'!$J$5090),'IN-CLASS_Lab Part C'!$J$5090,NA())</f>
        <v/>
      </c>
    </row>
    <row r="5091">
      <c r="J5091">
        <f>IF(AND(ISNUMBER('Data'!$F$5092),'Data'!$F$5092&lt;&gt;999,'Data'!$F$5092&lt;&gt;""),'Data'!$F$5092,"")</f>
        <v/>
      </c>
      <c r="Z5091" t="n">
        <v>1</v>
      </c>
      <c r="AA5091">
        <f>IF(ISNUMBER('IN-CLASS_Lab Part C'!$J$5091),'IN-CLASS_Lab Part C'!$J$5091,NA())</f>
        <v/>
      </c>
    </row>
    <row r="5092">
      <c r="J5092">
        <f>IF(AND(ISNUMBER('Data'!$F$5093),'Data'!$F$5093&lt;&gt;999,'Data'!$F$5093&lt;&gt;""),'Data'!$F$5093,"")</f>
        <v/>
      </c>
      <c r="Z5092" t="n">
        <v>1</v>
      </c>
      <c r="AA5092">
        <f>IF(ISNUMBER('IN-CLASS_Lab Part C'!$J$5092),'IN-CLASS_Lab Part C'!$J$5092,NA())</f>
        <v/>
      </c>
    </row>
    <row r="5093">
      <c r="J5093">
        <f>IF(AND(ISNUMBER('Data'!$F$5094),'Data'!$F$5094&lt;&gt;999,'Data'!$F$5094&lt;&gt;""),'Data'!$F$5094,"")</f>
        <v/>
      </c>
      <c r="Z5093" t="n">
        <v>1</v>
      </c>
      <c r="AA5093">
        <f>IF(ISNUMBER('IN-CLASS_Lab Part C'!$J$5093),'IN-CLASS_Lab Part C'!$J$5093,NA())</f>
        <v/>
      </c>
    </row>
    <row r="5094">
      <c r="J5094">
        <f>IF(AND(ISNUMBER('Data'!$F$5095),'Data'!$F$5095&lt;&gt;999,'Data'!$F$5095&lt;&gt;""),'Data'!$F$5095,"")</f>
        <v/>
      </c>
      <c r="Z5094" t="n">
        <v>1</v>
      </c>
      <c r="AA5094">
        <f>IF(ISNUMBER('IN-CLASS_Lab Part C'!$J$5094),'IN-CLASS_Lab Part C'!$J$5094,NA())</f>
        <v/>
      </c>
    </row>
    <row r="5095">
      <c r="J5095">
        <f>IF(AND(ISNUMBER('Data'!$F$5096),'Data'!$F$5096&lt;&gt;999,'Data'!$F$5096&lt;&gt;""),'Data'!$F$5096,"")</f>
        <v/>
      </c>
      <c r="Z5095" t="n">
        <v>1</v>
      </c>
      <c r="AA5095">
        <f>IF(ISNUMBER('IN-CLASS_Lab Part C'!$J$5095),'IN-CLASS_Lab Part C'!$J$5095,NA())</f>
        <v/>
      </c>
    </row>
    <row r="5096">
      <c r="J5096">
        <f>IF(AND(ISNUMBER('Data'!$F$5097),'Data'!$F$5097&lt;&gt;999,'Data'!$F$5097&lt;&gt;""),'Data'!$F$5097,"")</f>
        <v/>
      </c>
      <c r="Z5096" t="n">
        <v>1</v>
      </c>
      <c r="AA5096">
        <f>IF(ISNUMBER('IN-CLASS_Lab Part C'!$J$5096),'IN-CLASS_Lab Part C'!$J$5096,NA())</f>
        <v/>
      </c>
    </row>
    <row r="5097">
      <c r="J5097">
        <f>IF(AND(ISNUMBER('Data'!$F$5098),'Data'!$F$5098&lt;&gt;999,'Data'!$F$5098&lt;&gt;""),'Data'!$F$5098,"")</f>
        <v/>
      </c>
      <c r="Z5097" t="n">
        <v>1</v>
      </c>
      <c r="AA5097">
        <f>IF(ISNUMBER('IN-CLASS_Lab Part C'!$J$5097),'IN-CLASS_Lab Part C'!$J$5097,NA())</f>
        <v/>
      </c>
    </row>
    <row r="5098">
      <c r="J5098">
        <f>IF(AND(ISNUMBER('Data'!$F$5099),'Data'!$F$5099&lt;&gt;999,'Data'!$F$5099&lt;&gt;""),'Data'!$F$5099,"")</f>
        <v/>
      </c>
      <c r="Z5098" t="n">
        <v>1</v>
      </c>
      <c r="AA5098">
        <f>IF(ISNUMBER('IN-CLASS_Lab Part C'!$J$5098),'IN-CLASS_Lab Part C'!$J$5098,NA())</f>
        <v/>
      </c>
    </row>
    <row r="5099">
      <c r="J5099">
        <f>IF(AND(ISNUMBER('Data'!$F$5100),'Data'!$F$5100&lt;&gt;999,'Data'!$F$5100&lt;&gt;""),'Data'!$F$5100,"")</f>
        <v/>
      </c>
      <c r="Z5099" t="n">
        <v>1</v>
      </c>
      <c r="AA5099">
        <f>IF(ISNUMBER('IN-CLASS_Lab Part C'!$J$5099),'IN-CLASS_Lab Part C'!$J$5099,NA())</f>
        <v/>
      </c>
    </row>
    <row r="5100">
      <c r="J5100">
        <f>IF(AND(ISNUMBER('Data'!$F$5101),'Data'!$F$5101&lt;&gt;999,'Data'!$F$5101&lt;&gt;""),'Data'!$F$5101,"")</f>
        <v/>
      </c>
      <c r="Z5100" t="n">
        <v>1</v>
      </c>
      <c r="AA5100">
        <f>IF(ISNUMBER('IN-CLASS_Lab Part C'!$J$5100),'IN-CLASS_Lab Part C'!$J$5100,NA())</f>
        <v/>
      </c>
    </row>
    <row r="5101">
      <c r="J5101">
        <f>IF(AND(ISNUMBER('Data'!$F$5102),'Data'!$F$5102&lt;&gt;999,'Data'!$F$5102&lt;&gt;""),'Data'!$F$5102,"")</f>
        <v/>
      </c>
      <c r="Z5101" t="n">
        <v>1</v>
      </c>
      <c r="AA5101">
        <f>IF(ISNUMBER('IN-CLASS_Lab Part C'!$J$5101),'IN-CLASS_Lab Part C'!$J$5101,NA())</f>
        <v/>
      </c>
    </row>
    <row r="5102">
      <c r="J5102">
        <f>IF(AND(ISNUMBER('Data'!$F$5103),'Data'!$F$5103&lt;&gt;999,'Data'!$F$5103&lt;&gt;""),'Data'!$F$5103,"")</f>
        <v/>
      </c>
      <c r="Z5102" t="n">
        <v>1</v>
      </c>
      <c r="AA5102">
        <f>IF(ISNUMBER('IN-CLASS_Lab Part C'!$J$5102),'IN-CLASS_Lab Part C'!$J$5102,NA())</f>
        <v/>
      </c>
    </row>
    <row r="5103">
      <c r="J5103">
        <f>IF(AND(ISNUMBER('Data'!$F$5104),'Data'!$F$5104&lt;&gt;999,'Data'!$F$5104&lt;&gt;""),'Data'!$F$5104,"")</f>
        <v/>
      </c>
      <c r="Z5103" t="n">
        <v>1</v>
      </c>
      <c r="AA5103">
        <f>IF(ISNUMBER('IN-CLASS_Lab Part C'!$J$5103),'IN-CLASS_Lab Part C'!$J$5103,NA())</f>
        <v/>
      </c>
    </row>
    <row r="5104">
      <c r="J5104">
        <f>IF(AND(ISNUMBER('Data'!$F$5105),'Data'!$F$5105&lt;&gt;999,'Data'!$F$5105&lt;&gt;""),'Data'!$F$5105,"")</f>
        <v/>
      </c>
      <c r="Z5104" t="n">
        <v>1</v>
      </c>
      <c r="AA5104">
        <f>IF(ISNUMBER('IN-CLASS_Lab Part C'!$J$5104),'IN-CLASS_Lab Part C'!$J$5104,NA())</f>
        <v/>
      </c>
    </row>
    <row r="5105">
      <c r="J5105">
        <f>IF(AND(ISNUMBER('Data'!$F$5106),'Data'!$F$5106&lt;&gt;999,'Data'!$F$5106&lt;&gt;""),'Data'!$F$5106,"")</f>
        <v/>
      </c>
      <c r="Z5105" t="n">
        <v>1</v>
      </c>
      <c r="AA5105">
        <f>IF(ISNUMBER('IN-CLASS_Lab Part C'!$J$5105),'IN-CLASS_Lab Part C'!$J$5105,NA())</f>
        <v/>
      </c>
    </row>
    <row r="5106">
      <c r="J5106">
        <f>IF(AND(ISNUMBER('Data'!$F$5107),'Data'!$F$5107&lt;&gt;999,'Data'!$F$5107&lt;&gt;""),'Data'!$F$5107,"")</f>
        <v/>
      </c>
      <c r="Z5106" t="n">
        <v>1</v>
      </c>
      <c r="AA5106">
        <f>IF(ISNUMBER('IN-CLASS_Lab Part C'!$J$5106),'IN-CLASS_Lab Part C'!$J$5106,NA())</f>
        <v/>
      </c>
    </row>
    <row r="5107">
      <c r="J5107">
        <f>IF(AND(ISNUMBER('Data'!$F$5108),'Data'!$F$5108&lt;&gt;999,'Data'!$F$5108&lt;&gt;""),'Data'!$F$5108,"")</f>
        <v/>
      </c>
      <c r="Z5107" t="n">
        <v>1</v>
      </c>
      <c r="AA5107">
        <f>IF(ISNUMBER('IN-CLASS_Lab Part C'!$J$5107),'IN-CLASS_Lab Part C'!$J$5107,NA())</f>
        <v/>
      </c>
    </row>
    <row r="5108">
      <c r="J5108">
        <f>IF(AND(ISNUMBER('Data'!$F$5109),'Data'!$F$5109&lt;&gt;999,'Data'!$F$5109&lt;&gt;""),'Data'!$F$5109,"")</f>
        <v/>
      </c>
      <c r="Z5108" t="n">
        <v>1</v>
      </c>
      <c r="AA5108">
        <f>IF(ISNUMBER('IN-CLASS_Lab Part C'!$J$5108),'IN-CLASS_Lab Part C'!$J$5108,NA())</f>
        <v/>
      </c>
    </row>
    <row r="5109">
      <c r="J5109">
        <f>IF(AND(ISNUMBER('Data'!$F$5110),'Data'!$F$5110&lt;&gt;999,'Data'!$F$5110&lt;&gt;""),'Data'!$F$5110,"")</f>
        <v/>
      </c>
      <c r="Z5109" t="n">
        <v>1</v>
      </c>
      <c r="AA5109">
        <f>IF(ISNUMBER('IN-CLASS_Lab Part C'!$J$5109),'IN-CLASS_Lab Part C'!$J$5109,NA())</f>
        <v/>
      </c>
    </row>
    <row r="5110">
      <c r="J5110">
        <f>IF(AND(ISNUMBER('Data'!$F$5111),'Data'!$F$5111&lt;&gt;999,'Data'!$F$5111&lt;&gt;""),'Data'!$F$5111,"")</f>
        <v/>
      </c>
      <c r="Z5110" t="n">
        <v>1</v>
      </c>
      <c r="AA5110">
        <f>IF(ISNUMBER('IN-CLASS_Lab Part C'!$J$5110),'IN-CLASS_Lab Part C'!$J$5110,NA())</f>
        <v/>
      </c>
    </row>
    <row r="5111">
      <c r="J5111">
        <f>IF(AND(ISNUMBER('Data'!$F$5112),'Data'!$F$5112&lt;&gt;999,'Data'!$F$5112&lt;&gt;""),'Data'!$F$5112,"")</f>
        <v/>
      </c>
      <c r="Z5111" t="n">
        <v>1</v>
      </c>
      <c r="AA5111">
        <f>IF(ISNUMBER('IN-CLASS_Lab Part C'!$J$5111),'IN-CLASS_Lab Part C'!$J$5111,NA())</f>
        <v/>
      </c>
    </row>
    <row r="5112">
      <c r="J5112">
        <f>IF(AND(ISNUMBER('Data'!$F$5113),'Data'!$F$5113&lt;&gt;999,'Data'!$F$5113&lt;&gt;""),'Data'!$F$5113,"")</f>
        <v/>
      </c>
      <c r="Z5112" t="n">
        <v>1</v>
      </c>
      <c r="AA5112">
        <f>IF(ISNUMBER('IN-CLASS_Lab Part C'!$J$5112),'IN-CLASS_Lab Part C'!$J$5112,NA())</f>
        <v/>
      </c>
    </row>
    <row r="5113">
      <c r="J5113">
        <f>IF(AND(ISNUMBER('Data'!$F$5114),'Data'!$F$5114&lt;&gt;999,'Data'!$F$5114&lt;&gt;""),'Data'!$F$5114,"")</f>
        <v/>
      </c>
      <c r="Z5113" t="n">
        <v>1</v>
      </c>
      <c r="AA5113">
        <f>IF(ISNUMBER('IN-CLASS_Lab Part C'!$J$5113),'IN-CLASS_Lab Part C'!$J$5113,NA())</f>
        <v/>
      </c>
    </row>
    <row r="5114">
      <c r="J5114">
        <f>IF(AND(ISNUMBER('Data'!$F$5115),'Data'!$F$5115&lt;&gt;999,'Data'!$F$5115&lt;&gt;""),'Data'!$F$5115,"")</f>
        <v/>
      </c>
      <c r="Z5114" t="n">
        <v>1</v>
      </c>
      <c r="AA5114">
        <f>IF(ISNUMBER('IN-CLASS_Lab Part C'!$J$5114),'IN-CLASS_Lab Part C'!$J$5114,NA())</f>
        <v/>
      </c>
    </row>
    <row r="5115">
      <c r="J5115">
        <f>IF(AND(ISNUMBER('Data'!$F$5116),'Data'!$F$5116&lt;&gt;999,'Data'!$F$5116&lt;&gt;""),'Data'!$F$5116,"")</f>
        <v/>
      </c>
      <c r="Z5115" t="n">
        <v>1</v>
      </c>
      <c r="AA5115">
        <f>IF(ISNUMBER('IN-CLASS_Lab Part C'!$J$5115),'IN-CLASS_Lab Part C'!$J$5115,NA())</f>
        <v/>
      </c>
    </row>
    <row r="5116">
      <c r="J5116">
        <f>IF(AND(ISNUMBER('Data'!$F$5117),'Data'!$F$5117&lt;&gt;999,'Data'!$F$5117&lt;&gt;""),'Data'!$F$5117,"")</f>
        <v/>
      </c>
      <c r="Z5116" t="n">
        <v>1</v>
      </c>
      <c r="AA5116">
        <f>IF(ISNUMBER('IN-CLASS_Lab Part C'!$J$5116),'IN-CLASS_Lab Part C'!$J$5116,NA())</f>
        <v/>
      </c>
    </row>
    <row r="5117">
      <c r="J5117">
        <f>IF(AND(ISNUMBER('Data'!$F$5118),'Data'!$F$5118&lt;&gt;999,'Data'!$F$5118&lt;&gt;""),'Data'!$F$5118,"")</f>
        <v/>
      </c>
      <c r="Z5117" t="n">
        <v>1</v>
      </c>
      <c r="AA5117">
        <f>IF(ISNUMBER('IN-CLASS_Lab Part C'!$J$5117),'IN-CLASS_Lab Part C'!$J$5117,NA())</f>
        <v/>
      </c>
    </row>
    <row r="5118">
      <c r="J5118">
        <f>IF(AND(ISNUMBER('Data'!$F$5119),'Data'!$F$5119&lt;&gt;999,'Data'!$F$5119&lt;&gt;""),'Data'!$F$5119,"")</f>
        <v/>
      </c>
      <c r="Z5118" t="n">
        <v>1</v>
      </c>
      <c r="AA5118">
        <f>IF(ISNUMBER('IN-CLASS_Lab Part C'!$J$5118),'IN-CLASS_Lab Part C'!$J$5118,NA())</f>
        <v/>
      </c>
    </row>
    <row r="5119">
      <c r="J5119">
        <f>IF(AND(ISNUMBER('Data'!$F$5120),'Data'!$F$5120&lt;&gt;999,'Data'!$F$5120&lt;&gt;""),'Data'!$F$5120,"")</f>
        <v/>
      </c>
      <c r="Z5119" t="n">
        <v>1</v>
      </c>
      <c r="AA5119">
        <f>IF(ISNUMBER('IN-CLASS_Lab Part C'!$J$5119),'IN-CLASS_Lab Part C'!$J$5119,NA())</f>
        <v/>
      </c>
    </row>
    <row r="5120">
      <c r="J5120">
        <f>IF(AND(ISNUMBER('Data'!$F$5121),'Data'!$F$5121&lt;&gt;999,'Data'!$F$5121&lt;&gt;""),'Data'!$F$5121,"")</f>
        <v/>
      </c>
      <c r="Z5120" t="n">
        <v>1</v>
      </c>
      <c r="AA5120">
        <f>IF(ISNUMBER('IN-CLASS_Lab Part C'!$J$5120),'IN-CLASS_Lab Part C'!$J$5120,NA())</f>
        <v/>
      </c>
    </row>
    <row r="5121">
      <c r="J5121">
        <f>IF(AND(ISNUMBER('Data'!$F$5122),'Data'!$F$5122&lt;&gt;999,'Data'!$F$5122&lt;&gt;""),'Data'!$F$5122,"")</f>
        <v/>
      </c>
      <c r="Z5121" t="n">
        <v>1</v>
      </c>
      <c r="AA5121">
        <f>IF(ISNUMBER('IN-CLASS_Lab Part C'!$J$5121),'IN-CLASS_Lab Part C'!$J$5121,NA())</f>
        <v/>
      </c>
    </row>
    <row r="5122">
      <c r="J5122">
        <f>IF(AND(ISNUMBER('Data'!$F$5123),'Data'!$F$5123&lt;&gt;999,'Data'!$F$5123&lt;&gt;""),'Data'!$F$5123,"")</f>
        <v/>
      </c>
      <c r="Z5122" t="n">
        <v>1</v>
      </c>
      <c r="AA5122">
        <f>IF(ISNUMBER('IN-CLASS_Lab Part C'!$J$5122),'IN-CLASS_Lab Part C'!$J$5122,NA())</f>
        <v/>
      </c>
    </row>
    <row r="5123">
      <c r="J5123">
        <f>IF(AND(ISNUMBER('Data'!$F$5124),'Data'!$F$5124&lt;&gt;999,'Data'!$F$5124&lt;&gt;""),'Data'!$F$5124,"")</f>
        <v/>
      </c>
      <c r="Z5123" t="n">
        <v>1</v>
      </c>
      <c r="AA5123">
        <f>IF(ISNUMBER('IN-CLASS_Lab Part C'!$J$5123),'IN-CLASS_Lab Part C'!$J$5123,NA())</f>
        <v/>
      </c>
    </row>
    <row r="5124">
      <c r="J5124">
        <f>IF(AND(ISNUMBER('Data'!$F$5125),'Data'!$F$5125&lt;&gt;999,'Data'!$F$5125&lt;&gt;""),'Data'!$F$5125,"")</f>
        <v/>
      </c>
      <c r="Z5124" t="n">
        <v>1</v>
      </c>
      <c r="AA5124">
        <f>IF(ISNUMBER('IN-CLASS_Lab Part C'!$J$5124),'IN-CLASS_Lab Part C'!$J$5124,NA())</f>
        <v/>
      </c>
    </row>
    <row r="5125">
      <c r="J5125">
        <f>IF(AND(ISNUMBER('Data'!$F$5126),'Data'!$F$5126&lt;&gt;999,'Data'!$F$5126&lt;&gt;""),'Data'!$F$5126,"")</f>
        <v/>
      </c>
      <c r="Z5125" t="n">
        <v>1</v>
      </c>
      <c r="AA5125">
        <f>IF(ISNUMBER('IN-CLASS_Lab Part C'!$J$5125),'IN-CLASS_Lab Part C'!$J$5125,NA())</f>
        <v/>
      </c>
    </row>
    <row r="5126">
      <c r="J5126">
        <f>IF(AND(ISNUMBER('Data'!$F$5127),'Data'!$F$5127&lt;&gt;999,'Data'!$F$5127&lt;&gt;""),'Data'!$F$5127,"")</f>
        <v/>
      </c>
      <c r="Z5126" t="n">
        <v>1</v>
      </c>
      <c r="AA5126">
        <f>IF(ISNUMBER('IN-CLASS_Lab Part C'!$J$5126),'IN-CLASS_Lab Part C'!$J$5126,NA())</f>
        <v/>
      </c>
    </row>
    <row r="5127">
      <c r="J5127">
        <f>IF(AND(ISNUMBER('Data'!$F$5128),'Data'!$F$5128&lt;&gt;999,'Data'!$F$5128&lt;&gt;""),'Data'!$F$5128,"")</f>
        <v/>
      </c>
      <c r="Z5127" t="n">
        <v>1</v>
      </c>
      <c r="AA5127">
        <f>IF(ISNUMBER('IN-CLASS_Lab Part C'!$J$5127),'IN-CLASS_Lab Part C'!$J$5127,NA())</f>
        <v/>
      </c>
    </row>
    <row r="5128">
      <c r="J5128">
        <f>IF(AND(ISNUMBER('Data'!$F$5129),'Data'!$F$5129&lt;&gt;999,'Data'!$F$5129&lt;&gt;""),'Data'!$F$5129,"")</f>
        <v/>
      </c>
      <c r="Z5128" t="n">
        <v>1</v>
      </c>
      <c r="AA5128">
        <f>IF(ISNUMBER('IN-CLASS_Lab Part C'!$J$5128),'IN-CLASS_Lab Part C'!$J$5128,NA())</f>
        <v/>
      </c>
    </row>
    <row r="5129">
      <c r="J5129">
        <f>IF(AND(ISNUMBER('Data'!$F$5130),'Data'!$F$5130&lt;&gt;999,'Data'!$F$5130&lt;&gt;""),'Data'!$F$5130,"")</f>
        <v/>
      </c>
      <c r="Z5129" t="n">
        <v>1</v>
      </c>
      <c r="AA5129">
        <f>IF(ISNUMBER('IN-CLASS_Lab Part C'!$J$5129),'IN-CLASS_Lab Part C'!$J$5129,NA())</f>
        <v/>
      </c>
    </row>
    <row r="5130">
      <c r="J5130">
        <f>IF(AND(ISNUMBER('Data'!$F$5131),'Data'!$F$5131&lt;&gt;999,'Data'!$F$5131&lt;&gt;""),'Data'!$F$5131,"")</f>
        <v/>
      </c>
      <c r="Z5130" t="n">
        <v>1</v>
      </c>
      <c r="AA5130">
        <f>IF(ISNUMBER('IN-CLASS_Lab Part C'!$J$5130),'IN-CLASS_Lab Part C'!$J$5130,NA())</f>
        <v/>
      </c>
    </row>
    <row r="5131">
      <c r="J5131">
        <f>IF(AND(ISNUMBER('Data'!$F$5132),'Data'!$F$5132&lt;&gt;999,'Data'!$F$5132&lt;&gt;""),'Data'!$F$5132,"")</f>
        <v/>
      </c>
      <c r="Z5131" t="n">
        <v>1</v>
      </c>
      <c r="AA5131">
        <f>IF(ISNUMBER('IN-CLASS_Lab Part C'!$J$5131),'IN-CLASS_Lab Part C'!$J$5131,NA())</f>
        <v/>
      </c>
    </row>
    <row r="5132">
      <c r="J5132">
        <f>IF(AND(ISNUMBER('Data'!$F$5133),'Data'!$F$5133&lt;&gt;999,'Data'!$F$5133&lt;&gt;""),'Data'!$F$5133,"")</f>
        <v/>
      </c>
      <c r="Z5132" t="n">
        <v>1</v>
      </c>
      <c r="AA5132">
        <f>IF(ISNUMBER('IN-CLASS_Lab Part C'!$J$5132),'IN-CLASS_Lab Part C'!$J$5132,NA())</f>
        <v/>
      </c>
    </row>
    <row r="5133">
      <c r="J5133">
        <f>IF(AND(ISNUMBER('Data'!$F$5134),'Data'!$F$5134&lt;&gt;999,'Data'!$F$5134&lt;&gt;""),'Data'!$F$5134,"")</f>
        <v/>
      </c>
      <c r="Z5133" t="n">
        <v>1</v>
      </c>
      <c r="AA5133">
        <f>IF(ISNUMBER('IN-CLASS_Lab Part C'!$J$5133),'IN-CLASS_Lab Part C'!$J$5133,NA())</f>
        <v/>
      </c>
    </row>
    <row r="5134">
      <c r="J5134">
        <f>IF(AND(ISNUMBER('Data'!$F$5135),'Data'!$F$5135&lt;&gt;999,'Data'!$F$5135&lt;&gt;""),'Data'!$F$5135,"")</f>
        <v/>
      </c>
      <c r="Z5134" t="n">
        <v>1</v>
      </c>
      <c r="AA5134">
        <f>IF(ISNUMBER('IN-CLASS_Lab Part C'!$J$5134),'IN-CLASS_Lab Part C'!$J$5134,NA())</f>
        <v/>
      </c>
    </row>
    <row r="5135">
      <c r="J5135">
        <f>IF(AND(ISNUMBER('Data'!$F$5136),'Data'!$F$5136&lt;&gt;999,'Data'!$F$5136&lt;&gt;""),'Data'!$F$5136,"")</f>
        <v/>
      </c>
      <c r="Z5135" t="n">
        <v>1</v>
      </c>
      <c r="AA5135">
        <f>IF(ISNUMBER('IN-CLASS_Lab Part C'!$J$5135),'IN-CLASS_Lab Part C'!$J$5135,NA())</f>
        <v/>
      </c>
    </row>
    <row r="5136">
      <c r="J5136">
        <f>IF(AND(ISNUMBER('Data'!$F$5137),'Data'!$F$5137&lt;&gt;999,'Data'!$F$5137&lt;&gt;""),'Data'!$F$5137,"")</f>
        <v/>
      </c>
      <c r="Z5136" t="n">
        <v>1</v>
      </c>
      <c r="AA5136">
        <f>IF(ISNUMBER('IN-CLASS_Lab Part C'!$J$5136),'IN-CLASS_Lab Part C'!$J$5136,NA())</f>
        <v/>
      </c>
    </row>
    <row r="5137">
      <c r="J5137">
        <f>IF(AND(ISNUMBER('Data'!$F$5138),'Data'!$F$5138&lt;&gt;999,'Data'!$F$5138&lt;&gt;""),'Data'!$F$5138,"")</f>
        <v/>
      </c>
      <c r="Z5137" t="n">
        <v>1</v>
      </c>
      <c r="AA5137">
        <f>IF(ISNUMBER('IN-CLASS_Lab Part C'!$J$5137),'IN-CLASS_Lab Part C'!$J$5137,NA())</f>
        <v/>
      </c>
    </row>
    <row r="5138">
      <c r="J5138">
        <f>IF(AND(ISNUMBER('Data'!$F$5139),'Data'!$F$5139&lt;&gt;999,'Data'!$F$5139&lt;&gt;""),'Data'!$F$5139,"")</f>
        <v/>
      </c>
      <c r="Z5138" t="n">
        <v>1</v>
      </c>
      <c r="AA5138">
        <f>IF(ISNUMBER('IN-CLASS_Lab Part C'!$J$5138),'IN-CLASS_Lab Part C'!$J$5138,NA())</f>
        <v/>
      </c>
    </row>
    <row r="5139">
      <c r="J5139">
        <f>IF(AND(ISNUMBER('Data'!$F$5140),'Data'!$F$5140&lt;&gt;999,'Data'!$F$5140&lt;&gt;""),'Data'!$F$5140,"")</f>
        <v/>
      </c>
      <c r="Z5139" t="n">
        <v>1</v>
      </c>
      <c r="AA5139">
        <f>IF(ISNUMBER('IN-CLASS_Lab Part C'!$J$5139),'IN-CLASS_Lab Part C'!$J$5139,NA())</f>
        <v/>
      </c>
    </row>
    <row r="5140">
      <c r="J5140">
        <f>IF(AND(ISNUMBER('Data'!$F$5141),'Data'!$F$5141&lt;&gt;999,'Data'!$F$5141&lt;&gt;""),'Data'!$F$5141,"")</f>
        <v/>
      </c>
      <c r="Z5140" t="n">
        <v>1</v>
      </c>
      <c r="AA5140">
        <f>IF(ISNUMBER('IN-CLASS_Lab Part C'!$J$5140),'IN-CLASS_Lab Part C'!$J$5140,NA())</f>
        <v/>
      </c>
    </row>
    <row r="5141">
      <c r="J5141">
        <f>IF(AND(ISNUMBER('Data'!$F$5142),'Data'!$F$5142&lt;&gt;999,'Data'!$F$5142&lt;&gt;""),'Data'!$F$5142,"")</f>
        <v/>
      </c>
      <c r="Z5141" t="n">
        <v>1</v>
      </c>
      <c r="AA5141">
        <f>IF(ISNUMBER('IN-CLASS_Lab Part C'!$J$5141),'IN-CLASS_Lab Part C'!$J$5141,NA())</f>
        <v/>
      </c>
    </row>
    <row r="5142">
      <c r="J5142">
        <f>IF(AND(ISNUMBER('Data'!$F$5143),'Data'!$F$5143&lt;&gt;999,'Data'!$F$5143&lt;&gt;""),'Data'!$F$5143,"")</f>
        <v/>
      </c>
      <c r="Z5142" t="n">
        <v>1</v>
      </c>
      <c r="AA5142">
        <f>IF(ISNUMBER('IN-CLASS_Lab Part C'!$J$5142),'IN-CLASS_Lab Part C'!$J$5142,NA())</f>
        <v/>
      </c>
    </row>
    <row r="5143">
      <c r="J5143">
        <f>IF(AND(ISNUMBER('Data'!$F$5144),'Data'!$F$5144&lt;&gt;999,'Data'!$F$5144&lt;&gt;""),'Data'!$F$5144,"")</f>
        <v/>
      </c>
      <c r="Z5143" t="n">
        <v>1</v>
      </c>
      <c r="AA5143">
        <f>IF(ISNUMBER('IN-CLASS_Lab Part C'!$J$5143),'IN-CLASS_Lab Part C'!$J$5143,NA())</f>
        <v/>
      </c>
    </row>
    <row r="5144">
      <c r="J5144">
        <f>IF(AND(ISNUMBER('Data'!$F$5145),'Data'!$F$5145&lt;&gt;999,'Data'!$F$5145&lt;&gt;""),'Data'!$F$5145,"")</f>
        <v/>
      </c>
      <c r="Z5144" t="n">
        <v>1</v>
      </c>
      <c r="AA5144">
        <f>IF(ISNUMBER('IN-CLASS_Lab Part C'!$J$5144),'IN-CLASS_Lab Part C'!$J$5144,NA())</f>
        <v/>
      </c>
    </row>
    <row r="5145">
      <c r="J5145">
        <f>IF(AND(ISNUMBER('Data'!$F$5146),'Data'!$F$5146&lt;&gt;999,'Data'!$F$5146&lt;&gt;""),'Data'!$F$5146,"")</f>
        <v/>
      </c>
      <c r="Z5145" t="n">
        <v>1</v>
      </c>
      <c r="AA5145">
        <f>IF(ISNUMBER('IN-CLASS_Lab Part C'!$J$5145),'IN-CLASS_Lab Part C'!$J$5145,NA())</f>
        <v/>
      </c>
    </row>
    <row r="5146">
      <c r="J5146">
        <f>IF(AND(ISNUMBER('Data'!$F$5147),'Data'!$F$5147&lt;&gt;999,'Data'!$F$5147&lt;&gt;""),'Data'!$F$5147,"")</f>
        <v/>
      </c>
      <c r="Z5146" t="n">
        <v>1</v>
      </c>
      <c r="AA5146">
        <f>IF(ISNUMBER('IN-CLASS_Lab Part C'!$J$5146),'IN-CLASS_Lab Part C'!$J$5146,NA())</f>
        <v/>
      </c>
    </row>
    <row r="5147">
      <c r="J5147">
        <f>IF(AND(ISNUMBER('Data'!$F$5148),'Data'!$F$5148&lt;&gt;999,'Data'!$F$5148&lt;&gt;""),'Data'!$F$5148,"")</f>
        <v/>
      </c>
      <c r="Z5147" t="n">
        <v>1</v>
      </c>
      <c r="AA5147">
        <f>IF(ISNUMBER('IN-CLASS_Lab Part C'!$J$5147),'IN-CLASS_Lab Part C'!$J$5147,NA())</f>
        <v/>
      </c>
    </row>
    <row r="5148">
      <c r="J5148">
        <f>IF(AND(ISNUMBER('Data'!$F$5149),'Data'!$F$5149&lt;&gt;999,'Data'!$F$5149&lt;&gt;""),'Data'!$F$5149,"")</f>
        <v/>
      </c>
      <c r="Z5148" t="n">
        <v>1</v>
      </c>
      <c r="AA5148">
        <f>IF(ISNUMBER('IN-CLASS_Lab Part C'!$J$5148),'IN-CLASS_Lab Part C'!$J$5148,NA())</f>
        <v/>
      </c>
    </row>
    <row r="5149">
      <c r="J5149">
        <f>IF(AND(ISNUMBER('Data'!$F$5150),'Data'!$F$5150&lt;&gt;999,'Data'!$F$5150&lt;&gt;""),'Data'!$F$5150,"")</f>
        <v/>
      </c>
      <c r="Z5149" t="n">
        <v>1</v>
      </c>
      <c r="AA5149">
        <f>IF(ISNUMBER('IN-CLASS_Lab Part C'!$J$5149),'IN-CLASS_Lab Part C'!$J$5149,NA())</f>
        <v/>
      </c>
    </row>
    <row r="5150">
      <c r="J5150">
        <f>IF(AND(ISNUMBER('Data'!$F$5151),'Data'!$F$5151&lt;&gt;999,'Data'!$F$5151&lt;&gt;""),'Data'!$F$5151,"")</f>
        <v/>
      </c>
      <c r="Z5150" t="n">
        <v>1</v>
      </c>
      <c r="AA5150">
        <f>IF(ISNUMBER('IN-CLASS_Lab Part C'!$J$5150),'IN-CLASS_Lab Part C'!$J$5150,NA())</f>
        <v/>
      </c>
    </row>
    <row r="5151">
      <c r="J5151">
        <f>IF(AND(ISNUMBER('Data'!$F$5152),'Data'!$F$5152&lt;&gt;999,'Data'!$F$5152&lt;&gt;""),'Data'!$F$5152,"")</f>
        <v/>
      </c>
      <c r="Z5151" t="n">
        <v>1</v>
      </c>
      <c r="AA5151">
        <f>IF(ISNUMBER('IN-CLASS_Lab Part C'!$J$5151),'IN-CLASS_Lab Part C'!$J$5151,NA())</f>
        <v/>
      </c>
    </row>
    <row r="5152">
      <c r="J5152">
        <f>IF(AND(ISNUMBER('Data'!$F$5153),'Data'!$F$5153&lt;&gt;999,'Data'!$F$5153&lt;&gt;""),'Data'!$F$5153,"")</f>
        <v/>
      </c>
      <c r="Z5152" t="n">
        <v>1</v>
      </c>
      <c r="AA5152">
        <f>IF(ISNUMBER('IN-CLASS_Lab Part C'!$J$5152),'IN-CLASS_Lab Part C'!$J$5152,NA())</f>
        <v/>
      </c>
    </row>
    <row r="5153">
      <c r="J5153">
        <f>IF(AND(ISNUMBER('Data'!$F$5154),'Data'!$F$5154&lt;&gt;999,'Data'!$F$5154&lt;&gt;""),'Data'!$F$5154,"")</f>
        <v/>
      </c>
      <c r="Z5153" t="n">
        <v>1</v>
      </c>
      <c r="AA5153">
        <f>IF(ISNUMBER('IN-CLASS_Lab Part C'!$J$5153),'IN-CLASS_Lab Part C'!$J$5153,NA())</f>
        <v/>
      </c>
    </row>
    <row r="5154">
      <c r="J5154">
        <f>IF(AND(ISNUMBER('Data'!$F$5155),'Data'!$F$5155&lt;&gt;999,'Data'!$F$5155&lt;&gt;""),'Data'!$F$5155,"")</f>
        <v/>
      </c>
      <c r="Z5154" t="n">
        <v>1</v>
      </c>
      <c r="AA5154">
        <f>IF(ISNUMBER('IN-CLASS_Lab Part C'!$J$5154),'IN-CLASS_Lab Part C'!$J$5154,NA())</f>
        <v/>
      </c>
    </row>
    <row r="5155">
      <c r="J5155">
        <f>IF(AND(ISNUMBER('Data'!$F$5156),'Data'!$F$5156&lt;&gt;999,'Data'!$F$5156&lt;&gt;""),'Data'!$F$5156,"")</f>
        <v/>
      </c>
      <c r="Z5155" t="n">
        <v>1</v>
      </c>
      <c r="AA5155">
        <f>IF(ISNUMBER('IN-CLASS_Lab Part C'!$J$5155),'IN-CLASS_Lab Part C'!$J$5155,NA())</f>
        <v/>
      </c>
    </row>
    <row r="5156">
      <c r="J5156">
        <f>IF(AND(ISNUMBER('Data'!$F$5157),'Data'!$F$5157&lt;&gt;999,'Data'!$F$5157&lt;&gt;""),'Data'!$F$5157,"")</f>
        <v/>
      </c>
      <c r="Z5156" t="n">
        <v>1</v>
      </c>
      <c r="AA5156">
        <f>IF(ISNUMBER('IN-CLASS_Lab Part C'!$J$5156),'IN-CLASS_Lab Part C'!$J$5156,NA())</f>
        <v/>
      </c>
    </row>
    <row r="5157">
      <c r="J5157">
        <f>IF(AND(ISNUMBER('Data'!$F$5158),'Data'!$F$5158&lt;&gt;999,'Data'!$F$5158&lt;&gt;""),'Data'!$F$5158,"")</f>
        <v/>
      </c>
      <c r="Z5157" t="n">
        <v>1</v>
      </c>
      <c r="AA5157">
        <f>IF(ISNUMBER('IN-CLASS_Lab Part C'!$J$5157),'IN-CLASS_Lab Part C'!$J$5157,NA())</f>
        <v/>
      </c>
    </row>
    <row r="5158">
      <c r="J5158">
        <f>IF(AND(ISNUMBER('Data'!$F$5159),'Data'!$F$5159&lt;&gt;999,'Data'!$F$5159&lt;&gt;""),'Data'!$F$5159,"")</f>
        <v/>
      </c>
      <c r="Z5158" t="n">
        <v>1</v>
      </c>
      <c r="AA5158">
        <f>IF(ISNUMBER('IN-CLASS_Lab Part C'!$J$5158),'IN-CLASS_Lab Part C'!$J$5158,NA())</f>
        <v/>
      </c>
    </row>
    <row r="5159">
      <c r="J5159">
        <f>IF(AND(ISNUMBER('Data'!$F$5160),'Data'!$F$5160&lt;&gt;999,'Data'!$F$5160&lt;&gt;""),'Data'!$F$5160,"")</f>
        <v/>
      </c>
      <c r="Z5159" t="n">
        <v>1</v>
      </c>
      <c r="AA5159">
        <f>IF(ISNUMBER('IN-CLASS_Lab Part C'!$J$5159),'IN-CLASS_Lab Part C'!$J$5159,NA())</f>
        <v/>
      </c>
    </row>
    <row r="5160">
      <c r="J5160">
        <f>IF(AND(ISNUMBER('Data'!$F$5161),'Data'!$F$5161&lt;&gt;999,'Data'!$F$5161&lt;&gt;""),'Data'!$F$5161,"")</f>
        <v/>
      </c>
      <c r="Z5160" t="n">
        <v>1</v>
      </c>
      <c r="AA5160">
        <f>IF(ISNUMBER('IN-CLASS_Lab Part C'!$J$5160),'IN-CLASS_Lab Part C'!$J$5160,NA())</f>
        <v/>
      </c>
    </row>
    <row r="5161">
      <c r="J5161">
        <f>IF(AND(ISNUMBER('Data'!$F$5162),'Data'!$F$5162&lt;&gt;999,'Data'!$F$5162&lt;&gt;""),'Data'!$F$5162,"")</f>
        <v/>
      </c>
      <c r="Z5161" t="n">
        <v>1</v>
      </c>
      <c r="AA5161">
        <f>IF(ISNUMBER('IN-CLASS_Lab Part C'!$J$5161),'IN-CLASS_Lab Part C'!$J$5161,NA())</f>
        <v/>
      </c>
    </row>
    <row r="5162">
      <c r="J5162">
        <f>IF(AND(ISNUMBER('Data'!$F$5163),'Data'!$F$5163&lt;&gt;999,'Data'!$F$5163&lt;&gt;""),'Data'!$F$5163,"")</f>
        <v/>
      </c>
      <c r="Z5162" t="n">
        <v>1</v>
      </c>
      <c r="AA5162">
        <f>IF(ISNUMBER('IN-CLASS_Lab Part C'!$J$5162),'IN-CLASS_Lab Part C'!$J$5162,NA())</f>
        <v/>
      </c>
    </row>
    <row r="5163">
      <c r="J5163">
        <f>IF(AND(ISNUMBER('Data'!$F$5164),'Data'!$F$5164&lt;&gt;999,'Data'!$F$5164&lt;&gt;""),'Data'!$F$5164,"")</f>
        <v/>
      </c>
      <c r="Z5163" t="n">
        <v>1</v>
      </c>
      <c r="AA5163">
        <f>IF(ISNUMBER('IN-CLASS_Lab Part C'!$J$5163),'IN-CLASS_Lab Part C'!$J$5163,NA())</f>
        <v/>
      </c>
    </row>
    <row r="5164">
      <c r="J5164">
        <f>IF(AND(ISNUMBER('Data'!$F$5165),'Data'!$F$5165&lt;&gt;999,'Data'!$F$5165&lt;&gt;""),'Data'!$F$5165,"")</f>
        <v/>
      </c>
      <c r="Z5164" t="n">
        <v>1</v>
      </c>
      <c r="AA5164">
        <f>IF(ISNUMBER('IN-CLASS_Lab Part C'!$J$5164),'IN-CLASS_Lab Part C'!$J$5164,NA())</f>
        <v/>
      </c>
    </row>
    <row r="5165">
      <c r="J5165">
        <f>IF(AND(ISNUMBER('Data'!$F$5166),'Data'!$F$5166&lt;&gt;999,'Data'!$F$5166&lt;&gt;""),'Data'!$F$5166,"")</f>
        <v/>
      </c>
      <c r="Z5165" t="n">
        <v>1</v>
      </c>
      <c r="AA5165">
        <f>IF(ISNUMBER('IN-CLASS_Lab Part C'!$J$5165),'IN-CLASS_Lab Part C'!$J$5165,NA())</f>
        <v/>
      </c>
    </row>
    <row r="5166">
      <c r="J5166">
        <f>IF(AND(ISNUMBER('Data'!$F$5167),'Data'!$F$5167&lt;&gt;999,'Data'!$F$5167&lt;&gt;""),'Data'!$F$5167,"")</f>
        <v/>
      </c>
      <c r="Z5166" t="n">
        <v>1</v>
      </c>
      <c r="AA5166">
        <f>IF(ISNUMBER('IN-CLASS_Lab Part C'!$J$5166),'IN-CLASS_Lab Part C'!$J$5166,NA())</f>
        <v/>
      </c>
    </row>
    <row r="5167">
      <c r="J5167">
        <f>IF(AND(ISNUMBER('Data'!$F$5168),'Data'!$F$5168&lt;&gt;999,'Data'!$F$5168&lt;&gt;""),'Data'!$F$5168,"")</f>
        <v/>
      </c>
      <c r="Z5167" t="n">
        <v>1</v>
      </c>
      <c r="AA5167">
        <f>IF(ISNUMBER('IN-CLASS_Lab Part C'!$J$5167),'IN-CLASS_Lab Part C'!$J$5167,NA())</f>
        <v/>
      </c>
    </row>
    <row r="5168">
      <c r="J5168">
        <f>IF(AND(ISNUMBER('Data'!$F$5169),'Data'!$F$5169&lt;&gt;999,'Data'!$F$5169&lt;&gt;""),'Data'!$F$5169,"")</f>
        <v/>
      </c>
      <c r="Z5168" t="n">
        <v>1</v>
      </c>
      <c r="AA5168">
        <f>IF(ISNUMBER('IN-CLASS_Lab Part C'!$J$5168),'IN-CLASS_Lab Part C'!$J$5168,NA())</f>
        <v/>
      </c>
    </row>
    <row r="5169">
      <c r="J5169">
        <f>IF(AND(ISNUMBER('Data'!$F$5170),'Data'!$F$5170&lt;&gt;999,'Data'!$F$5170&lt;&gt;""),'Data'!$F$5170,"")</f>
        <v/>
      </c>
      <c r="Z5169" t="n">
        <v>1</v>
      </c>
      <c r="AA5169">
        <f>IF(ISNUMBER('IN-CLASS_Lab Part C'!$J$5169),'IN-CLASS_Lab Part C'!$J$5169,NA())</f>
        <v/>
      </c>
    </row>
    <row r="5170">
      <c r="J5170">
        <f>IF(AND(ISNUMBER('Data'!$F$5171),'Data'!$F$5171&lt;&gt;999,'Data'!$F$5171&lt;&gt;""),'Data'!$F$5171,"")</f>
        <v/>
      </c>
      <c r="Z5170" t="n">
        <v>1</v>
      </c>
      <c r="AA5170">
        <f>IF(ISNUMBER('IN-CLASS_Lab Part C'!$J$5170),'IN-CLASS_Lab Part C'!$J$5170,NA())</f>
        <v/>
      </c>
    </row>
    <row r="5171">
      <c r="J5171">
        <f>IF(AND(ISNUMBER('Data'!$F$5172),'Data'!$F$5172&lt;&gt;999,'Data'!$F$5172&lt;&gt;""),'Data'!$F$5172,"")</f>
        <v/>
      </c>
      <c r="Z5171" t="n">
        <v>1</v>
      </c>
      <c r="AA5171">
        <f>IF(ISNUMBER('IN-CLASS_Lab Part C'!$J$5171),'IN-CLASS_Lab Part C'!$J$5171,NA())</f>
        <v/>
      </c>
    </row>
    <row r="5172">
      <c r="J5172">
        <f>IF(AND(ISNUMBER('Data'!$F$5173),'Data'!$F$5173&lt;&gt;999,'Data'!$F$5173&lt;&gt;""),'Data'!$F$5173,"")</f>
        <v/>
      </c>
      <c r="Z5172" t="n">
        <v>1</v>
      </c>
      <c r="AA5172">
        <f>IF(ISNUMBER('IN-CLASS_Lab Part C'!$J$5172),'IN-CLASS_Lab Part C'!$J$5172,NA())</f>
        <v/>
      </c>
    </row>
    <row r="5173">
      <c r="J5173">
        <f>IF(AND(ISNUMBER('Data'!$F$5174),'Data'!$F$5174&lt;&gt;999,'Data'!$F$5174&lt;&gt;""),'Data'!$F$5174,"")</f>
        <v/>
      </c>
      <c r="Z5173" t="n">
        <v>1</v>
      </c>
      <c r="AA5173">
        <f>IF(ISNUMBER('IN-CLASS_Lab Part C'!$J$5173),'IN-CLASS_Lab Part C'!$J$5173,NA())</f>
        <v/>
      </c>
    </row>
    <row r="5174">
      <c r="J5174">
        <f>IF(AND(ISNUMBER('Data'!$F$5175),'Data'!$F$5175&lt;&gt;999,'Data'!$F$5175&lt;&gt;""),'Data'!$F$5175,"")</f>
        <v/>
      </c>
      <c r="Z5174" t="n">
        <v>1</v>
      </c>
      <c r="AA5174">
        <f>IF(ISNUMBER('IN-CLASS_Lab Part C'!$J$5174),'IN-CLASS_Lab Part C'!$J$5174,NA())</f>
        <v/>
      </c>
    </row>
    <row r="5175">
      <c r="J5175">
        <f>IF(AND(ISNUMBER('Data'!$F$5176),'Data'!$F$5176&lt;&gt;999,'Data'!$F$5176&lt;&gt;""),'Data'!$F$5176,"")</f>
        <v/>
      </c>
      <c r="Z5175" t="n">
        <v>1</v>
      </c>
      <c r="AA5175">
        <f>IF(ISNUMBER('IN-CLASS_Lab Part C'!$J$5175),'IN-CLASS_Lab Part C'!$J$5175,NA())</f>
        <v/>
      </c>
    </row>
    <row r="5176">
      <c r="J5176">
        <f>IF(AND(ISNUMBER('Data'!$F$5177),'Data'!$F$5177&lt;&gt;999,'Data'!$F$5177&lt;&gt;""),'Data'!$F$5177,"")</f>
        <v/>
      </c>
      <c r="Z5176" t="n">
        <v>1</v>
      </c>
      <c r="AA5176">
        <f>IF(ISNUMBER('IN-CLASS_Lab Part C'!$J$5176),'IN-CLASS_Lab Part C'!$J$5176,NA())</f>
        <v/>
      </c>
    </row>
    <row r="5177">
      <c r="J5177">
        <f>IF(AND(ISNUMBER('Data'!$F$5178),'Data'!$F$5178&lt;&gt;999,'Data'!$F$5178&lt;&gt;""),'Data'!$F$5178,"")</f>
        <v/>
      </c>
      <c r="Z5177" t="n">
        <v>1</v>
      </c>
      <c r="AA5177">
        <f>IF(ISNUMBER('IN-CLASS_Lab Part C'!$J$5177),'IN-CLASS_Lab Part C'!$J$5177,NA())</f>
        <v/>
      </c>
    </row>
    <row r="5178">
      <c r="J5178">
        <f>IF(AND(ISNUMBER('Data'!$F$5179),'Data'!$F$5179&lt;&gt;999,'Data'!$F$5179&lt;&gt;""),'Data'!$F$5179,"")</f>
        <v/>
      </c>
      <c r="Z5178" t="n">
        <v>1</v>
      </c>
      <c r="AA5178">
        <f>IF(ISNUMBER('IN-CLASS_Lab Part C'!$J$5178),'IN-CLASS_Lab Part C'!$J$5178,NA())</f>
        <v/>
      </c>
    </row>
    <row r="5179">
      <c r="J5179">
        <f>IF(AND(ISNUMBER('Data'!$F$5180),'Data'!$F$5180&lt;&gt;999,'Data'!$F$5180&lt;&gt;""),'Data'!$F$5180,"")</f>
        <v/>
      </c>
      <c r="Z5179" t="n">
        <v>1</v>
      </c>
      <c r="AA5179">
        <f>IF(ISNUMBER('IN-CLASS_Lab Part C'!$J$5179),'IN-CLASS_Lab Part C'!$J$5179,NA())</f>
        <v/>
      </c>
    </row>
    <row r="5180">
      <c r="J5180">
        <f>IF(AND(ISNUMBER('Data'!$F$5181),'Data'!$F$5181&lt;&gt;999,'Data'!$F$5181&lt;&gt;""),'Data'!$F$5181,"")</f>
        <v/>
      </c>
      <c r="Z5180" t="n">
        <v>1</v>
      </c>
      <c r="AA5180">
        <f>IF(ISNUMBER('IN-CLASS_Lab Part C'!$J$5180),'IN-CLASS_Lab Part C'!$J$5180,NA())</f>
        <v/>
      </c>
    </row>
    <row r="5181">
      <c r="J5181">
        <f>IF(AND(ISNUMBER('Data'!$F$5182),'Data'!$F$5182&lt;&gt;999,'Data'!$F$5182&lt;&gt;""),'Data'!$F$5182,"")</f>
        <v/>
      </c>
      <c r="Z5181" t="n">
        <v>1</v>
      </c>
      <c r="AA5181">
        <f>IF(ISNUMBER('IN-CLASS_Lab Part C'!$J$5181),'IN-CLASS_Lab Part C'!$J$5181,NA())</f>
        <v/>
      </c>
    </row>
    <row r="5182">
      <c r="J5182">
        <f>IF(AND(ISNUMBER('Data'!$F$5183),'Data'!$F$5183&lt;&gt;999,'Data'!$F$5183&lt;&gt;""),'Data'!$F$5183,"")</f>
        <v/>
      </c>
      <c r="Z5182" t="n">
        <v>1</v>
      </c>
      <c r="AA5182">
        <f>IF(ISNUMBER('IN-CLASS_Lab Part C'!$J$5182),'IN-CLASS_Lab Part C'!$J$5182,NA())</f>
        <v/>
      </c>
    </row>
    <row r="5183">
      <c r="J5183">
        <f>IF(AND(ISNUMBER('Data'!$F$5184),'Data'!$F$5184&lt;&gt;999,'Data'!$F$5184&lt;&gt;""),'Data'!$F$5184,"")</f>
        <v/>
      </c>
      <c r="Z5183" t="n">
        <v>1</v>
      </c>
      <c r="AA5183">
        <f>IF(ISNUMBER('IN-CLASS_Lab Part C'!$J$5183),'IN-CLASS_Lab Part C'!$J$5183,NA())</f>
        <v/>
      </c>
    </row>
    <row r="5184">
      <c r="J5184">
        <f>IF(AND(ISNUMBER('Data'!$F$5185),'Data'!$F$5185&lt;&gt;999,'Data'!$F$5185&lt;&gt;""),'Data'!$F$5185,"")</f>
        <v/>
      </c>
      <c r="Z5184" t="n">
        <v>1</v>
      </c>
      <c r="AA5184">
        <f>IF(ISNUMBER('IN-CLASS_Lab Part C'!$J$5184),'IN-CLASS_Lab Part C'!$J$5184,NA())</f>
        <v/>
      </c>
    </row>
    <row r="5185">
      <c r="J5185">
        <f>IF(AND(ISNUMBER('Data'!$F$5186),'Data'!$F$5186&lt;&gt;999,'Data'!$F$5186&lt;&gt;""),'Data'!$F$5186,"")</f>
        <v/>
      </c>
      <c r="Z5185" t="n">
        <v>1</v>
      </c>
      <c r="AA5185">
        <f>IF(ISNUMBER('IN-CLASS_Lab Part C'!$J$5185),'IN-CLASS_Lab Part C'!$J$5185,NA())</f>
        <v/>
      </c>
    </row>
    <row r="5186">
      <c r="J5186">
        <f>IF(AND(ISNUMBER('Data'!$F$5187),'Data'!$F$5187&lt;&gt;999,'Data'!$F$5187&lt;&gt;""),'Data'!$F$5187,"")</f>
        <v/>
      </c>
      <c r="Z5186" t="n">
        <v>1</v>
      </c>
      <c r="AA5186">
        <f>IF(ISNUMBER('IN-CLASS_Lab Part C'!$J$5186),'IN-CLASS_Lab Part C'!$J$5186,NA())</f>
        <v/>
      </c>
    </row>
    <row r="5187">
      <c r="J5187">
        <f>IF(AND(ISNUMBER('Data'!$F$5188),'Data'!$F$5188&lt;&gt;999,'Data'!$F$5188&lt;&gt;""),'Data'!$F$5188,"")</f>
        <v/>
      </c>
      <c r="Z5187" t="n">
        <v>1</v>
      </c>
      <c r="AA5187">
        <f>IF(ISNUMBER('IN-CLASS_Lab Part C'!$J$5187),'IN-CLASS_Lab Part C'!$J$5187,NA())</f>
        <v/>
      </c>
    </row>
    <row r="5188">
      <c r="J5188">
        <f>IF(AND(ISNUMBER('Data'!$F$5189),'Data'!$F$5189&lt;&gt;999,'Data'!$F$5189&lt;&gt;""),'Data'!$F$5189,"")</f>
        <v/>
      </c>
      <c r="Z5188" t="n">
        <v>1</v>
      </c>
      <c r="AA5188">
        <f>IF(ISNUMBER('IN-CLASS_Lab Part C'!$J$5188),'IN-CLASS_Lab Part C'!$J$5188,NA())</f>
        <v/>
      </c>
    </row>
    <row r="5189">
      <c r="J5189">
        <f>IF(AND(ISNUMBER('Data'!$F$5190),'Data'!$F$5190&lt;&gt;999,'Data'!$F$5190&lt;&gt;""),'Data'!$F$5190,"")</f>
        <v/>
      </c>
      <c r="Z5189" t="n">
        <v>1</v>
      </c>
      <c r="AA5189">
        <f>IF(ISNUMBER('IN-CLASS_Lab Part C'!$J$5189),'IN-CLASS_Lab Part C'!$J$5189,NA())</f>
        <v/>
      </c>
    </row>
    <row r="5190">
      <c r="J5190">
        <f>IF(AND(ISNUMBER('Data'!$F$5191),'Data'!$F$5191&lt;&gt;999,'Data'!$F$5191&lt;&gt;""),'Data'!$F$5191,"")</f>
        <v/>
      </c>
      <c r="Z5190" t="n">
        <v>1</v>
      </c>
      <c r="AA5190">
        <f>IF(ISNUMBER('IN-CLASS_Lab Part C'!$J$5190),'IN-CLASS_Lab Part C'!$J$5190,NA())</f>
        <v/>
      </c>
    </row>
    <row r="5191">
      <c r="J5191">
        <f>IF(AND(ISNUMBER('Data'!$F$5192),'Data'!$F$5192&lt;&gt;999,'Data'!$F$5192&lt;&gt;""),'Data'!$F$5192,"")</f>
        <v/>
      </c>
      <c r="Z5191" t="n">
        <v>1</v>
      </c>
      <c r="AA5191">
        <f>IF(ISNUMBER('IN-CLASS_Lab Part C'!$J$5191),'IN-CLASS_Lab Part C'!$J$5191,NA())</f>
        <v/>
      </c>
    </row>
    <row r="5192">
      <c r="J5192">
        <f>IF(AND(ISNUMBER('Data'!$F$5193),'Data'!$F$5193&lt;&gt;999,'Data'!$F$5193&lt;&gt;""),'Data'!$F$5193,"")</f>
        <v/>
      </c>
      <c r="Z5192" t="n">
        <v>1</v>
      </c>
      <c r="AA5192">
        <f>IF(ISNUMBER('IN-CLASS_Lab Part C'!$J$5192),'IN-CLASS_Lab Part C'!$J$5192,NA())</f>
        <v/>
      </c>
    </row>
    <row r="5193">
      <c r="J5193">
        <f>IF(AND(ISNUMBER('Data'!$F$5194),'Data'!$F$5194&lt;&gt;999,'Data'!$F$5194&lt;&gt;""),'Data'!$F$5194,"")</f>
        <v/>
      </c>
      <c r="Z5193" t="n">
        <v>1</v>
      </c>
      <c r="AA5193">
        <f>IF(ISNUMBER('IN-CLASS_Lab Part C'!$J$5193),'IN-CLASS_Lab Part C'!$J$5193,NA())</f>
        <v/>
      </c>
    </row>
    <row r="5194">
      <c r="J5194">
        <f>IF(AND(ISNUMBER('Data'!$F$5195),'Data'!$F$5195&lt;&gt;999,'Data'!$F$5195&lt;&gt;""),'Data'!$F$5195,"")</f>
        <v/>
      </c>
      <c r="Z5194" t="n">
        <v>1</v>
      </c>
      <c r="AA5194">
        <f>IF(ISNUMBER('IN-CLASS_Lab Part C'!$J$5194),'IN-CLASS_Lab Part C'!$J$5194,NA())</f>
        <v/>
      </c>
    </row>
    <row r="5195">
      <c r="J5195">
        <f>IF(AND(ISNUMBER('Data'!$F$5196),'Data'!$F$5196&lt;&gt;999,'Data'!$F$5196&lt;&gt;""),'Data'!$F$5196,"")</f>
        <v/>
      </c>
      <c r="Z5195" t="n">
        <v>1</v>
      </c>
      <c r="AA5195">
        <f>IF(ISNUMBER('IN-CLASS_Lab Part C'!$J$5195),'IN-CLASS_Lab Part C'!$J$5195,NA())</f>
        <v/>
      </c>
    </row>
    <row r="5196">
      <c r="J5196">
        <f>IF(AND(ISNUMBER('Data'!$F$5197),'Data'!$F$5197&lt;&gt;999,'Data'!$F$5197&lt;&gt;""),'Data'!$F$5197,"")</f>
        <v/>
      </c>
      <c r="Z5196" t="n">
        <v>1</v>
      </c>
      <c r="AA5196">
        <f>IF(ISNUMBER('IN-CLASS_Lab Part C'!$J$5196),'IN-CLASS_Lab Part C'!$J$5196,NA())</f>
        <v/>
      </c>
    </row>
    <row r="5197">
      <c r="J5197">
        <f>IF(AND(ISNUMBER('Data'!$F$5198),'Data'!$F$5198&lt;&gt;999,'Data'!$F$5198&lt;&gt;""),'Data'!$F$5198,"")</f>
        <v/>
      </c>
      <c r="Z5197" t="n">
        <v>1</v>
      </c>
      <c r="AA5197">
        <f>IF(ISNUMBER('IN-CLASS_Lab Part C'!$J$5197),'IN-CLASS_Lab Part C'!$J$5197,NA())</f>
        <v/>
      </c>
    </row>
    <row r="5198">
      <c r="J5198">
        <f>IF(AND(ISNUMBER('Data'!$F$5199),'Data'!$F$5199&lt;&gt;999,'Data'!$F$5199&lt;&gt;""),'Data'!$F$5199,"")</f>
        <v/>
      </c>
      <c r="Z5198" t="n">
        <v>1</v>
      </c>
      <c r="AA5198">
        <f>IF(ISNUMBER('IN-CLASS_Lab Part C'!$J$5198),'IN-CLASS_Lab Part C'!$J$5198,NA())</f>
        <v/>
      </c>
    </row>
    <row r="5199">
      <c r="J5199">
        <f>IF(AND(ISNUMBER('Data'!$F$5200),'Data'!$F$5200&lt;&gt;999,'Data'!$F$5200&lt;&gt;""),'Data'!$F$5200,"")</f>
        <v/>
      </c>
      <c r="Z5199" t="n">
        <v>1</v>
      </c>
      <c r="AA5199">
        <f>IF(ISNUMBER('IN-CLASS_Lab Part C'!$J$5199),'IN-CLASS_Lab Part C'!$J$5199,NA())</f>
        <v/>
      </c>
    </row>
    <row r="5200">
      <c r="J5200">
        <f>IF(AND(ISNUMBER('Data'!$F$5201),'Data'!$F$5201&lt;&gt;999,'Data'!$F$5201&lt;&gt;""),'Data'!$F$5201,"")</f>
        <v/>
      </c>
      <c r="Z5200" t="n">
        <v>1</v>
      </c>
      <c r="AA5200">
        <f>IF(ISNUMBER('IN-CLASS_Lab Part C'!$J$5200),'IN-CLASS_Lab Part C'!$J$5200,NA())</f>
        <v/>
      </c>
    </row>
    <row r="5201">
      <c r="J5201">
        <f>IF(AND(ISNUMBER('Data'!$F$5202),'Data'!$F$5202&lt;&gt;999,'Data'!$F$5202&lt;&gt;""),'Data'!$F$5202,"")</f>
        <v/>
      </c>
      <c r="Z5201" t="n">
        <v>1</v>
      </c>
      <c r="AA5201">
        <f>IF(ISNUMBER('IN-CLASS_Lab Part C'!$J$5201),'IN-CLASS_Lab Part C'!$J$5201,NA())</f>
        <v/>
      </c>
    </row>
    <row r="5202">
      <c r="J5202">
        <f>IF(AND(ISNUMBER('Data'!$F$5203),'Data'!$F$5203&lt;&gt;999,'Data'!$F$5203&lt;&gt;""),'Data'!$F$5203,"")</f>
        <v/>
      </c>
      <c r="Z5202" t="n">
        <v>1</v>
      </c>
      <c r="AA5202">
        <f>IF(ISNUMBER('IN-CLASS_Lab Part C'!$J$5202),'IN-CLASS_Lab Part C'!$J$5202,NA())</f>
        <v/>
      </c>
    </row>
    <row r="5203">
      <c r="J5203">
        <f>IF(AND(ISNUMBER('Data'!$F$5204),'Data'!$F$5204&lt;&gt;999,'Data'!$F$5204&lt;&gt;""),'Data'!$F$5204,"")</f>
        <v/>
      </c>
      <c r="Z5203" t="n">
        <v>1</v>
      </c>
      <c r="AA5203">
        <f>IF(ISNUMBER('IN-CLASS_Lab Part C'!$J$5203),'IN-CLASS_Lab Part C'!$J$5203,NA())</f>
        <v/>
      </c>
    </row>
    <row r="5204">
      <c r="J5204">
        <f>IF(AND(ISNUMBER('Data'!$F$5205),'Data'!$F$5205&lt;&gt;999,'Data'!$F$5205&lt;&gt;""),'Data'!$F$5205,"")</f>
        <v/>
      </c>
      <c r="Z5204" t="n">
        <v>1</v>
      </c>
      <c r="AA5204">
        <f>IF(ISNUMBER('IN-CLASS_Lab Part C'!$J$5204),'IN-CLASS_Lab Part C'!$J$5204,NA())</f>
        <v/>
      </c>
    </row>
    <row r="5205">
      <c r="J5205">
        <f>IF(AND(ISNUMBER('Data'!$F$5206),'Data'!$F$5206&lt;&gt;999,'Data'!$F$5206&lt;&gt;""),'Data'!$F$5206,"")</f>
        <v/>
      </c>
      <c r="Z5205" t="n">
        <v>1</v>
      </c>
      <c r="AA5205">
        <f>IF(ISNUMBER('IN-CLASS_Lab Part C'!$J$5205),'IN-CLASS_Lab Part C'!$J$5205,NA())</f>
        <v/>
      </c>
    </row>
    <row r="5206">
      <c r="J5206">
        <f>IF(AND(ISNUMBER('Data'!$F$5207),'Data'!$F$5207&lt;&gt;999,'Data'!$F$5207&lt;&gt;""),'Data'!$F$5207,"")</f>
        <v/>
      </c>
      <c r="Z5206" t="n">
        <v>1</v>
      </c>
      <c r="AA5206">
        <f>IF(ISNUMBER('IN-CLASS_Lab Part C'!$J$5206),'IN-CLASS_Lab Part C'!$J$5206,NA())</f>
        <v/>
      </c>
    </row>
    <row r="5207">
      <c r="J5207">
        <f>IF(AND(ISNUMBER('Data'!$F$5208),'Data'!$F$5208&lt;&gt;999,'Data'!$F$5208&lt;&gt;""),'Data'!$F$5208,"")</f>
        <v/>
      </c>
      <c r="Z5207" t="n">
        <v>1</v>
      </c>
      <c r="AA5207">
        <f>IF(ISNUMBER('IN-CLASS_Lab Part C'!$J$5207),'IN-CLASS_Lab Part C'!$J$5207,NA())</f>
        <v/>
      </c>
    </row>
    <row r="5208">
      <c r="J5208">
        <f>IF(AND(ISNUMBER('Data'!$F$5209),'Data'!$F$5209&lt;&gt;999,'Data'!$F$5209&lt;&gt;""),'Data'!$F$5209,"")</f>
        <v/>
      </c>
      <c r="Z5208" t="n">
        <v>1</v>
      </c>
      <c r="AA5208">
        <f>IF(ISNUMBER('IN-CLASS_Lab Part C'!$J$5208),'IN-CLASS_Lab Part C'!$J$5208,NA())</f>
        <v/>
      </c>
    </row>
    <row r="5209">
      <c r="J5209">
        <f>IF(AND(ISNUMBER('Data'!$F$5210),'Data'!$F$5210&lt;&gt;999,'Data'!$F$5210&lt;&gt;""),'Data'!$F$5210,"")</f>
        <v/>
      </c>
      <c r="Z5209" t="n">
        <v>1</v>
      </c>
      <c r="AA5209">
        <f>IF(ISNUMBER('IN-CLASS_Lab Part C'!$J$5209),'IN-CLASS_Lab Part C'!$J$5209,NA())</f>
        <v/>
      </c>
    </row>
    <row r="5210">
      <c r="J5210">
        <f>IF(AND(ISNUMBER('Data'!$F$5211),'Data'!$F$5211&lt;&gt;999,'Data'!$F$5211&lt;&gt;""),'Data'!$F$5211,"")</f>
        <v/>
      </c>
      <c r="Z5210" t="n">
        <v>1</v>
      </c>
      <c r="AA5210">
        <f>IF(ISNUMBER('IN-CLASS_Lab Part C'!$J$5210),'IN-CLASS_Lab Part C'!$J$5210,NA())</f>
        <v/>
      </c>
    </row>
    <row r="5211">
      <c r="J5211">
        <f>IF(AND(ISNUMBER('Data'!$F$5212),'Data'!$F$5212&lt;&gt;999,'Data'!$F$5212&lt;&gt;""),'Data'!$F$5212,"")</f>
        <v/>
      </c>
      <c r="Z5211" t="n">
        <v>1</v>
      </c>
      <c r="AA5211">
        <f>IF(ISNUMBER('IN-CLASS_Lab Part C'!$J$5211),'IN-CLASS_Lab Part C'!$J$5211,NA())</f>
        <v/>
      </c>
    </row>
    <row r="5212">
      <c r="J5212">
        <f>IF(AND(ISNUMBER('Data'!$F$5213),'Data'!$F$5213&lt;&gt;999,'Data'!$F$5213&lt;&gt;""),'Data'!$F$5213,"")</f>
        <v/>
      </c>
      <c r="Z5212" t="n">
        <v>1</v>
      </c>
      <c r="AA5212">
        <f>IF(ISNUMBER('IN-CLASS_Lab Part C'!$J$5212),'IN-CLASS_Lab Part C'!$J$5212,NA())</f>
        <v/>
      </c>
    </row>
    <row r="5213">
      <c r="J5213">
        <f>IF(AND(ISNUMBER('Data'!$F$5214),'Data'!$F$5214&lt;&gt;999,'Data'!$F$5214&lt;&gt;""),'Data'!$F$5214,"")</f>
        <v/>
      </c>
      <c r="Z5213" t="n">
        <v>1</v>
      </c>
      <c r="AA5213">
        <f>IF(ISNUMBER('IN-CLASS_Lab Part C'!$J$5213),'IN-CLASS_Lab Part C'!$J$5213,NA())</f>
        <v/>
      </c>
    </row>
    <row r="5214">
      <c r="J5214">
        <f>IF(AND(ISNUMBER('Data'!$F$5215),'Data'!$F$5215&lt;&gt;999,'Data'!$F$5215&lt;&gt;""),'Data'!$F$5215,"")</f>
        <v/>
      </c>
      <c r="Z5214" t="n">
        <v>1</v>
      </c>
      <c r="AA5214">
        <f>IF(ISNUMBER('IN-CLASS_Lab Part C'!$J$5214),'IN-CLASS_Lab Part C'!$J$5214,NA())</f>
        <v/>
      </c>
    </row>
    <row r="5215">
      <c r="J5215">
        <f>IF(AND(ISNUMBER('Data'!$F$5216),'Data'!$F$5216&lt;&gt;999,'Data'!$F$5216&lt;&gt;""),'Data'!$F$5216,"")</f>
        <v/>
      </c>
      <c r="Z5215" t="n">
        <v>1</v>
      </c>
      <c r="AA5215">
        <f>IF(ISNUMBER('IN-CLASS_Lab Part C'!$J$5215),'IN-CLASS_Lab Part C'!$J$5215,NA())</f>
        <v/>
      </c>
    </row>
    <row r="5216">
      <c r="J5216">
        <f>IF(AND(ISNUMBER('Data'!$F$5217),'Data'!$F$5217&lt;&gt;999,'Data'!$F$5217&lt;&gt;""),'Data'!$F$5217,"")</f>
        <v/>
      </c>
      <c r="Z5216" t="n">
        <v>1</v>
      </c>
      <c r="AA5216">
        <f>IF(ISNUMBER('IN-CLASS_Lab Part C'!$J$5216),'IN-CLASS_Lab Part C'!$J$5216,NA())</f>
        <v/>
      </c>
    </row>
    <row r="5217">
      <c r="J5217">
        <f>IF(AND(ISNUMBER('Data'!$F$5218),'Data'!$F$5218&lt;&gt;999,'Data'!$F$5218&lt;&gt;""),'Data'!$F$5218,"")</f>
        <v/>
      </c>
      <c r="Z5217" t="n">
        <v>1</v>
      </c>
      <c r="AA5217">
        <f>IF(ISNUMBER('IN-CLASS_Lab Part C'!$J$5217),'IN-CLASS_Lab Part C'!$J$5217,NA())</f>
        <v/>
      </c>
    </row>
    <row r="5218">
      <c r="J5218">
        <f>IF(AND(ISNUMBER('Data'!$F$5219),'Data'!$F$5219&lt;&gt;999,'Data'!$F$5219&lt;&gt;""),'Data'!$F$5219,"")</f>
        <v/>
      </c>
      <c r="Z5218" t="n">
        <v>1</v>
      </c>
      <c r="AA5218">
        <f>IF(ISNUMBER('IN-CLASS_Lab Part C'!$J$5218),'IN-CLASS_Lab Part C'!$J$5218,NA())</f>
        <v/>
      </c>
    </row>
    <row r="5219">
      <c r="J5219">
        <f>IF(AND(ISNUMBER('Data'!$F$5220),'Data'!$F$5220&lt;&gt;999,'Data'!$F$5220&lt;&gt;""),'Data'!$F$5220,"")</f>
        <v/>
      </c>
      <c r="Z5219" t="n">
        <v>1</v>
      </c>
      <c r="AA5219">
        <f>IF(ISNUMBER('IN-CLASS_Lab Part C'!$J$5219),'IN-CLASS_Lab Part C'!$J$5219,NA())</f>
        <v/>
      </c>
    </row>
    <row r="5220">
      <c r="J5220">
        <f>IF(AND(ISNUMBER('Data'!$F$5221),'Data'!$F$5221&lt;&gt;999,'Data'!$F$5221&lt;&gt;""),'Data'!$F$5221,"")</f>
        <v/>
      </c>
      <c r="Z5220" t="n">
        <v>1</v>
      </c>
      <c r="AA5220">
        <f>IF(ISNUMBER('IN-CLASS_Lab Part C'!$J$5220),'IN-CLASS_Lab Part C'!$J$5220,NA())</f>
        <v/>
      </c>
    </row>
    <row r="5221">
      <c r="J5221">
        <f>IF(AND(ISNUMBER('Data'!$F$5222),'Data'!$F$5222&lt;&gt;999,'Data'!$F$5222&lt;&gt;""),'Data'!$F$5222,"")</f>
        <v/>
      </c>
      <c r="Z5221" t="n">
        <v>1</v>
      </c>
      <c r="AA5221">
        <f>IF(ISNUMBER('IN-CLASS_Lab Part C'!$J$5221),'IN-CLASS_Lab Part C'!$J$5221,NA())</f>
        <v/>
      </c>
    </row>
    <row r="5222">
      <c r="J5222">
        <f>IF(AND(ISNUMBER('Data'!$F$5223),'Data'!$F$5223&lt;&gt;999,'Data'!$F$5223&lt;&gt;""),'Data'!$F$5223,"")</f>
        <v/>
      </c>
      <c r="Z5222" t="n">
        <v>1</v>
      </c>
      <c r="AA5222">
        <f>IF(ISNUMBER('IN-CLASS_Lab Part C'!$J$5222),'IN-CLASS_Lab Part C'!$J$5222,NA())</f>
        <v/>
      </c>
    </row>
    <row r="5223">
      <c r="J5223">
        <f>IF(AND(ISNUMBER('Data'!$F$5224),'Data'!$F$5224&lt;&gt;999,'Data'!$F$5224&lt;&gt;""),'Data'!$F$5224,"")</f>
        <v/>
      </c>
      <c r="Z5223" t="n">
        <v>1</v>
      </c>
      <c r="AA5223">
        <f>IF(ISNUMBER('IN-CLASS_Lab Part C'!$J$5223),'IN-CLASS_Lab Part C'!$J$5223,NA())</f>
        <v/>
      </c>
    </row>
    <row r="5224">
      <c r="J5224">
        <f>IF(AND(ISNUMBER('Data'!$F$5225),'Data'!$F$5225&lt;&gt;999,'Data'!$F$5225&lt;&gt;""),'Data'!$F$5225,"")</f>
        <v/>
      </c>
      <c r="Z5224" t="n">
        <v>1</v>
      </c>
      <c r="AA5224">
        <f>IF(ISNUMBER('IN-CLASS_Lab Part C'!$J$5224),'IN-CLASS_Lab Part C'!$J$5224,NA())</f>
        <v/>
      </c>
    </row>
    <row r="5225">
      <c r="J5225">
        <f>IF(AND(ISNUMBER('Data'!$F$5226),'Data'!$F$5226&lt;&gt;999,'Data'!$F$5226&lt;&gt;""),'Data'!$F$5226,"")</f>
        <v/>
      </c>
      <c r="Z5225" t="n">
        <v>1</v>
      </c>
      <c r="AA5225">
        <f>IF(ISNUMBER('IN-CLASS_Lab Part C'!$J$5225),'IN-CLASS_Lab Part C'!$J$5225,NA())</f>
        <v/>
      </c>
    </row>
    <row r="5226">
      <c r="J5226">
        <f>IF(AND(ISNUMBER('Data'!$F$5227),'Data'!$F$5227&lt;&gt;999,'Data'!$F$5227&lt;&gt;""),'Data'!$F$5227,"")</f>
        <v/>
      </c>
      <c r="Z5226" t="n">
        <v>1</v>
      </c>
      <c r="AA5226">
        <f>IF(ISNUMBER('IN-CLASS_Lab Part C'!$J$5226),'IN-CLASS_Lab Part C'!$J$5226,NA())</f>
        <v/>
      </c>
    </row>
    <row r="5227">
      <c r="J5227">
        <f>IF(AND(ISNUMBER('Data'!$F$5228),'Data'!$F$5228&lt;&gt;999,'Data'!$F$5228&lt;&gt;""),'Data'!$F$5228,"")</f>
        <v/>
      </c>
      <c r="Z5227" t="n">
        <v>1</v>
      </c>
      <c r="AA5227">
        <f>IF(ISNUMBER('IN-CLASS_Lab Part C'!$J$5227),'IN-CLASS_Lab Part C'!$J$5227,NA())</f>
        <v/>
      </c>
    </row>
    <row r="5228">
      <c r="J5228">
        <f>IF(AND(ISNUMBER('Data'!$F$5229),'Data'!$F$5229&lt;&gt;999,'Data'!$F$5229&lt;&gt;""),'Data'!$F$5229,"")</f>
        <v/>
      </c>
      <c r="Z5228" t="n">
        <v>1</v>
      </c>
      <c r="AA5228">
        <f>IF(ISNUMBER('IN-CLASS_Lab Part C'!$J$5228),'IN-CLASS_Lab Part C'!$J$5228,NA())</f>
        <v/>
      </c>
    </row>
    <row r="5229">
      <c r="J5229">
        <f>IF(AND(ISNUMBER('Data'!$F$5230),'Data'!$F$5230&lt;&gt;999,'Data'!$F$5230&lt;&gt;""),'Data'!$F$5230,"")</f>
        <v/>
      </c>
      <c r="Z5229" t="n">
        <v>1</v>
      </c>
      <c r="AA5229">
        <f>IF(ISNUMBER('IN-CLASS_Lab Part C'!$J$5229),'IN-CLASS_Lab Part C'!$J$5229,NA())</f>
        <v/>
      </c>
    </row>
    <row r="5230">
      <c r="J5230">
        <f>IF(AND(ISNUMBER('Data'!$F$5231),'Data'!$F$5231&lt;&gt;999,'Data'!$F$5231&lt;&gt;""),'Data'!$F$5231,"")</f>
        <v/>
      </c>
      <c r="Z5230" t="n">
        <v>1</v>
      </c>
      <c r="AA5230">
        <f>IF(ISNUMBER('IN-CLASS_Lab Part C'!$J$5230),'IN-CLASS_Lab Part C'!$J$5230,NA())</f>
        <v/>
      </c>
    </row>
    <row r="5231">
      <c r="J5231">
        <f>IF(AND(ISNUMBER('Data'!$F$5232),'Data'!$F$5232&lt;&gt;999,'Data'!$F$5232&lt;&gt;""),'Data'!$F$5232,"")</f>
        <v/>
      </c>
      <c r="Z5231" t="n">
        <v>1</v>
      </c>
      <c r="AA5231">
        <f>IF(ISNUMBER('IN-CLASS_Lab Part C'!$J$5231),'IN-CLASS_Lab Part C'!$J$5231,NA())</f>
        <v/>
      </c>
    </row>
    <row r="5232">
      <c r="J5232">
        <f>IF(AND(ISNUMBER('Data'!$F$5233),'Data'!$F$5233&lt;&gt;999,'Data'!$F$5233&lt;&gt;""),'Data'!$F$5233,"")</f>
        <v/>
      </c>
      <c r="Z5232" t="n">
        <v>1</v>
      </c>
      <c r="AA5232">
        <f>IF(ISNUMBER('IN-CLASS_Lab Part C'!$J$5232),'IN-CLASS_Lab Part C'!$J$5232,NA())</f>
        <v/>
      </c>
    </row>
    <row r="5233">
      <c r="J5233">
        <f>IF(AND(ISNUMBER('Data'!$F$5234),'Data'!$F$5234&lt;&gt;999,'Data'!$F$5234&lt;&gt;""),'Data'!$F$5234,"")</f>
        <v/>
      </c>
      <c r="Z5233" t="n">
        <v>1</v>
      </c>
      <c r="AA5233">
        <f>IF(ISNUMBER('IN-CLASS_Lab Part C'!$J$5233),'IN-CLASS_Lab Part C'!$J$5233,NA())</f>
        <v/>
      </c>
    </row>
    <row r="5234">
      <c r="J5234">
        <f>IF(AND(ISNUMBER('Data'!$F$5235),'Data'!$F$5235&lt;&gt;999,'Data'!$F$5235&lt;&gt;""),'Data'!$F$5235,"")</f>
        <v/>
      </c>
      <c r="Z5234" t="n">
        <v>1</v>
      </c>
      <c r="AA5234">
        <f>IF(ISNUMBER('IN-CLASS_Lab Part C'!$J$5234),'IN-CLASS_Lab Part C'!$J$5234,NA())</f>
        <v/>
      </c>
    </row>
    <row r="5235">
      <c r="J5235">
        <f>IF(AND(ISNUMBER('Data'!$F$5236),'Data'!$F$5236&lt;&gt;999,'Data'!$F$5236&lt;&gt;""),'Data'!$F$5236,"")</f>
        <v/>
      </c>
      <c r="Z5235" t="n">
        <v>1</v>
      </c>
      <c r="AA5235">
        <f>IF(ISNUMBER('IN-CLASS_Lab Part C'!$J$5235),'IN-CLASS_Lab Part C'!$J$5235,NA())</f>
        <v/>
      </c>
    </row>
    <row r="5236">
      <c r="J5236">
        <f>IF(AND(ISNUMBER('Data'!$F$5237),'Data'!$F$5237&lt;&gt;999,'Data'!$F$5237&lt;&gt;""),'Data'!$F$5237,"")</f>
        <v/>
      </c>
      <c r="Z5236" t="n">
        <v>1</v>
      </c>
      <c r="AA5236">
        <f>IF(ISNUMBER('IN-CLASS_Lab Part C'!$J$5236),'IN-CLASS_Lab Part C'!$J$5236,NA())</f>
        <v/>
      </c>
    </row>
    <row r="5237">
      <c r="J5237">
        <f>IF(AND(ISNUMBER('Data'!$F$5238),'Data'!$F$5238&lt;&gt;999,'Data'!$F$5238&lt;&gt;""),'Data'!$F$5238,"")</f>
        <v/>
      </c>
      <c r="Z5237" t="n">
        <v>1</v>
      </c>
      <c r="AA5237">
        <f>IF(ISNUMBER('IN-CLASS_Lab Part C'!$J$5237),'IN-CLASS_Lab Part C'!$J$5237,NA())</f>
        <v/>
      </c>
    </row>
    <row r="5238">
      <c r="J5238">
        <f>IF(AND(ISNUMBER('Data'!$F$5239),'Data'!$F$5239&lt;&gt;999,'Data'!$F$5239&lt;&gt;""),'Data'!$F$5239,"")</f>
        <v/>
      </c>
      <c r="Z5238" t="n">
        <v>1</v>
      </c>
      <c r="AA5238">
        <f>IF(ISNUMBER('IN-CLASS_Lab Part C'!$J$5238),'IN-CLASS_Lab Part C'!$J$5238,NA())</f>
        <v/>
      </c>
    </row>
    <row r="5239">
      <c r="J5239">
        <f>IF(AND(ISNUMBER('Data'!$F$5240),'Data'!$F$5240&lt;&gt;999,'Data'!$F$5240&lt;&gt;""),'Data'!$F$5240,"")</f>
        <v/>
      </c>
      <c r="Z5239" t="n">
        <v>1</v>
      </c>
      <c r="AA5239">
        <f>IF(ISNUMBER('IN-CLASS_Lab Part C'!$J$5239),'IN-CLASS_Lab Part C'!$J$5239,NA())</f>
        <v/>
      </c>
    </row>
    <row r="5240">
      <c r="J5240">
        <f>IF(AND(ISNUMBER('Data'!$F$5241),'Data'!$F$5241&lt;&gt;999,'Data'!$F$5241&lt;&gt;""),'Data'!$F$5241,"")</f>
        <v/>
      </c>
      <c r="Z5240" t="n">
        <v>1</v>
      </c>
      <c r="AA5240">
        <f>IF(ISNUMBER('IN-CLASS_Lab Part C'!$J$5240),'IN-CLASS_Lab Part C'!$J$5240,NA())</f>
        <v/>
      </c>
    </row>
    <row r="5241">
      <c r="J5241">
        <f>IF(AND(ISNUMBER('Data'!$F$5242),'Data'!$F$5242&lt;&gt;999,'Data'!$F$5242&lt;&gt;""),'Data'!$F$5242,"")</f>
        <v/>
      </c>
      <c r="Z5241" t="n">
        <v>1</v>
      </c>
      <c r="AA5241">
        <f>IF(ISNUMBER('IN-CLASS_Lab Part C'!$J$5241),'IN-CLASS_Lab Part C'!$J$5241,NA())</f>
        <v/>
      </c>
    </row>
    <row r="5242">
      <c r="J5242">
        <f>IF(AND(ISNUMBER('Data'!$F$5243),'Data'!$F$5243&lt;&gt;999,'Data'!$F$5243&lt;&gt;""),'Data'!$F$5243,"")</f>
        <v/>
      </c>
      <c r="Z5242" t="n">
        <v>1</v>
      </c>
      <c r="AA5242">
        <f>IF(ISNUMBER('IN-CLASS_Lab Part C'!$J$5242),'IN-CLASS_Lab Part C'!$J$5242,NA())</f>
        <v/>
      </c>
    </row>
    <row r="5243">
      <c r="J5243">
        <f>IF(AND(ISNUMBER('Data'!$F$5244),'Data'!$F$5244&lt;&gt;999,'Data'!$F$5244&lt;&gt;""),'Data'!$F$5244,"")</f>
        <v/>
      </c>
      <c r="Z5243" t="n">
        <v>1</v>
      </c>
      <c r="AA5243">
        <f>IF(ISNUMBER('IN-CLASS_Lab Part C'!$J$5243),'IN-CLASS_Lab Part C'!$J$5243,NA())</f>
        <v/>
      </c>
    </row>
    <row r="5244">
      <c r="J5244">
        <f>IF(AND(ISNUMBER('Data'!$F$5245),'Data'!$F$5245&lt;&gt;999,'Data'!$F$5245&lt;&gt;""),'Data'!$F$5245,"")</f>
        <v/>
      </c>
      <c r="Z5244" t="n">
        <v>1</v>
      </c>
      <c r="AA5244">
        <f>IF(ISNUMBER('IN-CLASS_Lab Part C'!$J$5244),'IN-CLASS_Lab Part C'!$J$5244,NA())</f>
        <v/>
      </c>
    </row>
    <row r="5245">
      <c r="J5245">
        <f>IF(AND(ISNUMBER('Data'!$F$5246),'Data'!$F$5246&lt;&gt;999,'Data'!$F$5246&lt;&gt;""),'Data'!$F$5246,"")</f>
        <v/>
      </c>
      <c r="Z5245" t="n">
        <v>1</v>
      </c>
      <c r="AA5245">
        <f>IF(ISNUMBER('IN-CLASS_Lab Part C'!$J$5245),'IN-CLASS_Lab Part C'!$J$5245,NA())</f>
        <v/>
      </c>
    </row>
    <row r="5246">
      <c r="J5246">
        <f>IF(AND(ISNUMBER('Data'!$F$5247),'Data'!$F$5247&lt;&gt;999,'Data'!$F$5247&lt;&gt;""),'Data'!$F$5247,"")</f>
        <v/>
      </c>
      <c r="Z5246" t="n">
        <v>1</v>
      </c>
      <c r="AA5246">
        <f>IF(ISNUMBER('IN-CLASS_Lab Part C'!$J$5246),'IN-CLASS_Lab Part C'!$J$5246,NA())</f>
        <v/>
      </c>
    </row>
    <row r="5247">
      <c r="J5247">
        <f>IF(AND(ISNUMBER('Data'!$F$5248),'Data'!$F$5248&lt;&gt;999,'Data'!$F$5248&lt;&gt;""),'Data'!$F$5248,"")</f>
        <v/>
      </c>
      <c r="Z5247" t="n">
        <v>1</v>
      </c>
      <c r="AA5247">
        <f>IF(ISNUMBER('IN-CLASS_Lab Part C'!$J$5247),'IN-CLASS_Lab Part C'!$J$5247,NA())</f>
        <v/>
      </c>
    </row>
    <row r="5248">
      <c r="J5248">
        <f>IF(AND(ISNUMBER('Data'!$F$5249),'Data'!$F$5249&lt;&gt;999,'Data'!$F$5249&lt;&gt;""),'Data'!$F$5249,"")</f>
        <v/>
      </c>
      <c r="Z5248" t="n">
        <v>1</v>
      </c>
      <c r="AA5248">
        <f>IF(ISNUMBER('IN-CLASS_Lab Part C'!$J$5248),'IN-CLASS_Lab Part C'!$J$5248,NA())</f>
        <v/>
      </c>
    </row>
    <row r="5249">
      <c r="J5249">
        <f>IF(AND(ISNUMBER('Data'!$F$5250),'Data'!$F$5250&lt;&gt;999,'Data'!$F$5250&lt;&gt;""),'Data'!$F$5250,"")</f>
        <v/>
      </c>
      <c r="Z5249" t="n">
        <v>1</v>
      </c>
      <c r="AA5249">
        <f>IF(ISNUMBER('IN-CLASS_Lab Part C'!$J$5249),'IN-CLASS_Lab Part C'!$J$5249,NA())</f>
        <v/>
      </c>
    </row>
    <row r="5250">
      <c r="J5250">
        <f>IF(AND(ISNUMBER('Data'!$F$5251),'Data'!$F$5251&lt;&gt;999,'Data'!$F$5251&lt;&gt;""),'Data'!$F$5251,"")</f>
        <v/>
      </c>
      <c r="Z5250" t="n">
        <v>1</v>
      </c>
      <c r="AA5250">
        <f>IF(ISNUMBER('IN-CLASS_Lab Part C'!$J$5250),'IN-CLASS_Lab Part C'!$J$5250,NA())</f>
        <v/>
      </c>
    </row>
    <row r="5251">
      <c r="J5251">
        <f>IF(AND(ISNUMBER('Data'!$F$5252),'Data'!$F$5252&lt;&gt;999,'Data'!$F$5252&lt;&gt;""),'Data'!$F$5252,"")</f>
        <v/>
      </c>
      <c r="Z5251" t="n">
        <v>1</v>
      </c>
      <c r="AA5251">
        <f>IF(ISNUMBER('IN-CLASS_Lab Part C'!$J$5251),'IN-CLASS_Lab Part C'!$J$5251,NA())</f>
        <v/>
      </c>
    </row>
    <row r="5252">
      <c r="J5252">
        <f>IF(AND(ISNUMBER('Data'!$F$5253),'Data'!$F$5253&lt;&gt;999,'Data'!$F$5253&lt;&gt;""),'Data'!$F$5253,"")</f>
        <v/>
      </c>
      <c r="Z5252" t="n">
        <v>1</v>
      </c>
      <c r="AA5252">
        <f>IF(ISNUMBER('IN-CLASS_Lab Part C'!$J$5252),'IN-CLASS_Lab Part C'!$J$5252,NA())</f>
        <v/>
      </c>
    </row>
    <row r="5253">
      <c r="J5253">
        <f>IF(AND(ISNUMBER('Data'!$F$5254),'Data'!$F$5254&lt;&gt;999,'Data'!$F$5254&lt;&gt;""),'Data'!$F$5254,"")</f>
        <v/>
      </c>
      <c r="Z5253" t="n">
        <v>1</v>
      </c>
      <c r="AA5253">
        <f>IF(ISNUMBER('IN-CLASS_Lab Part C'!$J$5253),'IN-CLASS_Lab Part C'!$J$5253,NA())</f>
        <v/>
      </c>
    </row>
    <row r="5254">
      <c r="J5254">
        <f>IF(AND(ISNUMBER('Data'!$F$5255),'Data'!$F$5255&lt;&gt;999,'Data'!$F$5255&lt;&gt;""),'Data'!$F$5255,"")</f>
        <v/>
      </c>
      <c r="Z5254" t="n">
        <v>1</v>
      </c>
      <c r="AA5254">
        <f>IF(ISNUMBER('IN-CLASS_Lab Part C'!$J$5254),'IN-CLASS_Lab Part C'!$J$5254,NA())</f>
        <v/>
      </c>
    </row>
    <row r="5255">
      <c r="J5255">
        <f>IF(AND(ISNUMBER('Data'!$F$5256),'Data'!$F$5256&lt;&gt;999,'Data'!$F$5256&lt;&gt;""),'Data'!$F$5256,"")</f>
        <v/>
      </c>
      <c r="Z5255" t="n">
        <v>1</v>
      </c>
      <c r="AA5255">
        <f>IF(ISNUMBER('IN-CLASS_Lab Part C'!$J$5255),'IN-CLASS_Lab Part C'!$J$5255,NA())</f>
        <v/>
      </c>
    </row>
    <row r="5256">
      <c r="J5256">
        <f>IF(AND(ISNUMBER('Data'!$F$5257),'Data'!$F$5257&lt;&gt;999,'Data'!$F$5257&lt;&gt;""),'Data'!$F$5257,"")</f>
        <v/>
      </c>
      <c r="Z5256" t="n">
        <v>1</v>
      </c>
      <c r="AA5256">
        <f>IF(ISNUMBER('IN-CLASS_Lab Part C'!$J$5256),'IN-CLASS_Lab Part C'!$J$5256,NA())</f>
        <v/>
      </c>
    </row>
    <row r="5257">
      <c r="J5257">
        <f>IF(AND(ISNUMBER('Data'!$F$5258),'Data'!$F$5258&lt;&gt;999,'Data'!$F$5258&lt;&gt;""),'Data'!$F$5258,"")</f>
        <v/>
      </c>
      <c r="Z5257" t="n">
        <v>1</v>
      </c>
      <c r="AA5257">
        <f>IF(ISNUMBER('IN-CLASS_Lab Part C'!$J$5257),'IN-CLASS_Lab Part C'!$J$5257,NA())</f>
        <v/>
      </c>
    </row>
    <row r="5258">
      <c r="J5258">
        <f>IF(AND(ISNUMBER('Data'!$F$5259),'Data'!$F$5259&lt;&gt;999,'Data'!$F$5259&lt;&gt;""),'Data'!$F$5259,"")</f>
        <v/>
      </c>
      <c r="Z5258" t="n">
        <v>1</v>
      </c>
      <c r="AA5258">
        <f>IF(ISNUMBER('IN-CLASS_Lab Part C'!$J$5258),'IN-CLASS_Lab Part C'!$J$5258,NA())</f>
        <v/>
      </c>
    </row>
    <row r="5259">
      <c r="J5259">
        <f>IF(AND(ISNUMBER('Data'!$F$5260),'Data'!$F$5260&lt;&gt;999,'Data'!$F$5260&lt;&gt;""),'Data'!$F$5260,"")</f>
        <v/>
      </c>
      <c r="Z5259" t="n">
        <v>1</v>
      </c>
      <c r="AA5259">
        <f>IF(ISNUMBER('IN-CLASS_Lab Part C'!$J$5259),'IN-CLASS_Lab Part C'!$J$5259,NA())</f>
        <v/>
      </c>
    </row>
    <row r="5260">
      <c r="J5260">
        <f>IF(AND(ISNUMBER('Data'!$F$5261),'Data'!$F$5261&lt;&gt;999,'Data'!$F$5261&lt;&gt;""),'Data'!$F$5261,"")</f>
        <v/>
      </c>
      <c r="Z5260" t="n">
        <v>1</v>
      </c>
      <c r="AA5260">
        <f>IF(ISNUMBER('IN-CLASS_Lab Part C'!$J$5260),'IN-CLASS_Lab Part C'!$J$5260,NA())</f>
        <v/>
      </c>
    </row>
    <row r="5261">
      <c r="J5261">
        <f>IF(AND(ISNUMBER('Data'!$F$5262),'Data'!$F$5262&lt;&gt;999,'Data'!$F$5262&lt;&gt;""),'Data'!$F$5262,"")</f>
        <v/>
      </c>
      <c r="Z5261" t="n">
        <v>1</v>
      </c>
      <c r="AA5261">
        <f>IF(ISNUMBER('IN-CLASS_Lab Part C'!$J$5261),'IN-CLASS_Lab Part C'!$J$5261,NA())</f>
        <v/>
      </c>
    </row>
    <row r="5262">
      <c r="J5262">
        <f>IF(AND(ISNUMBER('Data'!$F$5263),'Data'!$F$5263&lt;&gt;999,'Data'!$F$5263&lt;&gt;""),'Data'!$F$5263,"")</f>
        <v/>
      </c>
      <c r="Z5262" t="n">
        <v>1</v>
      </c>
      <c r="AA5262">
        <f>IF(ISNUMBER('IN-CLASS_Lab Part C'!$J$5262),'IN-CLASS_Lab Part C'!$J$5262,NA())</f>
        <v/>
      </c>
    </row>
    <row r="5263">
      <c r="J5263">
        <f>IF(AND(ISNUMBER('Data'!$F$5264),'Data'!$F$5264&lt;&gt;999,'Data'!$F$5264&lt;&gt;""),'Data'!$F$5264,"")</f>
        <v/>
      </c>
      <c r="Z5263" t="n">
        <v>1</v>
      </c>
      <c r="AA5263">
        <f>IF(ISNUMBER('IN-CLASS_Lab Part C'!$J$5263),'IN-CLASS_Lab Part C'!$J$5263,NA())</f>
        <v/>
      </c>
    </row>
    <row r="5264">
      <c r="J5264">
        <f>IF(AND(ISNUMBER('Data'!$F$5265),'Data'!$F$5265&lt;&gt;999,'Data'!$F$5265&lt;&gt;""),'Data'!$F$5265,"")</f>
        <v/>
      </c>
      <c r="Z5264" t="n">
        <v>1</v>
      </c>
      <c r="AA5264">
        <f>IF(ISNUMBER('IN-CLASS_Lab Part C'!$J$5264),'IN-CLASS_Lab Part C'!$J$5264,NA())</f>
        <v/>
      </c>
    </row>
    <row r="5265">
      <c r="J5265">
        <f>IF(AND(ISNUMBER('Data'!$F$5266),'Data'!$F$5266&lt;&gt;999,'Data'!$F$5266&lt;&gt;""),'Data'!$F$5266,"")</f>
        <v/>
      </c>
      <c r="Z5265" t="n">
        <v>1</v>
      </c>
      <c r="AA5265">
        <f>IF(ISNUMBER('IN-CLASS_Lab Part C'!$J$5265),'IN-CLASS_Lab Part C'!$J$5265,NA())</f>
        <v/>
      </c>
    </row>
    <row r="5266">
      <c r="J5266">
        <f>IF(AND(ISNUMBER('Data'!$F$5267),'Data'!$F$5267&lt;&gt;999,'Data'!$F$5267&lt;&gt;""),'Data'!$F$5267,"")</f>
        <v/>
      </c>
      <c r="Z5266" t="n">
        <v>1</v>
      </c>
      <c r="AA5266">
        <f>IF(ISNUMBER('IN-CLASS_Lab Part C'!$J$5266),'IN-CLASS_Lab Part C'!$J$5266,NA())</f>
        <v/>
      </c>
    </row>
    <row r="5267">
      <c r="J5267">
        <f>IF(AND(ISNUMBER('Data'!$F$5268),'Data'!$F$5268&lt;&gt;999,'Data'!$F$5268&lt;&gt;""),'Data'!$F$5268,"")</f>
        <v/>
      </c>
      <c r="Z5267" t="n">
        <v>1</v>
      </c>
      <c r="AA5267">
        <f>IF(ISNUMBER('IN-CLASS_Lab Part C'!$J$5267),'IN-CLASS_Lab Part C'!$J$5267,NA())</f>
        <v/>
      </c>
    </row>
    <row r="5268">
      <c r="J5268">
        <f>IF(AND(ISNUMBER('Data'!$F$5269),'Data'!$F$5269&lt;&gt;999,'Data'!$F$5269&lt;&gt;""),'Data'!$F$5269,"")</f>
        <v/>
      </c>
      <c r="Z5268" t="n">
        <v>1</v>
      </c>
      <c r="AA5268">
        <f>IF(ISNUMBER('IN-CLASS_Lab Part C'!$J$5268),'IN-CLASS_Lab Part C'!$J$5268,NA())</f>
        <v/>
      </c>
    </row>
    <row r="5269">
      <c r="J5269">
        <f>IF(AND(ISNUMBER('Data'!$F$5270),'Data'!$F$5270&lt;&gt;999,'Data'!$F$5270&lt;&gt;""),'Data'!$F$5270,"")</f>
        <v/>
      </c>
      <c r="Z5269" t="n">
        <v>1</v>
      </c>
      <c r="AA5269">
        <f>IF(ISNUMBER('IN-CLASS_Lab Part C'!$J$5269),'IN-CLASS_Lab Part C'!$J$5269,NA())</f>
        <v/>
      </c>
    </row>
    <row r="5270">
      <c r="J5270">
        <f>IF(AND(ISNUMBER('Data'!$F$5271),'Data'!$F$5271&lt;&gt;999,'Data'!$F$5271&lt;&gt;""),'Data'!$F$5271,"")</f>
        <v/>
      </c>
      <c r="Z5270" t="n">
        <v>1</v>
      </c>
      <c r="AA5270">
        <f>IF(ISNUMBER('IN-CLASS_Lab Part C'!$J$5270),'IN-CLASS_Lab Part C'!$J$5270,NA())</f>
        <v/>
      </c>
    </row>
    <row r="5271">
      <c r="J5271">
        <f>IF(AND(ISNUMBER('Data'!$F$5272),'Data'!$F$5272&lt;&gt;999,'Data'!$F$5272&lt;&gt;""),'Data'!$F$5272,"")</f>
        <v/>
      </c>
      <c r="Z5271" t="n">
        <v>1</v>
      </c>
      <c r="AA5271">
        <f>IF(ISNUMBER('IN-CLASS_Lab Part C'!$J$5271),'IN-CLASS_Lab Part C'!$J$5271,NA())</f>
        <v/>
      </c>
    </row>
    <row r="5272">
      <c r="J5272">
        <f>IF(AND(ISNUMBER('Data'!$F$5273),'Data'!$F$5273&lt;&gt;999,'Data'!$F$5273&lt;&gt;""),'Data'!$F$5273,"")</f>
        <v/>
      </c>
      <c r="Z5272" t="n">
        <v>1</v>
      </c>
      <c r="AA5272">
        <f>IF(ISNUMBER('IN-CLASS_Lab Part C'!$J$5272),'IN-CLASS_Lab Part C'!$J$5272,NA())</f>
        <v/>
      </c>
    </row>
    <row r="5273">
      <c r="J5273">
        <f>IF(AND(ISNUMBER('Data'!$F$5274),'Data'!$F$5274&lt;&gt;999,'Data'!$F$5274&lt;&gt;""),'Data'!$F$5274,"")</f>
        <v/>
      </c>
      <c r="Z5273" t="n">
        <v>1</v>
      </c>
      <c r="AA5273">
        <f>IF(ISNUMBER('IN-CLASS_Lab Part C'!$J$5273),'IN-CLASS_Lab Part C'!$J$5273,NA())</f>
        <v/>
      </c>
    </row>
    <row r="5274">
      <c r="J5274">
        <f>IF(AND(ISNUMBER('Data'!$F$5275),'Data'!$F$5275&lt;&gt;999,'Data'!$F$5275&lt;&gt;""),'Data'!$F$5275,"")</f>
        <v/>
      </c>
      <c r="Z5274" t="n">
        <v>1</v>
      </c>
      <c r="AA5274">
        <f>IF(ISNUMBER('IN-CLASS_Lab Part C'!$J$5274),'IN-CLASS_Lab Part C'!$J$5274,NA())</f>
        <v/>
      </c>
    </row>
    <row r="5275">
      <c r="J5275">
        <f>IF(AND(ISNUMBER('Data'!$F$5276),'Data'!$F$5276&lt;&gt;999,'Data'!$F$5276&lt;&gt;""),'Data'!$F$5276,"")</f>
        <v/>
      </c>
      <c r="Z5275" t="n">
        <v>1</v>
      </c>
      <c r="AA5275">
        <f>IF(ISNUMBER('IN-CLASS_Lab Part C'!$J$5275),'IN-CLASS_Lab Part C'!$J$5275,NA())</f>
        <v/>
      </c>
    </row>
    <row r="5276">
      <c r="J5276">
        <f>IF(AND(ISNUMBER('Data'!$F$5277),'Data'!$F$5277&lt;&gt;999,'Data'!$F$5277&lt;&gt;""),'Data'!$F$5277,"")</f>
        <v/>
      </c>
      <c r="Z5276" t="n">
        <v>1</v>
      </c>
      <c r="AA5276">
        <f>IF(ISNUMBER('IN-CLASS_Lab Part C'!$J$5276),'IN-CLASS_Lab Part C'!$J$5276,NA())</f>
        <v/>
      </c>
    </row>
    <row r="5277">
      <c r="J5277">
        <f>IF(AND(ISNUMBER('Data'!$F$5278),'Data'!$F$5278&lt;&gt;999,'Data'!$F$5278&lt;&gt;""),'Data'!$F$5278,"")</f>
        <v/>
      </c>
      <c r="Z5277" t="n">
        <v>1</v>
      </c>
      <c r="AA5277">
        <f>IF(ISNUMBER('IN-CLASS_Lab Part C'!$J$5277),'IN-CLASS_Lab Part C'!$J$5277,NA())</f>
        <v/>
      </c>
    </row>
    <row r="5278">
      <c r="J5278">
        <f>IF(AND(ISNUMBER('Data'!$F$5279),'Data'!$F$5279&lt;&gt;999,'Data'!$F$5279&lt;&gt;""),'Data'!$F$5279,"")</f>
        <v/>
      </c>
      <c r="Z5278" t="n">
        <v>1</v>
      </c>
      <c r="AA5278">
        <f>IF(ISNUMBER('IN-CLASS_Lab Part C'!$J$5278),'IN-CLASS_Lab Part C'!$J$5278,NA())</f>
        <v/>
      </c>
    </row>
    <row r="5279">
      <c r="J5279">
        <f>IF(AND(ISNUMBER('Data'!$F$5280),'Data'!$F$5280&lt;&gt;999,'Data'!$F$5280&lt;&gt;""),'Data'!$F$5280,"")</f>
        <v/>
      </c>
      <c r="Z5279" t="n">
        <v>1</v>
      </c>
      <c r="AA5279">
        <f>IF(ISNUMBER('IN-CLASS_Lab Part C'!$J$5279),'IN-CLASS_Lab Part C'!$J$5279,NA())</f>
        <v/>
      </c>
    </row>
    <row r="5280">
      <c r="J5280">
        <f>IF(AND(ISNUMBER('Data'!$F$5281),'Data'!$F$5281&lt;&gt;999,'Data'!$F$5281&lt;&gt;""),'Data'!$F$5281,"")</f>
        <v/>
      </c>
      <c r="Z5280" t="n">
        <v>1</v>
      </c>
      <c r="AA5280">
        <f>IF(ISNUMBER('IN-CLASS_Lab Part C'!$J$5280),'IN-CLASS_Lab Part C'!$J$5280,NA())</f>
        <v/>
      </c>
    </row>
    <row r="5281">
      <c r="J5281">
        <f>IF(AND(ISNUMBER('Data'!$F$5282),'Data'!$F$5282&lt;&gt;999,'Data'!$F$5282&lt;&gt;""),'Data'!$F$5282,"")</f>
        <v/>
      </c>
      <c r="Z5281" t="n">
        <v>1</v>
      </c>
      <c r="AA5281">
        <f>IF(ISNUMBER('IN-CLASS_Lab Part C'!$J$5281),'IN-CLASS_Lab Part C'!$J$5281,NA())</f>
        <v/>
      </c>
    </row>
    <row r="5282">
      <c r="J5282">
        <f>IF(AND(ISNUMBER('Data'!$F$5283),'Data'!$F$5283&lt;&gt;999,'Data'!$F$5283&lt;&gt;""),'Data'!$F$5283,"")</f>
        <v/>
      </c>
      <c r="Z5282" t="n">
        <v>1</v>
      </c>
      <c r="AA5282">
        <f>IF(ISNUMBER('IN-CLASS_Lab Part C'!$J$5282),'IN-CLASS_Lab Part C'!$J$5282,NA())</f>
        <v/>
      </c>
    </row>
    <row r="5283">
      <c r="J5283">
        <f>IF(AND(ISNUMBER('Data'!$F$5284),'Data'!$F$5284&lt;&gt;999,'Data'!$F$5284&lt;&gt;""),'Data'!$F$5284,"")</f>
        <v/>
      </c>
      <c r="Z5283" t="n">
        <v>1</v>
      </c>
      <c r="AA5283">
        <f>IF(ISNUMBER('IN-CLASS_Lab Part C'!$J$5283),'IN-CLASS_Lab Part C'!$J$5283,NA())</f>
        <v/>
      </c>
    </row>
    <row r="5284">
      <c r="J5284">
        <f>IF(AND(ISNUMBER('Data'!$F$5285),'Data'!$F$5285&lt;&gt;999,'Data'!$F$5285&lt;&gt;""),'Data'!$F$5285,"")</f>
        <v/>
      </c>
      <c r="Z5284" t="n">
        <v>1</v>
      </c>
      <c r="AA5284">
        <f>IF(ISNUMBER('IN-CLASS_Lab Part C'!$J$5284),'IN-CLASS_Lab Part C'!$J$5284,NA())</f>
        <v/>
      </c>
    </row>
    <row r="5285">
      <c r="J5285">
        <f>IF(AND(ISNUMBER('Data'!$F$5286),'Data'!$F$5286&lt;&gt;999,'Data'!$F$5286&lt;&gt;""),'Data'!$F$5286,"")</f>
        <v/>
      </c>
      <c r="Z5285" t="n">
        <v>1</v>
      </c>
      <c r="AA5285">
        <f>IF(ISNUMBER('IN-CLASS_Lab Part C'!$J$5285),'IN-CLASS_Lab Part C'!$J$5285,NA())</f>
        <v/>
      </c>
    </row>
    <row r="5286">
      <c r="J5286">
        <f>IF(AND(ISNUMBER('Data'!$F$5287),'Data'!$F$5287&lt;&gt;999,'Data'!$F$5287&lt;&gt;""),'Data'!$F$5287,"")</f>
        <v/>
      </c>
      <c r="Z5286" t="n">
        <v>1</v>
      </c>
      <c r="AA5286">
        <f>IF(ISNUMBER('IN-CLASS_Lab Part C'!$J$5286),'IN-CLASS_Lab Part C'!$J$5286,NA())</f>
        <v/>
      </c>
    </row>
    <row r="5287">
      <c r="J5287">
        <f>IF(AND(ISNUMBER('Data'!$F$5288),'Data'!$F$5288&lt;&gt;999,'Data'!$F$5288&lt;&gt;""),'Data'!$F$5288,"")</f>
        <v/>
      </c>
      <c r="Z5287" t="n">
        <v>1</v>
      </c>
      <c r="AA5287">
        <f>IF(ISNUMBER('IN-CLASS_Lab Part C'!$J$5287),'IN-CLASS_Lab Part C'!$J$5287,NA())</f>
        <v/>
      </c>
    </row>
    <row r="5288">
      <c r="J5288">
        <f>IF(AND(ISNUMBER('Data'!$F$5289),'Data'!$F$5289&lt;&gt;999,'Data'!$F$5289&lt;&gt;""),'Data'!$F$5289,"")</f>
        <v/>
      </c>
      <c r="Z5288" t="n">
        <v>1</v>
      </c>
      <c r="AA5288">
        <f>IF(ISNUMBER('IN-CLASS_Lab Part C'!$J$5288),'IN-CLASS_Lab Part C'!$J$5288,NA())</f>
        <v/>
      </c>
    </row>
    <row r="5289">
      <c r="J5289">
        <f>IF(AND(ISNUMBER('Data'!$F$5290),'Data'!$F$5290&lt;&gt;999,'Data'!$F$5290&lt;&gt;""),'Data'!$F$5290,"")</f>
        <v/>
      </c>
      <c r="Z5289" t="n">
        <v>1</v>
      </c>
      <c r="AA5289">
        <f>IF(ISNUMBER('IN-CLASS_Lab Part C'!$J$5289),'IN-CLASS_Lab Part C'!$J$5289,NA())</f>
        <v/>
      </c>
    </row>
    <row r="5290">
      <c r="J5290">
        <f>IF(AND(ISNUMBER('Data'!$F$5291),'Data'!$F$5291&lt;&gt;999,'Data'!$F$5291&lt;&gt;""),'Data'!$F$5291,"")</f>
        <v/>
      </c>
      <c r="Z5290" t="n">
        <v>1</v>
      </c>
      <c r="AA5290">
        <f>IF(ISNUMBER('IN-CLASS_Lab Part C'!$J$5290),'IN-CLASS_Lab Part C'!$J$5290,NA())</f>
        <v/>
      </c>
    </row>
    <row r="5291">
      <c r="J5291">
        <f>IF(AND(ISNUMBER('Data'!$F$5292),'Data'!$F$5292&lt;&gt;999,'Data'!$F$5292&lt;&gt;""),'Data'!$F$5292,"")</f>
        <v/>
      </c>
      <c r="Z5291" t="n">
        <v>1</v>
      </c>
      <c r="AA5291">
        <f>IF(ISNUMBER('IN-CLASS_Lab Part C'!$J$5291),'IN-CLASS_Lab Part C'!$J$5291,NA())</f>
        <v/>
      </c>
    </row>
    <row r="5292">
      <c r="J5292">
        <f>IF(AND(ISNUMBER('Data'!$F$5293),'Data'!$F$5293&lt;&gt;999,'Data'!$F$5293&lt;&gt;""),'Data'!$F$5293,"")</f>
        <v/>
      </c>
      <c r="Z5292" t="n">
        <v>1</v>
      </c>
      <c r="AA5292">
        <f>IF(ISNUMBER('IN-CLASS_Lab Part C'!$J$5292),'IN-CLASS_Lab Part C'!$J$5292,NA())</f>
        <v/>
      </c>
    </row>
    <row r="5293">
      <c r="J5293">
        <f>IF(AND(ISNUMBER('Data'!$F$5294),'Data'!$F$5294&lt;&gt;999,'Data'!$F$5294&lt;&gt;""),'Data'!$F$5294,"")</f>
        <v/>
      </c>
      <c r="Z5293" t="n">
        <v>1</v>
      </c>
      <c r="AA5293">
        <f>IF(ISNUMBER('IN-CLASS_Lab Part C'!$J$5293),'IN-CLASS_Lab Part C'!$J$5293,NA())</f>
        <v/>
      </c>
    </row>
    <row r="5294">
      <c r="J5294">
        <f>IF(AND(ISNUMBER('Data'!$F$5295),'Data'!$F$5295&lt;&gt;999,'Data'!$F$5295&lt;&gt;""),'Data'!$F$5295,"")</f>
        <v/>
      </c>
      <c r="Z5294" t="n">
        <v>1</v>
      </c>
      <c r="AA5294">
        <f>IF(ISNUMBER('IN-CLASS_Lab Part C'!$J$5294),'IN-CLASS_Lab Part C'!$J$5294,NA())</f>
        <v/>
      </c>
    </row>
    <row r="5295">
      <c r="J5295">
        <f>IF(AND(ISNUMBER('Data'!$F$5296),'Data'!$F$5296&lt;&gt;999,'Data'!$F$5296&lt;&gt;""),'Data'!$F$5296,"")</f>
        <v/>
      </c>
      <c r="Z5295" t="n">
        <v>1</v>
      </c>
      <c r="AA5295">
        <f>IF(ISNUMBER('IN-CLASS_Lab Part C'!$J$5295),'IN-CLASS_Lab Part C'!$J$5295,NA())</f>
        <v/>
      </c>
    </row>
    <row r="5296">
      <c r="J5296">
        <f>IF(AND(ISNUMBER('Data'!$F$5297),'Data'!$F$5297&lt;&gt;999,'Data'!$F$5297&lt;&gt;""),'Data'!$F$5297,"")</f>
        <v/>
      </c>
      <c r="Z5296" t="n">
        <v>1</v>
      </c>
      <c r="AA5296">
        <f>IF(ISNUMBER('IN-CLASS_Lab Part C'!$J$5296),'IN-CLASS_Lab Part C'!$J$5296,NA())</f>
        <v/>
      </c>
    </row>
    <row r="5297">
      <c r="J5297">
        <f>IF(AND(ISNUMBER('Data'!$F$5298),'Data'!$F$5298&lt;&gt;999,'Data'!$F$5298&lt;&gt;""),'Data'!$F$5298,"")</f>
        <v/>
      </c>
      <c r="Z5297" t="n">
        <v>1</v>
      </c>
      <c r="AA5297">
        <f>IF(ISNUMBER('IN-CLASS_Lab Part C'!$J$5297),'IN-CLASS_Lab Part C'!$J$5297,NA())</f>
        <v/>
      </c>
    </row>
    <row r="5298">
      <c r="J5298">
        <f>IF(AND(ISNUMBER('Data'!$F$5299),'Data'!$F$5299&lt;&gt;999,'Data'!$F$5299&lt;&gt;""),'Data'!$F$5299,"")</f>
        <v/>
      </c>
      <c r="Z5298" t="n">
        <v>1</v>
      </c>
      <c r="AA5298">
        <f>IF(ISNUMBER('IN-CLASS_Lab Part C'!$J$5298),'IN-CLASS_Lab Part C'!$J$5298,NA())</f>
        <v/>
      </c>
    </row>
    <row r="5299">
      <c r="J5299">
        <f>IF(AND(ISNUMBER('Data'!$F$5300),'Data'!$F$5300&lt;&gt;999,'Data'!$F$5300&lt;&gt;""),'Data'!$F$5300,"")</f>
        <v/>
      </c>
      <c r="Z5299" t="n">
        <v>1</v>
      </c>
      <c r="AA5299">
        <f>IF(ISNUMBER('IN-CLASS_Lab Part C'!$J$5299),'IN-CLASS_Lab Part C'!$J$5299,NA())</f>
        <v/>
      </c>
    </row>
    <row r="5300">
      <c r="J5300">
        <f>IF(AND(ISNUMBER('Data'!$F$5301),'Data'!$F$5301&lt;&gt;999,'Data'!$F$5301&lt;&gt;""),'Data'!$F$5301,"")</f>
        <v/>
      </c>
      <c r="Z5300" t="n">
        <v>1</v>
      </c>
      <c r="AA5300">
        <f>IF(ISNUMBER('IN-CLASS_Lab Part C'!$J$5300),'IN-CLASS_Lab Part C'!$J$5300,NA())</f>
        <v/>
      </c>
    </row>
    <row r="5301">
      <c r="J5301">
        <f>IF(AND(ISNUMBER('Data'!$F$5302),'Data'!$F$5302&lt;&gt;999,'Data'!$F$5302&lt;&gt;""),'Data'!$F$5302,"")</f>
        <v/>
      </c>
      <c r="Z5301" t="n">
        <v>1</v>
      </c>
      <c r="AA5301">
        <f>IF(ISNUMBER('IN-CLASS_Lab Part C'!$J$5301),'IN-CLASS_Lab Part C'!$J$5301,NA())</f>
        <v/>
      </c>
    </row>
    <row r="5302">
      <c r="J5302">
        <f>IF(AND(ISNUMBER('Data'!$F$5303),'Data'!$F$5303&lt;&gt;999,'Data'!$F$5303&lt;&gt;""),'Data'!$F$5303,"")</f>
        <v/>
      </c>
      <c r="Z5302" t="n">
        <v>1</v>
      </c>
      <c r="AA5302">
        <f>IF(ISNUMBER('IN-CLASS_Lab Part C'!$J$5302),'IN-CLASS_Lab Part C'!$J$5302,NA())</f>
        <v/>
      </c>
    </row>
    <row r="5303">
      <c r="J5303">
        <f>IF(AND(ISNUMBER('Data'!$F$5304),'Data'!$F$5304&lt;&gt;999,'Data'!$F$5304&lt;&gt;""),'Data'!$F$5304,"")</f>
        <v/>
      </c>
      <c r="Z5303" t="n">
        <v>1</v>
      </c>
      <c r="AA5303">
        <f>IF(ISNUMBER('IN-CLASS_Lab Part C'!$J$5303),'IN-CLASS_Lab Part C'!$J$5303,NA())</f>
        <v/>
      </c>
    </row>
    <row r="5304">
      <c r="J5304">
        <f>IF(AND(ISNUMBER('Data'!$F$5305),'Data'!$F$5305&lt;&gt;999,'Data'!$F$5305&lt;&gt;""),'Data'!$F$5305,"")</f>
        <v/>
      </c>
      <c r="Z5304" t="n">
        <v>1</v>
      </c>
      <c r="AA5304">
        <f>IF(ISNUMBER('IN-CLASS_Lab Part C'!$J$5304),'IN-CLASS_Lab Part C'!$J$5304,NA())</f>
        <v/>
      </c>
    </row>
    <row r="5305">
      <c r="J5305">
        <f>IF(AND(ISNUMBER('Data'!$F$5306),'Data'!$F$5306&lt;&gt;999,'Data'!$F$5306&lt;&gt;""),'Data'!$F$5306,"")</f>
        <v/>
      </c>
      <c r="Z5305" t="n">
        <v>1</v>
      </c>
      <c r="AA5305">
        <f>IF(ISNUMBER('IN-CLASS_Lab Part C'!$J$5305),'IN-CLASS_Lab Part C'!$J$5305,NA())</f>
        <v/>
      </c>
    </row>
    <row r="5306">
      <c r="J5306">
        <f>IF(AND(ISNUMBER('Data'!$F$5307),'Data'!$F$5307&lt;&gt;999,'Data'!$F$5307&lt;&gt;""),'Data'!$F$5307,"")</f>
        <v/>
      </c>
      <c r="Z5306" t="n">
        <v>1</v>
      </c>
      <c r="AA5306">
        <f>IF(ISNUMBER('IN-CLASS_Lab Part C'!$J$5306),'IN-CLASS_Lab Part C'!$J$5306,NA())</f>
        <v/>
      </c>
    </row>
    <row r="5307">
      <c r="J5307">
        <f>IF(AND(ISNUMBER('Data'!$F$5308),'Data'!$F$5308&lt;&gt;999,'Data'!$F$5308&lt;&gt;""),'Data'!$F$5308,"")</f>
        <v/>
      </c>
      <c r="Z5307" t="n">
        <v>1</v>
      </c>
      <c r="AA5307">
        <f>IF(ISNUMBER('IN-CLASS_Lab Part C'!$J$5307),'IN-CLASS_Lab Part C'!$J$5307,NA())</f>
        <v/>
      </c>
    </row>
    <row r="5308">
      <c r="J5308">
        <f>IF(AND(ISNUMBER('Data'!$F$5309),'Data'!$F$5309&lt;&gt;999,'Data'!$F$5309&lt;&gt;""),'Data'!$F$5309,"")</f>
        <v/>
      </c>
      <c r="Z5308" t="n">
        <v>1</v>
      </c>
      <c r="AA5308">
        <f>IF(ISNUMBER('IN-CLASS_Lab Part C'!$J$5308),'IN-CLASS_Lab Part C'!$J$5308,NA())</f>
        <v/>
      </c>
    </row>
    <row r="5309">
      <c r="J5309">
        <f>IF(AND(ISNUMBER('Data'!$F$5310),'Data'!$F$5310&lt;&gt;999,'Data'!$F$5310&lt;&gt;""),'Data'!$F$5310,"")</f>
        <v/>
      </c>
      <c r="Z5309" t="n">
        <v>1</v>
      </c>
      <c r="AA5309">
        <f>IF(ISNUMBER('IN-CLASS_Lab Part C'!$J$5309),'IN-CLASS_Lab Part C'!$J$5309,NA())</f>
        <v/>
      </c>
    </row>
    <row r="5310">
      <c r="J5310">
        <f>IF(AND(ISNUMBER('Data'!$F$5311),'Data'!$F$5311&lt;&gt;999,'Data'!$F$5311&lt;&gt;""),'Data'!$F$5311,"")</f>
        <v/>
      </c>
      <c r="Z5310" t="n">
        <v>1</v>
      </c>
      <c r="AA5310">
        <f>IF(ISNUMBER('IN-CLASS_Lab Part C'!$J$5310),'IN-CLASS_Lab Part C'!$J$5310,NA())</f>
        <v/>
      </c>
    </row>
    <row r="5311">
      <c r="J5311">
        <f>IF(AND(ISNUMBER('Data'!$F$5312),'Data'!$F$5312&lt;&gt;999,'Data'!$F$5312&lt;&gt;""),'Data'!$F$5312,"")</f>
        <v/>
      </c>
      <c r="Z5311" t="n">
        <v>1</v>
      </c>
      <c r="AA5311">
        <f>IF(ISNUMBER('IN-CLASS_Lab Part C'!$J$5311),'IN-CLASS_Lab Part C'!$J$5311,NA())</f>
        <v/>
      </c>
    </row>
    <row r="5312">
      <c r="J5312">
        <f>IF(AND(ISNUMBER('Data'!$F$5313),'Data'!$F$5313&lt;&gt;999,'Data'!$F$5313&lt;&gt;""),'Data'!$F$5313,"")</f>
        <v/>
      </c>
      <c r="Z5312" t="n">
        <v>1</v>
      </c>
      <c r="AA5312">
        <f>IF(ISNUMBER('IN-CLASS_Lab Part C'!$J$5312),'IN-CLASS_Lab Part C'!$J$5312,NA())</f>
        <v/>
      </c>
    </row>
    <row r="5313">
      <c r="J5313">
        <f>IF(AND(ISNUMBER('Data'!$F$5314),'Data'!$F$5314&lt;&gt;999,'Data'!$F$5314&lt;&gt;""),'Data'!$F$5314,"")</f>
        <v/>
      </c>
      <c r="Z5313" t="n">
        <v>1</v>
      </c>
      <c r="AA5313">
        <f>IF(ISNUMBER('IN-CLASS_Lab Part C'!$J$5313),'IN-CLASS_Lab Part C'!$J$5313,NA())</f>
        <v/>
      </c>
    </row>
    <row r="5314">
      <c r="J5314">
        <f>IF(AND(ISNUMBER('Data'!$F$5315),'Data'!$F$5315&lt;&gt;999,'Data'!$F$5315&lt;&gt;""),'Data'!$F$5315,"")</f>
        <v/>
      </c>
      <c r="Z5314" t="n">
        <v>1</v>
      </c>
      <c r="AA5314">
        <f>IF(ISNUMBER('IN-CLASS_Lab Part C'!$J$5314),'IN-CLASS_Lab Part C'!$J$5314,NA())</f>
        <v/>
      </c>
    </row>
    <row r="5315">
      <c r="J5315">
        <f>IF(AND(ISNUMBER('Data'!$F$5316),'Data'!$F$5316&lt;&gt;999,'Data'!$F$5316&lt;&gt;""),'Data'!$F$5316,"")</f>
        <v/>
      </c>
      <c r="Z5315" t="n">
        <v>1</v>
      </c>
      <c r="AA5315">
        <f>IF(ISNUMBER('IN-CLASS_Lab Part C'!$J$5315),'IN-CLASS_Lab Part C'!$J$5315,NA())</f>
        <v/>
      </c>
    </row>
    <row r="5316">
      <c r="J5316">
        <f>IF(AND(ISNUMBER('Data'!$F$5317),'Data'!$F$5317&lt;&gt;999,'Data'!$F$5317&lt;&gt;""),'Data'!$F$5317,"")</f>
        <v/>
      </c>
      <c r="Z5316" t="n">
        <v>1</v>
      </c>
      <c r="AA5316">
        <f>IF(ISNUMBER('IN-CLASS_Lab Part C'!$J$5316),'IN-CLASS_Lab Part C'!$J$5316,NA())</f>
        <v/>
      </c>
    </row>
    <row r="5317">
      <c r="J5317">
        <f>IF(AND(ISNUMBER('Data'!$F$5318),'Data'!$F$5318&lt;&gt;999,'Data'!$F$5318&lt;&gt;""),'Data'!$F$5318,"")</f>
        <v/>
      </c>
      <c r="Z5317" t="n">
        <v>1</v>
      </c>
      <c r="AA5317">
        <f>IF(ISNUMBER('IN-CLASS_Lab Part C'!$J$5317),'IN-CLASS_Lab Part C'!$J$5317,NA())</f>
        <v/>
      </c>
    </row>
    <row r="5318">
      <c r="J5318">
        <f>IF(AND(ISNUMBER('Data'!$F$5319),'Data'!$F$5319&lt;&gt;999,'Data'!$F$5319&lt;&gt;""),'Data'!$F$5319,"")</f>
        <v/>
      </c>
      <c r="Z5318" t="n">
        <v>1</v>
      </c>
      <c r="AA5318">
        <f>IF(ISNUMBER('IN-CLASS_Lab Part C'!$J$5318),'IN-CLASS_Lab Part C'!$J$5318,NA())</f>
        <v/>
      </c>
    </row>
    <row r="5319">
      <c r="J5319">
        <f>IF(AND(ISNUMBER('Data'!$F$5320),'Data'!$F$5320&lt;&gt;999,'Data'!$F$5320&lt;&gt;""),'Data'!$F$5320,"")</f>
        <v/>
      </c>
      <c r="Z5319" t="n">
        <v>1</v>
      </c>
      <c r="AA5319">
        <f>IF(ISNUMBER('IN-CLASS_Lab Part C'!$J$5319),'IN-CLASS_Lab Part C'!$J$5319,NA())</f>
        <v/>
      </c>
    </row>
    <row r="5320">
      <c r="J5320">
        <f>IF(AND(ISNUMBER('Data'!$F$5321),'Data'!$F$5321&lt;&gt;999,'Data'!$F$5321&lt;&gt;""),'Data'!$F$5321,"")</f>
        <v/>
      </c>
      <c r="Z5320" t="n">
        <v>1</v>
      </c>
      <c r="AA5320">
        <f>IF(ISNUMBER('IN-CLASS_Lab Part C'!$J$5320),'IN-CLASS_Lab Part C'!$J$5320,NA())</f>
        <v/>
      </c>
    </row>
    <row r="5321">
      <c r="J5321">
        <f>IF(AND(ISNUMBER('Data'!$F$5322),'Data'!$F$5322&lt;&gt;999,'Data'!$F$5322&lt;&gt;""),'Data'!$F$5322,"")</f>
        <v/>
      </c>
      <c r="Z5321" t="n">
        <v>1</v>
      </c>
      <c r="AA5321">
        <f>IF(ISNUMBER('IN-CLASS_Lab Part C'!$J$5321),'IN-CLASS_Lab Part C'!$J$5321,NA())</f>
        <v/>
      </c>
    </row>
    <row r="5322">
      <c r="J5322">
        <f>IF(AND(ISNUMBER('Data'!$F$5323),'Data'!$F$5323&lt;&gt;999,'Data'!$F$5323&lt;&gt;""),'Data'!$F$5323,"")</f>
        <v/>
      </c>
      <c r="Z5322" t="n">
        <v>1</v>
      </c>
      <c r="AA5322">
        <f>IF(ISNUMBER('IN-CLASS_Lab Part C'!$J$5322),'IN-CLASS_Lab Part C'!$J$5322,NA())</f>
        <v/>
      </c>
    </row>
    <row r="5323">
      <c r="J5323">
        <f>IF(AND(ISNUMBER('Data'!$F$5324),'Data'!$F$5324&lt;&gt;999,'Data'!$F$5324&lt;&gt;""),'Data'!$F$5324,"")</f>
        <v/>
      </c>
      <c r="Z5323" t="n">
        <v>1</v>
      </c>
      <c r="AA5323">
        <f>IF(ISNUMBER('IN-CLASS_Lab Part C'!$J$5323),'IN-CLASS_Lab Part C'!$J$5323,NA())</f>
        <v/>
      </c>
    </row>
    <row r="5324">
      <c r="J5324">
        <f>IF(AND(ISNUMBER('Data'!$F$5325),'Data'!$F$5325&lt;&gt;999,'Data'!$F$5325&lt;&gt;""),'Data'!$F$5325,"")</f>
        <v/>
      </c>
      <c r="Z5324" t="n">
        <v>1</v>
      </c>
      <c r="AA5324">
        <f>IF(ISNUMBER('IN-CLASS_Lab Part C'!$J$5324),'IN-CLASS_Lab Part C'!$J$5324,NA())</f>
        <v/>
      </c>
    </row>
    <row r="5325">
      <c r="J5325">
        <f>IF(AND(ISNUMBER('Data'!$F$5326),'Data'!$F$5326&lt;&gt;999,'Data'!$F$5326&lt;&gt;""),'Data'!$F$5326,"")</f>
        <v/>
      </c>
      <c r="Z5325" t="n">
        <v>1</v>
      </c>
      <c r="AA5325">
        <f>IF(ISNUMBER('IN-CLASS_Lab Part C'!$J$5325),'IN-CLASS_Lab Part C'!$J$5325,NA())</f>
        <v/>
      </c>
    </row>
    <row r="5326">
      <c r="J5326">
        <f>IF(AND(ISNUMBER('Data'!$F$5327),'Data'!$F$5327&lt;&gt;999,'Data'!$F$5327&lt;&gt;""),'Data'!$F$5327,"")</f>
        <v/>
      </c>
      <c r="Z5326" t="n">
        <v>1</v>
      </c>
      <c r="AA5326">
        <f>IF(ISNUMBER('IN-CLASS_Lab Part C'!$J$5326),'IN-CLASS_Lab Part C'!$J$5326,NA())</f>
        <v/>
      </c>
    </row>
    <row r="5327">
      <c r="J5327">
        <f>IF(AND(ISNUMBER('Data'!$F$5328),'Data'!$F$5328&lt;&gt;999,'Data'!$F$5328&lt;&gt;""),'Data'!$F$5328,"")</f>
        <v/>
      </c>
      <c r="Z5327" t="n">
        <v>1</v>
      </c>
      <c r="AA5327">
        <f>IF(ISNUMBER('IN-CLASS_Lab Part C'!$J$5327),'IN-CLASS_Lab Part C'!$J$5327,NA())</f>
        <v/>
      </c>
    </row>
    <row r="5328">
      <c r="J5328">
        <f>IF(AND(ISNUMBER('Data'!$F$5329),'Data'!$F$5329&lt;&gt;999,'Data'!$F$5329&lt;&gt;""),'Data'!$F$5329,"")</f>
        <v/>
      </c>
      <c r="Z5328" t="n">
        <v>1</v>
      </c>
      <c r="AA5328">
        <f>IF(ISNUMBER('IN-CLASS_Lab Part C'!$J$5328),'IN-CLASS_Lab Part C'!$J$5328,NA())</f>
        <v/>
      </c>
    </row>
    <row r="5329">
      <c r="J5329">
        <f>IF(AND(ISNUMBER('Data'!$F$5330),'Data'!$F$5330&lt;&gt;999,'Data'!$F$5330&lt;&gt;""),'Data'!$F$5330,"")</f>
        <v/>
      </c>
      <c r="Z5329" t="n">
        <v>1</v>
      </c>
      <c r="AA5329">
        <f>IF(ISNUMBER('IN-CLASS_Lab Part C'!$J$5329),'IN-CLASS_Lab Part C'!$J$5329,NA())</f>
        <v/>
      </c>
    </row>
    <row r="5330">
      <c r="J5330">
        <f>IF(AND(ISNUMBER('Data'!$F$5331),'Data'!$F$5331&lt;&gt;999,'Data'!$F$5331&lt;&gt;""),'Data'!$F$5331,"")</f>
        <v/>
      </c>
      <c r="Z5330" t="n">
        <v>1</v>
      </c>
      <c r="AA5330">
        <f>IF(ISNUMBER('IN-CLASS_Lab Part C'!$J$5330),'IN-CLASS_Lab Part C'!$J$5330,NA())</f>
        <v/>
      </c>
    </row>
    <row r="5331">
      <c r="J5331">
        <f>IF(AND(ISNUMBER('Data'!$F$5332),'Data'!$F$5332&lt;&gt;999,'Data'!$F$5332&lt;&gt;""),'Data'!$F$5332,"")</f>
        <v/>
      </c>
      <c r="Z5331" t="n">
        <v>1</v>
      </c>
      <c r="AA5331">
        <f>IF(ISNUMBER('IN-CLASS_Lab Part C'!$J$5331),'IN-CLASS_Lab Part C'!$J$5331,NA())</f>
        <v/>
      </c>
    </row>
    <row r="5332">
      <c r="J5332">
        <f>IF(AND(ISNUMBER('Data'!$F$5333),'Data'!$F$5333&lt;&gt;999,'Data'!$F$5333&lt;&gt;""),'Data'!$F$5333,"")</f>
        <v/>
      </c>
      <c r="Z5332" t="n">
        <v>1</v>
      </c>
      <c r="AA5332">
        <f>IF(ISNUMBER('IN-CLASS_Lab Part C'!$J$5332),'IN-CLASS_Lab Part C'!$J$5332,NA())</f>
        <v/>
      </c>
    </row>
    <row r="5333">
      <c r="J5333">
        <f>IF(AND(ISNUMBER('Data'!$F$5334),'Data'!$F$5334&lt;&gt;999,'Data'!$F$5334&lt;&gt;""),'Data'!$F$5334,"")</f>
        <v/>
      </c>
      <c r="Z5333" t="n">
        <v>1</v>
      </c>
      <c r="AA5333">
        <f>IF(ISNUMBER('IN-CLASS_Lab Part C'!$J$5333),'IN-CLASS_Lab Part C'!$J$5333,NA())</f>
        <v/>
      </c>
    </row>
    <row r="5334">
      <c r="J5334">
        <f>IF(AND(ISNUMBER('Data'!$F$5335),'Data'!$F$5335&lt;&gt;999,'Data'!$F$5335&lt;&gt;""),'Data'!$F$5335,"")</f>
        <v/>
      </c>
      <c r="Z5334" t="n">
        <v>1</v>
      </c>
      <c r="AA5334">
        <f>IF(ISNUMBER('IN-CLASS_Lab Part C'!$J$5334),'IN-CLASS_Lab Part C'!$J$5334,NA())</f>
        <v/>
      </c>
    </row>
    <row r="5335">
      <c r="J5335">
        <f>IF(AND(ISNUMBER('Data'!$F$5336),'Data'!$F$5336&lt;&gt;999,'Data'!$F$5336&lt;&gt;""),'Data'!$F$5336,"")</f>
        <v/>
      </c>
      <c r="Z5335" t="n">
        <v>1</v>
      </c>
      <c r="AA5335">
        <f>IF(ISNUMBER('IN-CLASS_Lab Part C'!$J$5335),'IN-CLASS_Lab Part C'!$J$5335,NA())</f>
        <v/>
      </c>
    </row>
    <row r="5336">
      <c r="J5336">
        <f>IF(AND(ISNUMBER('Data'!$F$5337),'Data'!$F$5337&lt;&gt;999,'Data'!$F$5337&lt;&gt;""),'Data'!$F$5337,"")</f>
        <v/>
      </c>
      <c r="Z5336" t="n">
        <v>1</v>
      </c>
      <c r="AA5336">
        <f>IF(ISNUMBER('IN-CLASS_Lab Part C'!$J$5336),'IN-CLASS_Lab Part C'!$J$5336,NA())</f>
        <v/>
      </c>
    </row>
    <row r="5337">
      <c r="J5337">
        <f>IF(AND(ISNUMBER('Data'!$F$5338),'Data'!$F$5338&lt;&gt;999,'Data'!$F$5338&lt;&gt;""),'Data'!$F$5338,"")</f>
        <v/>
      </c>
      <c r="Z5337" t="n">
        <v>1</v>
      </c>
      <c r="AA5337">
        <f>IF(ISNUMBER('IN-CLASS_Lab Part C'!$J$5337),'IN-CLASS_Lab Part C'!$J$5337,NA())</f>
        <v/>
      </c>
    </row>
    <row r="5338">
      <c r="J5338">
        <f>IF(AND(ISNUMBER('Data'!$F$5339),'Data'!$F$5339&lt;&gt;999,'Data'!$F$5339&lt;&gt;""),'Data'!$F$5339,"")</f>
        <v/>
      </c>
      <c r="Z5338" t="n">
        <v>1</v>
      </c>
      <c r="AA5338">
        <f>IF(ISNUMBER('IN-CLASS_Lab Part C'!$J$5338),'IN-CLASS_Lab Part C'!$J$5338,NA())</f>
        <v/>
      </c>
    </row>
    <row r="5339">
      <c r="J5339">
        <f>IF(AND(ISNUMBER('Data'!$F$5340),'Data'!$F$5340&lt;&gt;999,'Data'!$F$5340&lt;&gt;""),'Data'!$F$5340,"")</f>
        <v/>
      </c>
      <c r="Z5339" t="n">
        <v>1</v>
      </c>
      <c r="AA5339">
        <f>IF(ISNUMBER('IN-CLASS_Lab Part C'!$J$5339),'IN-CLASS_Lab Part C'!$J$5339,NA())</f>
        <v/>
      </c>
    </row>
    <row r="5340">
      <c r="J5340">
        <f>IF(AND(ISNUMBER('Data'!$F$5341),'Data'!$F$5341&lt;&gt;999,'Data'!$F$5341&lt;&gt;""),'Data'!$F$5341,"")</f>
        <v/>
      </c>
      <c r="Z5340" t="n">
        <v>1</v>
      </c>
      <c r="AA5340">
        <f>IF(ISNUMBER('IN-CLASS_Lab Part C'!$J$5340),'IN-CLASS_Lab Part C'!$J$5340,NA())</f>
        <v/>
      </c>
    </row>
    <row r="5341">
      <c r="J5341">
        <f>IF(AND(ISNUMBER('Data'!$F$5342),'Data'!$F$5342&lt;&gt;999,'Data'!$F$5342&lt;&gt;""),'Data'!$F$5342,"")</f>
        <v/>
      </c>
      <c r="Z5341" t="n">
        <v>1</v>
      </c>
      <c r="AA5341">
        <f>IF(ISNUMBER('IN-CLASS_Lab Part C'!$J$5341),'IN-CLASS_Lab Part C'!$J$5341,NA())</f>
        <v/>
      </c>
    </row>
    <row r="5342">
      <c r="J5342">
        <f>IF(AND(ISNUMBER('Data'!$F$5343),'Data'!$F$5343&lt;&gt;999,'Data'!$F$5343&lt;&gt;""),'Data'!$F$5343,"")</f>
        <v/>
      </c>
      <c r="Z5342" t="n">
        <v>1</v>
      </c>
      <c r="AA5342">
        <f>IF(ISNUMBER('IN-CLASS_Lab Part C'!$J$5342),'IN-CLASS_Lab Part C'!$J$5342,NA())</f>
        <v/>
      </c>
    </row>
    <row r="5343">
      <c r="J5343">
        <f>IF(AND(ISNUMBER('Data'!$F$5344),'Data'!$F$5344&lt;&gt;999,'Data'!$F$5344&lt;&gt;""),'Data'!$F$5344,"")</f>
        <v/>
      </c>
      <c r="Z5343" t="n">
        <v>1</v>
      </c>
      <c r="AA5343">
        <f>IF(ISNUMBER('IN-CLASS_Lab Part C'!$J$5343),'IN-CLASS_Lab Part C'!$J$5343,NA())</f>
        <v/>
      </c>
    </row>
    <row r="5344">
      <c r="J5344">
        <f>IF(AND(ISNUMBER('Data'!$F$5345),'Data'!$F$5345&lt;&gt;999,'Data'!$F$5345&lt;&gt;""),'Data'!$F$5345,"")</f>
        <v/>
      </c>
      <c r="Z5344" t="n">
        <v>1</v>
      </c>
      <c r="AA5344">
        <f>IF(ISNUMBER('IN-CLASS_Lab Part C'!$J$5344),'IN-CLASS_Lab Part C'!$J$5344,NA())</f>
        <v/>
      </c>
    </row>
    <row r="5345">
      <c r="J5345">
        <f>IF(AND(ISNUMBER('Data'!$F$5346),'Data'!$F$5346&lt;&gt;999,'Data'!$F$5346&lt;&gt;""),'Data'!$F$5346,"")</f>
        <v/>
      </c>
      <c r="Z5345" t="n">
        <v>1</v>
      </c>
      <c r="AA5345">
        <f>IF(ISNUMBER('IN-CLASS_Lab Part C'!$J$5345),'IN-CLASS_Lab Part C'!$J$5345,NA())</f>
        <v/>
      </c>
    </row>
    <row r="5346">
      <c r="J5346">
        <f>IF(AND(ISNUMBER('Data'!$F$5347),'Data'!$F$5347&lt;&gt;999,'Data'!$F$5347&lt;&gt;""),'Data'!$F$5347,"")</f>
        <v/>
      </c>
      <c r="Z5346" t="n">
        <v>1</v>
      </c>
      <c r="AA5346">
        <f>IF(ISNUMBER('IN-CLASS_Lab Part C'!$J$5346),'IN-CLASS_Lab Part C'!$J$5346,NA())</f>
        <v/>
      </c>
    </row>
    <row r="5347">
      <c r="J5347">
        <f>IF(AND(ISNUMBER('Data'!$F$5348),'Data'!$F$5348&lt;&gt;999,'Data'!$F$5348&lt;&gt;""),'Data'!$F$5348,"")</f>
        <v/>
      </c>
      <c r="Z5347" t="n">
        <v>1</v>
      </c>
      <c r="AA5347">
        <f>IF(ISNUMBER('IN-CLASS_Lab Part C'!$J$5347),'IN-CLASS_Lab Part C'!$J$5347,NA())</f>
        <v/>
      </c>
    </row>
    <row r="5348">
      <c r="J5348">
        <f>IF(AND(ISNUMBER('Data'!$F$5349),'Data'!$F$5349&lt;&gt;999,'Data'!$F$5349&lt;&gt;""),'Data'!$F$5349,"")</f>
        <v/>
      </c>
      <c r="Z5348" t="n">
        <v>1</v>
      </c>
      <c r="AA5348">
        <f>IF(ISNUMBER('IN-CLASS_Lab Part C'!$J$5348),'IN-CLASS_Lab Part C'!$J$5348,NA())</f>
        <v/>
      </c>
    </row>
    <row r="5349">
      <c r="J5349">
        <f>IF(AND(ISNUMBER('Data'!$F$5350),'Data'!$F$5350&lt;&gt;999,'Data'!$F$5350&lt;&gt;""),'Data'!$F$5350,"")</f>
        <v/>
      </c>
      <c r="Z5349" t="n">
        <v>1</v>
      </c>
      <c r="AA5349">
        <f>IF(ISNUMBER('IN-CLASS_Lab Part C'!$J$5349),'IN-CLASS_Lab Part C'!$J$5349,NA())</f>
        <v/>
      </c>
    </row>
    <row r="5350">
      <c r="J5350">
        <f>IF(AND(ISNUMBER('Data'!$F$5351),'Data'!$F$5351&lt;&gt;999,'Data'!$F$5351&lt;&gt;""),'Data'!$F$5351,"")</f>
        <v/>
      </c>
      <c r="Z5350" t="n">
        <v>1</v>
      </c>
      <c r="AA5350">
        <f>IF(ISNUMBER('IN-CLASS_Lab Part C'!$J$5350),'IN-CLASS_Lab Part C'!$J$5350,NA())</f>
        <v/>
      </c>
    </row>
    <row r="5351">
      <c r="J5351">
        <f>IF(AND(ISNUMBER('Data'!$F$5352),'Data'!$F$5352&lt;&gt;999,'Data'!$F$5352&lt;&gt;""),'Data'!$F$5352,"")</f>
        <v/>
      </c>
      <c r="Z5351" t="n">
        <v>1</v>
      </c>
      <c r="AA5351">
        <f>IF(ISNUMBER('IN-CLASS_Lab Part C'!$J$5351),'IN-CLASS_Lab Part C'!$J$5351,NA())</f>
        <v/>
      </c>
    </row>
    <row r="5352">
      <c r="J5352">
        <f>IF(AND(ISNUMBER('Data'!$F$5353),'Data'!$F$5353&lt;&gt;999,'Data'!$F$5353&lt;&gt;""),'Data'!$F$5353,"")</f>
        <v/>
      </c>
      <c r="Z5352" t="n">
        <v>1</v>
      </c>
      <c r="AA5352">
        <f>IF(ISNUMBER('IN-CLASS_Lab Part C'!$J$5352),'IN-CLASS_Lab Part C'!$J$5352,NA())</f>
        <v/>
      </c>
    </row>
    <row r="5353">
      <c r="J5353">
        <f>IF(AND(ISNUMBER('Data'!$F$5354),'Data'!$F$5354&lt;&gt;999,'Data'!$F$5354&lt;&gt;""),'Data'!$F$5354,"")</f>
        <v/>
      </c>
      <c r="Z5353" t="n">
        <v>1</v>
      </c>
      <c r="AA5353">
        <f>IF(ISNUMBER('IN-CLASS_Lab Part C'!$J$5353),'IN-CLASS_Lab Part C'!$J$5353,NA())</f>
        <v/>
      </c>
    </row>
    <row r="5354">
      <c r="J5354">
        <f>IF(AND(ISNUMBER('Data'!$F$5355),'Data'!$F$5355&lt;&gt;999,'Data'!$F$5355&lt;&gt;""),'Data'!$F$5355,"")</f>
        <v/>
      </c>
      <c r="Z5354" t="n">
        <v>1</v>
      </c>
      <c r="AA5354">
        <f>IF(ISNUMBER('IN-CLASS_Lab Part C'!$J$5354),'IN-CLASS_Lab Part C'!$J$5354,NA())</f>
        <v/>
      </c>
    </row>
    <row r="5355">
      <c r="J5355">
        <f>IF(AND(ISNUMBER('Data'!$F$5356),'Data'!$F$5356&lt;&gt;999,'Data'!$F$5356&lt;&gt;""),'Data'!$F$5356,"")</f>
        <v/>
      </c>
      <c r="Z5355" t="n">
        <v>1</v>
      </c>
      <c r="AA5355">
        <f>IF(ISNUMBER('IN-CLASS_Lab Part C'!$J$5355),'IN-CLASS_Lab Part C'!$J$5355,NA())</f>
        <v/>
      </c>
    </row>
    <row r="5356">
      <c r="J5356">
        <f>IF(AND(ISNUMBER('Data'!$F$5357),'Data'!$F$5357&lt;&gt;999,'Data'!$F$5357&lt;&gt;""),'Data'!$F$5357,"")</f>
        <v/>
      </c>
      <c r="Z5356" t="n">
        <v>1</v>
      </c>
      <c r="AA5356">
        <f>IF(ISNUMBER('IN-CLASS_Lab Part C'!$J$5356),'IN-CLASS_Lab Part C'!$J$5356,NA())</f>
        <v/>
      </c>
    </row>
    <row r="5357">
      <c r="J5357">
        <f>IF(AND(ISNUMBER('Data'!$F$5358),'Data'!$F$5358&lt;&gt;999,'Data'!$F$5358&lt;&gt;""),'Data'!$F$5358,"")</f>
        <v/>
      </c>
      <c r="Z5357" t="n">
        <v>1</v>
      </c>
      <c r="AA5357">
        <f>IF(ISNUMBER('IN-CLASS_Lab Part C'!$J$5357),'IN-CLASS_Lab Part C'!$J$5357,NA())</f>
        <v/>
      </c>
    </row>
    <row r="5358">
      <c r="J5358">
        <f>IF(AND(ISNUMBER('Data'!$F$5359),'Data'!$F$5359&lt;&gt;999,'Data'!$F$5359&lt;&gt;""),'Data'!$F$5359,"")</f>
        <v/>
      </c>
      <c r="Z5358" t="n">
        <v>1</v>
      </c>
      <c r="AA5358">
        <f>IF(ISNUMBER('IN-CLASS_Lab Part C'!$J$5358),'IN-CLASS_Lab Part C'!$J$5358,NA())</f>
        <v/>
      </c>
    </row>
    <row r="5359">
      <c r="J5359">
        <f>IF(AND(ISNUMBER('Data'!$F$5360),'Data'!$F$5360&lt;&gt;999,'Data'!$F$5360&lt;&gt;""),'Data'!$F$5360,"")</f>
        <v/>
      </c>
      <c r="Z5359" t="n">
        <v>1</v>
      </c>
      <c r="AA5359">
        <f>IF(ISNUMBER('IN-CLASS_Lab Part C'!$J$5359),'IN-CLASS_Lab Part C'!$J$5359,NA())</f>
        <v/>
      </c>
    </row>
    <row r="5360">
      <c r="J5360">
        <f>IF(AND(ISNUMBER('Data'!$F$5361),'Data'!$F$5361&lt;&gt;999,'Data'!$F$5361&lt;&gt;""),'Data'!$F$5361,"")</f>
        <v/>
      </c>
      <c r="Z5360" t="n">
        <v>1</v>
      </c>
      <c r="AA5360">
        <f>IF(ISNUMBER('IN-CLASS_Lab Part C'!$J$5360),'IN-CLASS_Lab Part C'!$J$5360,NA())</f>
        <v/>
      </c>
    </row>
    <row r="5361">
      <c r="J5361">
        <f>IF(AND(ISNUMBER('Data'!$F$5362),'Data'!$F$5362&lt;&gt;999,'Data'!$F$5362&lt;&gt;""),'Data'!$F$5362,"")</f>
        <v/>
      </c>
      <c r="Z5361" t="n">
        <v>1</v>
      </c>
      <c r="AA5361">
        <f>IF(ISNUMBER('IN-CLASS_Lab Part C'!$J$5361),'IN-CLASS_Lab Part C'!$J$5361,NA())</f>
        <v/>
      </c>
    </row>
    <row r="5362">
      <c r="J5362">
        <f>IF(AND(ISNUMBER('Data'!$F$5363),'Data'!$F$5363&lt;&gt;999,'Data'!$F$5363&lt;&gt;""),'Data'!$F$5363,"")</f>
        <v/>
      </c>
      <c r="Z5362" t="n">
        <v>1</v>
      </c>
      <c r="AA5362">
        <f>IF(ISNUMBER('IN-CLASS_Lab Part C'!$J$5362),'IN-CLASS_Lab Part C'!$J$5362,NA())</f>
        <v/>
      </c>
    </row>
    <row r="5363">
      <c r="J5363">
        <f>IF(AND(ISNUMBER('Data'!$F$5364),'Data'!$F$5364&lt;&gt;999,'Data'!$F$5364&lt;&gt;""),'Data'!$F$5364,"")</f>
        <v/>
      </c>
      <c r="Z5363" t="n">
        <v>1</v>
      </c>
      <c r="AA5363">
        <f>IF(ISNUMBER('IN-CLASS_Lab Part C'!$J$5363),'IN-CLASS_Lab Part C'!$J$5363,NA())</f>
        <v/>
      </c>
    </row>
    <row r="5364">
      <c r="J5364">
        <f>IF(AND(ISNUMBER('Data'!$F$5365),'Data'!$F$5365&lt;&gt;999,'Data'!$F$5365&lt;&gt;""),'Data'!$F$5365,"")</f>
        <v/>
      </c>
      <c r="Z5364" t="n">
        <v>1</v>
      </c>
      <c r="AA5364">
        <f>IF(ISNUMBER('IN-CLASS_Lab Part C'!$J$5364),'IN-CLASS_Lab Part C'!$J$5364,NA())</f>
        <v/>
      </c>
    </row>
    <row r="5365">
      <c r="J5365">
        <f>IF(AND(ISNUMBER('Data'!$F$5366),'Data'!$F$5366&lt;&gt;999,'Data'!$F$5366&lt;&gt;""),'Data'!$F$5366,"")</f>
        <v/>
      </c>
      <c r="Z5365" t="n">
        <v>1</v>
      </c>
      <c r="AA5365">
        <f>IF(ISNUMBER('IN-CLASS_Lab Part C'!$J$5365),'IN-CLASS_Lab Part C'!$J$5365,NA())</f>
        <v/>
      </c>
    </row>
    <row r="5366">
      <c r="J5366">
        <f>IF(AND(ISNUMBER('Data'!$F$5367),'Data'!$F$5367&lt;&gt;999,'Data'!$F$5367&lt;&gt;""),'Data'!$F$5367,"")</f>
        <v/>
      </c>
      <c r="Z5366" t="n">
        <v>1</v>
      </c>
      <c r="AA5366">
        <f>IF(ISNUMBER('IN-CLASS_Lab Part C'!$J$5366),'IN-CLASS_Lab Part C'!$J$5366,NA())</f>
        <v/>
      </c>
    </row>
    <row r="5367">
      <c r="J5367">
        <f>IF(AND(ISNUMBER('Data'!$F$5368),'Data'!$F$5368&lt;&gt;999,'Data'!$F$5368&lt;&gt;""),'Data'!$F$5368,"")</f>
        <v/>
      </c>
      <c r="Z5367" t="n">
        <v>1</v>
      </c>
      <c r="AA5367">
        <f>IF(ISNUMBER('IN-CLASS_Lab Part C'!$J$5367),'IN-CLASS_Lab Part C'!$J$5367,NA())</f>
        <v/>
      </c>
    </row>
    <row r="5368">
      <c r="J5368">
        <f>IF(AND(ISNUMBER('Data'!$F$5369),'Data'!$F$5369&lt;&gt;999,'Data'!$F$5369&lt;&gt;""),'Data'!$F$5369,"")</f>
        <v/>
      </c>
      <c r="Z5368" t="n">
        <v>1</v>
      </c>
      <c r="AA5368">
        <f>IF(ISNUMBER('IN-CLASS_Lab Part C'!$J$5368),'IN-CLASS_Lab Part C'!$J$5368,NA())</f>
        <v/>
      </c>
    </row>
    <row r="5369">
      <c r="J5369">
        <f>IF(AND(ISNUMBER('Data'!$F$5370),'Data'!$F$5370&lt;&gt;999,'Data'!$F$5370&lt;&gt;""),'Data'!$F$5370,"")</f>
        <v/>
      </c>
      <c r="Z5369" t="n">
        <v>1</v>
      </c>
      <c r="AA5369">
        <f>IF(ISNUMBER('IN-CLASS_Lab Part C'!$J$5369),'IN-CLASS_Lab Part C'!$J$5369,NA())</f>
        <v/>
      </c>
    </row>
    <row r="5370">
      <c r="J5370">
        <f>IF(AND(ISNUMBER('Data'!$F$5371),'Data'!$F$5371&lt;&gt;999,'Data'!$F$5371&lt;&gt;""),'Data'!$F$5371,"")</f>
        <v/>
      </c>
      <c r="Z5370" t="n">
        <v>1</v>
      </c>
      <c r="AA5370">
        <f>IF(ISNUMBER('IN-CLASS_Lab Part C'!$J$5370),'IN-CLASS_Lab Part C'!$J$5370,NA())</f>
        <v/>
      </c>
    </row>
    <row r="5371">
      <c r="J5371">
        <f>IF(AND(ISNUMBER('Data'!$F$5372),'Data'!$F$5372&lt;&gt;999,'Data'!$F$5372&lt;&gt;""),'Data'!$F$5372,"")</f>
        <v/>
      </c>
      <c r="Z5371" t="n">
        <v>1</v>
      </c>
      <c r="AA5371">
        <f>IF(ISNUMBER('IN-CLASS_Lab Part C'!$J$5371),'IN-CLASS_Lab Part C'!$J$5371,NA())</f>
        <v/>
      </c>
    </row>
    <row r="5372">
      <c r="J5372">
        <f>IF(AND(ISNUMBER('Data'!$F$5373),'Data'!$F$5373&lt;&gt;999,'Data'!$F$5373&lt;&gt;""),'Data'!$F$5373,"")</f>
        <v/>
      </c>
      <c r="Z5372" t="n">
        <v>1</v>
      </c>
      <c r="AA5372">
        <f>IF(ISNUMBER('IN-CLASS_Lab Part C'!$J$5372),'IN-CLASS_Lab Part C'!$J$5372,NA())</f>
        <v/>
      </c>
    </row>
    <row r="5373">
      <c r="J5373">
        <f>IF(AND(ISNUMBER('Data'!$F$5374),'Data'!$F$5374&lt;&gt;999,'Data'!$F$5374&lt;&gt;""),'Data'!$F$5374,"")</f>
        <v/>
      </c>
      <c r="Z5373" t="n">
        <v>1</v>
      </c>
      <c r="AA5373">
        <f>IF(ISNUMBER('IN-CLASS_Lab Part C'!$J$5373),'IN-CLASS_Lab Part C'!$J$5373,NA())</f>
        <v/>
      </c>
    </row>
    <row r="5374">
      <c r="J5374">
        <f>IF(AND(ISNUMBER('Data'!$F$5375),'Data'!$F$5375&lt;&gt;999,'Data'!$F$5375&lt;&gt;""),'Data'!$F$5375,"")</f>
        <v/>
      </c>
      <c r="Z5374" t="n">
        <v>1</v>
      </c>
      <c r="AA5374">
        <f>IF(ISNUMBER('IN-CLASS_Lab Part C'!$J$5374),'IN-CLASS_Lab Part C'!$J$5374,NA())</f>
        <v/>
      </c>
    </row>
    <row r="5375">
      <c r="J5375">
        <f>IF(AND(ISNUMBER('Data'!$F$5376),'Data'!$F$5376&lt;&gt;999,'Data'!$F$5376&lt;&gt;""),'Data'!$F$5376,"")</f>
        <v/>
      </c>
      <c r="Z5375" t="n">
        <v>1</v>
      </c>
      <c r="AA5375">
        <f>IF(ISNUMBER('IN-CLASS_Lab Part C'!$J$5375),'IN-CLASS_Lab Part C'!$J$5375,NA())</f>
        <v/>
      </c>
    </row>
    <row r="5376">
      <c r="J5376">
        <f>IF(AND(ISNUMBER('Data'!$F$5377),'Data'!$F$5377&lt;&gt;999,'Data'!$F$5377&lt;&gt;""),'Data'!$F$5377,"")</f>
        <v/>
      </c>
      <c r="Z5376" t="n">
        <v>1</v>
      </c>
      <c r="AA5376">
        <f>IF(ISNUMBER('IN-CLASS_Lab Part C'!$J$5376),'IN-CLASS_Lab Part C'!$J$5376,NA())</f>
        <v/>
      </c>
    </row>
    <row r="5377">
      <c r="J5377">
        <f>IF(AND(ISNUMBER('Data'!$F$5378),'Data'!$F$5378&lt;&gt;999,'Data'!$F$5378&lt;&gt;""),'Data'!$F$5378,"")</f>
        <v/>
      </c>
      <c r="Z5377" t="n">
        <v>1</v>
      </c>
      <c r="AA5377">
        <f>IF(ISNUMBER('IN-CLASS_Lab Part C'!$J$5377),'IN-CLASS_Lab Part C'!$J$5377,NA())</f>
        <v/>
      </c>
    </row>
    <row r="5378">
      <c r="J5378">
        <f>IF(AND(ISNUMBER('Data'!$F$5379),'Data'!$F$5379&lt;&gt;999,'Data'!$F$5379&lt;&gt;""),'Data'!$F$5379,"")</f>
        <v/>
      </c>
      <c r="Z5378" t="n">
        <v>1</v>
      </c>
      <c r="AA5378">
        <f>IF(ISNUMBER('IN-CLASS_Lab Part C'!$J$5378),'IN-CLASS_Lab Part C'!$J$5378,NA())</f>
        <v/>
      </c>
    </row>
    <row r="5379">
      <c r="J5379">
        <f>IF(AND(ISNUMBER('Data'!$F$5380),'Data'!$F$5380&lt;&gt;999,'Data'!$F$5380&lt;&gt;""),'Data'!$F$5380,"")</f>
        <v/>
      </c>
      <c r="Z5379" t="n">
        <v>1</v>
      </c>
      <c r="AA5379">
        <f>IF(ISNUMBER('IN-CLASS_Lab Part C'!$J$5379),'IN-CLASS_Lab Part C'!$J$5379,NA())</f>
        <v/>
      </c>
    </row>
    <row r="5380">
      <c r="J5380">
        <f>IF(AND(ISNUMBER('Data'!$F$5381),'Data'!$F$5381&lt;&gt;999,'Data'!$F$5381&lt;&gt;""),'Data'!$F$5381,"")</f>
        <v/>
      </c>
      <c r="Z5380" t="n">
        <v>1</v>
      </c>
      <c r="AA5380">
        <f>IF(ISNUMBER('IN-CLASS_Lab Part C'!$J$5380),'IN-CLASS_Lab Part C'!$J$5380,NA())</f>
        <v/>
      </c>
    </row>
    <row r="5381">
      <c r="J5381">
        <f>IF(AND(ISNUMBER('Data'!$F$5382),'Data'!$F$5382&lt;&gt;999,'Data'!$F$5382&lt;&gt;""),'Data'!$F$5382,"")</f>
        <v/>
      </c>
      <c r="Z5381" t="n">
        <v>1</v>
      </c>
      <c r="AA5381">
        <f>IF(ISNUMBER('IN-CLASS_Lab Part C'!$J$5381),'IN-CLASS_Lab Part C'!$J$5381,NA())</f>
        <v/>
      </c>
    </row>
    <row r="5382">
      <c r="J5382">
        <f>IF(AND(ISNUMBER('Data'!$F$5383),'Data'!$F$5383&lt;&gt;999,'Data'!$F$5383&lt;&gt;""),'Data'!$F$5383,"")</f>
        <v/>
      </c>
      <c r="Z5382" t="n">
        <v>1</v>
      </c>
      <c r="AA5382">
        <f>IF(ISNUMBER('IN-CLASS_Lab Part C'!$J$5382),'IN-CLASS_Lab Part C'!$J$5382,NA())</f>
        <v/>
      </c>
    </row>
    <row r="5383">
      <c r="J5383">
        <f>IF(AND(ISNUMBER('Data'!$F$5384),'Data'!$F$5384&lt;&gt;999,'Data'!$F$5384&lt;&gt;""),'Data'!$F$5384,"")</f>
        <v/>
      </c>
      <c r="Z5383" t="n">
        <v>1</v>
      </c>
      <c r="AA5383">
        <f>IF(ISNUMBER('IN-CLASS_Lab Part C'!$J$5383),'IN-CLASS_Lab Part C'!$J$5383,NA())</f>
        <v/>
      </c>
    </row>
    <row r="5384">
      <c r="J5384">
        <f>IF(AND(ISNUMBER('Data'!$F$5385),'Data'!$F$5385&lt;&gt;999,'Data'!$F$5385&lt;&gt;""),'Data'!$F$5385,"")</f>
        <v/>
      </c>
      <c r="Z5384" t="n">
        <v>1</v>
      </c>
      <c r="AA5384">
        <f>IF(ISNUMBER('IN-CLASS_Lab Part C'!$J$5384),'IN-CLASS_Lab Part C'!$J$5384,NA())</f>
        <v/>
      </c>
    </row>
    <row r="5385">
      <c r="J5385">
        <f>IF(AND(ISNUMBER('Data'!$F$5386),'Data'!$F$5386&lt;&gt;999,'Data'!$F$5386&lt;&gt;""),'Data'!$F$5386,"")</f>
        <v/>
      </c>
      <c r="Z5385" t="n">
        <v>1</v>
      </c>
      <c r="AA5385">
        <f>IF(ISNUMBER('IN-CLASS_Lab Part C'!$J$5385),'IN-CLASS_Lab Part C'!$J$5385,NA())</f>
        <v/>
      </c>
    </row>
    <row r="5386">
      <c r="J5386">
        <f>IF(AND(ISNUMBER('Data'!$F$5387),'Data'!$F$5387&lt;&gt;999,'Data'!$F$5387&lt;&gt;""),'Data'!$F$5387,"")</f>
        <v/>
      </c>
      <c r="Z5386" t="n">
        <v>1</v>
      </c>
      <c r="AA5386">
        <f>IF(ISNUMBER('IN-CLASS_Lab Part C'!$J$5386),'IN-CLASS_Lab Part C'!$J$5386,NA())</f>
        <v/>
      </c>
    </row>
    <row r="5387">
      <c r="J5387">
        <f>IF(AND(ISNUMBER('Data'!$F$5388),'Data'!$F$5388&lt;&gt;999,'Data'!$F$5388&lt;&gt;""),'Data'!$F$5388,"")</f>
        <v/>
      </c>
      <c r="Z5387" t="n">
        <v>1</v>
      </c>
      <c r="AA5387">
        <f>IF(ISNUMBER('IN-CLASS_Lab Part C'!$J$5387),'IN-CLASS_Lab Part C'!$J$5387,NA())</f>
        <v/>
      </c>
    </row>
    <row r="5388">
      <c r="J5388">
        <f>IF(AND(ISNUMBER('Data'!$F$5389),'Data'!$F$5389&lt;&gt;999,'Data'!$F$5389&lt;&gt;""),'Data'!$F$5389,"")</f>
        <v/>
      </c>
      <c r="Z5388" t="n">
        <v>1</v>
      </c>
      <c r="AA5388">
        <f>IF(ISNUMBER('IN-CLASS_Lab Part C'!$J$5388),'IN-CLASS_Lab Part C'!$J$5388,NA())</f>
        <v/>
      </c>
    </row>
    <row r="5389">
      <c r="J5389">
        <f>IF(AND(ISNUMBER('Data'!$F$5390),'Data'!$F$5390&lt;&gt;999,'Data'!$F$5390&lt;&gt;""),'Data'!$F$5390,"")</f>
        <v/>
      </c>
      <c r="Z5389" t="n">
        <v>1</v>
      </c>
      <c r="AA5389">
        <f>IF(ISNUMBER('IN-CLASS_Lab Part C'!$J$5389),'IN-CLASS_Lab Part C'!$J$5389,NA())</f>
        <v/>
      </c>
    </row>
    <row r="5390">
      <c r="J5390">
        <f>IF(AND(ISNUMBER('Data'!$F$5391),'Data'!$F$5391&lt;&gt;999,'Data'!$F$5391&lt;&gt;""),'Data'!$F$5391,"")</f>
        <v/>
      </c>
      <c r="Z5390" t="n">
        <v>1</v>
      </c>
      <c r="AA5390">
        <f>IF(ISNUMBER('IN-CLASS_Lab Part C'!$J$5390),'IN-CLASS_Lab Part C'!$J$5390,NA())</f>
        <v/>
      </c>
    </row>
    <row r="5391">
      <c r="J5391">
        <f>IF(AND(ISNUMBER('Data'!$F$5392),'Data'!$F$5392&lt;&gt;999,'Data'!$F$5392&lt;&gt;""),'Data'!$F$5392,"")</f>
        <v/>
      </c>
      <c r="Z5391" t="n">
        <v>1</v>
      </c>
      <c r="AA5391">
        <f>IF(ISNUMBER('IN-CLASS_Lab Part C'!$J$5391),'IN-CLASS_Lab Part C'!$J$5391,NA())</f>
        <v/>
      </c>
    </row>
    <row r="5392">
      <c r="J5392">
        <f>IF(AND(ISNUMBER('Data'!$F$5393),'Data'!$F$5393&lt;&gt;999,'Data'!$F$5393&lt;&gt;""),'Data'!$F$5393,"")</f>
        <v/>
      </c>
      <c r="Z5392" t="n">
        <v>1</v>
      </c>
      <c r="AA5392">
        <f>IF(ISNUMBER('IN-CLASS_Lab Part C'!$J$5392),'IN-CLASS_Lab Part C'!$J$5392,NA())</f>
        <v/>
      </c>
    </row>
    <row r="5393">
      <c r="J5393">
        <f>IF(AND(ISNUMBER('Data'!$F$5394),'Data'!$F$5394&lt;&gt;999,'Data'!$F$5394&lt;&gt;""),'Data'!$F$5394,"")</f>
        <v/>
      </c>
      <c r="Z5393" t="n">
        <v>1</v>
      </c>
      <c r="AA5393">
        <f>IF(ISNUMBER('IN-CLASS_Lab Part C'!$J$5393),'IN-CLASS_Lab Part C'!$J$5393,NA())</f>
        <v/>
      </c>
    </row>
    <row r="5394">
      <c r="J5394">
        <f>IF(AND(ISNUMBER('Data'!$F$5395),'Data'!$F$5395&lt;&gt;999,'Data'!$F$5395&lt;&gt;""),'Data'!$F$5395,"")</f>
        <v/>
      </c>
      <c r="Z5394" t="n">
        <v>1</v>
      </c>
      <c r="AA5394">
        <f>IF(ISNUMBER('IN-CLASS_Lab Part C'!$J$5394),'IN-CLASS_Lab Part C'!$J$5394,NA())</f>
        <v/>
      </c>
    </row>
    <row r="5395">
      <c r="J5395">
        <f>IF(AND(ISNUMBER('Data'!$F$5396),'Data'!$F$5396&lt;&gt;999,'Data'!$F$5396&lt;&gt;""),'Data'!$F$5396,"")</f>
        <v/>
      </c>
      <c r="Z5395" t="n">
        <v>1</v>
      </c>
      <c r="AA5395">
        <f>IF(ISNUMBER('IN-CLASS_Lab Part C'!$J$5395),'IN-CLASS_Lab Part C'!$J$5395,NA())</f>
        <v/>
      </c>
    </row>
    <row r="5396">
      <c r="J5396">
        <f>IF(AND(ISNUMBER('Data'!$F$5397),'Data'!$F$5397&lt;&gt;999,'Data'!$F$5397&lt;&gt;""),'Data'!$F$5397,"")</f>
        <v/>
      </c>
      <c r="Z5396" t="n">
        <v>1</v>
      </c>
      <c r="AA5396">
        <f>IF(ISNUMBER('IN-CLASS_Lab Part C'!$J$5396),'IN-CLASS_Lab Part C'!$J$5396,NA())</f>
        <v/>
      </c>
    </row>
    <row r="5397">
      <c r="J5397">
        <f>IF(AND(ISNUMBER('Data'!$F$5398),'Data'!$F$5398&lt;&gt;999,'Data'!$F$5398&lt;&gt;""),'Data'!$F$5398,"")</f>
        <v/>
      </c>
      <c r="Z5397" t="n">
        <v>1</v>
      </c>
      <c r="AA5397">
        <f>IF(ISNUMBER('IN-CLASS_Lab Part C'!$J$5397),'IN-CLASS_Lab Part C'!$J$5397,NA())</f>
        <v/>
      </c>
    </row>
    <row r="5398">
      <c r="J5398">
        <f>IF(AND(ISNUMBER('Data'!$F$5399),'Data'!$F$5399&lt;&gt;999,'Data'!$F$5399&lt;&gt;""),'Data'!$F$5399,"")</f>
        <v/>
      </c>
      <c r="Z5398" t="n">
        <v>1</v>
      </c>
      <c r="AA5398">
        <f>IF(ISNUMBER('IN-CLASS_Lab Part C'!$J$5398),'IN-CLASS_Lab Part C'!$J$5398,NA())</f>
        <v/>
      </c>
    </row>
    <row r="5399">
      <c r="J5399">
        <f>IF(AND(ISNUMBER('Data'!$F$5400),'Data'!$F$5400&lt;&gt;999,'Data'!$F$5400&lt;&gt;""),'Data'!$F$5400,"")</f>
        <v/>
      </c>
      <c r="Z5399" t="n">
        <v>1</v>
      </c>
      <c r="AA5399">
        <f>IF(ISNUMBER('IN-CLASS_Lab Part C'!$J$5399),'IN-CLASS_Lab Part C'!$J$5399,NA())</f>
        <v/>
      </c>
    </row>
    <row r="5400">
      <c r="J5400">
        <f>IF(AND(ISNUMBER('Data'!$F$5401),'Data'!$F$5401&lt;&gt;999,'Data'!$F$5401&lt;&gt;""),'Data'!$F$5401,"")</f>
        <v/>
      </c>
      <c r="Z5400" t="n">
        <v>1</v>
      </c>
      <c r="AA5400">
        <f>IF(ISNUMBER('IN-CLASS_Lab Part C'!$J$5400),'IN-CLASS_Lab Part C'!$J$5400,NA())</f>
        <v/>
      </c>
    </row>
    <row r="5401">
      <c r="J5401">
        <f>IF(AND(ISNUMBER('Data'!$F$5402),'Data'!$F$5402&lt;&gt;999,'Data'!$F$5402&lt;&gt;""),'Data'!$F$5402,"")</f>
        <v/>
      </c>
      <c r="Z5401" t="n">
        <v>1</v>
      </c>
      <c r="AA5401">
        <f>IF(ISNUMBER('IN-CLASS_Lab Part C'!$J$5401),'IN-CLASS_Lab Part C'!$J$5401,NA())</f>
        <v/>
      </c>
    </row>
    <row r="5402">
      <c r="J5402">
        <f>IF(AND(ISNUMBER('Data'!$F$5403),'Data'!$F$5403&lt;&gt;999,'Data'!$F$5403&lt;&gt;""),'Data'!$F$5403,"")</f>
        <v/>
      </c>
      <c r="Z5402" t="n">
        <v>1</v>
      </c>
      <c r="AA5402">
        <f>IF(ISNUMBER('IN-CLASS_Lab Part C'!$J$5402),'IN-CLASS_Lab Part C'!$J$5402,NA())</f>
        <v/>
      </c>
    </row>
    <row r="5403">
      <c r="J5403">
        <f>IF(AND(ISNUMBER('Data'!$F$5404),'Data'!$F$5404&lt;&gt;999,'Data'!$F$5404&lt;&gt;""),'Data'!$F$5404,"")</f>
        <v/>
      </c>
      <c r="Z5403" t="n">
        <v>1</v>
      </c>
      <c r="AA5403">
        <f>IF(ISNUMBER('IN-CLASS_Lab Part C'!$J$5403),'IN-CLASS_Lab Part C'!$J$5403,NA())</f>
        <v/>
      </c>
    </row>
    <row r="5404">
      <c r="J5404">
        <f>IF(AND(ISNUMBER('Data'!$F$5405),'Data'!$F$5405&lt;&gt;999,'Data'!$F$5405&lt;&gt;""),'Data'!$F$5405,"")</f>
        <v/>
      </c>
      <c r="Z5404" t="n">
        <v>1</v>
      </c>
      <c r="AA5404">
        <f>IF(ISNUMBER('IN-CLASS_Lab Part C'!$J$5404),'IN-CLASS_Lab Part C'!$J$5404,NA())</f>
        <v/>
      </c>
    </row>
    <row r="5405">
      <c r="J5405">
        <f>IF(AND(ISNUMBER('Data'!$F$5406),'Data'!$F$5406&lt;&gt;999,'Data'!$F$5406&lt;&gt;""),'Data'!$F$5406,"")</f>
        <v/>
      </c>
      <c r="Z5405" t="n">
        <v>1</v>
      </c>
      <c r="AA5405">
        <f>IF(ISNUMBER('IN-CLASS_Lab Part C'!$J$5405),'IN-CLASS_Lab Part C'!$J$5405,NA())</f>
        <v/>
      </c>
    </row>
    <row r="5406">
      <c r="J5406">
        <f>IF(AND(ISNUMBER('Data'!$F$5407),'Data'!$F$5407&lt;&gt;999,'Data'!$F$5407&lt;&gt;""),'Data'!$F$5407,"")</f>
        <v/>
      </c>
      <c r="Z5406" t="n">
        <v>1</v>
      </c>
      <c r="AA5406">
        <f>IF(ISNUMBER('IN-CLASS_Lab Part C'!$J$5406),'IN-CLASS_Lab Part C'!$J$5406,NA())</f>
        <v/>
      </c>
    </row>
    <row r="5407">
      <c r="J5407">
        <f>IF(AND(ISNUMBER('Data'!$F$5408),'Data'!$F$5408&lt;&gt;999,'Data'!$F$5408&lt;&gt;""),'Data'!$F$5408,"")</f>
        <v/>
      </c>
      <c r="Z5407" t="n">
        <v>1</v>
      </c>
      <c r="AA5407">
        <f>IF(ISNUMBER('IN-CLASS_Lab Part C'!$J$5407),'IN-CLASS_Lab Part C'!$J$5407,NA())</f>
        <v/>
      </c>
    </row>
    <row r="5408">
      <c r="J5408">
        <f>IF(AND(ISNUMBER('Data'!$F$5409),'Data'!$F$5409&lt;&gt;999,'Data'!$F$5409&lt;&gt;""),'Data'!$F$5409,"")</f>
        <v/>
      </c>
      <c r="Z5408" t="n">
        <v>1</v>
      </c>
      <c r="AA5408">
        <f>IF(ISNUMBER('IN-CLASS_Lab Part C'!$J$5408),'IN-CLASS_Lab Part C'!$J$5408,NA())</f>
        <v/>
      </c>
    </row>
    <row r="5409">
      <c r="J5409">
        <f>IF(AND(ISNUMBER('Data'!$F$5410),'Data'!$F$5410&lt;&gt;999,'Data'!$F$5410&lt;&gt;""),'Data'!$F$5410,"")</f>
        <v/>
      </c>
      <c r="Z5409" t="n">
        <v>1</v>
      </c>
      <c r="AA5409">
        <f>IF(ISNUMBER('IN-CLASS_Lab Part C'!$J$5409),'IN-CLASS_Lab Part C'!$J$5409,NA())</f>
        <v/>
      </c>
    </row>
    <row r="5410">
      <c r="J5410">
        <f>IF(AND(ISNUMBER('Data'!$F$5411),'Data'!$F$5411&lt;&gt;999,'Data'!$F$5411&lt;&gt;""),'Data'!$F$5411,"")</f>
        <v/>
      </c>
      <c r="Z5410" t="n">
        <v>1</v>
      </c>
      <c r="AA5410">
        <f>IF(ISNUMBER('IN-CLASS_Lab Part C'!$J$5410),'IN-CLASS_Lab Part C'!$J$5410,NA())</f>
        <v/>
      </c>
    </row>
    <row r="5411">
      <c r="J5411">
        <f>IF(AND(ISNUMBER('Data'!$F$5412),'Data'!$F$5412&lt;&gt;999,'Data'!$F$5412&lt;&gt;""),'Data'!$F$5412,"")</f>
        <v/>
      </c>
      <c r="Z5411" t="n">
        <v>1</v>
      </c>
      <c r="AA5411">
        <f>IF(ISNUMBER('IN-CLASS_Lab Part C'!$J$5411),'IN-CLASS_Lab Part C'!$J$5411,NA())</f>
        <v/>
      </c>
    </row>
    <row r="5412">
      <c r="J5412">
        <f>IF(AND(ISNUMBER('Data'!$F$5413),'Data'!$F$5413&lt;&gt;999,'Data'!$F$5413&lt;&gt;""),'Data'!$F$5413,"")</f>
        <v/>
      </c>
      <c r="Z5412" t="n">
        <v>1</v>
      </c>
      <c r="AA5412">
        <f>IF(ISNUMBER('IN-CLASS_Lab Part C'!$J$5412),'IN-CLASS_Lab Part C'!$J$5412,NA())</f>
        <v/>
      </c>
    </row>
    <row r="5413">
      <c r="J5413">
        <f>IF(AND(ISNUMBER('Data'!$F$5414),'Data'!$F$5414&lt;&gt;999,'Data'!$F$5414&lt;&gt;""),'Data'!$F$5414,"")</f>
        <v/>
      </c>
      <c r="Z5413" t="n">
        <v>1</v>
      </c>
      <c r="AA5413">
        <f>IF(ISNUMBER('IN-CLASS_Lab Part C'!$J$5413),'IN-CLASS_Lab Part C'!$J$5413,NA())</f>
        <v/>
      </c>
    </row>
    <row r="5414">
      <c r="J5414">
        <f>IF(AND(ISNUMBER('Data'!$F$5415),'Data'!$F$5415&lt;&gt;999,'Data'!$F$5415&lt;&gt;""),'Data'!$F$5415,"")</f>
        <v/>
      </c>
      <c r="Z5414" t="n">
        <v>1</v>
      </c>
      <c r="AA5414">
        <f>IF(ISNUMBER('IN-CLASS_Lab Part C'!$J$5414),'IN-CLASS_Lab Part C'!$J$5414,NA())</f>
        <v/>
      </c>
    </row>
    <row r="5415">
      <c r="J5415">
        <f>IF(AND(ISNUMBER('Data'!$F$5416),'Data'!$F$5416&lt;&gt;999,'Data'!$F$5416&lt;&gt;""),'Data'!$F$5416,"")</f>
        <v/>
      </c>
      <c r="Z5415" t="n">
        <v>1</v>
      </c>
      <c r="AA5415">
        <f>IF(ISNUMBER('IN-CLASS_Lab Part C'!$J$5415),'IN-CLASS_Lab Part C'!$J$5415,NA())</f>
        <v/>
      </c>
    </row>
    <row r="5416">
      <c r="J5416">
        <f>IF(AND(ISNUMBER('Data'!$F$5417),'Data'!$F$5417&lt;&gt;999,'Data'!$F$5417&lt;&gt;""),'Data'!$F$5417,"")</f>
        <v/>
      </c>
      <c r="Z5416" t="n">
        <v>1</v>
      </c>
      <c r="AA5416">
        <f>IF(ISNUMBER('IN-CLASS_Lab Part C'!$J$5416),'IN-CLASS_Lab Part C'!$J$5416,NA())</f>
        <v/>
      </c>
    </row>
    <row r="5417">
      <c r="J5417">
        <f>IF(AND(ISNUMBER('Data'!$F$5418),'Data'!$F$5418&lt;&gt;999,'Data'!$F$5418&lt;&gt;""),'Data'!$F$5418,"")</f>
        <v/>
      </c>
      <c r="Z5417" t="n">
        <v>1</v>
      </c>
      <c r="AA5417">
        <f>IF(ISNUMBER('IN-CLASS_Lab Part C'!$J$5417),'IN-CLASS_Lab Part C'!$J$5417,NA())</f>
        <v/>
      </c>
    </row>
    <row r="5418">
      <c r="J5418">
        <f>IF(AND(ISNUMBER('Data'!$F$5419),'Data'!$F$5419&lt;&gt;999,'Data'!$F$5419&lt;&gt;""),'Data'!$F$5419,"")</f>
        <v/>
      </c>
      <c r="Z5418" t="n">
        <v>1</v>
      </c>
      <c r="AA5418">
        <f>IF(ISNUMBER('IN-CLASS_Lab Part C'!$J$5418),'IN-CLASS_Lab Part C'!$J$5418,NA())</f>
        <v/>
      </c>
    </row>
    <row r="5419">
      <c r="J5419">
        <f>IF(AND(ISNUMBER('Data'!$F$5420),'Data'!$F$5420&lt;&gt;999,'Data'!$F$5420&lt;&gt;""),'Data'!$F$5420,"")</f>
        <v/>
      </c>
      <c r="Z5419" t="n">
        <v>1</v>
      </c>
      <c r="AA5419">
        <f>IF(ISNUMBER('IN-CLASS_Lab Part C'!$J$5419),'IN-CLASS_Lab Part C'!$J$5419,NA())</f>
        <v/>
      </c>
    </row>
    <row r="5420">
      <c r="J5420">
        <f>IF(AND(ISNUMBER('Data'!$F$5421),'Data'!$F$5421&lt;&gt;999,'Data'!$F$5421&lt;&gt;""),'Data'!$F$5421,"")</f>
        <v/>
      </c>
      <c r="Z5420" t="n">
        <v>1</v>
      </c>
      <c r="AA5420">
        <f>IF(ISNUMBER('IN-CLASS_Lab Part C'!$J$5420),'IN-CLASS_Lab Part C'!$J$5420,NA())</f>
        <v/>
      </c>
    </row>
    <row r="5421">
      <c r="J5421">
        <f>IF(AND(ISNUMBER('Data'!$F$5422),'Data'!$F$5422&lt;&gt;999,'Data'!$F$5422&lt;&gt;""),'Data'!$F$5422,"")</f>
        <v/>
      </c>
      <c r="Z5421" t="n">
        <v>1</v>
      </c>
      <c r="AA5421">
        <f>IF(ISNUMBER('IN-CLASS_Lab Part C'!$J$5421),'IN-CLASS_Lab Part C'!$J$5421,NA())</f>
        <v/>
      </c>
    </row>
    <row r="5422">
      <c r="J5422">
        <f>IF(AND(ISNUMBER('Data'!$F$5423),'Data'!$F$5423&lt;&gt;999,'Data'!$F$5423&lt;&gt;""),'Data'!$F$5423,"")</f>
        <v/>
      </c>
      <c r="Z5422" t="n">
        <v>1</v>
      </c>
      <c r="AA5422">
        <f>IF(ISNUMBER('IN-CLASS_Lab Part C'!$J$5422),'IN-CLASS_Lab Part C'!$J$5422,NA())</f>
        <v/>
      </c>
    </row>
    <row r="5423">
      <c r="J5423">
        <f>IF(AND(ISNUMBER('Data'!$F$5424),'Data'!$F$5424&lt;&gt;999,'Data'!$F$5424&lt;&gt;""),'Data'!$F$5424,"")</f>
        <v/>
      </c>
      <c r="Z5423" t="n">
        <v>1</v>
      </c>
      <c r="AA5423">
        <f>IF(ISNUMBER('IN-CLASS_Lab Part C'!$J$5423),'IN-CLASS_Lab Part C'!$J$5423,NA())</f>
        <v/>
      </c>
    </row>
    <row r="5424">
      <c r="J5424">
        <f>IF(AND(ISNUMBER('Data'!$F$5425),'Data'!$F$5425&lt;&gt;999,'Data'!$F$5425&lt;&gt;""),'Data'!$F$5425,"")</f>
        <v/>
      </c>
      <c r="Z5424" t="n">
        <v>1</v>
      </c>
      <c r="AA5424">
        <f>IF(ISNUMBER('IN-CLASS_Lab Part C'!$J$5424),'IN-CLASS_Lab Part C'!$J$5424,NA())</f>
        <v/>
      </c>
    </row>
    <row r="5425">
      <c r="J5425">
        <f>IF(AND(ISNUMBER('Data'!$F$5426),'Data'!$F$5426&lt;&gt;999,'Data'!$F$5426&lt;&gt;""),'Data'!$F$5426,"")</f>
        <v/>
      </c>
      <c r="Z5425" t="n">
        <v>1</v>
      </c>
      <c r="AA5425">
        <f>IF(ISNUMBER('IN-CLASS_Lab Part C'!$J$5425),'IN-CLASS_Lab Part C'!$J$5425,NA())</f>
        <v/>
      </c>
    </row>
    <row r="5426">
      <c r="J5426">
        <f>IF(AND(ISNUMBER('Data'!$F$5427),'Data'!$F$5427&lt;&gt;999,'Data'!$F$5427&lt;&gt;""),'Data'!$F$5427,"")</f>
        <v/>
      </c>
      <c r="Z5426" t="n">
        <v>1</v>
      </c>
      <c r="AA5426">
        <f>IF(ISNUMBER('IN-CLASS_Lab Part C'!$J$5426),'IN-CLASS_Lab Part C'!$J$5426,NA())</f>
        <v/>
      </c>
    </row>
    <row r="5427">
      <c r="J5427">
        <f>IF(AND(ISNUMBER('Data'!$F$5428),'Data'!$F$5428&lt;&gt;999,'Data'!$F$5428&lt;&gt;""),'Data'!$F$5428,"")</f>
        <v/>
      </c>
      <c r="Z5427" t="n">
        <v>1</v>
      </c>
      <c r="AA5427">
        <f>IF(ISNUMBER('IN-CLASS_Lab Part C'!$J$5427),'IN-CLASS_Lab Part C'!$J$5427,NA())</f>
        <v/>
      </c>
    </row>
    <row r="5428">
      <c r="J5428">
        <f>IF(AND(ISNUMBER('Data'!$F$5429),'Data'!$F$5429&lt;&gt;999,'Data'!$F$5429&lt;&gt;""),'Data'!$F$5429,"")</f>
        <v/>
      </c>
      <c r="Z5428" t="n">
        <v>1</v>
      </c>
      <c r="AA5428">
        <f>IF(ISNUMBER('IN-CLASS_Lab Part C'!$J$5428),'IN-CLASS_Lab Part C'!$J$5428,NA())</f>
        <v/>
      </c>
    </row>
    <row r="5429">
      <c r="J5429">
        <f>IF(AND(ISNUMBER('Data'!$F$5430),'Data'!$F$5430&lt;&gt;999,'Data'!$F$5430&lt;&gt;""),'Data'!$F$5430,"")</f>
        <v/>
      </c>
      <c r="Z5429" t="n">
        <v>1</v>
      </c>
      <c r="AA5429">
        <f>IF(ISNUMBER('IN-CLASS_Lab Part C'!$J$5429),'IN-CLASS_Lab Part C'!$J$5429,NA())</f>
        <v/>
      </c>
    </row>
    <row r="5430">
      <c r="J5430">
        <f>IF(AND(ISNUMBER('Data'!$F$5431),'Data'!$F$5431&lt;&gt;999,'Data'!$F$5431&lt;&gt;""),'Data'!$F$5431,"")</f>
        <v/>
      </c>
      <c r="Z5430" t="n">
        <v>1</v>
      </c>
      <c r="AA5430">
        <f>IF(ISNUMBER('IN-CLASS_Lab Part C'!$J$5430),'IN-CLASS_Lab Part C'!$J$5430,NA())</f>
        <v/>
      </c>
    </row>
    <row r="5431">
      <c r="J5431">
        <f>IF(AND(ISNUMBER('Data'!$F$5432),'Data'!$F$5432&lt;&gt;999,'Data'!$F$5432&lt;&gt;""),'Data'!$F$5432,"")</f>
        <v/>
      </c>
      <c r="Z5431" t="n">
        <v>1</v>
      </c>
      <c r="AA5431">
        <f>IF(ISNUMBER('IN-CLASS_Lab Part C'!$J$5431),'IN-CLASS_Lab Part C'!$J$5431,NA())</f>
        <v/>
      </c>
    </row>
    <row r="5432">
      <c r="J5432">
        <f>IF(AND(ISNUMBER('Data'!$F$5433),'Data'!$F$5433&lt;&gt;999,'Data'!$F$5433&lt;&gt;""),'Data'!$F$5433,"")</f>
        <v/>
      </c>
      <c r="Z5432" t="n">
        <v>1</v>
      </c>
      <c r="AA5432">
        <f>IF(ISNUMBER('IN-CLASS_Lab Part C'!$J$5432),'IN-CLASS_Lab Part C'!$J$5432,NA())</f>
        <v/>
      </c>
    </row>
    <row r="5433">
      <c r="J5433">
        <f>IF(AND(ISNUMBER('Data'!$F$5434),'Data'!$F$5434&lt;&gt;999,'Data'!$F$5434&lt;&gt;""),'Data'!$F$5434,"")</f>
        <v/>
      </c>
      <c r="Z5433" t="n">
        <v>1</v>
      </c>
      <c r="AA5433">
        <f>IF(ISNUMBER('IN-CLASS_Lab Part C'!$J$5433),'IN-CLASS_Lab Part C'!$J$5433,NA())</f>
        <v/>
      </c>
    </row>
    <row r="5434">
      <c r="J5434">
        <f>IF(AND(ISNUMBER('Data'!$F$5435),'Data'!$F$5435&lt;&gt;999,'Data'!$F$5435&lt;&gt;""),'Data'!$F$5435,"")</f>
        <v/>
      </c>
      <c r="Z5434" t="n">
        <v>1</v>
      </c>
      <c r="AA5434">
        <f>IF(ISNUMBER('IN-CLASS_Lab Part C'!$J$5434),'IN-CLASS_Lab Part C'!$J$5434,NA())</f>
        <v/>
      </c>
    </row>
    <row r="5435">
      <c r="J5435">
        <f>IF(AND(ISNUMBER('Data'!$F$5436),'Data'!$F$5436&lt;&gt;999,'Data'!$F$5436&lt;&gt;""),'Data'!$F$5436,"")</f>
        <v/>
      </c>
      <c r="Z5435" t="n">
        <v>1</v>
      </c>
      <c r="AA5435">
        <f>IF(ISNUMBER('IN-CLASS_Lab Part C'!$J$5435),'IN-CLASS_Lab Part C'!$J$5435,NA())</f>
        <v/>
      </c>
    </row>
    <row r="5436">
      <c r="J5436">
        <f>IF(AND(ISNUMBER('Data'!$F$5437),'Data'!$F$5437&lt;&gt;999,'Data'!$F$5437&lt;&gt;""),'Data'!$F$5437,"")</f>
        <v/>
      </c>
      <c r="Z5436" t="n">
        <v>1</v>
      </c>
      <c r="AA5436">
        <f>IF(ISNUMBER('IN-CLASS_Lab Part C'!$J$5436),'IN-CLASS_Lab Part C'!$J$5436,NA())</f>
        <v/>
      </c>
    </row>
    <row r="5437">
      <c r="J5437">
        <f>IF(AND(ISNUMBER('Data'!$F$5438),'Data'!$F$5438&lt;&gt;999,'Data'!$F$5438&lt;&gt;""),'Data'!$F$5438,"")</f>
        <v/>
      </c>
      <c r="Z5437" t="n">
        <v>1</v>
      </c>
      <c r="AA5437">
        <f>IF(ISNUMBER('IN-CLASS_Lab Part C'!$J$5437),'IN-CLASS_Lab Part C'!$J$5437,NA())</f>
        <v/>
      </c>
    </row>
    <row r="5438">
      <c r="J5438">
        <f>IF(AND(ISNUMBER('Data'!$F$5439),'Data'!$F$5439&lt;&gt;999,'Data'!$F$5439&lt;&gt;""),'Data'!$F$5439,"")</f>
        <v/>
      </c>
      <c r="Z5438" t="n">
        <v>1</v>
      </c>
      <c r="AA5438">
        <f>IF(ISNUMBER('IN-CLASS_Lab Part C'!$J$5438),'IN-CLASS_Lab Part C'!$J$5438,NA())</f>
        <v/>
      </c>
    </row>
    <row r="5439">
      <c r="J5439">
        <f>IF(AND(ISNUMBER('Data'!$F$5440),'Data'!$F$5440&lt;&gt;999,'Data'!$F$5440&lt;&gt;""),'Data'!$F$5440,"")</f>
        <v/>
      </c>
      <c r="Z5439" t="n">
        <v>1</v>
      </c>
      <c r="AA5439">
        <f>IF(ISNUMBER('IN-CLASS_Lab Part C'!$J$5439),'IN-CLASS_Lab Part C'!$J$5439,NA())</f>
        <v/>
      </c>
    </row>
    <row r="5440">
      <c r="J5440">
        <f>IF(AND(ISNUMBER('Data'!$F$5441),'Data'!$F$5441&lt;&gt;999,'Data'!$F$5441&lt;&gt;""),'Data'!$F$5441,"")</f>
        <v/>
      </c>
      <c r="Z5440" t="n">
        <v>1</v>
      </c>
      <c r="AA5440">
        <f>IF(ISNUMBER('IN-CLASS_Lab Part C'!$J$5440),'IN-CLASS_Lab Part C'!$J$5440,NA())</f>
        <v/>
      </c>
    </row>
    <row r="5441">
      <c r="J5441">
        <f>IF(AND(ISNUMBER('Data'!$F$5442),'Data'!$F$5442&lt;&gt;999,'Data'!$F$5442&lt;&gt;""),'Data'!$F$5442,"")</f>
        <v/>
      </c>
      <c r="Z5441" t="n">
        <v>1</v>
      </c>
      <c r="AA5441">
        <f>IF(ISNUMBER('IN-CLASS_Lab Part C'!$J$5441),'IN-CLASS_Lab Part C'!$J$5441,NA())</f>
        <v/>
      </c>
    </row>
    <row r="5442">
      <c r="J5442">
        <f>IF(AND(ISNUMBER('Data'!$F$5443),'Data'!$F$5443&lt;&gt;999,'Data'!$F$5443&lt;&gt;""),'Data'!$F$5443,"")</f>
        <v/>
      </c>
      <c r="Z5442" t="n">
        <v>1</v>
      </c>
      <c r="AA5442">
        <f>IF(ISNUMBER('IN-CLASS_Lab Part C'!$J$5442),'IN-CLASS_Lab Part C'!$J$5442,NA())</f>
        <v/>
      </c>
    </row>
    <row r="5443">
      <c r="J5443">
        <f>IF(AND(ISNUMBER('Data'!$F$5444),'Data'!$F$5444&lt;&gt;999,'Data'!$F$5444&lt;&gt;""),'Data'!$F$5444,"")</f>
        <v/>
      </c>
      <c r="Z5443" t="n">
        <v>1</v>
      </c>
      <c r="AA5443">
        <f>IF(ISNUMBER('IN-CLASS_Lab Part C'!$J$5443),'IN-CLASS_Lab Part C'!$J$5443,NA())</f>
        <v/>
      </c>
    </row>
    <row r="5444">
      <c r="J5444">
        <f>IF(AND(ISNUMBER('Data'!$F$5445),'Data'!$F$5445&lt;&gt;999,'Data'!$F$5445&lt;&gt;""),'Data'!$F$5445,"")</f>
        <v/>
      </c>
      <c r="Z5444" t="n">
        <v>1</v>
      </c>
      <c r="AA5444">
        <f>IF(ISNUMBER('IN-CLASS_Lab Part C'!$J$5444),'IN-CLASS_Lab Part C'!$J$5444,NA())</f>
        <v/>
      </c>
    </row>
    <row r="5445">
      <c r="J5445">
        <f>IF(AND(ISNUMBER('Data'!$F$5446),'Data'!$F$5446&lt;&gt;999,'Data'!$F$5446&lt;&gt;""),'Data'!$F$5446,"")</f>
        <v/>
      </c>
      <c r="Z5445" t="n">
        <v>1</v>
      </c>
      <c r="AA5445">
        <f>IF(ISNUMBER('IN-CLASS_Lab Part C'!$J$5445),'IN-CLASS_Lab Part C'!$J$5445,NA())</f>
        <v/>
      </c>
    </row>
    <row r="5446">
      <c r="J5446">
        <f>IF(AND(ISNUMBER('Data'!$F$5447),'Data'!$F$5447&lt;&gt;999,'Data'!$F$5447&lt;&gt;""),'Data'!$F$5447,"")</f>
        <v/>
      </c>
      <c r="Z5446" t="n">
        <v>1</v>
      </c>
      <c r="AA5446">
        <f>IF(ISNUMBER('IN-CLASS_Lab Part C'!$J$5446),'IN-CLASS_Lab Part C'!$J$5446,NA())</f>
        <v/>
      </c>
    </row>
    <row r="5447">
      <c r="J5447">
        <f>IF(AND(ISNUMBER('Data'!$F$5448),'Data'!$F$5448&lt;&gt;999,'Data'!$F$5448&lt;&gt;""),'Data'!$F$5448,"")</f>
        <v/>
      </c>
      <c r="Z5447" t="n">
        <v>1</v>
      </c>
      <c r="AA5447">
        <f>IF(ISNUMBER('IN-CLASS_Lab Part C'!$J$5447),'IN-CLASS_Lab Part C'!$J$5447,NA())</f>
        <v/>
      </c>
    </row>
    <row r="5448">
      <c r="J5448">
        <f>IF(AND(ISNUMBER('Data'!$F$5449),'Data'!$F$5449&lt;&gt;999,'Data'!$F$5449&lt;&gt;""),'Data'!$F$5449,"")</f>
        <v/>
      </c>
      <c r="Z5448" t="n">
        <v>1</v>
      </c>
      <c r="AA5448">
        <f>IF(ISNUMBER('IN-CLASS_Lab Part C'!$J$5448),'IN-CLASS_Lab Part C'!$J$5448,NA())</f>
        <v/>
      </c>
    </row>
    <row r="5449">
      <c r="J5449">
        <f>IF(AND(ISNUMBER('Data'!$F$5450),'Data'!$F$5450&lt;&gt;999,'Data'!$F$5450&lt;&gt;""),'Data'!$F$5450,"")</f>
        <v/>
      </c>
      <c r="Z5449" t="n">
        <v>1</v>
      </c>
      <c r="AA5449">
        <f>IF(ISNUMBER('IN-CLASS_Lab Part C'!$J$5449),'IN-CLASS_Lab Part C'!$J$5449,NA())</f>
        <v/>
      </c>
    </row>
    <row r="5450">
      <c r="J5450">
        <f>IF(AND(ISNUMBER('Data'!$F$5451),'Data'!$F$5451&lt;&gt;999,'Data'!$F$5451&lt;&gt;""),'Data'!$F$5451,"")</f>
        <v/>
      </c>
      <c r="Z5450" t="n">
        <v>1</v>
      </c>
      <c r="AA5450">
        <f>IF(ISNUMBER('IN-CLASS_Lab Part C'!$J$5450),'IN-CLASS_Lab Part C'!$J$5450,NA())</f>
        <v/>
      </c>
    </row>
    <row r="5451">
      <c r="J5451">
        <f>IF(AND(ISNUMBER('Data'!$F$5452),'Data'!$F$5452&lt;&gt;999,'Data'!$F$5452&lt;&gt;""),'Data'!$F$5452,"")</f>
        <v/>
      </c>
      <c r="Z5451" t="n">
        <v>1</v>
      </c>
      <c r="AA5451">
        <f>IF(ISNUMBER('IN-CLASS_Lab Part C'!$J$5451),'IN-CLASS_Lab Part C'!$J$5451,NA())</f>
        <v/>
      </c>
    </row>
    <row r="5452">
      <c r="J5452">
        <f>IF(AND(ISNUMBER('Data'!$F$5453),'Data'!$F$5453&lt;&gt;999,'Data'!$F$5453&lt;&gt;""),'Data'!$F$5453,"")</f>
        <v/>
      </c>
      <c r="Z5452" t="n">
        <v>1</v>
      </c>
      <c r="AA5452">
        <f>IF(ISNUMBER('IN-CLASS_Lab Part C'!$J$5452),'IN-CLASS_Lab Part C'!$J$5452,NA())</f>
        <v/>
      </c>
    </row>
    <row r="5453">
      <c r="J5453">
        <f>IF(AND(ISNUMBER('Data'!$F$5454),'Data'!$F$5454&lt;&gt;999,'Data'!$F$5454&lt;&gt;""),'Data'!$F$5454,"")</f>
        <v/>
      </c>
      <c r="Z5453" t="n">
        <v>1</v>
      </c>
      <c r="AA5453">
        <f>IF(ISNUMBER('IN-CLASS_Lab Part C'!$J$5453),'IN-CLASS_Lab Part C'!$J$5453,NA())</f>
        <v/>
      </c>
    </row>
    <row r="5454">
      <c r="J5454">
        <f>IF(AND(ISNUMBER('Data'!$F$5455),'Data'!$F$5455&lt;&gt;999,'Data'!$F$5455&lt;&gt;""),'Data'!$F$5455,"")</f>
        <v/>
      </c>
      <c r="Z5454" t="n">
        <v>1</v>
      </c>
      <c r="AA5454">
        <f>IF(ISNUMBER('IN-CLASS_Lab Part C'!$J$5454),'IN-CLASS_Lab Part C'!$J$5454,NA())</f>
        <v/>
      </c>
    </row>
    <row r="5455">
      <c r="J5455">
        <f>IF(AND(ISNUMBER('Data'!$F$5456),'Data'!$F$5456&lt;&gt;999,'Data'!$F$5456&lt;&gt;""),'Data'!$F$5456,"")</f>
        <v/>
      </c>
      <c r="Z5455" t="n">
        <v>1</v>
      </c>
      <c r="AA5455">
        <f>IF(ISNUMBER('IN-CLASS_Lab Part C'!$J$5455),'IN-CLASS_Lab Part C'!$J$5455,NA())</f>
        <v/>
      </c>
    </row>
    <row r="5456">
      <c r="J5456">
        <f>IF(AND(ISNUMBER('Data'!$F$5457),'Data'!$F$5457&lt;&gt;999,'Data'!$F$5457&lt;&gt;""),'Data'!$F$5457,"")</f>
        <v/>
      </c>
      <c r="Z5456" t="n">
        <v>1</v>
      </c>
      <c r="AA5456">
        <f>IF(ISNUMBER('IN-CLASS_Lab Part C'!$J$5456),'IN-CLASS_Lab Part C'!$J$5456,NA())</f>
        <v/>
      </c>
    </row>
    <row r="5457">
      <c r="J5457">
        <f>IF(AND(ISNUMBER('Data'!$F$5458),'Data'!$F$5458&lt;&gt;999,'Data'!$F$5458&lt;&gt;""),'Data'!$F$5458,"")</f>
        <v/>
      </c>
      <c r="Z5457" t="n">
        <v>1</v>
      </c>
      <c r="AA5457">
        <f>IF(ISNUMBER('IN-CLASS_Lab Part C'!$J$5457),'IN-CLASS_Lab Part C'!$J$5457,NA())</f>
        <v/>
      </c>
    </row>
    <row r="5458">
      <c r="J5458">
        <f>IF(AND(ISNUMBER('Data'!$F$5459),'Data'!$F$5459&lt;&gt;999,'Data'!$F$5459&lt;&gt;""),'Data'!$F$5459,"")</f>
        <v/>
      </c>
      <c r="Z5458" t="n">
        <v>1</v>
      </c>
      <c r="AA5458">
        <f>IF(ISNUMBER('IN-CLASS_Lab Part C'!$J$5458),'IN-CLASS_Lab Part C'!$J$5458,NA())</f>
        <v/>
      </c>
    </row>
    <row r="5459">
      <c r="J5459">
        <f>IF(AND(ISNUMBER('Data'!$F$5460),'Data'!$F$5460&lt;&gt;999,'Data'!$F$5460&lt;&gt;""),'Data'!$F$5460,"")</f>
        <v/>
      </c>
      <c r="Z5459" t="n">
        <v>1</v>
      </c>
      <c r="AA5459">
        <f>IF(ISNUMBER('IN-CLASS_Lab Part C'!$J$5459),'IN-CLASS_Lab Part C'!$J$5459,NA())</f>
        <v/>
      </c>
    </row>
    <row r="5460">
      <c r="J5460">
        <f>IF(AND(ISNUMBER('Data'!$F$5461),'Data'!$F$5461&lt;&gt;999,'Data'!$F$5461&lt;&gt;""),'Data'!$F$5461,"")</f>
        <v/>
      </c>
      <c r="Z5460" t="n">
        <v>1</v>
      </c>
      <c r="AA5460">
        <f>IF(ISNUMBER('IN-CLASS_Lab Part C'!$J$5460),'IN-CLASS_Lab Part C'!$J$5460,NA())</f>
        <v/>
      </c>
    </row>
    <row r="5461">
      <c r="J5461">
        <f>IF(AND(ISNUMBER('Data'!$F$5462),'Data'!$F$5462&lt;&gt;999,'Data'!$F$5462&lt;&gt;""),'Data'!$F$5462,"")</f>
        <v/>
      </c>
      <c r="Z5461" t="n">
        <v>1</v>
      </c>
      <c r="AA5461">
        <f>IF(ISNUMBER('IN-CLASS_Lab Part C'!$J$5461),'IN-CLASS_Lab Part C'!$J$5461,NA())</f>
        <v/>
      </c>
    </row>
    <row r="5462">
      <c r="J5462">
        <f>IF(AND(ISNUMBER('Data'!$F$5463),'Data'!$F$5463&lt;&gt;999,'Data'!$F$5463&lt;&gt;""),'Data'!$F$5463,"")</f>
        <v/>
      </c>
      <c r="Z5462" t="n">
        <v>1</v>
      </c>
      <c r="AA5462">
        <f>IF(ISNUMBER('IN-CLASS_Lab Part C'!$J$5462),'IN-CLASS_Lab Part C'!$J$5462,NA())</f>
        <v/>
      </c>
    </row>
    <row r="5463">
      <c r="J5463">
        <f>IF(AND(ISNUMBER('Data'!$F$5464),'Data'!$F$5464&lt;&gt;999,'Data'!$F$5464&lt;&gt;""),'Data'!$F$5464,"")</f>
        <v/>
      </c>
      <c r="Z5463" t="n">
        <v>1</v>
      </c>
      <c r="AA5463">
        <f>IF(ISNUMBER('IN-CLASS_Lab Part C'!$J$5463),'IN-CLASS_Lab Part C'!$J$5463,NA())</f>
        <v/>
      </c>
    </row>
    <row r="5464">
      <c r="J5464">
        <f>IF(AND(ISNUMBER('Data'!$F$5465),'Data'!$F$5465&lt;&gt;999,'Data'!$F$5465&lt;&gt;""),'Data'!$F$5465,"")</f>
        <v/>
      </c>
      <c r="Z5464" t="n">
        <v>1</v>
      </c>
      <c r="AA5464">
        <f>IF(ISNUMBER('IN-CLASS_Lab Part C'!$J$5464),'IN-CLASS_Lab Part C'!$J$5464,NA())</f>
        <v/>
      </c>
    </row>
    <row r="5465">
      <c r="J5465">
        <f>IF(AND(ISNUMBER('Data'!$F$5466),'Data'!$F$5466&lt;&gt;999,'Data'!$F$5466&lt;&gt;""),'Data'!$F$5466,"")</f>
        <v/>
      </c>
      <c r="Z5465" t="n">
        <v>1</v>
      </c>
      <c r="AA5465">
        <f>IF(ISNUMBER('IN-CLASS_Lab Part C'!$J$5465),'IN-CLASS_Lab Part C'!$J$5465,NA())</f>
        <v/>
      </c>
    </row>
    <row r="5466">
      <c r="J5466">
        <f>IF(AND(ISNUMBER('Data'!$F$5467),'Data'!$F$5467&lt;&gt;999,'Data'!$F$5467&lt;&gt;""),'Data'!$F$5467,"")</f>
        <v/>
      </c>
      <c r="Z5466" t="n">
        <v>1</v>
      </c>
      <c r="AA5466">
        <f>IF(ISNUMBER('IN-CLASS_Lab Part C'!$J$5466),'IN-CLASS_Lab Part C'!$J$5466,NA())</f>
        <v/>
      </c>
    </row>
    <row r="5467">
      <c r="J5467">
        <f>IF(AND(ISNUMBER('Data'!$F$5468),'Data'!$F$5468&lt;&gt;999,'Data'!$F$5468&lt;&gt;""),'Data'!$F$5468,"")</f>
        <v/>
      </c>
      <c r="Z5467" t="n">
        <v>1</v>
      </c>
      <c r="AA5467">
        <f>IF(ISNUMBER('IN-CLASS_Lab Part C'!$J$5467),'IN-CLASS_Lab Part C'!$J$5467,NA())</f>
        <v/>
      </c>
    </row>
    <row r="5468">
      <c r="J5468">
        <f>IF(AND(ISNUMBER('Data'!$F$5469),'Data'!$F$5469&lt;&gt;999,'Data'!$F$5469&lt;&gt;""),'Data'!$F$5469,"")</f>
        <v/>
      </c>
      <c r="Z5468" t="n">
        <v>1</v>
      </c>
      <c r="AA5468">
        <f>IF(ISNUMBER('IN-CLASS_Lab Part C'!$J$5468),'IN-CLASS_Lab Part C'!$J$5468,NA())</f>
        <v/>
      </c>
    </row>
    <row r="5469">
      <c r="J5469">
        <f>IF(AND(ISNUMBER('Data'!$F$5470),'Data'!$F$5470&lt;&gt;999,'Data'!$F$5470&lt;&gt;""),'Data'!$F$5470,"")</f>
        <v/>
      </c>
      <c r="Z5469" t="n">
        <v>1</v>
      </c>
      <c r="AA5469">
        <f>IF(ISNUMBER('IN-CLASS_Lab Part C'!$J$5469),'IN-CLASS_Lab Part C'!$J$5469,NA())</f>
        <v/>
      </c>
    </row>
    <row r="5470">
      <c r="J5470">
        <f>IF(AND(ISNUMBER('Data'!$F$5471),'Data'!$F$5471&lt;&gt;999,'Data'!$F$5471&lt;&gt;""),'Data'!$F$5471,"")</f>
        <v/>
      </c>
      <c r="Z5470" t="n">
        <v>1</v>
      </c>
      <c r="AA5470">
        <f>IF(ISNUMBER('IN-CLASS_Lab Part C'!$J$5470),'IN-CLASS_Lab Part C'!$J$5470,NA())</f>
        <v/>
      </c>
    </row>
    <row r="5471">
      <c r="J5471">
        <f>IF(AND(ISNUMBER('Data'!$F$5472),'Data'!$F$5472&lt;&gt;999,'Data'!$F$5472&lt;&gt;""),'Data'!$F$5472,"")</f>
        <v/>
      </c>
      <c r="Z5471" t="n">
        <v>1</v>
      </c>
      <c r="AA5471">
        <f>IF(ISNUMBER('IN-CLASS_Lab Part C'!$J$5471),'IN-CLASS_Lab Part C'!$J$5471,NA())</f>
        <v/>
      </c>
    </row>
    <row r="5472">
      <c r="J5472">
        <f>IF(AND(ISNUMBER('Data'!$F$5473),'Data'!$F$5473&lt;&gt;999,'Data'!$F$5473&lt;&gt;""),'Data'!$F$5473,"")</f>
        <v/>
      </c>
      <c r="Z5472" t="n">
        <v>1</v>
      </c>
      <c r="AA5472">
        <f>IF(ISNUMBER('IN-CLASS_Lab Part C'!$J$5472),'IN-CLASS_Lab Part C'!$J$5472,NA())</f>
        <v/>
      </c>
    </row>
    <row r="5473">
      <c r="J5473">
        <f>IF(AND(ISNUMBER('Data'!$F$5474),'Data'!$F$5474&lt;&gt;999,'Data'!$F$5474&lt;&gt;""),'Data'!$F$5474,"")</f>
        <v/>
      </c>
      <c r="Z5473" t="n">
        <v>1</v>
      </c>
      <c r="AA5473">
        <f>IF(ISNUMBER('IN-CLASS_Lab Part C'!$J$5473),'IN-CLASS_Lab Part C'!$J$5473,NA())</f>
        <v/>
      </c>
    </row>
    <row r="5474">
      <c r="J5474">
        <f>IF(AND(ISNUMBER('Data'!$F$5475),'Data'!$F$5475&lt;&gt;999,'Data'!$F$5475&lt;&gt;""),'Data'!$F$5475,"")</f>
        <v/>
      </c>
      <c r="Z5474" t="n">
        <v>1</v>
      </c>
      <c r="AA5474">
        <f>IF(ISNUMBER('IN-CLASS_Lab Part C'!$J$5474),'IN-CLASS_Lab Part C'!$J$5474,NA())</f>
        <v/>
      </c>
    </row>
    <row r="5475">
      <c r="J5475">
        <f>IF(AND(ISNUMBER('Data'!$F$5476),'Data'!$F$5476&lt;&gt;999,'Data'!$F$5476&lt;&gt;""),'Data'!$F$5476,"")</f>
        <v/>
      </c>
      <c r="Z5475" t="n">
        <v>1</v>
      </c>
      <c r="AA5475">
        <f>IF(ISNUMBER('IN-CLASS_Lab Part C'!$J$5475),'IN-CLASS_Lab Part C'!$J$5475,NA())</f>
        <v/>
      </c>
    </row>
    <row r="5476">
      <c r="J5476">
        <f>IF(AND(ISNUMBER('Data'!$F$5477),'Data'!$F$5477&lt;&gt;999,'Data'!$F$5477&lt;&gt;""),'Data'!$F$5477,"")</f>
        <v/>
      </c>
      <c r="Z5476" t="n">
        <v>1</v>
      </c>
      <c r="AA5476">
        <f>IF(ISNUMBER('IN-CLASS_Lab Part C'!$J$5476),'IN-CLASS_Lab Part C'!$J$5476,NA())</f>
        <v/>
      </c>
    </row>
    <row r="5477">
      <c r="J5477">
        <f>IF(AND(ISNUMBER('Data'!$F$5478),'Data'!$F$5478&lt;&gt;999,'Data'!$F$5478&lt;&gt;""),'Data'!$F$5478,"")</f>
        <v/>
      </c>
      <c r="Z5477" t="n">
        <v>1</v>
      </c>
      <c r="AA5477">
        <f>IF(ISNUMBER('IN-CLASS_Lab Part C'!$J$5477),'IN-CLASS_Lab Part C'!$J$5477,NA())</f>
        <v/>
      </c>
    </row>
    <row r="5478">
      <c r="J5478">
        <f>IF(AND(ISNUMBER('Data'!$F$5479),'Data'!$F$5479&lt;&gt;999,'Data'!$F$5479&lt;&gt;""),'Data'!$F$5479,"")</f>
        <v/>
      </c>
      <c r="Z5478" t="n">
        <v>1</v>
      </c>
      <c r="AA5478">
        <f>IF(ISNUMBER('IN-CLASS_Lab Part C'!$J$5478),'IN-CLASS_Lab Part C'!$J$5478,NA())</f>
        <v/>
      </c>
    </row>
    <row r="5479">
      <c r="J5479">
        <f>IF(AND(ISNUMBER('Data'!$F$5480),'Data'!$F$5480&lt;&gt;999,'Data'!$F$5480&lt;&gt;""),'Data'!$F$5480,"")</f>
        <v/>
      </c>
      <c r="Z5479" t="n">
        <v>1</v>
      </c>
      <c r="AA5479">
        <f>IF(ISNUMBER('IN-CLASS_Lab Part C'!$J$5479),'IN-CLASS_Lab Part C'!$J$5479,NA())</f>
        <v/>
      </c>
    </row>
    <row r="5480">
      <c r="J5480">
        <f>IF(AND(ISNUMBER('Data'!$F$5481),'Data'!$F$5481&lt;&gt;999,'Data'!$F$5481&lt;&gt;""),'Data'!$F$5481,"")</f>
        <v/>
      </c>
      <c r="Z5480" t="n">
        <v>1</v>
      </c>
      <c r="AA5480">
        <f>IF(ISNUMBER('IN-CLASS_Lab Part C'!$J$5480),'IN-CLASS_Lab Part C'!$J$5480,NA())</f>
        <v/>
      </c>
    </row>
    <row r="5481">
      <c r="J5481">
        <f>IF(AND(ISNUMBER('Data'!$F$5482),'Data'!$F$5482&lt;&gt;999,'Data'!$F$5482&lt;&gt;""),'Data'!$F$5482,"")</f>
        <v/>
      </c>
      <c r="Z5481" t="n">
        <v>1</v>
      </c>
      <c r="AA5481">
        <f>IF(ISNUMBER('IN-CLASS_Lab Part C'!$J$5481),'IN-CLASS_Lab Part C'!$J$5481,NA())</f>
        <v/>
      </c>
    </row>
    <row r="5482">
      <c r="J5482">
        <f>IF(AND(ISNUMBER('Data'!$F$5483),'Data'!$F$5483&lt;&gt;999,'Data'!$F$5483&lt;&gt;""),'Data'!$F$5483,"")</f>
        <v/>
      </c>
      <c r="Z5482" t="n">
        <v>1</v>
      </c>
      <c r="AA5482">
        <f>IF(ISNUMBER('IN-CLASS_Lab Part C'!$J$5482),'IN-CLASS_Lab Part C'!$J$5482,NA())</f>
        <v/>
      </c>
    </row>
    <row r="5483">
      <c r="J5483">
        <f>IF(AND(ISNUMBER('Data'!$F$5484),'Data'!$F$5484&lt;&gt;999,'Data'!$F$5484&lt;&gt;""),'Data'!$F$5484,"")</f>
        <v/>
      </c>
      <c r="Z5483" t="n">
        <v>1</v>
      </c>
      <c r="AA5483">
        <f>IF(ISNUMBER('IN-CLASS_Lab Part C'!$J$5483),'IN-CLASS_Lab Part C'!$J$5483,NA())</f>
        <v/>
      </c>
    </row>
    <row r="5484">
      <c r="J5484">
        <f>IF(AND(ISNUMBER('Data'!$F$5485),'Data'!$F$5485&lt;&gt;999,'Data'!$F$5485&lt;&gt;""),'Data'!$F$5485,"")</f>
        <v/>
      </c>
      <c r="Z5484" t="n">
        <v>1</v>
      </c>
      <c r="AA5484">
        <f>IF(ISNUMBER('IN-CLASS_Lab Part C'!$J$5484),'IN-CLASS_Lab Part C'!$J$5484,NA())</f>
        <v/>
      </c>
    </row>
    <row r="5485">
      <c r="J5485">
        <f>IF(AND(ISNUMBER('Data'!$F$5486),'Data'!$F$5486&lt;&gt;999,'Data'!$F$5486&lt;&gt;""),'Data'!$F$5486,"")</f>
        <v/>
      </c>
      <c r="Z5485" t="n">
        <v>1</v>
      </c>
      <c r="AA5485">
        <f>IF(ISNUMBER('IN-CLASS_Lab Part C'!$J$5485),'IN-CLASS_Lab Part C'!$J$5485,NA())</f>
        <v/>
      </c>
    </row>
    <row r="5486">
      <c r="J5486">
        <f>IF(AND(ISNUMBER('Data'!$F$5487),'Data'!$F$5487&lt;&gt;999,'Data'!$F$5487&lt;&gt;""),'Data'!$F$5487,"")</f>
        <v/>
      </c>
      <c r="Z5486" t="n">
        <v>1</v>
      </c>
      <c r="AA5486">
        <f>IF(ISNUMBER('IN-CLASS_Lab Part C'!$J$5486),'IN-CLASS_Lab Part C'!$J$5486,NA())</f>
        <v/>
      </c>
    </row>
    <row r="5487">
      <c r="J5487">
        <f>IF(AND(ISNUMBER('Data'!$F$5488),'Data'!$F$5488&lt;&gt;999,'Data'!$F$5488&lt;&gt;""),'Data'!$F$5488,"")</f>
        <v/>
      </c>
      <c r="Z5487" t="n">
        <v>1</v>
      </c>
      <c r="AA5487">
        <f>IF(ISNUMBER('IN-CLASS_Lab Part C'!$J$5487),'IN-CLASS_Lab Part C'!$J$5487,NA())</f>
        <v/>
      </c>
    </row>
    <row r="5488">
      <c r="J5488">
        <f>IF(AND(ISNUMBER('Data'!$F$5489),'Data'!$F$5489&lt;&gt;999,'Data'!$F$5489&lt;&gt;""),'Data'!$F$5489,"")</f>
        <v/>
      </c>
      <c r="Z5488" t="n">
        <v>1</v>
      </c>
      <c r="AA5488">
        <f>IF(ISNUMBER('IN-CLASS_Lab Part C'!$J$5488),'IN-CLASS_Lab Part C'!$J$5488,NA())</f>
        <v/>
      </c>
    </row>
    <row r="5489">
      <c r="J5489">
        <f>IF(AND(ISNUMBER('Data'!$F$5490),'Data'!$F$5490&lt;&gt;999,'Data'!$F$5490&lt;&gt;""),'Data'!$F$5490,"")</f>
        <v/>
      </c>
      <c r="Z5489" t="n">
        <v>1</v>
      </c>
      <c r="AA5489">
        <f>IF(ISNUMBER('IN-CLASS_Lab Part C'!$J$5489),'IN-CLASS_Lab Part C'!$J$5489,NA())</f>
        <v/>
      </c>
    </row>
    <row r="5490">
      <c r="J5490">
        <f>IF(AND(ISNUMBER('Data'!$F$5491),'Data'!$F$5491&lt;&gt;999,'Data'!$F$5491&lt;&gt;""),'Data'!$F$5491,"")</f>
        <v/>
      </c>
      <c r="Z5490" t="n">
        <v>1</v>
      </c>
      <c r="AA5490">
        <f>IF(ISNUMBER('IN-CLASS_Lab Part C'!$J$5490),'IN-CLASS_Lab Part C'!$J$5490,NA())</f>
        <v/>
      </c>
    </row>
    <row r="5491">
      <c r="J5491">
        <f>IF(AND(ISNUMBER('Data'!$F$5492),'Data'!$F$5492&lt;&gt;999,'Data'!$F$5492&lt;&gt;""),'Data'!$F$5492,"")</f>
        <v/>
      </c>
      <c r="Z5491" t="n">
        <v>1</v>
      </c>
      <c r="AA5491">
        <f>IF(ISNUMBER('IN-CLASS_Lab Part C'!$J$5491),'IN-CLASS_Lab Part C'!$J$5491,NA())</f>
        <v/>
      </c>
    </row>
    <row r="5492">
      <c r="J5492">
        <f>IF(AND(ISNUMBER('Data'!$F$5493),'Data'!$F$5493&lt;&gt;999,'Data'!$F$5493&lt;&gt;""),'Data'!$F$5493,"")</f>
        <v/>
      </c>
      <c r="Z5492" t="n">
        <v>1</v>
      </c>
      <c r="AA5492">
        <f>IF(ISNUMBER('IN-CLASS_Lab Part C'!$J$5492),'IN-CLASS_Lab Part C'!$J$5492,NA())</f>
        <v/>
      </c>
    </row>
    <row r="5493">
      <c r="J5493">
        <f>IF(AND(ISNUMBER('Data'!$F$5494),'Data'!$F$5494&lt;&gt;999,'Data'!$F$5494&lt;&gt;""),'Data'!$F$5494,"")</f>
        <v/>
      </c>
      <c r="Z5493" t="n">
        <v>1</v>
      </c>
      <c r="AA5493">
        <f>IF(ISNUMBER('IN-CLASS_Lab Part C'!$J$5493),'IN-CLASS_Lab Part C'!$J$5493,NA())</f>
        <v/>
      </c>
    </row>
    <row r="5494">
      <c r="J5494">
        <f>IF(AND(ISNUMBER('Data'!$F$5495),'Data'!$F$5495&lt;&gt;999,'Data'!$F$5495&lt;&gt;""),'Data'!$F$5495,"")</f>
        <v/>
      </c>
      <c r="Z5494" t="n">
        <v>1</v>
      </c>
      <c r="AA5494">
        <f>IF(ISNUMBER('IN-CLASS_Lab Part C'!$J$5494),'IN-CLASS_Lab Part C'!$J$5494,NA())</f>
        <v/>
      </c>
    </row>
    <row r="5495">
      <c r="J5495">
        <f>IF(AND(ISNUMBER('Data'!$F$5496),'Data'!$F$5496&lt;&gt;999,'Data'!$F$5496&lt;&gt;""),'Data'!$F$5496,"")</f>
        <v/>
      </c>
      <c r="Z5495" t="n">
        <v>1</v>
      </c>
      <c r="AA5495">
        <f>IF(ISNUMBER('IN-CLASS_Lab Part C'!$J$5495),'IN-CLASS_Lab Part C'!$J$5495,NA())</f>
        <v/>
      </c>
    </row>
    <row r="5496">
      <c r="J5496">
        <f>IF(AND(ISNUMBER('Data'!$F$5497),'Data'!$F$5497&lt;&gt;999,'Data'!$F$5497&lt;&gt;""),'Data'!$F$5497,"")</f>
        <v/>
      </c>
      <c r="Z5496" t="n">
        <v>1</v>
      </c>
      <c r="AA5496">
        <f>IF(ISNUMBER('IN-CLASS_Lab Part C'!$J$5496),'IN-CLASS_Lab Part C'!$J$5496,NA())</f>
        <v/>
      </c>
    </row>
    <row r="5497">
      <c r="J5497">
        <f>IF(AND(ISNUMBER('Data'!$F$5498),'Data'!$F$5498&lt;&gt;999,'Data'!$F$5498&lt;&gt;""),'Data'!$F$5498,"")</f>
        <v/>
      </c>
      <c r="Z5497" t="n">
        <v>1</v>
      </c>
      <c r="AA5497">
        <f>IF(ISNUMBER('IN-CLASS_Lab Part C'!$J$5497),'IN-CLASS_Lab Part C'!$J$5497,NA())</f>
        <v/>
      </c>
    </row>
    <row r="5498">
      <c r="J5498">
        <f>IF(AND(ISNUMBER('Data'!$F$5499),'Data'!$F$5499&lt;&gt;999,'Data'!$F$5499&lt;&gt;""),'Data'!$F$5499,"")</f>
        <v/>
      </c>
      <c r="Z5498" t="n">
        <v>1</v>
      </c>
      <c r="AA5498">
        <f>IF(ISNUMBER('IN-CLASS_Lab Part C'!$J$5498),'IN-CLASS_Lab Part C'!$J$5498,NA())</f>
        <v/>
      </c>
    </row>
    <row r="5499">
      <c r="J5499">
        <f>IF(AND(ISNUMBER('Data'!$F$5500),'Data'!$F$5500&lt;&gt;999,'Data'!$F$5500&lt;&gt;""),'Data'!$F$5500,"")</f>
        <v/>
      </c>
      <c r="Z5499" t="n">
        <v>1</v>
      </c>
      <c r="AA5499">
        <f>IF(ISNUMBER('IN-CLASS_Lab Part C'!$J$5499),'IN-CLASS_Lab Part C'!$J$5499,NA())</f>
        <v/>
      </c>
    </row>
    <row r="5500">
      <c r="J5500">
        <f>IF(AND(ISNUMBER('Data'!$F$5501),'Data'!$F$5501&lt;&gt;999,'Data'!$F$5501&lt;&gt;""),'Data'!$F$5501,"")</f>
        <v/>
      </c>
      <c r="Z5500" t="n">
        <v>1</v>
      </c>
      <c r="AA5500">
        <f>IF(ISNUMBER('IN-CLASS_Lab Part C'!$J$5500),'IN-CLASS_Lab Part C'!$J$5500,NA())</f>
        <v/>
      </c>
    </row>
    <row r="5501">
      <c r="J5501">
        <f>IF(AND(ISNUMBER('Data'!$F$5502),'Data'!$F$5502&lt;&gt;999,'Data'!$F$5502&lt;&gt;""),'Data'!$F$5502,"")</f>
        <v/>
      </c>
      <c r="Z5501" t="n">
        <v>1</v>
      </c>
      <c r="AA5501">
        <f>IF(ISNUMBER('IN-CLASS_Lab Part C'!$J$5501),'IN-CLASS_Lab Part C'!$J$5501,NA())</f>
        <v/>
      </c>
    </row>
    <row r="5502">
      <c r="J5502">
        <f>IF(AND(ISNUMBER('Data'!$F$5503),'Data'!$F$5503&lt;&gt;999,'Data'!$F$5503&lt;&gt;""),'Data'!$F$5503,"")</f>
        <v/>
      </c>
      <c r="Z5502" t="n">
        <v>1</v>
      </c>
      <c r="AA5502">
        <f>IF(ISNUMBER('IN-CLASS_Lab Part C'!$J$5502),'IN-CLASS_Lab Part C'!$J$5502,NA())</f>
        <v/>
      </c>
    </row>
    <row r="5503">
      <c r="J5503">
        <f>IF(AND(ISNUMBER('Data'!$F$5504),'Data'!$F$5504&lt;&gt;999,'Data'!$F$5504&lt;&gt;""),'Data'!$F$5504,"")</f>
        <v/>
      </c>
      <c r="Z5503" t="n">
        <v>1</v>
      </c>
      <c r="AA5503">
        <f>IF(ISNUMBER('IN-CLASS_Lab Part C'!$J$5503),'IN-CLASS_Lab Part C'!$J$5503,NA())</f>
        <v/>
      </c>
    </row>
    <row r="5504">
      <c r="J5504">
        <f>IF(AND(ISNUMBER('Data'!$F$5505),'Data'!$F$5505&lt;&gt;999,'Data'!$F$5505&lt;&gt;""),'Data'!$F$5505,"")</f>
        <v/>
      </c>
      <c r="Z5504" t="n">
        <v>1</v>
      </c>
      <c r="AA5504">
        <f>IF(ISNUMBER('IN-CLASS_Lab Part C'!$J$5504),'IN-CLASS_Lab Part C'!$J$5504,NA())</f>
        <v/>
      </c>
    </row>
    <row r="5505">
      <c r="J5505">
        <f>IF(AND(ISNUMBER('Data'!$F$5506),'Data'!$F$5506&lt;&gt;999,'Data'!$F$5506&lt;&gt;""),'Data'!$F$5506,"")</f>
        <v/>
      </c>
      <c r="Z5505" t="n">
        <v>1</v>
      </c>
      <c r="AA5505">
        <f>IF(ISNUMBER('IN-CLASS_Lab Part C'!$J$5505),'IN-CLASS_Lab Part C'!$J$5505,NA())</f>
        <v/>
      </c>
    </row>
    <row r="5506">
      <c r="J5506">
        <f>IF(AND(ISNUMBER('Data'!$F$5507),'Data'!$F$5507&lt;&gt;999,'Data'!$F$5507&lt;&gt;""),'Data'!$F$5507,"")</f>
        <v/>
      </c>
      <c r="Z5506" t="n">
        <v>1</v>
      </c>
      <c r="AA5506">
        <f>IF(ISNUMBER('IN-CLASS_Lab Part C'!$J$5506),'IN-CLASS_Lab Part C'!$J$5506,NA())</f>
        <v/>
      </c>
    </row>
    <row r="5507">
      <c r="J5507">
        <f>IF(AND(ISNUMBER('Data'!$F$5508),'Data'!$F$5508&lt;&gt;999,'Data'!$F$5508&lt;&gt;""),'Data'!$F$5508,"")</f>
        <v/>
      </c>
      <c r="Z5507" t="n">
        <v>1</v>
      </c>
      <c r="AA5507">
        <f>IF(ISNUMBER('IN-CLASS_Lab Part C'!$J$5507),'IN-CLASS_Lab Part C'!$J$5507,NA())</f>
        <v/>
      </c>
    </row>
    <row r="5508">
      <c r="J5508">
        <f>IF(AND(ISNUMBER('Data'!$F$5509),'Data'!$F$5509&lt;&gt;999,'Data'!$F$5509&lt;&gt;""),'Data'!$F$5509,"")</f>
        <v/>
      </c>
      <c r="Z5508" t="n">
        <v>1</v>
      </c>
      <c r="AA5508">
        <f>IF(ISNUMBER('IN-CLASS_Lab Part C'!$J$5508),'IN-CLASS_Lab Part C'!$J$5508,NA())</f>
        <v/>
      </c>
    </row>
    <row r="5509">
      <c r="J5509">
        <f>IF(AND(ISNUMBER('Data'!$F$5510),'Data'!$F$5510&lt;&gt;999,'Data'!$F$5510&lt;&gt;""),'Data'!$F$5510,"")</f>
        <v/>
      </c>
      <c r="Z5509" t="n">
        <v>1</v>
      </c>
      <c r="AA5509">
        <f>IF(ISNUMBER('IN-CLASS_Lab Part C'!$J$5509),'IN-CLASS_Lab Part C'!$J$5509,NA())</f>
        <v/>
      </c>
    </row>
    <row r="5510">
      <c r="J5510">
        <f>IF(AND(ISNUMBER('Data'!$F$5511),'Data'!$F$5511&lt;&gt;999,'Data'!$F$5511&lt;&gt;""),'Data'!$F$5511,"")</f>
        <v/>
      </c>
      <c r="Z5510" t="n">
        <v>1</v>
      </c>
      <c r="AA5510">
        <f>IF(ISNUMBER('IN-CLASS_Lab Part C'!$J$5510),'IN-CLASS_Lab Part C'!$J$5510,NA())</f>
        <v/>
      </c>
    </row>
    <row r="5511">
      <c r="J5511">
        <f>IF(AND(ISNUMBER('Data'!$F$5512),'Data'!$F$5512&lt;&gt;999,'Data'!$F$5512&lt;&gt;""),'Data'!$F$5512,"")</f>
        <v/>
      </c>
      <c r="Z5511" t="n">
        <v>1</v>
      </c>
      <c r="AA5511">
        <f>IF(ISNUMBER('IN-CLASS_Lab Part C'!$J$5511),'IN-CLASS_Lab Part C'!$J$5511,NA())</f>
        <v/>
      </c>
    </row>
    <row r="5512">
      <c r="J5512">
        <f>IF(AND(ISNUMBER('Data'!$F$5513),'Data'!$F$5513&lt;&gt;999,'Data'!$F$5513&lt;&gt;""),'Data'!$F$5513,"")</f>
        <v/>
      </c>
      <c r="Z5512" t="n">
        <v>1</v>
      </c>
      <c r="AA5512">
        <f>IF(ISNUMBER('IN-CLASS_Lab Part C'!$J$5512),'IN-CLASS_Lab Part C'!$J$5512,NA())</f>
        <v/>
      </c>
    </row>
    <row r="5513">
      <c r="J5513">
        <f>IF(AND(ISNUMBER('Data'!$F$5514),'Data'!$F$5514&lt;&gt;999,'Data'!$F$5514&lt;&gt;""),'Data'!$F$5514,"")</f>
        <v/>
      </c>
      <c r="Z5513" t="n">
        <v>1</v>
      </c>
      <c r="AA5513">
        <f>IF(ISNUMBER('IN-CLASS_Lab Part C'!$J$5513),'IN-CLASS_Lab Part C'!$J$5513,NA())</f>
        <v/>
      </c>
    </row>
    <row r="5514">
      <c r="J5514">
        <f>IF(AND(ISNUMBER('Data'!$F$5515),'Data'!$F$5515&lt;&gt;999,'Data'!$F$5515&lt;&gt;""),'Data'!$F$5515,"")</f>
        <v/>
      </c>
      <c r="Z5514" t="n">
        <v>1</v>
      </c>
      <c r="AA5514">
        <f>IF(ISNUMBER('IN-CLASS_Lab Part C'!$J$5514),'IN-CLASS_Lab Part C'!$J$5514,NA())</f>
        <v/>
      </c>
    </row>
    <row r="5515">
      <c r="J5515">
        <f>IF(AND(ISNUMBER('Data'!$F$5516),'Data'!$F$5516&lt;&gt;999,'Data'!$F$5516&lt;&gt;""),'Data'!$F$5516,"")</f>
        <v/>
      </c>
      <c r="Z5515" t="n">
        <v>1</v>
      </c>
      <c r="AA5515">
        <f>IF(ISNUMBER('IN-CLASS_Lab Part C'!$J$5515),'IN-CLASS_Lab Part C'!$J$5515,NA())</f>
        <v/>
      </c>
    </row>
    <row r="5516">
      <c r="J5516">
        <f>IF(AND(ISNUMBER('Data'!$F$5517),'Data'!$F$5517&lt;&gt;999,'Data'!$F$5517&lt;&gt;""),'Data'!$F$5517,"")</f>
        <v/>
      </c>
      <c r="Z5516" t="n">
        <v>1</v>
      </c>
      <c r="AA5516">
        <f>IF(ISNUMBER('IN-CLASS_Lab Part C'!$J$5516),'IN-CLASS_Lab Part C'!$J$5516,NA())</f>
        <v/>
      </c>
    </row>
    <row r="5517">
      <c r="J5517">
        <f>IF(AND(ISNUMBER('Data'!$F$5518),'Data'!$F$5518&lt;&gt;999,'Data'!$F$5518&lt;&gt;""),'Data'!$F$5518,"")</f>
        <v/>
      </c>
      <c r="Z5517" t="n">
        <v>1</v>
      </c>
      <c r="AA5517">
        <f>IF(ISNUMBER('IN-CLASS_Lab Part C'!$J$5517),'IN-CLASS_Lab Part C'!$J$5517,NA())</f>
        <v/>
      </c>
    </row>
    <row r="5518">
      <c r="J5518">
        <f>IF(AND(ISNUMBER('Data'!$F$5519),'Data'!$F$5519&lt;&gt;999,'Data'!$F$5519&lt;&gt;""),'Data'!$F$5519,"")</f>
        <v/>
      </c>
      <c r="Z5518" t="n">
        <v>1</v>
      </c>
      <c r="AA5518">
        <f>IF(ISNUMBER('IN-CLASS_Lab Part C'!$J$5518),'IN-CLASS_Lab Part C'!$J$5518,NA())</f>
        <v/>
      </c>
    </row>
    <row r="5519">
      <c r="J5519">
        <f>IF(AND(ISNUMBER('Data'!$F$5520),'Data'!$F$5520&lt;&gt;999,'Data'!$F$5520&lt;&gt;""),'Data'!$F$5520,"")</f>
        <v/>
      </c>
      <c r="Z5519" t="n">
        <v>1</v>
      </c>
      <c r="AA5519">
        <f>IF(ISNUMBER('IN-CLASS_Lab Part C'!$J$5519),'IN-CLASS_Lab Part C'!$J$5519,NA())</f>
        <v/>
      </c>
    </row>
    <row r="5520">
      <c r="J5520">
        <f>IF(AND(ISNUMBER('Data'!$F$5521),'Data'!$F$5521&lt;&gt;999,'Data'!$F$5521&lt;&gt;""),'Data'!$F$5521,"")</f>
        <v/>
      </c>
      <c r="Z5520" t="n">
        <v>1</v>
      </c>
      <c r="AA5520">
        <f>IF(ISNUMBER('IN-CLASS_Lab Part C'!$J$5520),'IN-CLASS_Lab Part C'!$J$5520,NA())</f>
        <v/>
      </c>
    </row>
    <row r="5521">
      <c r="J5521">
        <f>IF(AND(ISNUMBER('Data'!$F$5522),'Data'!$F$5522&lt;&gt;999,'Data'!$F$5522&lt;&gt;""),'Data'!$F$5522,"")</f>
        <v/>
      </c>
      <c r="Z5521" t="n">
        <v>1</v>
      </c>
      <c r="AA5521">
        <f>IF(ISNUMBER('IN-CLASS_Lab Part C'!$J$5521),'IN-CLASS_Lab Part C'!$J$5521,NA())</f>
        <v/>
      </c>
    </row>
    <row r="5522">
      <c r="J5522">
        <f>IF(AND(ISNUMBER('Data'!$F$5523),'Data'!$F$5523&lt;&gt;999,'Data'!$F$5523&lt;&gt;""),'Data'!$F$5523,"")</f>
        <v/>
      </c>
      <c r="Z5522" t="n">
        <v>1</v>
      </c>
      <c r="AA5522">
        <f>IF(ISNUMBER('IN-CLASS_Lab Part C'!$J$5522),'IN-CLASS_Lab Part C'!$J$5522,NA())</f>
        <v/>
      </c>
    </row>
    <row r="5523">
      <c r="J5523">
        <f>IF(AND(ISNUMBER('Data'!$F$5524),'Data'!$F$5524&lt;&gt;999,'Data'!$F$5524&lt;&gt;""),'Data'!$F$5524,"")</f>
        <v/>
      </c>
      <c r="Z5523" t="n">
        <v>1</v>
      </c>
      <c r="AA5523">
        <f>IF(ISNUMBER('IN-CLASS_Lab Part C'!$J$5523),'IN-CLASS_Lab Part C'!$J$5523,NA())</f>
        <v/>
      </c>
    </row>
    <row r="5524">
      <c r="J5524">
        <f>IF(AND(ISNUMBER('Data'!$F$5525),'Data'!$F$5525&lt;&gt;999,'Data'!$F$5525&lt;&gt;""),'Data'!$F$5525,"")</f>
        <v/>
      </c>
      <c r="Z5524" t="n">
        <v>1</v>
      </c>
      <c r="AA5524">
        <f>IF(ISNUMBER('IN-CLASS_Lab Part C'!$J$5524),'IN-CLASS_Lab Part C'!$J$5524,NA())</f>
        <v/>
      </c>
    </row>
    <row r="5525">
      <c r="J5525">
        <f>IF(AND(ISNUMBER('Data'!$F$5526),'Data'!$F$5526&lt;&gt;999,'Data'!$F$5526&lt;&gt;""),'Data'!$F$5526,"")</f>
        <v/>
      </c>
      <c r="Z5525" t="n">
        <v>1</v>
      </c>
      <c r="AA5525">
        <f>IF(ISNUMBER('IN-CLASS_Lab Part C'!$J$5525),'IN-CLASS_Lab Part C'!$J$5525,NA())</f>
        <v/>
      </c>
    </row>
    <row r="5526">
      <c r="J5526">
        <f>IF(AND(ISNUMBER('Data'!$F$5527),'Data'!$F$5527&lt;&gt;999,'Data'!$F$5527&lt;&gt;""),'Data'!$F$5527,"")</f>
        <v/>
      </c>
      <c r="Z5526" t="n">
        <v>1</v>
      </c>
      <c r="AA5526">
        <f>IF(ISNUMBER('IN-CLASS_Lab Part C'!$J$5526),'IN-CLASS_Lab Part C'!$J$5526,NA())</f>
        <v/>
      </c>
    </row>
    <row r="5527">
      <c r="J5527">
        <f>IF(AND(ISNUMBER('Data'!$F$5528),'Data'!$F$5528&lt;&gt;999,'Data'!$F$5528&lt;&gt;""),'Data'!$F$5528,"")</f>
        <v/>
      </c>
      <c r="Z5527" t="n">
        <v>1</v>
      </c>
      <c r="AA5527">
        <f>IF(ISNUMBER('IN-CLASS_Lab Part C'!$J$5527),'IN-CLASS_Lab Part C'!$J$5527,NA())</f>
        <v/>
      </c>
    </row>
    <row r="5528">
      <c r="J5528">
        <f>IF(AND(ISNUMBER('Data'!$F$5529),'Data'!$F$5529&lt;&gt;999,'Data'!$F$5529&lt;&gt;""),'Data'!$F$5529,"")</f>
        <v/>
      </c>
      <c r="Z5528" t="n">
        <v>1</v>
      </c>
      <c r="AA5528">
        <f>IF(ISNUMBER('IN-CLASS_Lab Part C'!$J$5528),'IN-CLASS_Lab Part C'!$J$5528,NA())</f>
        <v/>
      </c>
    </row>
    <row r="5529">
      <c r="J5529">
        <f>IF(AND(ISNUMBER('Data'!$F$5530),'Data'!$F$5530&lt;&gt;999,'Data'!$F$5530&lt;&gt;""),'Data'!$F$5530,"")</f>
        <v/>
      </c>
      <c r="Z5529" t="n">
        <v>1</v>
      </c>
      <c r="AA5529">
        <f>IF(ISNUMBER('IN-CLASS_Lab Part C'!$J$5529),'IN-CLASS_Lab Part C'!$J$5529,NA())</f>
        <v/>
      </c>
    </row>
    <row r="5530">
      <c r="J5530">
        <f>IF(AND(ISNUMBER('Data'!$F$5531),'Data'!$F$5531&lt;&gt;999,'Data'!$F$5531&lt;&gt;""),'Data'!$F$5531,"")</f>
        <v/>
      </c>
      <c r="Z5530" t="n">
        <v>1</v>
      </c>
      <c r="AA5530">
        <f>IF(ISNUMBER('IN-CLASS_Lab Part C'!$J$5530),'IN-CLASS_Lab Part C'!$J$5530,NA())</f>
        <v/>
      </c>
    </row>
    <row r="5531">
      <c r="J5531">
        <f>IF(AND(ISNUMBER('Data'!$F$5532),'Data'!$F$5532&lt;&gt;999,'Data'!$F$5532&lt;&gt;""),'Data'!$F$5532,"")</f>
        <v/>
      </c>
      <c r="Z5531" t="n">
        <v>1</v>
      </c>
      <c r="AA5531">
        <f>IF(ISNUMBER('IN-CLASS_Lab Part C'!$J$5531),'IN-CLASS_Lab Part C'!$J$5531,NA())</f>
        <v/>
      </c>
    </row>
    <row r="5532">
      <c r="J5532">
        <f>IF(AND(ISNUMBER('Data'!$F$5533),'Data'!$F$5533&lt;&gt;999,'Data'!$F$5533&lt;&gt;""),'Data'!$F$5533,"")</f>
        <v/>
      </c>
      <c r="Z5532" t="n">
        <v>1</v>
      </c>
      <c r="AA5532">
        <f>IF(ISNUMBER('IN-CLASS_Lab Part C'!$J$5532),'IN-CLASS_Lab Part C'!$J$5532,NA())</f>
        <v/>
      </c>
    </row>
    <row r="5533">
      <c r="J5533">
        <f>IF(AND(ISNUMBER('Data'!$F$5534),'Data'!$F$5534&lt;&gt;999,'Data'!$F$5534&lt;&gt;""),'Data'!$F$5534,"")</f>
        <v/>
      </c>
      <c r="Z5533" t="n">
        <v>1</v>
      </c>
      <c r="AA5533">
        <f>IF(ISNUMBER('IN-CLASS_Lab Part C'!$J$5533),'IN-CLASS_Lab Part C'!$J$5533,NA())</f>
        <v/>
      </c>
    </row>
    <row r="5534">
      <c r="J5534">
        <f>IF(AND(ISNUMBER('Data'!$F$5535),'Data'!$F$5535&lt;&gt;999,'Data'!$F$5535&lt;&gt;""),'Data'!$F$5535,"")</f>
        <v/>
      </c>
      <c r="Z5534" t="n">
        <v>1</v>
      </c>
      <c r="AA5534">
        <f>IF(ISNUMBER('IN-CLASS_Lab Part C'!$J$5534),'IN-CLASS_Lab Part C'!$J$5534,NA())</f>
        <v/>
      </c>
    </row>
    <row r="5535">
      <c r="J5535">
        <f>IF(AND(ISNUMBER('Data'!$F$5536),'Data'!$F$5536&lt;&gt;999,'Data'!$F$5536&lt;&gt;""),'Data'!$F$5536,"")</f>
        <v/>
      </c>
      <c r="Z5535" t="n">
        <v>1</v>
      </c>
      <c r="AA5535">
        <f>IF(ISNUMBER('IN-CLASS_Lab Part C'!$J$5535),'IN-CLASS_Lab Part C'!$J$5535,NA())</f>
        <v/>
      </c>
    </row>
    <row r="5536">
      <c r="J5536">
        <f>IF(AND(ISNUMBER('Data'!$F$5537),'Data'!$F$5537&lt;&gt;999,'Data'!$F$5537&lt;&gt;""),'Data'!$F$5537,"")</f>
        <v/>
      </c>
      <c r="Z5536" t="n">
        <v>1</v>
      </c>
      <c r="AA5536">
        <f>IF(ISNUMBER('IN-CLASS_Lab Part C'!$J$5536),'IN-CLASS_Lab Part C'!$J$5536,NA())</f>
        <v/>
      </c>
    </row>
    <row r="5537">
      <c r="J5537">
        <f>IF(AND(ISNUMBER('Data'!$F$5538),'Data'!$F$5538&lt;&gt;999,'Data'!$F$5538&lt;&gt;""),'Data'!$F$5538,"")</f>
        <v/>
      </c>
      <c r="Z5537" t="n">
        <v>1</v>
      </c>
      <c r="AA5537">
        <f>IF(ISNUMBER('IN-CLASS_Lab Part C'!$J$5537),'IN-CLASS_Lab Part C'!$J$5537,NA())</f>
        <v/>
      </c>
    </row>
    <row r="5538">
      <c r="J5538">
        <f>IF(AND(ISNUMBER('Data'!$F$5539),'Data'!$F$5539&lt;&gt;999,'Data'!$F$5539&lt;&gt;""),'Data'!$F$5539,"")</f>
        <v/>
      </c>
      <c r="Z5538" t="n">
        <v>1</v>
      </c>
      <c r="AA5538">
        <f>IF(ISNUMBER('IN-CLASS_Lab Part C'!$J$5538),'IN-CLASS_Lab Part C'!$J$5538,NA())</f>
        <v/>
      </c>
    </row>
    <row r="5539">
      <c r="J5539">
        <f>IF(AND(ISNUMBER('Data'!$F$5540),'Data'!$F$5540&lt;&gt;999,'Data'!$F$5540&lt;&gt;""),'Data'!$F$5540,"")</f>
        <v/>
      </c>
      <c r="Z5539" t="n">
        <v>1</v>
      </c>
      <c r="AA5539">
        <f>IF(ISNUMBER('IN-CLASS_Lab Part C'!$J$5539),'IN-CLASS_Lab Part C'!$J$5539,NA())</f>
        <v/>
      </c>
    </row>
    <row r="5540">
      <c r="J5540">
        <f>IF(AND(ISNUMBER('Data'!$F$5541),'Data'!$F$5541&lt;&gt;999,'Data'!$F$5541&lt;&gt;""),'Data'!$F$5541,"")</f>
        <v/>
      </c>
      <c r="Z5540" t="n">
        <v>1</v>
      </c>
      <c r="AA5540">
        <f>IF(ISNUMBER('IN-CLASS_Lab Part C'!$J$5540),'IN-CLASS_Lab Part C'!$J$5540,NA())</f>
        <v/>
      </c>
    </row>
    <row r="5541">
      <c r="J5541">
        <f>IF(AND(ISNUMBER('Data'!$F$5542),'Data'!$F$5542&lt;&gt;999,'Data'!$F$5542&lt;&gt;""),'Data'!$F$5542,"")</f>
        <v/>
      </c>
      <c r="Z5541" t="n">
        <v>1</v>
      </c>
      <c r="AA5541">
        <f>IF(ISNUMBER('IN-CLASS_Lab Part C'!$J$5541),'IN-CLASS_Lab Part C'!$J$5541,NA())</f>
        <v/>
      </c>
    </row>
    <row r="5542">
      <c r="J5542">
        <f>IF(AND(ISNUMBER('Data'!$F$5543),'Data'!$F$5543&lt;&gt;999,'Data'!$F$5543&lt;&gt;""),'Data'!$F$5543,"")</f>
        <v/>
      </c>
      <c r="Z5542" t="n">
        <v>1</v>
      </c>
      <c r="AA5542">
        <f>IF(ISNUMBER('IN-CLASS_Lab Part C'!$J$5542),'IN-CLASS_Lab Part C'!$J$5542,NA())</f>
        <v/>
      </c>
    </row>
    <row r="5543">
      <c r="J5543">
        <f>IF(AND(ISNUMBER('Data'!$F$5544),'Data'!$F$5544&lt;&gt;999,'Data'!$F$5544&lt;&gt;""),'Data'!$F$5544,"")</f>
        <v/>
      </c>
      <c r="Z5543" t="n">
        <v>1</v>
      </c>
      <c r="AA5543">
        <f>IF(ISNUMBER('IN-CLASS_Lab Part C'!$J$5543),'IN-CLASS_Lab Part C'!$J$5543,NA())</f>
        <v/>
      </c>
    </row>
    <row r="5544">
      <c r="J5544">
        <f>IF(AND(ISNUMBER('Data'!$F$5545),'Data'!$F$5545&lt;&gt;999,'Data'!$F$5545&lt;&gt;""),'Data'!$F$5545,"")</f>
        <v/>
      </c>
      <c r="Z5544" t="n">
        <v>1</v>
      </c>
      <c r="AA5544">
        <f>IF(ISNUMBER('IN-CLASS_Lab Part C'!$J$5544),'IN-CLASS_Lab Part C'!$J$5544,NA())</f>
        <v/>
      </c>
    </row>
    <row r="5545">
      <c r="J5545">
        <f>IF(AND(ISNUMBER('Data'!$F$5546),'Data'!$F$5546&lt;&gt;999,'Data'!$F$5546&lt;&gt;""),'Data'!$F$5546,"")</f>
        <v/>
      </c>
      <c r="Z5545" t="n">
        <v>1</v>
      </c>
      <c r="AA5545">
        <f>IF(ISNUMBER('IN-CLASS_Lab Part C'!$J$5545),'IN-CLASS_Lab Part C'!$J$5545,NA())</f>
        <v/>
      </c>
    </row>
    <row r="5546">
      <c r="J5546">
        <f>IF(AND(ISNUMBER('Data'!$F$5547),'Data'!$F$5547&lt;&gt;999,'Data'!$F$5547&lt;&gt;""),'Data'!$F$5547,"")</f>
        <v/>
      </c>
      <c r="Z5546" t="n">
        <v>1</v>
      </c>
      <c r="AA5546">
        <f>IF(ISNUMBER('IN-CLASS_Lab Part C'!$J$5546),'IN-CLASS_Lab Part C'!$J$5546,NA())</f>
        <v/>
      </c>
    </row>
    <row r="5547">
      <c r="J5547">
        <f>IF(AND(ISNUMBER('Data'!$F$5548),'Data'!$F$5548&lt;&gt;999,'Data'!$F$5548&lt;&gt;""),'Data'!$F$5548,"")</f>
        <v/>
      </c>
      <c r="Z5547" t="n">
        <v>1</v>
      </c>
      <c r="AA5547">
        <f>IF(ISNUMBER('IN-CLASS_Lab Part C'!$J$5547),'IN-CLASS_Lab Part C'!$J$5547,NA())</f>
        <v/>
      </c>
    </row>
    <row r="5548">
      <c r="J5548">
        <f>IF(AND(ISNUMBER('Data'!$F$5549),'Data'!$F$5549&lt;&gt;999,'Data'!$F$5549&lt;&gt;""),'Data'!$F$5549,"")</f>
        <v/>
      </c>
      <c r="Z5548" t="n">
        <v>1</v>
      </c>
      <c r="AA5548">
        <f>IF(ISNUMBER('IN-CLASS_Lab Part C'!$J$5548),'IN-CLASS_Lab Part C'!$J$5548,NA())</f>
        <v/>
      </c>
    </row>
    <row r="5549">
      <c r="J5549">
        <f>IF(AND(ISNUMBER('Data'!$F$5550),'Data'!$F$5550&lt;&gt;999,'Data'!$F$5550&lt;&gt;""),'Data'!$F$5550,"")</f>
        <v/>
      </c>
      <c r="Z5549" t="n">
        <v>1</v>
      </c>
      <c r="AA5549">
        <f>IF(ISNUMBER('IN-CLASS_Lab Part C'!$J$5549),'IN-CLASS_Lab Part C'!$J$5549,NA())</f>
        <v/>
      </c>
    </row>
    <row r="5550">
      <c r="J5550">
        <f>IF(AND(ISNUMBER('Data'!$F$5551),'Data'!$F$5551&lt;&gt;999,'Data'!$F$5551&lt;&gt;""),'Data'!$F$5551,"")</f>
        <v/>
      </c>
      <c r="Z5550" t="n">
        <v>1</v>
      </c>
      <c r="AA5550">
        <f>IF(ISNUMBER('IN-CLASS_Lab Part C'!$J$5550),'IN-CLASS_Lab Part C'!$J$5550,NA())</f>
        <v/>
      </c>
    </row>
    <row r="5551">
      <c r="J5551">
        <f>IF(AND(ISNUMBER('Data'!$F$5552),'Data'!$F$5552&lt;&gt;999,'Data'!$F$5552&lt;&gt;""),'Data'!$F$5552,"")</f>
        <v/>
      </c>
      <c r="Z5551" t="n">
        <v>1</v>
      </c>
      <c r="AA5551">
        <f>IF(ISNUMBER('IN-CLASS_Lab Part C'!$J$5551),'IN-CLASS_Lab Part C'!$J$5551,NA())</f>
        <v/>
      </c>
    </row>
    <row r="5552">
      <c r="J5552">
        <f>IF(AND(ISNUMBER('Data'!$F$5553),'Data'!$F$5553&lt;&gt;999,'Data'!$F$5553&lt;&gt;""),'Data'!$F$5553,"")</f>
        <v/>
      </c>
      <c r="Z5552" t="n">
        <v>1</v>
      </c>
      <c r="AA5552">
        <f>IF(ISNUMBER('IN-CLASS_Lab Part C'!$J$5552),'IN-CLASS_Lab Part C'!$J$5552,NA())</f>
        <v/>
      </c>
    </row>
    <row r="5553">
      <c r="J5553">
        <f>IF(AND(ISNUMBER('Data'!$F$5554),'Data'!$F$5554&lt;&gt;999,'Data'!$F$5554&lt;&gt;""),'Data'!$F$5554,"")</f>
        <v/>
      </c>
      <c r="Z5553" t="n">
        <v>1</v>
      </c>
      <c r="AA5553">
        <f>IF(ISNUMBER('IN-CLASS_Lab Part C'!$J$5553),'IN-CLASS_Lab Part C'!$J$5553,NA())</f>
        <v/>
      </c>
    </row>
    <row r="5554">
      <c r="J5554">
        <f>IF(AND(ISNUMBER('Data'!$F$5555),'Data'!$F$5555&lt;&gt;999,'Data'!$F$5555&lt;&gt;""),'Data'!$F$5555,"")</f>
        <v/>
      </c>
      <c r="Z5554" t="n">
        <v>1</v>
      </c>
      <c r="AA5554">
        <f>IF(ISNUMBER('IN-CLASS_Lab Part C'!$J$5554),'IN-CLASS_Lab Part C'!$J$5554,NA())</f>
        <v/>
      </c>
    </row>
    <row r="5555">
      <c r="J5555">
        <f>IF(AND(ISNUMBER('Data'!$F$5556),'Data'!$F$5556&lt;&gt;999,'Data'!$F$5556&lt;&gt;""),'Data'!$F$5556,"")</f>
        <v/>
      </c>
      <c r="Z5555" t="n">
        <v>1</v>
      </c>
      <c r="AA5555">
        <f>IF(ISNUMBER('IN-CLASS_Lab Part C'!$J$5555),'IN-CLASS_Lab Part C'!$J$5555,NA())</f>
        <v/>
      </c>
    </row>
    <row r="5556">
      <c r="J5556">
        <f>IF(AND(ISNUMBER('Data'!$F$5557),'Data'!$F$5557&lt;&gt;999,'Data'!$F$5557&lt;&gt;""),'Data'!$F$5557,"")</f>
        <v/>
      </c>
      <c r="Z5556" t="n">
        <v>1</v>
      </c>
      <c r="AA5556">
        <f>IF(ISNUMBER('IN-CLASS_Lab Part C'!$J$5556),'IN-CLASS_Lab Part C'!$J$5556,NA())</f>
        <v/>
      </c>
    </row>
    <row r="5557">
      <c r="J5557">
        <f>IF(AND(ISNUMBER('Data'!$F$5558),'Data'!$F$5558&lt;&gt;999,'Data'!$F$5558&lt;&gt;""),'Data'!$F$5558,"")</f>
        <v/>
      </c>
      <c r="Z5557" t="n">
        <v>1</v>
      </c>
      <c r="AA5557">
        <f>IF(ISNUMBER('IN-CLASS_Lab Part C'!$J$5557),'IN-CLASS_Lab Part C'!$J$5557,NA())</f>
        <v/>
      </c>
    </row>
    <row r="5558">
      <c r="J5558">
        <f>IF(AND(ISNUMBER('Data'!$F$5559),'Data'!$F$5559&lt;&gt;999,'Data'!$F$5559&lt;&gt;""),'Data'!$F$5559,"")</f>
        <v/>
      </c>
      <c r="Z5558" t="n">
        <v>1</v>
      </c>
      <c r="AA5558">
        <f>IF(ISNUMBER('IN-CLASS_Lab Part C'!$J$5558),'IN-CLASS_Lab Part C'!$J$5558,NA())</f>
        <v/>
      </c>
    </row>
    <row r="5559">
      <c r="J5559">
        <f>IF(AND(ISNUMBER('Data'!$F$5560),'Data'!$F$5560&lt;&gt;999,'Data'!$F$5560&lt;&gt;""),'Data'!$F$5560,"")</f>
        <v/>
      </c>
      <c r="Z5559" t="n">
        <v>1</v>
      </c>
      <c r="AA5559">
        <f>IF(ISNUMBER('IN-CLASS_Lab Part C'!$J$5559),'IN-CLASS_Lab Part C'!$J$5559,NA())</f>
        <v/>
      </c>
    </row>
    <row r="5560">
      <c r="J5560">
        <f>IF(AND(ISNUMBER('Data'!$F$5561),'Data'!$F$5561&lt;&gt;999,'Data'!$F$5561&lt;&gt;""),'Data'!$F$5561,"")</f>
        <v/>
      </c>
      <c r="Z5560" t="n">
        <v>1</v>
      </c>
      <c r="AA5560">
        <f>IF(ISNUMBER('IN-CLASS_Lab Part C'!$J$5560),'IN-CLASS_Lab Part C'!$J$5560,NA())</f>
        <v/>
      </c>
    </row>
    <row r="5561">
      <c r="J5561">
        <f>IF(AND(ISNUMBER('Data'!$F$5562),'Data'!$F$5562&lt;&gt;999,'Data'!$F$5562&lt;&gt;""),'Data'!$F$5562,"")</f>
        <v/>
      </c>
      <c r="Z5561" t="n">
        <v>1</v>
      </c>
      <c r="AA5561">
        <f>IF(ISNUMBER('IN-CLASS_Lab Part C'!$J$5561),'IN-CLASS_Lab Part C'!$J$5561,NA())</f>
        <v/>
      </c>
    </row>
    <row r="5562">
      <c r="J5562">
        <f>IF(AND(ISNUMBER('Data'!$F$5563),'Data'!$F$5563&lt;&gt;999,'Data'!$F$5563&lt;&gt;""),'Data'!$F$5563,"")</f>
        <v/>
      </c>
      <c r="Z5562" t="n">
        <v>1</v>
      </c>
      <c r="AA5562">
        <f>IF(ISNUMBER('IN-CLASS_Lab Part C'!$J$5562),'IN-CLASS_Lab Part C'!$J$5562,NA())</f>
        <v/>
      </c>
    </row>
    <row r="5563">
      <c r="J5563">
        <f>IF(AND(ISNUMBER('Data'!$F$5564),'Data'!$F$5564&lt;&gt;999,'Data'!$F$5564&lt;&gt;""),'Data'!$F$5564,"")</f>
        <v/>
      </c>
      <c r="Z5563" t="n">
        <v>1</v>
      </c>
      <c r="AA5563">
        <f>IF(ISNUMBER('IN-CLASS_Lab Part C'!$J$5563),'IN-CLASS_Lab Part C'!$J$5563,NA())</f>
        <v/>
      </c>
    </row>
    <row r="5564">
      <c r="J5564">
        <f>IF(AND(ISNUMBER('Data'!$F$5565),'Data'!$F$5565&lt;&gt;999,'Data'!$F$5565&lt;&gt;""),'Data'!$F$5565,"")</f>
        <v/>
      </c>
      <c r="Z5564" t="n">
        <v>1</v>
      </c>
      <c r="AA5564">
        <f>IF(ISNUMBER('IN-CLASS_Lab Part C'!$J$5564),'IN-CLASS_Lab Part C'!$J$5564,NA())</f>
        <v/>
      </c>
    </row>
    <row r="5565">
      <c r="J5565">
        <f>IF(AND(ISNUMBER('Data'!$F$5566),'Data'!$F$5566&lt;&gt;999,'Data'!$F$5566&lt;&gt;""),'Data'!$F$5566,"")</f>
        <v/>
      </c>
      <c r="Z5565" t="n">
        <v>1</v>
      </c>
      <c r="AA5565">
        <f>IF(ISNUMBER('IN-CLASS_Lab Part C'!$J$5565),'IN-CLASS_Lab Part C'!$J$5565,NA())</f>
        <v/>
      </c>
    </row>
    <row r="5566">
      <c r="J5566">
        <f>IF(AND(ISNUMBER('Data'!$F$5567),'Data'!$F$5567&lt;&gt;999,'Data'!$F$5567&lt;&gt;""),'Data'!$F$5567,"")</f>
        <v/>
      </c>
      <c r="Z5566" t="n">
        <v>1</v>
      </c>
      <c r="AA5566">
        <f>IF(ISNUMBER('IN-CLASS_Lab Part C'!$J$5566),'IN-CLASS_Lab Part C'!$J$5566,NA())</f>
        <v/>
      </c>
    </row>
    <row r="5567">
      <c r="J5567">
        <f>IF(AND(ISNUMBER('Data'!$F$5568),'Data'!$F$5568&lt;&gt;999,'Data'!$F$5568&lt;&gt;""),'Data'!$F$5568,"")</f>
        <v/>
      </c>
      <c r="Z5567" t="n">
        <v>1</v>
      </c>
      <c r="AA5567">
        <f>IF(ISNUMBER('IN-CLASS_Lab Part C'!$J$5567),'IN-CLASS_Lab Part C'!$J$5567,NA())</f>
        <v/>
      </c>
    </row>
    <row r="5568">
      <c r="J5568">
        <f>IF(AND(ISNUMBER('Data'!$F$5569),'Data'!$F$5569&lt;&gt;999,'Data'!$F$5569&lt;&gt;""),'Data'!$F$5569,"")</f>
        <v/>
      </c>
      <c r="Z5568" t="n">
        <v>1</v>
      </c>
      <c r="AA5568">
        <f>IF(ISNUMBER('IN-CLASS_Lab Part C'!$J$5568),'IN-CLASS_Lab Part C'!$J$5568,NA())</f>
        <v/>
      </c>
    </row>
    <row r="5569">
      <c r="J5569">
        <f>IF(AND(ISNUMBER('Data'!$F$5570),'Data'!$F$5570&lt;&gt;999,'Data'!$F$5570&lt;&gt;""),'Data'!$F$5570,"")</f>
        <v/>
      </c>
      <c r="Z5569" t="n">
        <v>1</v>
      </c>
      <c r="AA5569">
        <f>IF(ISNUMBER('IN-CLASS_Lab Part C'!$J$5569),'IN-CLASS_Lab Part C'!$J$5569,NA())</f>
        <v/>
      </c>
    </row>
    <row r="5570">
      <c r="J5570">
        <f>IF(AND(ISNUMBER('Data'!$F$5571),'Data'!$F$5571&lt;&gt;999,'Data'!$F$5571&lt;&gt;""),'Data'!$F$5571,"")</f>
        <v/>
      </c>
      <c r="Z5570" t="n">
        <v>1</v>
      </c>
      <c r="AA5570">
        <f>IF(ISNUMBER('IN-CLASS_Lab Part C'!$J$5570),'IN-CLASS_Lab Part C'!$J$5570,NA())</f>
        <v/>
      </c>
    </row>
    <row r="5571">
      <c r="J5571">
        <f>IF(AND(ISNUMBER('Data'!$F$5572),'Data'!$F$5572&lt;&gt;999,'Data'!$F$5572&lt;&gt;""),'Data'!$F$5572,"")</f>
        <v/>
      </c>
      <c r="Z5571" t="n">
        <v>1</v>
      </c>
      <c r="AA5571">
        <f>IF(ISNUMBER('IN-CLASS_Lab Part C'!$J$5571),'IN-CLASS_Lab Part C'!$J$5571,NA())</f>
        <v/>
      </c>
    </row>
    <row r="5572">
      <c r="J5572">
        <f>IF(AND(ISNUMBER('Data'!$F$5573),'Data'!$F$5573&lt;&gt;999,'Data'!$F$5573&lt;&gt;""),'Data'!$F$5573,"")</f>
        <v/>
      </c>
      <c r="Z5572" t="n">
        <v>1</v>
      </c>
      <c r="AA5572">
        <f>IF(ISNUMBER('IN-CLASS_Lab Part C'!$J$5572),'IN-CLASS_Lab Part C'!$J$5572,NA())</f>
        <v/>
      </c>
    </row>
    <row r="5573">
      <c r="J5573">
        <f>IF(AND(ISNUMBER('Data'!$F$5574),'Data'!$F$5574&lt;&gt;999,'Data'!$F$5574&lt;&gt;""),'Data'!$F$5574,"")</f>
        <v/>
      </c>
      <c r="Z5573" t="n">
        <v>1</v>
      </c>
      <c r="AA5573">
        <f>IF(ISNUMBER('IN-CLASS_Lab Part C'!$J$5573),'IN-CLASS_Lab Part C'!$J$5573,NA())</f>
        <v/>
      </c>
    </row>
    <row r="5574">
      <c r="J5574">
        <f>IF(AND(ISNUMBER('Data'!$F$5575),'Data'!$F$5575&lt;&gt;999,'Data'!$F$5575&lt;&gt;""),'Data'!$F$5575,"")</f>
        <v/>
      </c>
      <c r="Z5574" t="n">
        <v>1</v>
      </c>
      <c r="AA5574">
        <f>IF(ISNUMBER('IN-CLASS_Lab Part C'!$J$5574),'IN-CLASS_Lab Part C'!$J$5574,NA())</f>
        <v/>
      </c>
    </row>
    <row r="5575">
      <c r="J5575">
        <f>IF(AND(ISNUMBER('Data'!$F$5576),'Data'!$F$5576&lt;&gt;999,'Data'!$F$5576&lt;&gt;""),'Data'!$F$5576,"")</f>
        <v/>
      </c>
      <c r="Z5575" t="n">
        <v>1</v>
      </c>
      <c r="AA5575">
        <f>IF(ISNUMBER('IN-CLASS_Lab Part C'!$J$5575),'IN-CLASS_Lab Part C'!$J$5575,NA())</f>
        <v/>
      </c>
    </row>
    <row r="5576">
      <c r="J5576">
        <f>IF(AND(ISNUMBER('Data'!$F$5577),'Data'!$F$5577&lt;&gt;999,'Data'!$F$5577&lt;&gt;""),'Data'!$F$5577,"")</f>
        <v/>
      </c>
      <c r="Z5576" t="n">
        <v>1</v>
      </c>
      <c r="AA5576">
        <f>IF(ISNUMBER('IN-CLASS_Lab Part C'!$J$5576),'IN-CLASS_Lab Part C'!$J$5576,NA())</f>
        <v/>
      </c>
    </row>
    <row r="5577">
      <c r="J5577">
        <f>IF(AND(ISNUMBER('Data'!$F$5578),'Data'!$F$5578&lt;&gt;999,'Data'!$F$5578&lt;&gt;""),'Data'!$F$5578,"")</f>
        <v/>
      </c>
      <c r="Z5577" t="n">
        <v>1</v>
      </c>
      <c r="AA5577">
        <f>IF(ISNUMBER('IN-CLASS_Lab Part C'!$J$5577),'IN-CLASS_Lab Part C'!$J$5577,NA())</f>
        <v/>
      </c>
    </row>
    <row r="5578">
      <c r="J5578">
        <f>IF(AND(ISNUMBER('Data'!$F$5579),'Data'!$F$5579&lt;&gt;999,'Data'!$F$5579&lt;&gt;""),'Data'!$F$5579,"")</f>
        <v/>
      </c>
      <c r="Z5578" t="n">
        <v>1</v>
      </c>
      <c r="AA5578">
        <f>IF(ISNUMBER('IN-CLASS_Lab Part C'!$J$5578),'IN-CLASS_Lab Part C'!$J$5578,NA())</f>
        <v/>
      </c>
    </row>
    <row r="5579">
      <c r="J5579">
        <f>IF(AND(ISNUMBER('Data'!$F$5580),'Data'!$F$5580&lt;&gt;999,'Data'!$F$5580&lt;&gt;""),'Data'!$F$5580,"")</f>
        <v/>
      </c>
      <c r="Z5579" t="n">
        <v>1</v>
      </c>
      <c r="AA5579">
        <f>IF(ISNUMBER('IN-CLASS_Lab Part C'!$J$5579),'IN-CLASS_Lab Part C'!$J$5579,NA())</f>
        <v/>
      </c>
    </row>
    <row r="5580">
      <c r="J5580">
        <f>IF(AND(ISNUMBER('Data'!$F$5581),'Data'!$F$5581&lt;&gt;999,'Data'!$F$5581&lt;&gt;""),'Data'!$F$5581,"")</f>
        <v/>
      </c>
      <c r="Z5580" t="n">
        <v>1</v>
      </c>
      <c r="AA5580">
        <f>IF(ISNUMBER('IN-CLASS_Lab Part C'!$J$5580),'IN-CLASS_Lab Part C'!$J$5580,NA())</f>
        <v/>
      </c>
    </row>
    <row r="5581">
      <c r="J5581">
        <f>IF(AND(ISNUMBER('Data'!$F$5582),'Data'!$F$5582&lt;&gt;999,'Data'!$F$5582&lt;&gt;""),'Data'!$F$5582,"")</f>
        <v/>
      </c>
      <c r="Z5581" t="n">
        <v>1</v>
      </c>
      <c r="AA5581">
        <f>IF(ISNUMBER('IN-CLASS_Lab Part C'!$J$5581),'IN-CLASS_Lab Part C'!$J$5581,NA())</f>
        <v/>
      </c>
    </row>
    <row r="5582">
      <c r="J5582">
        <f>IF(AND(ISNUMBER('Data'!$F$5583),'Data'!$F$5583&lt;&gt;999,'Data'!$F$5583&lt;&gt;""),'Data'!$F$5583,"")</f>
        <v/>
      </c>
      <c r="Z5582" t="n">
        <v>1</v>
      </c>
      <c r="AA5582">
        <f>IF(ISNUMBER('IN-CLASS_Lab Part C'!$J$5582),'IN-CLASS_Lab Part C'!$J$5582,NA())</f>
        <v/>
      </c>
    </row>
    <row r="5583">
      <c r="J5583">
        <f>IF(AND(ISNUMBER('Data'!$F$5584),'Data'!$F$5584&lt;&gt;999,'Data'!$F$5584&lt;&gt;""),'Data'!$F$5584,"")</f>
        <v/>
      </c>
      <c r="Z5583" t="n">
        <v>1</v>
      </c>
      <c r="AA5583">
        <f>IF(ISNUMBER('IN-CLASS_Lab Part C'!$J$5583),'IN-CLASS_Lab Part C'!$J$5583,NA())</f>
        <v/>
      </c>
    </row>
    <row r="5584">
      <c r="J5584">
        <f>IF(AND(ISNUMBER('Data'!$F$5585),'Data'!$F$5585&lt;&gt;999,'Data'!$F$5585&lt;&gt;""),'Data'!$F$5585,"")</f>
        <v/>
      </c>
      <c r="Z5584" t="n">
        <v>1</v>
      </c>
      <c r="AA5584">
        <f>IF(ISNUMBER('IN-CLASS_Lab Part C'!$J$5584),'IN-CLASS_Lab Part C'!$J$5584,NA())</f>
        <v/>
      </c>
    </row>
    <row r="5585">
      <c r="J5585">
        <f>IF(AND(ISNUMBER('Data'!$F$5586),'Data'!$F$5586&lt;&gt;999,'Data'!$F$5586&lt;&gt;""),'Data'!$F$5586,"")</f>
        <v/>
      </c>
      <c r="Z5585" t="n">
        <v>1</v>
      </c>
      <c r="AA5585">
        <f>IF(ISNUMBER('IN-CLASS_Lab Part C'!$J$5585),'IN-CLASS_Lab Part C'!$J$5585,NA())</f>
        <v/>
      </c>
    </row>
    <row r="5586">
      <c r="J5586">
        <f>IF(AND(ISNUMBER('Data'!$F$5587),'Data'!$F$5587&lt;&gt;999,'Data'!$F$5587&lt;&gt;""),'Data'!$F$5587,"")</f>
        <v/>
      </c>
      <c r="Z5586" t="n">
        <v>1</v>
      </c>
      <c r="AA5586">
        <f>IF(ISNUMBER('IN-CLASS_Lab Part C'!$J$5586),'IN-CLASS_Lab Part C'!$J$5586,NA())</f>
        <v/>
      </c>
    </row>
    <row r="5587">
      <c r="J5587">
        <f>IF(AND(ISNUMBER('Data'!$F$5588),'Data'!$F$5588&lt;&gt;999,'Data'!$F$5588&lt;&gt;""),'Data'!$F$5588,"")</f>
        <v/>
      </c>
      <c r="Z5587" t="n">
        <v>1</v>
      </c>
      <c r="AA5587">
        <f>IF(ISNUMBER('IN-CLASS_Lab Part C'!$J$5587),'IN-CLASS_Lab Part C'!$J$5587,NA())</f>
        <v/>
      </c>
    </row>
    <row r="5588">
      <c r="J5588">
        <f>IF(AND(ISNUMBER('Data'!$F$5589),'Data'!$F$5589&lt;&gt;999,'Data'!$F$5589&lt;&gt;""),'Data'!$F$5589,"")</f>
        <v/>
      </c>
      <c r="Z5588" t="n">
        <v>1</v>
      </c>
      <c r="AA5588">
        <f>IF(ISNUMBER('IN-CLASS_Lab Part C'!$J$5588),'IN-CLASS_Lab Part C'!$J$5588,NA())</f>
        <v/>
      </c>
    </row>
    <row r="5589">
      <c r="J5589">
        <f>IF(AND(ISNUMBER('Data'!$F$5590),'Data'!$F$5590&lt;&gt;999,'Data'!$F$5590&lt;&gt;""),'Data'!$F$5590,"")</f>
        <v/>
      </c>
      <c r="Z5589" t="n">
        <v>1</v>
      </c>
      <c r="AA5589">
        <f>IF(ISNUMBER('IN-CLASS_Lab Part C'!$J$5589),'IN-CLASS_Lab Part C'!$J$5589,NA())</f>
        <v/>
      </c>
    </row>
    <row r="5590">
      <c r="J5590">
        <f>IF(AND(ISNUMBER('Data'!$F$5591),'Data'!$F$5591&lt;&gt;999,'Data'!$F$5591&lt;&gt;""),'Data'!$F$5591,"")</f>
        <v/>
      </c>
      <c r="Z5590" t="n">
        <v>1</v>
      </c>
      <c r="AA5590">
        <f>IF(ISNUMBER('IN-CLASS_Lab Part C'!$J$5590),'IN-CLASS_Lab Part C'!$J$5590,NA())</f>
        <v/>
      </c>
    </row>
    <row r="5591">
      <c r="J5591">
        <f>IF(AND(ISNUMBER('Data'!$F$5592),'Data'!$F$5592&lt;&gt;999,'Data'!$F$5592&lt;&gt;""),'Data'!$F$5592,"")</f>
        <v/>
      </c>
      <c r="Z5591" t="n">
        <v>1</v>
      </c>
      <c r="AA5591">
        <f>IF(ISNUMBER('IN-CLASS_Lab Part C'!$J$5591),'IN-CLASS_Lab Part C'!$J$5591,NA())</f>
        <v/>
      </c>
    </row>
    <row r="5592">
      <c r="J5592">
        <f>IF(AND(ISNUMBER('Data'!$F$5593),'Data'!$F$5593&lt;&gt;999,'Data'!$F$5593&lt;&gt;""),'Data'!$F$5593,"")</f>
        <v/>
      </c>
      <c r="Z5592" t="n">
        <v>1</v>
      </c>
      <c r="AA5592">
        <f>IF(ISNUMBER('IN-CLASS_Lab Part C'!$J$5592),'IN-CLASS_Lab Part C'!$J$5592,NA())</f>
        <v/>
      </c>
    </row>
    <row r="5593">
      <c r="J5593">
        <f>IF(AND(ISNUMBER('Data'!$F$5594),'Data'!$F$5594&lt;&gt;999,'Data'!$F$5594&lt;&gt;""),'Data'!$F$5594,"")</f>
        <v/>
      </c>
      <c r="Z5593" t="n">
        <v>1</v>
      </c>
      <c r="AA5593">
        <f>IF(ISNUMBER('IN-CLASS_Lab Part C'!$J$5593),'IN-CLASS_Lab Part C'!$J$5593,NA())</f>
        <v/>
      </c>
    </row>
    <row r="5594">
      <c r="J5594">
        <f>IF(AND(ISNUMBER('Data'!$F$5595),'Data'!$F$5595&lt;&gt;999,'Data'!$F$5595&lt;&gt;""),'Data'!$F$5595,"")</f>
        <v/>
      </c>
      <c r="Z5594" t="n">
        <v>1</v>
      </c>
      <c r="AA5594">
        <f>IF(ISNUMBER('IN-CLASS_Lab Part C'!$J$5594),'IN-CLASS_Lab Part C'!$J$5594,NA())</f>
        <v/>
      </c>
    </row>
    <row r="5595">
      <c r="J5595">
        <f>IF(AND(ISNUMBER('Data'!$F$5596),'Data'!$F$5596&lt;&gt;999,'Data'!$F$5596&lt;&gt;""),'Data'!$F$5596,"")</f>
        <v/>
      </c>
      <c r="Z5595" t="n">
        <v>1</v>
      </c>
      <c r="AA5595">
        <f>IF(ISNUMBER('IN-CLASS_Lab Part C'!$J$5595),'IN-CLASS_Lab Part C'!$J$5595,NA())</f>
        <v/>
      </c>
    </row>
    <row r="5596">
      <c r="J5596">
        <f>IF(AND(ISNUMBER('Data'!$F$5597),'Data'!$F$5597&lt;&gt;999,'Data'!$F$5597&lt;&gt;""),'Data'!$F$5597,"")</f>
        <v/>
      </c>
      <c r="Z5596" t="n">
        <v>1</v>
      </c>
      <c r="AA5596">
        <f>IF(ISNUMBER('IN-CLASS_Lab Part C'!$J$5596),'IN-CLASS_Lab Part C'!$J$5596,NA())</f>
        <v/>
      </c>
    </row>
    <row r="5597">
      <c r="J5597">
        <f>IF(AND(ISNUMBER('Data'!$F$5598),'Data'!$F$5598&lt;&gt;999,'Data'!$F$5598&lt;&gt;""),'Data'!$F$5598,"")</f>
        <v/>
      </c>
      <c r="Z5597" t="n">
        <v>1</v>
      </c>
      <c r="AA5597">
        <f>IF(ISNUMBER('IN-CLASS_Lab Part C'!$J$5597),'IN-CLASS_Lab Part C'!$J$5597,NA())</f>
        <v/>
      </c>
    </row>
    <row r="5598">
      <c r="J5598">
        <f>IF(AND(ISNUMBER('Data'!$F$5599),'Data'!$F$5599&lt;&gt;999,'Data'!$F$5599&lt;&gt;""),'Data'!$F$5599,"")</f>
        <v/>
      </c>
      <c r="Z5598" t="n">
        <v>1</v>
      </c>
      <c r="AA5598">
        <f>IF(ISNUMBER('IN-CLASS_Lab Part C'!$J$5598),'IN-CLASS_Lab Part C'!$J$5598,NA())</f>
        <v/>
      </c>
    </row>
    <row r="5599">
      <c r="J5599">
        <f>IF(AND(ISNUMBER('Data'!$F$5600),'Data'!$F$5600&lt;&gt;999,'Data'!$F$5600&lt;&gt;""),'Data'!$F$5600,"")</f>
        <v/>
      </c>
      <c r="Z5599" t="n">
        <v>1</v>
      </c>
      <c r="AA5599">
        <f>IF(ISNUMBER('IN-CLASS_Lab Part C'!$J$5599),'IN-CLASS_Lab Part C'!$J$5599,NA())</f>
        <v/>
      </c>
    </row>
    <row r="5600">
      <c r="J5600">
        <f>IF(AND(ISNUMBER('Data'!$F$5601),'Data'!$F$5601&lt;&gt;999,'Data'!$F$5601&lt;&gt;""),'Data'!$F$5601,"")</f>
        <v/>
      </c>
      <c r="Z5600" t="n">
        <v>1</v>
      </c>
      <c r="AA5600">
        <f>IF(ISNUMBER('IN-CLASS_Lab Part C'!$J$5600),'IN-CLASS_Lab Part C'!$J$5600,NA())</f>
        <v/>
      </c>
    </row>
    <row r="5601">
      <c r="J5601">
        <f>IF(AND(ISNUMBER('Data'!$F$5602),'Data'!$F$5602&lt;&gt;999,'Data'!$F$5602&lt;&gt;""),'Data'!$F$5602,"")</f>
        <v/>
      </c>
      <c r="Z5601" t="n">
        <v>1</v>
      </c>
      <c r="AA5601">
        <f>IF(ISNUMBER('IN-CLASS_Lab Part C'!$J$5601),'IN-CLASS_Lab Part C'!$J$5601,NA())</f>
        <v/>
      </c>
    </row>
    <row r="5602">
      <c r="J5602">
        <f>IF(AND(ISNUMBER('Data'!$F$5603),'Data'!$F$5603&lt;&gt;999,'Data'!$F$5603&lt;&gt;""),'Data'!$F$5603,"")</f>
        <v/>
      </c>
      <c r="Z5602" t="n">
        <v>1</v>
      </c>
      <c r="AA5602">
        <f>IF(ISNUMBER('IN-CLASS_Lab Part C'!$J$5602),'IN-CLASS_Lab Part C'!$J$5602,NA())</f>
        <v/>
      </c>
    </row>
    <row r="5603">
      <c r="J5603">
        <f>IF(AND(ISNUMBER('Data'!$F$5604),'Data'!$F$5604&lt;&gt;999,'Data'!$F$5604&lt;&gt;""),'Data'!$F$5604,"")</f>
        <v/>
      </c>
      <c r="Z5603" t="n">
        <v>1</v>
      </c>
      <c r="AA5603">
        <f>IF(ISNUMBER('IN-CLASS_Lab Part C'!$J$5603),'IN-CLASS_Lab Part C'!$J$5603,NA())</f>
        <v/>
      </c>
    </row>
    <row r="5604">
      <c r="J5604">
        <f>IF(AND(ISNUMBER('Data'!$F$5605),'Data'!$F$5605&lt;&gt;999,'Data'!$F$5605&lt;&gt;""),'Data'!$F$5605,"")</f>
        <v/>
      </c>
      <c r="Z5604" t="n">
        <v>1</v>
      </c>
      <c r="AA5604">
        <f>IF(ISNUMBER('IN-CLASS_Lab Part C'!$J$5604),'IN-CLASS_Lab Part C'!$J$5604,NA())</f>
        <v/>
      </c>
    </row>
    <row r="5605">
      <c r="J5605">
        <f>IF(AND(ISNUMBER('Data'!$F$5606),'Data'!$F$5606&lt;&gt;999,'Data'!$F$5606&lt;&gt;""),'Data'!$F$5606,"")</f>
        <v/>
      </c>
      <c r="Z5605" t="n">
        <v>1</v>
      </c>
      <c r="AA5605">
        <f>IF(ISNUMBER('IN-CLASS_Lab Part C'!$J$5605),'IN-CLASS_Lab Part C'!$J$5605,NA())</f>
        <v/>
      </c>
    </row>
    <row r="5606">
      <c r="J5606">
        <f>IF(AND(ISNUMBER('Data'!$F$5607),'Data'!$F$5607&lt;&gt;999,'Data'!$F$5607&lt;&gt;""),'Data'!$F$5607,"")</f>
        <v/>
      </c>
      <c r="Z5606" t="n">
        <v>1</v>
      </c>
      <c r="AA5606">
        <f>IF(ISNUMBER('IN-CLASS_Lab Part C'!$J$5606),'IN-CLASS_Lab Part C'!$J$5606,NA())</f>
        <v/>
      </c>
    </row>
    <row r="5607">
      <c r="J5607">
        <f>IF(AND(ISNUMBER('Data'!$F$5608),'Data'!$F$5608&lt;&gt;999,'Data'!$F$5608&lt;&gt;""),'Data'!$F$5608,"")</f>
        <v/>
      </c>
      <c r="Z5607" t="n">
        <v>1</v>
      </c>
      <c r="AA5607">
        <f>IF(ISNUMBER('IN-CLASS_Lab Part C'!$J$5607),'IN-CLASS_Lab Part C'!$J$5607,NA())</f>
        <v/>
      </c>
    </row>
    <row r="5608">
      <c r="J5608">
        <f>IF(AND(ISNUMBER('Data'!$F$5609),'Data'!$F$5609&lt;&gt;999,'Data'!$F$5609&lt;&gt;""),'Data'!$F$5609,"")</f>
        <v/>
      </c>
      <c r="Z5608" t="n">
        <v>1</v>
      </c>
      <c r="AA5608">
        <f>IF(ISNUMBER('IN-CLASS_Lab Part C'!$J$5608),'IN-CLASS_Lab Part C'!$J$5608,NA())</f>
        <v/>
      </c>
    </row>
    <row r="5609">
      <c r="J5609">
        <f>IF(AND(ISNUMBER('Data'!$F$5610),'Data'!$F$5610&lt;&gt;999,'Data'!$F$5610&lt;&gt;""),'Data'!$F$5610,"")</f>
        <v/>
      </c>
      <c r="Z5609" t="n">
        <v>1</v>
      </c>
      <c r="AA5609">
        <f>IF(ISNUMBER('IN-CLASS_Lab Part C'!$J$5609),'IN-CLASS_Lab Part C'!$J$5609,NA())</f>
        <v/>
      </c>
    </row>
    <row r="5610">
      <c r="J5610">
        <f>IF(AND(ISNUMBER('Data'!$F$5611),'Data'!$F$5611&lt;&gt;999,'Data'!$F$5611&lt;&gt;""),'Data'!$F$5611,"")</f>
        <v/>
      </c>
      <c r="Z5610" t="n">
        <v>1</v>
      </c>
      <c r="AA5610">
        <f>IF(ISNUMBER('IN-CLASS_Lab Part C'!$J$5610),'IN-CLASS_Lab Part C'!$J$5610,NA())</f>
        <v/>
      </c>
    </row>
    <row r="5611">
      <c r="J5611">
        <f>IF(AND(ISNUMBER('Data'!$F$5612),'Data'!$F$5612&lt;&gt;999,'Data'!$F$5612&lt;&gt;""),'Data'!$F$5612,"")</f>
        <v/>
      </c>
      <c r="Z5611" t="n">
        <v>1</v>
      </c>
      <c r="AA5611">
        <f>IF(ISNUMBER('IN-CLASS_Lab Part C'!$J$5611),'IN-CLASS_Lab Part C'!$J$5611,NA())</f>
        <v/>
      </c>
    </row>
    <row r="5612">
      <c r="J5612">
        <f>IF(AND(ISNUMBER('Data'!$F$5613),'Data'!$F$5613&lt;&gt;999,'Data'!$F$5613&lt;&gt;""),'Data'!$F$5613,"")</f>
        <v/>
      </c>
      <c r="Z5612" t="n">
        <v>1</v>
      </c>
      <c r="AA5612">
        <f>IF(ISNUMBER('IN-CLASS_Lab Part C'!$J$5612),'IN-CLASS_Lab Part C'!$J$5612,NA())</f>
        <v/>
      </c>
    </row>
    <row r="5613">
      <c r="J5613">
        <f>IF(AND(ISNUMBER('Data'!$F$5614),'Data'!$F$5614&lt;&gt;999,'Data'!$F$5614&lt;&gt;""),'Data'!$F$5614,"")</f>
        <v/>
      </c>
      <c r="Z5613" t="n">
        <v>1</v>
      </c>
      <c r="AA5613">
        <f>IF(ISNUMBER('IN-CLASS_Lab Part C'!$J$5613),'IN-CLASS_Lab Part C'!$J$5613,NA())</f>
        <v/>
      </c>
    </row>
    <row r="5614">
      <c r="J5614">
        <f>IF(AND(ISNUMBER('Data'!$F$5615),'Data'!$F$5615&lt;&gt;999,'Data'!$F$5615&lt;&gt;""),'Data'!$F$5615,"")</f>
        <v/>
      </c>
      <c r="Z5614" t="n">
        <v>1</v>
      </c>
      <c r="AA5614">
        <f>IF(ISNUMBER('IN-CLASS_Lab Part C'!$J$5614),'IN-CLASS_Lab Part C'!$J$5614,NA())</f>
        <v/>
      </c>
    </row>
    <row r="5615">
      <c r="J5615">
        <f>IF(AND(ISNUMBER('Data'!$F$5616),'Data'!$F$5616&lt;&gt;999,'Data'!$F$5616&lt;&gt;""),'Data'!$F$5616,"")</f>
        <v/>
      </c>
      <c r="Z5615" t="n">
        <v>1</v>
      </c>
      <c r="AA5615">
        <f>IF(ISNUMBER('IN-CLASS_Lab Part C'!$J$5615),'IN-CLASS_Lab Part C'!$J$5615,NA())</f>
        <v/>
      </c>
    </row>
    <row r="5616">
      <c r="J5616">
        <f>IF(AND(ISNUMBER('Data'!$F$5617),'Data'!$F$5617&lt;&gt;999,'Data'!$F$5617&lt;&gt;""),'Data'!$F$5617,"")</f>
        <v/>
      </c>
      <c r="Z5616" t="n">
        <v>1</v>
      </c>
      <c r="AA5616">
        <f>IF(ISNUMBER('IN-CLASS_Lab Part C'!$J$5616),'IN-CLASS_Lab Part C'!$J$5616,NA())</f>
        <v/>
      </c>
    </row>
    <row r="5617">
      <c r="J5617">
        <f>IF(AND(ISNUMBER('Data'!$F$5618),'Data'!$F$5618&lt;&gt;999,'Data'!$F$5618&lt;&gt;""),'Data'!$F$5618,"")</f>
        <v/>
      </c>
      <c r="Z5617" t="n">
        <v>1</v>
      </c>
      <c r="AA5617">
        <f>IF(ISNUMBER('IN-CLASS_Lab Part C'!$J$5617),'IN-CLASS_Lab Part C'!$J$5617,NA())</f>
        <v/>
      </c>
    </row>
    <row r="5618">
      <c r="J5618">
        <f>IF(AND(ISNUMBER('Data'!$F$5619),'Data'!$F$5619&lt;&gt;999,'Data'!$F$5619&lt;&gt;""),'Data'!$F$5619,"")</f>
        <v/>
      </c>
      <c r="Z5618" t="n">
        <v>1</v>
      </c>
      <c r="AA5618">
        <f>IF(ISNUMBER('IN-CLASS_Lab Part C'!$J$5618),'IN-CLASS_Lab Part C'!$J$5618,NA())</f>
        <v/>
      </c>
    </row>
    <row r="5619">
      <c r="J5619">
        <f>IF(AND(ISNUMBER('Data'!$F$5620),'Data'!$F$5620&lt;&gt;999,'Data'!$F$5620&lt;&gt;""),'Data'!$F$5620,"")</f>
        <v/>
      </c>
      <c r="Z5619" t="n">
        <v>1</v>
      </c>
      <c r="AA5619">
        <f>IF(ISNUMBER('IN-CLASS_Lab Part C'!$J$5619),'IN-CLASS_Lab Part C'!$J$5619,NA())</f>
        <v/>
      </c>
    </row>
    <row r="5620">
      <c r="J5620">
        <f>IF(AND(ISNUMBER('Data'!$F$5621),'Data'!$F$5621&lt;&gt;999,'Data'!$F$5621&lt;&gt;""),'Data'!$F$5621,"")</f>
        <v/>
      </c>
      <c r="Z5620" t="n">
        <v>1</v>
      </c>
      <c r="AA5620">
        <f>IF(ISNUMBER('IN-CLASS_Lab Part C'!$J$5620),'IN-CLASS_Lab Part C'!$J$5620,NA())</f>
        <v/>
      </c>
    </row>
    <row r="5621">
      <c r="J5621">
        <f>IF(AND(ISNUMBER('Data'!$F$5622),'Data'!$F$5622&lt;&gt;999,'Data'!$F$5622&lt;&gt;""),'Data'!$F$5622,"")</f>
        <v/>
      </c>
      <c r="Z5621" t="n">
        <v>1</v>
      </c>
      <c r="AA5621">
        <f>IF(ISNUMBER('IN-CLASS_Lab Part C'!$J$5621),'IN-CLASS_Lab Part C'!$J$5621,NA())</f>
        <v/>
      </c>
    </row>
    <row r="5622">
      <c r="J5622">
        <f>IF(AND(ISNUMBER('Data'!$F$5623),'Data'!$F$5623&lt;&gt;999,'Data'!$F$5623&lt;&gt;""),'Data'!$F$5623,"")</f>
        <v/>
      </c>
      <c r="Z5622" t="n">
        <v>1</v>
      </c>
      <c r="AA5622">
        <f>IF(ISNUMBER('IN-CLASS_Lab Part C'!$J$5622),'IN-CLASS_Lab Part C'!$J$5622,NA())</f>
        <v/>
      </c>
    </row>
    <row r="5623">
      <c r="J5623">
        <f>IF(AND(ISNUMBER('Data'!$F$5624),'Data'!$F$5624&lt;&gt;999,'Data'!$F$5624&lt;&gt;""),'Data'!$F$5624,"")</f>
        <v/>
      </c>
      <c r="Z5623" t="n">
        <v>1</v>
      </c>
      <c r="AA5623">
        <f>IF(ISNUMBER('IN-CLASS_Lab Part C'!$J$5623),'IN-CLASS_Lab Part C'!$J$5623,NA())</f>
        <v/>
      </c>
    </row>
    <row r="5624">
      <c r="J5624">
        <f>IF(AND(ISNUMBER('Data'!$F$5625),'Data'!$F$5625&lt;&gt;999,'Data'!$F$5625&lt;&gt;""),'Data'!$F$5625,"")</f>
        <v/>
      </c>
      <c r="Z5624" t="n">
        <v>1</v>
      </c>
      <c r="AA5624">
        <f>IF(ISNUMBER('IN-CLASS_Lab Part C'!$J$5624),'IN-CLASS_Lab Part C'!$J$5624,NA())</f>
        <v/>
      </c>
    </row>
    <row r="5625">
      <c r="J5625">
        <f>IF(AND(ISNUMBER('Data'!$F$5626),'Data'!$F$5626&lt;&gt;999,'Data'!$F$5626&lt;&gt;""),'Data'!$F$5626,"")</f>
        <v/>
      </c>
      <c r="Z5625" t="n">
        <v>1</v>
      </c>
      <c r="AA5625">
        <f>IF(ISNUMBER('IN-CLASS_Lab Part C'!$J$5625),'IN-CLASS_Lab Part C'!$J$5625,NA())</f>
        <v/>
      </c>
    </row>
    <row r="5626">
      <c r="J5626">
        <f>IF(AND(ISNUMBER('Data'!$F$5627),'Data'!$F$5627&lt;&gt;999,'Data'!$F$5627&lt;&gt;""),'Data'!$F$5627,"")</f>
        <v/>
      </c>
      <c r="Z5626" t="n">
        <v>1</v>
      </c>
      <c r="AA5626">
        <f>IF(ISNUMBER('IN-CLASS_Lab Part C'!$J$5626),'IN-CLASS_Lab Part C'!$J$5626,NA())</f>
        <v/>
      </c>
    </row>
    <row r="5627">
      <c r="J5627">
        <f>IF(AND(ISNUMBER('Data'!$F$5628),'Data'!$F$5628&lt;&gt;999,'Data'!$F$5628&lt;&gt;""),'Data'!$F$5628,"")</f>
        <v/>
      </c>
      <c r="Z5627" t="n">
        <v>1</v>
      </c>
      <c r="AA5627">
        <f>IF(ISNUMBER('IN-CLASS_Lab Part C'!$J$5627),'IN-CLASS_Lab Part C'!$J$5627,NA())</f>
        <v/>
      </c>
    </row>
    <row r="5628">
      <c r="J5628">
        <f>IF(AND(ISNUMBER('Data'!$F$5629),'Data'!$F$5629&lt;&gt;999,'Data'!$F$5629&lt;&gt;""),'Data'!$F$5629,"")</f>
        <v/>
      </c>
      <c r="Z5628" t="n">
        <v>1</v>
      </c>
      <c r="AA5628">
        <f>IF(ISNUMBER('IN-CLASS_Lab Part C'!$J$5628),'IN-CLASS_Lab Part C'!$J$5628,NA())</f>
        <v/>
      </c>
    </row>
    <row r="5629">
      <c r="J5629">
        <f>IF(AND(ISNUMBER('Data'!$F$5630),'Data'!$F$5630&lt;&gt;999,'Data'!$F$5630&lt;&gt;""),'Data'!$F$5630,"")</f>
        <v/>
      </c>
      <c r="Z5629" t="n">
        <v>1</v>
      </c>
      <c r="AA5629">
        <f>IF(ISNUMBER('IN-CLASS_Lab Part C'!$J$5629),'IN-CLASS_Lab Part C'!$J$5629,NA())</f>
        <v/>
      </c>
    </row>
    <row r="5630">
      <c r="J5630">
        <f>IF(AND(ISNUMBER('Data'!$F$5631),'Data'!$F$5631&lt;&gt;999,'Data'!$F$5631&lt;&gt;""),'Data'!$F$5631,"")</f>
        <v/>
      </c>
      <c r="Z5630" t="n">
        <v>1</v>
      </c>
      <c r="AA5630">
        <f>IF(ISNUMBER('IN-CLASS_Lab Part C'!$J$5630),'IN-CLASS_Lab Part C'!$J$5630,NA())</f>
        <v/>
      </c>
    </row>
    <row r="5631">
      <c r="J5631">
        <f>IF(AND(ISNUMBER('Data'!$F$5632),'Data'!$F$5632&lt;&gt;999,'Data'!$F$5632&lt;&gt;""),'Data'!$F$5632,"")</f>
        <v/>
      </c>
      <c r="Z5631" t="n">
        <v>1</v>
      </c>
      <c r="AA5631">
        <f>IF(ISNUMBER('IN-CLASS_Lab Part C'!$J$5631),'IN-CLASS_Lab Part C'!$J$5631,NA())</f>
        <v/>
      </c>
    </row>
    <row r="5632">
      <c r="J5632">
        <f>IF(AND(ISNUMBER('Data'!$F$5633),'Data'!$F$5633&lt;&gt;999,'Data'!$F$5633&lt;&gt;""),'Data'!$F$5633,"")</f>
        <v/>
      </c>
      <c r="Z5632" t="n">
        <v>1</v>
      </c>
      <c r="AA5632">
        <f>IF(ISNUMBER('IN-CLASS_Lab Part C'!$J$5632),'IN-CLASS_Lab Part C'!$J$5632,NA())</f>
        <v/>
      </c>
    </row>
    <row r="5633">
      <c r="J5633">
        <f>IF(AND(ISNUMBER('Data'!$F$5634),'Data'!$F$5634&lt;&gt;999,'Data'!$F$5634&lt;&gt;""),'Data'!$F$5634,"")</f>
        <v/>
      </c>
      <c r="Z5633" t="n">
        <v>1</v>
      </c>
      <c r="AA5633">
        <f>IF(ISNUMBER('IN-CLASS_Lab Part C'!$J$5633),'IN-CLASS_Lab Part C'!$J$5633,NA())</f>
        <v/>
      </c>
    </row>
    <row r="5634">
      <c r="J5634">
        <f>IF(AND(ISNUMBER('Data'!$F$5635),'Data'!$F$5635&lt;&gt;999,'Data'!$F$5635&lt;&gt;""),'Data'!$F$5635,"")</f>
        <v/>
      </c>
      <c r="Z5634" t="n">
        <v>1</v>
      </c>
      <c r="AA5634">
        <f>IF(ISNUMBER('IN-CLASS_Lab Part C'!$J$5634),'IN-CLASS_Lab Part C'!$J$5634,NA())</f>
        <v/>
      </c>
    </row>
    <row r="5635">
      <c r="J5635">
        <f>IF(AND(ISNUMBER('Data'!$F$5636),'Data'!$F$5636&lt;&gt;999,'Data'!$F$5636&lt;&gt;""),'Data'!$F$5636,"")</f>
        <v/>
      </c>
      <c r="Z5635" t="n">
        <v>1</v>
      </c>
      <c r="AA5635">
        <f>IF(ISNUMBER('IN-CLASS_Lab Part C'!$J$5635),'IN-CLASS_Lab Part C'!$J$5635,NA())</f>
        <v/>
      </c>
    </row>
    <row r="5636">
      <c r="J5636">
        <f>IF(AND(ISNUMBER('Data'!$F$5637),'Data'!$F$5637&lt;&gt;999,'Data'!$F$5637&lt;&gt;""),'Data'!$F$5637,"")</f>
        <v/>
      </c>
      <c r="Z5636" t="n">
        <v>1</v>
      </c>
      <c r="AA5636">
        <f>IF(ISNUMBER('IN-CLASS_Lab Part C'!$J$5636),'IN-CLASS_Lab Part C'!$J$5636,NA())</f>
        <v/>
      </c>
    </row>
    <row r="5637">
      <c r="J5637">
        <f>IF(AND(ISNUMBER('Data'!$F$5638),'Data'!$F$5638&lt;&gt;999,'Data'!$F$5638&lt;&gt;""),'Data'!$F$5638,"")</f>
        <v/>
      </c>
      <c r="Z5637" t="n">
        <v>1</v>
      </c>
      <c r="AA5637">
        <f>IF(ISNUMBER('IN-CLASS_Lab Part C'!$J$5637),'IN-CLASS_Lab Part C'!$J$5637,NA())</f>
        <v/>
      </c>
    </row>
    <row r="5638">
      <c r="J5638">
        <f>IF(AND(ISNUMBER('Data'!$F$5639),'Data'!$F$5639&lt;&gt;999,'Data'!$F$5639&lt;&gt;""),'Data'!$F$5639,"")</f>
        <v/>
      </c>
      <c r="Z5638" t="n">
        <v>1</v>
      </c>
      <c r="AA5638">
        <f>IF(ISNUMBER('IN-CLASS_Lab Part C'!$J$5638),'IN-CLASS_Lab Part C'!$J$5638,NA())</f>
        <v/>
      </c>
    </row>
    <row r="5639">
      <c r="J5639">
        <f>IF(AND(ISNUMBER('Data'!$F$5640),'Data'!$F$5640&lt;&gt;999,'Data'!$F$5640&lt;&gt;""),'Data'!$F$5640,"")</f>
        <v/>
      </c>
      <c r="Z5639" t="n">
        <v>1</v>
      </c>
      <c r="AA5639">
        <f>IF(ISNUMBER('IN-CLASS_Lab Part C'!$J$5639),'IN-CLASS_Lab Part C'!$J$5639,NA())</f>
        <v/>
      </c>
    </row>
    <row r="5640">
      <c r="J5640">
        <f>IF(AND(ISNUMBER('Data'!$F$5641),'Data'!$F$5641&lt;&gt;999,'Data'!$F$5641&lt;&gt;""),'Data'!$F$5641,"")</f>
        <v/>
      </c>
      <c r="Z5640" t="n">
        <v>1</v>
      </c>
      <c r="AA5640">
        <f>IF(ISNUMBER('IN-CLASS_Lab Part C'!$J$5640),'IN-CLASS_Lab Part C'!$J$5640,NA())</f>
        <v/>
      </c>
    </row>
    <row r="5641">
      <c r="J5641">
        <f>IF(AND(ISNUMBER('Data'!$F$5642),'Data'!$F$5642&lt;&gt;999,'Data'!$F$5642&lt;&gt;""),'Data'!$F$5642,"")</f>
        <v/>
      </c>
      <c r="Z5641" t="n">
        <v>1</v>
      </c>
      <c r="AA5641">
        <f>IF(ISNUMBER('IN-CLASS_Lab Part C'!$J$5641),'IN-CLASS_Lab Part C'!$J$5641,NA())</f>
        <v/>
      </c>
    </row>
    <row r="5642">
      <c r="J5642">
        <f>IF(AND(ISNUMBER('Data'!$F$5643),'Data'!$F$5643&lt;&gt;999,'Data'!$F$5643&lt;&gt;""),'Data'!$F$5643,"")</f>
        <v/>
      </c>
      <c r="Z5642" t="n">
        <v>1</v>
      </c>
      <c r="AA5642">
        <f>IF(ISNUMBER('IN-CLASS_Lab Part C'!$J$5642),'IN-CLASS_Lab Part C'!$J$5642,NA())</f>
        <v/>
      </c>
    </row>
    <row r="5643">
      <c r="J5643">
        <f>IF(AND(ISNUMBER('Data'!$F$5644),'Data'!$F$5644&lt;&gt;999,'Data'!$F$5644&lt;&gt;""),'Data'!$F$5644,"")</f>
        <v/>
      </c>
      <c r="Z5643" t="n">
        <v>1</v>
      </c>
      <c r="AA5643">
        <f>IF(ISNUMBER('IN-CLASS_Lab Part C'!$J$5643),'IN-CLASS_Lab Part C'!$J$5643,NA())</f>
        <v/>
      </c>
    </row>
    <row r="5644">
      <c r="J5644">
        <f>IF(AND(ISNUMBER('Data'!$F$5645),'Data'!$F$5645&lt;&gt;999,'Data'!$F$5645&lt;&gt;""),'Data'!$F$5645,"")</f>
        <v/>
      </c>
      <c r="Z5644" t="n">
        <v>1</v>
      </c>
      <c r="AA5644">
        <f>IF(ISNUMBER('IN-CLASS_Lab Part C'!$J$5644),'IN-CLASS_Lab Part C'!$J$5644,NA())</f>
        <v/>
      </c>
    </row>
    <row r="5645">
      <c r="J5645">
        <f>IF(AND(ISNUMBER('Data'!$F$5646),'Data'!$F$5646&lt;&gt;999,'Data'!$F$5646&lt;&gt;""),'Data'!$F$5646,"")</f>
        <v/>
      </c>
      <c r="Z5645" t="n">
        <v>1</v>
      </c>
      <c r="AA5645">
        <f>IF(ISNUMBER('IN-CLASS_Lab Part C'!$J$5645),'IN-CLASS_Lab Part C'!$J$5645,NA())</f>
        <v/>
      </c>
    </row>
    <row r="5646">
      <c r="J5646">
        <f>IF(AND(ISNUMBER('Data'!$F$5647),'Data'!$F$5647&lt;&gt;999,'Data'!$F$5647&lt;&gt;""),'Data'!$F$5647,"")</f>
        <v/>
      </c>
      <c r="Z5646" t="n">
        <v>1</v>
      </c>
      <c r="AA5646">
        <f>IF(ISNUMBER('IN-CLASS_Lab Part C'!$J$5646),'IN-CLASS_Lab Part C'!$J$5646,NA())</f>
        <v/>
      </c>
    </row>
    <row r="5647">
      <c r="J5647">
        <f>IF(AND(ISNUMBER('Data'!$F$5648),'Data'!$F$5648&lt;&gt;999,'Data'!$F$5648&lt;&gt;""),'Data'!$F$5648,"")</f>
        <v/>
      </c>
      <c r="Z5647" t="n">
        <v>1</v>
      </c>
      <c r="AA5647">
        <f>IF(ISNUMBER('IN-CLASS_Lab Part C'!$J$5647),'IN-CLASS_Lab Part C'!$J$5647,NA())</f>
        <v/>
      </c>
    </row>
    <row r="5648">
      <c r="J5648">
        <f>IF(AND(ISNUMBER('Data'!$F$5649),'Data'!$F$5649&lt;&gt;999,'Data'!$F$5649&lt;&gt;""),'Data'!$F$5649,"")</f>
        <v/>
      </c>
      <c r="Z5648" t="n">
        <v>1</v>
      </c>
      <c r="AA5648">
        <f>IF(ISNUMBER('IN-CLASS_Lab Part C'!$J$5648),'IN-CLASS_Lab Part C'!$J$5648,NA())</f>
        <v/>
      </c>
    </row>
    <row r="5649">
      <c r="J5649">
        <f>IF(AND(ISNUMBER('Data'!$F$5650),'Data'!$F$5650&lt;&gt;999,'Data'!$F$5650&lt;&gt;""),'Data'!$F$5650,"")</f>
        <v/>
      </c>
      <c r="Z5649" t="n">
        <v>1</v>
      </c>
      <c r="AA5649">
        <f>IF(ISNUMBER('IN-CLASS_Lab Part C'!$J$5649),'IN-CLASS_Lab Part C'!$J$5649,NA())</f>
        <v/>
      </c>
    </row>
    <row r="5650">
      <c r="J5650">
        <f>IF(AND(ISNUMBER('Data'!$F$5651),'Data'!$F$5651&lt;&gt;999,'Data'!$F$5651&lt;&gt;""),'Data'!$F$5651,"")</f>
        <v/>
      </c>
      <c r="Z5650" t="n">
        <v>1</v>
      </c>
      <c r="AA5650">
        <f>IF(ISNUMBER('IN-CLASS_Lab Part C'!$J$5650),'IN-CLASS_Lab Part C'!$J$5650,NA())</f>
        <v/>
      </c>
    </row>
    <row r="5651">
      <c r="J5651">
        <f>IF(AND(ISNUMBER('Data'!$F$5652),'Data'!$F$5652&lt;&gt;999,'Data'!$F$5652&lt;&gt;""),'Data'!$F$5652,"")</f>
        <v/>
      </c>
      <c r="Z5651" t="n">
        <v>1</v>
      </c>
      <c r="AA5651">
        <f>IF(ISNUMBER('IN-CLASS_Lab Part C'!$J$5651),'IN-CLASS_Lab Part C'!$J$5651,NA())</f>
        <v/>
      </c>
    </row>
    <row r="5652">
      <c r="J5652">
        <f>IF(AND(ISNUMBER('Data'!$F$5653),'Data'!$F$5653&lt;&gt;999,'Data'!$F$5653&lt;&gt;""),'Data'!$F$5653,"")</f>
        <v/>
      </c>
      <c r="Z5652" t="n">
        <v>1</v>
      </c>
      <c r="AA5652">
        <f>IF(ISNUMBER('IN-CLASS_Lab Part C'!$J$5652),'IN-CLASS_Lab Part C'!$J$5652,NA())</f>
        <v/>
      </c>
    </row>
    <row r="5653">
      <c r="J5653">
        <f>IF(AND(ISNUMBER('Data'!$F$5654),'Data'!$F$5654&lt;&gt;999,'Data'!$F$5654&lt;&gt;""),'Data'!$F$5654,"")</f>
        <v/>
      </c>
      <c r="Z5653" t="n">
        <v>1</v>
      </c>
      <c r="AA5653">
        <f>IF(ISNUMBER('IN-CLASS_Lab Part C'!$J$5653),'IN-CLASS_Lab Part C'!$J$5653,NA())</f>
        <v/>
      </c>
    </row>
    <row r="5654">
      <c r="J5654">
        <f>IF(AND(ISNUMBER('Data'!$F$5655),'Data'!$F$5655&lt;&gt;999,'Data'!$F$5655&lt;&gt;""),'Data'!$F$5655,"")</f>
        <v/>
      </c>
      <c r="Z5654" t="n">
        <v>1</v>
      </c>
      <c r="AA5654">
        <f>IF(ISNUMBER('IN-CLASS_Lab Part C'!$J$5654),'IN-CLASS_Lab Part C'!$J$5654,NA())</f>
        <v/>
      </c>
    </row>
    <row r="5655">
      <c r="J5655">
        <f>IF(AND(ISNUMBER('Data'!$F$5656),'Data'!$F$5656&lt;&gt;999,'Data'!$F$5656&lt;&gt;""),'Data'!$F$5656,"")</f>
        <v/>
      </c>
      <c r="Z5655" t="n">
        <v>1</v>
      </c>
      <c r="AA5655">
        <f>IF(ISNUMBER('IN-CLASS_Lab Part C'!$J$5655),'IN-CLASS_Lab Part C'!$J$5655,NA())</f>
        <v/>
      </c>
    </row>
    <row r="5656">
      <c r="J5656">
        <f>IF(AND(ISNUMBER('Data'!$F$5657),'Data'!$F$5657&lt;&gt;999,'Data'!$F$5657&lt;&gt;""),'Data'!$F$5657,"")</f>
        <v/>
      </c>
      <c r="Z5656" t="n">
        <v>1</v>
      </c>
      <c r="AA5656">
        <f>IF(ISNUMBER('IN-CLASS_Lab Part C'!$J$5656),'IN-CLASS_Lab Part C'!$J$5656,NA())</f>
        <v/>
      </c>
    </row>
    <row r="5657">
      <c r="J5657">
        <f>IF(AND(ISNUMBER('Data'!$F$5658),'Data'!$F$5658&lt;&gt;999,'Data'!$F$5658&lt;&gt;""),'Data'!$F$5658,"")</f>
        <v/>
      </c>
      <c r="Z5657" t="n">
        <v>1</v>
      </c>
      <c r="AA5657">
        <f>IF(ISNUMBER('IN-CLASS_Lab Part C'!$J$5657),'IN-CLASS_Lab Part C'!$J$5657,NA())</f>
        <v/>
      </c>
    </row>
    <row r="5658">
      <c r="J5658">
        <f>IF(AND(ISNUMBER('Data'!$F$5659),'Data'!$F$5659&lt;&gt;999,'Data'!$F$5659&lt;&gt;""),'Data'!$F$5659,"")</f>
        <v/>
      </c>
      <c r="Z5658" t="n">
        <v>1</v>
      </c>
      <c r="AA5658">
        <f>IF(ISNUMBER('IN-CLASS_Lab Part C'!$J$5658),'IN-CLASS_Lab Part C'!$J$5658,NA())</f>
        <v/>
      </c>
    </row>
    <row r="5659">
      <c r="J5659">
        <f>IF(AND(ISNUMBER('Data'!$F$5660),'Data'!$F$5660&lt;&gt;999,'Data'!$F$5660&lt;&gt;""),'Data'!$F$5660,"")</f>
        <v/>
      </c>
      <c r="Z5659" t="n">
        <v>1</v>
      </c>
      <c r="AA5659">
        <f>IF(ISNUMBER('IN-CLASS_Lab Part C'!$J$5659),'IN-CLASS_Lab Part C'!$J$5659,NA())</f>
        <v/>
      </c>
    </row>
    <row r="5660">
      <c r="J5660">
        <f>IF(AND(ISNUMBER('Data'!$F$5661),'Data'!$F$5661&lt;&gt;999,'Data'!$F$5661&lt;&gt;""),'Data'!$F$5661,"")</f>
        <v/>
      </c>
      <c r="Z5660" t="n">
        <v>1</v>
      </c>
      <c r="AA5660">
        <f>IF(ISNUMBER('IN-CLASS_Lab Part C'!$J$5660),'IN-CLASS_Lab Part C'!$J$5660,NA())</f>
        <v/>
      </c>
    </row>
    <row r="5661">
      <c r="J5661">
        <f>IF(AND(ISNUMBER('Data'!$F$5662),'Data'!$F$5662&lt;&gt;999,'Data'!$F$5662&lt;&gt;""),'Data'!$F$5662,"")</f>
        <v/>
      </c>
      <c r="Z5661" t="n">
        <v>1</v>
      </c>
      <c r="AA5661">
        <f>IF(ISNUMBER('IN-CLASS_Lab Part C'!$J$5661),'IN-CLASS_Lab Part C'!$J$5661,NA())</f>
        <v/>
      </c>
    </row>
    <row r="5662">
      <c r="J5662">
        <f>IF(AND(ISNUMBER('Data'!$F$5663),'Data'!$F$5663&lt;&gt;999,'Data'!$F$5663&lt;&gt;""),'Data'!$F$5663,"")</f>
        <v/>
      </c>
      <c r="Z5662" t="n">
        <v>1</v>
      </c>
      <c r="AA5662">
        <f>IF(ISNUMBER('IN-CLASS_Lab Part C'!$J$5662),'IN-CLASS_Lab Part C'!$J$5662,NA())</f>
        <v/>
      </c>
    </row>
    <row r="5663">
      <c r="J5663">
        <f>IF(AND(ISNUMBER('Data'!$F$5664),'Data'!$F$5664&lt;&gt;999,'Data'!$F$5664&lt;&gt;""),'Data'!$F$5664,"")</f>
        <v/>
      </c>
      <c r="Z5663" t="n">
        <v>1</v>
      </c>
      <c r="AA5663">
        <f>IF(ISNUMBER('IN-CLASS_Lab Part C'!$J$5663),'IN-CLASS_Lab Part C'!$J$5663,NA())</f>
        <v/>
      </c>
    </row>
    <row r="5664">
      <c r="J5664">
        <f>IF(AND(ISNUMBER('Data'!$F$5665),'Data'!$F$5665&lt;&gt;999,'Data'!$F$5665&lt;&gt;""),'Data'!$F$5665,"")</f>
        <v/>
      </c>
      <c r="Z5664" t="n">
        <v>1</v>
      </c>
      <c r="AA5664">
        <f>IF(ISNUMBER('IN-CLASS_Lab Part C'!$J$5664),'IN-CLASS_Lab Part C'!$J$5664,NA())</f>
        <v/>
      </c>
    </row>
    <row r="5665">
      <c r="J5665">
        <f>IF(AND(ISNUMBER('Data'!$F$5666),'Data'!$F$5666&lt;&gt;999,'Data'!$F$5666&lt;&gt;""),'Data'!$F$5666,"")</f>
        <v/>
      </c>
      <c r="Z5665" t="n">
        <v>1</v>
      </c>
      <c r="AA5665">
        <f>IF(ISNUMBER('IN-CLASS_Lab Part C'!$J$5665),'IN-CLASS_Lab Part C'!$J$5665,NA())</f>
        <v/>
      </c>
    </row>
    <row r="5666">
      <c r="J5666">
        <f>IF(AND(ISNUMBER('Data'!$F$5667),'Data'!$F$5667&lt;&gt;999,'Data'!$F$5667&lt;&gt;""),'Data'!$F$5667,"")</f>
        <v/>
      </c>
      <c r="Z5666" t="n">
        <v>1</v>
      </c>
      <c r="AA5666">
        <f>IF(ISNUMBER('IN-CLASS_Lab Part C'!$J$5666),'IN-CLASS_Lab Part C'!$J$5666,NA())</f>
        <v/>
      </c>
    </row>
    <row r="5667">
      <c r="J5667">
        <f>IF(AND(ISNUMBER('Data'!$F$5668),'Data'!$F$5668&lt;&gt;999,'Data'!$F$5668&lt;&gt;""),'Data'!$F$5668,"")</f>
        <v/>
      </c>
      <c r="Z5667" t="n">
        <v>1</v>
      </c>
      <c r="AA5667">
        <f>IF(ISNUMBER('IN-CLASS_Lab Part C'!$J$5667),'IN-CLASS_Lab Part C'!$J$5667,NA())</f>
        <v/>
      </c>
    </row>
    <row r="5668">
      <c r="J5668">
        <f>IF(AND(ISNUMBER('Data'!$F$5669),'Data'!$F$5669&lt;&gt;999,'Data'!$F$5669&lt;&gt;""),'Data'!$F$5669,"")</f>
        <v/>
      </c>
      <c r="Z5668" t="n">
        <v>1</v>
      </c>
      <c r="AA5668">
        <f>IF(ISNUMBER('IN-CLASS_Lab Part C'!$J$5668),'IN-CLASS_Lab Part C'!$J$5668,NA())</f>
        <v/>
      </c>
    </row>
    <row r="5669">
      <c r="J5669">
        <f>IF(AND(ISNUMBER('Data'!$F$5670),'Data'!$F$5670&lt;&gt;999,'Data'!$F$5670&lt;&gt;""),'Data'!$F$5670,"")</f>
        <v/>
      </c>
      <c r="Z5669" t="n">
        <v>1</v>
      </c>
      <c r="AA5669">
        <f>IF(ISNUMBER('IN-CLASS_Lab Part C'!$J$5669),'IN-CLASS_Lab Part C'!$J$5669,NA())</f>
        <v/>
      </c>
    </row>
    <row r="5670">
      <c r="J5670">
        <f>IF(AND(ISNUMBER('Data'!$F$5671),'Data'!$F$5671&lt;&gt;999,'Data'!$F$5671&lt;&gt;""),'Data'!$F$5671,"")</f>
        <v/>
      </c>
      <c r="Z5670" t="n">
        <v>1</v>
      </c>
      <c r="AA5670">
        <f>IF(ISNUMBER('IN-CLASS_Lab Part C'!$J$5670),'IN-CLASS_Lab Part C'!$J$5670,NA())</f>
        <v/>
      </c>
    </row>
    <row r="5671">
      <c r="J5671">
        <f>IF(AND(ISNUMBER('Data'!$F$5672),'Data'!$F$5672&lt;&gt;999,'Data'!$F$5672&lt;&gt;""),'Data'!$F$5672,"")</f>
        <v/>
      </c>
      <c r="Z5671" t="n">
        <v>1</v>
      </c>
      <c r="AA5671">
        <f>IF(ISNUMBER('IN-CLASS_Lab Part C'!$J$5671),'IN-CLASS_Lab Part C'!$J$5671,NA())</f>
        <v/>
      </c>
    </row>
    <row r="5672">
      <c r="J5672">
        <f>IF(AND(ISNUMBER('Data'!$F$5673),'Data'!$F$5673&lt;&gt;999,'Data'!$F$5673&lt;&gt;""),'Data'!$F$5673,"")</f>
        <v/>
      </c>
      <c r="Z5672" t="n">
        <v>1</v>
      </c>
      <c r="AA5672">
        <f>IF(ISNUMBER('IN-CLASS_Lab Part C'!$J$5672),'IN-CLASS_Lab Part C'!$J$5672,NA())</f>
        <v/>
      </c>
    </row>
    <row r="5673">
      <c r="J5673">
        <f>IF(AND(ISNUMBER('Data'!$F$5674),'Data'!$F$5674&lt;&gt;999,'Data'!$F$5674&lt;&gt;""),'Data'!$F$5674,"")</f>
        <v/>
      </c>
      <c r="Z5673" t="n">
        <v>1</v>
      </c>
      <c r="AA5673">
        <f>IF(ISNUMBER('IN-CLASS_Lab Part C'!$J$5673),'IN-CLASS_Lab Part C'!$J$5673,NA())</f>
        <v/>
      </c>
    </row>
    <row r="5674">
      <c r="J5674">
        <f>IF(AND(ISNUMBER('Data'!$F$5675),'Data'!$F$5675&lt;&gt;999,'Data'!$F$5675&lt;&gt;""),'Data'!$F$5675,"")</f>
        <v/>
      </c>
      <c r="Z5674" t="n">
        <v>1</v>
      </c>
      <c r="AA5674">
        <f>IF(ISNUMBER('IN-CLASS_Lab Part C'!$J$5674),'IN-CLASS_Lab Part C'!$J$5674,NA())</f>
        <v/>
      </c>
    </row>
    <row r="5675">
      <c r="J5675">
        <f>IF(AND(ISNUMBER('Data'!$F$5676),'Data'!$F$5676&lt;&gt;999,'Data'!$F$5676&lt;&gt;""),'Data'!$F$5676,"")</f>
        <v/>
      </c>
      <c r="Z5675" t="n">
        <v>1</v>
      </c>
      <c r="AA5675">
        <f>IF(ISNUMBER('IN-CLASS_Lab Part C'!$J$5675),'IN-CLASS_Lab Part C'!$J$5675,NA())</f>
        <v/>
      </c>
    </row>
    <row r="5676">
      <c r="J5676">
        <f>IF(AND(ISNUMBER('Data'!$F$5677),'Data'!$F$5677&lt;&gt;999,'Data'!$F$5677&lt;&gt;""),'Data'!$F$5677,"")</f>
        <v/>
      </c>
      <c r="Z5676" t="n">
        <v>1</v>
      </c>
      <c r="AA5676">
        <f>IF(ISNUMBER('IN-CLASS_Lab Part C'!$J$5676),'IN-CLASS_Lab Part C'!$J$5676,NA())</f>
        <v/>
      </c>
    </row>
    <row r="5677">
      <c r="J5677">
        <f>IF(AND(ISNUMBER('Data'!$F$5678),'Data'!$F$5678&lt;&gt;999,'Data'!$F$5678&lt;&gt;""),'Data'!$F$5678,"")</f>
        <v/>
      </c>
      <c r="Z5677" t="n">
        <v>1</v>
      </c>
      <c r="AA5677">
        <f>IF(ISNUMBER('IN-CLASS_Lab Part C'!$J$5677),'IN-CLASS_Lab Part C'!$J$5677,NA())</f>
        <v/>
      </c>
    </row>
    <row r="5678">
      <c r="J5678">
        <f>IF(AND(ISNUMBER('Data'!$F$5679),'Data'!$F$5679&lt;&gt;999,'Data'!$F$5679&lt;&gt;""),'Data'!$F$5679,"")</f>
        <v/>
      </c>
      <c r="Z5678" t="n">
        <v>1</v>
      </c>
      <c r="AA5678">
        <f>IF(ISNUMBER('IN-CLASS_Lab Part C'!$J$5678),'IN-CLASS_Lab Part C'!$J$5678,NA())</f>
        <v/>
      </c>
    </row>
    <row r="5679">
      <c r="J5679">
        <f>IF(AND(ISNUMBER('Data'!$F$5680),'Data'!$F$5680&lt;&gt;999,'Data'!$F$5680&lt;&gt;""),'Data'!$F$5680,"")</f>
        <v/>
      </c>
      <c r="Z5679" t="n">
        <v>1</v>
      </c>
      <c r="AA5679">
        <f>IF(ISNUMBER('IN-CLASS_Lab Part C'!$J$5679),'IN-CLASS_Lab Part C'!$J$5679,NA())</f>
        <v/>
      </c>
    </row>
    <row r="5680">
      <c r="J5680">
        <f>IF(AND(ISNUMBER('Data'!$F$5681),'Data'!$F$5681&lt;&gt;999,'Data'!$F$5681&lt;&gt;""),'Data'!$F$5681,"")</f>
        <v/>
      </c>
      <c r="Z5680" t="n">
        <v>1</v>
      </c>
      <c r="AA5680">
        <f>IF(ISNUMBER('IN-CLASS_Lab Part C'!$J$5680),'IN-CLASS_Lab Part C'!$J$5680,NA())</f>
        <v/>
      </c>
    </row>
    <row r="5681">
      <c r="J5681">
        <f>IF(AND(ISNUMBER('Data'!$F$5682),'Data'!$F$5682&lt;&gt;999,'Data'!$F$5682&lt;&gt;""),'Data'!$F$5682,"")</f>
        <v/>
      </c>
      <c r="Z5681" t="n">
        <v>1</v>
      </c>
      <c r="AA5681">
        <f>IF(ISNUMBER('IN-CLASS_Lab Part C'!$J$5681),'IN-CLASS_Lab Part C'!$J$5681,NA())</f>
        <v/>
      </c>
    </row>
    <row r="5682">
      <c r="J5682">
        <f>IF(AND(ISNUMBER('Data'!$F$5683),'Data'!$F$5683&lt;&gt;999,'Data'!$F$5683&lt;&gt;""),'Data'!$F$5683,"")</f>
        <v/>
      </c>
      <c r="Z5682" t="n">
        <v>1</v>
      </c>
      <c r="AA5682">
        <f>IF(ISNUMBER('IN-CLASS_Lab Part C'!$J$5682),'IN-CLASS_Lab Part C'!$J$5682,NA())</f>
        <v/>
      </c>
    </row>
    <row r="5683">
      <c r="J5683">
        <f>IF(AND(ISNUMBER('Data'!$F$5684),'Data'!$F$5684&lt;&gt;999,'Data'!$F$5684&lt;&gt;""),'Data'!$F$5684,"")</f>
        <v/>
      </c>
      <c r="Z5683" t="n">
        <v>1</v>
      </c>
      <c r="AA5683">
        <f>IF(ISNUMBER('IN-CLASS_Lab Part C'!$J$5683),'IN-CLASS_Lab Part C'!$J$5683,NA())</f>
        <v/>
      </c>
    </row>
    <row r="5684">
      <c r="J5684">
        <f>IF(AND(ISNUMBER('Data'!$F$5685),'Data'!$F$5685&lt;&gt;999,'Data'!$F$5685&lt;&gt;""),'Data'!$F$5685,"")</f>
        <v/>
      </c>
      <c r="Z5684" t="n">
        <v>1</v>
      </c>
      <c r="AA5684">
        <f>IF(ISNUMBER('IN-CLASS_Lab Part C'!$J$5684),'IN-CLASS_Lab Part C'!$J$5684,NA())</f>
        <v/>
      </c>
    </row>
    <row r="5685">
      <c r="J5685">
        <f>IF(AND(ISNUMBER('Data'!$F$5686),'Data'!$F$5686&lt;&gt;999,'Data'!$F$5686&lt;&gt;""),'Data'!$F$5686,"")</f>
        <v/>
      </c>
      <c r="Z5685" t="n">
        <v>1</v>
      </c>
      <c r="AA5685">
        <f>IF(ISNUMBER('IN-CLASS_Lab Part C'!$J$5685),'IN-CLASS_Lab Part C'!$J$5685,NA())</f>
        <v/>
      </c>
    </row>
    <row r="5686">
      <c r="J5686">
        <f>IF(AND(ISNUMBER('Data'!$F$5687),'Data'!$F$5687&lt;&gt;999,'Data'!$F$5687&lt;&gt;""),'Data'!$F$5687,"")</f>
        <v/>
      </c>
      <c r="Z5686" t="n">
        <v>1</v>
      </c>
      <c r="AA5686">
        <f>IF(ISNUMBER('IN-CLASS_Lab Part C'!$J$5686),'IN-CLASS_Lab Part C'!$J$5686,NA())</f>
        <v/>
      </c>
    </row>
    <row r="5687">
      <c r="J5687">
        <f>IF(AND(ISNUMBER('Data'!$F$5688),'Data'!$F$5688&lt;&gt;999,'Data'!$F$5688&lt;&gt;""),'Data'!$F$5688,"")</f>
        <v/>
      </c>
      <c r="Z5687" t="n">
        <v>1</v>
      </c>
      <c r="AA5687">
        <f>IF(ISNUMBER('IN-CLASS_Lab Part C'!$J$5687),'IN-CLASS_Lab Part C'!$J$5687,NA())</f>
        <v/>
      </c>
    </row>
    <row r="5688">
      <c r="J5688">
        <f>IF(AND(ISNUMBER('Data'!$F$5689),'Data'!$F$5689&lt;&gt;999,'Data'!$F$5689&lt;&gt;""),'Data'!$F$5689,"")</f>
        <v/>
      </c>
      <c r="Z5688" t="n">
        <v>1</v>
      </c>
      <c r="AA5688">
        <f>IF(ISNUMBER('IN-CLASS_Lab Part C'!$J$5688),'IN-CLASS_Lab Part C'!$J$5688,NA())</f>
        <v/>
      </c>
    </row>
    <row r="5689">
      <c r="J5689">
        <f>IF(AND(ISNUMBER('Data'!$F$5690),'Data'!$F$5690&lt;&gt;999,'Data'!$F$5690&lt;&gt;""),'Data'!$F$5690,"")</f>
        <v/>
      </c>
      <c r="Z5689" t="n">
        <v>1</v>
      </c>
      <c r="AA5689">
        <f>IF(ISNUMBER('IN-CLASS_Lab Part C'!$J$5689),'IN-CLASS_Lab Part C'!$J$5689,NA())</f>
        <v/>
      </c>
    </row>
    <row r="5690">
      <c r="J5690">
        <f>IF(AND(ISNUMBER('Data'!$F$5691),'Data'!$F$5691&lt;&gt;999,'Data'!$F$5691&lt;&gt;""),'Data'!$F$5691,"")</f>
        <v/>
      </c>
      <c r="Z5690" t="n">
        <v>1</v>
      </c>
      <c r="AA5690">
        <f>IF(ISNUMBER('IN-CLASS_Lab Part C'!$J$5690),'IN-CLASS_Lab Part C'!$J$5690,NA())</f>
        <v/>
      </c>
    </row>
    <row r="5691">
      <c r="J5691">
        <f>IF(AND(ISNUMBER('Data'!$F$5692),'Data'!$F$5692&lt;&gt;999,'Data'!$F$5692&lt;&gt;""),'Data'!$F$5692,"")</f>
        <v/>
      </c>
      <c r="Z5691" t="n">
        <v>1</v>
      </c>
      <c r="AA5691">
        <f>IF(ISNUMBER('IN-CLASS_Lab Part C'!$J$5691),'IN-CLASS_Lab Part C'!$J$5691,NA())</f>
        <v/>
      </c>
    </row>
    <row r="5692">
      <c r="J5692">
        <f>IF(AND(ISNUMBER('Data'!$F$5693),'Data'!$F$5693&lt;&gt;999,'Data'!$F$5693&lt;&gt;""),'Data'!$F$5693,"")</f>
        <v/>
      </c>
      <c r="Z5692" t="n">
        <v>1</v>
      </c>
      <c r="AA5692">
        <f>IF(ISNUMBER('IN-CLASS_Lab Part C'!$J$5692),'IN-CLASS_Lab Part C'!$J$5692,NA())</f>
        <v/>
      </c>
    </row>
    <row r="5693">
      <c r="J5693">
        <f>IF(AND(ISNUMBER('Data'!$F$5694),'Data'!$F$5694&lt;&gt;999,'Data'!$F$5694&lt;&gt;""),'Data'!$F$5694,"")</f>
        <v/>
      </c>
      <c r="Z5693" t="n">
        <v>1</v>
      </c>
      <c r="AA5693">
        <f>IF(ISNUMBER('IN-CLASS_Lab Part C'!$J$5693),'IN-CLASS_Lab Part C'!$J$5693,NA())</f>
        <v/>
      </c>
    </row>
    <row r="5694">
      <c r="J5694">
        <f>IF(AND(ISNUMBER('Data'!$F$5695),'Data'!$F$5695&lt;&gt;999,'Data'!$F$5695&lt;&gt;""),'Data'!$F$5695,"")</f>
        <v/>
      </c>
      <c r="Z5694" t="n">
        <v>1</v>
      </c>
      <c r="AA5694">
        <f>IF(ISNUMBER('IN-CLASS_Lab Part C'!$J$5694),'IN-CLASS_Lab Part C'!$J$5694,NA())</f>
        <v/>
      </c>
    </row>
    <row r="5695">
      <c r="J5695">
        <f>IF(AND(ISNUMBER('Data'!$F$5696),'Data'!$F$5696&lt;&gt;999,'Data'!$F$5696&lt;&gt;""),'Data'!$F$5696,"")</f>
        <v/>
      </c>
      <c r="Z5695" t="n">
        <v>1</v>
      </c>
      <c r="AA5695">
        <f>IF(ISNUMBER('IN-CLASS_Lab Part C'!$J$5695),'IN-CLASS_Lab Part C'!$J$5695,NA())</f>
        <v/>
      </c>
    </row>
    <row r="5696">
      <c r="J5696">
        <f>IF(AND(ISNUMBER('Data'!$F$5697),'Data'!$F$5697&lt;&gt;999,'Data'!$F$5697&lt;&gt;""),'Data'!$F$5697,"")</f>
        <v/>
      </c>
      <c r="Z5696" t="n">
        <v>1</v>
      </c>
      <c r="AA5696">
        <f>IF(ISNUMBER('IN-CLASS_Lab Part C'!$J$5696),'IN-CLASS_Lab Part C'!$J$5696,NA())</f>
        <v/>
      </c>
    </row>
    <row r="5697">
      <c r="J5697">
        <f>IF(AND(ISNUMBER('Data'!$F$5698),'Data'!$F$5698&lt;&gt;999,'Data'!$F$5698&lt;&gt;""),'Data'!$F$5698,"")</f>
        <v/>
      </c>
      <c r="Z5697" t="n">
        <v>1</v>
      </c>
      <c r="AA5697">
        <f>IF(ISNUMBER('IN-CLASS_Lab Part C'!$J$5697),'IN-CLASS_Lab Part C'!$J$5697,NA())</f>
        <v/>
      </c>
    </row>
    <row r="5698">
      <c r="J5698">
        <f>IF(AND(ISNUMBER('Data'!$F$5699),'Data'!$F$5699&lt;&gt;999,'Data'!$F$5699&lt;&gt;""),'Data'!$F$5699,"")</f>
        <v/>
      </c>
      <c r="Z5698" t="n">
        <v>1</v>
      </c>
      <c r="AA5698">
        <f>IF(ISNUMBER('IN-CLASS_Lab Part C'!$J$5698),'IN-CLASS_Lab Part C'!$J$5698,NA())</f>
        <v/>
      </c>
    </row>
    <row r="5699">
      <c r="J5699">
        <f>IF(AND(ISNUMBER('Data'!$F$5700),'Data'!$F$5700&lt;&gt;999,'Data'!$F$5700&lt;&gt;""),'Data'!$F$5700,"")</f>
        <v/>
      </c>
      <c r="Z5699" t="n">
        <v>1</v>
      </c>
      <c r="AA5699">
        <f>IF(ISNUMBER('IN-CLASS_Lab Part C'!$J$5699),'IN-CLASS_Lab Part C'!$J$5699,NA())</f>
        <v/>
      </c>
    </row>
    <row r="5700">
      <c r="J5700">
        <f>IF(AND(ISNUMBER('Data'!$F$5701),'Data'!$F$5701&lt;&gt;999,'Data'!$F$5701&lt;&gt;""),'Data'!$F$5701,"")</f>
        <v/>
      </c>
      <c r="Z5700" t="n">
        <v>1</v>
      </c>
      <c r="AA5700">
        <f>IF(ISNUMBER('IN-CLASS_Lab Part C'!$J$5700),'IN-CLASS_Lab Part C'!$J$5700,NA())</f>
        <v/>
      </c>
    </row>
    <row r="5701">
      <c r="J5701">
        <f>IF(AND(ISNUMBER('Data'!$F$5702),'Data'!$F$5702&lt;&gt;999,'Data'!$F$5702&lt;&gt;""),'Data'!$F$5702,"")</f>
        <v/>
      </c>
      <c r="Z5701" t="n">
        <v>1</v>
      </c>
      <c r="AA5701">
        <f>IF(ISNUMBER('IN-CLASS_Lab Part C'!$J$5701),'IN-CLASS_Lab Part C'!$J$5701,NA())</f>
        <v/>
      </c>
    </row>
    <row r="5702">
      <c r="J5702">
        <f>IF(AND(ISNUMBER('Data'!$F$5703),'Data'!$F$5703&lt;&gt;999,'Data'!$F$5703&lt;&gt;""),'Data'!$F$5703,"")</f>
        <v/>
      </c>
      <c r="Z5702" t="n">
        <v>1</v>
      </c>
      <c r="AA5702">
        <f>IF(ISNUMBER('IN-CLASS_Lab Part C'!$J$5702),'IN-CLASS_Lab Part C'!$J$5702,NA())</f>
        <v/>
      </c>
    </row>
    <row r="5703">
      <c r="J5703">
        <f>IF(AND(ISNUMBER('Data'!$F$5704),'Data'!$F$5704&lt;&gt;999,'Data'!$F$5704&lt;&gt;""),'Data'!$F$5704,"")</f>
        <v/>
      </c>
      <c r="Z5703" t="n">
        <v>1</v>
      </c>
      <c r="AA5703">
        <f>IF(ISNUMBER('IN-CLASS_Lab Part C'!$J$5703),'IN-CLASS_Lab Part C'!$J$5703,NA())</f>
        <v/>
      </c>
    </row>
    <row r="5704">
      <c r="J5704">
        <f>IF(AND(ISNUMBER('Data'!$F$5705),'Data'!$F$5705&lt;&gt;999,'Data'!$F$5705&lt;&gt;""),'Data'!$F$5705,"")</f>
        <v/>
      </c>
      <c r="Z5704" t="n">
        <v>1</v>
      </c>
      <c r="AA5704">
        <f>IF(ISNUMBER('IN-CLASS_Lab Part C'!$J$5704),'IN-CLASS_Lab Part C'!$J$5704,NA())</f>
        <v/>
      </c>
    </row>
    <row r="5705">
      <c r="J5705">
        <f>IF(AND(ISNUMBER('Data'!$F$5706),'Data'!$F$5706&lt;&gt;999,'Data'!$F$5706&lt;&gt;""),'Data'!$F$5706,"")</f>
        <v/>
      </c>
      <c r="Z5705" t="n">
        <v>1</v>
      </c>
      <c r="AA5705">
        <f>IF(ISNUMBER('IN-CLASS_Lab Part C'!$J$5705),'IN-CLASS_Lab Part C'!$J$5705,NA())</f>
        <v/>
      </c>
    </row>
    <row r="5706">
      <c r="J5706">
        <f>IF(AND(ISNUMBER('Data'!$F$5707),'Data'!$F$5707&lt;&gt;999,'Data'!$F$5707&lt;&gt;""),'Data'!$F$5707,"")</f>
        <v/>
      </c>
      <c r="Z5706" t="n">
        <v>1</v>
      </c>
      <c r="AA5706">
        <f>IF(ISNUMBER('IN-CLASS_Lab Part C'!$J$5706),'IN-CLASS_Lab Part C'!$J$5706,NA())</f>
        <v/>
      </c>
    </row>
    <row r="5707">
      <c r="J5707">
        <f>IF(AND(ISNUMBER('Data'!$F$5708),'Data'!$F$5708&lt;&gt;999,'Data'!$F$5708&lt;&gt;""),'Data'!$F$5708,"")</f>
        <v/>
      </c>
      <c r="Z5707" t="n">
        <v>1</v>
      </c>
      <c r="AA5707">
        <f>IF(ISNUMBER('IN-CLASS_Lab Part C'!$J$5707),'IN-CLASS_Lab Part C'!$J$5707,NA())</f>
        <v/>
      </c>
    </row>
    <row r="5708">
      <c r="J5708">
        <f>IF(AND(ISNUMBER('Data'!$F$5709),'Data'!$F$5709&lt;&gt;999,'Data'!$F$5709&lt;&gt;""),'Data'!$F$5709,"")</f>
        <v/>
      </c>
      <c r="Z5708" t="n">
        <v>1</v>
      </c>
      <c r="AA5708">
        <f>IF(ISNUMBER('IN-CLASS_Lab Part C'!$J$5708),'IN-CLASS_Lab Part C'!$J$5708,NA())</f>
        <v/>
      </c>
    </row>
    <row r="5709">
      <c r="J5709">
        <f>IF(AND(ISNUMBER('Data'!$F$5710),'Data'!$F$5710&lt;&gt;999,'Data'!$F$5710&lt;&gt;""),'Data'!$F$5710,"")</f>
        <v/>
      </c>
      <c r="Z5709" t="n">
        <v>1</v>
      </c>
      <c r="AA5709">
        <f>IF(ISNUMBER('IN-CLASS_Lab Part C'!$J$5709),'IN-CLASS_Lab Part C'!$J$5709,NA())</f>
        <v/>
      </c>
    </row>
    <row r="5710">
      <c r="J5710">
        <f>IF(AND(ISNUMBER('Data'!$F$5711),'Data'!$F$5711&lt;&gt;999,'Data'!$F$5711&lt;&gt;""),'Data'!$F$5711,"")</f>
        <v/>
      </c>
      <c r="Z5710" t="n">
        <v>1</v>
      </c>
      <c r="AA5710">
        <f>IF(ISNUMBER('IN-CLASS_Lab Part C'!$J$5710),'IN-CLASS_Lab Part C'!$J$5710,NA())</f>
        <v/>
      </c>
    </row>
    <row r="5711">
      <c r="J5711">
        <f>IF(AND(ISNUMBER('Data'!$F$5712),'Data'!$F$5712&lt;&gt;999,'Data'!$F$5712&lt;&gt;""),'Data'!$F$5712,"")</f>
        <v/>
      </c>
      <c r="Z5711" t="n">
        <v>1</v>
      </c>
      <c r="AA5711">
        <f>IF(ISNUMBER('IN-CLASS_Lab Part C'!$J$5711),'IN-CLASS_Lab Part C'!$J$5711,NA())</f>
        <v/>
      </c>
    </row>
    <row r="5712">
      <c r="J5712">
        <f>IF(AND(ISNUMBER('Data'!$F$5713),'Data'!$F$5713&lt;&gt;999,'Data'!$F$5713&lt;&gt;""),'Data'!$F$5713,"")</f>
        <v/>
      </c>
      <c r="Z5712" t="n">
        <v>1</v>
      </c>
      <c r="AA5712">
        <f>IF(ISNUMBER('IN-CLASS_Lab Part C'!$J$5712),'IN-CLASS_Lab Part C'!$J$5712,NA())</f>
        <v/>
      </c>
    </row>
    <row r="5713">
      <c r="J5713">
        <f>IF(AND(ISNUMBER('Data'!$F$5714),'Data'!$F$5714&lt;&gt;999,'Data'!$F$5714&lt;&gt;""),'Data'!$F$5714,"")</f>
        <v/>
      </c>
      <c r="Z5713" t="n">
        <v>1</v>
      </c>
      <c r="AA5713">
        <f>IF(ISNUMBER('IN-CLASS_Lab Part C'!$J$5713),'IN-CLASS_Lab Part C'!$J$5713,NA())</f>
        <v/>
      </c>
    </row>
    <row r="5714">
      <c r="J5714">
        <f>IF(AND(ISNUMBER('Data'!$F$5715),'Data'!$F$5715&lt;&gt;999,'Data'!$F$5715&lt;&gt;""),'Data'!$F$5715,"")</f>
        <v/>
      </c>
      <c r="Z5714" t="n">
        <v>1</v>
      </c>
      <c r="AA5714">
        <f>IF(ISNUMBER('IN-CLASS_Lab Part C'!$J$5714),'IN-CLASS_Lab Part C'!$J$5714,NA())</f>
        <v/>
      </c>
    </row>
    <row r="5715">
      <c r="J5715">
        <f>IF(AND(ISNUMBER('Data'!$F$5716),'Data'!$F$5716&lt;&gt;999,'Data'!$F$5716&lt;&gt;""),'Data'!$F$5716,"")</f>
        <v/>
      </c>
      <c r="Z5715" t="n">
        <v>1</v>
      </c>
      <c r="AA5715">
        <f>IF(ISNUMBER('IN-CLASS_Lab Part C'!$J$5715),'IN-CLASS_Lab Part C'!$J$5715,NA())</f>
        <v/>
      </c>
    </row>
    <row r="5716">
      <c r="J5716">
        <f>IF(AND(ISNUMBER('Data'!$F$5717),'Data'!$F$5717&lt;&gt;999,'Data'!$F$5717&lt;&gt;""),'Data'!$F$5717,"")</f>
        <v/>
      </c>
      <c r="Z5716" t="n">
        <v>1</v>
      </c>
      <c r="AA5716">
        <f>IF(ISNUMBER('IN-CLASS_Lab Part C'!$J$5716),'IN-CLASS_Lab Part C'!$J$5716,NA())</f>
        <v/>
      </c>
    </row>
    <row r="5717">
      <c r="J5717">
        <f>IF(AND(ISNUMBER('Data'!$F$5718),'Data'!$F$5718&lt;&gt;999,'Data'!$F$5718&lt;&gt;""),'Data'!$F$5718,"")</f>
        <v/>
      </c>
      <c r="Z5717" t="n">
        <v>1</v>
      </c>
      <c r="AA5717">
        <f>IF(ISNUMBER('IN-CLASS_Lab Part C'!$J$5717),'IN-CLASS_Lab Part C'!$J$5717,NA())</f>
        <v/>
      </c>
    </row>
    <row r="5718">
      <c r="J5718">
        <f>IF(AND(ISNUMBER('Data'!$F$5719),'Data'!$F$5719&lt;&gt;999,'Data'!$F$5719&lt;&gt;""),'Data'!$F$5719,"")</f>
        <v/>
      </c>
      <c r="Z5718" t="n">
        <v>1</v>
      </c>
      <c r="AA5718">
        <f>IF(ISNUMBER('IN-CLASS_Lab Part C'!$J$5718),'IN-CLASS_Lab Part C'!$J$5718,NA())</f>
        <v/>
      </c>
    </row>
    <row r="5719">
      <c r="J5719">
        <f>IF(AND(ISNUMBER('Data'!$F$5720),'Data'!$F$5720&lt;&gt;999,'Data'!$F$5720&lt;&gt;""),'Data'!$F$5720,"")</f>
        <v/>
      </c>
      <c r="Z5719" t="n">
        <v>1</v>
      </c>
      <c r="AA5719">
        <f>IF(ISNUMBER('IN-CLASS_Lab Part C'!$J$5719),'IN-CLASS_Lab Part C'!$J$5719,NA())</f>
        <v/>
      </c>
    </row>
    <row r="5720">
      <c r="J5720">
        <f>IF(AND(ISNUMBER('Data'!$F$5721),'Data'!$F$5721&lt;&gt;999,'Data'!$F$5721&lt;&gt;""),'Data'!$F$5721,"")</f>
        <v/>
      </c>
      <c r="Z5720" t="n">
        <v>1</v>
      </c>
      <c r="AA5720">
        <f>IF(ISNUMBER('IN-CLASS_Lab Part C'!$J$5720),'IN-CLASS_Lab Part C'!$J$5720,NA())</f>
        <v/>
      </c>
    </row>
    <row r="5721">
      <c r="J5721">
        <f>IF(AND(ISNUMBER('Data'!$F$5722),'Data'!$F$5722&lt;&gt;999,'Data'!$F$5722&lt;&gt;""),'Data'!$F$5722,"")</f>
        <v/>
      </c>
      <c r="Z5721" t="n">
        <v>1</v>
      </c>
      <c r="AA5721">
        <f>IF(ISNUMBER('IN-CLASS_Lab Part C'!$J$5721),'IN-CLASS_Lab Part C'!$J$5721,NA())</f>
        <v/>
      </c>
    </row>
    <row r="5722">
      <c r="J5722">
        <f>IF(AND(ISNUMBER('Data'!$F$5723),'Data'!$F$5723&lt;&gt;999,'Data'!$F$5723&lt;&gt;""),'Data'!$F$5723,"")</f>
        <v/>
      </c>
      <c r="Z5722" t="n">
        <v>1</v>
      </c>
      <c r="AA5722">
        <f>IF(ISNUMBER('IN-CLASS_Lab Part C'!$J$5722),'IN-CLASS_Lab Part C'!$J$5722,NA())</f>
        <v/>
      </c>
    </row>
    <row r="5723">
      <c r="J5723">
        <f>IF(AND(ISNUMBER('Data'!$F$5724),'Data'!$F$5724&lt;&gt;999,'Data'!$F$5724&lt;&gt;""),'Data'!$F$5724,"")</f>
        <v/>
      </c>
      <c r="Z5723" t="n">
        <v>1</v>
      </c>
      <c r="AA5723">
        <f>IF(ISNUMBER('IN-CLASS_Lab Part C'!$J$5723),'IN-CLASS_Lab Part C'!$J$5723,NA())</f>
        <v/>
      </c>
    </row>
    <row r="5724">
      <c r="J5724">
        <f>IF(AND(ISNUMBER('Data'!$F$5725),'Data'!$F$5725&lt;&gt;999,'Data'!$F$5725&lt;&gt;""),'Data'!$F$5725,"")</f>
        <v/>
      </c>
      <c r="Z5724" t="n">
        <v>1</v>
      </c>
      <c r="AA5724">
        <f>IF(ISNUMBER('IN-CLASS_Lab Part C'!$J$5724),'IN-CLASS_Lab Part C'!$J$5724,NA())</f>
        <v/>
      </c>
    </row>
    <row r="5725">
      <c r="J5725">
        <f>IF(AND(ISNUMBER('Data'!$F$5726),'Data'!$F$5726&lt;&gt;999,'Data'!$F$5726&lt;&gt;""),'Data'!$F$5726,"")</f>
        <v/>
      </c>
      <c r="Z5725" t="n">
        <v>1</v>
      </c>
      <c r="AA5725">
        <f>IF(ISNUMBER('IN-CLASS_Lab Part C'!$J$5725),'IN-CLASS_Lab Part C'!$J$5725,NA())</f>
        <v/>
      </c>
    </row>
    <row r="5726">
      <c r="J5726">
        <f>IF(AND(ISNUMBER('Data'!$F$5727),'Data'!$F$5727&lt;&gt;999,'Data'!$F$5727&lt;&gt;""),'Data'!$F$5727,"")</f>
        <v/>
      </c>
      <c r="Z5726" t="n">
        <v>1</v>
      </c>
      <c r="AA5726">
        <f>IF(ISNUMBER('IN-CLASS_Lab Part C'!$J$5726),'IN-CLASS_Lab Part C'!$J$5726,NA())</f>
        <v/>
      </c>
    </row>
    <row r="5727">
      <c r="J5727">
        <f>IF(AND(ISNUMBER('Data'!$F$5728),'Data'!$F$5728&lt;&gt;999,'Data'!$F$5728&lt;&gt;""),'Data'!$F$5728,"")</f>
        <v/>
      </c>
      <c r="Z5727" t="n">
        <v>1</v>
      </c>
      <c r="AA5727">
        <f>IF(ISNUMBER('IN-CLASS_Lab Part C'!$J$5727),'IN-CLASS_Lab Part C'!$J$5727,NA())</f>
        <v/>
      </c>
    </row>
    <row r="5728">
      <c r="J5728">
        <f>IF(AND(ISNUMBER('Data'!$F$5729),'Data'!$F$5729&lt;&gt;999,'Data'!$F$5729&lt;&gt;""),'Data'!$F$5729,"")</f>
        <v/>
      </c>
      <c r="Z5728" t="n">
        <v>1</v>
      </c>
      <c r="AA5728">
        <f>IF(ISNUMBER('IN-CLASS_Lab Part C'!$J$5728),'IN-CLASS_Lab Part C'!$J$5728,NA())</f>
        <v/>
      </c>
    </row>
    <row r="5729">
      <c r="J5729">
        <f>IF(AND(ISNUMBER('Data'!$F$5730),'Data'!$F$5730&lt;&gt;999,'Data'!$F$5730&lt;&gt;""),'Data'!$F$5730,"")</f>
        <v/>
      </c>
      <c r="Z5729" t="n">
        <v>1</v>
      </c>
      <c r="AA5729">
        <f>IF(ISNUMBER('IN-CLASS_Lab Part C'!$J$5729),'IN-CLASS_Lab Part C'!$J$5729,NA())</f>
        <v/>
      </c>
    </row>
    <row r="5730">
      <c r="J5730">
        <f>IF(AND(ISNUMBER('Data'!$F$5731),'Data'!$F$5731&lt;&gt;999,'Data'!$F$5731&lt;&gt;""),'Data'!$F$5731,"")</f>
        <v/>
      </c>
      <c r="Z5730" t="n">
        <v>1</v>
      </c>
      <c r="AA5730">
        <f>IF(ISNUMBER('IN-CLASS_Lab Part C'!$J$5730),'IN-CLASS_Lab Part C'!$J$5730,NA())</f>
        <v/>
      </c>
    </row>
    <row r="5731">
      <c r="J5731">
        <f>IF(AND(ISNUMBER('Data'!$F$5732),'Data'!$F$5732&lt;&gt;999,'Data'!$F$5732&lt;&gt;""),'Data'!$F$5732,"")</f>
        <v/>
      </c>
      <c r="Z5731" t="n">
        <v>1</v>
      </c>
      <c r="AA5731">
        <f>IF(ISNUMBER('IN-CLASS_Lab Part C'!$J$5731),'IN-CLASS_Lab Part C'!$J$5731,NA())</f>
        <v/>
      </c>
    </row>
    <row r="5732">
      <c r="J5732">
        <f>IF(AND(ISNUMBER('Data'!$F$5733),'Data'!$F$5733&lt;&gt;999,'Data'!$F$5733&lt;&gt;""),'Data'!$F$5733,"")</f>
        <v/>
      </c>
      <c r="Z5732" t="n">
        <v>1</v>
      </c>
      <c r="AA5732">
        <f>IF(ISNUMBER('IN-CLASS_Lab Part C'!$J$5732),'IN-CLASS_Lab Part C'!$J$5732,NA())</f>
        <v/>
      </c>
    </row>
    <row r="5733">
      <c r="J5733">
        <f>IF(AND(ISNUMBER('Data'!$F$5734),'Data'!$F$5734&lt;&gt;999,'Data'!$F$5734&lt;&gt;""),'Data'!$F$5734,"")</f>
        <v/>
      </c>
      <c r="Z5733" t="n">
        <v>1</v>
      </c>
      <c r="AA5733">
        <f>IF(ISNUMBER('IN-CLASS_Lab Part C'!$J$5733),'IN-CLASS_Lab Part C'!$J$5733,NA())</f>
        <v/>
      </c>
    </row>
    <row r="5734">
      <c r="J5734">
        <f>IF(AND(ISNUMBER('Data'!$F$5735),'Data'!$F$5735&lt;&gt;999,'Data'!$F$5735&lt;&gt;""),'Data'!$F$5735,"")</f>
        <v/>
      </c>
      <c r="Z5734" t="n">
        <v>1</v>
      </c>
      <c r="AA5734">
        <f>IF(ISNUMBER('IN-CLASS_Lab Part C'!$J$5734),'IN-CLASS_Lab Part C'!$J$5734,NA())</f>
        <v/>
      </c>
    </row>
    <row r="5735">
      <c r="J5735">
        <f>IF(AND(ISNUMBER('Data'!$F$5736),'Data'!$F$5736&lt;&gt;999,'Data'!$F$5736&lt;&gt;""),'Data'!$F$5736,"")</f>
        <v/>
      </c>
      <c r="Z5735" t="n">
        <v>1</v>
      </c>
      <c r="AA5735">
        <f>IF(ISNUMBER('IN-CLASS_Lab Part C'!$J$5735),'IN-CLASS_Lab Part C'!$J$5735,NA())</f>
        <v/>
      </c>
    </row>
    <row r="5736">
      <c r="J5736">
        <f>IF(AND(ISNUMBER('Data'!$F$5737),'Data'!$F$5737&lt;&gt;999,'Data'!$F$5737&lt;&gt;""),'Data'!$F$5737,"")</f>
        <v/>
      </c>
      <c r="Z5736" t="n">
        <v>1</v>
      </c>
      <c r="AA5736">
        <f>IF(ISNUMBER('IN-CLASS_Lab Part C'!$J$5736),'IN-CLASS_Lab Part C'!$J$5736,NA())</f>
        <v/>
      </c>
    </row>
    <row r="5737">
      <c r="J5737">
        <f>IF(AND(ISNUMBER('Data'!$F$5738),'Data'!$F$5738&lt;&gt;999,'Data'!$F$5738&lt;&gt;""),'Data'!$F$5738,"")</f>
        <v/>
      </c>
      <c r="Z5737" t="n">
        <v>1</v>
      </c>
      <c r="AA5737">
        <f>IF(ISNUMBER('IN-CLASS_Lab Part C'!$J$5737),'IN-CLASS_Lab Part C'!$J$5737,NA())</f>
        <v/>
      </c>
    </row>
    <row r="5738">
      <c r="J5738">
        <f>IF(AND(ISNUMBER('Data'!$F$5739),'Data'!$F$5739&lt;&gt;999,'Data'!$F$5739&lt;&gt;""),'Data'!$F$5739,"")</f>
        <v/>
      </c>
      <c r="Z5738" t="n">
        <v>1</v>
      </c>
      <c r="AA5738">
        <f>IF(ISNUMBER('IN-CLASS_Lab Part C'!$J$5738),'IN-CLASS_Lab Part C'!$J$5738,NA())</f>
        <v/>
      </c>
    </row>
    <row r="5739">
      <c r="J5739">
        <f>IF(AND(ISNUMBER('Data'!$F$5740),'Data'!$F$5740&lt;&gt;999,'Data'!$F$5740&lt;&gt;""),'Data'!$F$5740,"")</f>
        <v/>
      </c>
      <c r="Z5739" t="n">
        <v>1</v>
      </c>
      <c r="AA5739">
        <f>IF(ISNUMBER('IN-CLASS_Lab Part C'!$J$5739),'IN-CLASS_Lab Part C'!$J$5739,NA())</f>
        <v/>
      </c>
    </row>
    <row r="5740">
      <c r="J5740">
        <f>IF(AND(ISNUMBER('Data'!$F$5741),'Data'!$F$5741&lt;&gt;999,'Data'!$F$5741&lt;&gt;""),'Data'!$F$5741,"")</f>
        <v/>
      </c>
      <c r="Z5740" t="n">
        <v>1</v>
      </c>
      <c r="AA5740">
        <f>IF(ISNUMBER('IN-CLASS_Lab Part C'!$J$5740),'IN-CLASS_Lab Part C'!$J$5740,NA())</f>
        <v/>
      </c>
    </row>
    <row r="5741">
      <c r="J5741">
        <f>IF(AND(ISNUMBER('Data'!$F$5742),'Data'!$F$5742&lt;&gt;999,'Data'!$F$5742&lt;&gt;""),'Data'!$F$5742,"")</f>
        <v/>
      </c>
      <c r="Z5741" t="n">
        <v>1</v>
      </c>
      <c r="AA5741">
        <f>IF(ISNUMBER('IN-CLASS_Lab Part C'!$J$5741),'IN-CLASS_Lab Part C'!$J$5741,NA())</f>
        <v/>
      </c>
    </row>
    <row r="5742">
      <c r="J5742">
        <f>IF(AND(ISNUMBER('Data'!$F$5743),'Data'!$F$5743&lt;&gt;999,'Data'!$F$5743&lt;&gt;""),'Data'!$F$5743,"")</f>
        <v/>
      </c>
      <c r="Z5742" t="n">
        <v>1</v>
      </c>
      <c r="AA5742">
        <f>IF(ISNUMBER('IN-CLASS_Lab Part C'!$J$5742),'IN-CLASS_Lab Part C'!$J$5742,NA())</f>
        <v/>
      </c>
    </row>
    <row r="5743">
      <c r="J5743">
        <f>IF(AND(ISNUMBER('Data'!$F$5744),'Data'!$F$5744&lt;&gt;999,'Data'!$F$5744&lt;&gt;""),'Data'!$F$5744,"")</f>
        <v/>
      </c>
      <c r="Z5743" t="n">
        <v>1</v>
      </c>
      <c r="AA5743">
        <f>IF(ISNUMBER('IN-CLASS_Lab Part C'!$J$5743),'IN-CLASS_Lab Part C'!$J$5743,NA())</f>
        <v/>
      </c>
    </row>
    <row r="5744">
      <c r="J5744">
        <f>IF(AND(ISNUMBER('Data'!$F$5745),'Data'!$F$5745&lt;&gt;999,'Data'!$F$5745&lt;&gt;""),'Data'!$F$5745,"")</f>
        <v/>
      </c>
      <c r="Z5744" t="n">
        <v>1</v>
      </c>
      <c r="AA5744">
        <f>IF(ISNUMBER('IN-CLASS_Lab Part C'!$J$5744),'IN-CLASS_Lab Part C'!$J$5744,NA())</f>
        <v/>
      </c>
    </row>
    <row r="5745">
      <c r="J5745">
        <f>IF(AND(ISNUMBER('Data'!$F$5746),'Data'!$F$5746&lt;&gt;999,'Data'!$F$5746&lt;&gt;""),'Data'!$F$5746,"")</f>
        <v/>
      </c>
      <c r="Z5745" t="n">
        <v>1</v>
      </c>
      <c r="AA5745">
        <f>IF(ISNUMBER('IN-CLASS_Lab Part C'!$J$5745),'IN-CLASS_Lab Part C'!$J$5745,NA())</f>
        <v/>
      </c>
    </row>
    <row r="5746">
      <c r="J5746">
        <f>IF(AND(ISNUMBER('Data'!$F$5747),'Data'!$F$5747&lt;&gt;999,'Data'!$F$5747&lt;&gt;""),'Data'!$F$5747,"")</f>
        <v/>
      </c>
      <c r="Z5746" t="n">
        <v>1</v>
      </c>
      <c r="AA5746">
        <f>IF(ISNUMBER('IN-CLASS_Lab Part C'!$J$5746),'IN-CLASS_Lab Part C'!$J$5746,NA())</f>
        <v/>
      </c>
    </row>
    <row r="5747">
      <c r="J5747">
        <f>IF(AND(ISNUMBER('Data'!$F$5748),'Data'!$F$5748&lt;&gt;999,'Data'!$F$5748&lt;&gt;""),'Data'!$F$5748,"")</f>
        <v/>
      </c>
      <c r="Z5747" t="n">
        <v>1</v>
      </c>
      <c r="AA5747">
        <f>IF(ISNUMBER('IN-CLASS_Lab Part C'!$J$5747),'IN-CLASS_Lab Part C'!$J$5747,NA())</f>
        <v/>
      </c>
    </row>
    <row r="5748">
      <c r="J5748">
        <f>IF(AND(ISNUMBER('Data'!$F$5749),'Data'!$F$5749&lt;&gt;999,'Data'!$F$5749&lt;&gt;""),'Data'!$F$5749,"")</f>
        <v/>
      </c>
      <c r="Z5748" t="n">
        <v>1</v>
      </c>
      <c r="AA5748">
        <f>IF(ISNUMBER('IN-CLASS_Lab Part C'!$J$5748),'IN-CLASS_Lab Part C'!$J$5748,NA())</f>
        <v/>
      </c>
    </row>
    <row r="5749">
      <c r="J5749">
        <f>IF(AND(ISNUMBER('Data'!$F$5750),'Data'!$F$5750&lt;&gt;999,'Data'!$F$5750&lt;&gt;""),'Data'!$F$5750,"")</f>
        <v/>
      </c>
      <c r="Z5749" t="n">
        <v>1</v>
      </c>
      <c r="AA5749">
        <f>IF(ISNUMBER('IN-CLASS_Lab Part C'!$J$5749),'IN-CLASS_Lab Part C'!$J$5749,NA())</f>
        <v/>
      </c>
    </row>
    <row r="5750">
      <c r="J5750">
        <f>IF(AND(ISNUMBER('Data'!$F$5751),'Data'!$F$5751&lt;&gt;999,'Data'!$F$5751&lt;&gt;""),'Data'!$F$5751,"")</f>
        <v/>
      </c>
      <c r="Z5750" t="n">
        <v>1</v>
      </c>
      <c r="AA5750">
        <f>IF(ISNUMBER('IN-CLASS_Lab Part C'!$J$5750),'IN-CLASS_Lab Part C'!$J$5750,NA())</f>
        <v/>
      </c>
    </row>
    <row r="5751">
      <c r="J5751">
        <f>IF(AND(ISNUMBER('Data'!$F$5752),'Data'!$F$5752&lt;&gt;999,'Data'!$F$5752&lt;&gt;""),'Data'!$F$5752,"")</f>
        <v/>
      </c>
      <c r="Z5751" t="n">
        <v>1</v>
      </c>
      <c r="AA5751">
        <f>IF(ISNUMBER('IN-CLASS_Lab Part C'!$J$5751),'IN-CLASS_Lab Part C'!$J$5751,NA())</f>
        <v/>
      </c>
    </row>
    <row r="5752">
      <c r="J5752">
        <f>IF(AND(ISNUMBER('Data'!$F$5753),'Data'!$F$5753&lt;&gt;999,'Data'!$F$5753&lt;&gt;""),'Data'!$F$5753,"")</f>
        <v/>
      </c>
      <c r="Z5752" t="n">
        <v>1</v>
      </c>
      <c r="AA5752">
        <f>IF(ISNUMBER('IN-CLASS_Lab Part C'!$J$5752),'IN-CLASS_Lab Part C'!$J$5752,NA())</f>
        <v/>
      </c>
    </row>
    <row r="5753">
      <c r="J5753">
        <f>IF(AND(ISNUMBER('Data'!$F$5754),'Data'!$F$5754&lt;&gt;999,'Data'!$F$5754&lt;&gt;""),'Data'!$F$5754,"")</f>
        <v/>
      </c>
      <c r="Z5753" t="n">
        <v>1</v>
      </c>
      <c r="AA5753">
        <f>IF(ISNUMBER('IN-CLASS_Lab Part C'!$J$5753),'IN-CLASS_Lab Part C'!$J$5753,NA())</f>
        <v/>
      </c>
    </row>
    <row r="5754">
      <c r="J5754">
        <f>IF(AND(ISNUMBER('Data'!$F$5755),'Data'!$F$5755&lt;&gt;999,'Data'!$F$5755&lt;&gt;""),'Data'!$F$5755,"")</f>
        <v/>
      </c>
      <c r="Z5754" t="n">
        <v>1</v>
      </c>
      <c r="AA5754">
        <f>IF(ISNUMBER('IN-CLASS_Lab Part C'!$J$5754),'IN-CLASS_Lab Part C'!$J$5754,NA())</f>
        <v/>
      </c>
    </row>
    <row r="5755">
      <c r="J5755">
        <f>IF(AND(ISNUMBER('Data'!$F$5756),'Data'!$F$5756&lt;&gt;999,'Data'!$F$5756&lt;&gt;""),'Data'!$F$5756,"")</f>
        <v/>
      </c>
      <c r="Z5755" t="n">
        <v>1</v>
      </c>
      <c r="AA5755">
        <f>IF(ISNUMBER('IN-CLASS_Lab Part C'!$J$5755),'IN-CLASS_Lab Part C'!$J$5755,NA())</f>
        <v/>
      </c>
    </row>
    <row r="5756">
      <c r="J5756">
        <f>IF(AND(ISNUMBER('Data'!$F$5757),'Data'!$F$5757&lt;&gt;999,'Data'!$F$5757&lt;&gt;""),'Data'!$F$5757,"")</f>
        <v/>
      </c>
      <c r="Z5756" t="n">
        <v>1</v>
      </c>
      <c r="AA5756">
        <f>IF(ISNUMBER('IN-CLASS_Lab Part C'!$J$5756),'IN-CLASS_Lab Part C'!$J$5756,NA())</f>
        <v/>
      </c>
    </row>
    <row r="5757">
      <c r="J5757">
        <f>IF(AND(ISNUMBER('Data'!$F$5758),'Data'!$F$5758&lt;&gt;999,'Data'!$F$5758&lt;&gt;""),'Data'!$F$5758,"")</f>
        <v/>
      </c>
      <c r="Z5757" t="n">
        <v>1</v>
      </c>
      <c r="AA5757">
        <f>IF(ISNUMBER('IN-CLASS_Lab Part C'!$J$5757),'IN-CLASS_Lab Part C'!$J$5757,NA())</f>
        <v/>
      </c>
    </row>
    <row r="5758">
      <c r="J5758">
        <f>IF(AND(ISNUMBER('Data'!$F$5759),'Data'!$F$5759&lt;&gt;999,'Data'!$F$5759&lt;&gt;""),'Data'!$F$5759,"")</f>
        <v/>
      </c>
      <c r="Z5758" t="n">
        <v>1</v>
      </c>
      <c r="AA5758">
        <f>IF(ISNUMBER('IN-CLASS_Lab Part C'!$J$5758),'IN-CLASS_Lab Part C'!$J$5758,NA())</f>
        <v/>
      </c>
    </row>
    <row r="5759">
      <c r="J5759">
        <f>IF(AND(ISNUMBER('Data'!$F$5760),'Data'!$F$5760&lt;&gt;999,'Data'!$F$5760&lt;&gt;""),'Data'!$F$5760,"")</f>
        <v/>
      </c>
      <c r="Z5759" t="n">
        <v>1</v>
      </c>
      <c r="AA5759">
        <f>IF(ISNUMBER('IN-CLASS_Lab Part C'!$J$5759),'IN-CLASS_Lab Part C'!$J$5759,NA())</f>
        <v/>
      </c>
    </row>
    <row r="5760">
      <c r="J5760">
        <f>IF(AND(ISNUMBER('Data'!$F$5761),'Data'!$F$5761&lt;&gt;999,'Data'!$F$5761&lt;&gt;""),'Data'!$F$5761,"")</f>
        <v/>
      </c>
      <c r="Z5760" t="n">
        <v>1</v>
      </c>
      <c r="AA5760">
        <f>IF(ISNUMBER('IN-CLASS_Lab Part C'!$J$5760),'IN-CLASS_Lab Part C'!$J$5760,NA())</f>
        <v/>
      </c>
    </row>
    <row r="5761">
      <c r="J5761">
        <f>IF(AND(ISNUMBER('Data'!$F$5762),'Data'!$F$5762&lt;&gt;999,'Data'!$F$5762&lt;&gt;""),'Data'!$F$5762,"")</f>
        <v/>
      </c>
      <c r="Z5761" t="n">
        <v>1</v>
      </c>
      <c r="AA5761">
        <f>IF(ISNUMBER('IN-CLASS_Lab Part C'!$J$5761),'IN-CLASS_Lab Part C'!$J$5761,NA())</f>
        <v/>
      </c>
    </row>
    <row r="5762">
      <c r="J5762">
        <f>IF(AND(ISNUMBER('Data'!$F$5763),'Data'!$F$5763&lt;&gt;999,'Data'!$F$5763&lt;&gt;""),'Data'!$F$5763,"")</f>
        <v/>
      </c>
      <c r="Z5762" t="n">
        <v>1</v>
      </c>
      <c r="AA5762">
        <f>IF(ISNUMBER('IN-CLASS_Lab Part C'!$J$5762),'IN-CLASS_Lab Part C'!$J$5762,NA())</f>
        <v/>
      </c>
    </row>
    <row r="5763">
      <c r="J5763">
        <f>IF(AND(ISNUMBER('Data'!$F$5764),'Data'!$F$5764&lt;&gt;999,'Data'!$F$5764&lt;&gt;""),'Data'!$F$5764,"")</f>
        <v/>
      </c>
      <c r="Z5763" t="n">
        <v>1</v>
      </c>
      <c r="AA5763">
        <f>IF(ISNUMBER('IN-CLASS_Lab Part C'!$J$5763),'IN-CLASS_Lab Part C'!$J$5763,NA())</f>
        <v/>
      </c>
    </row>
    <row r="5764">
      <c r="J5764">
        <f>IF(AND(ISNUMBER('Data'!$F$5765),'Data'!$F$5765&lt;&gt;999,'Data'!$F$5765&lt;&gt;""),'Data'!$F$5765,"")</f>
        <v/>
      </c>
      <c r="Z5764" t="n">
        <v>1</v>
      </c>
      <c r="AA5764">
        <f>IF(ISNUMBER('IN-CLASS_Lab Part C'!$J$5764),'IN-CLASS_Lab Part C'!$J$5764,NA())</f>
        <v/>
      </c>
    </row>
    <row r="5765">
      <c r="J5765">
        <f>IF(AND(ISNUMBER('Data'!$F$5766),'Data'!$F$5766&lt;&gt;999,'Data'!$F$5766&lt;&gt;""),'Data'!$F$5766,"")</f>
        <v/>
      </c>
      <c r="Z5765" t="n">
        <v>1</v>
      </c>
      <c r="AA5765">
        <f>IF(ISNUMBER('IN-CLASS_Lab Part C'!$J$5765),'IN-CLASS_Lab Part C'!$J$5765,NA())</f>
        <v/>
      </c>
    </row>
    <row r="5766">
      <c r="J5766">
        <f>IF(AND(ISNUMBER('Data'!$F$5767),'Data'!$F$5767&lt;&gt;999,'Data'!$F$5767&lt;&gt;""),'Data'!$F$5767,"")</f>
        <v/>
      </c>
      <c r="Z5766" t="n">
        <v>1</v>
      </c>
      <c r="AA5766">
        <f>IF(ISNUMBER('IN-CLASS_Lab Part C'!$J$5766),'IN-CLASS_Lab Part C'!$J$5766,NA())</f>
        <v/>
      </c>
    </row>
    <row r="5767">
      <c r="J5767">
        <f>IF(AND(ISNUMBER('Data'!$F$5768),'Data'!$F$5768&lt;&gt;999,'Data'!$F$5768&lt;&gt;""),'Data'!$F$5768,"")</f>
        <v/>
      </c>
      <c r="Z5767" t="n">
        <v>1</v>
      </c>
      <c r="AA5767">
        <f>IF(ISNUMBER('IN-CLASS_Lab Part C'!$J$5767),'IN-CLASS_Lab Part C'!$J$5767,NA())</f>
        <v/>
      </c>
    </row>
    <row r="5768">
      <c r="J5768">
        <f>IF(AND(ISNUMBER('Data'!$F$5769),'Data'!$F$5769&lt;&gt;999,'Data'!$F$5769&lt;&gt;""),'Data'!$F$5769,"")</f>
        <v/>
      </c>
      <c r="Z5768" t="n">
        <v>1</v>
      </c>
      <c r="AA5768">
        <f>IF(ISNUMBER('IN-CLASS_Lab Part C'!$J$5768),'IN-CLASS_Lab Part C'!$J$5768,NA())</f>
        <v/>
      </c>
    </row>
    <row r="5769">
      <c r="J5769">
        <f>IF(AND(ISNUMBER('Data'!$F$5770),'Data'!$F$5770&lt;&gt;999,'Data'!$F$5770&lt;&gt;""),'Data'!$F$5770,"")</f>
        <v/>
      </c>
      <c r="Z5769" t="n">
        <v>1</v>
      </c>
      <c r="AA5769">
        <f>IF(ISNUMBER('IN-CLASS_Lab Part C'!$J$5769),'IN-CLASS_Lab Part C'!$J$5769,NA())</f>
        <v/>
      </c>
    </row>
    <row r="5770">
      <c r="J5770">
        <f>IF(AND(ISNUMBER('Data'!$F$5771),'Data'!$F$5771&lt;&gt;999,'Data'!$F$5771&lt;&gt;""),'Data'!$F$5771,"")</f>
        <v/>
      </c>
      <c r="Z5770" t="n">
        <v>1</v>
      </c>
      <c r="AA5770">
        <f>IF(ISNUMBER('IN-CLASS_Lab Part C'!$J$5770),'IN-CLASS_Lab Part C'!$J$5770,NA())</f>
        <v/>
      </c>
    </row>
    <row r="5771">
      <c r="J5771">
        <f>IF(AND(ISNUMBER('Data'!$F$5772),'Data'!$F$5772&lt;&gt;999,'Data'!$F$5772&lt;&gt;""),'Data'!$F$5772,"")</f>
        <v/>
      </c>
      <c r="Z5771" t="n">
        <v>1</v>
      </c>
      <c r="AA5771">
        <f>IF(ISNUMBER('IN-CLASS_Lab Part C'!$J$5771),'IN-CLASS_Lab Part C'!$J$5771,NA())</f>
        <v/>
      </c>
    </row>
    <row r="5772">
      <c r="J5772">
        <f>IF(AND(ISNUMBER('Data'!$F$5773),'Data'!$F$5773&lt;&gt;999,'Data'!$F$5773&lt;&gt;""),'Data'!$F$5773,"")</f>
        <v/>
      </c>
      <c r="Z5772" t="n">
        <v>1</v>
      </c>
      <c r="AA5772">
        <f>IF(ISNUMBER('IN-CLASS_Lab Part C'!$J$5772),'IN-CLASS_Lab Part C'!$J$5772,NA())</f>
        <v/>
      </c>
    </row>
    <row r="5773">
      <c r="J5773">
        <f>IF(AND(ISNUMBER('Data'!$F$5774),'Data'!$F$5774&lt;&gt;999,'Data'!$F$5774&lt;&gt;""),'Data'!$F$5774,"")</f>
        <v/>
      </c>
      <c r="Z5773" t="n">
        <v>1</v>
      </c>
      <c r="AA5773">
        <f>IF(ISNUMBER('IN-CLASS_Lab Part C'!$J$5773),'IN-CLASS_Lab Part C'!$J$5773,NA())</f>
        <v/>
      </c>
    </row>
    <row r="5774">
      <c r="J5774">
        <f>IF(AND(ISNUMBER('Data'!$F$5775),'Data'!$F$5775&lt;&gt;999,'Data'!$F$5775&lt;&gt;""),'Data'!$F$5775,"")</f>
        <v/>
      </c>
      <c r="Z5774" t="n">
        <v>1</v>
      </c>
      <c r="AA5774">
        <f>IF(ISNUMBER('IN-CLASS_Lab Part C'!$J$5774),'IN-CLASS_Lab Part C'!$J$5774,NA())</f>
        <v/>
      </c>
    </row>
    <row r="5775">
      <c r="J5775">
        <f>IF(AND(ISNUMBER('Data'!$F$5776),'Data'!$F$5776&lt;&gt;999,'Data'!$F$5776&lt;&gt;""),'Data'!$F$5776,"")</f>
        <v/>
      </c>
      <c r="Z5775" t="n">
        <v>1</v>
      </c>
      <c r="AA5775">
        <f>IF(ISNUMBER('IN-CLASS_Lab Part C'!$J$5775),'IN-CLASS_Lab Part C'!$J$5775,NA())</f>
        <v/>
      </c>
    </row>
    <row r="5776">
      <c r="J5776">
        <f>IF(AND(ISNUMBER('Data'!$F$5777),'Data'!$F$5777&lt;&gt;999,'Data'!$F$5777&lt;&gt;""),'Data'!$F$5777,"")</f>
        <v/>
      </c>
      <c r="Z5776" t="n">
        <v>1</v>
      </c>
      <c r="AA5776">
        <f>IF(ISNUMBER('IN-CLASS_Lab Part C'!$J$5776),'IN-CLASS_Lab Part C'!$J$5776,NA())</f>
        <v/>
      </c>
    </row>
    <row r="5777">
      <c r="J5777">
        <f>IF(AND(ISNUMBER('Data'!$F$5778),'Data'!$F$5778&lt;&gt;999,'Data'!$F$5778&lt;&gt;""),'Data'!$F$5778,"")</f>
        <v/>
      </c>
      <c r="Z5777" t="n">
        <v>1</v>
      </c>
      <c r="AA5777">
        <f>IF(ISNUMBER('IN-CLASS_Lab Part C'!$J$5777),'IN-CLASS_Lab Part C'!$J$5777,NA())</f>
        <v/>
      </c>
    </row>
    <row r="5778">
      <c r="J5778">
        <f>IF(AND(ISNUMBER('Data'!$F$5779),'Data'!$F$5779&lt;&gt;999,'Data'!$F$5779&lt;&gt;""),'Data'!$F$5779,"")</f>
        <v/>
      </c>
      <c r="Z5778" t="n">
        <v>1</v>
      </c>
      <c r="AA5778">
        <f>IF(ISNUMBER('IN-CLASS_Lab Part C'!$J$5778),'IN-CLASS_Lab Part C'!$J$5778,NA())</f>
        <v/>
      </c>
    </row>
    <row r="5779">
      <c r="J5779">
        <f>IF(AND(ISNUMBER('Data'!$F$5780),'Data'!$F$5780&lt;&gt;999,'Data'!$F$5780&lt;&gt;""),'Data'!$F$5780,"")</f>
        <v/>
      </c>
      <c r="Z5779" t="n">
        <v>1</v>
      </c>
      <c r="AA5779">
        <f>IF(ISNUMBER('IN-CLASS_Lab Part C'!$J$5779),'IN-CLASS_Lab Part C'!$J$5779,NA())</f>
        <v/>
      </c>
    </row>
    <row r="5780">
      <c r="J5780">
        <f>IF(AND(ISNUMBER('Data'!$F$5781),'Data'!$F$5781&lt;&gt;999,'Data'!$F$5781&lt;&gt;""),'Data'!$F$5781,"")</f>
        <v/>
      </c>
      <c r="Z5780" t="n">
        <v>1</v>
      </c>
      <c r="AA5780">
        <f>IF(ISNUMBER('IN-CLASS_Lab Part C'!$J$5780),'IN-CLASS_Lab Part C'!$J$5780,NA())</f>
        <v/>
      </c>
    </row>
    <row r="5781">
      <c r="J5781">
        <f>IF(AND(ISNUMBER('Data'!$F$5782),'Data'!$F$5782&lt;&gt;999,'Data'!$F$5782&lt;&gt;""),'Data'!$F$5782,"")</f>
        <v/>
      </c>
      <c r="Z5781" t="n">
        <v>1</v>
      </c>
      <c r="AA5781">
        <f>IF(ISNUMBER('IN-CLASS_Lab Part C'!$J$5781),'IN-CLASS_Lab Part C'!$J$5781,NA())</f>
        <v/>
      </c>
    </row>
    <row r="5782">
      <c r="J5782">
        <f>IF(AND(ISNUMBER('Data'!$F$5783),'Data'!$F$5783&lt;&gt;999,'Data'!$F$5783&lt;&gt;""),'Data'!$F$5783,"")</f>
        <v/>
      </c>
      <c r="Z5782" t="n">
        <v>1</v>
      </c>
      <c r="AA5782">
        <f>IF(ISNUMBER('IN-CLASS_Lab Part C'!$J$5782),'IN-CLASS_Lab Part C'!$J$5782,NA())</f>
        <v/>
      </c>
    </row>
    <row r="5783">
      <c r="J5783">
        <f>IF(AND(ISNUMBER('Data'!$F$5784),'Data'!$F$5784&lt;&gt;999,'Data'!$F$5784&lt;&gt;""),'Data'!$F$5784,"")</f>
        <v/>
      </c>
      <c r="Z5783" t="n">
        <v>1</v>
      </c>
      <c r="AA5783">
        <f>IF(ISNUMBER('IN-CLASS_Lab Part C'!$J$5783),'IN-CLASS_Lab Part C'!$J$5783,NA())</f>
        <v/>
      </c>
    </row>
    <row r="5784">
      <c r="J5784">
        <f>IF(AND(ISNUMBER('Data'!$F$5785),'Data'!$F$5785&lt;&gt;999,'Data'!$F$5785&lt;&gt;""),'Data'!$F$5785,"")</f>
        <v/>
      </c>
      <c r="Z5784" t="n">
        <v>1</v>
      </c>
      <c r="AA5784">
        <f>IF(ISNUMBER('IN-CLASS_Lab Part C'!$J$5784),'IN-CLASS_Lab Part C'!$J$5784,NA())</f>
        <v/>
      </c>
    </row>
    <row r="5785">
      <c r="J5785">
        <f>IF(AND(ISNUMBER('Data'!$F$5786),'Data'!$F$5786&lt;&gt;999,'Data'!$F$5786&lt;&gt;""),'Data'!$F$5786,"")</f>
        <v/>
      </c>
      <c r="Z5785" t="n">
        <v>1</v>
      </c>
      <c r="AA5785">
        <f>IF(ISNUMBER('IN-CLASS_Lab Part C'!$J$5785),'IN-CLASS_Lab Part C'!$J$5785,NA())</f>
        <v/>
      </c>
    </row>
    <row r="5786">
      <c r="J5786">
        <f>IF(AND(ISNUMBER('Data'!$F$5787),'Data'!$F$5787&lt;&gt;999,'Data'!$F$5787&lt;&gt;""),'Data'!$F$5787,"")</f>
        <v/>
      </c>
      <c r="Z5786" t="n">
        <v>1</v>
      </c>
      <c r="AA5786">
        <f>IF(ISNUMBER('IN-CLASS_Lab Part C'!$J$5786),'IN-CLASS_Lab Part C'!$J$5786,NA())</f>
        <v/>
      </c>
    </row>
    <row r="5787">
      <c r="J5787">
        <f>IF(AND(ISNUMBER('Data'!$F$5788),'Data'!$F$5788&lt;&gt;999,'Data'!$F$5788&lt;&gt;""),'Data'!$F$5788,"")</f>
        <v/>
      </c>
      <c r="Z5787" t="n">
        <v>1</v>
      </c>
      <c r="AA5787">
        <f>IF(ISNUMBER('IN-CLASS_Lab Part C'!$J$5787),'IN-CLASS_Lab Part C'!$J$5787,NA())</f>
        <v/>
      </c>
    </row>
    <row r="5788">
      <c r="J5788">
        <f>IF(AND(ISNUMBER('Data'!$F$5789),'Data'!$F$5789&lt;&gt;999,'Data'!$F$5789&lt;&gt;""),'Data'!$F$5789,"")</f>
        <v/>
      </c>
      <c r="Z5788" t="n">
        <v>1</v>
      </c>
      <c r="AA5788">
        <f>IF(ISNUMBER('IN-CLASS_Lab Part C'!$J$5788),'IN-CLASS_Lab Part C'!$J$5788,NA())</f>
        <v/>
      </c>
    </row>
    <row r="5789">
      <c r="J5789">
        <f>IF(AND(ISNUMBER('Data'!$F$5790),'Data'!$F$5790&lt;&gt;999,'Data'!$F$5790&lt;&gt;""),'Data'!$F$5790,"")</f>
        <v/>
      </c>
      <c r="Z5789" t="n">
        <v>1</v>
      </c>
      <c r="AA5789">
        <f>IF(ISNUMBER('IN-CLASS_Lab Part C'!$J$5789),'IN-CLASS_Lab Part C'!$J$5789,NA())</f>
        <v/>
      </c>
    </row>
    <row r="5790">
      <c r="J5790">
        <f>IF(AND(ISNUMBER('Data'!$F$5791),'Data'!$F$5791&lt;&gt;999,'Data'!$F$5791&lt;&gt;""),'Data'!$F$5791,"")</f>
        <v/>
      </c>
      <c r="Z5790" t="n">
        <v>1</v>
      </c>
      <c r="AA5790">
        <f>IF(ISNUMBER('IN-CLASS_Lab Part C'!$J$5790),'IN-CLASS_Lab Part C'!$J$5790,NA())</f>
        <v/>
      </c>
    </row>
    <row r="5791">
      <c r="J5791">
        <f>IF(AND(ISNUMBER('Data'!$F$5792),'Data'!$F$5792&lt;&gt;999,'Data'!$F$5792&lt;&gt;""),'Data'!$F$5792,"")</f>
        <v/>
      </c>
      <c r="Z5791" t="n">
        <v>1</v>
      </c>
      <c r="AA5791">
        <f>IF(ISNUMBER('IN-CLASS_Lab Part C'!$J$5791),'IN-CLASS_Lab Part C'!$J$5791,NA())</f>
        <v/>
      </c>
    </row>
    <row r="5792">
      <c r="J5792">
        <f>IF(AND(ISNUMBER('Data'!$F$5793),'Data'!$F$5793&lt;&gt;999,'Data'!$F$5793&lt;&gt;""),'Data'!$F$5793,"")</f>
        <v/>
      </c>
      <c r="Z5792" t="n">
        <v>1</v>
      </c>
      <c r="AA5792">
        <f>IF(ISNUMBER('IN-CLASS_Lab Part C'!$J$5792),'IN-CLASS_Lab Part C'!$J$5792,NA())</f>
        <v/>
      </c>
    </row>
    <row r="5793">
      <c r="J5793">
        <f>IF(AND(ISNUMBER('Data'!$F$5794),'Data'!$F$5794&lt;&gt;999,'Data'!$F$5794&lt;&gt;""),'Data'!$F$5794,"")</f>
        <v/>
      </c>
      <c r="Z5793" t="n">
        <v>1</v>
      </c>
      <c r="AA5793">
        <f>IF(ISNUMBER('IN-CLASS_Lab Part C'!$J$5793),'IN-CLASS_Lab Part C'!$J$5793,NA())</f>
        <v/>
      </c>
    </row>
    <row r="5794">
      <c r="J5794">
        <f>IF(AND(ISNUMBER('Data'!$F$5795),'Data'!$F$5795&lt;&gt;999,'Data'!$F$5795&lt;&gt;""),'Data'!$F$5795,"")</f>
        <v/>
      </c>
      <c r="Z5794" t="n">
        <v>1</v>
      </c>
      <c r="AA5794">
        <f>IF(ISNUMBER('IN-CLASS_Lab Part C'!$J$5794),'IN-CLASS_Lab Part C'!$J$5794,NA())</f>
        <v/>
      </c>
    </row>
    <row r="5795">
      <c r="J5795">
        <f>IF(AND(ISNUMBER('Data'!$F$5796),'Data'!$F$5796&lt;&gt;999,'Data'!$F$5796&lt;&gt;""),'Data'!$F$5796,"")</f>
        <v/>
      </c>
      <c r="Z5795" t="n">
        <v>1</v>
      </c>
      <c r="AA5795">
        <f>IF(ISNUMBER('IN-CLASS_Lab Part C'!$J$5795),'IN-CLASS_Lab Part C'!$J$5795,NA())</f>
        <v/>
      </c>
    </row>
    <row r="5796">
      <c r="J5796">
        <f>IF(AND(ISNUMBER('Data'!$F$5797),'Data'!$F$5797&lt;&gt;999,'Data'!$F$5797&lt;&gt;""),'Data'!$F$5797,"")</f>
        <v/>
      </c>
      <c r="Z5796" t="n">
        <v>1</v>
      </c>
      <c r="AA5796">
        <f>IF(ISNUMBER('IN-CLASS_Lab Part C'!$J$5796),'IN-CLASS_Lab Part C'!$J$5796,NA())</f>
        <v/>
      </c>
    </row>
    <row r="5797">
      <c r="J5797">
        <f>IF(AND(ISNUMBER('Data'!$F$5798),'Data'!$F$5798&lt;&gt;999,'Data'!$F$5798&lt;&gt;""),'Data'!$F$5798,"")</f>
        <v/>
      </c>
      <c r="Z5797" t="n">
        <v>1</v>
      </c>
      <c r="AA5797">
        <f>IF(ISNUMBER('IN-CLASS_Lab Part C'!$J$5797),'IN-CLASS_Lab Part C'!$J$5797,NA())</f>
        <v/>
      </c>
    </row>
    <row r="5798">
      <c r="J5798">
        <f>IF(AND(ISNUMBER('Data'!$F$5799),'Data'!$F$5799&lt;&gt;999,'Data'!$F$5799&lt;&gt;""),'Data'!$F$5799,"")</f>
        <v/>
      </c>
      <c r="Z5798" t="n">
        <v>1</v>
      </c>
      <c r="AA5798">
        <f>IF(ISNUMBER('IN-CLASS_Lab Part C'!$J$5798),'IN-CLASS_Lab Part C'!$J$5798,NA())</f>
        <v/>
      </c>
    </row>
    <row r="5799">
      <c r="J5799">
        <f>IF(AND(ISNUMBER('Data'!$F$5800),'Data'!$F$5800&lt;&gt;999,'Data'!$F$5800&lt;&gt;""),'Data'!$F$5800,"")</f>
        <v/>
      </c>
      <c r="Z5799" t="n">
        <v>1</v>
      </c>
      <c r="AA5799">
        <f>IF(ISNUMBER('IN-CLASS_Lab Part C'!$J$5799),'IN-CLASS_Lab Part C'!$J$5799,NA())</f>
        <v/>
      </c>
    </row>
    <row r="5800">
      <c r="J5800">
        <f>IF(AND(ISNUMBER('Data'!$F$5801),'Data'!$F$5801&lt;&gt;999,'Data'!$F$5801&lt;&gt;""),'Data'!$F$5801,"")</f>
        <v/>
      </c>
      <c r="Z5800" t="n">
        <v>1</v>
      </c>
      <c r="AA5800">
        <f>IF(ISNUMBER('IN-CLASS_Lab Part C'!$J$5800),'IN-CLASS_Lab Part C'!$J$5800,NA())</f>
        <v/>
      </c>
    </row>
    <row r="5801">
      <c r="J5801">
        <f>IF(AND(ISNUMBER('Data'!$F$5802),'Data'!$F$5802&lt;&gt;999,'Data'!$F$5802&lt;&gt;""),'Data'!$F$5802,"")</f>
        <v/>
      </c>
      <c r="Z5801" t="n">
        <v>1</v>
      </c>
      <c r="AA5801">
        <f>IF(ISNUMBER('IN-CLASS_Lab Part C'!$J$5801),'IN-CLASS_Lab Part C'!$J$5801,NA())</f>
        <v/>
      </c>
    </row>
    <row r="5802">
      <c r="J5802">
        <f>IF(AND(ISNUMBER('Data'!$F$5803),'Data'!$F$5803&lt;&gt;999,'Data'!$F$5803&lt;&gt;""),'Data'!$F$5803,"")</f>
        <v/>
      </c>
      <c r="Z5802" t="n">
        <v>1</v>
      </c>
      <c r="AA5802">
        <f>IF(ISNUMBER('IN-CLASS_Lab Part C'!$J$5802),'IN-CLASS_Lab Part C'!$J$5802,NA())</f>
        <v/>
      </c>
    </row>
    <row r="5803">
      <c r="J5803">
        <f>IF(AND(ISNUMBER('Data'!$F$5804),'Data'!$F$5804&lt;&gt;999,'Data'!$F$5804&lt;&gt;""),'Data'!$F$5804,"")</f>
        <v/>
      </c>
      <c r="Z5803" t="n">
        <v>1</v>
      </c>
      <c r="AA5803">
        <f>IF(ISNUMBER('IN-CLASS_Lab Part C'!$J$5803),'IN-CLASS_Lab Part C'!$J$5803,NA())</f>
        <v/>
      </c>
    </row>
    <row r="5804">
      <c r="J5804">
        <f>IF(AND(ISNUMBER('Data'!$F$5805),'Data'!$F$5805&lt;&gt;999,'Data'!$F$5805&lt;&gt;""),'Data'!$F$5805,"")</f>
        <v/>
      </c>
      <c r="Z5804" t="n">
        <v>1</v>
      </c>
      <c r="AA5804">
        <f>IF(ISNUMBER('IN-CLASS_Lab Part C'!$J$5804),'IN-CLASS_Lab Part C'!$J$5804,NA())</f>
        <v/>
      </c>
    </row>
    <row r="5805">
      <c r="J5805">
        <f>IF(AND(ISNUMBER('Data'!$F$5806),'Data'!$F$5806&lt;&gt;999,'Data'!$F$5806&lt;&gt;""),'Data'!$F$5806,"")</f>
        <v/>
      </c>
      <c r="Z5805" t="n">
        <v>1</v>
      </c>
      <c r="AA5805">
        <f>IF(ISNUMBER('IN-CLASS_Lab Part C'!$J$5805),'IN-CLASS_Lab Part C'!$J$5805,NA())</f>
        <v/>
      </c>
    </row>
    <row r="5806">
      <c r="J5806">
        <f>IF(AND(ISNUMBER('Data'!$F$5807),'Data'!$F$5807&lt;&gt;999,'Data'!$F$5807&lt;&gt;""),'Data'!$F$5807,"")</f>
        <v/>
      </c>
      <c r="Z5806" t="n">
        <v>1</v>
      </c>
      <c r="AA5806">
        <f>IF(ISNUMBER('IN-CLASS_Lab Part C'!$J$5806),'IN-CLASS_Lab Part C'!$J$5806,NA())</f>
        <v/>
      </c>
    </row>
    <row r="5807">
      <c r="J5807">
        <f>IF(AND(ISNUMBER('Data'!$F$5808),'Data'!$F$5808&lt;&gt;999,'Data'!$F$5808&lt;&gt;""),'Data'!$F$5808,"")</f>
        <v/>
      </c>
      <c r="Z5807" t="n">
        <v>1</v>
      </c>
      <c r="AA5807">
        <f>IF(ISNUMBER('IN-CLASS_Lab Part C'!$J$5807),'IN-CLASS_Lab Part C'!$J$5807,NA())</f>
        <v/>
      </c>
    </row>
    <row r="5808">
      <c r="J5808">
        <f>IF(AND(ISNUMBER('Data'!$F$5809),'Data'!$F$5809&lt;&gt;999,'Data'!$F$5809&lt;&gt;""),'Data'!$F$5809,"")</f>
        <v/>
      </c>
      <c r="Z5808" t="n">
        <v>1</v>
      </c>
      <c r="AA5808">
        <f>IF(ISNUMBER('IN-CLASS_Lab Part C'!$J$5808),'IN-CLASS_Lab Part C'!$J$5808,NA())</f>
        <v/>
      </c>
    </row>
    <row r="5809">
      <c r="J5809">
        <f>IF(AND(ISNUMBER('Data'!$F$5810),'Data'!$F$5810&lt;&gt;999,'Data'!$F$5810&lt;&gt;""),'Data'!$F$5810,"")</f>
        <v/>
      </c>
      <c r="Z5809" t="n">
        <v>1</v>
      </c>
      <c r="AA5809">
        <f>IF(ISNUMBER('IN-CLASS_Lab Part C'!$J$5809),'IN-CLASS_Lab Part C'!$J$5809,NA())</f>
        <v/>
      </c>
    </row>
    <row r="5810">
      <c r="J5810">
        <f>IF(AND(ISNUMBER('Data'!$F$5811),'Data'!$F$5811&lt;&gt;999,'Data'!$F$5811&lt;&gt;""),'Data'!$F$5811,"")</f>
        <v/>
      </c>
      <c r="Z5810" t="n">
        <v>1</v>
      </c>
      <c r="AA5810">
        <f>IF(ISNUMBER('IN-CLASS_Lab Part C'!$J$5810),'IN-CLASS_Lab Part C'!$J$5810,NA())</f>
        <v/>
      </c>
    </row>
    <row r="5811">
      <c r="J5811">
        <f>IF(AND(ISNUMBER('Data'!$F$5812),'Data'!$F$5812&lt;&gt;999,'Data'!$F$5812&lt;&gt;""),'Data'!$F$5812,"")</f>
        <v/>
      </c>
      <c r="Z5811" t="n">
        <v>1</v>
      </c>
      <c r="AA5811">
        <f>IF(ISNUMBER('IN-CLASS_Lab Part C'!$J$5811),'IN-CLASS_Lab Part C'!$J$5811,NA())</f>
        <v/>
      </c>
    </row>
    <row r="5812">
      <c r="J5812">
        <f>IF(AND(ISNUMBER('Data'!$F$5813),'Data'!$F$5813&lt;&gt;999,'Data'!$F$5813&lt;&gt;""),'Data'!$F$5813,"")</f>
        <v/>
      </c>
      <c r="Z5812" t="n">
        <v>1</v>
      </c>
      <c r="AA5812">
        <f>IF(ISNUMBER('IN-CLASS_Lab Part C'!$J$5812),'IN-CLASS_Lab Part C'!$J$5812,NA())</f>
        <v/>
      </c>
    </row>
    <row r="5813">
      <c r="J5813">
        <f>IF(AND(ISNUMBER('Data'!$F$5814),'Data'!$F$5814&lt;&gt;999,'Data'!$F$5814&lt;&gt;""),'Data'!$F$5814,"")</f>
        <v/>
      </c>
      <c r="Z5813" t="n">
        <v>1</v>
      </c>
      <c r="AA5813">
        <f>IF(ISNUMBER('IN-CLASS_Lab Part C'!$J$5813),'IN-CLASS_Lab Part C'!$J$5813,NA())</f>
        <v/>
      </c>
    </row>
    <row r="5814">
      <c r="J5814">
        <f>IF(AND(ISNUMBER('Data'!$F$5815),'Data'!$F$5815&lt;&gt;999,'Data'!$F$5815&lt;&gt;""),'Data'!$F$5815,"")</f>
        <v/>
      </c>
      <c r="Z5814" t="n">
        <v>1</v>
      </c>
      <c r="AA5814">
        <f>IF(ISNUMBER('IN-CLASS_Lab Part C'!$J$5814),'IN-CLASS_Lab Part C'!$J$5814,NA())</f>
        <v/>
      </c>
    </row>
    <row r="5815">
      <c r="J5815">
        <f>IF(AND(ISNUMBER('Data'!$F$5816),'Data'!$F$5816&lt;&gt;999,'Data'!$F$5816&lt;&gt;""),'Data'!$F$5816,"")</f>
        <v/>
      </c>
      <c r="Z5815" t="n">
        <v>1</v>
      </c>
      <c r="AA5815">
        <f>IF(ISNUMBER('IN-CLASS_Lab Part C'!$J$5815),'IN-CLASS_Lab Part C'!$J$5815,NA())</f>
        <v/>
      </c>
    </row>
    <row r="5816">
      <c r="J5816">
        <f>IF(AND(ISNUMBER('Data'!$F$5817),'Data'!$F$5817&lt;&gt;999,'Data'!$F$5817&lt;&gt;""),'Data'!$F$5817,"")</f>
        <v/>
      </c>
      <c r="Z5816" t="n">
        <v>1</v>
      </c>
      <c r="AA5816">
        <f>IF(ISNUMBER('IN-CLASS_Lab Part C'!$J$5816),'IN-CLASS_Lab Part C'!$J$5816,NA())</f>
        <v/>
      </c>
    </row>
    <row r="5817">
      <c r="J5817">
        <f>IF(AND(ISNUMBER('Data'!$F$5818),'Data'!$F$5818&lt;&gt;999,'Data'!$F$5818&lt;&gt;""),'Data'!$F$5818,"")</f>
        <v/>
      </c>
      <c r="Z5817" t="n">
        <v>1</v>
      </c>
      <c r="AA5817">
        <f>IF(ISNUMBER('IN-CLASS_Lab Part C'!$J$5817),'IN-CLASS_Lab Part C'!$J$5817,NA())</f>
        <v/>
      </c>
    </row>
    <row r="5818">
      <c r="J5818">
        <f>IF(AND(ISNUMBER('Data'!$F$5819),'Data'!$F$5819&lt;&gt;999,'Data'!$F$5819&lt;&gt;""),'Data'!$F$5819,"")</f>
        <v/>
      </c>
      <c r="Z5818" t="n">
        <v>1</v>
      </c>
      <c r="AA5818">
        <f>IF(ISNUMBER('IN-CLASS_Lab Part C'!$J$5818),'IN-CLASS_Lab Part C'!$J$5818,NA())</f>
        <v/>
      </c>
    </row>
    <row r="5819">
      <c r="J5819">
        <f>IF(AND(ISNUMBER('Data'!$F$5820),'Data'!$F$5820&lt;&gt;999,'Data'!$F$5820&lt;&gt;""),'Data'!$F$5820,"")</f>
        <v/>
      </c>
      <c r="Z5819" t="n">
        <v>1</v>
      </c>
      <c r="AA5819">
        <f>IF(ISNUMBER('IN-CLASS_Lab Part C'!$J$5819),'IN-CLASS_Lab Part C'!$J$5819,NA())</f>
        <v/>
      </c>
    </row>
    <row r="5820">
      <c r="J5820">
        <f>IF(AND(ISNUMBER('Data'!$F$5821),'Data'!$F$5821&lt;&gt;999,'Data'!$F$5821&lt;&gt;""),'Data'!$F$5821,"")</f>
        <v/>
      </c>
      <c r="Z5820" t="n">
        <v>1</v>
      </c>
      <c r="AA5820">
        <f>IF(ISNUMBER('IN-CLASS_Lab Part C'!$J$5820),'IN-CLASS_Lab Part C'!$J$5820,NA())</f>
        <v/>
      </c>
    </row>
    <row r="5821">
      <c r="J5821">
        <f>IF(AND(ISNUMBER('Data'!$F$5822),'Data'!$F$5822&lt;&gt;999,'Data'!$F$5822&lt;&gt;""),'Data'!$F$5822,"")</f>
        <v/>
      </c>
      <c r="Z5821" t="n">
        <v>1</v>
      </c>
      <c r="AA5821">
        <f>IF(ISNUMBER('IN-CLASS_Lab Part C'!$J$5821),'IN-CLASS_Lab Part C'!$J$5821,NA())</f>
        <v/>
      </c>
    </row>
    <row r="5822">
      <c r="J5822">
        <f>IF(AND(ISNUMBER('Data'!$F$5823),'Data'!$F$5823&lt;&gt;999,'Data'!$F$5823&lt;&gt;""),'Data'!$F$5823,"")</f>
        <v/>
      </c>
      <c r="Z5822" t="n">
        <v>1</v>
      </c>
      <c r="AA5822">
        <f>IF(ISNUMBER('IN-CLASS_Lab Part C'!$J$5822),'IN-CLASS_Lab Part C'!$J$5822,NA())</f>
        <v/>
      </c>
    </row>
    <row r="5823">
      <c r="J5823">
        <f>IF(AND(ISNUMBER('Data'!$F$5824),'Data'!$F$5824&lt;&gt;999,'Data'!$F$5824&lt;&gt;""),'Data'!$F$5824,"")</f>
        <v/>
      </c>
      <c r="Z5823" t="n">
        <v>1</v>
      </c>
      <c r="AA5823">
        <f>IF(ISNUMBER('IN-CLASS_Lab Part C'!$J$5823),'IN-CLASS_Lab Part C'!$J$5823,NA())</f>
        <v/>
      </c>
    </row>
    <row r="5824">
      <c r="J5824">
        <f>IF(AND(ISNUMBER('Data'!$F$5825),'Data'!$F$5825&lt;&gt;999,'Data'!$F$5825&lt;&gt;""),'Data'!$F$5825,"")</f>
        <v/>
      </c>
      <c r="Z5824" t="n">
        <v>1</v>
      </c>
      <c r="AA5824">
        <f>IF(ISNUMBER('IN-CLASS_Lab Part C'!$J$5824),'IN-CLASS_Lab Part C'!$J$5824,NA())</f>
        <v/>
      </c>
    </row>
    <row r="5825">
      <c r="J5825">
        <f>IF(AND(ISNUMBER('Data'!$F$5826),'Data'!$F$5826&lt;&gt;999,'Data'!$F$5826&lt;&gt;""),'Data'!$F$5826,"")</f>
        <v/>
      </c>
      <c r="Z5825" t="n">
        <v>1</v>
      </c>
      <c r="AA5825">
        <f>IF(ISNUMBER('IN-CLASS_Lab Part C'!$J$5825),'IN-CLASS_Lab Part C'!$J$5825,NA())</f>
        <v/>
      </c>
    </row>
    <row r="5826">
      <c r="J5826">
        <f>IF(AND(ISNUMBER('Data'!$F$5827),'Data'!$F$5827&lt;&gt;999,'Data'!$F$5827&lt;&gt;""),'Data'!$F$5827,"")</f>
        <v/>
      </c>
      <c r="Z5826" t="n">
        <v>1</v>
      </c>
      <c r="AA5826">
        <f>IF(ISNUMBER('IN-CLASS_Lab Part C'!$J$5826),'IN-CLASS_Lab Part C'!$J$5826,NA())</f>
        <v/>
      </c>
    </row>
    <row r="5827">
      <c r="J5827">
        <f>IF(AND(ISNUMBER('Data'!$F$5828),'Data'!$F$5828&lt;&gt;999,'Data'!$F$5828&lt;&gt;""),'Data'!$F$5828,"")</f>
        <v/>
      </c>
      <c r="Z5827" t="n">
        <v>1</v>
      </c>
      <c r="AA5827">
        <f>IF(ISNUMBER('IN-CLASS_Lab Part C'!$J$5827),'IN-CLASS_Lab Part C'!$J$5827,NA())</f>
        <v/>
      </c>
    </row>
    <row r="5828">
      <c r="J5828">
        <f>IF(AND(ISNUMBER('Data'!$F$5829),'Data'!$F$5829&lt;&gt;999,'Data'!$F$5829&lt;&gt;""),'Data'!$F$5829,"")</f>
        <v/>
      </c>
      <c r="Z5828" t="n">
        <v>1</v>
      </c>
      <c r="AA5828">
        <f>IF(ISNUMBER('IN-CLASS_Lab Part C'!$J$5828),'IN-CLASS_Lab Part C'!$J$5828,NA())</f>
        <v/>
      </c>
    </row>
    <row r="5829">
      <c r="J5829">
        <f>IF(AND(ISNUMBER('Data'!$F$5830),'Data'!$F$5830&lt;&gt;999,'Data'!$F$5830&lt;&gt;""),'Data'!$F$5830,"")</f>
        <v/>
      </c>
      <c r="Z5829" t="n">
        <v>1</v>
      </c>
      <c r="AA5829">
        <f>IF(ISNUMBER('IN-CLASS_Lab Part C'!$J$5829),'IN-CLASS_Lab Part C'!$J$5829,NA())</f>
        <v/>
      </c>
    </row>
    <row r="5830">
      <c r="J5830">
        <f>IF(AND(ISNUMBER('Data'!$F$5831),'Data'!$F$5831&lt;&gt;999,'Data'!$F$5831&lt;&gt;""),'Data'!$F$5831,"")</f>
        <v/>
      </c>
      <c r="Z5830" t="n">
        <v>1</v>
      </c>
      <c r="AA5830">
        <f>IF(ISNUMBER('IN-CLASS_Lab Part C'!$J$5830),'IN-CLASS_Lab Part C'!$J$5830,NA())</f>
        <v/>
      </c>
    </row>
    <row r="5831">
      <c r="J5831">
        <f>IF(AND(ISNUMBER('Data'!$F$5832),'Data'!$F$5832&lt;&gt;999,'Data'!$F$5832&lt;&gt;""),'Data'!$F$5832,"")</f>
        <v/>
      </c>
      <c r="Z5831" t="n">
        <v>1</v>
      </c>
      <c r="AA5831">
        <f>IF(ISNUMBER('IN-CLASS_Lab Part C'!$J$5831),'IN-CLASS_Lab Part C'!$J$5831,NA())</f>
        <v/>
      </c>
    </row>
    <row r="5832">
      <c r="J5832">
        <f>IF(AND(ISNUMBER('Data'!$F$5833),'Data'!$F$5833&lt;&gt;999,'Data'!$F$5833&lt;&gt;""),'Data'!$F$5833,"")</f>
        <v/>
      </c>
      <c r="Z5832" t="n">
        <v>1</v>
      </c>
      <c r="AA5832">
        <f>IF(ISNUMBER('IN-CLASS_Lab Part C'!$J$5832),'IN-CLASS_Lab Part C'!$J$5832,NA())</f>
        <v/>
      </c>
    </row>
    <row r="5833">
      <c r="J5833">
        <f>IF(AND(ISNUMBER('Data'!$F$5834),'Data'!$F$5834&lt;&gt;999,'Data'!$F$5834&lt;&gt;""),'Data'!$F$5834,"")</f>
        <v/>
      </c>
      <c r="Z5833" t="n">
        <v>1</v>
      </c>
      <c r="AA5833">
        <f>IF(ISNUMBER('IN-CLASS_Lab Part C'!$J$5833),'IN-CLASS_Lab Part C'!$J$5833,NA())</f>
        <v/>
      </c>
    </row>
    <row r="5834">
      <c r="J5834">
        <f>IF(AND(ISNUMBER('Data'!$F$5835),'Data'!$F$5835&lt;&gt;999,'Data'!$F$5835&lt;&gt;""),'Data'!$F$5835,"")</f>
        <v/>
      </c>
      <c r="Z5834" t="n">
        <v>1</v>
      </c>
      <c r="AA5834">
        <f>IF(ISNUMBER('IN-CLASS_Lab Part C'!$J$5834),'IN-CLASS_Lab Part C'!$J$5834,NA())</f>
        <v/>
      </c>
    </row>
    <row r="5835">
      <c r="J5835">
        <f>IF(AND(ISNUMBER('Data'!$F$5836),'Data'!$F$5836&lt;&gt;999,'Data'!$F$5836&lt;&gt;""),'Data'!$F$5836,"")</f>
        <v/>
      </c>
      <c r="Z5835" t="n">
        <v>1</v>
      </c>
      <c r="AA5835">
        <f>IF(ISNUMBER('IN-CLASS_Lab Part C'!$J$5835),'IN-CLASS_Lab Part C'!$J$5835,NA())</f>
        <v/>
      </c>
    </row>
    <row r="5836">
      <c r="J5836">
        <f>IF(AND(ISNUMBER('Data'!$F$5837),'Data'!$F$5837&lt;&gt;999,'Data'!$F$5837&lt;&gt;""),'Data'!$F$5837,"")</f>
        <v/>
      </c>
      <c r="Z5836" t="n">
        <v>1</v>
      </c>
      <c r="AA5836">
        <f>IF(ISNUMBER('IN-CLASS_Lab Part C'!$J$5836),'IN-CLASS_Lab Part C'!$J$5836,NA())</f>
        <v/>
      </c>
    </row>
    <row r="5837">
      <c r="J5837">
        <f>IF(AND(ISNUMBER('Data'!$F$5838),'Data'!$F$5838&lt;&gt;999,'Data'!$F$5838&lt;&gt;""),'Data'!$F$5838,"")</f>
        <v/>
      </c>
      <c r="Z5837" t="n">
        <v>1</v>
      </c>
      <c r="AA5837">
        <f>IF(ISNUMBER('IN-CLASS_Lab Part C'!$J$5837),'IN-CLASS_Lab Part C'!$J$5837,NA())</f>
        <v/>
      </c>
    </row>
    <row r="5838">
      <c r="J5838">
        <f>IF(AND(ISNUMBER('Data'!$F$5839),'Data'!$F$5839&lt;&gt;999,'Data'!$F$5839&lt;&gt;""),'Data'!$F$5839,"")</f>
        <v/>
      </c>
      <c r="Z5838" t="n">
        <v>1</v>
      </c>
      <c r="AA5838">
        <f>IF(ISNUMBER('IN-CLASS_Lab Part C'!$J$5838),'IN-CLASS_Lab Part C'!$J$5838,NA())</f>
        <v/>
      </c>
    </row>
    <row r="5839">
      <c r="J5839">
        <f>IF(AND(ISNUMBER('Data'!$F$5840),'Data'!$F$5840&lt;&gt;999,'Data'!$F$5840&lt;&gt;""),'Data'!$F$5840,"")</f>
        <v/>
      </c>
      <c r="Z5839" t="n">
        <v>1</v>
      </c>
      <c r="AA5839">
        <f>IF(ISNUMBER('IN-CLASS_Lab Part C'!$J$5839),'IN-CLASS_Lab Part C'!$J$5839,NA())</f>
        <v/>
      </c>
    </row>
    <row r="5840">
      <c r="J5840">
        <f>IF(AND(ISNUMBER('Data'!$F$5841),'Data'!$F$5841&lt;&gt;999,'Data'!$F$5841&lt;&gt;""),'Data'!$F$5841,"")</f>
        <v/>
      </c>
      <c r="Z5840" t="n">
        <v>1</v>
      </c>
      <c r="AA5840">
        <f>IF(ISNUMBER('IN-CLASS_Lab Part C'!$J$5840),'IN-CLASS_Lab Part C'!$J$5840,NA())</f>
        <v/>
      </c>
    </row>
    <row r="5841">
      <c r="J5841">
        <f>IF(AND(ISNUMBER('Data'!$F$5842),'Data'!$F$5842&lt;&gt;999,'Data'!$F$5842&lt;&gt;""),'Data'!$F$5842,"")</f>
        <v/>
      </c>
      <c r="Z5841" t="n">
        <v>1</v>
      </c>
      <c r="AA5841">
        <f>IF(ISNUMBER('IN-CLASS_Lab Part C'!$J$5841),'IN-CLASS_Lab Part C'!$J$5841,NA())</f>
        <v/>
      </c>
    </row>
    <row r="5842">
      <c r="J5842">
        <f>IF(AND(ISNUMBER('Data'!$F$5843),'Data'!$F$5843&lt;&gt;999,'Data'!$F$5843&lt;&gt;""),'Data'!$F$5843,"")</f>
        <v/>
      </c>
      <c r="Z5842" t="n">
        <v>1</v>
      </c>
      <c r="AA5842">
        <f>IF(ISNUMBER('IN-CLASS_Lab Part C'!$J$5842),'IN-CLASS_Lab Part C'!$J$5842,NA())</f>
        <v/>
      </c>
    </row>
    <row r="5843">
      <c r="J5843">
        <f>IF(AND(ISNUMBER('Data'!$F$5844),'Data'!$F$5844&lt;&gt;999,'Data'!$F$5844&lt;&gt;""),'Data'!$F$5844,"")</f>
        <v/>
      </c>
      <c r="Z5843" t="n">
        <v>1</v>
      </c>
      <c r="AA5843">
        <f>IF(ISNUMBER('IN-CLASS_Lab Part C'!$J$5843),'IN-CLASS_Lab Part C'!$J$5843,NA())</f>
        <v/>
      </c>
    </row>
    <row r="5844">
      <c r="J5844">
        <f>IF(AND(ISNUMBER('Data'!$F$5845),'Data'!$F$5845&lt;&gt;999,'Data'!$F$5845&lt;&gt;""),'Data'!$F$5845,"")</f>
        <v/>
      </c>
      <c r="Z5844" t="n">
        <v>1</v>
      </c>
      <c r="AA5844">
        <f>IF(ISNUMBER('IN-CLASS_Lab Part C'!$J$5844),'IN-CLASS_Lab Part C'!$J$5844,NA())</f>
        <v/>
      </c>
    </row>
    <row r="5845">
      <c r="J5845">
        <f>IF(AND(ISNUMBER('Data'!$F$5846),'Data'!$F$5846&lt;&gt;999,'Data'!$F$5846&lt;&gt;""),'Data'!$F$5846,"")</f>
        <v/>
      </c>
      <c r="Z5845" t="n">
        <v>1</v>
      </c>
      <c r="AA5845">
        <f>IF(ISNUMBER('IN-CLASS_Lab Part C'!$J$5845),'IN-CLASS_Lab Part C'!$J$5845,NA())</f>
        <v/>
      </c>
    </row>
    <row r="5846">
      <c r="J5846">
        <f>IF(AND(ISNUMBER('Data'!$F$5847),'Data'!$F$5847&lt;&gt;999,'Data'!$F$5847&lt;&gt;""),'Data'!$F$5847,"")</f>
        <v/>
      </c>
      <c r="Z5846" t="n">
        <v>1</v>
      </c>
      <c r="AA5846">
        <f>IF(ISNUMBER('IN-CLASS_Lab Part C'!$J$5846),'IN-CLASS_Lab Part C'!$J$5846,NA())</f>
        <v/>
      </c>
    </row>
    <row r="5847">
      <c r="J5847">
        <f>IF(AND(ISNUMBER('Data'!$F$5848),'Data'!$F$5848&lt;&gt;999,'Data'!$F$5848&lt;&gt;""),'Data'!$F$5848,"")</f>
        <v/>
      </c>
      <c r="Z5847" t="n">
        <v>1</v>
      </c>
      <c r="AA5847">
        <f>IF(ISNUMBER('IN-CLASS_Lab Part C'!$J$5847),'IN-CLASS_Lab Part C'!$J$5847,NA())</f>
        <v/>
      </c>
    </row>
    <row r="5848">
      <c r="J5848">
        <f>IF(AND(ISNUMBER('Data'!$F$5849),'Data'!$F$5849&lt;&gt;999,'Data'!$F$5849&lt;&gt;""),'Data'!$F$5849,"")</f>
        <v/>
      </c>
      <c r="Z5848" t="n">
        <v>1</v>
      </c>
      <c r="AA5848">
        <f>IF(ISNUMBER('IN-CLASS_Lab Part C'!$J$5848),'IN-CLASS_Lab Part C'!$J$5848,NA())</f>
        <v/>
      </c>
    </row>
    <row r="5849">
      <c r="J5849">
        <f>IF(AND(ISNUMBER('Data'!$F$5850),'Data'!$F$5850&lt;&gt;999,'Data'!$F$5850&lt;&gt;""),'Data'!$F$5850,"")</f>
        <v/>
      </c>
      <c r="Z5849" t="n">
        <v>1</v>
      </c>
      <c r="AA5849">
        <f>IF(ISNUMBER('IN-CLASS_Lab Part C'!$J$5849),'IN-CLASS_Lab Part C'!$J$5849,NA())</f>
        <v/>
      </c>
    </row>
    <row r="5850">
      <c r="J5850">
        <f>IF(AND(ISNUMBER('Data'!$F$5851),'Data'!$F$5851&lt;&gt;999,'Data'!$F$5851&lt;&gt;""),'Data'!$F$5851,"")</f>
        <v/>
      </c>
      <c r="Z5850" t="n">
        <v>1</v>
      </c>
      <c r="AA5850">
        <f>IF(ISNUMBER('IN-CLASS_Lab Part C'!$J$5850),'IN-CLASS_Lab Part C'!$J$5850,NA())</f>
        <v/>
      </c>
    </row>
    <row r="5851">
      <c r="J5851">
        <f>IF(AND(ISNUMBER('Data'!$F$5852),'Data'!$F$5852&lt;&gt;999,'Data'!$F$5852&lt;&gt;""),'Data'!$F$5852,"")</f>
        <v/>
      </c>
      <c r="Z5851" t="n">
        <v>1</v>
      </c>
      <c r="AA5851">
        <f>IF(ISNUMBER('IN-CLASS_Lab Part C'!$J$5851),'IN-CLASS_Lab Part C'!$J$5851,NA())</f>
        <v/>
      </c>
    </row>
    <row r="5852">
      <c r="J5852">
        <f>IF(AND(ISNUMBER('Data'!$F$5853),'Data'!$F$5853&lt;&gt;999,'Data'!$F$5853&lt;&gt;""),'Data'!$F$5853,"")</f>
        <v/>
      </c>
      <c r="Z5852" t="n">
        <v>1</v>
      </c>
      <c r="AA5852">
        <f>IF(ISNUMBER('IN-CLASS_Lab Part C'!$J$5852),'IN-CLASS_Lab Part C'!$J$5852,NA())</f>
        <v/>
      </c>
    </row>
    <row r="5853">
      <c r="J5853">
        <f>IF(AND(ISNUMBER('Data'!$F$5854),'Data'!$F$5854&lt;&gt;999,'Data'!$F$5854&lt;&gt;""),'Data'!$F$5854,"")</f>
        <v/>
      </c>
      <c r="Z5853" t="n">
        <v>1</v>
      </c>
      <c r="AA5853">
        <f>IF(ISNUMBER('IN-CLASS_Lab Part C'!$J$5853),'IN-CLASS_Lab Part C'!$J$5853,NA())</f>
        <v/>
      </c>
    </row>
    <row r="5854">
      <c r="J5854">
        <f>IF(AND(ISNUMBER('Data'!$F$5855),'Data'!$F$5855&lt;&gt;999,'Data'!$F$5855&lt;&gt;""),'Data'!$F$5855,"")</f>
        <v/>
      </c>
      <c r="Z5854" t="n">
        <v>1</v>
      </c>
      <c r="AA5854">
        <f>IF(ISNUMBER('IN-CLASS_Lab Part C'!$J$5854),'IN-CLASS_Lab Part C'!$J$5854,NA())</f>
        <v/>
      </c>
    </row>
    <row r="5855">
      <c r="J5855">
        <f>IF(AND(ISNUMBER('Data'!$F$5856),'Data'!$F$5856&lt;&gt;999,'Data'!$F$5856&lt;&gt;""),'Data'!$F$5856,"")</f>
        <v/>
      </c>
      <c r="Z5855" t="n">
        <v>1</v>
      </c>
      <c r="AA5855">
        <f>IF(ISNUMBER('IN-CLASS_Lab Part C'!$J$5855),'IN-CLASS_Lab Part C'!$J$5855,NA())</f>
        <v/>
      </c>
    </row>
    <row r="5856">
      <c r="J5856">
        <f>IF(AND(ISNUMBER('Data'!$F$5857),'Data'!$F$5857&lt;&gt;999,'Data'!$F$5857&lt;&gt;""),'Data'!$F$5857,"")</f>
        <v/>
      </c>
      <c r="Z5856" t="n">
        <v>1</v>
      </c>
      <c r="AA5856">
        <f>IF(ISNUMBER('IN-CLASS_Lab Part C'!$J$5856),'IN-CLASS_Lab Part C'!$J$5856,NA())</f>
        <v/>
      </c>
    </row>
    <row r="5857">
      <c r="J5857">
        <f>IF(AND(ISNUMBER('Data'!$F$5858),'Data'!$F$5858&lt;&gt;999,'Data'!$F$5858&lt;&gt;""),'Data'!$F$5858,"")</f>
        <v/>
      </c>
      <c r="Z5857" t="n">
        <v>1</v>
      </c>
      <c r="AA5857">
        <f>IF(ISNUMBER('IN-CLASS_Lab Part C'!$J$5857),'IN-CLASS_Lab Part C'!$J$5857,NA())</f>
        <v/>
      </c>
    </row>
    <row r="5858">
      <c r="J5858">
        <f>IF(AND(ISNUMBER('Data'!$F$5859),'Data'!$F$5859&lt;&gt;999,'Data'!$F$5859&lt;&gt;""),'Data'!$F$5859,"")</f>
        <v/>
      </c>
      <c r="Z5858" t="n">
        <v>1</v>
      </c>
      <c r="AA5858">
        <f>IF(ISNUMBER('IN-CLASS_Lab Part C'!$J$5858),'IN-CLASS_Lab Part C'!$J$5858,NA())</f>
        <v/>
      </c>
    </row>
    <row r="5859">
      <c r="J5859">
        <f>IF(AND(ISNUMBER('Data'!$F$5860),'Data'!$F$5860&lt;&gt;999,'Data'!$F$5860&lt;&gt;""),'Data'!$F$5860,"")</f>
        <v/>
      </c>
      <c r="Z5859" t="n">
        <v>1</v>
      </c>
      <c r="AA5859">
        <f>IF(ISNUMBER('IN-CLASS_Lab Part C'!$J$5859),'IN-CLASS_Lab Part C'!$J$5859,NA())</f>
        <v/>
      </c>
    </row>
    <row r="5860">
      <c r="J5860">
        <f>IF(AND(ISNUMBER('Data'!$F$5861),'Data'!$F$5861&lt;&gt;999,'Data'!$F$5861&lt;&gt;""),'Data'!$F$5861,"")</f>
        <v/>
      </c>
      <c r="Z5860" t="n">
        <v>1</v>
      </c>
      <c r="AA5860">
        <f>IF(ISNUMBER('IN-CLASS_Lab Part C'!$J$5860),'IN-CLASS_Lab Part C'!$J$5860,NA())</f>
        <v/>
      </c>
    </row>
    <row r="5861">
      <c r="J5861">
        <f>IF(AND(ISNUMBER('Data'!$F$5862),'Data'!$F$5862&lt;&gt;999,'Data'!$F$5862&lt;&gt;""),'Data'!$F$5862,"")</f>
        <v/>
      </c>
      <c r="Z5861" t="n">
        <v>1</v>
      </c>
      <c r="AA5861">
        <f>IF(ISNUMBER('IN-CLASS_Lab Part C'!$J$5861),'IN-CLASS_Lab Part C'!$J$5861,NA())</f>
        <v/>
      </c>
    </row>
    <row r="5862">
      <c r="J5862">
        <f>IF(AND(ISNUMBER('Data'!$F$5863),'Data'!$F$5863&lt;&gt;999,'Data'!$F$5863&lt;&gt;""),'Data'!$F$5863,"")</f>
        <v/>
      </c>
      <c r="Z5862" t="n">
        <v>1</v>
      </c>
      <c r="AA5862">
        <f>IF(ISNUMBER('IN-CLASS_Lab Part C'!$J$5862),'IN-CLASS_Lab Part C'!$J$5862,NA())</f>
        <v/>
      </c>
    </row>
    <row r="5863">
      <c r="J5863">
        <f>IF(AND(ISNUMBER('Data'!$F$5864),'Data'!$F$5864&lt;&gt;999,'Data'!$F$5864&lt;&gt;""),'Data'!$F$5864,"")</f>
        <v/>
      </c>
      <c r="Z5863" t="n">
        <v>1</v>
      </c>
      <c r="AA5863">
        <f>IF(ISNUMBER('IN-CLASS_Lab Part C'!$J$5863),'IN-CLASS_Lab Part C'!$J$5863,NA())</f>
        <v/>
      </c>
    </row>
    <row r="5864">
      <c r="J5864">
        <f>IF(AND(ISNUMBER('Data'!$F$5865),'Data'!$F$5865&lt;&gt;999,'Data'!$F$5865&lt;&gt;""),'Data'!$F$5865,"")</f>
        <v/>
      </c>
      <c r="Z5864" t="n">
        <v>1</v>
      </c>
      <c r="AA5864">
        <f>IF(ISNUMBER('IN-CLASS_Lab Part C'!$J$5864),'IN-CLASS_Lab Part C'!$J$5864,NA())</f>
        <v/>
      </c>
    </row>
    <row r="5865">
      <c r="J5865">
        <f>IF(AND(ISNUMBER('Data'!$F$5866),'Data'!$F$5866&lt;&gt;999,'Data'!$F$5866&lt;&gt;""),'Data'!$F$5866,"")</f>
        <v/>
      </c>
      <c r="Z5865" t="n">
        <v>1</v>
      </c>
      <c r="AA5865">
        <f>IF(ISNUMBER('IN-CLASS_Lab Part C'!$J$5865),'IN-CLASS_Lab Part C'!$J$5865,NA())</f>
        <v/>
      </c>
    </row>
    <row r="5866">
      <c r="J5866">
        <f>IF(AND(ISNUMBER('Data'!$F$5867),'Data'!$F$5867&lt;&gt;999,'Data'!$F$5867&lt;&gt;""),'Data'!$F$5867,"")</f>
        <v/>
      </c>
      <c r="Z5866" t="n">
        <v>1</v>
      </c>
      <c r="AA5866">
        <f>IF(ISNUMBER('IN-CLASS_Lab Part C'!$J$5866),'IN-CLASS_Lab Part C'!$J$5866,NA())</f>
        <v/>
      </c>
    </row>
    <row r="5867">
      <c r="J5867">
        <f>IF(AND(ISNUMBER('Data'!$F$5868),'Data'!$F$5868&lt;&gt;999,'Data'!$F$5868&lt;&gt;""),'Data'!$F$5868,"")</f>
        <v/>
      </c>
      <c r="Z5867" t="n">
        <v>1</v>
      </c>
      <c r="AA5867">
        <f>IF(ISNUMBER('IN-CLASS_Lab Part C'!$J$5867),'IN-CLASS_Lab Part C'!$J$5867,NA())</f>
        <v/>
      </c>
    </row>
    <row r="5868">
      <c r="J5868">
        <f>IF(AND(ISNUMBER('Data'!$F$5869),'Data'!$F$5869&lt;&gt;999,'Data'!$F$5869&lt;&gt;""),'Data'!$F$5869,"")</f>
        <v/>
      </c>
      <c r="Z5868" t="n">
        <v>1</v>
      </c>
      <c r="AA5868">
        <f>IF(ISNUMBER('IN-CLASS_Lab Part C'!$J$5868),'IN-CLASS_Lab Part C'!$J$5868,NA())</f>
        <v/>
      </c>
    </row>
    <row r="5869">
      <c r="J5869">
        <f>IF(AND(ISNUMBER('Data'!$F$5870),'Data'!$F$5870&lt;&gt;999,'Data'!$F$5870&lt;&gt;""),'Data'!$F$5870,"")</f>
        <v/>
      </c>
      <c r="Z5869" t="n">
        <v>1</v>
      </c>
      <c r="AA5869">
        <f>IF(ISNUMBER('IN-CLASS_Lab Part C'!$J$5869),'IN-CLASS_Lab Part C'!$J$5869,NA())</f>
        <v/>
      </c>
    </row>
    <row r="5870">
      <c r="J5870">
        <f>IF(AND(ISNUMBER('Data'!$F$5871),'Data'!$F$5871&lt;&gt;999,'Data'!$F$5871&lt;&gt;""),'Data'!$F$5871,"")</f>
        <v/>
      </c>
      <c r="Z5870" t="n">
        <v>1</v>
      </c>
      <c r="AA5870">
        <f>IF(ISNUMBER('IN-CLASS_Lab Part C'!$J$5870),'IN-CLASS_Lab Part C'!$J$5870,NA())</f>
        <v/>
      </c>
    </row>
    <row r="5871">
      <c r="J5871">
        <f>IF(AND(ISNUMBER('Data'!$F$5872),'Data'!$F$5872&lt;&gt;999,'Data'!$F$5872&lt;&gt;""),'Data'!$F$5872,"")</f>
        <v/>
      </c>
      <c r="Z5871" t="n">
        <v>1</v>
      </c>
      <c r="AA5871">
        <f>IF(ISNUMBER('IN-CLASS_Lab Part C'!$J$5871),'IN-CLASS_Lab Part C'!$J$5871,NA())</f>
        <v/>
      </c>
    </row>
    <row r="5872">
      <c r="J5872">
        <f>IF(AND(ISNUMBER('Data'!$F$5873),'Data'!$F$5873&lt;&gt;999,'Data'!$F$5873&lt;&gt;""),'Data'!$F$5873,"")</f>
        <v/>
      </c>
      <c r="Z5872" t="n">
        <v>1</v>
      </c>
      <c r="AA5872">
        <f>IF(ISNUMBER('IN-CLASS_Lab Part C'!$J$5872),'IN-CLASS_Lab Part C'!$J$5872,NA())</f>
        <v/>
      </c>
    </row>
    <row r="5873">
      <c r="J5873">
        <f>IF(AND(ISNUMBER('Data'!$F$5874),'Data'!$F$5874&lt;&gt;999,'Data'!$F$5874&lt;&gt;""),'Data'!$F$5874,"")</f>
        <v/>
      </c>
      <c r="Z5873" t="n">
        <v>1</v>
      </c>
      <c r="AA5873">
        <f>IF(ISNUMBER('IN-CLASS_Lab Part C'!$J$5873),'IN-CLASS_Lab Part C'!$J$5873,NA())</f>
        <v/>
      </c>
    </row>
    <row r="5874">
      <c r="J5874">
        <f>IF(AND(ISNUMBER('Data'!$F$5875),'Data'!$F$5875&lt;&gt;999,'Data'!$F$5875&lt;&gt;""),'Data'!$F$5875,"")</f>
        <v/>
      </c>
      <c r="Z5874" t="n">
        <v>1</v>
      </c>
      <c r="AA5874">
        <f>IF(ISNUMBER('IN-CLASS_Lab Part C'!$J$5874),'IN-CLASS_Lab Part C'!$J$5874,NA())</f>
        <v/>
      </c>
    </row>
    <row r="5875">
      <c r="J5875">
        <f>IF(AND(ISNUMBER('Data'!$F$5876),'Data'!$F$5876&lt;&gt;999,'Data'!$F$5876&lt;&gt;""),'Data'!$F$5876,"")</f>
        <v/>
      </c>
      <c r="Z5875" t="n">
        <v>1</v>
      </c>
      <c r="AA5875">
        <f>IF(ISNUMBER('IN-CLASS_Lab Part C'!$J$5875),'IN-CLASS_Lab Part C'!$J$5875,NA())</f>
        <v/>
      </c>
    </row>
    <row r="5876">
      <c r="J5876">
        <f>IF(AND(ISNUMBER('Data'!$F$5877),'Data'!$F$5877&lt;&gt;999,'Data'!$F$5877&lt;&gt;""),'Data'!$F$5877,"")</f>
        <v/>
      </c>
      <c r="Z5876" t="n">
        <v>1</v>
      </c>
      <c r="AA5876">
        <f>IF(ISNUMBER('IN-CLASS_Lab Part C'!$J$5876),'IN-CLASS_Lab Part C'!$J$5876,NA())</f>
        <v/>
      </c>
    </row>
    <row r="5877">
      <c r="J5877">
        <f>IF(AND(ISNUMBER('Data'!$F$5878),'Data'!$F$5878&lt;&gt;999,'Data'!$F$5878&lt;&gt;""),'Data'!$F$5878,"")</f>
        <v/>
      </c>
      <c r="Z5877" t="n">
        <v>1</v>
      </c>
      <c r="AA5877">
        <f>IF(ISNUMBER('IN-CLASS_Lab Part C'!$J$5877),'IN-CLASS_Lab Part C'!$J$5877,NA())</f>
        <v/>
      </c>
    </row>
    <row r="5878">
      <c r="J5878">
        <f>IF(AND(ISNUMBER('Data'!$F$5879),'Data'!$F$5879&lt;&gt;999,'Data'!$F$5879&lt;&gt;""),'Data'!$F$5879,"")</f>
        <v/>
      </c>
      <c r="Z5878" t="n">
        <v>1</v>
      </c>
      <c r="AA5878">
        <f>IF(ISNUMBER('IN-CLASS_Lab Part C'!$J$5878),'IN-CLASS_Lab Part C'!$J$5878,NA())</f>
        <v/>
      </c>
    </row>
    <row r="5879">
      <c r="J5879">
        <f>IF(AND(ISNUMBER('Data'!$F$5880),'Data'!$F$5880&lt;&gt;999,'Data'!$F$5880&lt;&gt;""),'Data'!$F$5880,"")</f>
        <v/>
      </c>
      <c r="Z5879" t="n">
        <v>1</v>
      </c>
      <c r="AA5879">
        <f>IF(ISNUMBER('IN-CLASS_Lab Part C'!$J$5879),'IN-CLASS_Lab Part C'!$J$5879,NA())</f>
        <v/>
      </c>
    </row>
    <row r="5880">
      <c r="J5880">
        <f>IF(AND(ISNUMBER('Data'!$F$5881),'Data'!$F$5881&lt;&gt;999,'Data'!$F$5881&lt;&gt;""),'Data'!$F$5881,"")</f>
        <v/>
      </c>
      <c r="Z5880" t="n">
        <v>1</v>
      </c>
      <c r="AA5880">
        <f>IF(ISNUMBER('IN-CLASS_Lab Part C'!$J$5880),'IN-CLASS_Lab Part C'!$J$5880,NA())</f>
        <v/>
      </c>
    </row>
    <row r="5881">
      <c r="J5881">
        <f>IF(AND(ISNUMBER('Data'!$F$5882),'Data'!$F$5882&lt;&gt;999,'Data'!$F$5882&lt;&gt;""),'Data'!$F$5882,"")</f>
        <v/>
      </c>
      <c r="Z5881" t="n">
        <v>1</v>
      </c>
      <c r="AA5881">
        <f>IF(ISNUMBER('IN-CLASS_Lab Part C'!$J$5881),'IN-CLASS_Lab Part C'!$J$5881,NA())</f>
        <v/>
      </c>
    </row>
    <row r="5882">
      <c r="J5882">
        <f>IF(AND(ISNUMBER('Data'!$F$5883),'Data'!$F$5883&lt;&gt;999,'Data'!$F$5883&lt;&gt;""),'Data'!$F$5883,"")</f>
        <v/>
      </c>
      <c r="Z5882" t="n">
        <v>1</v>
      </c>
      <c r="AA5882">
        <f>IF(ISNUMBER('IN-CLASS_Lab Part C'!$J$5882),'IN-CLASS_Lab Part C'!$J$5882,NA())</f>
        <v/>
      </c>
    </row>
    <row r="5883">
      <c r="J5883">
        <f>IF(AND(ISNUMBER('Data'!$F$5884),'Data'!$F$5884&lt;&gt;999,'Data'!$F$5884&lt;&gt;""),'Data'!$F$5884,"")</f>
        <v/>
      </c>
      <c r="Z5883" t="n">
        <v>1</v>
      </c>
      <c r="AA5883">
        <f>IF(ISNUMBER('IN-CLASS_Lab Part C'!$J$5883),'IN-CLASS_Lab Part C'!$J$5883,NA())</f>
        <v/>
      </c>
    </row>
    <row r="5884">
      <c r="J5884">
        <f>IF(AND(ISNUMBER('Data'!$F$5885),'Data'!$F$5885&lt;&gt;999,'Data'!$F$5885&lt;&gt;""),'Data'!$F$5885,"")</f>
        <v/>
      </c>
      <c r="Z5884" t="n">
        <v>1</v>
      </c>
      <c r="AA5884">
        <f>IF(ISNUMBER('IN-CLASS_Lab Part C'!$J$5884),'IN-CLASS_Lab Part C'!$J$5884,NA())</f>
        <v/>
      </c>
    </row>
    <row r="5885">
      <c r="J5885">
        <f>IF(AND(ISNUMBER('Data'!$F$5886),'Data'!$F$5886&lt;&gt;999,'Data'!$F$5886&lt;&gt;""),'Data'!$F$5886,"")</f>
        <v/>
      </c>
      <c r="Z5885" t="n">
        <v>1</v>
      </c>
      <c r="AA5885">
        <f>IF(ISNUMBER('IN-CLASS_Lab Part C'!$J$5885),'IN-CLASS_Lab Part C'!$J$5885,NA())</f>
        <v/>
      </c>
    </row>
    <row r="5886">
      <c r="J5886">
        <f>IF(AND(ISNUMBER('Data'!$F$5887),'Data'!$F$5887&lt;&gt;999,'Data'!$F$5887&lt;&gt;""),'Data'!$F$5887,"")</f>
        <v/>
      </c>
      <c r="Z5886" t="n">
        <v>1</v>
      </c>
      <c r="AA5886">
        <f>IF(ISNUMBER('IN-CLASS_Lab Part C'!$J$5886),'IN-CLASS_Lab Part C'!$J$5886,NA())</f>
        <v/>
      </c>
    </row>
    <row r="5887">
      <c r="J5887">
        <f>IF(AND(ISNUMBER('Data'!$F$5888),'Data'!$F$5888&lt;&gt;999,'Data'!$F$5888&lt;&gt;""),'Data'!$F$5888,"")</f>
        <v/>
      </c>
      <c r="Z5887" t="n">
        <v>1</v>
      </c>
      <c r="AA5887">
        <f>IF(ISNUMBER('IN-CLASS_Lab Part C'!$J$5887),'IN-CLASS_Lab Part C'!$J$5887,NA())</f>
        <v/>
      </c>
    </row>
    <row r="5888">
      <c r="J5888">
        <f>IF(AND(ISNUMBER('Data'!$F$5889),'Data'!$F$5889&lt;&gt;999,'Data'!$F$5889&lt;&gt;""),'Data'!$F$5889,"")</f>
        <v/>
      </c>
      <c r="Z5888" t="n">
        <v>1</v>
      </c>
      <c r="AA5888">
        <f>IF(ISNUMBER('IN-CLASS_Lab Part C'!$J$5888),'IN-CLASS_Lab Part C'!$J$5888,NA())</f>
        <v/>
      </c>
    </row>
    <row r="5889">
      <c r="J5889">
        <f>IF(AND(ISNUMBER('Data'!$F$5890),'Data'!$F$5890&lt;&gt;999,'Data'!$F$5890&lt;&gt;""),'Data'!$F$5890,"")</f>
        <v/>
      </c>
      <c r="Z5889" t="n">
        <v>1</v>
      </c>
      <c r="AA5889">
        <f>IF(ISNUMBER('IN-CLASS_Lab Part C'!$J$5889),'IN-CLASS_Lab Part C'!$J$5889,NA())</f>
        <v/>
      </c>
    </row>
    <row r="5890">
      <c r="J5890">
        <f>IF(AND(ISNUMBER('Data'!$F$5891),'Data'!$F$5891&lt;&gt;999,'Data'!$F$5891&lt;&gt;""),'Data'!$F$5891,"")</f>
        <v/>
      </c>
      <c r="Z5890" t="n">
        <v>1</v>
      </c>
      <c r="AA5890">
        <f>IF(ISNUMBER('IN-CLASS_Lab Part C'!$J$5890),'IN-CLASS_Lab Part C'!$J$5890,NA())</f>
        <v/>
      </c>
    </row>
    <row r="5891">
      <c r="J5891">
        <f>IF(AND(ISNUMBER('Data'!$F$5892),'Data'!$F$5892&lt;&gt;999,'Data'!$F$5892&lt;&gt;""),'Data'!$F$5892,"")</f>
        <v/>
      </c>
      <c r="Z5891" t="n">
        <v>1</v>
      </c>
      <c r="AA5891">
        <f>IF(ISNUMBER('IN-CLASS_Lab Part C'!$J$5891),'IN-CLASS_Lab Part C'!$J$5891,NA())</f>
        <v/>
      </c>
    </row>
    <row r="5892">
      <c r="J5892">
        <f>IF(AND(ISNUMBER('Data'!$F$5893),'Data'!$F$5893&lt;&gt;999,'Data'!$F$5893&lt;&gt;""),'Data'!$F$5893,"")</f>
        <v/>
      </c>
      <c r="Z5892" t="n">
        <v>1</v>
      </c>
      <c r="AA5892">
        <f>IF(ISNUMBER('IN-CLASS_Lab Part C'!$J$5892),'IN-CLASS_Lab Part C'!$J$5892,NA())</f>
        <v/>
      </c>
    </row>
    <row r="5893">
      <c r="J5893">
        <f>IF(AND(ISNUMBER('Data'!$F$5894),'Data'!$F$5894&lt;&gt;999,'Data'!$F$5894&lt;&gt;""),'Data'!$F$5894,"")</f>
        <v/>
      </c>
      <c r="Z5893" t="n">
        <v>1</v>
      </c>
      <c r="AA5893">
        <f>IF(ISNUMBER('IN-CLASS_Lab Part C'!$J$5893),'IN-CLASS_Lab Part C'!$J$5893,NA())</f>
        <v/>
      </c>
    </row>
    <row r="5894">
      <c r="J5894">
        <f>IF(AND(ISNUMBER('Data'!$F$5895),'Data'!$F$5895&lt;&gt;999,'Data'!$F$5895&lt;&gt;""),'Data'!$F$5895,"")</f>
        <v/>
      </c>
      <c r="Z5894" t="n">
        <v>1</v>
      </c>
      <c r="AA5894">
        <f>IF(ISNUMBER('IN-CLASS_Lab Part C'!$J$5894),'IN-CLASS_Lab Part C'!$J$5894,NA())</f>
        <v/>
      </c>
    </row>
    <row r="5895">
      <c r="J5895">
        <f>IF(AND(ISNUMBER('Data'!$F$5896),'Data'!$F$5896&lt;&gt;999,'Data'!$F$5896&lt;&gt;""),'Data'!$F$5896,"")</f>
        <v/>
      </c>
      <c r="Z5895" t="n">
        <v>1</v>
      </c>
      <c r="AA5895">
        <f>IF(ISNUMBER('IN-CLASS_Lab Part C'!$J$5895),'IN-CLASS_Lab Part C'!$J$5895,NA())</f>
        <v/>
      </c>
    </row>
    <row r="5896">
      <c r="J5896">
        <f>IF(AND(ISNUMBER('Data'!$F$5897),'Data'!$F$5897&lt;&gt;999,'Data'!$F$5897&lt;&gt;""),'Data'!$F$5897,"")</f>
        <v/>
      </c>
      <c r="Z5896" t="n">
        <v>1</v>
      </c>
      <c r="AA5896">
        <f>IF(ISNUMBER('IN-CLASS_Lab Part C'!$J$5896),'IN-CLASS_Lab Part C'!$J$5896,NA())</f>
        <v/>
      </c>
    </row>
    <row r="5897">
      <c r="J5897">
        <f>IF(AND(ISNUMBER('Data'!$F$5898),'Data'!$F$5898&lt;&gt;999,'Data'!$F$5898&lt;&gt;""),'Data'!$F$5898,"")</f>
        <v/>
      </c>
      <c r="Z5897" t="n">
        <v>1</v>
      </c>
      <c r="AA5897">
        <f>IF(ISNUMBER('IN-CLASS_Lab Part C'!$J$5897),'IN-CLASS_Lab Part C'!$J$5897,NA())</f>
        <v/>
      </c>
    </row>
    <row r="5898">
      <c r="J5898">
        <f>IF(AND(ISNUMBER('Data'!$F$5899),'Data'!$F$5899&lt;&gt;999,'Data'!$F$5899&lt;&gt;""),'Data'!$F$5899,"")</f>
        <v/>
      </c>
      <c r="Z5898" t="n">
        <v>1</v>
      </c>
      <c r="AA5898">
        <f>IF(ISNUMBER('IN-CLASS_Lab Part C'!$J$5898),'IN-CLASS_Lab Part C'!$J$5898,NA())</f>
        <v/>
      </c>
    </row>
    <row r="5899">
      <c r="J5899">
        <f>IF(AND(ISNUMBER('Data'!$F$5900),'Data'!$F$5900&lt;&gt;999,'Data'!$F$5900&lt;&gt;""),'Data'!$F$5900,"")</f>
        <v/>
      </c>
      <c r="Z5899" t="n">
        <v>1</v>
      </c>
      <c r="AA5899">
        <f>IF(ISNUMBER('IN-CLASS_Lab Part C'!$J$5899),'IN-CLASS_Lab Part C'!$J$5899,NA())</f>
        <v/>
      </c>
    </row>
    <row r="5900">
      <c r="J5900">
        <f>IF(AND(ISNUMBER('Data'!$F$5901),'Data'!$F$5901&lt;&gt;999,'Data'!$F$5901&lt;&gt;""),'Data'!$F$5901,"")</f>
        <v/>
      </c>
      <c r="Z5900" t="n">
        <v>1</v>
      </c>
      <c r="AA5900">
        <f>IF(ISNUMBER('IN-CLASS_Lab Part C'!$J$5900),'IN-CLASS_Lab Part C'!$J$5900,NA())</f>
        <v/>
      </c>
    </row>
    <row r="5901">
      <c r="J5901">
        <f>IF(AND(ISNUMBER('Data'!$F$5902),'Data'!$F$5902&lt;&gt;999,'Data'!$F$5902&lt;&gt;""),'Data'!$F$5902,"")</f>
        <v/>
      </c>
      <c r="Z5901" t="n">
        <v>1</v>
      </c>
      <c r="AA5901">
        <f>IF(ISNUMBER('IN-CLASS_Lab Part C'!$J$5901),'IN-CLASS_Lab Part C'!$J$5901,NA())</f>
        <v/>
      </c>
    </row>
    <row r="5902">
      <c r="J5902">
        <f>IF(AND(ISNUMBER('Data'!$F$5903),'Data'!$F$5903&lt;&gt;999,'Data'!$F$5903&lt;&gt;""),'Data'!$F$5903,"")</f>
        <v/>
      </c>
      <c r="Z5902" t="n">
        <v>1</v>
      </c>
      <c r="AA5902">
        <f>IF(ISNUMBER('IN-CLASS_Lab Part C'!$J$5902),'IN-CLASS_Lab Part C'!$J$5902,NA())</f>
        <v/>
      </c>
    </row>
    <row r="5903">
      <c r="J5903">
        <f>IF(AND(ISNUMBER('Data'!$F$5904),'Data'!$F$5904&lt;&gt;999,'Data'!$F$5904&lt;&gt;""),'Data'!$F$5904,"")</f>
        <v/>
      </c>
      <c r="Z5903" t="n">
        <v>1</v>
      </c>
      <c r="AA5903">
        <f>IF(ISNUMBER('IN-CLASS_Lab Part C'!$J$5903),'IN-CLASS_Lab Part C'!$J$5903,NA())</f>
        <v/>
      </c>
    </row>
    <row r="5904">
      <c r="J5904">
        <f>IF(AND(ISNUMBER('Data'!$F$5905),'Data'!$F$5905&lt;&gt;999,'Data'!$F$5905&lt;&gt;""),'Data'!$F$5905,"")</f>
        <v/>
      </c>
      <c r="Z5904" t="n">
        <v>1</v>
      </c>
      <c r="AA5904">
        <f>IF(ISNUMBER('IN-CLASS_Lab Part C'!$J$5904),'IN-CLASS_Lab Part C'!$J$5904,NA())</f>
        <v/>
      </c>
    </row>
    <row r="5905">
      <c r="J5905">
        <f>IF(AND(ISNUMBER('Data'!$F$5906),'Data'!$F$5906&lt;&gt;999,'Data'!$F$5906&lt;&gt;""),'Data'!$F$5906,"")</f>
        <v/>
      </c>
      <c r="Z5905" t="n">
        <v>1</v>
      </c>
      <c r="AA5905">
        <f>IF(ISNUMBER('IN-CLASS_Lab Part C'!$J$5905),'IN-CLASS_Lab Part C'!$J$5905,NA())</f>
        <v/>
      </c>
    </row>
    <row r="5906">
      <c r="J5906">
        <f>IF(AND(ISNUMBER('Data'!$F$5907),'Data'!$F$5907&lt;&gt;999,'Data'!$F$5907&lt;&gt;""),'Data'!$F$5907,"")</f>
        <v/>
      </c>
      <c r="Z5906" t="n">
        <v>1</v>
      </c>
      <c r="AA5906">
        <f>IF(ISNUMBER('IN-CLASS_Lab Part C'!$J$5906),'IN-CLASS_Lab Part C'!$J$5906,NA())</f>
        <v/>
      </c>
    </row>
    <row r="5907">
      <c r="J5907">
        <f>IF(AND(ISNUMBER('Data'!$F$5908),'Data'!$F$5908&lt;&gt;999,'Data'!$F$5908&lt;&gt;""),'Data'!$F$5908,"")</f>
        <v/>
      </c>
      <c r="Z5907" t="n">
        <v>1</v>
      </c>
      <c r="AA5907">
        <f>IF(ISNUMBER('IN-CLASS_Lab Part C'!$J$5907),'IN-CLASS_Lab Part C'!$J$5907,NA())</f>
        <v/>
      </c>
    </row>
    <row r="5908">
      <c r="J5908">
        <f>IF(AND(ISNUMBER('Data'!$F$5909),'Data'!$F$5909&lt;&gt;999,'Data'!$F$5909&lt;&gt;""),'Data'!$F$5909,"")</f>
        <v/>
      </c>
      <c r="Z5908" t="n">
        <v>1</v>
      </c>
      <c r="AA5908">
        <f>IF(ISNUMBER('IN-CLASS_Lab Part C'!$J$5908),'IN-CLASS_Lab Part C'!$J$5908,NA())</f>
        <v/>
      </c>
    </row>
    <row r="5909">
      <c r="J5909">
        <f>IF(AND(ISNUMBER('Data'!$F$5910),'Data'!$F$5910&lt;&gt;999,'Data'!$F$5910&lt;&gt;""),'Data'!$F$5910,"")</f>
        <v/>
      </c>
      <c r="Z5909" t="n">
        <v>1</v>
      </c>
      <c r="AA5909">
        <f>IF(ISNUMBER('IN-CLASS_Lab Part C'!$J$5909),'IN-CLASS_Lab Part C'!$J$5909,NA())</f>
        <v/>
      </c>
    </row>
    <row r="5910">
      <c r="J5910">
        <f>IF(AND(ISNUMBER('Data'!$F$5911),'Data'!$F$5911&lt;&gt;999,'Data'!$F$5911&lt;&gt;""),'Data'!$F$5911,"")</f>
        <v/>
      </c>
      <c r="Z5910" t="n">
        <v>1</v>
      </c>
      <c r="AA5910">
        <f>IF(ISNUMBER('IN-CLASS_Lab Part C'!$J$5910),'IN-CLASS_Lab Part C'!$J$5910,NA())</f>
        <v/>
      </c>
    </row>
    <row r="5911">
      <c r="J5911">
        <f>IF(AND(ISNUMBER('Data'!$F$5912),'Data'!$F$5912&lt;&gt;999,'Data'!$F$5912&lt;&gt;""),'Data'!$F$5912,"")</f>
        <v/>
      </c>
      <c r="Z5911" t="n">
        <v>1</v>
      </c>
      <c r="AA5911">
        <f>IF(ISNUMBER('IN-CLASS_Lab Part C'!$J$5911),'IN-CLASS_Lab Part C'!$J$5911,NA())</f>
        <v/>
      </c>
    </row>
    <row r="5912">
      <c r="J5912">
        <f>IF(AND(ISNUMBER('Data'!$F$5913),'Data'!$F$5913&lt;&gt;999,'Data'!$F$5913&lt;&gt;""),'Data'!$F$5913,"")</f>
        <v/>
      </c>
      <c r="Z5912" t="n">
        <v>1</v>
      </c>
      <c r="AA5912">
        <f>IF(ISNUMBER('IN-CLASS_Lab Part C'!$J$5912),'IN-CLASS_Lab Part C'!$J$5912,NA())</f>
        <v/>
      </c>
    </row>
    <row r="5913">
      <c r="J5913">
        <f>IF(AND(ISNUMBER('Data'!$F$5914),'Data'!$F$5914&lt;&gt;999,'Data'!$F$5914&lt;&gt;""),'Data'!$F$5914,"")</f>
        <v/>
      </c>
      <c r="Z5913" t="n">
        <v>1</v>
      </c>
      <c r="AA5913">
        <f>IF(ISNUMBER('IN-CLASS_Lab Part C'!$J$5913),'IN-CLASS_Lab Part C'!$J$5913,NA())</f>
        <v/>
      </c>
    </row>
    <row r="5914">
      <c r="J5914">
        <f>IF(AND(ISNUMBER('Data'!$F$5915),'Data'!$F$5915&lt;&gt;999,'Data'!$F$5915&lt;&gt;""),'Data'!$F$5915,"")</f>
        <v/>
      </c>
      <c r="Z5914" t="n">
        <v>1</v>
      </c>
      <c r="AA5914">
        <f>IF(ISNUMBER('IN-CLASS_Lab Part C'!$J$5914),'IN-CLASS_Lab Part C'!$J$5914,NA())</f>
        <v/>
      </c>
    </row>
    <row r="5915">
      <c r="J5915">
        <f>IF(AND(ISNUMBER('Data'!$F$5916),'Data'!$F$5916&lt;&gt;999,'Data'!$F$5916&lt;&gt;""),'Data'!$F$5916,"")</f>
        <v/>
      </c>
      <c r="Z5915" t="n">
        <v>1</v>
      </c>
      <c r="AA5915">
        <f>IF(ISNUMBER('IN-CLASS_Lab Part C'!$J$5915),'IN-CLASS_Lab Part C'!$J$5915,NA())</f>
        <v/>
      </c>
    </row>
    <row r="5916">
      <c r="J5916">
        <f>IF(AND(ISNUMBER('Data'!$F$5917),'Data'!$F$5917&lt;&gt;999,'Data'!$F$5917&lt;&gt;""),'Data'!$F$5917,"")</f>
        <v/>
      </c>
      <c r="Z5916" t="n">
        <v>1</v>
      </c>
      <c r="AA5916">
        <f>IF(ISNUMBER('IN-CLASS_Lab Part C'!$J$5916),'IN-CLASS_Lab Part C'!$J$5916,NA())</f>
        <v/>
      </c>
    </row>
    <row r="5917">
      <c r="J5917">
        <f>IF(AND(ISNUMBER('Data'!$F$5918),'Data'!$F$5918&lt;&gt;999,'Data'!$F$5918&lt;&gt;""),'Data'!$F$5918,"")</f>
        <v/>
      </c>
      <c r="Z5917" t="n">
        <v>1</v>
      </c>
      <c r="AA5917">
        <f>IF(ISNUMBER('IN-CLASS_Lab Part C'!$J$5917),'IN-CLASS_Lab Part C'!$J$5917,NA())</f>
        <v/>
      </c>
    </row>
    <row r="5918">
      <c r="J5918">
        <f>IF(AND(ISNUMBER('Data'!$F$5919),'Data'!$F$5919&lt;&gt;999,'Data'!$F$5919&lt;&gt;""),'Data'!$F$5919,"")</f>
        <v/>
      </c>
      <c r="Z5918" t="n">
        <v>1</v>
      </c>
      <c r="AA5918">
        <f>IF(ISNUMBER('IN-CLASS_Lab Part C'!$J$5918),'IN-CLASS_Lab Part C'!$J$5918,NA())</f>
        <v/>
      </c>
    </row>
    <row r="5919">
      <c r="J5919">
        <f>IF(AND(ISNUMBER('Data'!$F$5920),'Data'!$F$5920&lt;&gt;999,'Data'!$F$5920&lt;&gt;""),'Data'!$F$5920,"")</f>
        <v/>
      </c>
      <c r="Z5919" t="n">
        <v>1</v>
      </c>
      <c r="AA5919">
        <f>IF(ISNUMBER('IN-CLASS_Lab Part C'!$J$5919),'IN-CLASS_Lab Part C'!$J$5919,NA())</f>
        <v/>
      </c>
    </row>
    <row r="5920">
      <c r="J5920">
        <f>IF(AND(ISNUMBER('Data'!$F$5921),'Data'!$F$5921&lt;&gt;999,'Data'!$F$5921&lt;&gt;""),'Data'!$F$5921,"")</f>
        <v/>
      </c>
      <c r="Z5920" t="n">
        <v>1</v>
      </c>
      <c r="AA5920">
        <f>IF(ISNUMBER('IN-CLASS_Lab Part C'!$J$5920),'IN-CLASS_Lab Part C'!$J$5920,NA())</f>
        <v/>
      </c>
    </row>
    <row r="5921">
      <c r="J5921">
        <f>IF(AND(ISNUMBER('Data'!$F$5922),'Data'!$F$5922&lt;&gt;999,'Data'!$F$5922&lt;&gt;""),'Data'!$F$5922,"")</f>
        <v/>
      </c>
      <c r="Z5921" t="n">
        <v>1</v>
      </c>
      <c r="AA5921">
        <f>IF(ISNUMBER('IN-CLASS_Lab Part C'!$J$5921),'IN-CLASS_Lab Part C'!$J$5921,NA())</f>
        <v/>
      </c>
    </row>
    <row r="5922">
      <c r="J5922">
        <f>IF(AND(ISNUMBER('Data'!$F$5923),'Data'!$F$5923&lt;&gt;999,'Data'!$F$5923&lt;&gt;""),'Data'!$F$5923,"")</f>
        <v/>
      </c>
      <c r="Z5922" t="n">
        <v>1</v>
      </c>
      <c r="AA5922">
        <f>IF(ISNUMBER('IN-CLASS_Lab Part C'!$J$5922),'IN-CLASS_Lab Part C'!$J$5922,NA())</f>
        <v/>
      </c>
    </row>
    <row r="5923">
      <c r="J5923">
        <f>IF(AND(ISNUMBER('Data'!$F$5924),'Data'!$F$5924&lt;&gt;999,'Data'!$F$5924&lt;&gt;""),'Data'!$F$5924,"")</f>
        <v/>
      </c>
      <c r="Z5923" t="n">
        <v>1</v>
      </c>
      <c r="AA5923">
        <f>IF(ISNUMBER('IN-CLASS_Lab Part C'!$J$5923),'IN-CLASS_Lab Part C'!$J$5923,NA())</f>
        <v/>
      </c>
    </row>
    <row r="5924">
      <c r="J5924">
        <f>IF(AND(ISNUMBER('Data'!$F$5925),'Data'!$F$5925&lt;&gt;999,'Data'!$F$5925&lt;&gt;""),'Data'!$F$5925,"")</f>
        <v/>
      </c>
      <c r="Z5924" t="n">
        <v>1</v>
      </c>
      <c r="AA5924">
        <f>IF(ISNUMBER('IN-CLASS_Lab Part C'!$J$5924),'IN-CLASS_Lab Part C'!$J$5924,NA())</f>
        <v/>
      </c>
    </row>
    <row r="5925">
      <c r="J5925">
        <f>IF(AND(ISNUMBER('Data'!$F$5926),'Data'!$F$5926&lt;&gt;999,'Data'!$F$5926&lt;&gt;""),'Data'!$F$5926,"")</f>
        <v/>
      </c>
      <c r="Z5925" t="n">
        <v>1</v>
      </c>
      <c r="AA5925">
        <f>IF(ISNUMBER('IN-CLASS_Lab Part C'!$J$5925),'IN-CLASS_Lab Part C'!$J$5925,NA())</f>
        <v/>
      </c>
    </row>
    <row r="5926">
      <c r="J5926">
        <f>IF(AND(ISNUMBER('Data'!$F$5927),'Data'!$F$5927&lt;&gt;999,'Data'!$F$5927&lt;&gt;""),'Data'!$F$5927,"")</f>
        <v/>
      </c>
      <c r="Z5926" t="n">
        <v>1</v>
      </c>
      <c r="AA5926">
        <f>IF(ISNUMBER('IN-CLASS_Lab Part C'!$J$5926),'IN-CLASS_Lab Part C'!$J$5926,NA())</f>
        <v/>
      </c>
    </row>
    <row r="5927">
      <c r="J5927">
        <f>IF(AND(ISNUMBER('Data'!$F$5928),'Data'!$F$5928&lt;&gt;999,'Data'!$F$5928&lt;&gt;""),'Data'!$F$5928,"")</f>
        <v/>
      </c>
      <c r="Z5927" t="n">
        <v>1</v>
      </c>
      <c r="AA5927">
        <f>IF(ISNUMBER('IN-CLASS_Lab Part C'!$J$5927),'IN-CLASS_Lab Part C'!$J$5927,NA())</f>
        <v/>
      </c>
    </row>
    <row r="5928">
      <c r="J5928">
        <f>IF(AND(ISNUMBER('Data'!$F$5929),'Data'!$F$5929&lt;&gt;999,'Data'!$F$5929&lt;&gt;""),'Data'!$F$5929,"")</f>
        <v/>
      </c>
      <c r="Z5928" t="n">
        <v>1</v>
      </c>
      <c r="AA5928">
        <f>IF(ISNUMBER('IN-CLASS_Lab Part C'!$J$5928),'IN-CLASS_Lab Part C'!$J$5928,NA())</f>
        <v/>
      </c>
    </row>
    <row r="5929">
      <c r="J5929">
        <f>IF(AND(ISNUMBER('Data'!$F$5930),'Data'!$F$5930&lt;&gt;999,'Data'!$F$5930&lt;&gt;""),'Data'!$F$5930,"")</f>
        <v/>
      </c>
      <c r="Z5929" t="n">
        <v>1</v>
      </c>
      <c r="AA5929">
        <f>IF(ISNUMBER('IN-CLASS_Lab Part C'!$J$5929),'IN-CLASS_Lab Part C'!$J$5929,NA())</f>
        <v/>
      </c>
    </row>
    <row r="5930">
      <c r="J5930">
        <f>IF(AND(ISNUMBER('Data'!$F$5931),'Data'!$F$5931&lt;&gt;999,'Data'!$F$5931&lt;&gt;""),'Data'!$F$5931,"")</f>
        <v/>
      </c>
      <c r="Z5930" t="n">
        <v>1</v>
      </c>
      <c r="AA5930">
        <f>IF(ISNUMBER('IN-CLASS_Lab Part C'!$J$5930),'IN-CLASS_Lab Part C'!$J$5930,NA())</f>
        <v/>
      </c>
    </row>
    <row r="5931">
      <c r="J5931">
        <f>IF(AND(ISNUMBER('Data'!$F$5932),'Data'!$F$5932&lt;&gt;999,'Data'!$F$5932&lt;&gt;""),'Data'!$F$5932,"")</f>
        <v/>
      </c>
      <c r="Z5931" t="n">
        <v>1</v>
      </c>
      <c r="AA5931">
        <f>IF(ISNUMBER('IN-CLASS_Lab Part C'!$J$5931),'IN-CLASS_Lab Part C'!$J$5931,NA())</f>
        <v/>
      </c>
    </row>
    <row r="5932">
      <c r="J5932">
        <f>IF(AND(ISNUMBER('Data'!$F$5933),'Data'!$F$5933&lt;&gt;999,'Data'!$F$5933&lt;&gt;""),'Data'!$F$5933,"")</f>
        <v/>
      </c>
      <c r="Z5932" t="n">
        <v>1</v>
      </c>
      <c r="AA5932">
        <f>IF(ISNUMBER('IN-CLASS_Lab Part C'!$J$5932),'IN-CLASS_Lab Part C'!$J$5932,NA())</f>
        <v/>
      </c>
    </row>
    <row r="5933">
      <c r="J5933">
        <f>IF(AND(ISNUMBER('Data'!$F$5934),'Data'!$F$5934&lt;&gt;999,'Data'!$F$5934&lt;&gt;""),'Data'!$F$5934,"")</f>
        <v/>
      </c>
      <c r="Z5933" t="n">
        <v>1</v>
      </c>
      <c r="AA5933">
        <f>IF(ISNUMBER('IN-CLASS_Lab Part C'!$J$5933),'IN-CLASS_Lab Part C'!$J$5933,NA())</f>
        <v/>
      </c>
    </row>
    <row r="5934">
      <c r="J5934">
        <f>IF(AND(ISNUMBER('Data'!$F$5935),'Data'!$F$5935&lt;&gt;999,'Data'!$F$5935&lt;&gt;""),'Data'!$F$5935,"")</f>
        <v/>
      </c>
      <c r="Z5934" t="n">
        <v>1</v>
      </c>
      <c r="AA5934">
        <f>IF(ISNUMBER('IN-CLASS_Lab Part C'!$J$5934),'IN-CLASS_Lab Part C'!$J$5934,NA())</f>
        <v/>
      </c>
    </row>
    <row r="5935">
      <c r="J5935">
        <f>IF(AND(ISNUMBER('Data'!$F$5936),'Data'!$F$5936&lt;&gt;999,'Data'!$F$5936&lt;&gt;""),'Data'!$F$5936,"")</f>
        <v/>
      </c>
      <c r="Z5935" t="n">
        <v>1</v>
      </c>
      <c r="AA5935">
        <f>IF(ISNUMBER('IN-CLASS_Lab Part C'!$J$5935),'IN-CLASS_Lab Part C'!$J$5935,NA())</f>
        <v/>
      </c>
    </row>
    <row r="5936">
      <c r="J5936">
        <f>IF(AND(ISNUMBER('Data'!$F$5937),'Data'!$F$5937&lt;&gt;999,'Data'!$F$5937&lt;&gt;""),'Data'!$F$5937,"")</f>
        <v/>
      </c>
      <c r="Z5936" t="n">
        <v>1</v>
      </c>
      <c r="AA5936">
        <f>IF(ISNUMBER('IN-CLASS_Lab Part C'!$J$5936),'IN-CLASS_Lab Part C'!$J$5936,NA())</f>
        <v/>
      </c>
    </row>
    <row r="5937">
      <c r="J5937">
        <f>IF(AND(ISNUMBER('Data'!$F$5938),'Data'!$F$5938&lt;&gt;999,'Data'!$F$5938&lt;&gt;""),'Data'!$F$5938,"")</f>
        <v/>
      </c>
      <c r="Z5937" t="n">
        <v>1</v>
      </c>
      <c r="AA5937">
        <f>IF(ISNUMBER('IN-CLASS_Lab Part C'!$J$5937),'IN-CLASS_Lab Part C'!$J$5937,NA())</f>
        <v/>
      </c>
    </row>
    <row r="5938">
      <c r="J5938">
        <f>IF(AND(ISNUMBER('Data'!$F$5939),'Data'!$F$5939&lt;&gt;999,'Data'!$F$5939&lt;&gt;""),'Data'!$F$5939,"")</f>
        <v/>
      </c>
      <c r="Z5938" t="n">
        <v>1</v>
      </c>
      <c r="AA5938">
        <f>IF(ISNUMBER('IN-CLASS_Lab Part C'!$J$5938),'IN-CLASS_Lab Part C'!$J$5938,NA())</f>
        <v/>
      </c>
    </row>
    <row r="5939">
      <c r="J5939">
        <f>IF(AND(ISNUMBER('Data'!$F$5940),'Data'!$F$5940&lt;&gt;999,'Data'!$F$5940&lt;&gt;""),'Data'!$F$5940,"")</f>
        <v/>
      </c>
      <c r="Z5939" t="n">
        <v>1</v>
      </c>
      <c r="AA5939">
        <f>IF(ISNUMBER('IN-CLASS_Lab Part C'!$J$5939),'IN-CLASS_Lab Part C'!$J$5939,NA())</f>
        <v/>
      </c>
    </row>
    <row r="5940">
      <c r="J5940">
        <f>IF(AND(ISNUMBER('Data'!$F$5941),'Data'!$F$5941&lt;&gt;999,'Data'!$F$5941&lt;&gt;""),'Data'!$F$5941,"")</f>
        <v/>
      </c>
      <c r="Z5940" t="n">
        <v>1</v>
      </c>
      <c r="AA5940">
        <f>IF(ISNUMBER('IN-CLASS_Lab Part C'!$J$5940),'IN-CLASS_Lab Part C'!$J$5940,NA())</f>
        <v/>
      </c>
    </row>
    <row r="5941">
      <c r="J5941">
        <f>IF(AND(ISNUMBER('Data'!$F$5942),'Data'!$F$5942&lt;&gt;999,'Data'!$F$5942&lt;&gt;""),'Data'!$F$5942,"")</f>
        <v/>
      </c>
      <c r="Z5941" t="n">
        <v>1</v>
      </c>
      <c r="AA5941">
        <f>IF(ISNUMBER('IN-CLASS_Lab Part C'!$J$5941),'IN-CLASS_Lab Part C'!$J$5941,NA())</f>
        <v/>
      </c>
    </row>
    <row r="5942">
      <c r="J5942">
        <f>IF(AND(ISNUMBER('Data'!$F$5943),'Data'!$F$5943&lt;&gt;999,'Data'!$F$5943&lt;&gt;""),'Data'!$F$5943,"")</f>
        <v/>
      </c>
      <c r="Z5942" t="n">
        <v>1</v>
      </c>
      <c r="AA5942">
        <f>IF(ISNUMBER('IN-CLASS_Lab Part C'!$J$5942),'IN-CLASS_Lab Part C'!$J$5942,NA())</f>
        <v/>
      </c>
    </row>
    <row r="5943">
      <c r="J5943">
        <f>IF(AND(ISNUMBER('Data'!$F$5944),'Data'!$F$5944&lt;&gt;999,'Data'!$F$5944&lt;&gt;""),'Data'!$F$5944,"")</f>
        <v/>
      </c>
      <c r="Z5943" t="n">
        <v>1</v>
      </c>
      <c r="AA5943">
        <f>IF(ISNUMBER('IN-CLASS_Lab Part C'!$J$5943),'IN-CLASS_Lab Part C'!$J$5943,NA())</f>
        <v/>
      </c>
    </row>
    <row r="5944">
      <c r="J5944">
        <f>IF(AND(ISNUMBER('Data'!$F$5945),'Data'!$F$5945&lt;&gt;999,'Data'!$F$5945&lt;&gt;""),'Data'!$F$5945,"")</f>
        <v/>
      </c>
      <c r="Z5944" t="n">
        <v>1</v>
      </c>
      <c r="AA5944">
        <f>IF(ISNUMBER('IN-CLASS_Lab Part C'!$J$5944),'IN-CLASS_Lab Part C'!$J$5944,NA())</f>
        <v/>
      </c>
    </row>
    <row r="5945">
      <c r="J5945">
        <f>IF(AND(ISNUMBER('Data'!$F$5946),'Data'!$F$5946&lt;&gt;999,'Data'!$F$5946&lt;&gt;""),'Data'!$F$5946,"")</f>
        <v/>
      </c>
      <c r="Z5945" t="n">
        <v>1</v>
      </c>
      <c r="AA5945">
        <f>IF(ISNUMBER('IN-CLASS_Lab Part C'!$J$5945),'IN-CLASS_Lab Part C'!$J$5945,NA())</f>
        <v/>
      </c>
    </row>
    <row r="5946">
      <c r="J5946">
        <f>IF(AND(ISNUMBER('Data'!$F$5947),'Data'!$F$5947&lt;&gt;999,'Data'!$F$5947&lt;&gt;""),'Data'!$F$5947,"")</f>
        <v/>
      </c>
      <c r="Z5946" t="n">
        <v>1</v>
      </c>
      <c r="AA5946">
        <f>IF(ISNUMBER('IN-CLASS_Lab Part C'!$J$5946),'IN-CLASS_Lab Part C'!$J$5946,NA())</f>
        <v/>
      </c>
    </row>
    <row r="5947">
      <c r="J5947">
        <f>IF(AND(ISNUMBER('Data'!$F$5948),'Data'!$F$5948&lt;&gt;999,'Data'!$F$5948&lt;&gt;""),'Data'!$F$5948,"")</f>
        <v/>
      </c>
      <c r="Z5947" t="n">
        <v>1</v>
      </c>
      <c r="AA5947">
        <f>IF(ISNUMBER('IN-CLASS_Lab Part C'!$J$5947),'IN-CLASS_Lab Part C'!$J$5947,NA())</f>
        <v/>
      </c>
    </row>
    <row r="5948">
      <c r="J5948">
        <f>IF(AND(ISNUMBER('Data'!$F$5949),'Data'!$F$5949&lt;&gt;999,'Data'!$F$5949&lt;&gt;""),'Data'!$F$5949,"")</f>
        <v/>
      </c>
      <c r="Z5948" t="n">
        <v>1</v>
      </c>
      <c r="AA5948">
        <f>IF(ISNUMBER('IN-CLASS_Lab Part C'!$J$5948),'IN-CLASS_Lab Part C'!$J$5948,NA())</f>
        <v/>
      </c>
    </row>
    <row r="5949">
      <c r="J5949">
        <f>IF(AND(ISNUMBER('Data'!$F$5950),'Data'!$F$5950&lt;&gt;999,'Data'!$F$5950&lt;&gt;""),'Data'!$F$5950,"")</f>
        <v/>
      </c>
      <c r="Z5949" t="n">
        <v>1</v>
      </c>
      <c r="AA5949">
        <f>IF(ISNUMBER('IN-CLASS_Lab Part C'!$J$5949),'IN-CLASS_Lab Part C'!$J$5949,NA())</f>
        <v/>
      </c>
    </row>
    <row r="5950">
      <c r="J5950">
        <f>IF(AND(ISNUMBER('Data'!$F$5951),'Data'!$F$5951&lt;&gt;999,'Data'!$F$5951&lt;&gt;""),'Data'!$F$5951,"")</f>
        <v/>
      </c>
      <c r="Z5950" t="n">
        <v>1</v>
      </c>
      <c r="AA5950">
        <f>IF(ISNUMBER('IN-CLASS_Lab Part C'!$J$5950),'IN-CLASS_Lab Part C'!$J$5950,NA())</f>
        <v/>
      </c>
    </row>
    <row r="5951">
      <c r="J5951">
        <f>IF(AND(ISNUMBER('Data'!$F$5952),'Data'!$F$5952&lt;&gt;999,'Data'!$F$5952&lt;&gt;""),'Data'!$F$5952,"")</f>
        <v/>
      </c>
      <c r="Z5951" t="n">
        <v>1</v>
      </c>
      <c r="AA5951">
        <f>IF(ISNUMBER('IN-CLASS_Lab Part C'!$J$5951),'IN-CLASS_Lab Part C'!$J$5951,NA())</f>
        <v/>
      </c>
    </row>
    <row r="5952">
      <c r="J5952">
        <f>IF(AND(ISNUMBER('Data'!$F$5953),'Data'!$F$5953&lt;&gt;999,'Data'!$F$5953&lt;&gt;""),'Data'!$F$5953,"")</f>
        <v/>
      </c>
      <c r="Z5952" t="n">
        <v>1</v>
      </c>
      <c r="AA5952">
        <f>IF(ISNUMBER('IN-CLASS_Lab Part C'!$J$5952),'IN-CLASS_Lab Part C'!$J$5952,NA())</f>
        <v/>
      </c>
    </row>
    <row r="5953">
      <c r="J5953">
        <f>IF(AND(ISNUMBER('Data'!$F$5954),'Data'!$F$5954&lt;&gt;999,'Data'!$F$5954&lt;&gt;""),'Data'!$F$5954,"")</f>
        <v/>
      </c>
      <c r="Z5953" t="n">
        <v>1</v>
      </c>
      <c r="AA5953">
        <f>IF(ISNUMBER('IN-CLASS_Lab Part C'!$J$5953),'IN-CLASS_Lab Part C'!$J$5953,NA())</f>
        <v/>
      </c>
    </row>
    <row r="5954">
      <c r="J5954">
        <f>IF(AND(ISNUMBER('Data'!$F$5955),'Data'!$F$5955&lt;&gt;999,'Data'!$F$5955&lt;&gt;""),'Data'!$F$5955,"")</f>
        <v/>
      </c>
      <c r="Z5954" t="n">
        <v>1</v>
      </c>
      <c r="AA5954">
        <f>IF(ISNUMBER('IN-CLASS_Lab Part C'!$J$5954),'IN-CLASS_Lab Part C'!$J$5954,NA())</f>
        <v/>
      </c>
    </row>
    <row r="5955">
      <c r="J5955">
        <f>IF(AND(ISNUMBER('Data'!$F$5956),'Data'!$F$5956&lt;&gt;999,'Data'!$F$5956&lt;&gt;""),'Data'!$F$5956,"")</f>
        <v/>
      </c>
      <c r="Z5955" t="n">
        <v>1</v>
      </c>
      <c r="AA5955">
        <f>IF(ISNUMBER('IN-CLASS_Lab Part C'!$J$5955),'IN-CLASS_Lab Part C'!$J$5955,NA())</f>
        <v/>
      </c>
    </row>
    <row r="5956">
      <c r="J5956">
        <f>IF(AND(ISNUMBER('Data'!$F$5957),'Data'!$F$5957&lt;&gt;999,'Data'!$F$5957&lt;&gt;""),'Data'!$F$5957,"")</f>
        <v/>
      </c>
      <c r="Z5956" t="n">
        <v>1</v>
      </c>
      <c r="AA5956">
        <f>IF(ISNUMBER('IN-CLASS_Lab Part C'!$J$5956),'IN-CLASS_Lab Part C'!$J$5956,NA())</f>
        <v/>
      </c>
    </row>
    <row r="5957">
      <c r="J5957">
        <f>IF(AND(ISNUMBER('Data'!$F$5958),'Data'!$F$5958&lt;&gt;999,'Data'!$F$5958&lt;&gt;""),'Data'!$F$5958,"")</f>
        <v/>
      </c>
      <c r="Z5957" t="n">
        <v>1</v>
      </c>
      <c r="AA5957">
        <f>IF(ISNUMBER('IN-CLASS_Lab Part C'!$J$5957),'IN-CLASS_Lab Part C'!$J$5957,NA())</f>
        <v/>
      </c>
    </row>
    <row r="5958">
      <c r="J5958">
        <f>IF(AND(ISNUMBER('Data'!$F$5959),'Data'!$F$5959&lt;&gt;999,'Data'!$F$5959&lt;&gt;""),'Data'!$F$5959,"")</f>
        <v/>
      </c>
      <c r="Z5958" t="n">
        <v>1</v>
      </c>
      <c r="AA5958">
        <f>IF(ISNUMBER('IN-CLASS_Lab Part C'!$J$5958),'IN-CLASS_Lab Part C'!$J$5958,NA())</f>
        <v/>
      </c>
    </row>
    <row r="5959">
      <c r="J5959">
        <f>IF(AND(ISNUMBER('Data'!$F$5960),'Data'!$F$5960&lt;&gt;999,'Data'!$F$5960&lt;&gt;""),'Data'!$F$5960,"")</f>
        <v/>
      </c>
      <c r="Z5959" t="n">
        <v>1</v>
      </c>
      <c r="AA5959">
        <f>IF(ISNUMBER('IN-CLASS_Lab Part C'!$J$5959),'IN-CLASS_Lab Part C'!$J$5959,NA())</f>
        <v/>
      </c>
    </row>
    <row r="5960">
      <c r="J5960">
        <f>IF(AND(ISNUMBER('Data'!$F$5961),'Data'!$F$5961&lt;&gt;999,'Data'!$F$5961&lt;&gt;""),'Data'!$F$5961,"")</f>
        <v/>
      </c>
      <c r="Z5960" t="n">
        <v>1</v>
      </c>
      <c r="AA5960">
        <f>IF(ISNUMBER('IN-CLASS_Lab Part C'!$J$5960),'IN-CLASS_Lab Part C'!$J$5960,NA())</f>
        <v/>
      </c>
    </row>
    <row r="5961">
      <c r="J5961">
        <f>IF(AND(ISNUMBER('Data'!$F$5962),'Data'!$F$5962&lt;&gt;999,'Data'!$F$5962&lt;&gt;""),'Data'!$F$5962,"")</f>
        <v/>
      </c>
      <c r="Z5961" t="n">
        <v>1</v>
      </c>
      <c r="AA5961">
        <f>IF(ISNUMBER('IN-CLASS_Lab Part C'!$J$5961),'IN-CLASS_Lab Part C'!$J$5961,NA())</f>
        <v/>
      </c>
    </row>
    <row r="5962">
      <c r="J5962">
        <f>IF(AND(ISNUMBER('Data'!$F$5963),'Data'!$F$5963&lt;&gt;999,'Data'!$F$5963&lt;&gt;""),'Data'!$F$5963,"")</f>
        <v/>
      </c>
      <c r="Z5962" t="n">
        <v>1</v>
      </c>
      <c r="AA5962">
        <f>IF(ISNUMBER('IN-CLASS_Lab Part C'!$J$5962),'IN-CLASS_Lab Part C'!$J$5962,NA())</f>
        <v/>
      </c>
    </row>
    <row r="5963">
      <c r="J5963">
        <f>IF(AND(ISNUMBER('Data'!$F$5964),'Data'!$F$5964&lt;&gt;999,'Data'!$F$5964&lt;&gt;""),'Data'!$F$5964,"")</f>
        <v/>
      </c>
      <c r="Z5963" t="n">
        <v>1</v>
      </c>
      <c r="AA5963">
        <f>IF(ISNUMBER('IN-CLASS_Lab Part C'!$J$5963),'IN-CLASS_Lab Part C'!$J$5963,NA())</f>
        <v/>
      </c>
    </row>
    <row r="5964">
      <c r="J5964">
        <f>IF(AND(ISNUMBER('Data'!$F$5965),'Data'!$F$5965&lt;&gt;999,'Data'!$F$5965&lt;&gt;""),'Data'!$F$5965,"")</f>
        <v/>
      </c>
      <c r="Z5964" t="n">
        <v>1</v>
      </c>
      <c r="AA5964">
        <f>IF(ISNUMBER('IN-CLASS_Lab Part C'!$J$5964),'IN-CLASS_Lab Part C'!$J$5964,NA())</f>
        <v/>
      </c>
    </row>
    <row r="5965">
      <c r="J5965">
        <f>IF(AND(ISNUMBER('Data'!$F$5966),'Data'!$F$5966&lt;&gt;999,'Data'!$F$5966&lt;&gt;""),'Data'!$F$5966,"")</f>
        <v/>
      </c>
      <c r="Z5965" t="n">
        <v>1</v>
      </c>
      <c r="AA5965">
        <f>IF(ISNUMBER('IN-CLASS_Lab Part C'!$J$5965),'IN-CLASS_Lab Part C'!$J$5965,NA())</f>
        <v/>
      </c>
    </row>
    <row r="5966">
      <c r="J5966">
        <f>IF(AND(ISNUMBER('Data'!$F$5967),'Data'!$F$5967&lt;&gt;999,'Data'!$F$5967&lt;&gt;""),'Data'!$F$5967,"")</f>
        <v/>
      </c>
      <c r="Z5966" t="n">
        <v>1</v>
      </c>
      <c r="AA5966">
        <f>IF(ISNUMBER('IN-CLASS_Lab Part C'!$J$5966),'IN-CLASS_Lab Part C'!$J$5966,NA())</f>
        <v/>
      </c>
    </row>
    <row r="5967">
      <c r="J5967">
        <f>IF(AND(ISNUMBER('Data'!$F$5968),'Data'!$F$5968&lt;&gt;999,'Data'!$F$5968&lt;&gt;""),'Data'!$F$5968,"")</f>
        <v/>
      </c>
      <c r="Z5967" t="n">
        <v>1</v>
      </c>
      <c r="AA5967">
        <f>IF(ISNUMBER('IN-CLASS_Lab Part C'!$J$5967),'IN-CLASS_Lab Part C'!$J$5967,NA())</f>
        <v/>
      </c>
    </row>
    <row r="5968">
      <c r="J5968">
        <f>IF(AND(ISNUMBER('Data'!$F$5969),'Data'!$F$5969&lt;&gt;999,'Data'!$F$5969&lt;&gt;""),'Data'!$F$5969,"")</f>
        <v/>
      </c>
      <c r="Z5968" t="n">
        <v>1</v>
      </c>
      <c r="AA5968">
        <f>IF(ISNUMBER('IN-CLASS_Lab Part C'!$J$5968),'IN-CLASS_Lab Part C'!$J$5968,NA())</f>
        <v/>
      </c>
    </row>
    <row r="5969">
      <c r="J5969">
        <f>IF(AND(ISNUMBER('Data'!$F$5970),'Data'!$F$5970&lt;&gt;999,'Data'!$F$5970&lt;&gt;""),'Data'!$F$5970,"")</f>
        <v/>
      </c>
      <c r="Z5969" t="n">
        <v>1</v>
      </c>
      <c r="AA5969">
        <f>IF(ISNUMBER('IN-CLASS_Lab Part C'!$J$5969),'IN-CLASS_Lab Part C'!$J$5969,NA())</f>
        <v/>
      </c>
    </row>
    <row r="5970">
      <c r="J5970">
        <f>IF(AND(ISNUMBER('Data'!$F$5971),'Data'!$F$5971&lt;&gt;999,'Data'!$F$5971&lt;&gt;""),'Data'!$F$5971,"")</f>
        <v/>
      </c>
      <c r="Z5970" t="n">
        <v>1</v>
      </c>
      <c r="AA5970">
        <f>IF(ISNUMBER('IN-CLASS_Lab Part C'!$J$5970),'IN-CLASS_Lab Part C'!$J$5970,NA())</f>
        <v/>
      </c>
    </row>
    <row r="5971">
      <c r="J5971">
        <f>IF(AND(ISNUMBER('Data'!$F$5972),'Data'!$F$5972&lt;&gt;999,'Data'!$F$5972&lt;&gt;""),'Data'!$F$5972,"")</f>
        <v/>
      </c>
      <c r="Z5971" t="n">
        <v>1</v>
      </c>
      <c r="AA5971">
        <f>IF(ISNUMBER('IN-CLASS_Lab Part C'!$J$5971),'IN-CLASS_Lab Part C'!$J$5971,NA())</f>
        <v/>
      </c>
    </row>
    <row r="5972">
      <c r="J5972">
        <f>IF(AND(ISNUMBER('Data'!$F$5973),'Data'!$F$5973&lt;&gt;999,'Data'!$F$5973&lt;&gt;""),'Data'!$F$5973,"")</f>
        <v/>
      </c>
      <c r="Z5972" t="n">
        <v>1</v>
      </c>
      <c r="AA5972">
        <f>IF(ISNUMBER('IN-CLASS_Lab Part C'!$J$5972),'IN-CLASS_Lab Part C'!$J$5972,NA())</f>
        <v/>
      </c>
    </row>
    <row r="5973">
      <c r="J5973">
        <f>IF(AND(ISNUMBER('Data'!$F$5974),'Data'!$F$5974&lt;&gt;999,'Data'!$F$5974&lt;&gt;""),'Data'!$F$5974,"")</f>
        <v/>
      </c>
      <c r="Z5973" t="n">
        <v>1</v>
      </c>
      <c r="AA5973">
        <f>IF(ISNUMBER('IN-CLASS_Lab Part C'!$J$5973),'IN-CLASS_Lab Part C'!$J$5973,NA())</f>
        <v/>
      </c>
    </row>
    <row r="5974">
      <c r="J5974">
        <f>IF(AND(ISNUMBER('Data'!$F$5975),'Data'!$F$5975&lt;&gt;999,'Data'!$F$5975&lt;&gt;""),'Data'!$F$5975,"")</f>
        <v/>
      </c>
      <c r="Z5974" t="n">
        <v>1</v>
      </c>
      <c r="AA5974">
        <f>IF(ISNUMBER('IN-CLASS_Lab Part C'!$J$5974),'IN-CLASS_Lab Part C'!$J$5974,NA())</f>
        <v/>
      </c>
    </row>
    <row r="5975">
      <c r="J5975">
        <f>IF(AND(ISNUMBER('Data'!$F$5976),'Data'!$F$5976&lt;&gt;999,'Data'!$F$5976&lt;&gt;""),'Data'!$F$5976,"")</f>
        <v/>
      </c>
      <c r="Z5975" t="n">
        <v>1</v>
      </c>
      <c r="AA5975">
        <f>IF(ISNUMBER('IN-CLASS_Lab Part C'!$J$5975),'IN-CLASS_Lab Part C'!$J$5975,NA())</f>
        <v/>
      </c>
    </row>
    <row r="5976">
      <c r="J5976">
        <f>IF(AND(ISNUMBER('Data'!$F$5977),'Data'!$F$5977&lt;&gt;999,'Data'!$F$5977&lt;&gt;""),'Data'!$F$5977,"")</f>
        <v/>
      </c>
      <c r="Z5976" t="n">
        <v>1</v>
      </c>
      <c r="AA5976">
        <f>IF(ISNUMBER('IN-CLASS_Lab Part C'!$J$5976),'IN-CLASS_Lab Part C'!$J$5976,NA())</f>
        <v/>
      </c>
    </row>
    <row r="5977">
      <c r="J5977">
        <f>IF(AND(ISNUMBER('Data'!$F$5978),'Data'!$F$5978&lt;&gt;999,'Data'!$F$5978&lt;&gt;""),'Data'!$F$5978,"")</f>
        <v/>
      </c>
      <c r="Z5977" t="n">
        <v>1</v>
      </c>
      <c r="AA5977">
        <f>IF(ISNUMBER('IN-CLASS_Lab Part C'!$J$5977),'IN-CLASS_Lab Part C'!$J$5977,NA())</f>
        <v/>
      </c>
    </row>
    <row r="5978">
      <c r="J5978">
        <f>IF(AND(ISNUMBER('Data'!$F$5979),'Data'!$F$5979&lt;&gt;999,'Data'!$F$5979&lt;&gt;""),'Data'!$F$5979,"")</f>
        <v/>
      </c>
      <c r="Z5978" t="n">
        <v>1</v>
      </c>
      <c r="AA5978">
        <f>IF(ISNUMBER('IN-CLASS_Lab Part C'!$J$5978),'IN-CLASS_Lab Part C'!$J$5978,NA())</f>
        <v/>
      </c>
    </row>
    <row r="5979">
      <c r="J5979">
        <f>IF(AND(ISNUMBER('Data'!$F$5980),'Data'!$F$5980&lt;&gt;999,'Data'!$F$5980&lt;&gt;""),'Data'!$F$5980,"")</f>
        <v/>
      </c>
      <c r="Z5979" t="n">
        <v>1</v>
      </c>
      <c r="AA5979">
        <f>IF(ISNUMBER('IN-CLASS_Lab Part C'!$J$5979),'IN-CLASS_Lab Part C'!$J$5979,NA())</f>
        <v/>
      </c>
    </row>
    <row r="5980">
      <c r="J5980">
        <f>IF(AND(ISNUMBER('Data'!$F$5981),'Data'!$F$5981&lt;&gt;999,'Data'!$F$5981&lt;&gt;""),'Data'!$F$5981,"")</f>
        <v/>
      </c>
      <c r="Z5980" t="n">
        <v>1</v>
      </c>
      <c r="AA5980">
        <f>IF(ISNUMBER('IN-CLASS_Lab Part C'!$J$5980),'IN-CLASS_Lab Part C'!$J$5980,NA())</f>
        <v/>
      </c>
    </row>
    <row r="5981">
      <c r="J5981">
        <f>IF(AND(ISNUMBER('Data'!$F$5982),'Data'!$F$5982&lt;&gt;999,'Data'!$F$5982&lt;&gt;""),'Data'!$F$5982,"")</f>
        <v/>
      </c>
      <c r="Z5981" t="n">
        <v>1</v>
      </c>
      <c r="AA5981">
        <f>IF(ISNUMBER('IN-CLASS_Lab Part C'!$J$5981),'IN-CLASS_Lab Part C'!$J$5981,NA())</f>
        <v/>
      </c>
    </row>
    <row r="5982">
      <c r="J5982">
        <f>IF(AND(ISNUMBER('Data'!$F$5983),'Data'!$F$5983&lt;&gt;999,'Data'!$F$5983&lt;&gt;""),'Data'!$F$5983,"")</f>
        <v/>
      </c>
      <c r="Z5982" t="n">
        <v>1</v>
      </c>
      <c r="AA5982">
        <f>IF(ISNUMBER('IN-CLASS_Lab Part C'!$J$5982),'IN-CLASS_Lab Part C'!$J$5982,NA())</f>
        <v/>
      </c>
    </row>
    <row r="5983">
      <c r="J5983">
        <f>IF(AND(ISNUMBER('Data'!$F$5984),'Data'!$F$5984&lt;&gt;999,'Data'!$F$5984&lt;&gt;""),'Data'!$F$5984,"")</f>
        <v/>
      </c>
      <c r="Z5983" t="n">
        <v>1</v>
      </c>
      <c r="AA5983">
        <f>IF(ISNUMBER('IN-CLASS_Lab Part C'!$J$5983),'IN-CLASS_Lab Part C'!$J$5983,NA())</f>
        <v/>
      </c>
    </row>
    <row r="5984">
      <c r="J5984">
        <f>IF(AND(ISNUMBER('Data'!$F$5985),'Data'!$F$5985&lt;&gt;999,'Data'!$F$5985&lt;&gt;""),'Data'!$F$5985,"")</f>
        <v/>
      </c>
      <c r="Z5984" t="n">
        <v>1</v>
      </c>
      <c r="AA5984">
        <f>IF(ISNUMBER('IN-CLASS_Lab Part C'!$J$5984),'IN-CLASS_Lab Part C'!$J$5984,NA())</f>
        <v/>
      </c>
    </row>
    <row r="5985">
      <c r="J5985">
        <f>IF(AND(ISNUMBER('Data'!$F$5986),'Data'!$F$5986&lt;&gt;999,'Data'!$F$5986&lt;&gt;""),'Data'!$F$5986,"")</f>
        <v/>
      </c>
      <c r="Z5985" t="n">
        <v>1</v>
      </c>
      <c r="AA5985">
        <f>IF(ISNUMBER('IN-CLASS_Lab Part C'!$J$5985),'IN-CLASS_Lab Part C'!$J$5985,NA())</f>
        <v/>
      </c>
    </row>
    <row r="5986">
      <c r="J5986">
        <f>IF(AND(ISNUMBER('Data'!$F$5987),'Data'!$F$5987&lt;&gt;999,'Data'!$F$5987&lt;&gt;""),'Data'!$F$5987,"")</f>
        <v/>
      </c>
      <c r="Z5986" t="n">
        <v>1</v>
      </c>
      <c r="AA5986">
        <f>IF(ISNUMBER('IN-CLASS_Lab Part C'!$J$5986),'IN-CLASS_Lab Part C'!$J$5986,NA())</f>
        <v/>
      </c>
    </row>
    <row r="5987">
      <c r="J5987">
        <f>IF(AND(ISNUMBER('Data'!$F$5988),'Data'!$F$5988&lt;&gt;999,'Data'!$F$5988&lt;&gt;""),'Data'!$F$5988,"")</f>
        <v/>
      </c>
      <c r="Z5987" t="n">
        <v>1</v>
      </c>
      <c r="AA5987">
        <f>IF(ISNUMBER('IN-CLASS_Lab Part C'!$J$5987),'IN-CLASS_Lab Part C'!$J$5987,NA())</f>
        <v/>
      </c>
    </row>
    <row r="5988">
      <c r="J5988">
        <f>IF(AND(ISNUMBER('Data'!$F$5989),'Data'!$F$5989&lt;&gt;999,'Data'!$F$5989&lt;&gt;""),'Data'!$F$5989,"")</f>
        <v/>
      </c>
      <c r="Z5988" t="n">
        <v>1</v>
      </c>
      <c r="AA5988">
        <f>IF(ISNUMBER('IN-CLASS_Lab Part C'!$J$5988),'IN-CLASS_Lab Part C'!$J$5988,NA())</f>
        <v/>
      </c>
    </row>
    <row r="5989">
      <c r="J5989">
        <f>IF(AND(ISNUMBER('Data'!$F$5990),'Data'!$F$5990&lt;&gt;999,'Data'!$F$5990&lt;&gt;""),'Data'!$F$5990,"")</f>
        <v/>
      </c>
      <c r="Z5989" t="n">
        <v>1</v>
      </c>
      <c r="AA5989">
        <f>IF(ISNUMBER('IN-CLASS_Lab Part C'!$J$5989),'IN-CLASS_Lab Part C'!$J$5989,NA())</f>
        <v/>
      </c>
    </row>
    <row r="5990">
      <c r="J5990">
        <f>IF(AND(ISNUMBER('Data'!$F$5991),'Data'!$F$5991&lt;&gt;999,'Data'!$F$5991&lt;&gt;""),'Data'!$F$5991,"")</f>
        <v/>
      </c>
      <c r="Z5990" t="n">
        <v>1</v>
      </c>
      <c r="AA5990">
        <f>IF(ISNUMBER('IN-CLASS_Lab Part C'!$J$5990),'IN-CLASS_Lab Part C'!$J$5990,NA())</f>
        <v/>
      </c>
    </row>
    <row r="5991">
      <c r="J5991">
        <f>IF(AND(ISNUMBER('Data'!$F$5992),'Data'!$F$5992&lt;&gt;999,'Data'!$F$5992&lt;&gt;""),'Data'!$F$5992,"")</f>
        <v/>
      </c>
      <c r="Z5991" t="n">
        <v>1</v>
      </c>
      <c r="AA5991">
        <f>IF(ISNUMBER('IN-CLASS_Lab Part C'!$J$5991),'IN-CLASS_Lab Part C'!$J$5991,NA())</f>
        <v/>
      </c>
    </row>
    <row r="5992">
      <c r="J5992">
        <f>IF(AND(ISNUMBER('Data'!$F$5993),'Data'!$F$5993&lt;&gt;999,'Data'!$F$5993&lt;&gt;""),'Data'!$F$5993,"")</f>
        <v/>
      </c>
      <c r="Z5992" t="n">
        <v>1</v>
      </c>
      <c r="AA5992">
        <f>IF(ISNUMBER('IN-CLASS_Lab Part C'!$J$5992),'IN-CLASS_Lab Part C'!$J$5992,NA())</f>
        <v/>
      </c>
    </row>
    <row r="5993">
      <c r="J5993">
        <f>IF(AND(ISNUMBER('Data'!$F$5994),'Data'!$F$5994&lt;&gt;999,'Data'!$F$5994&lt;&gt;""),'Data'!$F$5994,"")</f>
        <v/>
      </c>
      <c r="Z5993" t="n">
        <v>1</v>
      </c>
      <c r="AA5993">
        <f>IF(ISNUMBER('IN-CLASS_Lab Part C'!$J$5993),'IN-CLASS_Lab Part C'!$J$5993,NA())</f>
        <v/>
      </c>
    </row>
    <row r="5994">
      <c r="J5994">
        <f>IF(AND(ISNUMBER('Data'!$F$5995),'Data'!$F$5995&lt;&gt;999,'Data'!$F$5995&lt;&gt;""),'Data'!$F$5995,"")</f>
        <v/>
      </c>
      <c r="Z5994" t="n">
        <v>1</v>
      </c>
      <c r="AA5994">
        <f>IF(ISNUMBER('IN-CLASS_Lab Part C'!$J$5994),'IN-CLASS_Lab Part C'!$J$5994,NA())</f>
        <v/>
      </c>
    </row>
    <row r="5995">
      <c r="J5995">
        <f>IF(AND(ISNUMBER('Data'!$F$5996),'Data'!$F$5996&lt;&gt;999,'Data'!$F$5996&lt;&gt;""),'Data'!$F$5996,"")</f>
        <v/>
      </c>
      <c r="Z5995" t="n">
        <v>1</v>
      </c>
      <c r="AA5995">
        <f>IF(ISNUMBER('IN-CLASS_Lab Part C'!$J$5995),'IN-CLASS_Lab Part C'!$J$5995,NA())</f>
        <v/>
      </c>
    </row>
    <row r="5996">
      <c r="J5996">
        <f>IF(AND(ISNUMBER('Data'!$F$5997),'Data'!$F$5997&lt;&gt;999,'Data'!$F$5997&lt;&gt;""),'Data'!$F$5997,"")</f>
        <v/>
      </c>
      <c r="Z5996" t="n">
        <v>1</v>
      </c>
      <c r="AA5996">
        <f>IF(ISNUMBER('IN-CLASS_Lab Part C'!$J$5996),'IN-CLASS_Lab Part C'!$J$5996,NA())</f>
        <v/>
      </c>
    </row>
    <row r="5997">
      <c r="J5997">
        <f>IF(AND(ISNUMBER('Data'!$F$5998),'Data'!$F$5998&lt;&gt;999,'Data'!$F$5998&lt;&gt;""),'Data'!$F$5998,"")</f>
        <v/>
      </c>
      <c r="Z5997" t="n">
        <v>1</v>
      </c>
      <c r="AA5997">
        <f>IF(ISNUMBER('IN-CLASS_Lab Part C'!$J$5997),'IN-CLASS_Lab Part C'!$J$5997,NA())</f>
        <v/>
      </c>
    </row>
    <row r="5998">
      <c r="J5998">
        <f>IF(AND(ISNUMBER('Data'!$F$5999),'Data'!$F$5999&lt;&gt;999,'Data'!$F$5999&lt;&gt;""),'Data'!$F$5999,"")</f>
        <v/>
      </c>
      <c r="Z5998" t="n">
        <v>1</v>
      </c>
      <c r="AA5998">
        <f>IF(ISNUMBER('IN-CLASS_Lab Part C'!$J$5998),'IN-CLASS_Lab Part C'!$J$5998,NA())</f>
        <v/>
      </c>
    </row>
    <row r="5999">
      <c r="J5999">
        <f>IF(AND(ISNUMBER('Data'!$F$6000),'Data'!$F$6000&lt;&gt;999,'Data'!$F$6000&lt;&gt;""),'Data'!$F$6000,"")</f>
        <v/>
      </c>
      <c r="Z5999" t="n">
        <v>1</v>
      </c>
      <c r="AA5999">
        <f>IF(ISNUMBER('IN-CLASS_Lab Part C'!$J$5999),'IN-CLASS_Lab Part C'!$J$5999,NA())</f>
        <v/>
      </c>
    </row>
    <row r="6000">
      <c r="J6000">
        <f>IF(AND(ISNUMBER('Data'!$F$6001),'Data'!$F$6001&lt;&gt;999,'Data'!$F$6001&lt;&gt;""),'Data'!$F$6001,"")</f>
        <v/>
      </c>
      <c r="Z6000" t="n">
        <v>1</v>
      </c>
      <c r="AA6000">
        <f>IF(ISNUMBER('IN-CLASS_Lab Part C'!$J$6000),'IN-CLASS_Lab Part C'!$J$6000,NA())</f>
        <v/>
      </c>
    </row>
    <row r="6001">
      <c r="J6001">
        <f>IF(AND(ISNUMBER('Data'!$F$6002),'Data'!$F$6002&lt;&gt;999,'Data'!$F$6002&lt;&gt;""),'Data'!$F$6002,"")</f>
        <v/>
      </c>
      <c r="Z6001" t="n">
        <v>1</v>
      </c>
      <c r="AA6001">
        <f>IF(ISNUMBER('IN-CLASS_Lab Part C'!$J$6001),'IN-CLASS_Lab Part C'!$J$6001,NA())</f>
        <v/>
      </c>
    </row>
    <row r="6002">
      <c r="J6002">
        <f>IF(AND(ISNUMBER('Data'!$F$6003),'Data'!$F$6003&lt;&gt;999,'Data'!$F$6003&lt;&gt;""),'Data'!$F$6003,"")</f>
        <v/>
      </c>
      <c r="Z6002" t="n">
        <v>1</v>
      </c>
      <c r="AA6002">
        <f>IF(ISNUMBER('IN-CLASS_Lab Part C'!$J$6002),'IN-CLASS_Lab Part C'!$J$6002,NA())</f>
        <v/>
      </c>
    </row>
    <row r="6003">
      <c r="J6003">
        <f>IF(AND(ISNUMBER('Data'!$F$6004),'Data'!$F$6004&lt;&gt;999,'Data'!$F$6004&lt;&gt;""),'Data'!$F$6004,"")</f>
        <v/>
      </c>
      <c r="Z6003" t="n">
        <v>1</v>
      </c>
      <c r="AA6003">
        <f>IF(ISNUMBER('IN-CLASS_Lab Part C'!$J$6003),'IN-CLASS_Lab Part C'!$J$6003,NA())</f>
        <v/>
      </c>
    </row>
    <row r="6004">
      <c r="J6004">
        <f>IF(AND(ISNUMBER('Data'!$F$6005),'Data'!$F$6005&lt;&gt;999,'Data'!$F$6005&lt;&gt;""),'Data'!$F$6005,"")</f>
        <v/>
      </c>
      <c r="Z6004" t="n">
        <v>1</v>
      </c>
      <c r="AA6004">
        <f>IF(ISNUMBER('IN-CLASS_Lab Part C'!$J$6004),'IN-CLASS_Lab Part C'!$J$6004,NA())</f>
        <v/>
      </c>
    </row>
    <row r="6005">
      <c r="J6005">
        <f>IF(AND(ISNUMBER('Data'!$F$6006),'Data'!$F$6006&lt;&gt;999,'Data'!$F$6006&lt;&gt;""),'Data'!$F$6006,"")</f>
        <v/>
      </c>
      <c r="Z6005" t="n">
        <v>1</v>
      </c>
      <c r="AA6005">
        <f>IF(ISNUMBER('IN-CLASS_Lab Part C'!$J$6005),'IN-CLASS_Lab Part C'!$J$6005,NA())</f>
        <v/>
      </c>
    </row>
    <row r="6006">
      <c r="J6006">
        <f>IF(AND(ISNUMBER('Data'!$F$6007),'Data'!$F$6007&lt;&gt;999,'Data'!$F$6007&lt;&gt;""),'Data'!$F$6007,"")</f>
        <v/>
      </c>
      <c r="Z6006" t="n">
        <v>1</v>
      </c>
      <c r="AA6006">
        <f>IF(ISNUMBER('IN-CLASS_Lab Part C'!$J$6006),'IN-CLASS_Lab Part C'!$J$6006,NA())</f>
        <v/>
      </c>
    </row>
    <row r="6007">
      <c r="J6007">
        <f>IF(AND(ISNUMBER('Data'!$F$6008),'Data'!$F$6008&lt;&gt;999,'Data'!$F$6008&lt;&gt;""),'Data'!$F$6008,"")</f>
        <v/>
      </c>
      <c r="Z6007" t="n">
        <v>1</v>
      </c>
      <c r="AA6007">
        <f>IF(ISNUMBER('IN-CLASS_Lab Part C'!$J$6007),'IN-CLASS_Lab Part C'!$J$6007,NA())</f>
        <v/>
      </c>
    </row>
    <row r="6008">
      <c r="J6008">
        <f>IF(AND(ISNUMBER('Data'!$F$6009),'Data'!$F$6009&lt;&gt;999,'Data'!$F$6009&lt;&gt;""),'Data'!$F$6009,"")</f>
        <v/>
      </c>
      <c r="Z6008" t="n">
        <v>1</v>
      </c>
      <c r="AA6008">
        <f>IF(ISNUMBER('IN-CLASS_Lab Part C'!$J$6008),'IN-CLASS_Lab Part C'!$J$6008,NA())</f>
        <v/>
      </c>
    </row>
    <row r="6009">
      <c r="J6009">
        <f>IF(AND(ISNUMBER('Data'!$F$6010),'Data'!$F$6010&lt;&gt;999,'Data'!$F$6010&lt;&gt;""),'Data'!$F$6010,"")</f>
        <v/>
      </c>
      <c r="Z6009" t="n">
        <v>1</v>
      </c>
      <c r="AA6009">
        <f>IF(ISNUMBER('IN-CLASS_Lab Part C'!$J$6009),'IN-CLASS_Lab Part C'!$J$6009,NA())</f>
        <v/>
      </c>
    </row>
    <row r="6010">
      <c r="J6010">
        <f>IF(AND(ISNUMBER('Data'!$F$6011),'Data'!$F$6011&lt;&gt;999,'Data'!$F$6011&lt;&gt;""),'Data'!$F$6011,"")</f>
        <v/>
      </c>
      <c r="Z6010" t="n">
        <v>1</v>
      </c>
      <c r="AA6010">
        <f>IF(ISNUMBER('IN-CLASS_Lab Part C'!$J$6010),'IN-CLASS_Lab Part C'!$J$6010,NA())</f>
        <v/>
      </c>
    </row>
    <row r="6011">
      <c r="J6011">
        <f>IF(AND(ISNUMBER('Data'!$F$6012),'Data'!$F$6012&lt;&gt;999,'Data'!$F$6012&lt;&gt;""),'Data'!$F$6012,"")</f>
        <v/>
      </c>
      <c r="Z6011" t="n">
        <v>1</v>
      </c>
      <c r="AA6011">
        <f>IF(ISNUMBER('IN-CLASS_Lab Part C'!$J$6011),'IN-CLASS_Lab Part C'!$J$6011,NA())</f>
        <v/>
      </c>
    </row>
    <row r="6012">
      <c r="J6012">
        <f>IF(AND(ISNUMBER('Data'!$F$6013),'Data'!$F$6013&lt;&gt;999,'Data'!$F$6013&lt;&gt;""),'Data'!$F$6013,"")</f>
        <v/>
      </c>
      <c r="Z6012" t="n">
        <v>1</v>
      </c>
      <c r="AA6012">
        <f>IF(ISNUMBER('IN-CLASS_Lab Part C'!$J$6012),'IN-CLASS_Lab Part C'!$J$6012,NA())</f>
        <v/>
      </c>
    </row>
    <row r="6013">
      <c r="J6013">
        <f>IF(AND(ISNUMBER('Data'!$F$6014),'Data'!$F$6014&lt;&gt;999,'Data'!$F$6014&lt;&gt;""),'Data'!$F$6014,"")</f>
        <v/>
      </c>
      <c r="Z6013" t="n">
        <v>1</v>
      </c>
      <c r="AA6013">
        <f>IF(ISNUMBER('IN-CLASS_Lab Part C'!$J$6013),'IN-CLASS_Lab Part C'!$J$6013,NA())</f>
        <v/>
      </c>
    </row>
    <row r="6014">
      <c r="J6014">
        <f>IF(AND(ISNUMBER('Data'!$F$6015),'Data'!$F$6015&lt;&gt;999,'Data'!$F$6015&lt;&gt;""),'Data'!$F$6015,"")</f>
        <v/>
      </c>
      <c r="Z6014" t="n">
        <v>1</v>
      </c>
      <c r="AA6014">
        <f>IF(ISNUMBER('IN-CLASS_Lab Part C'!$J$6014),'IN-CLASS_Lab Part C'!$J$6014,NA())</f>
        <v/>
      </c>
    </row>
    <row r="6015">
      <c r="J6015">
        <f>IF(AND(ISNUMBER('Data'!$F$6016),'Data'!$F$6016&lt;&gt;999,'Data'!$F$6016&lt;&gt;""),'Data'!$F$6016,"")</f>
        <v/>
      </c>
      <c r="Z6015" t="n">
        <v>1</v>
      </c>
      <c r="AA6015">
        <f>IF(ISNUMBER('IN-CLASS_Lab Part C'!$J$6015),'IN-CLASS_Lab Part C'!$J$6015,NA())</f>
        <v/>
      </c>
    </row>
    <row r="6016">
      <c r="J6016">
        <f>IF(AND(ISNUMBER('Data'!$F$6017),'Data'!$F$6017&lt;&gt;999,'Data'!$F$6017&lt;&gt;""),'Data'!$F$6017,"")</f>
        <v/>
      </c>
      <c r="Z6016" t="n">
        <v>1</v>
      </c>
      <c r="AA6016">
        <f>IF(ISNUMBER('IN-CLASS_Lab Part C'!$J$6016),'IN-CLASS_Lab Part C'!$J$6016,NA())</f>
        <v/>
      </c>
    </row>
    <row r="6017">
      <c r="J6017">
        <f>IF(AND(ISNUMBER('Data'!$F$6018),'Data'!$F$6018&lt;&gt;999,'Data'!$F$6018&lt;&gt;""),'Data'!$F$6018,"")</f>
        <v/>
      </c>
      <c r="Z6017" t="n">
        <v>1</v>
      </c>
      <c r="AA6017">
        <f>IF(ISNUMBER('IN-CLASS_Lab Part C'!$J$6017),'IN-CLASS_Lab Part C'!$J$6017,NA())</f>
        <v/>
      </c>
    </row>
    <row r="6018">
      <c r="J6018">
        <f>IF(AND(ISNUMBER('Data'!$F$6019),'Data'!$F$6019&lt;&gt;999,'Data'!$F$6019&lt;&gt;""),'Data'!$F$6019,"")</f>
        <v/>
      </c>
      <c r="Z6018" t="n">
        <v>1</v>
      </c>
      <c r="AA6018">
        <f>IF(ISNUMBER('IN-CLASS_Lab Part C'!$J$6018),'IN-CLASS_Lab Part C'!$J$6018,NA())</f>
        <v/>
      </c>
    </row>
    <row r="6019">
      <c r="J6019">
        <f>IF(AND(ISNUMBER('Data'!$F$6020),'Data'!$F$6020&lt;&gt;999,'Data'!$F$6020&lt;&gt;""),'Data'!$F$6020,"")</f>
        <v/>
      </c>
      <c r="Z6019" t="n">
        <v>1</v>
      </c>
      <c r="AA6019">
        <f>IF(ISNUMBER('IN-CLASS_Lab Part C'!$J$6019),'IN-CLASS_Lab Part C'!$J$6019,NA())</f>
        <v/>
      </c>
    </row>
    <row r="6020">
      <c r="J6020">
        <f>IF(AND(ISNUMBER('Data'!$F$6021),'Data'!$F$6021&lt;&gt;999,'Data'!$F$6021&lt;&gt;""),'Data'!$F$6021,"")</f>
        <v/>
      </c>
      <c r="Z6020" t="n">
        <v>1</v>
      </c>
      <c r="AA6020">
        <f>IF(ISNUMBER('IN-CLASS_Lab Part C'!$J$6020),'IN-CLASS_Lab Part C'!$J$6020,NA())</f>
        <v/>
      </c>
    </row>
    <row r="6021">
      <c r="J6021">
        <f>IF(AND(ISNUMBER('Data'!$F$6022),'Data'!$F$6022&lt;&gt;999,'Data'!$F$6022&lt;&gt;""),'Data'!$F$6022,"")</f>
        <v/>
      </c>
      <c r="Z6021" t="n">
        <v>1</v>
      </c>
      <c r="AA6021">
        <f>IF(ISNUMBER('IN-CLASS_Lab Part C'!$J$6021),'IN-CLASS_Lab Part C'!$J$6021,NA())</f>
        <v/>
      </c>
    </row>
    <row r="6022">
      <c r="J6022">
        <f>IF(AND(ISNUMBER('Data'!$F$6023),'Data'!$F$6023&lt;&gt;999,'Data'!$F$6023&lt;&gt;""),'Data'!$F$6023,"")</f>
        <v/>
      </c>
      <c r="Z6022" t="n">
        <v>1</v>
      </c>
      <c r="AA6022">
        <f>IF(ISNUMBER('IN-CLASS_Lab Part C'!$J$6022),'IN-CLASS_Lab Part C'!$J$6022,NA())</f>
        <v/>
      </c>
    </row>
    <row r="6023">
      <c r="J6023">
        <f>IF(AND(ISNUMBER('Data'!$F$6024),'Data'!$F$6024&lt;&gt;999,'Data'!$F$6024&lt;&gt;""),'Data'!$F$6024,"")</f>
        <v/>
      </c>
      <c r="Z6023" t="n">
        <v>1</v>
      </c>
      <c r="AA6023">
        <f>IF(ISNUMBER('IN-CLASS_Lab Part C'!$J$6023),'IN-CLASS_Lab Part C'!$J$6023,NA())</f>
        <v/>
      </c>
    </row>
    <row r="6024">
      <c r="J6024">
        <f>IF(AND(ISNUMBER('Data'!$F$6025),'Data'!$F$6025&lt;&gt;999,'Data'!$F$6025&lt;&gt;""),'Data'!$F$6025,"")</f>
        <v/>
      </c>
      <c r="Z6024" t="n">
        <v>1</v>
      </c>
      <c r="AA6024">
        <f>IF(ISNUMBER('IN-CLASS_Lab Part C'!$J$6024),'IN-CLASS_Lab Part C'!$J$6024,NA())</f>
        <v/>
      </c>
    </row>
    <row r="6025">
      <c r="J6025">
        <f>IF(AND(ISNUMBER('Data'!$F$6026),'Data'!$F$6026&lt;&gt;999,'Data'!$F$6026&lt;&gt;""),'Data'!$F$6026,"")</f>
        <v/>
      </c>
      <c r="Z6025" t="n">
        <v>1</v>
      </c>
      <c r="AA6025">
        <f>IF(ISNUMBER('IN-CLASS_Lab Part C'!$J$6025),'IN-CLASS_Lab Part C'!$J$6025,NA())</f>
        <v/>
      </c>
    </row>
    <row r="6026">
      <c r="J6026">
        <f>IF(AND(ISNUMBER('Data'!$F$6027),'Data'!$F$6027&lt;&gt;999,'Data'!$F$6027&lt;&gt;""),'Data'!$F$6027,"")</f>
        <v/>
      </c>
      <c r="Z6026" t="n">
        <v>1</v>
      </c>
      <c r="AA6026">
        <f>IF(ISNUMBER('IN-CLASS_Lab Part C'!$J$6026),'IN-CLASS_Lab Part C'!$J$6026,NA())</f>
        <v/>
      </c>
    </row>
    <row r="6027">
      <c r="J6027">
        <f>IF(AND(ISNUMBER('Data'!$F$6028),'Data'!$F$6028&lt;&gt;999,'Data'!$F$6028&lt;&gt;""),'Data'!$F$6028,"")</f>
        <v/>
      </c>
      <c r="Z6027" t="n">
        <v>1</v>
      </c>
      <c r="AA6027">
        <f>IF(ISNUMBER('IN-CLASS_Lab Part C'!$J$6027),'IN-CLASS_Lab Part C'!$J$6027,NA())</f>
        <v/>
      </c>
    </row>
    <row r="6028">
      <c r="J6028">
        <f>IF(AND(ISNUMBER('Data'!$F$6029),'Data'!$F$6029&lt;&gt;999,'Data'!$F$6029&lt;&gt;""),'Data'!$F$6029,"")</f>
        <v/>
      </c>
      <c r="Z6028" t="n">
        <v>1</v>
      </c>
      <c r="AA6028">
        <f>IF(ISNUMBER('IN-CLASS_Lab Part C'!$J$6028),'IN-CLASS_Lab Part C'!$J$6028,NA())</f>
        <v/>
      </c>
    </row>
    <row r="6029">
      <c r="J6029">
        <f>IF(AND(ISNUMBER('Data'!$F$6030),'Data'!$F$6030&lt;&gt;999,'Data'!$F$6030&lt;&gt;""),'Data'!$F$6030,"")</f>
        <v/>
      </c>
      <c r="Z6029" t="n">
        <v>1</v>
      </c>
      <c r="AA6029">
        <f>IF(ISNUMBER('IN-CLASS_Lab Part C'!$J$6029),'IN-CLASS_Lab Part C'!$J$6029,NA())</f>
        <v/>
      </c>
    </row>
    <row r="6030">
      <c r="J6030">
        <f>IF(AND(ISNUMBER('Data'!$F$6031),'Data'!$F$6031&lt;&gt;999,'Data'!$F$6031&lt;&gt;""),'Data'!$F$6031,"")</f>
        <v/>
      </c>
      <c r="Z6030" t="n">
        <v>1</v>
      </c>
      <c r="AA6030">
        <f>IF(ISNUMBER('IN-CLASS_Lab Part C'!$J$6030),'IN-CLASS_Lab Part C'!$J$6030,NA())</f>
        <v/>
      </c>
    </row>
    <row r="6031">
      <c r="J6031">
        <f>IF(AND(ISNUMBER('Data'!$F$6032),'Data'!$F$6032&lt;&gt;999,'Data'!$F$6032&lt;&gt;""),'Data'!$F$6032,"")</f>
        <v/>
      </c>
      <c r="Z6031" t="n">
        <v>1</v>
      </c>
      <c r="AA6031">
        <f>IF(ISNUMBER('IN-CLASS_Lab Part C'!$J$6031),'IN-CLASS_Lab Part C'!$J$6031,NA())</f>
        <v/>
      </c>
    </row>
    <row r="6032">
      <c r="J6032">
        <f>IF(AND(ISNUMBER('Data'!$F$6033),'Data'!$F$6033&lt;&gt;999,'Data'!$F$6033&lt;&gt;""),'Data'!$F$6033,"")</f>
        <v/>
      </c>
      <c r="Z6032" t="n">
        <v>1</v>
      </c>
      <c r="AA6032">
        <f>IF(ISNUMBER('IN-CLASS_Lab Part C'!$J$6032),'IN-CLASS_Lab Part C'!$J$6032,NA())</f>
        <v/>
      </c>
    </row>
    <row r="6033">
      <c r="J6033">
        <f>IF(AND(ISNUMBER('Data'!$F$6034),'Data'!$F$6034&lt;&gt;999,'Data'!$F$6034&lt;&gt;""),'Data'!$F$6034,"")</f>
        <v/>
      </c>
      <c r="Z6033" t="n">
        <v>1</v>
      </c>
      <c r="AA6033">
        <f>IF(ISNUMBER('IN-CLASS_Lab Part C'!$J$6033),'IN-CLASS_Lab Part C'!$J$6033,NA())</f>
        <v/>
      </c>
    </row>
    <row r="6034">
      <c r="J6034">
        <f>IF(AND(ISNUMBER('Data'!$F$6035),'Data'!$F$6035&lt;&gt;999,'Data'!$F$6035&lt;&gt;""),'Data'!$F$6035,"")</f>
        <v/>
      </c>
      <c r="Z6034" t="n">
        <v>1</v>
      </c>
      <c r="AA6034">
        <f>IF(ISNUMBER('IN-CLASS_Lab Part C'!$J$6034),'IN-CLASS_Lab Part C'!$J$6034,NA())</f>
        <v/>
      </c>
    </row>
    <row r="6035">
      <c r="J6035">
        <f>IF(AND(ISNUMBER('Data'!$F$6036),'Data'!$F$6036&lt;&gt;999,'Data'!$F$6036&lt;&gt;""),'Data'!$F$6036,"")</f>
        <v/>
      </c>
      <c r="Z6035" t="n">
        <v>1</v>
      </c>
      <c r="AA6035">
        <f>IF(ISNUMBER('IN-CLASS_Lab Part C'!$J$6035),'IN-CLASS_Lab Part C'!$J$6035,NA())</f>
        <v/>
      </c>
    </row>
    <row r="6036">
      <c r="J6036">
        <f>IF(AND(ISNUMBER('Data'!$F$6037),'Data'!$F$6037&lt;&gt;999,'Data'!$F$6037&lt;&gt;""),'Data'!$F$6037,"")</f>
        <v/>
      </c>
      <c r="Z6036" t="n">
        <v>1</v>
      </c>
      <c r="AA6036">
        <f>IF(ISNUMBER('IN-CLASS_Lab Part C'!$J$6036),'IN-CLASS_Lab Part C'!$J$6036,NA())</f>
        <v/>
      </c>
    </row>
    <row r="6037">
      <c r="J6037">
        <f>IF(AND(ISNUMBER('Data'!$F$6038),'Data'!$F$6038&lt;&gt;999,'Data'!$F$6038&lt;&gt;""),'Data'!$F$6038,"")</f>
        <v/>
      </c>
      <c r="Z6037" t="n">
        <v>1</v>
      </c>
      <c r="AA6037">
        <f>IF(ISNUMBER('IN-CLASS_Lab Part C'!$J$6037),'IN-CLASS_Lab Part C'!$J$6037,NA())</f>
        <v/>
      </c>
    </row>
    <row r="6038">
      <c r="J6038">
        <f>IF(AND(ISNUMBER('Data'!$F$6039),'Data'!$F$6039&lt;&gt;999,'Data'!$F$6039&lt;&gt;""),'Data'!$F$6039,"")</f>
        <v/>
      </c>
      <c r="Z6038" t="n">
        <v>1</v>
      </c>
      <c r="AA6038">
        <f>IF(ISNUMBER('IN-CLASS_Lab Part C'!$J$6038),'IN-CLASS_Lab Part C'!$J$6038,NA())</f>
        <v/>
      </c>
    </row>
    <row r="6039">
      <c r="J6039">
        <f>IF(AND(ISNUMBER('Data'!$F$6040),'Data'!$F$6040&lt;&gt;999,'Data'!$F$6040&lt;&gt;""),'Data'!$F$6040,"")</f>
        <v/>
      </c>
      <c r="Z6039" t="n">
        <v>1</v>
      </c>
      <c r="AA6039">
        <f>IF(ISNUMBER('IN-CLASS_Lab Part C'!$J$6039),'IN-CLASS_Lab Part C'!$J$6039,NA())</f>
        <v/>
      </c>
    </row>
    <row r="6040">
      <c r="J6040">
        <f>IF(AND(ISNUMBER('Data'!$F$6041),'Data'!$F$6041&lt;&gt;999,'Data'!$F$6041&lt;&gt;""),'Data'!$F$6041,"")</f>
        <v/>
      </c>
      <c r="Z6040" t="n">
        <v>1</v>
      </c>
      <c r="AA6040">
        <f>IF(ISNUMBER('IN-CLASS_Lab Part C'!$J$6040),'IN-CLASS_Lab Part C'!$J$6040,NA())</f>
        <v/>
      </c>
    </row>
    <row r="6041">
      <c r="J6041">
        <f>IF(AND(ISNUMBER('Data'!$F$6042),'Data'!$F$6042&lt;&gt;999,'Data'!$F$6042&lt;&gt;""),'Data'!$F$6042,"")</f>
        <v/>
      </c>
      <c r="Z6041" t="n">
        <v>1</v>
      </c>
      <c r="AA6041">
        <f>IF(ISNUMBER('IN-CLASS_Lab Part C'!$J$6041),'IN-CLASS_Lab Part C'!$J$6041,NA())</f>
        <v/>
      </c>
    </row>
    <row r="6042">
      <c r="J6042">
        <f>IF(AND(ISNUMBER('Data'!$F$6043),'Data'!$F$6043&lt;&gt;999,'Data'!$F$6043&lt;&gt;""),'Data'!$F$6043,"")</f>
        <v/>
      </c>
      <c r="Z6042" t="n">
        <v>1</v>
      </c>
      <c r="AA6042">
        <f>IF(ISNUMBER('IN-CLASS_Lab Part C'!$J$6042),'IN-CLASS_Lab Part C'!$J$6042,NA())</f>
        <v/>
      </c>
    </row>
    <row r="6043">
      <c r="J6043">
        <f>IF(AND(ISNUMBER('Data'!$F$6044),'Data'!$F$6044&lt;&gt;999,'Data'!$F$6044&lt;&gt;""),'Data'!$F$6044,"")</f>
        <v/>
      </c>
      <c r="Z6043" t="n">
        <v>1</v>
      </c>
      <c r="AA6043">
        <f>IF(ISNUMBER('IN-CLASS_Lab Part C'!$J$6043),'IN-CLASS_Lab Part C'!$J$6043,NA())</f>
        <v/>
      </c>
    </row>
    <row r="6044">
      <c r="J6044">
        <f>IF(AND(ISNUMBER('Data'!$F$6045),'Data'!$F$6045&lt;&gt;999,'Data'!$F$6045&lt;&gt;""),'Data'!$F$6045,"")</f>
        <v/>
      </c>
      <c r="Z6044" t="n">
        <v>1</v>
      </c>
      <c r="AA6044">
        <f>IF(ISNUMBER('IN-CLASS_Lab Part C'!$J$6044),'IN-CLASS_Lab Part C'!$J$6044,NA())</f>
        <v/>
      </c>
    </row>
    <row r="6045">
      <c r="J6045">
        <f>IF(AND(ISNUMBER('Data'!$F$6046),'Data'!$F$6046&lt;&gt;999,'Data'!$F$6046&lt;&gt;""),'Data'!$F$6046,"")</f>
        <v/>
      </c>
      <c r="Z6045" t="n">
        <v>1</v>
      </c>
      <c r="AA6045">
        <f>IF(ISNUMBER('IN-CLASS_Lab Part C'!$J$6045),'IN-CLASS_Lab Part C'!$J$6045,NA())</f>
        <v/>
      </c>
    </row>
    <row r="6046">
      <c r="J6046">
        <f>IF(AND(ISNUMBER('Data'!$F$6047),'Data'!$F$6047&lt;&gt;999,'Data'!$F$6047&lt;&gt;""),'Data'!$F$6047,"")</f>
        <v/>
      </c>
      <c r="Z6046" t="n">
        <v>1</v>
      </c>
      <c r="AA6046">
        <f>IF(ISNUMBER('IN-CLASS_Lab Part C'!$J$6046),'IN-CLASS_Lab Part C'!$J$6046,NA())</f>
        <v/>
      </c>
    </row>
    <row r="6047">
      <c r="J6047">
        <f>IF(AND(ISNUMBER('Data'!$F$6048),'Data'!$F$6048&lt;&gt;999,'Data'!$F$6048&lt;&gt;""),'Data'!$F$6048,"")</f>
        <v/>
      </c>
      <c r="Z6047" t="n">
        <v>1</v>
      </c>
      <c r="AA6047">
        <f>IF(ISNUMBER('IN-CLASS_Lab Part C'!$J$6047),'IN-CLASS_Lab Part C'!$J$6047,NA())</f>
        <v/>
      </c>
    </row>
    <row r="6048">
      <c r="J6048">
        <f>IF(AND(ISNUMBER('Data'!$F$6049),'Data'!$F$6049&lt;&gt;999,'Data'!$F$6049&lt;&gt;""),'Data'!$F$6049,"")</f>
        <v/>
      </c>
      <c r="Z6048" t="n">
        <v>1</v>
      </c>
      <c r="AA6048">
        <f>IF(ISNUMBER('IN-CLASS_Lab Part C'!$J$6048),'IN-CLASS_Lab Part C'!$J$6048,NA())</f>
        <v/>
      </c>
    </row>
    <row r="6049">
      <c r="J6049">
        <f>IF(AND(ISNUMBER('Data'!$F$6050),'Data'!$F$6050&lt;&gt;999,'Data'!$F$6050&lt;&gt;""),'Data'!$F$6050,"")</f>
        <v/>
      </c>
      <c r="Z6049" t="n">
        <v>1</v>
      </c>
      <c r="AA6049">
        <f>IF(ISNUMBER('IN-CLASS_Lab Part C'!$J$6049),'IN-CLASS_Lab Part C'!$J$6049,NA())</f>
        <v/>
      </c>
    </row>
    <row r="6050">
      <c r="J6050">
        <f>IF(AND(ISNUMBER('Data'!$F$6051),'Data'!$F$6051&lt;&gt;999,'Data'!$F$6051&lt;&gt;""),'Data'!$F$6051,"")</f>
        <v/>
      </c>
      <c r="Z6050" t="n">
        <v>1</v>
      </c>
      <c r="AA6050">
        <f>IF(ISNUMBER('IN-CLASS_Lab Part C'!$J$6050),'IN-CLASS_Lab Part C'!$J$6050,NA())</f>
        <v/>
      </c>
    </row>
    <row r="6051">
      <c r="J6051">
        <f>IF(AND(ISNUMBER('Data'!$F$6052),'Data'!$F$6052&lt;&gt;999,'Data'!$F$6052&lt;&gt;""),'Data'!$F$6052,"")</f>
        <v/>
      </c>
      <c r="Z6051" t="n">
        <v>1</v>
      </c>
      <c r="AA6051">
        <f>IF(ISNUMBER('IN-CLASS_Lab Part C'!$J$6051),'IN-CLASS_Lab Part C'!$J$6051,NA())</f>
        <v/>
      </c>
    </row>
    <row r="6052">
      <c r="J6052">
        <f>IF(AND(ISNUMBER('Data'!$F$6053),'Data'!$F$6053&lt;&gt;999,'Data'!$F$6053&lt;&gt;""),'Data'!$F$6053,"")</f>
        <v/>
      </c>
      <c r="Z6052" t="n">
        <v>1</v>
      </c>
      <c r="AA6052">
        <f>IF(ISNUMBER('IN-CLASS_Lab Part C'!$J$6052),'IN-CLASS_Lab Part C'!$J$6052,NA())</f>
        <v/>
      </c>
    </row>
    <row r="6053">
      <c r="J6053">
        <f>IF(AND(ISNUMBER('Data'!$F$6054),'Data'!$F$6054&lt;&gt;999,'Data'!$F$6054&lt;&gt;""),'Data'!$F$6054,"")</f>
        <v/>
      </c>
      <c r="Z6053" t="n">
        <v>1</v>
      </c>
      <c r="AA6053">
        <f>IF(ISNUMBER('IN-CLASS_Lab Part C'!$J$6053),'IN-CLASS_Lab Part C'!$J$6053,NA())</f>
        <v/>
      </c>
    </row>
    <row r="6054">
      <c r="J6054">
        <f>IF(AND(ISNUMBER('Data'!$F$6055),'Data'!$F$6055&lt;&gt;999,'Data'!$F$6055&lt;&gt;""),'Data'!$F$6055,"")</f>
        <v/>
      </c>
      <c r="Z6054" t="n">
        <v>1</v>
      </c>
      <c r="AA6054">
        <f>IF(ISNUMBER('IN-CLASS_Lab Part C'!$J$6054),'IN-CLASS_Lab Part C'!$J$6054,NA())</f>
        <v/>
      </c>
    </row>
    <row r="6055">
      <c r="J6055">
        <f>IF(AND(ISNUMBER('Data'!$F$6056),'Data'!$F$6056&lt;&gt;999,'Data'!$F$6056&lt;&gt;""),'Data'!$F$6056,"")</f>
        <v/>
      </c>
      <c r="Z6055" t="n">
        <v>1</v>
      </c>
      <c r="AA6055">
        <f>IF(ISNUMBER('IN-CLASS_Lab Part C'!$J$6055),'IN-CLASS_Lab Part C'!$J$6055,NA())</f>
        <v/>
      </c>
    </row>
    <row r="6056">
      <c r="J6056">
        <f>IF(AND(ISNUMBER('Data'!$F$6057),'Data'!$F$6057&lt;&gt;999,'Data'!$F$6057&lt;&gt;""),'Data'!$F$6057,"")</f>
        <v/>
      </c>
      <c r="Z6056" t="n">
        <v>1</v>
      </c>
      <c r="AA6056">
        <f>IF(ISNUMBER('IN-CLASS_Lab Part C'!$J$6056),'IN-CLASS_Lab Part C'!$J$6056,NA())</f>
        <v/>
      </c>
    </row>
    <row r="6057">
      <c r="J6057">
        <f>IF(AND(ISNUMBER('Data'!$F$6058),'Data'!$F$6058&lt;&gt;999,'Data'!$F$6058&lt;&gt;""),'Data'!$F$6058,"")</f>
        <v/>
      </c>
      <c r="Z6057" t="n">
        <v>1</v>
      </c>
      <c r="AA6057">
        <f>IF(ISNUMBER('IN-CLASS_Lab Part C'!$J$6057),'IN-CLASS_Lab Part C'!$J$6057,NA())</f>
        <v/>
      </c>
    </row>
    <row r="6058">
      <c r="J6058">
        <f>IF(AND(ISNUMBER('Data'!$F$6059),'Data'!$F$6059&lt;&gt;999,'Data'!$F$6059&lt;&gt;""),'Data'!$F$6059,"")</f>
        <v/>
      </c>
      <c r="Z6058" t="n">
        <v>1</v>
      </c>
      <c r="AA6058">
        <f>IF(ISNUMBER('IN-CLASS_Lab Part C'!$J$6058),'IN-CLASS_Lab Part C'!$J$6058,NA())</f>
        <v/>
      </c>
    </row>
    <row r="6059">
      <c r="J6059">
        <f>IF(AND(ISNUMBER('Data'!$F$6060),'Data'!$F$6060&lt;&gt;999,'Data'!$F$6060&lt;&gt;""),'Data'!$F$6060,"")</f>
        <v/>
      </c>
      <c r="Z6059" t="n">
        <v>1</v>
      </c>
      <c r="AA6059">
        <f>IF(ISNUMBER('IN-CLASS_Lab Part C'!$J$6059),'IN-CLASS_Lab Part C'!$J$6059,NA())</f>
        <v/>
      </c>
    </row>
    <row r="6060">
      <c r="J6060">
        <f>IF(AND(ISNUMBER('Data'!$F$6061),'Data'!$F$6061&lt;&gt;999,'Data'!$F$6061&lt;&gt;""),'Data'!$F$6061,"")</f>
        <v/>
      </c>
      <c r="Z6060" t="n">
        <v>1</v>
      </c>
      <c r="AA6060">
        <f>IF(ISNUMBER('IN-CLASS_Lab Part C'!$J$6060),'IN-CLASS_Lab Part C'!$J$6060,NA())</f>
        <v/>
      </c>
    </row>
    <row r="6061">
      <c r="J6061">
        <f>IF(AND(ISNUMBER('Data'!$F$6062),'Data'!$F$6062&lt;&gt;999,'Data'!$F$6062&lt;&gt;""),'Data'!$F$6062,"")</f>
        <v/>
      </c>
      <c r="Z6061" t="n">
        <v>1</v>
      </c>
      <c r="AA6061">
        <f>IF(ISNUMBER('IN-CLASS_Lab Part C'!$J$6061),'IN-CLASS_Lab Part C'!$J$6061,NA())</f>
        <v/>
      </c>
    </row>
    <row r="6062">
      <c r="J6062">
        <f>IF(AND(ISNUMBER('Data'!$F$6063),'Data'!$F$6063&lt;&gt;999,'Data'!$F$6063&lt;&gt;""),'Data'!$F$6063,"")</f>
        <v/>
      </c>
      <c r="Z6062" t="n">
        <v>1</v>
      </c>
      <c r="AA6062">
        <f>IF(ISNUMBER('IN-CLASS_Lab Part C'!$J$6062),'IN-CLASS_Lab Part C'!$J$6062,NA())</f>
        <v/>
      </c>
    </row>
    <row r="6063">
      <c r="J6063">
        <f>IF(AND(ISNUMBER('Data'!$F$6064),'Data'!$F$6064&lt;&gt;999,'Data'!$F$6064&lt;&gt;""),'Data'!$F$6064,"")</f>
        <v/>
      </c>
      <c r="Z6063" t="n">
        <v>1</v>
      </c>
      <c r="AA6063">
        <f>IF(ISNUMBER('IN-CLASS_Lab Part C'!$J$6063),'IN-CLASS_Lab Part C'!$J$6063,NA())</f>
        <v/>
      </c>
    </row>
    <row r="6064">
      <c r="J6064">
        <f>IF(AND(ISNUMBER('Data'!$F$6065),'Data'!$F$6065&lt;&gt;999,'Data'!$F$6065&lt;&gt;""),'Data'!$F$6065,"")</f>
        <v/>
      </c>
      <c r="Z6064" t="n">
        <v>1</v>
      </c>
      <c r="AA6064">
        <f>IF(ISNUMBER('IN-CLASS_Lab Part C'!$J$6064),'IN-CLASS_Lab Part C'!$J$6064,NA())</f>
        <v/>
      </c>
    </row>
    <row r="6065">
      <c r="J6065">
        <f>IF(AND(ISNUMBER('Data'!$F$6066),'Data'!$F$6066&lt;&gt;999,'Data'!$F$6066&lt;&gt;""),'Data'!$F$6066,"")</f>
        <v/>
      </c>
      <c r="Z6065" t="n">
        <v>1</v>
      </c>
      <c r="AA6065">
        <f>IF(ISNUMBER('IN-CLASS_Lab Part C'!$J$6065),'IN-CLASS_Lab Part C'!$J$6065,NA())</f>
        <v/>
      </c>
    </row>
    <row r="6066">
      <c r="J6066">
        <f>IF(AND(ISNUMBER('Data'!$F$6067),'Data'!$F$6067&lt;&gt;999,'Data'!$F$6067&lt;&gt;""),'Data'!$F$6067,"")</f>
        <v/>
      </c>
      <c r="Z6066" t="n">
        <v>1</v>
      </c>
      <c r="AA6066">
        <f>IF(ISNUMBER('IN-CLASS_Lab Part C'!$J$6066),'IN-CLASS_Lab Part C'!$J$6066,NA())</f>
        <v/>
      </c>
    </row>
    <row r="6067">
      <c r="J6067">
        <f>IF(AND(ISNUMBER('Data'!$F$6068),'Data'!$F$6068&lt;&gt;999,'Data'!$F$6068&lt;&gt;""),'Data'!$F$6068,"")</f>
        <v/>
      </c>
      <c r="Z6067" t="n">
        <v>1</v>
      </c>
      <c r="AA6067">
        <f>IF(ISNUMBER('IN-CLASS_Lab Part C'!$J$6067),'IN-CLASS_Lab Part C'!$J$6067,NA())</f>
        <v/>
      </c>
    </row>
    <row r="6068">
      <c r="J6068">
        <f>IF(AND(ISNUMBER('Data'!$F$6069),'Data'!$F$6069&lt;&gt;999,'Data'!$F$6069&lt;&gt;""),'Data'!$F$6069,"")</f>
        <v/>
      </c>
      <c r="Z6068" t="n">
        <v>1</v>
      </c>
      <c r="AA6068">
        <f>IF(ISNUMBER('IN-CLASS_Lab Part C'!$J$6068),'IN-CLASS_Lab Part C'!$J$6068,NA())</f>
        <v/>
      </c>
    </row>
    <row r="6069">
      <c r="J6069">
        <f>IF(AND(ISNUMBER('Data'!$F$6070),'Data'!$F$6070&lt;&gt;999,'Data'!$F$6070&lt;&gt;""),'Data'!$F$6070,"")</f>
        <v/>
      </c>
      <c r="Z6069" t="n">
        <v>1</v>
      </c>
      <c r="AA6069">
        <f>IF(ISNUMBER('IN-CLASS_Lab Part C'!$J$6069),'IN-CLASS_Lab Part C'!$J$6069,NA())</f>
        <v/>
      </c>
    </row>
    <row r="6070">
      <c r="J6070">
        <f>IF(AND(ISNUMBER('Data'!$F$6071),'Data'!$F$6071&lt;&gt;999,'Data'!$F$6071&lt;&gt;""),'Data'!$F$6071,"")</f>
        <v/>
      </c>
      <c r="Z6070" t="n">
        <v>1</v>
      </c>
      <c r="AA6070">
        <f>IF(ISNUMBER('IN-CLASS_Lab Part C'!$J$6070),'IN-CLASS_Lab Part C'!$J$6070,NA())</f>
        <v/>
      </c>
    </row>
    <row r="6071">
      <c r="J6071">
        <f>IF(AND(ISNUMBER('Data'!$F$6072),'Data'!$F$6072&lt;&gt;999,'Data'!$F$6072&lt;&gt;""),'Data'!$F$6072,"")</f>
        <v/>
      </c>
      <c r="Z6071" t="n">
        <v>1</v>
      </c>
      <c r="AA6071">
        <f>IF(ISNUMBER('IN-CLASS_Lab Part C'!$J$6071),'IN-CLASS_Lab Part C'!$J$6071,NA())</f>
        <v/>
      </c>
    </row>
    <row r="6072">
      <c r="J6072">
        <f>IF(AND(ISNUMBER('Data'!$F$6073),'Data'!$F$6073&lt;&gt;999,'Data'!$F$6073&lt;&gt;""),'Data'!$F$6073,"")</f>
        <v/>
      </c>
      <c r="Z6072" t="n">
        <v>1</v>
      </c>
      <c r="AA6072">
        <f>IF(ISNUMBER('IN-CLASS_Lab Part C'!$J$6072),'IN-CLASS_Lab Part C'!$J$6072,NA())</f>
        <v/>
      </c>
    </row>
    <row r="6073">
      <c r="J6073">
        <f>IF(AND(ISNUMBER('Data'!$F$6074),'Data'!$F$6074&lt;&gt;999,'Data'!$F$6074&lt;&gt;""),'Data'!$F$6074,"")</f>
        <v/>
      </c>
      <c r="Z6073" t="n">
        <v>1</v>
      </c>
      <c r="AA6073">
        <f>IF(ISNUMBER('IN-CLASS_Lab Part C'!$J$6073),'IN-CLASS_Lab Part C'!$J$6073,NA())</f>
        <v/>
      </c>
    </row>
    <row r="6074">
      <c r="J6074">
        <f>IF(AND(ISNUMBER('Data'!$F$6075),'Data'!$F$6075&lt;&gt;999,'Data'!$F$6075&lt;&gt;""),'Data'!$F$6075,"")</f>
        <v/>
      </c>
      <c r="Z6074" t="n">
        <v>1</v>
      </c>
      <c r="AA6074">
        <f>IF(ISNUMBER('IN-CLASS_Lab Part C'!$J$6074),'IN-CLASS_Lab Part C'!$J$6074,NA())</f>
        <v/>
      </c>
    </row>
    <row r="6075">
      <c r="J6075">
        <f>IF(AND(ISNUMBER('Data'!$F$6076),'Data'!$F$6076&lt;&gt;999,'Data'!$F$6076&lt;&gt;""),'Data'!$F$6076,"")</f>
        <v/>
      </c>
      <c r="Z6075" t="n">
        <v>1</v>
      </c>
      <c r="AA6075">
        <f>IF(ISNUMBER('IN-CLASS_Lab Part C'!$J$6075),'IN-CLASS_Lab Part C'!$J$6075,NA())</f>
        <v/>
      </c>
    </row>
    <row r="6076">
      <c r="J6076">
        <f>IF(AND(ISNUMBER('Data'!$F$6077),'Data'!$F$6077&lt;&gt;999,'Data'!$F$6077&lt;&gt;""),'Data'!$F$6077,"")</f>
        <v/>
      </c>
      <c r="Z6076" t="n">
        <v>1</v>
      </c>
      <c r="AA6076">
        <f>IF(ISNUMBER('IN-CLASS_Lab Part C'!$J$6076),'IN-CLASS_Lab Part C'!$J$6076,NA())</f>
        <v/>
      </c>
    </row>
    <row r="6077">
      <c r="J6077">
        <f>IF(AND(ISNUMBER('Data'!$F$6078),'Data'!$F$6078&lt;&gt;999,'Data'!$F$6078&lt;&gt;""),'Data'!$F$6078,"")</f>
        <v/>
      </c>
      <c r="Z6077" t="n">
        <v>1</v>
      </c>
      <c r="AA6077">
        <f>IF(ISNUMBER('IN-CLASS_Lab Part C'!$J$6077),'IN-CLASS_Lab Part C'!$J$6077,NA())</f>
        <v/>
      </c>
    </row>
    <row r="6078">
      <c r="J6078">
        <f>IF(AND(ISNUMBER('Data'!$F$6079),'Data'!$F$6079&lt;&gt;999,'Data'!$F$6079&lt;&gt;""),'Data'!$F$6079,"")</f>
        <v/>
      </c>
      <c r="Z6078" t="n">
        <v>1</v>
      </c>
      <c r="AA6078">
        <f>IF(ISNUMBER('IN-CLASS_Lab Part C'!$J$6078),'IN-CLASS_Lab Part C'!$J$6078,NA())</f>
        <v/>
      </c>
    </row>
    <row r="6079">
      <c r="J6079">
        <f>IF(AND(ISNUMBER('Data'!$F$6080),'Data'!$F$6080&lt;&gt;999,'Data'!$F$6080&lt;&gt;""),'Data'!$F$6080,"")</f>
        <v/>
      </c>
      <c r="Z6079" t="n">
        <v>1</v>
      </c>
      <c r="AA6079">
        <f>IF(ISNUMBER('IN-CLASS_Lab Part C'!$J$6079),'IN-CLASS_Lab Part C'!$J$6079,NA())</f>
        <v/>
      </c>
    </row>
    <row r="6080">
      <c r="J6080">
        <f>IF(AND(ISNUMBER('Data'!$F$6081),'Data'!$F$6081&lt;&gt;999,'Data'!$F$6081&lt;&gt;""),'Data'!$F$6081,"")</f>
        <v/>
      </c>
      <c r="Z6080" t="n">
        <v>1</v>
      </c>
      <c r="AA6080">
        <f>IF(ISNUMBER('IN-CLASS_Lab Part C'!$J$6080),'IN-CLASS_Lab Part C'!$J$6080,NA())</f>
        <v/>
      </c>
    </row>
    <row r="6081">
      <c r="J6081">
        <f>IF(AND(ISNUMBER('Data'!$F$6082),'Data'!$F$6082&lt;&gt;999,'Data'!$F$6082&lt;&gt;""),'Data'!$F$6082,"")</f>
        <v/>
      </c>
      <c r="Z6081" t="n">
        <v>1</v>
      </c>
      <c r="AA6081">
        <f>IF(ISNUMBER('IN-CLASS_Lab Part C'!$J$6081),'IN-CLASS_Lab Part C'!$J$6081,NA())</f>
        <v/>
      </c>
    </row>
    <row r="6082">
      <c r="J6082">
        <f>IF(AND(ISNUMBER('Data'!$F$6083),'Data'!$F$6083&lt;&gt;999,'Data'!$F$6083&lt;&gt;""),'Data'!$F$6083,"")</f>
        <v/>
      </c>
      <c r="Z6082" t="n">
        <v>1</v>
      </c>
      <c r="AA6082">
        <f>IF(ISNUMBER('IN-CLASS_Lab Part C'!$J$6082),'IN-CLASS_Lab Part C'!$J$6082,NA())</f>
        <v/>
      </c>
    </row>
    <row r="6083">
      <c r="J6083">
        <f>IF(AND(ISNUMBER('Data'!$F$6084),'Data'!$F$6084&lt;&gt;999,'Data'!$F$6084&lt;&gt;""),'Data'!$F$6084,"")</f>
        <v/>
      </c>
      <c r="Z6083" t="n">
        <v>1</v>
      </c>
      <c r="AA6083">
        <f>IF(ISNUMBER('IN-CLASS_Lab Part C'!$J$6083),'IN-CLASS_Lab Part C'!$J$6083,NA())</f>
        <v/>
      </c>
    </row>
    <row r="6084">
      <c r="J6084">
        <f>IF(AND(ISNUMBER('Data'!$F$6085),'Data'!$F$6085&lt;&gt;999,'Data'!$F$6085&lt;&gt;""),'Data'!$F$6085,"")</f>
        <v/>
      </c>
      <c r="Z6084" t="n">
        <v>1</v>
      </c>
      <c r="AA6084">
        <f>IF(ISNUMBER('IN-CLASS_Lab Part C'!$J$6084),'IN-CLASS_Lab Part C'!$J$6084,NA())</f>
        <v/>
      </c>
    </row>
    <row r="6085">
      <c r="J6085">
        <f>IF(AND(ISNUMBER('Data'!$F$6086),'Data'!$F$6086&lt;&gt;999,'Data'!$F$6086&lt;&gt;""),'Data'!$F$6086,"")</f>
        <v/>
      </c>
      <c r="Z6085" t="n">
        <v>1</v>
      </c>
      <c r="AA6085">
        <f>IF(ISNUMBER('IN-CLASS_Lab Part C'!$J$6085),'IN-CLASS_Lab Part C'!$J$6085,NA())</f>
        <v/>
      </c>
    </row>
    <row r="6086">
      <c r="J6086">
        <f>IF(AND(ISNUMBER('Data'!$F$6087),'Data'!$F$6087&lt;&gt;999,'Data'!$F$6087&lt;&gt;""),'Data'!$F$6087,"")</f>
        <v/>
      </c>
      <c r="Z6086" t="n">
        <v>1</v>
      </c>
      <c r="AA6086">
        <f>IF(ISNUMBER('IN-CLASS_Lab Part C'!$J$6086),'IN-CLASS_Lab Part C'!$J$6086,NA())</f>
        <v/>
      </c>
    </row>
    <row r="6087">
      <c r="J6087">
        <f>IF(AND(ISNUMBER('Data'!$F$6088),'Data'!$F$6088&lt;&gt;999,'Data'!$F$6088&lt;&gt;""),'Data'!$F$6088,"")</f>
        <v/>
      </c>
      <c r="Z6087" t="n">
        <v>1</v>
      </c>
      <c r="AA6087">
        <f>IF(ISNUMBER('IN-CLASS_Lab Part C'!$J$6087),'IN-CLASS_Lab Part C'!$J$6087,NA())</f>
        <v/>
      </c>
    </row>
    <row r="6088">
      <c r="J6088">
        <f>IF(AND(ISNUMBER('Data'!$F$6089),'Data'!$F$6089&lt;&gt;999,'Data'!$F$6089&lt;&gt;""),'Data'!$F$6089,"")</f>
        <v/>
      </c>
      <c r="Z6088" t="n">
        <v>1</v>
      </c>
      <c r="AA6088">
        <f>IF(ISNUMBER('IN-CLASS_Lab Part C'!$J$6088),'IN-CLASS_Lab Part C'!$J$6088,NA())</f>
        <v/>
      </c>
    </row>
    <row r="6089">
      <c r="J6089">
        <f>IF(AND(ISNUMBER('Data'!$F$6090),'Data'!$F$6090&lt;&gt;999,'Data'!$F$6090&lt;&gt;""),'Data'!$F$6090,"")</f>
        <v/>
      </c>
      <c r="Z6089" t="n">
        <v>1</v>
      </c>
      <c r="AA6089">
        <f>IF(ISNUMBER('IN-CLASS_Lab Part C'!$J$6089),'IN-CLASS_Lab Part C'!$J$6089,NA())</f>
        <v/>
      </c>
    </row>
    <row r="6090">
      <c r="J6090">
        <f>IF(AND(ISNUMBER('Data'!$F$6091),'Data'!$F$6091&lt;&gt;999,'Data'!$F$6091&lt;&gt;""),'Data'!$F$6091,"")</f>
        <v/>
      </c>
      <c r="Z6090" t="n">
        <v>1</v>
      </c>
      <c r="AA6090">
        <f>IF(ISNUMBER('IN-CLASS_Lab Part C'!$J$6090),'IN-CLASS_Lab Part C'!$J$6090,NA())</f>
        <v/>
      </c>
    </row>
    <row r="6091">
      <c r="J6091">
        <f>IF(AND(ISNUMBER('Data'!$F$6092),'Data'!$F$6092&lt;&gt;999,'Data'!$F$6092&lt;&gt;""),'Data'!$F$6092,"")</f>
        <v/>
      </c>
      <c r="Z6091" t="n">
        <v>1</v>
      </c>
      <c r="AA6091">
        <f>IF(ISNUMBER('IN-CLASS_Lab Part C'!$J$6091),'IN-CLASS_Lab Part C'!$J$6091,NA())</f>
        <v/>
      </c>
    </row>
    <row r="6092">
      <c r="J6092">
        <f>IF(AND(ISNUMBER('Data'!$F$6093),'Data'!$F$6093&lt;&gt;999,'Data'!$F$6093&lt;&gt;""),'Data'!$F$6093,"")</f>
        <v/>
      </c>
      <c r="Z6092" t="n">
        <v>1</v>
      </c>
      <c r="AA6092">
        <f>IF(ISNUMBER('IN-CLASS_Lab Part C'!$J$6092),'IN-CLASS_Lab Part C'!$J$6092,NA())</f>
        <v/>
      </c>
    </row>
    <row r="6093">
      <c r="J6093">
        <f>IF(AND(ISNUMBER('Data'!$F$6094),'Data'!$F$6094&lt;&gt;999,'Data'!$F$6094&lt;&gt;""),'Data'!$F$6094,"")</f>
        <v/>
      </c>
      <c r="Z6093" t="n">
        <v>1</v>
      </c>
      <c r="AA6093">
        <f>IF(ISNUMBER('IN-CLASS_Lab Part C'!$J$6093),'IN-CLASS_Lab Part C'!$J$6093,NA())</f>
        <v/>
      </c>
    </row>
    <row r="6094">
      <c r="J6094">
        <f>IF(AND(ISNUMBER('Data'!$F$6095),'Data'!$F$6095&lt;&gt;999,'Data'!$F$6095&lt;&gt;""),'Data'!$F$6095,"")</f>
        <v/>
      </c>
      <c r="Z6094" t="n">
        <v>1</v>
      </c>
      <c r="AA6094">
        <f>IF(ISNUMBER('IN-CLASS_Lab Part C'!$J$6094),'IN-CLASS_Lab Part C'!$J$6094,NA())</f>
        <v/>
      </c>
    </row>
    <row r="6095">
      <c r="J6095">
        <f>IF(AND(ISNUMBER('Data'!$F$6096),'Data'!$F$6096&lt;&gt;999,'Data'!$F$6096&lt;&gt;""),'Data'!$F$6096,"")</f>
        <v/>
      </c>
      <c r="Z6095" t="n">
        <v>1</v>
      </c>
      <c r="AA6095">
        <f>IF(ISNUMBER('IN-CLASS_Lab Part C'!$J$6095),'IN-CLASS_Lab Part C'!$J$6095,NA())</f>
        <v/>
      </c>
    </row>
    <row r="6096">
      <c r="J6096">
        <f>IF(AND(ISNUMBER('Data'!$F$6097),'Data'!$F$6097&lt;&gt;999,'Data'!$F$6097&lt;&gt;""),'Data'!$F$6097,"")</f>
        <v/>
      </c>
      <c r="Z6096" t="n">
        <v>1</v>
      </c>
      <c r="AA6096">
        <f>IF(ISNUMBER('IN-CLASS_Lab Part C'!$J$6096),'IN-CLASS_Lab Part C'!$J$6096,NA())</f>
        <v/>
      </c>
    </row>
    <row r="6097">
      <c r="J6097">
        <f>IF(AND(ISNUMBER('Data'!$F$6098),'Data'!$F$6098&lt;&gt;999,'Data'!$F$6098&lt;&gt;""),'Data'!$F$6098,"")</f>
        <v/>
      </c>
      <c r="Z6097" t="n">
        <v>1</v>
      </c>
      <c r="AA6097">
        <f>IF(ISNUMBER('IN-CLASS_Lab Part C'!$J$6097),'IN-CLASS_Lab Part C'!$J$6097,NA())</f>
        <v/>
      </c>
    </row>
    <row r="6098">
      <c r="J6098">
        <f>IF(AND(ISNUMBER('Data'!$F$6099),'Data'!$F$6099&lt;&gt;999,'Data'!$F$6099&lt;&gt;""),'Data'!$F$6099,"")</f>
        <v/>
      </c>
      <c r="Z6098" t="n">
        <v>1</v>
      </c>
      <c r="AA6098">
        <f>IF(ISNUMBER('IN-CLASS_Lab Part C'!$J$6098),'IN-CLASS_Lab Part C'!$J$6098,NA())</f>
        <v/>
      </c>
    </row>
    <row r="6099">
      <c r="J6099">
        <f>IF(AND(ISNUMBER('Data'!$F$6100),'Data'!$F$6100&lt;&gt;999,'Data'!$F$6100&lt;&gt;""),'Data'!$F$6100,"")</f>
        <v/>
      </c>
      <c r="Z6099" t="n">
        <v>1</v>
      </c>
      <c r="AA6099">
        <f>IF(ISNUMBER('IN-CLASS_Lab Part C'!$J$6099),'IN-CLASS_Lab Part C'!$J$6099,NA())</f>
        <v/>
      </c>
    </row>
    <row r="6100">
      <c r="J6100">
        <f>IF(AND(ISNUMBER('Data'!$F$6101),'Data'!$F$6101&lt;&gt;999,'Data'!$F$6101&lt;&gt;""),'Data'!$F$6101,"")</f>
        <v/>
      </c>
      <c r="Z6100" t="n">
        <v>1</v>
      </c>
      <c r="AA6100">
        <f>IF(ISNUMBER('IN-CLASS_Lab Part C'!$J$6100),'IN-CLASS_Lab Part C'!$J$6100,NA())</f>
        <v/>
      </c>
    </row>
    <row r="6101">
      <c r="J6101">
        <f>IF(AND(ISNUMBER('Data'!$F$6102),'Data'!$F$6102&lt;&gt;999,'Data'!$F$6102&lt;&gt;""),'Data'!$F$6102,"")</f>
        <v/>
      </c>
      <c r="Z6101" t="n">
        <v>1</v>
      </c>
      <c r="AA6101">
        <f>IF(ISNUMBER('IN-CLASS_Lab Part C'!$J$6101),'IN-CLASS_Lab Part C'!$J$6101,NA())</f>
        <v/>
      </c>
    </row>
    <row r="6102">
      <c r="J6102">
        <f>IF(AND(ISNUMBER('Data'!$F$6103),'Data'!$F$6103&lt;&gt;999,'Data'!$F$6103&lt;&gt;""),'Data'!$F$6103,"")</f>
        <v/>
      </c>
      <c r="Z6102" t="n">
        <v>1</v>
      </c>
      <c r="AA6102">
        <f>IF(ISNUMBER('IN-CLASS_Lab Part C'!$J$6102),'IN-CLASS_Lab Part C'!$J$6102,NA())</f>
        <v/>
      </c>
    </row>
    <row r="6103">
      <c r="J6103">
        <f>IF(AND(ISNUMBER('Data'!$F$6104),'Data'!$F$6104&lt;&gt;999,'Data'!$F$6104&lt;&gt;""),'Data'!$F$6104,"")</f>
        <v/>
      </c>
      <c r="Z6103" t="n">
        <v>1</v>
      </c>
      <c r="AA6103">
        <f>IF(ISNUMBER('IN-CLASS_Lab Part C'!$J$6103),'IN-CLASS_Lab Part C'!$J$6103,NA())</f>
        <v/>
      </c>
    </row>
    <row r="6104">
      <c r="J6104">
        <f>IF(AND(ISNUMBER('Data'!$F$6105),'Data'!$F$6105&lt;&gt;999,'Data'!$F$6105&lt;&gt;""),'Data'!$F$6105,"")</f>
        <v/>
      </c>
      <c r="Z6104" t="n">
        <v>1</v>
      </c>
      <c r="AA6104">
        <f>IF(ISNUMBER('IN-CLASS_Lab Part C'!$J$6104),'IN-CLASS_Lab Part C'!$J$6104,NA())</f>
        <v/>
      </c>
    </row>
    <row r="6105">
      <c r="J6105">
        <f>IF(AND(ISNUMBER('Data'!$F$6106),'Data'!$F$6106&lt;&gt;999,'Data'!$F$6106&lt;&gt;""),'Data'!$F$6106,"")</f>
        <v/>
      </c>
      <c r="Z6105" t="n">
        <v>1</v>
      </c>
      <c r="AA6105">
        <f>IF(ISNUMBER('IN-CLASS_Lab Part C'!$J$6105),'IN-CLASS_Lab Part C'!$J$6105,NA())</f>
        <v/>
      </c>
    </row>
    <row r="6106">
      <c r="J6106">
        <f>IF(AND(ISNUMBER('Data'!$F$6107),'Data'!$F$6107&lt;&gt;999,'Data'!$F$6107&lt;&gt;""),'Data'!$F$6107,"")</f>
        <v/>
      </c>
      <c r="Z6106" t="n">
        <v>1</v>
      </c>
      <c r="AA6106">
        <f>IF(ISNUMBER('IN-CLASS_Lab Part C'!$J$6106),'IN-CLASS_Lab Part C'!$J$6106,NA())</f>
        <v/>
      </c>
    </row>
    <row r="6107">
      <c r="J6107">
        <f>IF(AND(ISNUMBER('Data'!$F$6108),'Data'!$F$6108&lt;&gt;999,'Data'!$F$6108&lt;&gt;""),'Data'!$F$6108,"")</f>
        <v/>
      </c>
      <c r="Z6107" t="n">
        <v>1</v>
      </c>
      <c r="AA6107">
        <f>IF(ISNUMBER('IN-CLASS_Lab Part C'!$J$6107),'IN-CLASS_Lab Part C'!$J$6107,NA())</f>
        <v/>
      </c>
    </row>
    <row r="6108">
      <c r="J6108">
        <f>IF(AND(ISNUMBER('Data'!$F$6109),'Data'!$F$6109&lt;&gt;999,'Data'!$F$6109&lt;&gt;""),'Data'!$F$6109,"")</f>
        <v/>
      </c>
      <c r="Z6108" t="n">
        <v>1</v>
      </c>
      <c r="AA6108">
        <f>IF(ISNUMBER('IN-CLASS_Lab Part C'!$J$6108),'IN-CLASS_Lab Part C'!$J$6108,NA())</f>
        <v/>
      </c>
    </row>
    <row r="6109">
      <c r="J6109">
        <f>IF(AND(ISNUMBER('Data'!$F$6110),'Data'!$F$6110&lt;&gt;999,'Data'!$F$6110&lt;&gt;""),'Data'!$F$6110,"")</f>
        <v/>
      </c>
      <c r="Z6109" t="n">
        <v>1</v>
      </c>
      <c r="AA6109">
        <f>IF(ISNUMBER('IN-CLASS_Lab Part C'!$J$6109),'IN-CLASS_Lab Part C'!$J$6109,NA())</f>
        <v/>
      </c>
    </row>
    <row r="6110">
      <c r="J6110">
        <f>IF(AND(ISNUMBER('Data'!$F$6111),'Data'!$F$6111&lt;&gt;999,'Data'!$F$6111&lt;&gt;""),'Data'!$F$6111,"")</f>
        <v/>
      </c>
      <c r="Z6110" t="n">
        <v>1</v>
      </c>
      <c r="AA6110">
        <f>IF(ISNUMBER('IN-CLASS_Lab Part C'!$J$6110),'IN-CLASS_Lab Part C'!$J$6110,NA())</f>
        <v/>
      </c>
    </row>
    <row r="6111">
      <c r="J6111">
        <f>IF(AND(ISNUMBER('Data'!$F$6112),'Data'!$F$6112&lt;&gt;999,'Data'!$F$6112&lt;&gt;""),'Data'!$F$6112,"")</f>
        <v/>
      </c>
      <c r="Z6111" t="n">
        <v>1</v>
      </c>
      <c r="AA6111">
        <f>IF(ISNUMBER('IN-CLASS_Lab Part C'!$J$6111),'IN-CLASS_Lab Part C'!$J$6111,NA())</f>
        <v/>
      </c>
    </row>
    <row r="6112">
      <c r="J6112">
        <f>IF(AND(ISNUMBER('Data'!$F$6113),'Data'!$F$6113&lt;&gt;999,'Data'!$F$6113&lt;&gt;""),'Data'!$F$6113,"")</f>
        <v/>
      </c>
      <c r="Z6112" t="n">
        <v>1</v>
      </c>
      <c r="AA6112">
        <f>IF(ISNUMBER('IN-CLASS_Lab Part C'!$J$6112),'IN-CLASS_Lab Part C'!$J$6112,NA())</f>
        <v/>
      </c>
    </row>
    <row r="6113">
      <c r="J6113">
        <f>IF(AND(ISNUMBER('Data'!$F$6114),'Data'!$F$6114&lt;&gt;999,'Data'!$F$6114&lt;&gt;""),'Data'!$F$6114,"")</f>
        <v/>
      </c>
      <c r="Z6113" t="n">
        <v>1</v>
      </c>
      <c r="AA6113">
        <f>IF(ISNUMBER('IN-CLASS_Lab Part C'!$J$6113),'IN-CLASS_Lab Part C'!$J$6113,NA())</f>
        <v/>
      </c>
    </row>
    <row r="6114">
      <c r="J6114">
        <f>IF(AND(ISNUMBER('Data'!$F$6115),'Data'!$F$6115&lt;&gt;999,'Data'!$F$6115&lt;&gt;""),'Data'!$F$6115,"")</f>
        <v/>
      </c>
      <c r="Z6114" t="n">
        <v>1</v>
      </c>
      <c r="AA6114">
        <f>IF(ISNUMBER('IN-CLASS_Lab Part C'!$J$6114),'IN-CLASS_Lab Part C'!$J$6114,NA())</f>
        <v/>
      </c>
    </row>
    <row r="6115">
      <c r="J6115">
        <f>IF(AND(ISNUMBER('Data'!$F$6116),'Data'!$F$6116&lt;&gt;999,'Data'!$F$6116&lt;&gt;""),'Data'!$F$6116,"")</f>
        <v/>
      </c>
      <c r="Z6115" t="n">
        <v>1</v>
      </c>
      <c r="AA6115">
        <f>IF(ISNUMBER('IN-CLASS_Lab Part C'!$J$6115),'IN-CLASS_Lab Part C'!$J$6115,NA())</f>
        <v/>
      </c>
    </row>
    <row r="6116">
      <c r="J6116">
        <f>IF(AND(ISNUMBER('Data'!$F$6117),'Data'!$F$6117&lt;&gt;999,'Data'!$F$6117&lt;&gt;""),'Data'!$F$6117,"")</f>
        <v/>
      </c>
      <c r="Z6116" t="n">
        <v>1</v>
      </c>
      <c r="AA6116">
        <f>IF(ISNUMBER('IN-CLASS_Lab Part C'!$J$6116),'IN-CLASS_Lab Part C'!$J$6116,NA())</f>
        <v/>
      </c>
    </row>
    <row r="6117">
      <c r="J6117">
        <f>IF(AND(ISNUMBER('Data'!$F$6118),'Data'!$F$6118&lt;&gt;999,'Data'!$F$6118&lt;&gt;""),'Data'!$F$6118,"")</f>
        <v/>
      </c>
      <c r="Z6117" t="n">
        <v>1</v>
      </c>
      <c r="AA6117">
        <f>IF(ISNUMBER('IN-CLASS_Lab Part C'!$J$6117),'IN-CLASS_Lab Part C'!$J$6117,NA())</f>
        <v/>
      </c>
    </row>
    <row r="6118">
      <c r="J6118">
        <f>IF(AND(ISNUMBER('Data'!$F$6119),'Data'!$F$6119&lt;&gt;999,'Data'!$F$6119&lt;&gt;""),'Data'!$F$6119,"")</f>
        <v/>
      </c>
      <c r="Z6118" t="n">
        <v>1</v>
      </c>
      <c r="AA6118">
        <f>IF(ISNUMBER('IN-CLASS_Lab Part C'!$J$6118),'IN-CLASS_Lab Part C'!$J$6118,NA())</f>
        <v/>
      </c>
    </row>
    <row r="6119">
      <c r="J6119">
        <f>IF(AND(ISNUMBER('Data'!$F$6120),'Data'!$F$6120&lt;&gt;999,'Data'!$F$6120&lt;&gt;""),'Data'!$F$6120,"")</f>
        <v/>
      </c>
      <c r="Z6119" t="n">
        <v>1</v>
      </c>
      <c r="AA6119">
        <f>IF(ISNUMBER('IN-CLASS_Lab Part C'!$J$6119),'IN-CLASS_Lab Part C'!$J$6119,NA())</f>
        <v/>
      </c>
    </row>
    <row r="6120">
      <c r="J6120">
        <f>IF(AND(ISNUMBER('Data'!$F$6121),'Data'!$F$6121&lt;&gt;999,'Data'!$F$6121&lt;&gt;""),'Data'!$F$6121,"")</f>
        <v/>
      </c>
      <c r="Z6120" t="n">
        <v>1</v>
      </c>
      <c r="AA6120">
        <f>IF(ISNUMBER('IN-CLASS_Lab Part C'!$J$6120),'IN-CLASS_Lab Part C'!$J$6120,NA())</f>
        <v/>
      </c>
    </row>
    <row r="6121">
      <c r="J6121">
        <f>IF(AND(ISNUMBER('Data'!$F$6122),'Data'!$F$6122&lt;&gt;999,'Data'!$F$6122&lt;&gt;""),'Data'!$F$6122,"")</f>
        <v/>
      </c>
      <c r="Z6121" t="n">
        <v>1</v>
      </c>
      <c r="AA6121">
        <f>IF(ISNUMBER('IN-CLASS_Lab Part C'!$J$6121),'IN-CLASS_Lab Part C'!$J$6121,NA())</f>
        <v/>
      </c>
    </row>
    <row r="6122">
      <c r="J6122">
        <f>IF(AND(ISNUMBER('Data'!$F$6123),'Data'!$F$6123&lt;&gt;999,'Data'!$F$6123&lt;&gt;""),'Data'!$F$6123,"")</f>
        <v/>
      </c>
      <c r="Z6122" t="n">
        <v>1</v>
      </c>
      <c r="AA6122">
        <f>IF(ISNUMBER('IN-CLASS_Lab Part C'!$J$6122),'IN-CLASS_Lab Part C'!$J$6122,NA())</f>
        <v/>
      </c>
    </row>
    <row r="6123">
      <c r="J6123">
        <f>IF(AND(ISNUMBER('Data'!$F$6124),'Data'!$F$6124&lt;&gt;999,'Data'!$F$6124&lt;&gt;""),'Data'!$F$6124,"")</f>
        <v/>
      </c>
      <c r="Z6123" t="n">
        <v>1</v>
      </c>
      <c r="AA6123">
        <f>IF(ISNUMBER('IN-CLASS_Lab Part C'!$J$6123),'IN-CLASS_Lab Part C'!$J$6123,NA())</f>
        <v/>
      </c>
    </row>
    <row r="6124">
      <c r="J6124">
        <f>IF(AND(ISNUMBER('Data'!$F$6125),'Data'!$F$6125&lt;&gt;999,'Data'!$F$6125&lt;&gt;""),'Data'!$F$6125,"")</f>
        <v/>
      </c>
      <c r="Z6124" t="n">
        <v>1</v>
      </c>
      <c r="AA6124">
        <f>IF(ISNUMBER('IN-CLASS_Lab Part C'!$J$6124),'IN-CLASS_Lab Part C'!$J$6124,NA())</f>
        <v/>
      </c>
    </row>
    <row r="6125">
      <c r="J6125">
        <f>IF(AND(ISNUMBER('Data'!$F$6126),'Data'!$F$6126&lt;&gt;999,'Data'!$F$6126&lt;&gt;""),'Data'!$F$6126,"")</f>
        <v/>
      </c>
      <c r="Z6125" t="n">
        <v>1</v>
      </c>
      <c r="AA6125">
        <f>IF(ISNUMBER('IN-CLASS_Lab Part C'!$J$6125),'IN-CLASS_Lab Part C'!$J$6125,NA())</f>
        <v/>
      </c>
    </row>
    <row r="6126">
      <c r="J6126">
        <f>IF(AND(ISNUMBER('Data'!$F$6127),'Data'!$F$6127&lt;&gt;999,'Data'!$F$6127&lt;&gt;""),'Data'!$F$6127,"")</f>
        <v/>
      </c>
      <c r="Z6126" t="n">
        <v>1</v>
      </c>
      <c r="AA6126">
        <f>IF(ISNUMBER('IN-CLASS_Lab Part C'!$J$6126),'IN-CLASS_Lab Part C'!$J$6126,NA())</f>
        <v/>
      </c>
    </row>
    <row r="6127">
      <c r="J6127">
        <f>IF(AND(ISNUMBER('Data'!$F$6128),'Data'!$F$6128&lt;&gt;999,'Data'!$F$6128&lt;&gt;""),'Data'!$F$6128,"")</f>
        <v/>
      </c>
      <c r="Z6127" t="n">
        <v>1</v>
      </c>
      <c r="AA6127">
        <f>IF(ISNUMBER('IN-CLASS_Lab Part C'!$J$6127),'IN-CLASS_Lab Part C'!$J$6127,NA())</f>
        <v/>
      </c>
    </row>
    <row r="6128">
      <c r="J6128">
        <f>IF(AND(ISNUMBER('Data'!$F$6129),'Data'!$F$6129&lt;&gt;999,'Data'!$F$6129&lt;&gt;""),'Data'!$F$6129,"")</f>
        <v/>
      </c>
      <c r="Z6128" t="n">
        <v>1</v>
      </c>
      <c r="AA6128">
        <f>IF(ISNUMBER('IN-CLASS_Lab Part C'!$J$6128),'IN-CLASS_Lab Part C'!$J$6128,NA())</f>
        <v/>
      </c>
    </row>
    <row r="6129">
      <c r="J6129">
        <f>IF(AND(ISNUMBER('Data'!$F$6130),'Data'!$F$6130&lt;&gt;999,'Data'!$F$6130&lt;&gt;""),'Data'!$F$6130,"")</f>
        <v/>
      </c>
      <c r="Z6129" t="n">
        <v>1</v>
      </c>
      <c r="AA6129">
        <f>IF(ISNUMBER('IN-CLASS_Lab Part C'!$J$6129),'IN-CLASS_Lab Part C'!$J$6129,NA())</f>
        <v/>
      </c>
    </row>
    <row r="6130">
      <c r="J6130">
        <f>IF(AND(ISNUMBER('Data'!$F$6131),'Data'!$F$6131&lt;&gt;999,'Data'!$F$6131&lt;&gt;""),'Data'!$F$6131,"")</f>
        <v/>
      </c>
      <c r="Z6130" t="n">
        <v>1</v>
      </c>
      <c r="AA6130">
        <f>IF(ISNUMBER('IN-CLASS_Lab Part C'!$J$6130),'IN-CLASS_Lab Part C'!$J$6130,NA())</f>
        <v/>
      </c>
    </row>
    <row r="6131">
      <c r="J6131">
        <f>IF(AND(ISNUMBER('Data'!$F$6132),'Data'!$F$6132&lt;&gt;999,'Data'!$F$6132&lt;&gt;""),'Data'!$F$6132,"")</f>
        <v/>
      </c>
      <c r="Z6131" t="n">
        <v>1</v>
      </c>
      <c r="AA6131">
        <f>IF(ISNUMBER('IN-CLASS_Lab Part C'!$J$6131),'IN-CLASS_Lab Part C'!$J$6131,NA())</f>
        <v/>
      </c>
    </row>
    <row r="6132">
      <c r="J6132">
        <f>IF(AND(ISNUMBER('Data'!$F$6133),'Data'!$F$6133&lt;&gt;999,'Data'!$F$6133&lt;&gt;""),'Data'!$F$6133,"")</f>
        <v/>
      </c>
      <c r="Z6132" t="n">
        <v>1</v>
      </c>
      <c r="AA6132">
        <f>IF(ISNUMBER('IN-CLASS_Lab Part C'!$J$6132),'IN-CLASS_Lab Part C'!$J$6132,NA())</f>
        <v/>
      </c>
    </row>
    <row r="6133">
      <c r="J6133">
        <f>IF(AND(ISNUMBER('Data'!$F$6134),'Data'!$F$6134&lt;&gt;999,'Data'!$F$6134&lt;&gt;""),'Data'!$F$6134,"")</f>
        <v/>
      </c>
      <c r="Z6133" t="n">
        <v>1</v>
      </c>
      <c r="AA6133">
        <f>IF(ISNUMBER('IN-CLASS_Lab Part C'!$J$6133),'IN-CLASS_Lab Part C'!$J$6133,NA())</f>
        <v/>
      </c>
    </row>
    <row r="6134">
      <c r="J6134">
        <f>IF(AND(ISNUMBER('Data'!$F$6135),'Data'!$F$6135&lt;&gt;999,'Data'!$F$6135&lt;&gt;""),'Data'!$F$6135,"")</f>
        <v/>
      </c>
      <c r="Z6134" t="n">
        <v>1</v>
      </c>
      <c r="AA6134">
        <f>IF(ISNUMBER('IN-CLASS_Lab Part C'!$J$6134),'IN-CLASS_Lab Part C'!$J$6134,NA())</f>
        <v/>
      </c>
    </row>
    <row r="6135">
      <c r="J6135">
        <f>IF(AND(ISNUMBER('Data'!$F$6136),'Data'!$F$6136&lt;&gt;999,'Data'!$F$6136&lt;&gt;""),'Data'!$F$6136,"")</f>
        <v/>
      </c>
      <c r="Z6135" t="n">
        <v>1</v>
      </c>
      <c r="AA6135">
        <f>IF(ISNUMBER('IN-CLASS_Lab Part C'!$J$6135),'IN-CLASS_Lab Part C'!$J$6135,NA())</f>
        <v/>
      </c>
    </row>
    <row r="6136">
      <c r="J6136">
        <f>IF(AND(ISNUMBER('Data'!$F$6137),'Data'!$F$6137&lt;&gt;999,'Data'!$F$6137&lt;&gt;""),'Data'!$F$6137,"")</f>
        <v/>
      </c>
      <c r="Z6136" t="n">
        <v>1</v>
      </c>
      <c r="AA6136">
        <f>IF(ISNUMBER('IN-CLASS_Lab Part C'!$J$6136),'IN-CLASS_Lab Part C'!$J$6136,NA())</f>
        <v/>
      </c>
    </row>
    <row r="6137">
      <c r="J6137">
        <f>IF(AND(ISNUMBER('Data'!$F$6138),'Data'!$F$6138&lt;&gt;999,'Data'!$F$6138&lt;&gt;""),'Data'!$F$6138,"")</f>
        <v/>
      </c>
      <c r="Z6137" t="n">
        <v>1</v>
      </c>
      <c r="AA6137">
        <f>IF(ISNUMBER('IN-CLASS_Lab Part C'!$J$6137),'IN-CLASS_Lab Part C'!$J$6137,NA())</f>
        <v/>
      </c>
    </row>
    <row r="6138">
      <c r="J6138">
        <f>IF(AND(ISNUMBER('Data'!$F$6139),'Data'!$F$6139&lt;&gt;999,'Data'!$F$6139&lt;&gt;""),'Data'!$F$6139,"")</f>
        <v/>
      </c>
      <c r="Z6138" t="n">
        <v>1</v>
      </c>
      <c r="AA6138">
        <f>IF(ISNUMBER('IN-CLASS_Lab Part C'!$J$6138),'IN-CLASS_Lab Part C'!$J$6138,NA())</f>
        <v/>
      </c>
    </row>
    <row r="6139">
      <c r="J6139">
        <f>IF(AND(ISNUMBER('Data'!$F$6140),'Data'!$F$6140&lt;&gt;999,'Data'!$F$6140&lt;&gt;""),'Data'!$F$6140,"")</f>
        <v/>
      </c>
      <c r="Z6139" t="n">
        <v>1</v>
      </c>
      <c r="AA6139">
        <f>IF(ISNUMBER('IN-CLASS_Lab Part C'!$J$6139),'IN-CLASS_Lab Part C'!$J$6139,NA())</f>
        <v/>
      </c>
    </row>
    <row r="6140">
      <c r="J6140">
        <f>IF(AND(ISNUMBER('Data'!$F$6141),'Data'!$F$6141&lt;&gt;999,'Data'!$F$6141&lt;&gt;""),'Data'!$F$6141,"")</f>
        <v/>
      </c>
      <c r="Z6140" t="n">
        <v>1</v>
      </c>
      <c r="AA6140">
        <f>IF(ISNUMBER('IN-CLASS_Lab Part C'!$J$6140),'IN-CLASS_Lab Part C'!$J$6140,NA())</f>
        <v/>
      </c>
    </row>
    <row r="6141">
      <c r="J6141">
        <f>IF(AND(ISNUMBER('Data'!$F$6142),'Data'!$F$6142&lt;&gt;999,'Data'!$F$6142&lt;&gt;""),'Data'!$F$6142,"")</f>
        <v/>
      </c>
      <c r="Z6141" t="n">
        <v>1</v>
      </c>
      <c r="AA6141">
        <f>IF(ISNUMBER('IN-CLASS_Lab Part C'!$J$6141),'IN-CLASS_Lab Part C'!$J$6141,NA())</f>
        <v/>
      </c>
    </row>
    <row r="6142">
      <c r="J6142">
        <f>IF(AND(ISNUMBER('Data'!$F$6143),'Data'!$F$6143&lt;&gt;999,'Data'!$F$6143&lt;&gt;""),'Data'!$F$6143,"")</f>
        <v/>
      </c>
      <c r="Z6142" t="n">
        <v>1</v>
      </c>
      <c r="AA6142">
        <f>IF(ISNUMBER('IN-CLASS_Lab Part C'!$J$6142),'IN-CLASS_Lab Part C'!$J$6142,NA())</f>
        <v/>
      </c>
    </row>
    <row r="6143">
      <c r="J6143">
        <f>IF(AND(ISNUMBER('Data'!$F$6144),'Data'!$F$6144&lt;&gt;999,'Data'!$F$6144&lt;&gt;""),'Data'!$F$6144,"")</f>
        <v/>
      </c>
      <c r="Z6143" t="n">
        <v>1</v>
      </c>
      <c r="AA6143">
        <f>IF(ISNUMBER('IN-CLASS_Lab Part C'!$J$6143),'IN-CLASS_Lab Part C'!$J$6143,NA())</f>
        <v/>
      </c>
    </row>
    <row r="6144">
      <c r="J6144">
        <f>IF(AND(ISNUMBER('Data'!$F$6145),'Data'!$F$6145&lt;&gt;999,'Data'!$F$6145&lt;&gt;""),'Data'!$F$6145,"")</f>
        <v/>
      </c>
      <c r="Z6144" t="n">
        <v>1</v>
      </c>
      <c r="AA6144">
        <f>IF(ISNUMBER('IN-CLASS_Lab Part C'!$J$6144),'IN-CLASS_Lab Part C'!$J$6144,NA())</f>
        <v/>
      </c>
    </row>
    <row r="6145">
      <c r="J6145">
        <f>IF(AND(ISNUMBER('Data'!$F$6146),'Data'!$F$6146&lt;&gt;999,'Data'!$F$6146&lt;&gt;""),'Data'!$F$6146,"")</f>
        <v/>
      </c>
      <c r="Z6145" t="n">
        <v>1</v>
      </c>
      <c r="AA6145">
        <f>IF(ISNUMBER('IN-CLASS_Lab Part C'!$J$6145),'IN-CLASS_Lab Part C'!$J$6145,NA())</f>
        <v/>
      </c>
    </row>
    <row r="6146">
      <c r="J6146">
        <f>IF(AND(ISNUMBER('Data'!$F$6147),'Data'!$F$6147&lt;&gt;999,'Data'!$F$6147&lt;&gt;""),'Data'!$F$6147,"")</f>
        <v/>
      </c>
      <c r="Z6146" t="n">
        <v>1</v>
      </c>
      <c r="AA6146">
        <f>IF(ISNUMBER('IN-CLASS_Lab Part C'!$J$6146),'IN-CLASS_Lab Part C'!$J$6146,NA())</f>
        <v/>
      </c>
    </row>
    <row r="6147">
      <c r="J6147">
        <f>IF(AND(ISNUMBER('Data'!$F$6148),'Data'!$F$6148&lt;&gt;999,'Data'!$F$6148&lt;&gt;""),'Data'!$F$6148,"")</f>
        <v/>
      </c>
      <c r="Z6147" t="n">
        <v>1</v>
      </c>
      <c r="AA6147">
        <f>IF(ISNUMBER('IN-CLASS_Lab Part C'!$J$6147),'IN-CLASS_Lab Part C'!$J$6147,NA())</f>
        <v/>
      </c>
    </row>
    <row r="6148">
      <c r="J6148">
        <f>IF(AND(ISNUMBER('Data'!$F$6149),'Data'!$F$6149&lt;&gt;999,'Data'!$F$6149&lt;&gt;""),'Data'!$F$6149,"")</f>
        <v/>
      </c>
      <c r="Z6148" t="n">
        <v>1</v>
      </c>
      <c r="AA6148">
        <f>IF(ISNUMBER('IN-CLASS_Lab Part C'!$J$6148),'IN-CLASS_Lab Part C'!$J$6148,NA())</f>
        <v/>
      </c>
    </row>
    <row r="6149">
      <c r="J6149">
        <f>IF(AND(ISNUMBER('Data'!$F$6150),'Data'!$F$6150&lt;&gt;999,'Data'!$F$6150&lt;&gt;""),'Data'!$F$6150,"")</f>
        <v/>
      </c>
      <c r="Z6149" t="n">
        <v>1</v>
      </c>
      <c r="AA6149">
        <f>IF(ISNUMBER('IN-CLASS_Lab Part C'!$J$6149),'IN-CLASS_Lab Part C'!$J$6149,NA())</f>
        <v/>
      </c>
    </row>
    <row r="6150">
      <c r="J6150">
        <f>IF(AND(ISNUMBER('Data'!$F$6151),'Data'!$F$6151&lt;&gt;999,'Data'!$F$6151&lt;&gt;""),'Data'!$F$6151,"")</f>
        <v/>
      </c>
      <c r="Z6150" t="n">
        <v>1</v>
      </c>
      <c r="AA6150">
        <f>IF(ISNUMBER('IN-CLASS_Lab Part C'!$J$6150),'IN-CLASS_Lab Part C'!$J$6150,NA())</f>
        <v/>
      </c>
    </row>
    <row r="6151">
      <c r="J6151">
        <f>IF(AND(ISNUMBER('Data'!$F$6152),'Data'!$F$6152&lt;&gt;999,'Data'!$F$6152&lt;&gt;""),'Data'!$F$6152,"")</f>
        <v/>
      </c>
      <c r="Z6151" t="n">
        <v>1</v>
      </c>
      <c r="AA6151">
        <f>IF(ISNUMBER('IN-CLASS_Lab Part C'!$J$6151),'IN-CLASS_Lab Part C'!$J$6151,NA())</f>
        <v/>
      </c>
    </row>
    <row r="6152">
      <c r="J6152">
        <f>IF(AND(ISNUMBER('Data'!$F$6153),'Data'!$F$6153&lt;&gt;999,'Data'!$F$6153&lt;&gt;""),'Data'!$F$6153,"")</f>
        <v/>
      </c>
      <c r="Z6152" t="n">
        <v>1</v>
      </c>
      <c r="AA6152">
        <f>IF(ISNUMBER('IN-CLASS_Lab Part C'!$J$6152),'IN-CLASS_Lab Part C'!$J$6152,NA())</f>
        <v/>
      </c>
    </row>
    <row r="6153">
      <c r="J6153">
        <f>IF(AND(ISNUMBER('Data'!$F$6154),'Data'!$F$6154&lt;&gt;999,'Data'!$F$6154&lt;&gt;""),'Data'!$F$6154,"")</f>
        <v/>
      </c>
      <c r="Z6153" t="n">
        <v>1</v>
      </c>
      <c r="AA6153">
        <f>IF(ISNUMBER('IN-CLASS_Lab Part C'!$J$6153),'IN-CLASS_Lab Part C'!$J$6153,NA())</f>
        <v/>
      </c>
    </row>
    <row r="6154">
      <c r="J6154">
        <f>IF(AND(ISNUMBER('Data'!$F$6155),'Data'!$F$6155&lt;&gt;999,'Data'!$F$6155&lt;&gt;""),'Data'!$F$6155,"")</f>
        <v/>
      </c>
      <c r="Z6154" t="n">
        <v>1</v>
      </c>
      <c r="AA6154">
        <f>IF(ISNUMBER('IN-CLASS_Lab Part C'!$J$6154),'IN-CLASS_Lab Part C'!$J$6154,NA())</f>
        <v/>
      </c>
    </row>
    <row r="6155">
      <c r="J6155">
        <f>IF(AND(ISNUMBER('Data'!$F$6156),'Data'!$F$6156&lt;&gt;999,'Data'!$F$6156&lt;&gt;""),'Data'!$F$6156,"")</f>
        <v/>
      </c>
      <c r="Z6155" t="n">
        <v>1</v>
      </c>
      <c r="AA6155">
        <f>IF(ISNUMBER('IN-CLASS_Lab Part C'!$J$6155),'IN-CLASS_Lab Part C'!$J$6155,NA())</f>
        <v/>
      </c>
    </row>
    <row r="6156">
      <c r="J6156">
        <f>IF(AND(ISNUMBER('Data'!$F$6157),'Data'!$F$6157&lt;&gt;999,'Data'!$F$6157&lt;&gt;""),'Data'!$F$6157,"")</f>
        <v/>
      </c>
      <c r="Z6156" t="n">
        <v>1</v>
      </c>
      <c r="AA6156">
        <f>IF(ISNUMBER('IN-CLASS_Lab Part C'!$J$6156),'IN-CLASS_Lab Part C'!$J$6156,NA())</f>
        <v/>
      </c>
    </row>
    <row r="6157">
      <c r="J6157">
        <f>IF(AND(ISNUMBER('Data'!$F$6158),'Data'!$F$6158&lt;&gt;999,'Data'!$F$6158&lt;&gt;""),'Data'!$F$6158,"")</f>
        <v/>
      </c>
      <c r="Z6157" t="n">
        <v>1</v>
      </c>
      <c r="AA6157">
        <f>IF(ISNUMBER('IN-CLASS_Lab Part C'!$J$6157),'IN-CLASS_Lab Part C'!$J$6157,NA())</f>
        <v/>
      </c>
    </row>
    <row r="6158">
      <c r="J6158">
        <f>IF(AND(ISNUMBER('Data'!$F$6159),'Data'!$F$6159&lt;&gt;999,'Data'!$F$6159&lt;&gt;""),'Data'!$F$6159,"")</f>
        <v/>
      </c>
      <c r="Z6158" t="n">
        <v>1</v>
      </c>
      <c r="AA6158">
        <f>IF(ISNUMBER('IN-CLASS_Lab Part C'!$J$6158),'IN-CLASS_Lab Part C'!$J$6158,NA())</f>
        <v/>
      </c>
    </row>
    <row r="6159">
      <c r="J6159">
        <f>IF(AND(ISNUMBER('Data'!$F$6160),'Data'!$F$6160&lt;&gt;999,'Data'!$F$6160&lt;&gt;""),'Data'!$F$6160,"")</f>
        <v/>
      </c>
      <c r="Z6159" t="n">
        <v>1</v>
      </c>
      <c r="AA6159">
        <f>IF(ISNUMBER('IN-CLASS_Lab Part C'!$J$6159),'IN-CLASS_Lab Part C'!$J$6159,NA())</f>
        <v/>
      </c>
    </row>
    <row r="6160">
      <c r="J6160">
        <f>IF(AND(ISNUMBER('Data'!$F$6161),'Data'!$F$6161&lt;&gt;999,'Data'!$F$6161&lt;&gt;""),'Data'!$F$6161,"")</f>
        <v/>
      </c>
      <c r="Z6160" t="n">
        <v>1</v>
      </c>
      <c r="AA6160">
        <f>IF(ISNUMBER('IN-CLASS_Lab Part C'!$J$6160),'IN-CLASS_Lab Part C'!$J$6160,NA())</f>
        <v/>
      </c>
    </row>
    <row r="6161">
      <c r="J6161">
        <f>IF(AND(ISNUMBER('Data'!$F$6162),'Data'!$F$6162&lt;&gt;999,'Data'!$F$6162&lt;&gt;""),'Data'!$F$6162,"")</f>
        <v/>
      </c>
      <c r="Z6161" t="n">
        <v>1</v>
      </c>
      <c r="AA6161">
        <f>IF(ISNUMBER('IN-CLASS_Lab Part C'!$J$6161),'IN-CLASS_Lab Part C'!$J$6161,NA())</f>
        <v/>
      </c>
    </row>
    <row r="6162">
      <c r="J6162">
        <f>IF(AND(ISNUMBER('Data'!$F$6163),'Data'!$F$6163&lt;&gt;999,'Data'!$F$6163&lt;&gt;""),'Data'!$F$6163,"")</f>
        <v/>
      </c>
      <c r="Z6162" t="n">
        <v>1</v>
      </c>
      <c r="AA6162">
        <f>IF(ISNUMBER('IN-CLASS_Lab Part C'!$J$6162),'IN-CLASS_Lab Part C'!$J$6162,NA())</f>
        <v/>
      </c>
    </row>
    <row r="6163">
      <c r="J6163">
        <f>IF(AND(ISNUMBER('Data'!$F$6164),'Data'!$F$6164&lt;&gt;999,'Data'!$F$6164&lt;&gt;""),'Data'!$F$6164,"")</f>
        <v/>
      </c>
      <c r="Z6163" t="n">
        <v>1</v>
      </c>
      <c r="AA6163">
        <f>IF(ISNUMBER('IN-CLASS_Lab Part C'!$J$6163),'IN-CLASS_Lab Part C'!$J$6163,NA())</f>
        <v/>
      </c>
    </row>
    <row r="6164">
      <c r="J6164">
        <f>IF(AND(ISNUMBER('Data'!$F$6165),'Data'!$F$6165&lt;&gt;999,'Data'!$F$6165&lt;&gt;""),'Data'!$F$6165,"")</f>
        <v/>
      </c>
      <c r="Z6164" t="n">
        <v>1</v>
      </c>
      <c r="AA6164">
        <f>IF(ISNUMBER('IN-CLASS_Lab Part C'!$J$6164),'IN-CLASS_Lab Part C'!$J$6164,NA())</f>
        <v/>
      </c>
    </row>
    <row r="6165">
      <c r="J6165">
        <f>IF(AND(ISNUMBER('Data'!$F$6166),'Data'!$F$6166&lt;&gt;999,'Data'!$F$6166&lt;&gt;""),'Data'!$F$6166,"")</f>
        <v/>
      </c>
      <c r="Z6165" t="n">
        <v>1</v>
      </c>
      <c r="AA6165">
        <f>IF(ISNUMBER('IN-CLASS_Lab Part C'!$J$6165),'IN-CLASS_Lab Part C'!$J$6165,NA())</f>
        <v/>
      </c>
    </row>
    <row r="6166">
      <c r="J6166">
        <f>IF(AND(ISNUMBER('Data'!$F$6167),'Data'!$F$6167&lt;&gt;999,'Data'!$F$6167&lt;&gt;""),'Data'!$F$6167,"")</f>
        <v/>
      </c>
      <c r="Z6166" t="n">
        <v>1</v>
      </c>
      <c r="AA6166">
        <f>IF(ISNUMBER('IN-CLASS_Lab Part C'!$J$6166),'IN-CLASS_Lab Part C'!$J$6166,NA())</f>
        <v/>
      </c>
    </row>
    <row r="6167">
      <c r="J6167">
        <f>IF(AND(ISNUMBER('Data'!$F$6168),'Data'!$F$6168&lt;&gt;999,'Data'!$F$6168&lt;&gt;""),'Data'!$F$6168,"")</f>
        <v/>
      </c>
      <c r="Z6167" t="n">
        <v>1</v>
      </c>
      <c r="AA6167">
        <f>IF(ISNUMBER('IN-CLASS_Lab Part C'!$J$6167),'IN-CLASS_Lab Part C'!$J$6167,NA())</f>
        <v/>
      </c>
    </row>
    <row r="6168">
      <c r="J6168">
        <f>IF(AND(ISNUMBER('Data'!$F$6169),'Data'!$F$6169&lt;&gt;999,'Data'!$F$6169&lt;&gt;""),'Data'!$F$6169,"")</f>
        <v/>
      </c>
      <c r="Z6168" t="n">
        <v>1</v>
      </c>
      <c r="AA6168">
        <f>IF(ISNUMBER('IN-CLASS_Lab Part C'!$J$6168),'IN-CLASS_Lab Part C'!$J$6168,NA())</f>
        <v/>
      </c>
    </row>
    <row r="6169">
      <c r="J6169">
        <f>IF(AND(ISNUMBER('Data'!$F$6170),'Data'!$F$6170&lt;&gt;999,'Data'!$F$6170&lt;&gt;""),'Data'!$F$6170,"")</f>
        <v/>
      </c>
      <c r="Z6169" t="n">
        <v>1</v>
      </c>
      <c r="AA6169">
        <f>IF(ISNUMBER('IN-CLASS_Lab Part C'!$J$6169),'IN-CLASS_Lab Part C'!$J$6169,NA())</f>
        <v/>
      </c>
    </row>
    <row r="6170">
      <c r="J6170">
        <f>IF(AND(ISNUMBER('Data'!$F$6171),'Data'!$F$6171&lt;&gt;999,'Data'!$F$6171&lt;&gt;""),'Data'!$F$6171,"")</f>
        <v/>
      </c>
      <c r="Z6170" t="n">
        <v>1</v>
      </c>
      <c r="AA6170">
        <f>IF(ISNUMBER('IN-CLASS_Lab Part C'!$J$6170),'IN-CLASS_Lab Part C'!$J$6170,NA())</f>
        <v/>
      </c>
    </row>
    <row r="6171">
      <c r="J6171">
        <f>IF(AND(ISNUMBER('Data'!$F$6172),'Data'!$F$6172&lt;&gt;999,'Data'!$F$6172&lt;&gt;""),'Data'!$F$6172,"")</f>
        <v/>
      </c>
      <c r="Z6171" t="n">
        <v>1</v>
      </c>
      <c r="AA6171">
        <f>IF(ISNUMBER('IN-CLASS_Lab Part C'!$J$6171),'IN-CLASS_Lab Part C'!$J$6171,NA())</f>
        <v/>
      </c>
    </row>
    <row r="6172">
      <c r="J6172">
        <f>IF(AND(ISNUMBER('Data'!$F$6173),'Data'!$F$6173&lt;&gt;999,'Data'!$F$6173&lt;&gt;""),'Data'!$F$6173,"")</f>
        <v/>
      </c>
      <c r="Z6172" t="n">
        <v>1</v>
      </c>
      <c r="AA6172">
        <f>IF(ISNUMBER('IN-CLASS_Lab Part C'!$J$6172),'IN-CLASS_Lab Part C'!$J$6172,NA())</f>
        <v/>
      </c>
    </row>
    <row r="6173">
      <c r="J6173">
        <f>IF(AND(ISNUMBER('Data'!$F$6174),'Data'!$F$6174&lt;&gt;999,'Data'!$F$6174&lt;&gt;""),'Data'!$F$6174,"")</f>
        <v/>
      </c>
      <c r="Z6173" t="n">
        <v>1</v>
      </c>
      <c r="AA6173">
        <f>IF(ISNUMBER('IN-CLASS_Lab Part C'!$J$6173),'IN-CLASS_Lab Part C'!$J$6173,NA())</f>
        <v/>
      </c>
    </row>
    <row r="6174">
      <c r="J6174">
        <f>IF(AND(ISNUMBER('Data'!$F$6175),'Data'!$F$6175&lt;&gt;999,'Data'!$F$6175&lt;&gt;""),'Data'!$F$6175,"")</f>
        <v/>
      </c>
      <c r="Z6174" t="n">
        <v>1</v>
      </c>
      <c r="AA6174">
        <f>IF(ISNUMBER('IN-CLASS_Lab Part C'!$J$6174),'IN-CLASS_Lab Part C'!$J$6174,NA())</f>
        <v/>
      </c>
    </row>
    <row r="6175">
      <c r="J6175">
        <f>IF(AND(ISNUMBER('Data'!$F$6176),'Data'!$F$6176&lt;&gt;999,'Data'!$F$6176&lt;&gt;""),'Data'!$F$6176,"")</f>
        <v/>
      </c>
      <c r="Z6175" t="n">
        <v>1</v>
      </c>
      <c r="AA6175">
        <f>IF(ISNUMBER('IN-CLASS_Lab Part C'!$J$6175),'IN-CLASS_Lab Part C'!$J$6175,NA())</f>
        <v/>
      </c>
    </row>
    <row r="6176">
      <c r="J6176">
        <f>IF(AND(ISNUMBER('Data'!$F$6177),'Data'!$F$6177&lt;&gt;999,'Data'!$F$6177&lt;&gt;""),'Data'!$F$6177,"")</f>
        <v/>
      </c>
      <c r="Z6176" t="n">
        <v>1</v>
      </c>
      <c r="AA6176">
        <f>IF(ISNUMBER('IN-CLASS_Lab Part C'!$J$6176),'IN-CLASS_Lab Part C'!$J$6176,NA())</f>
        <v/>
      </c>
    </row>
    <row r="6177">
      <c r="J6177">
        <f>IF(AND(ISNUMBER('Data'!$F$6178),'Data'!$F$6178&lt;&gt;999,'Data'!$F$6178&lt;&gt;""),'Data'!$F$6178,"")</f>
        <v/>
      </c>
      <c r="Z6177" t="n">
        <v>1</v>
      </c>
      <c r="AA6177">
        <f>IF(ISNUMBER('IN-CLASS_Lab Part C'!$J$6177),'IN-CLASS_Lab Part C'!$J$6177,NA())</f>
        <v/>
      </c>
    </row>
    <row r="6178">
      <c r="J6178">
        <f>IF(AND(ISNUMBER('Data'!$F$6179),'Data'!$F$6179&lt;&gt;999,'Data'!$F$6179&lt;&gt;""),'Data'!$F$6179,"")</f>
        <v/>
      </c>
      <c r="Z6178" t="n">
        <v>1</v>
      </c>
      <c r="AA6178">
        <f>IF(ISNUMBER('IN-CLASS_Lab Part C'!$J$6178),'IN-CLASS_Lab Part C'!$J$6178,NA())</f>
        <v/>
      </c>
    </row>
    <row r="6179">
      <c r="J6179">
        <f>IF(AND(ISNUMBER('Data'!$F$6180),'Data'!$F$6180&lt;&gt;999,'Data'!$F$6180&lt;&gt;""),'Data'!$F$6180,"")</f>
        <v/>
      </c>
      <c r="Z6179" t="n">
        <v>1</v>
      </c>
      <c r="AA6179">
        <f>IF(ISNUMBER('IN-CLASS_Lab Part C'!$J$6179),'IN-CLASS_Lab Part C'!$J$6179,NA())</f>
        <v/>
      </c>
    </row>
    <row r="6180">
      <c r="J6180">
        <f>IF(AND(ISNUMBER('Data'!$F$6181),'Data'!$F$6181&lt;&gt;999,'Data'!$F$6181&lt;&gt;""),'Data'!$F$6181,"")</f>
        <v/>
      </c>
      <c r="Z6180" t="n">
        <v>1</v>
      </c>
      <c r="AA6180">
        <f>IF(ISNUMBER('IN-CLASS_Lab Part C'!$J$6180),'IN-CLASS_Lab Part C'!$J$6180,NA())</f>
        <v/>
      </c>
    </row>
    <row r="6181">
      <c r="J6181">
        <f>IF(AND(ISNUMBER('Data'!$F$6182),'Data'!$F$6182&lt;&gt;999,'Data'!$F$6182&lt;&gt;""),'Data'!$F$6182,"")</f>
        <v/>
      </c>
      <c r="Z6181" t="n">
        <v>1</v>
      </c>
      <c r="AA6181">
        <f>IF(ISNUMBER('IN-CLASS_Lab Part C'!$J$6181),'IN-CLASS_Lab Part C'!$J$6181,NA())</f>
        <v/>
      </c>
    </row>
    <row r="6182">
      <c r="J6182">
        <f>IF(AND(ISNUMBER('Data'!$F$6183),'Data'!$F$6183&lt;&gt;999,'Data'!$F$6183&lt;&gt;""),'Data'!$F$6183,"")</f>
        <v/>
      </c>
      <c r="Z6182" t="n">
        <v>1</v>
      </c>
      <c r="AA6182">
        <f>IF(ISNUMBER('IN-CLASS_Lab Part C'!$J$6182),'IN-CLASS_Lab Part C'!$J$6182,NA())</f>
        <v/>
      </c>
    </row>
    <row r="6183">
      <c r="J6183">
        <f>IF(AND(ISNUMBER('Data'!$F$6184),'Data'!$F$6184&lt;&gt;999,'Data'!$F$6184&lt;&gt;""),'Data'!$F$6184,"")</f>
        <v/>
      </c>
      <c r="Z6183" t="n">
        <v>1</v>
      </c>
      <c r="AA6183">
        <f>IF(ISNUMBER('IN-CLASS_Lab Part C'!$J$6183),'IN-CLASS_Lab Part C'!$J$6183,NA())</f>
        <v/>
      </c>
    </row>
    <row r="6184">
      <c r="J6184">
        <f>IF(AND(ISNUMBER('Data'!$F$6185),'Data'!$F$6185&lt;&gt;999,'Data'!$F$6185&lt;&gt;""),'Data'!$F$6185,"")</f>
        <v/>
      </c>
      <c r="Z6184" t="n">
        <v>1</v>
      </c>
      <c r="AA6184">
        <f>IF(ISNUMBER('IN-CLASS_Lab Part C'!$J$6184),'IN-CLASS_Lab Part C'!$J$6184,NA())</f>
        <v/>
      </c>
    </row>
    <row r="6185">
      <c r="J6185">
        <f>IF(AND(ISNUMBER('Data'!$F$6186),'Data'!$F$6186&lt;&gt;999,'Data'!$F$6186&lt;&gt;""),'Data'!$F$6186,"")</f>
        <v/>
      </c>
      <c r="Z6185" t="n">
        <v>1</v>
      </c>
      <c r="AA6185">
        <f>IF(ISNUMBER('IN-CLASS_Lab Part C'!$J$6185),'IN-CLASS_Lab Part C'!$J$6185,NA())</f>
        <v/>
      </c>
    </row>
    <row r="6186">
      <c r="J6186">
        <f>IF(AND(ISNUMBER('Data'!$F$6187),'Data'!$F$6187&lt;&gt;999,'Data'!$F$6187&lt;&gt;""),'Data'!$F$6187,"")</f>
        <v/>
      </c>
      <c r="Z6186" t="n">
        <v>1</v>
      </c>
      <c r="AA6186">
        <f>IF(ISNUMBER('IN-CLASS_Lab Part C'!$J$6186),'IN-CLASS_Lab Part C'!$J$6186,NA())</f>
        <v/>
      </c>
    </row>
    <row r="6187">
      <c r="J6187">
        <f>IF(AND(ISNUMBER('Data'!$F$6188),'Data'!$F$6188&lt;&gt;999,'Data'!$F$6188&lt;&gt;""),'Data'!$F$6188,"")</f>
        <v/>
      </c>
      <c r="Z6187" t="n">
        <v>1</v>
      </c>
      <c r="AA6187">
        <f>IF(ISNUMBER('IN-CLASS_Lab Part C'!$J$6187),'IN-CLASS_Lab Part C'!$J$6187,NA())</f>
        <v/>
      </c>
    </row>
    <row r="6188">
      <c r="J6188">
        <f>IF(AND(ISNUMBER('Data'!$F$6189),'Data'!$F$6189&lt;&gt;999,'Data'!$F$6189&lt;&gt;""),'Data'!$F$6189,"")</f>
        <v/>
      </c>
      <c r="Z6188" t="n">
        <v>1</v>
      </c>
      <c r="AA6188">
        <f>IF(ISNUMBER('IN-CLASS_Lab Part C'!$J$6188),'IN-CLASS_Lab Part C'!$J$6188,NA())</f>
        <v/>
      </c>
    </row>
    <row r="6189">
      <c r="J6189">
        <f>IF(AND(ISNUMBER('Data'!$F$6190),'Data'!$F$6190&lt;&gt;999,'Data'!$F$6190&lt;&gt;""),'Data'!$F$6190,"")</f>
        <v/>
      </c>
      <c r="Z6189" t="n">
        <v>1</v>
      </c>
      <c r="AA6189">
        <f>IF(ISNUMBER('IN-CLASS_Lab Part C'!$J$6189),'IN-CLASS_Lab Part C'!$J$6189,NA())</f>
        <v/>
      </c>
    </row>
    <row r="6190">
      <c r="J6190">
        <f>IF(AND(ISNUMBER('Data'!$F$6191),'Data'!$F$6191&lt;&gt;999,'Data'!$F$6191&lt;&gt;""),'Data'!$F$6191,"")</f>
        <v/>
      </c>
      <c r="Z6190" t="n">
        <v>1</v>
      </c>
      <c r="AA6190">
        <f>IF(ISNUMBER('IN-CLASS_Lab Part C'!$J$6190),'IN-CLASS_Lab Part C'!$J$6190,NA())</f>
        <v/>
      </c>
    </row>
    <row r="6191">
      <c r="J6191">
        <f>IF(AND(ISNUMBER('Data'!$F$6192),'Data'!$F$6192&lt;&gt;999,'Data'!$F$6192&lt;&gt;""),'Data'!$F$6192,"")</f>
        <v/>
      </c>
      <c r="Z6191" t="n">
        <v>1</v>
      </c>
      <c r="AA6191">
        <f>IF(ISNUMBER('IN-CLASS_Lab Part C'!$J$6191),'IN-CLASS_Lab Part C'!$J$6191,NA())</f>
        <v/>
      </c>
    </row>
    <row r="6192">
      <c r="J6192">
        <f>IF(AND(ISNUMBER('Data'!$F$6193),'Data'!$F$6193&lt;&gt;999,'Data'!$F$6193&lt;&gt;""),'Data'!$F$6193,"")</f>
        <v/>
      </c>
      <c r="Z6192" t="n">
        <v>1</v>
      </c>
      <c r="AA6192">
        <f>IF(ISNUMBER('IN-CLASS_Lab Part C'!$J$6192),'IN-CLASS_Lab Part C'!$J$6192,NA())</f>
        <v/>
      </c>
    </row>
    <row r="6193">
      <c r="J6193">
        <f>IF(AND(ISNUMBER('Data'!$F$6194),'Data'!$F$6194&lt;&gt;999,'Data'!$F$6194&lt;&gt;""),'Data'!$F$6194,"")</f>
        <v/>
      </c>
      <c r="Z6193" t="n">
        <v>1</v>
      </c>
      <c r="AA6193">
        <f>IF(ISNUMBER('IN-CLASS_Lab Part C'!$J$6193),'IN-CLASS_Lab Part C'!$J$6193,NA())</f>
        <v/>
      </c>
    </row>
    <row r="6194">
      <c r="J6194">
        <f>IF(AND(ISNUMBER('Data'!$F$6195),'Data'!$F$6195&lt;&gt;999,'Data'!$F$6195&lt;&gt;""),'Data'!$F$6195,"")</f>
        <v/>
      </c>
      <c r="Z6194" t="n">
        <v>1</v>
      </c>
      <c r="AA6194">
        <f>IF(ISNUMBER('IN-CLASS_Lab Part C'!$J$6194),'IN-CLASS_Lab Part C'!$J$6194,NA())</f>
        <v/>
      </c>
    </row>
    <row r="6195">
      <c r="J6195">
        <f>IF(AND(ISNUMBER('Data'!$F$6196),'Data'!$F$6196&lt;&gt;999,'Data'!$F$6196&lt;&gt;""),'Data'!$F$6196,"")</f>
        <v/>
      </c>
      <c r="Z6195" t="n">
        <v>1</v>
      </c>
      <c r="AA6195">
        <f>IF(ISNUMBER('IN-CLASS_Lab Part C'!$J$6195),'IN-CLASS_Lab Part C'!$J$6195,NA())</f>
        <v/>
      </c>
    </row>
    <row r="6196">
      <c r="J6196">
        <f>IF(AND(ISNUMBER('Data'!$F$6197),'Data'!$F$6197&lt;&gt;999,'Data'!$F$6197&lt;&gt;""),'Data'!$F$6197,"")</f>
        <v/>
      </c>
      <c r="Z6196" t="n">
        <v>1</v>
      </c>
      <c r="AA6196">
        <f>IF(ISNUMBER('IN-CLASS_Lab Part C'!$J$6196),'IN-CLASS_Lab Part C'!$J$6196,NA())</f>
        <v/>
      </c>
    </row>
    <row r="6197">
      <c r="J6197">
        <f>IF(AND(ISNUMBER('Data'!$F$6198),'Data'!$F$6198&lt;&gt;999,'Data'!$F$6198&lt;&gt;""),'Data'!$F$6198,"")</f>
        <v/>
      </c>
      <c r="Z6197" t="n">
        <v>1</v>
      </c>
      <c r="AA6197">
        <f>IF(ISNUMBER('IN-CLASS_Lab Part C'!$J$6197),'IN-CLASS_Lab Part C'!$J$6197,NA())</f>
        <v/>
      </c>
    </row>
    <row r="6198">
      <c r="J6198">
        <f>IF(AND(ISNUMBER('Data'!$F$6199),'Data'!$F$6199&lt;&gt;999,'Data'!$F$6199&lt;&gt;""),'Data'!$F$6199,"")</f>
        <v/>
      </c>
      <c r="Z6198" t="n">
        <v>1</v>
      </c>
      <c r="AA6198">
        <f>IF(ISNUMBER('IN-CLASS_Lab Part C'!$J$6198),'IN-CLASS_Lab Part C'!$J$6198,NA())</f>
        <v/>
      </c>
    </row>
    <row r="6199">
      <c r="J6199">
        <f>IF(AND(ISNUMBER('Data'!$F$6200),'Data'!$F$6200&lt;&gt;999,'Data'!$F$6200&lt;&gt;""),'Data'!$F$6200,"")</f>
        <v/>
      </c>
      <c r="Z6199" t="n">
        <v>1</v>
      </c>
      <c r="AA6199">
        <f>IF(ISNUMBER('IN-CLASS_Lab Part C'!$J$6199),'IN-CLASS_Lab Part C'!$J$6199,NA())</f>
        <v/>
      </c>
    </row>
    <row r="6200">
      <c r="J6200">
        <f>IF(AND(ISNUMBER('Data'!$F$6201),'Data'!$F$6201&lt;&gt;999,'Data'!$F$6201&lt;&gt;""),'Data'!$F$6201,"")</f>
        <v/>
      </c>
      <c r="Z6200" t="n">
        <v>1</v>
      </c>
      <c r="AA6200">
        <f>IF(ISNUMBER('IN-CLASS_Lab Part C'!$J$6200),'IN-CLASS_Lab Part C'!$J$6200,NA())</f>
        <v/>
      </c>
    </row>
    <row r="6201">
      <c r="J6201">
        <f>IF(AND(ISNUMBER('Data'!$F$6202),'Data'!$F$6202&lt;&gt;999,'Data'!$F$6202&lt;&gt;""),'Data'!$F$6202,"")</f>
        <v/>
      </c>
      <c r="Z6201" t="n">
        <v>1</v>
      </c>
      <c r="AA6201">
        <f>IF(ISNUMBER('IN-CLASS_Lab Part C'!$J$6201),'IN-CLASS_Lab Part C'!$J$6201,NA())</f>
        <v/>
      </c>
    </row>
    <row r="6202">
      <c r="J6202">
        <f>IF(AND(ISNUMBER('Data'!$F$6203),'Data'!$F$6203&lt;&gt;999,'Data'!$F$6203&lt;&gt;""),'Data'!$F$6203,"")</f>
        <v/>
      </c>
      <c r="Z6202" t="n">
        <v>1</v>
      </c>
      <c r="AA6202">
        <f>IF(ISNUMBER('IN-CLASS_Lab Part C'!$J$6202),'IN-CLASS_Lab Part C'!$J$6202,NA())</f>
        <v/>
      </c>
    </row>
    <row r="6203">
      <c r="J6203">
        <f>IF(AND(ISNUMBER('Data'!$F$6204),'Data'!$F$6204&lt;&gt;999,'Data'!$F$6204&lt;&gt;""),'Data'!$F$6204,"")</f>
        <v/>
      </c>
      <c r="Z6203" t="n">
        <v>1</v>
      </c>
      <c r="AA6203">
        <f>IF(ISNUMBER('IN-CLASS_Lab Part C'!$J$6203),'IN-CLASS_Lab Part C'!$J$6203,NA())</f>
        <v/>
      </c>
    </row>
    <row r="6204">
      <c r="J6204">
        <f>IF(AND(ISNUMBER('Data'!$F$6205),'Data'!$F$6205&lt;&gt;999,'Data'!$F$6205&lt;&gt;""),'Data'!$F$6205,"")</f>
        <v/>
      </c>
      <c r="Z6204" t="n">
        <v>1</v>
      </c>
      <c r="AA6204">
        <f>IF(ISNUMBER('IN-CLASS_Lab Part C'!$J$6204),'IN-CLASS_Lab Part C'!$J$6204,NA())</f>
        <v/>
      </c>
    </row>
    <row r="6205">
      <c r="J6205">
        <f>IF(AND(ISNUMBER('Data'!$F$6206),'Data'!$F$6206&lt;&gt;999,'Data'!$F$6206&lt;&gt;""),'Data'!$F$6206,"")</f>
        <v/>
      </c>
      <c r="Z6205" t="n">
        <v>1</v>
      </c>
      <c r="AA6205">
        <f>IF(ISNUMBER('IN-CLASS_Lab Part C'!$J$6205),'IN-CLASS_Lab Part C'!$J$6205,NA())</f>
        <v/>
      </c>
    </row>
    <row r="6206">
      <c r="J6206">
        <f>IF(AND(ISNUMBER('Data'!$F$6207),'Data'!$F$6207&lt;&gt;999,'Data'!$F$6207&lt;&gt;""),'Data'!$F$6207,"")</f>
        <v/>
      </c>
      <c r="Z6206" t="n">
        <v>1</v>
      </c>
      <c r="AA6206">
        <f>IF(ISNUMBER('IN-CLASS_Lab Part C'!$J$6206),'IN-CLASS_Lab Part C'!$J$6206,NA())</f>
        <v/>
      </c>
    </row>
    <row r="6207">
      <c r="J6207">
        <f>IF(AND(ISNUMBER('Data'!$F$6208),'Data'!$F$6208&lt;&gt;999,'Data'!$F$6208&lt;&gt;""),'Data'!$F$6208,"")</f>
        <v/>
      </c>
      <c r="Z6207" t="n">
        <v>1</v>
      </c>
      <c r="AA6207">
        <f>IF(ISNUMBER('IN-CLASS_Lab Part C'!$J$6207),'IN-CLASS_Lab Part C'!$J$6207,NA())</f>
        <v/>
      </c>
    </row>
    <row r="6208">
      <c r="J6208">
        <f>IF(AND(ISNUMBER('Data'!$F$6209),'Data'!$F$6209&lt;&gt;999,'Data'!$F$6209&lt;&gt;""),'Data'!$F$6209,"")</f>
        <v/>
      </c>
      <c r="Z6208" t="n">
        <v>1</v>
      </c>
      <c r="AA6208">
        <f>IF(ISNUMBER('IN-CLASS_Lab Part C'!$J$6208),'IN-CLASS_Lab Part C'!$J$6208,NA())</f>
        <v/>
      </c>
    </row>
    <row r="6209">
      <c r="J6209">
        <f>IF(AND(ISNUMBER('Data'!$F$6210),'Data'!$F$6210&lt;&gt;999,'Data'!$F$6210&lt;&gt;""),'Data'!$F$6210,"")</f>
        <v/>
      </c>
      <c r="Z6209" t="n">
        <v>1</v>
      </c>
      <c r="AA6209">
        <f>IF(ISNUMBER('IN-CLASS_Lab Part C'!$J$6209),'IN-CLASS_Lab Part C'!$J$6209,NA())</f>
        <v/>
      </c>
    </row>
    <row r="6210">
      <c r="J6210">
        <f>IF(AND(ISNUMBER('Data'!$F$6211),'Data'!$F$6211&lt;&gt;999,'Data'!$F$6211&lt;&gt;""),'Data'!$F$6211,"")</f>
        <v/>
      </c>
      <c r="Z6210" t="n">
        <v>1</v>
      </c>
      <c r="AA6210">
        <f>IF(ISNUMBER('IN-CLASS_Lab Part C'!$J$6210),'IN-CLASS_Lab Part C'!$J$6210,NA())</f>
        <v/>
      </c>
    </row>
    <row r="6211">
      <c r="J6211">
        <f>IF(AND(ISNUMBER('Data'!$F$6212),'Data'!$F$6212&lt;&gt;999,'Data'!$F$6212&lt;&gt;""),'Data'!$F$6212,"")</f>
        <v/>
      </c>
      <c r="Z6211" t="n">
        <v>1</v>
      </c>
      <c r="AA6211">
        <f>IF(ISNUMBER('IN-CLASS_Lab Part C'!$J$6211),'IN-CLASS_Lab Part C'!$J$6211,NA())</f>
        <v/>
      </c>
    </row>
    <row r="6212">
      <c r="J6212">
        <f>IF(AND(ISNUMBER('Data'!$F$6213),'Data'!$F$6213&lt;&gt;999,'Data'!$F$6213&lt;&gt;""),'Data'!$F$6213,"")</f>
        <v/>
      </c>
      <c r="Z6212" t="n">
        <v>1</v>
      </c>
      <c r="AA6212">
        <f>IF(ISNUMBER('IN-CLASS_Lab Part C'!$J$6212),'IN-CLASS_Lab Part C'!$J$6212,NA())</f>
        <v/>
      </c>
    </row>
    <row r="6213">
      <c r="J6213">
        <f>IF(AND(ISNUMBER('Data'!$F$6214),'Data'!$F$6214&lt;&gt;999,'Data'!$F$6214&lt;&gt;""),'Data'!$F$6214,"")</f>
        <v/>
      </c>
      <c r="Z6213" t="n">
        <v>1</v>
      </c>
      <c r="AA6213">
        <f>IF(ISNUMBER('IN-CLASS_Lab Part C'!$J$6213),'IN-CLASS_Lab Part C'!$J$6213,NA())</f>
        <v/>
      </c>
    </row>
    <row r="6214">
      <c r="J6214">
        <f>IF(AND(ISNUMBER('Data'!$F$6215),'Data'!$F$6215&lt;&gt;999,'Data'!$F$6215&lt;&gt;""),'Data'!$F$6215,"")</f>
        <v/>
      </c>
      <c r="Z6214" t="n">
        <v>1</v>
      </c>
      <c r="AA6214">
        <f>IF(ISNUMBER('IN-CLASS_Lab Part C'!$J$6214),'IN-CLASS_Lab Part C'!$J$6214,NA())</f>
        <v/>
      </c>
    </row>
    <row r="6215">
      <c r="J6215">
        <f>IF(AND(ISNUMBER('Data'!$F$6216),'Data'!$F$6216&lt;&gt;999,'Data'!$F$6216&lt;&gt;""),'Data'!$F$6216,"")</f>
        <v/>
      </c>
      <c r="Z6215" t="n">
        <v>1</v>
      </c>
      <c r="AA6215">
        <f>IF(ISNUMBER('IN-CLASS_Lab Part C'!$J$6215),'IN-CLASS_Lab Part C'!$J$6215,NA())</f>
        <v/>
      </c>
    </row>
    <row r="6216">
      <c r="J6216">
        <f>IF(AND(ISNUMBER('Data'!$F$6217),'Data'!$F$6217&lt;&gt;999,'Data'!$F$6217&lt;&gt;""),'Data'!$F$6217,"")</f>
        <v/>
      </c>
      <c r="Z6216" t="n">
        <v>1</v>
      </c>
      <c r="AA6216">
        <f>IF(ISNUMBER('IN-CLASS_Lab Part C'!$J$6216),'IN-CLASS_Lab Part C'!$J$6216,NA())</f>
        <v/>
      </c>
    </row>
    <row r="6217">
      <c r="J6217">
        <f>IF(AND(ISNUMBER('Data'!$F$6218),'Data'!$F$6218&lt;&gt;999,'Data'!$F$6218&lt;&gt;""),'Data'!$F$6218,"")</f>
        <v/>
      </c>
      <c r="Z6217" t="n">
        <v>1</v>
      </c>
      <c r="AA6217">
        <f>IF(ISNUMBER('IN-CLASS_Lab Part C'!$J$6217),'IN-CLASS_Lab Part C'!$J$6217,NA())</f>
        <v/>
      </c>
    </row>
    <row r="6218">
      <c r="J6218">
        <f>IF(AND(ISNUMBER('Data'!$F$6219),'Data'!$F$6219&lt;&gt;999,'Data'!$F$6219&lt;&gt;""),'Data'!$F$6219,"")</f>
        <v/>
      </c>
      <c r="Z6218" t="n">
        <v>1</v>
      </c>
      <c r="AA6218">
        <f>IF(ISNUMBER('IN-CLASS_Lab Part C'!$J$6218),'IN-CLASS_Lab Part C'!$J$6218,NA())</f>
        <v/>
      </c>
    </row>
    <row r="6219">
      <c r="J6219">
        <f>IF(AND(ISNUMBER('Data'!$F$6220),'Data'!$F$6220&lt;&gt;999,'Data'!$F$6220&lt;&gt;""),'Data'!$F$6220,"")</f>
        <v/>
      </c>
      <c r="Z6219" t="n">
        <v>1</v>
      </c>
      <c r="AA6219">
        <f>IF(ISNUMBER('IN-CLASS_Lab Part C'!$J$6219),'IN-CLASS_Lab Part C'!$J$6219,NA())</f>
        <v/>
      </c>
    </row>
    <row r="6220">
      <c r="J6220">
        <f>IF(AND(ISNUMBER('Data'!$F$6221),'Data'!$F$6221&lt;&gt;999,'Data'!$F$6221&lt;&gt;""),'Data'!$F$6221,"")</f>
        <v/>
      </c>
      <c r="Z6220" t="n">
        <v>1</v>
      </c>
      <c r="AA6220">
        <f>IF(ISNUMBER('IN-CLASS_Lab Part C'!$J$6220),'IN-CLASS_Lab Part C'!$J$6220,NA())</f>
        <v/>
      </c>
    </row>
    <row r="6221">
      <c r="J6221">
        <f>IF(AND(ISNUMBER('Data'!$F$6222),'Data'!$F$6222&lt;&gt;999,'Data'!$F$6222&lt;&gt;""),'Data'!$F$6222,"")</f>
        <v/>
      </c>
      <c r="Z6221" t="n">
        <v>1</v>
      </c>
      <c r="AA6221">
        <f>IF(ISNUMBER('IN-CLASS_Lab Part C'!$J$6221),'IN-CLASS_Lab Part C'!$J$6221,NA())</f>
        <v/>
      </c>
    </row>
    <row r="6222">
      <c r="J6222">
        <f>IF(AND(ISNUMBER('Data'!$F$6223),'Data'!$F$6223&lt;&gt;999,'Data'!$F$6223&lt;&gt;""),'Data'!$F$6223,"")</f>
        <v/>
      </c>
      <c r="Z6222" t="n">
        <v>1</v>
      </c>
      <c r="AA6222">
        <f>IF(ISNUMBER('IN-CLASS_Lab Part C'!$J$6222),'IN-CLASS_Lab Part C'!$J$6222,NA())</f>
        <v/>
      </c>
    </row>
    <row r="6223">
      <c r="J6223">
        <f>IF(AND(ISNUMBER('Data'!$F$6224),'Data'!$F$6224&lt;&gt;999,'Data'!$F$6224&lt;&gt;""),'Data'!$F$6224,"")</f>
        <v/>
      </c>
      <c r="Z6223" t="n">
        <v>1</v>
      </c>
      <c r="AA6223">
        <f>IF(ISNUMBER('IN-CLASS_Lab Part C'!$J$6223),'IN-CLASS_Lab Part C'!$J$6223,NA())</f>
        <v/>
      </c>
    </row>
    <row r="6224">
      <c r="J6224">
        <f>IF(AND(ISNUMBER('Data'!$F$6225),'Data'!$F$6225&lt;&gt;999,'Data'!$F$6225&lt;&gt;""),'Data'!$F$6225,"")</f>
        <v/>
      </c>
      <c r="Z6224" t="n">
        <v>1</v>
      </c>
      <c r="AA6224">
        <f>IF(ISNUMBER('IN-CLASS_Lab Part C'!$J$6224),'IN-CLASS_Lab Part C'!$J$6224,NA())</f>
        <v/>
      </c>
    </row>
    <row r="6225">
      <c r="J6225">
        <f>IF(AND(ISNUMBER('Data'!$F$6226),'Data'!$F$6226&lt;&gt;999,'Data'!$F$6226&lt;&gt;""),'Data'!$F$6226,"")</f>
        <v/>
      </c>
      <c r="Z6225" t="n">
        <v>1</v>
      </c>
      <c r="AA6225">
        <f>IF(ISNUMBER('IN-CLASS_Lab Part C'!$J$6225),'IN-CLASS_Lab Part C'!$J$6225,NA())</f>
        <v/>
      </c>
    </row>
    <row r="6226">
      <c r="J6226">
        <f>IF(AND(ISNUMBER('Data'!$F$6227),'Data'!$F$6227&lt;&gt;999,'Data'!$F$6227&lt;&gt;""),'Data'!$F$6227,"")</f>
        <v/>
      </c>
      <c r="Z6226" t="n">
        <v>1</v>
      </c>
      <c r="AA6226">
        <f>IF(ISNUMBER('IN-CLASS_Lab Part C'!$J$6226),'IN-CLASS_Lab Part C'!$J$6226,NA())</f>
        <v/>
      </c>
    </row>
    <row r="6227">
      <c r="J6227">
        <f>IF(AND(ISNUMBER('Data'!$F$6228),'Data'!$F$6228&lt;&gt;999,'Data'!$F$6228&lt;&gt;""),'Data'!$F$6228,"")</f>
        <v/>
      </c>
      <c r="Z6227" t="n">
        <v>1</v>
      </c>
      <c r="AA6227">
        <f>IF(ISNUMBER('IN-CLASS_Lab Part C'!$J$6227),'IN-CLASS_Lab Part C'!$J$6227,NA())</f>
        <v/>
      </c>
    </row>
    <row r="6228">
      <c r="J6228">
        <f>IF(AND(ISNUMBER('Data'!$F$6229),'Data'!$F$6229&lt;&gt;999,'Data'!$F$6229&lt;&gt;""),'Data'!$F$6229,"")</f>
        <v/>
      </c>
      <c r="Z6228" t="n">
        <v>1</v>
      </c>
      <c r="AA6228">
        <f>IF(ISNUMBER('IN-CLASS_Lab Part C'!$J$6228),'IN-CLASS_Lab Part C'!$J$6228,NA())</f>
        <v/>
      </c>
    </row>
    <row r="6229">
      <c r="J6229">
        <f>IF(AND(ISNUMBER('Data'!$F$6230),'Data'!$F$6230&lt;&gt;999,'Data'!$F$6230&lt;&gt;""),'Data'!$F$6230,"")</f>
        <v/>
      </c>
      <c r="Z6229" t="n">
        <v>1</v>
      </c>
      <c r="AA6229">
        <f>IF(ISNUMBER('IN-CLASS_Lab Part C'!$J$6229),'IN-CLASS_Lab Part C'!$J$6229,NA())</f>
        <v/>
      </c>
    </row>
    <row r="6230">
      <c r="J6230">
        <f>IF(AND(ISNUMBER('Data'!$F$6231),'Data'!$F$6231&lt;&gt;999,'Data'!$F$6231&lt;&gt;""),'Data'!$F$6231,"")</f>
        <v/>
      </c>
      <c r="Z6230" t="n">
        <v>1</v>
      </c>
      <c r="AA6230">
        <f>IF(ISNUMBER('IN-CLASS_Lab Part C'!$J$6230),'IN-CLASS_Lab Part C'!$J$6230,NA())</f>
        <v/>
      </c>
    </row>
    <row r="6231">
      <c r="J6231">
        <f>IF(AND(ISNUMBER('Data'!$F$6232),'Data'!$F$6232&lt;&gt;999,'Data'!$F$6232&lt;&gt;""),'Data'!$F$6232,"")</f>
        <v/>
      </c>
      <c r="Z6231" t="n">
        <v>1</v>
      </c>
      <c r="AA6231">
        <f>IF(ISNUMBER('IN-CLASS_Lab Part C'!$J$6231),'IN-CLASS_Lab Part C'!$J$6231,NA())</f>
        <v/>
      </c>
    </row>
    <row r="6232">
      <c r="J6232">
        <f>IF(AND(ISNUMBER('Data'!$F$6233),'Data'!$F$6233&lt;&gt;999,'Data'!$F$6233&lt;&gt;""),'Data'!$F$6233,"")</f>
        <v/>
      </c>
      <c r="Z6232" t="n">
        <v>1</v>
      </c>
      <c r="AA6232">
        <f>IF(ISNUMBER('IN-CLASS_Lab Part C'!$J$6232),'IN-CLASS_Lab Part C'!$J$6232,NA())</f>
        <v/>
      </c>
    </row>
    <row r="6233">
      <c r="J6233">
        <f>IF(AND(ISNUMBER('Data'!$F$6234),'Data'!$F$6234&lt;&gt;999,'Data'!$F$6234&lt;&gt;""),'Data'!$F$6234,"")</f>
        <v/>
      </c>
      <c r="Z6233" t="n">
        <v>1</v>
      </c>
      <c r="AA6233">
        <f>IF(ISNUMBER('IN-CLASS_Lab Part C'!$J$6233),'IN-CLASS_Lab Part C'!$J$6233,NA())</f>
        <v/>
      </c>
    </row>
    <row r="6234">
      <c r="J6234">
        <f>IF(AND(ISNUMBER('Data'!$F$6235),'Data'!$F$6235&lt;&gt;999,'Data'!$F$6235&lt;&gt;""),'Data'!$F$6235,"")</f>
        <v/>
      </c>
      <c r="Z6234" t="n">
        <v>1</v>
      </c>
      <c r="AA6234">
        <f>IF(ISNUMBER('IN-CLASS_Lab Part C'!$J$6234),'IN-CLASS_Lab Part C'!$J$6234,NA())</f>
        <v/>
      </c>
    </row>
    <row r="6235">
      <c r="J6235">
        <f>IF(AND(ISNUMBER('Data'!$F$6236),'Data'!$F$6236&lt;&gt;999,'Data'!$F$6236&lt;&gt;""),'Data'!$F$6236,"")</f>
        <v/>
      </c>
      <c r="Z6235" t="n">
        <v>1</v>
      </c>
      <c r="AA6235">
        <f>IF(ISNUMBER('IN-CLASS_Lab Part C'!$J$6235),'IN-CLASS_Lab Part C'!$J$6235,NA())</f>
        <v/>
      </c>
    </row>
    <row r="6236">
      <c r="J6236">
        <f>IF(AND(ISNUMBER('Data'!$F$6237),'Data'!$F$6237&lt;&gt;999,'Data'!$F$6237&lt;&gt;""),'Data'!$F$6237,"")</f>
        <v/>
      </c>
      <c r="Z6236" t="n">
        <v>1</v>
      </c>
      <c r="AA6236">
        <f>IF(ISNUMBER('IN-CLASS_Lab Part C'!$J$6236),'IN-CLASS_Lab Part C'!$J$6236,NA())</f>
        <v/>
      </c>
    </row>
    <row r="6237">
      <c r="J6237">
        <f>IF(AND(ISNUMBER('Data'!$F$6238),'Data'!$F$6238&lt;&gt;999,'Data'!$F$6238&lt;&gt;""),'Data'!$F$6238,"")</f>
        <v/>
      </c>
      <c r="Z6237" t="n">
        <v>1</v>
      </c>
      <c r="AA6237">
        <f>IF(ISNUMBER('IN-CLASS_Lab Part C'!$J$6237),'IN-CLASS_Lab Part C'!$J$6237,NA())</f>
        <v/>
      </c>
    </row>
    <row r="6238">
      <c r="J6238">
        <f>IF(AND(ISNUMBER('Data'!$F$6239),'Data'!$F$6239&lt;&gt;999,'Data'!$F$6239&lt;&gt;""),'Data'!$F$6239,"")</f>
        <v/>
      </c>
      <c r="Z6238" t="n">
        <v>1</v>
      </c>
      <c r="AA6238">
        <f>IF(ISNUMBER('IN-CLASS_Lab Part C'!$J$6238),'IN-CLASS_Lab Part C'!$J$6238,NA())</f>
        <v/>
      </c>
    </row>
    <row r="6239">
      <c r="J6239">
        <f>IF(AND(ISNUMBER('Data'!$F$6240),'Data'!$F$6240&lt;&gt;999,'Data'!$F$6240&lt;&gt;""),'Data'!$F$6240,"")</f>
        <v/>
      </c>
      <c r="Z6239" t="n">
        <v>1</v>
      </c>
      <c r="AA6239">
        <f>IF(ISNUMBER('IN-CLASS_Lab Part C'!$J$6239),'IN-CLASS_Lab Part C'!$J$6239,NA())</f>
        <v/>
      </c>
    </row>
    <row r="6240">
      <c r="J6240">
        <f>IF(AND(ISNUMBER('Data'!$F$6241),'Data'!$F$6241&lt;&gt;999,'Data'!$F$6241&lt;&gt;""),'Data'!$F$6241,"")</f>
        <v/>
      </c>
      <c r="Z6240" t="n">
        <v>1</v>
      </c>
      <c r="AA6240">
        <f>IF(ISNUMBER('IN-CLASS_Lab Part C'!$J$6240),'IN-CLASS_Lab Part C'!$J$6240,NA())</f>
        <v/>
      </c>
    </row>
    <row r="6241">
      <c r="J6241">
        <f>IF(AND(ISNUMBER('Data'!$F$6242),'Data'!$F$6242&lt;&gt;999,'Data'!$F$6242&lt;&gt;""),'Data'!$F$6242,"")</f>
        <v/>
      </c>
      <c r="Z6241" t="n">
        <v>1</v>
      </c>
      <c r="AA6241">
        <f>IF(ISNUMBER('IN-CLASS_Lab Part C'!$J$6241),'IN-CLASS_Lab Part C'!$J$6241,NA())</f>
        <v/>
      </c>
    </row>
    <row r="6242">
      <c r="J6242">
        <f>IF(AND(ISNUMBER('Data'!$F$6243),'Data'!$F$6243&lt;&gt;999,'Data'!$F$6243&lt;&gt;""),'Data'!$F$6243,"")</f>
        <v/>
      </c>
      <c r="Z6242" t="n">
        <v>1</v>
      </c>
      <c r="AA6242">
        <f>IF(ISNUMBER('IN-CLASS_Lab Part C'!$J$6242),'IN-CLASS_Lab Part C'!$J$6242,NA())</f>
        <v/>
      </c>
    </row>
    <row r="6243">
      <c r="J6243">
        <f>IF(AND(ISNUMBER('Data'!$F$6244),'Data'!$F$6244&lt;&gt;999,'Data'!$F$6244&lt;&gt;""),'Data'!$F$6244,"")</f>
        <v/>
      </c>
      <c r="Z6243" t="n">
        <v>1</v>
      </c>
      <c r="AA6243">
        <f>IF(ISNUMBER('IN-CLASS_Lab Part C'!$J$6243),'IN-CLASS_Lab Part C'!$J$6243,NA())</f>
        <v/>
      </c>
    </row>
    <row r="6244">
      <c r="J6244">
        <f>IF(AND(ISNUMBER('Data'!$F$6245),'Data'!$F$6245&lt;&gt;999,'Data'!$F$6245&lt;&gt;""),'Data'!$F$6245,"")</f>
        <v/>
      </c>
      <c r="Z6244" t="n">
        <v>1</v>
      </c>
      <c r="AA6244">
        <f>IF(ISNUMBER('IN-CLASS_Lab Part C'!$J$6244),'IN-CLASS_Lab Part C'!$J$6244,NA())</f>
        <v/>
      </c>
    </row>
    <row r="6245">
      <c r="J6245">
        <f>IF(AND(ISNUMBER('Data'!$F$6246),'Data'!$F$6246&lt;&gt;999,'Data'!$F$6246&lt;&gt;""),'Data'!$F$6246,"")</f>
        <v/>
      </c>
      <c r="Z6245" t="n">
        <v>1</v>
      </c>
      <c r="AA6245">
        <f>IF(ISNUMBER('IN-CLASS_Lab Part C'!$J$6245),'IN-CLASS_Lab Part C'!$J$6245,NA())</f>
        <v/>
      </c>
    </row>
    <row r="6246">
      <c r="J6246">
        <f>IF(AND(ISNUMBER('Data'!$F$6247),'Data'!$F$6247&lt;&gt;999,'Data'!$F$6247&lt;&gt;""),'Data'!$F$6247,"")</f>
        <v/>
      </c>
      <c r="Z6246" t="n">
        <v>1</v>
      </c>
      <c r="AA6246">
        <f>IF(ISNUMBER('IN-CLASS_Lab Part C'!$J$6246),'IN-CLASS_Lab Part C'!$J$6246,NA())</f>
        <v/>
      </c>
    </row>
    <row r="6247">
      <c r="J6247">
        <f>IF(AND(ISNUMBER('Data'!$F$6248),'Data'!$F$6248&lt;&gt;999,'Data'!$F$6248&lt;&gt;""),'Data'!$F$6248,"")</f>
        <v/>
      </c>
      <c r="Z6247" t="n">
        <v>1</v>
      </c>
      <c r="AA6247">
        <f>IF(ISNUMBER('IN-CLASS_Lab Part C'!$J$6247),'IN-CLASS_Lab Part C'!$J$6247,NA())</f>
        <v/>
      </c>
    </row>
    <row r="6248">
      <c r="J6248">
        <f>IF(AND(ISNUMBER('Data'!$F$6249),'Data'!$F$6249&lt;&gt;999,'Data'!$F$6249&lt;&gt;""),'Data'!$F$6249,"")</f>
        <v/>
      </c>
      <c r="Z6248" t="n">
        <v>1</v>
      </c>
      <c r="AA6248">
        <f>IF(ISNUMBER('IN-CLASS_Lab Part C'!$J$6248),'IN-CLASS_Lab Part C'!$J$6248,NA())</f>
        <v/>
      </c>
    </row>
    <row r="6249">
      <c r="J6249">
        <f>IF(AND(ISNUMBER('Data'!$F$6250),'Data'!$F$6250&lt;&gt;999,'Data'!$F$6250&lt;&gt;""),'Data'!$F$6250,"")</f>
        <v/>
      </c>
      <c r="Z6249" t="n">
        <v>1</v>
      </c>
      <c r="AA6249">
        <f>IF(ISNUMBER('IN-CLASS_Lab Part C'!$J$6249),'IN-CLASS_Lab Part C'!$J$6249,NA())</f>
        <v/>
      </c>
    </row>
    <row r="6250">
      <c r="J6250">
        <f>IF(AND(ISNUMBER('Data'!$F$6251),'Data'!$F$6251&lt;&gt;999,'Data'!$F$6251&lt;&gt;""),'Data'!$F$6251,"")</f>
        <v/>
      </c>
      <c r="Z6250" t="n">
        <v>1</v>
      </c>
      <c r="AA6250">
        <f>IF(ISNUMBER('IN-CLASS_Lab Part C'!$J$6250),'IN-CLASS_Lab Part C'!$J$6250,NA())</f>
        <v/>
      </c>
    </row>
    <row r="6251">
      <c r="J6251">
        <f>IF(AND(ISNUMBER('Data'!$F$6252),'Data'!$F$6252&lt;&gt;999,'Data'!$F$6252&lt;&gt;""),'Data'!$F$6252,"")</f>
        <v/>
      </c>
      <c r="Z6251" t="n">
        <v>1</v>
      </c>
      <c r="AA6251">
        <f>IF(ISNUMBER('IN-CLASS_Lab Part C'!$J$6251),'IN-CLASS_Lab Part C'!$J$6251,NA())</f>
        <v/>
      </c>
    </row>
    <row r="6252">
      <c r="J6252">
        <f>IF(AND(ISNUMBER('Data'!$F$6253),'Data'!$F$6253&lt;&gt;999,'Data'!$F$6253&lt;&gt;""),'Data'!$F$6253,"")</f>
        <v/>
      </c>
      <c r="Z6252" t="n">
        <v>1</v>
      </c>
      <c r="AA6252">
        <f>IF(ISNUMBER('IN-CLASS_Lab Part C'!$J$6252),'IN-CLASS_Lab Part C'!$J$6252,NA())</f>
        <v/>
      </c>
    </row>
    <row r="6253">
      <c r="J6253">
        <f>IF(AND(ISNUMBER('Data'!$F$6254),'Data'!$F$6254&lt;&gt;999,'Data'!$F$6254&lt;&gt;""),'Data'!$F$6254,"")</f>
        <v/>
      </c>
      <c r="Z6253" t="n">
        <v>1</v>
      </c>
      <c r="AA6253">
        <f>IF(ISNUMBER('IN-CLASS_Lab Part C'!$J$6253),'IN-CLASS_Lab Part C'!$J$6253,NA())</f>
        <v/>
      </c>
    </row>
    <row r="6254">
      <c r="J6254">
        <f>IF(AND(ISNUMBER('Data'!$F$6255),'Data'!$F$6255&lt;&gt;999,'Data'!$F$6255&lt;&gt;""),'Data'!$F$6255,"")</f>
        <v/>
      </c>
      <c r="Z6254" t="n">
        <v>1</v>
      </c>
      <c r="AA6254">
        <f>IF(ISNUMBER('IN-CLASS_Lab Part C'!$J$6254),'IN-CLASS_Lab Part C'!$J$6254,NA())</f>
        <v/>
      </c>
    </row>
    <row r="6255">
      <c r="J6255">
        <f>IF(AND(ISNUMBER('Data'!$F$6256),'Data'!$F$6256&lt;&gt;999,'Data'!$F$6256&lt;&gt;""),'Data'!$F$6256,"")</f>
        <v/>
      </c>
      <c r="Z6255" t="n">
        <v>1</v>
      </c>
      <c r="AA6255">
        <f>IF(ISNUMBER('IN-CLASS_Lab Part C'!$J$6255),'IN-CLASS_Lab Part C'!$J$6255,NA())</f>
        <v/>
      </c>
    </row>
    <row r="6256">
      <c r="J6256">
        <f>IF(AND(ISNUMBER('Data'!$F$6257),'Data'!$F$6257&lt;&gt;999,'Data'!$F$6257&lt;&gt;""),'Data'!$F$6257,"")</f>
        <v/>
      </c>
      <c r="Z6256" t="n">
        <v>1</v>
      </c>
      <c r="AA6256">
        <f>IF(ISNUMBER('IN-CLASS_Lab Part C'!$J$6256),'IN-CLASS_Lab Part C'!$J$6256,NA())</f>
        <v/>
      </c>
    </row>
    <row r="6257">
      <c r="J6257">
        <f>IF(AND(ISNUMBER('Data'!$F$6258),'Data'!$F$6258&lt;&gt;999,'Data'!$F$6258&lt;&gt;""),'Data'!$F$6258,"")</f>
        <v/>
      </c>
      <c r="Z6257" t="n">
        <v>1</v>
      </c>
      <c r="AA6257">
        <f>IF(ISNUMBER('IN-CLASS_Lab Part C'!$J$6257),'IN-CLASS_Lab Part C'!$J$6257,NA())</f>
        <v/>
      </c>
    </row>
    <row r="6258">
      <c r="J6258">
        <f>IF(AND(ISNUMBER('Data'!$F$6259),'Data'!$F$6259&lt;&gt;999,'Data'!$F$6259&lt;&gt;""),'Data'!$F$6259,"")</f>
        <v/>
      </c>
      <c r="Z6258" t="n">
        <v>1</v>
      </c>
      <c r="AA6258">
        <f>IF(ISNUMBER('IN-CLASS_Lab Part C'!$J$6258),'IN-CLASS_Lab Part C'!$J$6258,NA())</f>
        <v/>
      </c>
    </row>
    <row r="6259">
      <c r="J6259">
        <f>IF(AND(ISNUMBER('Data'!$F$6260),'Data'!$F$6260&lt;&gt;999,'Data'!$F$6260&lt;&gt;""),'Data'!$F$6260,"")</f>
        <v/>
      </c>
      <c r="Z6259" t="n">
        <v>1</v>
      </c>
      <c r="AA6259">
        <f>IF(ISNUMBER('IN-CLASS_Lab Part C'!$J$6259),'IN-CLASS_Lab Part C'!$J$6259,NA())</f>
        <v/>
      </c>
    </row>
    <row r="6260">
      <c r="J6260">
        <f>IF(AND(ISNUMBER('Data'!$F$6261),'Data'!$F$6261&lt;&gt;999,'Data'!$F$6261&lt;&gt;""),'Data'!$F$6261,"")</f>
        <v/>
      </c>
      <c r="Z6260" t="n">
        <v>1</v>
      </c>
      <c r="AA6260">
        <f>IF(ISNUMBER('IN-CLASS_Lab Part C'!$J$6260),'IN-CLASS_Lab Part C'!$J$6260,NA())</f>
        <v/>
      </c>
    </row>
    <row r="6261">
      <c r="J6261">
        <f>IF(AND(ISNUMBER('Data'!$F$6262),'Data'!$F$6262&lt;&gt;999,'Data'!$F$6262&lt;&gt;""),'Data'!$F$6262,"")</f>
        <v/>
      </c>
      <c r="Z6261" t="n">
        <v>1</v>
      </c>
      <c r="AA6261">
        <f>IF(ISNUMBER('IN-CLASS_Lab Part C'!$J$6261),'IN-CLASS_Lab Part C'!$J$6261,NA())</f>
        <v/>
      </c>
    </row>
    <row r="6262">
      <c r="J6262">
        <f>IF(AND(ISNUMBER('Data'!$F$6263),'Data'!$F$6263&lt;&gt;999,'Data'!$F$6263&lt;&gt;""),'Data'!$F$6263,"")</f>
        <v/>
      </c>
      <c r="Z6262" t="n">
        <v>1</v>
      </c>
      <c r="AA6262">
        <f>IF(ISNUMBER('IN-CLASS_Lab Part C'!$J$6262),'IN-CLASS_Lab Part C'!$J$6262,NA())</f>
        <v/>
      </c>
    </row>
    <row r="6263">
      <c r="J6263">
        <f>IF(AND(ISNUMBER('Data'!$F$6264),'Data'!$F$6264&lt;&gt;999,'Data'!$F$6264&lt;&gt;""),'Data'!$F$6264,"")</f>
        <v/>
      </c>
      <c r="Z6263" t="n">
        <v>1</v>
      </c>
      <c r="AA6263">
        <f>IF(ISNUMBER('IN-CLASS_Lab Part C'!$J$6263),'IN-CLASS_Lab Part C'!$J$6263,NA())</f>
        <v/>
      </c>
    </row>
    <row r="6264">
      <c r="J6264">
        <f>IF(AND(ISNUMBER('Data'!$F$6265),'Data'!$F$6265&lt;&gt;999,'Data'!$F$6265&lt;&gt;""),'Data'!$F$6265,"")</f>
        <v/>
      </c>
      <c r="Z6264" t="n">
        <v>1</v>
      </c>
      <c r="AA6264">
        <f>IF(ISNUMBER('IN-CLASS_Lab Part C'!$J$6264),'IN-CLASS_Lab Part C'!$J$6264,NA())</f>
        <v/>
      </c>
    </row>
    <row r="6265">
      <c r="J6265">
        <f>IF(AND(ISNUMBER('Data'!$F$6266),'Data'!$F$6266&lt;&gt;999,'Data'!$F$6266&lt;&gt;""),'Data'!$F$6266,"")</f>
        <v/>
      </c>
      <c r="Z6265" t="n">
        <v>1</v>
      </c>
      <c r="AA6265">
        <f>IF(ISNUMBER('IN-CLASS_Lab Part C'!$J$6265),'IN-CLASS_Lab Part C'!$J$6265,NA())</f>
        <v/>
      </c>
    </row>
    <row r="6266">
      <c r="J6266">
        <f>IF(AND(ISNUMBER('Data'!$F$6267),'Data'!$F$6267&lt;&gt;999,'Data'!$F$6267&lt;&gt;""),'Data'!$F$6267,"")</f>
        <v/>
      </c>
      <c r="Z6266" t="n">
        <v>1</v>
      </c>
      <c r="AA6266">
        <f>IF(ISNUMBER('IN-CLASS_Lab Part C'!$J$6266),'IN-CLASS_Lab Part C'!$J$6266,NA())</f>
        <v/>
      </c>
    </row>
    <row r="6267">
      <c r="J6267">
        <f>IF(AND(ISNUMBER('Data'!$F$6268),'Data'!$F$6268&lt;&gt;999,'Data'!$F$6268&lt;&gt;""),'Data'!$F$6268,"")</f>
        <v/>
      </c>
      <c r="Z6267" t="n">
        <v>1</v>
      </c>
      <c r="AA6267">
        <f>IF(ISNUMBER('IN-CLASS_Lab Part C'!$J$6267),'IN-CLASS_Lab Part C'!$J$6267,NA())</f>
        <v/>
      </c>
    </row>
    <row r="6268">
      <c r="J6268">
        <f>IF(AND(ISNUMBER('Data'!$F$6269),'Data'!$F$6269&lt;&gt;999,'Data'!$F$6269&lt;&gt;""),'Data'!$F$6269,"")</f>
        <v/>
      </c>
      <c r="Z6268" t="n">
        <v>1</v>
      </c>
      <c r="AA6268">
        <f>IF(ISNUMBER('IN-CLASS_Lab Part C'!$J$6268),'IN-CLASS_Lab Part C'!$J$6268,NA())</f>
        <v/>
      </c>
    </row>
    <row r="6269">
      <c r="J6269">
        <f>IF(AND(ISNUMBER('Data'!$F$6270),'Data'!$F$6270&lt;&gt;999,'Data'!$F$6270&lt;&gt;""),'Data'!$F$6270,"")</f>
        <v/>
      </c>
      <c r="Z6269" t="n">
        <v>1</v>
      </c>
      <c r="AA6269">
        <f>IF(ISNUMBER('IN-CLASS_Lab Part C'!$J$6269),'IN-CLASS_Lab Part C'!$J$6269,NA())</f>
        <v/>
      </c>
    </row>
    <row r="6270">
      <c r="J6270">
        <f>IF(AND(ISNUMBER('Data'!$F$6271),'Data'!$F$6271&lt;&gt;999,'Data'!$F$6271&lt;&gt;""),'Data'!$F$6271,"")</f>
        <v/>
      </c>
      <c r="Z6270" t="n">
        <v>1</v>
      </c>
      <c r="AA6270">
        <f>IF(ISNUMBER('IN-CLASS_Lab Part C'!$J$6270),'IN-CLASS_Lab Part C'!$J$6270,NA())</f>
        <v/>
      </c>
    </row>
    <row r="6271">
      <c r="J6271">
        <f>IF(AND(ISNUMBER('Data'!$F$6272),'Data'!$F$6272&lt;&gt;999,'Data'!$F$6272&lt;&gt;""),'Data'!$F$6272,"")</f>
        <v/>
      </c>
      <c r="Z6271" t="n">
        <v>1</v>
      </c>
      <c r="AA6271">
        <f>IF(ISNUMBER('IN-CLASS_Lab Part C'!$J$6271),'IN-CLASS_Lab Part C'!$J$6271,NA())</f>
        <v/>
      </c>
    </row>
    <row r="6272">
      <c r="J6272">
        <f>IF(AND(ISNUMBER('Data'!$F$6273),'Data'!$F$6273&lt;&gt;999,'Data'!$F$6273&lt;&gt;""),'Data'!$F$6273,"")</f>
        <v/>
      </c>
      <c r="Z6272" t="n">
        <v>1</v>
      </c>
      <c r="AA6272">
        <f>IF(ISNUMBER('IN-CLASS_Lab Part C'!$J$6272),'IN-CLASS_Lab Part C'!$J$6272,NA())</f>
        <v/>
      </c>
    </row>
    <row r="6273">
      <c r="J6273">
        <f>IF(AND(ISNUMBER('Data'!$F$6274),'Data'!$F$6274&lt;&gt;999,'Data'!$F$6274&lt;&gt;""),'Data'!$F$6274,"")</f>
        <v/>
      </c>
      <c r="Z6273" t="n">
        <v>1</v>
      </c>
      <c r="AA6273">
        <f>IF(ISNUMBER('IN-CLASS_Lab Part C'!$J$6273),'IN-CLASS_Lab Part C'!$J$6273,NA())</f>
        <v/>
      </c>
    </row>
    <row r="6274">
      <c r="J6274">
        <f>IF(AND(ISNUMBER('Data'!$F$6275),'Data'!$F$6275&lt;&gt;999,'Data'!$F$6275&lt;&gt;""),'Data'!$F$6275,"")</f>
        <v/>
      </c>
      <c r="Z6274" t="n">
        <v>1</v>
      </c>
      <c r="AA6274">
        <f>IF(ISNUMBER('IN-CLASS_Lab Part C'!$J$6274),'IN-CLASS_Lab Part C'!$J$6274,NA())</f>
        <v/>
      </c>
    </row>
    <row r="6275">
      <c r="J6275">
        <f>IF(AND(ISNUMBER('Data'!$F$6276),'Data'!$F$6276&lt;&gt;999,'Data'!$F$6276&lt;&gt;""),'Data'!$F$6276,"")</f>
        <v/>
      </c>
      <c r="Z6275" t="n">
        <v>1</v>
      </c>
      <c r="AA6275">
        <f>IF(ISNUMBER('IN-CLASS_Lab Part C'!$J$6275),'IN-CLASS_Lab Part C'!$J$6275,NA())</f>
        <v/>
      </c>
    </row>
    <row r="6276">
      <c r="J6276">
        <f>IF(AND(ISNUMBER('Data'!$F$6277),'Data'!$F$6277&lt;&gt;999,'Data'!$F$6277&lt;&gt;""),'Data'!$F$6277,"")</f>
        <v/>
      </c>
      <c r="Z6276" t="n">
        <v>1</v>
      </c>
      <c r="AA6276">
        <f>IF(ISNUMBER('IN-CLASS_Lab Part C'!$J$6276),'IN-CLASS_Lab Part C'!$J$6276,NA())</f>
        <v/>
      </c>
    </row>
    <row r="6277">
      <c r="J6277">
        <f>IF(AND(ISNUMBER('Data'!$F$6278),'Data'!$F$6278&lt;&gt;999,'Data'!$F$6278&lt;&gt;""),'Data'!$F$6278,"")</f>
        <v/>
      </c>
      <c r="Z6277" t="n">
        <v>1</v>
      </c>
      <c r="AA6277">
        <f>IF(ISNUMBER('IN-CLASS_Lab Part C'!$J$6277),'IN-CLASS_Lab Part C'!$J$6277,NA())</f>
        <v/>
      </c>
    </row>
    <row r="6278">
      <c r="J6278">
        <f>IF(AND(ISNUMBER('Data'!$F$6279),'Data'!$F$6279&lt;&gt;999,'Data'!$F$6279&lt;&gt;""),'Data'!$F$6279,"")</f>
        <v/>
      </c>
      <c r="Z6278" t="n">
        <v>1</v>
      </c>
      <c r="AA6278">
        <f>IF(ISNUMBER('IN-CLASS_Lab Part C'!$J$6278),'IN-CLASS_Lab Part C'!$J$6278,NA())</f>
        <v/>
      </c>
    </row>
    <row r="6279">
      <c r="J6279">
        <f>IF(AND(ISNUMBER('Data'!$F$6280),'Data'!$F$6280&lt;&gt;999,'Data'!$F$6280&lt;&gt;""),'Data'!$F$6280,"")</f>
        <v/>
      </c>
      <c r="Z6279" t="n">
        <v>1</v>
      </c>
      <c r="AA6279">
        <f>IF(ISNUMBER('IN-CLASS_Lab Part C'!$J$6279),'IN-CLASS_Lab Part C'!$J$6279,NA())</f>
        <v/>
      </c>
    </row>
    <row r="6280">
      <c r="J6280">
        <f>IF(AND(ISNUMBER('Data'!$F$6281),'Data'!$F$6281&lt;&gt;999,'Data'!$F$6281&lt;&gt;""),'Data'!$F$6281,"")</f>
        <v/>
      </c>
      <c r="Z6280" t="n">
        <v>1</v>
      </c>
      <c r="AA6280">
        <f>IF(ISNUMBER('IN-CLASS_Lab Part C'!$J$6280),'IN-CLASS_Lab Part C'!$J$6280,NA())</f>
        <v/>
      </c>
    </row>
    <row r="6281">
      <c r="J6281">
        <f>IF(AND(ISNUMBER('Data'!$F$6282),'Data'!$F$6282&lt;&gt;999,'Data'!$F$6282&lt;&gt;""),'Data'!$F$6282,"")</f>
        <v/>
      </c>
      <c r="Z6281" t="n">
        <v>1</v>
      </c>
      <c r="AA6281">
        <f>IF(ISNUMBER('IN-CLASS_Lab Part C'!$J$6281),'IN-CLASS_Lab Part C'!$J$6281,NA())</f>
        <v/>
      </c>
    </row>
    <row r="6282">
      <c r="J6282">
        <f>IF(AND(ISNUMBER('Data'!$F$6283),'Data'!$F$6283&lt;&gt;999,'Data'!$F$6283&lt;&gt;""),'Data'!$F$6283,"")</f>
        <v/>
      </c>
      <c r="Z6282" t="n">
        <v>1</v>
      </c>
      <c r="AA6282">
        <f>IF(ISNUMBER('IN-CLASS_Lab Part C'!$J$6282),'IN-CLASS_Lab Part C'!$J$6282,NA())</f>
        <v/>
      </c>
    </row>
    <row r="6283">
      <c r="J6283">
        <f>IF(AND(ISNUMBER('Data'!$F$6284),'Data'!$F$6284&lt;&gt;999,'Data'!$F$6284&lt;&gt;""),'Data'!$F$6284,"")</f>
        <v/>
      </c>
      <c r="Z6283" t="n">
        <v>1</v>
      </c>
      <c r="AA6283">
        <f>IF(ISNUMBER('IN-CLASS_Lab Part C'!$J$6283),'IN-CLASS_Lab Part C'!$J$6283,NA())</f>
        <v/>
      </c>
    </row>
    <row r="6284">
      <c r="J6284">
        <f>IF(AND(ISNUMBER('Data'!$F$6285),'Data'!$F$6285&lt;&gt;999,'Data'!$F$6285&lt;&gt;""),'Data'!$F$6285,"")</f>
        <v/>
      </c>
      <c r="Z6284" t="n">
        <v>1</v>
      </c>
      <c r="AA6284">
        <f>IF(ISNUMBER('IN-CLASS_Lab Part C'!$J$6284),'IN-CLASS_Lab Part C'!$J$6284,NA())</f>
        <v/>
      </c>
    </row>
    <row r="6285">
      <c r="J6285">
        <f>IF(AND(ISNUMBER('Data'!$F$6286),'Data'!$F$6286&lt;&gt;999,'Data'!$F$6286&lt;&gt;""),'Data'!$F$6286,"")</f>
        <v/>
      </c>
      <c r="Z6285" t="n">
        <v>1</v>
      </c>
      <c r="AA6285">
        <f>IF(ISNUMBER('IN-CLASS_Lab Part C'!$J$6285),'IN-CLASS_Lab Part C'!$J$6285,NA())</f>
        <v/>
      </c>
    </row>
    <row r="6286">
      <c r="J6286">
        <f>IF(AND(ISNUMBER('Data'!$F$6287),'Data'!$F$6287&lt;&gt;999,'Data'!$F$6287&lt;&gt;""),'Data'!$F$6287,"")</f>
        <v/>
      </c>
      <c r="Z6286" t="n">
        <v>1</v>
      </c>
      <c r="AA6286">
        <f>IF(ISNUMBER('IN-CLASS_Lab Part C'!$J$6286),'IN-CLASS_Lab Part C'!$J$6286,NA())</f>
        <v/>
      </c>
    </row>
    <row r="6287">
      <c r="J6287">
        <f>IF(AND(ISNUMBER('Data'!$F$6288),'Data'!$F$6288&lt;&gt;999,'Data'!$F$6288&lt;&gt;""),'Data'!$F$6288,"")</f>
        <v/>
      </c>
      <c r="Z6287" t="n">
        <v>1</v>
      </c>
      <c r="AA6287">
        <f>IF(ISNUMBER('IN-CLASS_Lab Part C'!$J$6287),'IN-CLASS_Lab Part C'!$J$6287,NA())</f>
        <v/>
      </c>
    </row>
    <row r="6288">
      <c r="J6288">
        <f>IF(AND(ISNUMBER('Data'!$F$6289),'Data'!$F$6289&lt;&gt;999,'Data'!$F$6289&lt;&gt;""),'Data'!$F$6289,"")</f>
        <v/>
      </c>
      <c r="Z6288" t="n">
        <v>1</v>
      </c>
      <c r="AA6288">
        <f>IF(ISNUMBER('IN-CLASS_Lab Part C'!$J$6288),'IN-CLASS_Lab Part C'!$J$6288,NA())</f>
        <v/>
      </c>
    </row>
    <row r="6289">
      <c r="J6289">
        <f>IF(AND(ISNUMBER('Data'!$F$6290),'Data'!$F$6290&lt;&gt;999,'Data'!$F$6290&lt;&gt;""),'Data'!$F$6290,"")</f>
        <v/>
      </c>
      <c r="Z6289" t="n">
        <v>1</v>
      </c>
      <c r="AA6289">
        <f>IF(ISNUMBER('IN-CLASS_Lab Part C'!$J$6289),'IN-CLASS_Lab Part C'!$J$6289,NA())</f>
        <v/>
      </c>
    </row>
    <row r="6290">
      <c r="J6290">
        <f>IF(AND(ISNUMBER('Data'!$F$6291),'Data'!$F$6291&lt;&gt;999,'Data'!$F$6291&lt;&gt;""),'Data'!$F$6291,"")</f>
        <v/>
      </c>
      <c r="Z6290" t="n">
        <v>1</v>
      </c>
      <c r="AA6290">
        <f>IF(ISNUMBER('IN-CLASS_Lab Part C'!$J$6290),'IN-CLASS_Lab Part C'!$J$6290,NA())</f>
        <v/>
      </c>
    </row>
    <row r="6291">
      <c r="J6291">
        <f>IF(AND(ISNUMBER('Data'!$F$6292),'Data'!$F$6292&lt;&gt;999,'Data'!$F$6292&lt;&gt;""),'Data'!$F$6292,"")</f>
        <v/>
      </c>
      <c r="Z6291" t="n">
        <v>1</v>
      </c>
      <c r="AA6291">
        <f>IF(ISNUMBER('IN-CLASS_Lab Part C'!$J$6291),'IN-CLASS_Lab Part C'!$J$6291,NA())</f>
        <v/>
      </c>
    </row>
    <row r="6292">
      <c r="J6292">
        <f>IF(AND(ISNUMBER('Data'!$F$6293),'Data'!$F$6293&lt;&gt;999,'Data'!$F$6293&lt;&gt;""),'Data'!$F$6293,"")</f>
        <v/>
      </c>
      <c r="Z6292" t="n">
        <v>1</v>
      </c>
      <c r="AA6292">
        <f>IF(ISNUMBER('IN-CLASS_Lab Part C'!$J$6292),'IN-CLASS_Lab Part C'!$J$6292,NA())</f>
        <v/>
      </c>
    </row>
    <row r="6293">
      <c r="J6293">
        <f>IF(AND(ISNUMBER('Data'!$F$6294),'Data'!$F$6294&lt;&gt;999,'Data'!$F$6294&lt;&gt;""),'Data'!$F$6294,"")</f>
        <v/>
      </c>
      <c r="Z6293" t="n">
        <v>1</v>
      </c>
      <c r="AA6293">
        <f>IF(ISNUMBER('IN-CLASS_Lab Part C'!$J$6293),'IN-CLASS_Lab Part C'!$J$6293,NA())</f>
        <v/>
      </c>
    </row>
    <row r="6294">
      <c r="J6294">
        <f>IF(AND(ISNUMBER('Data'!$F$6295),'Data'!$F$6295&lt;&gt;999,'Data'!$F$6295&lt;&gt;""),'Data'!$F$6295,"")</f>
        <v/>
      </c>
      <c r="Z6294" t="n">
        <v>1</v>
      </c>
      <c r="AA6294">
        <f>IF(ISNUMBER('IN-CLASS_Lab Part C'!$J$6294),'IN-CLASS_Lab Part C'!$J$6294,NA())</f>
        <v/>
      </c>
    </row>
    <row r="6295">
      <c r="J6295">
        <f>IF(AND(ISNUMBER('Data'!$F$6296),'Data'!$F$6296&lt;&gt;999,'Data'!$F$6296&lt;&gt;""),'Data'!$F$6296,"")</f>
        <v/>
      </c>
      <c r="Z6295" t="n">
        <v>1</v>
      </c>
      <c r="AA6295">
        <f>IF(ISNUMBER('IN-CLASS_Lab Part C'!$J$6295),'IN-CLASS_Lab Part C'!$J$6295,NA())</f>
        <v/>
      </c>
    </row>
    <row r="6296">
      <c r="J6296">
        <f>IF(AND(ISNUMBER('Data'!$F$6297),'Data'!$F$6297&lt;&gt;999,'Data'!$F$6297&lt;&gt;""),'Data'!$F$6297,"")</f>
        <v/>
      </c>
      <c r="Z6296" t="n">
        <v>1</v>
      </c>
      <c r="AA6296">
        <f>IF(ISNUMBER('IN-CLASS_Lab Part C'!$J$6296),'IN-CLASS_Lab Part C'!$J$6296,NA())</f>
        <v/>
      </c>
    </row>
    <row r="6297">
      <c r="J6297">
        <f>IF(AND(ISNUMBER('Data'!$F$6298),'Data'!$F$6298&lt;&gt;999,'Data'!$F$6298&lt;&gt;""),'Data'!$F$6298,"")</f>
        <v/>
      </c>
      <c r="Z6297" t="n">
        <v>1</v>
      </c>
      <c r="AA6297">
        <f>IF(ISNUMBER('IN-CLASS_Lab Part C'!$J$6297),'IN-CLASS_Lab Part C'!$J$6297,NA())</f>
        <v/>
      </c>
    </row>
    <row r="6298">
      <c r="J6298">
        <f>IF(AND(ISNUMBER('Data'!$F$6299),'Data'!$F$6299&lt;&gt;999,'Data'!$F$6299&lt;&gt;""),'Data'!$F$6299,"")</f>
        <v/>
      </c>
      <c r="Z6298" t="n">
        <v>1</v>
      </c>
      <c r="AA6298">
        <f>IF(ISNUMBER('IN-CLASS_Lab Part C'!$J$6298),'IN-CLASS_Lab Part C'!$J$6298,NA())</f>
        <v/>
      </c>
    </row>
    <row r="6299">
      <c r="J6299">
        <f>IF(AND(ISNUMBER('Data'!$F$6300),'Data'!$F$6300&lt;&gt;999,'Data'!$F$6300&lt;&gt;""),'Data'!$F$6300,"")</f>
        <v/>
      </c>
      <c r="Z6299" t="n">
        <v>1</v>
      </c>
      <c r="AA6299">
        <f>IF(ISNUMBER('IN-CLASS_Lab Part C'!$J$6299),'IN-CLASS_Lab Part C'!$J$6299,NA())</f>
        <v/>
      </c>
    </row>
    <row r="6300">
      <c r="J6300">
        <f>IF(AND(ISNUMBER('Data'!$F$6301),'Data'!$F$6301&lt;&gt;999,'Data'!$F$6301&lt;&gt;""),'Data'!$F$6301,"")</f>
        <v/>
      </c>
      <c r="Z6300" t="n">
        <v>1</v>
      </c>
      <c r="AA6300">
        <f>IF(ISNUMBER('IN-CLASS_Lab Part C'!$J$6300),'IN-CLASS_Lab Part C'!$J$6300,NA())</f>
        <v/>
      </c>
    </row>
    <row r="6301">
      <c r="J6301">
        <f>IF(AND(ISNUMBER('Data'!$F$6302),'Data'!$F$6302&lt;&gt;999,'Data'!$F$6302&lt;&gt;""),'Data'!$F$6302,"")</f>
        <v/>
      </c>
      <c r="Z6301" t="n">
        <v>1</v>
      </c>
      <c r="AA6301">
        <f>IF(ISNUMBER('IN-CLASS_Lab Part C'!$J$6301),'IN-CLASS_Lab Part C'!$J$6301,NA())</f>
        <v/>
      </c>
    </row>
    <row r="6302">
      <c r="J6302">
        <f>IF(AND(ISNUMBER('Data'!$F$6303),'Data'!$F$6303&lt;&gt;999,'Data'!$F$6303&lt;&gt;""),'Data'!$F$6303,"")</f>
        <v/>
      </c>
      <c r="Z6302" t="n">
        <v>1</v>
      </c>
      <c r="AA6302">
        <f>IF(ISNUMBER('IN-CLASS_Lab Part C'!$J$6302),'IN-CLASS_Lab Part C'!$J$6302,NA())</f>
        <v/>
      </c>
    </row>
    <row r="6303">
      <c r="J6303">
        <f>IF(AND(ISNUMBER('Data'!$F$6304),'Data'!$F$6304&lt;&gt;999,'Data'!$F$6304&lt;&gt;""),'Data'!$F$6304,"")</f>
        <v/>
      </c>
      <c r="Z6303" t="n">
        <v>1</v>
      </c>
      <c r="AA6303">
        <f>IF(ISNUMBER('IN-CLASS_Lab Part C'!$J$6303),'IN-CLASS_Lab Part C'!$J$6303,NA())</f>
        <v/>
      </c>
    </row>
    <row r="6304">
      <c r="J6304">
        <f>IF(AND(ISNUMBER('Data'!$F$6305),'Data'!$F$6305&lt;&gt;999,'Data'!$F$6305&lt;&gt;""),'Data'!$F$6305,"")</f>
        <v/>
      </c>
      <c r="Z6304" t="n">
        <v>1</v>
      </c>
      <c r="AA6304">
        <f>IF(ISNUMBER('IN-CLASS_Lab Part C'!$J$6304),'IN-CLASS_Lab Part C'!$J$6304,NA())</f>
        <v/>
      </c>
    </row>
    <row r="6305">
      <c r="J6305">
        <f>IF(AND(ISNUMBER('Data'!$F$6306),'Data'!$F$6306&lt;&gt;999,'Data'!$F$6306&lt;&gt;""),'Data'!$F$6306,"")</f>
        <v/>
      </c>
      <c r="Z6305" t="n">
        <v>1</v>
      </c>
      <c r="AA6305">
        <f>IF(ISNUMBER('IN-CLASS_Lab Part C'!$J$6305),'IN-CLASS_Lab Part C'!$J$6305,NA())</f>
        <v/>
      </c>
    </row>
    <row r="6306">
      <c r="J6306">
        <f>IF(AND(ISNUMBER('Data'!$F$6307),'Data'!$F$6307&lt;&gt;999,'Data'!$F$6307&lt;&gt;""),'Data'!$F$6307,"")</f>
        <v/>
      </c>
      <c r="Z6306" t="n">
        <v>1</v>
      </c>
      <c r="AA6306">
        <f>IF(ISNUMBER('IN-CLASS_Lab Part C'!$J$6306),'IN-CLASS_Lab Part C'!$J$6306,NA())</f>
        <v/>
      </c>
    </row>
    <row r="6307">
      <c r="J6307">
        <f>IF(AND(ISNUMBER('Data'!$F$6308),'Data'!$F$6308&lt;&gt;999,'Data'!$F$6308&lt;&gt;""),'Data'!$F$6308,"")</f>
        <v/>
      </c>
      <c r="Z6307" t="n">
        <v>1</v>
      </c>
      <c r="AA6307">
        <f>IF(ISNUMBER('IN-CLASS_Lab Part C'!$J$6307),'IN-CLASS_Lab Part C'!$J$6307,NA())</f>
        <v/>
      </c>
    </row>
    <row r="6308">
      <c r="J6308">
        <f>IF(AND(ISNUMBER('Data'!$F$6309),'Data'!$F$6309&lt;&gt;999,'Data'!$F$6309&lt;&gt;""),'Data'!$F$6309,"")</f>
        <v/>
      </c>
      <c r="Z6308" t="n">
        <v>1</v>
      </c>
      <c r="AA6308">
        <f>IF(ISNUMBER('IN-CLASS_Lab Part C'!$J$6308),'IN-CLASS_Lab Part C'!$J$6308,NA())</f>
        <v/>
      </c>
    </row>
    <row r="6309">
      <c r="J6309">
        <f>IF(AND(ISNUMBER('Data'!$F$6310),'Data'!$F$6310&lt;&gt;999,'Data'!$F$6310&lt;&gt;""),'Data'!$F$6310,"")</f>
        <v/>
      </c>
      <c r="Z6309" t="n">
        <v>1</v>
      </c>
      <c r="AA6309">
        <f>IF(ISNUMBER('IN-CLASS_Lab Part C'!$J$6309),'IN-CLASS_Lab Part C'!$J$6309,NA())</f>
        <v/>
      </c>
    </row>
    <row r="6310">
      <c r="J6310">
        <f>IF(AND(ISNUMBER('Data'!$F$6311),'Data'!$F$6311&lt;&gt;999,'Data'!$F$6311&lt;&gt;""),'Data'!$F$6311,"")</f>
        <v/>
      </c>
      <c r="Z6310" t="n">
        <v>1</v>
      </c>
      <c r="AA6310">
        <f>IF(ISNUMBER('IN-CLASS_Lab Part C'!$J$6310),'IN-CLASS_Lab Part C'!$J$6310,NA())</f>
        <v/>
      </c>
    </row>
    <row r="6311">
      <c r="J6311">
        <f>IF(AND(ISNUMBER('Data'!$F$6312),'Data'!$F$6312&lt;&gt;999,'Data'!$F$6312&lt;&gt;""),'Data'!$F$6312,"")</f>
        <v/>
      </c>
      <c r="Z6311" t="n">
        <v>1</v>
      </c>
      <c r="AA6311">
        <f>IF(ISNUMBER('IN-CLASS_Lab Part C'!$J$6311),'IN-CLASS_Lab Part C'!$J$6311,NA())</f>
        <v/>
      </c>
    </row>
    <row r="6312">
      <c r="J6312">
        <f>IF(AND(ISNUMBER('Data'!$F$6313),'Data'!$F$6313&lt;&gt;999,'Data'!$F$6313&lt;&gt;""),'Data'!$F$6313,"")</f>
        <v/>
      </c>
      <c r="Z6312" t="n">
        <v>1</v>
      </c>
      <c r="AA6312">
        <f>IF(ISNUMBER('IN-CLASS_Lab Part C'!$J$6312),'IN-CLASS_Lab Part C'!$J$6312,NA())</f>
        <v/>
      </c>
    </row>
    <row r="6313">
      <c r="J6313">
        <f>IF(AND(ISNUMBER('Data'!$F$6314),'Data'!$F$6314&lt;&gt;999,'Data'!$F$6314&lt;&gt;""),'Data'!$F$6314,"")</f>
        <v/>
      </c>
      <c r="Z6313" t="n">
        <v>1</v>
      </c>
      <c r="AA6313">
        <f>IF(ISNUMBER('IN-CLASS_Lab Part C'!$J$6313),'IN-CLASS_Lab Part C'!$J$6313,NA())</f>
        <v/>
      </c>
    </row>
    <row r="6314">
      <c r="J6314">
        <f>IF(AND(ISNUMBER('Data'!$F$6315),'Data'!$F$6315&lt;&gt;999,'Data'!$F$6315&lt;&gt;""),'Data'!$F$6315,"")</f>
        <v/>
      </c>
      <c r="Z6314" t="n">
        <v>1</v>
      </c>
      <c r="AA6314">
        <f>IF(ISNUMBER('IN-CLASS_Lab Part C'!$J$6314),'IN-CLASS_Lab Part C'!$J$6314,NA())</f>
        <v/>
      </c>
    </row>
    <row r="6315">
      <c r="J6315">
        <f>IF(AND(ISNUMBER('Data'!$F$6316),'Data'!$F$6316&lt;&gt;999,'Data'!$F$6316&lt;&gt;""),'Data'!$F$6316,"")</f>
        <v/>
      </c>
      <c r="Z6315" t="n">
        <v>1</v>
      </c>
      <c r="AA6315">
        <f>IF(ISNUMBER('IN-CLASS_Lab Part C'!$J$6315),'IN-CLASS_Lab Part C'!$J$6315,NA())</f>
        <v/>
      </c>
    </row>
    <row r="6316">
      <c r="J6316">
        <f>IF(AND(ISNUMBER('Data'!$F$6317),'Data'!$F$6317&lt;&gt;999,'Data'!$F$6317&lt;&gt;""),'Data'!$F$6317,"")</f>
        <v/>
      </c>
      <c r="Z6316" t="n">
        <v>1</v>
      </c>
      <c r="AA6316">
        <f>IF(ISNUMBER('IN-CLASS_Lab Part C'!$J$6316),'IN-CLASS_Lab Part C'!$J$6316,NA())</f>
        <v/>
      </c>
    </row>
    <row r="6317">
      <c r="J6317">
        <f>IF(AND(ISNUMBER('Data'!$F$6318),'Data'!$F$6318&lt;&gt;999,'Data'!$F$6318&lt;&gt;""),'Data'!$F$6318,"")</f>
        <v/>
      </c>
      <c r="Z6317" t="n">
        <v>1</v>
      </c>
      <c r="AA6317">
        <f>IF(ISNUMBER('IN-CLASS_Lab Part C'!$J$6317),'IN-CLASS_Lab Part C'!$J$6317,NA())</f>
        <v/>
      </c>
    </row>
    <row r="6318">
      <c r="J6318">
        <f>IF(AND(ISNUMBER('Data'!$F$6319),'Data'!$F$6319&lt;&gt;999,'Data'!$F$6319&lt;&gt;""),'Data'!$F$6319,"")</f>
        <v/>
      </c>
      <c r="Z6318" t="n">
        <v>1</v>
      </c>
      <c r="AA6318">
        <f>IF(ISNUMBER('IN-CLASS_Lab Part C'!$J$6318),'IN-CLASS_Lab Part C'!$J$6318,NA())</f>
        <v/>
      </c>
    </row>
    <row r="6319">
      <c r="J6319">
        <f>IF(AND(ISNUMBER('Data'!$F$6320),'Data'!$F$6320&lt;&gt;999,'Data'!$F$6320&lt;&gt;""),'Data'!$F$6320,"")</f>
        <v/>
      </c>
      <c r="Z6319" t="n">
        <v>1</v>
      </c>
      <c r="AA6319">
        <f>IF(ISNUMBER('IN-CLASS_Lab Part C'!$J$6319),'IN-CLASS_Lab Part C'!$J$6319,NA())</f>
        <v/>
      </c>
    </row>
    <row r="6320">
      <c r="J6320">
        <f>IF(AND(ISNUMBER('Data'!$F$6321),'Data'!$F$6321&lt;&gt;999,'Data'!$F$6321&lt;&gt;""),'Data'!$F$6321,"")</f>
        <v/>
      </c>
      <c r="Z6320" t="n">
        <v>1</v>
      </c>
      <c r="AA6320">
        <f>IF(ISNUMBER('IN-CLASS_Lab Part C'!$J$6320),'IN-CLASS_Lab Part C'!$J$6320,NA())</f>
        <v/>
      </c>
    </row>
    <row r="6321">
      <c r="J6321">
        <f>IF(AND(ISNUMBER('Data'!$F$6322),'Data'!$F$6322&lt;&gt;999,'Data'!$F$6322&lt;&gt;""),'Data'!$F$6322,"")</f>
        <v/>
      </c>
      <c r="Z6321" t="n">
        <v>1</v>
      </c>
      <c r="AA6321">
        <f>IF(ISNUMBER('IN-CLASS_Lab Part C'!$J$6321),'IN-CLASS_Lab Part C'!$J$6321,NA())</f>
        <v/>
      </c>
    </row>
    <row r="6322">
      <c r="J6322">
        <f>IF(AND(ISNUMBER('Data'!$F$6323),'Data'!$F$6323&lt;&gt;999,'Data'!$F$6323&lt;&gt;""),'Data'!$F$6323,"")</f>
        <v/>
      </c>
      <c r="Z6322" t="n">
        <v>1</v>
      </c>
      <c r="AA6322">
        <f>IF(ISNUMBER('IN-CLASS_Lab Part C'!$J$6322),'IN-CLASS_Lab Part C'!$J$6322,NA())</f>
        <v/>
      </c>
    </row>
    <row r="6323">
      <c r="J6323">
        <f>IF(AND(ISNUMBER('Data'!$F$6324),'Data'!$F$6324&lt;&gt;999,'Data'!$F$6324&lt;&gt;""),'Data'!$F$6324,"")</f>
        <v/>
      </c>
      <c r="Z6323" t="n">
        <v>1</v>
      </c>
      <c r="AA6323">
        <f>IF(ISNUMBER('IN-CLASS_Lab Part C'!$J$6323),'IN-CLASS_Lab Part C'!$J$6323,NA())</f>
        <v/>
      </c>
    </row>
    <row r="6324">
      <c r="J6324">
        <f>IF(AND(ISNUMBER('Data'!$F$6325),'Data'!$F$6325&lt;&gt;999,'Data'!$F$6325&lt;&gt;""),'Data'!$F$6325,"")</f>
        <v/>
      </c>
      <c r="Z6324" t="n">
        <v>1</v>
      </c>
      <c r="AA6324">
        <f>IF(ISNUMBER('IN-CLASS_Lab Part C'!$J$6324),'IN-CLASS_Lab Part C'!$J$6324,NA())</f>
        <v/>
      </c>
    </row>
    <row r="6325">
      <c r="J6325">
        <f>IF(AND(ISNUMBER('Data'!$F$6326),'Data'!$F$6326&lt;&gt;999,'Data'!$F$6326&lt;&gt;""),'Data'!$F$6326,"")</f>
        <v/>
      </c>
      <c r="Z6325" t="n">
        <v>1</v>
      </c>
      <c r="AA6325">
        <f>IF(ISNUMBER('IN-CLASS_Lab Part C'!$J$6325),'IN-CLASS_Lab Part C'!$J$6325,NA())</f>
        <v/>
      </c>
    </row>
    <row r="6326">
      <c r="J6326">
        <f>IF(AND(ISNUMBER('Data'!$F$6327),'Data'!$F$6327&lt;&gt;999,'Data'!$F$6327&lt;&gt;""),'Data'!$F$6327,"")</f>
        <v/>
      </c>
      <c r="Z6326" t="n">
        <v>1</v>
      </c>
      <c r="AA6326">
        <f>IF(ISNUMBER('IN-CLASS_Lab Part C'!$J$6326),'IN-CLASS_Lab Part C'!$J$6326,NA())</f>
        <v/>
      </c>
    </row>
    <row r="6327">
      <c r="J6327">
        <f>IF(AND(ISNUMBER('Data'!$F$6328),'Data'!$F$6328&lt;&gt;999,'Data'!$F$6328&lt;&gt;""),'Data'!$F$6328,"")</f>
        <v/>
      </c>
      <c r="Z6327" t="n">
        <v>1</v>
      </c>
      <c r="AA6327">
        <f>IF(ISNUMBER('IN-CLASS_Lab Part C'!$J$6327),'IN-CLASS_Lab Part C'!$J$6327,NA())</f>
        <v/>
      </c>
    </row>
    <row r="6328">
      <c r="J6328">
        <f>IF(AND(ISNUMBER('Data'!$F$6329),'Data'!$F$6329&lt;&gt;999,'Data'!$F$6329&lt;&gt;""),'Data'!$F$6329,"")</f>
        <v/>
      </c>
      <c r="Z6328" t="n">
        <v>1</v>
      </c>
      <c r="AA6328">
        <f>IF(ISNUMBER('IN-CLASS_Lab Part C'!$J$6328),'IN-CLASS_Lab Part C'!$J$6328,NA())</f>
        <v/>
      </c>
    </row>
    <row r="6329">
      <c r="J6329">
        <f>IF(AND(ISNUMBER('Data'!$F$6330),'Data'!$F$6330&lt;&gt;999,'Data'!$F$6330&lt;&gt;""),'Data'!$F$6330,"")</f>
        <v/>
      </c>
      <c r="Z6329" t="n">
        <v>1</v>
      </c>
      <c r="AA6329">
        <f>IF(ISNUMBER('IN-CLASS_Lab Part C'!$J$6329),'IN-CLASS_Lab Part C'!$J$6329,NA())</f>
        <v/>
      </c>
    </row>
    <row r="6330">
      <c r="J6330">
        <f>IF(AND(ISNUMBER('Data'!$F$6331),'Data'!$F$6331&lt;&gt;999,'Data'!$F$6331&lt;&gt;""),'Data'!$F$6331,"")</f>
        <v/>
      </c>
      <c r="Z6330" t="n">
        <v>1</v>
      </c>
      <c r="AA6330">
        <f>IF(ISNUMBER('IN-CLASS_Lab Part C'!$J$6330),'IN-CLASS_Lab Part C'!$J$6330,NA())</f>
        <v/>
      </c>
    </row>
    <row r="6331">
      <c r="J6331">
        <f>IF(AND(ISNUMBER('Data'!$F$6332),'Data'!$F$6332&lt;&gt;999,'Data'!$F$6332&lt;&gt;""),'Data'!$F$6332,"")</f>
        <v/>
      </c>
      <c r="Z6331" t="n">
        <v>1</v>
      </c>
      <c r="AA6331">
        <f>IF(ISNUMBER('IN-CLASS_Lab Part C'!$J$6331),'IN-CLASS_Lab Part C'!$J$6331,NA())</f>
        <v/>
      </c>
    </row>
    <row r="6332">
      <c r="J6332">
        <f>IF(AND(ISNUMBER('Data'!$F$6333),'Data'!$F$6333&lt;&gt;999,'Data'!$F$6333&lt;&gt;""),'Data'!$F$6333,"")</f>
        <v/>
      </c>
      <c r="Z6332" t="n">
        <v>1</v>
      </c>
      <c r="AA6332">
        <f>IF(ISNUMBER('IN-CLASS_Lab Part C'!$J$6332),'IN-CLASS_Lab Part C'!$J$6332,NA())</f>
        <v/>
      </c>
    </row>
    <row r="6333">
      <c r="J6333">
        <f>IF(AND(ISNUMBER('Data'!$F$6334),'Data'!$F$6334&lt;&gt;999,'Data'!$F$6334&lt;&gt;""),'Data'!$F$6334,"")</f>
        <v/>
      </c>
      <c r="Z6333" t="n">
        <v>1</v>
      </c>
      <c r="AA6333">
        <f>IF(ISNUMBER('IN-CLASS_Lab Part C'!$J$6333),'IN-CLASS_Lab Part C'!$J$6333,NA())</f>
        <v/>
      </c>
    </row>
    <row r="6334">
      <c r="J6334">
        <f>IF(AND(ISNUMBER('Data'!$F$6335),'Data'!$F$6335&lt;&gt;999,'Data'!$F$6335&lt;&gt;""),'Data'!$F$6335,"")</f>
        <v/>
      </c>
      <c r="Z6334" t="n">
        <v>1</v>
      </c>
      <c r="AA6334">
        <f>IF(ISNUMBER('IN-CLASS_Lab Part C'!$J$6334),'IN-CLASS_Lab Part C'!$J$6334,NA())</f>
        <v/>
      </c>
    </row>
    <row r="6335">
      <c r="J6335">
        <f>IF(AND(ISNUMBER('Data'!$F$6336),'Data'!$F$6336&lt;&gt;999,'Data'!$F$6336&lt;&gt;""),'Data'!$F$6336,"")</f>
        <v/>
      </c>
      <c r="Z6335" t="n">
        <v>1</v>
      </c>
      <c r="AA6335">
        <f>IF(ISNUMBER('IN-CLASS_Lab Part C'!$J$6335),'IN-CLASS_Lab Part C'!$J$6335,NA())</f>
        <v/>
      </c>
    </row>
    <row r="6336">
      <c r="J6336">
        <f>IF(AND(ISNUMBER('Data'!$F$6337),'Data'!$F$6337&lt;&gt;999,'Data'!$F$6337&lt;&gt;""),'Data'!$F$6337,"")</f>
        <v/>
      </c>
      <c r="Z6336" t="n">
        <v>1</v>
      </c>
      <c r="AA6336">
        <f>IF(ISNUMBER('IN-CLASS_Lab Part C'!$J$6336),'IN-CLASS_Lab Part C'!$J$6336,NA())</f>
        <v/>
      </c>
    </row>
    <row r="6337">
      <c r="J6337">
        <f>IF(AND(ISNUMBER('Data'!$F$6338),'Data'!$F$6338&lt;&gt;999,'Data'!$F$6338&lt;&gt;""),'Data'!$F$6338,"")</f>
        <v/>
      </c>
      <c r="Z6337" t="n">
        <v>1</v>
      </c>
      <c r="AA6337">
        <f>IF(ISNUMBER('IN-CLASS_Lab Part C'!$J$6337),'IN-CLASS_Lab Part C'!$J$6337,NA())</f>
        <v/>
      </c>
    </row>
    <row r="6338">
      <c r="J6338">
        <f>IF(AND(ISNUMBER('Data'!$F$6339),'Data'!$F$6339&lt;&gt;999,'Data'!$F$6339&lt;&gt;""),'Data'!$F$6339,"")</f>
        <v/>
      </c>
      <c r="Z6338" t="n">
        <v>1</v>
      </c>
      <c r="AA6338">
        <f>IF(ISNUMBER('IN-CLASS_Lab Part C'!$J$6338),'IN-CLASS_Lab Part C'!$J$6338,NA())</f>
        <v/>
      </c>
    </row>
    <row r="6339">
      <c r="J6339">
        <f>IF(AND(ISNUMBER('Data'!$F$6340),'Data'!$F$6340&lt;&gt;999,'Data'!$F$6340&lt;&gt;""),'Data'!$F$6340,"")</f>
        <v/>
      </c>
      <c r="Z6339" t="n">
        <v>1</v>
      </c>
      <c r="AA6339">
        <f>IF(ISNUMBER('IN-CLASS_Lab Part C'!$J$6339),'IN-CLASS_Lab Part C'!$J$6339,NA())</f>
        <v/>
      </c>
    </row>
    <row r="6340">
      <c r="J6340">
        <f>IF(AND(ISNUMBER('Data'!$F$6341),'Data'!$F$6341&lt;&gt;999,'Data'!$F$6341&lt;&gt;""),'Data'!$F$6341,"")</f>
        <v/>
      </c>
      <c r="Z6340" t="n">
        <v>1</v>
      </c>
      <c r="AA6340">
        <f>IF(ISNUMBER('IN-CLASS_Lab Part C'!$J$6340),'IN-CLASS_Lab Part C'!$J$6340,NA())</f>
        <v/>
      </c>
    </row>
    <row r="6341">
      <c r="J6341">
        <f>IF(AND(ISNUMBER('Data'!$F$6342),'Data'!$F$6342&lt;&gt;999,'Data'!$F$6342&lt;&gt;""),'Data'!$F$6342,"")</f>
        <v/>
      </c>
      <c r="Z6341" t="n">
        <v>1</v>
      </c>
      <c r="AA6341">
        <f>IF(ISNUMBER('IN-CLASS_Lab Part C'!$J$6341),'IN-CLASS_Lab Part C'!$J$6341,NA())</f>
        <v/>
      </c>
    </row>
    <row r="6342">
      <c r="J6342">
        <f>IF(AND(ISNUMBER('Data'!$F$6343),'Data'!$F$6343&lt;&gt;999,'Data'!$F$6343&lt;&gt;""),'Data'!$F$6343,"")</f>
        <v/>
      </c>
      <c r="Z6342" t="n">
        <v>1</v>
      </c>
      <c r="AA6342">
        <f>IF(ISNUMBER('IN-CLASS_Lab Part C'!$J$6342),'IN-CLASS_Lab Part C'!$J$6342,NA())</f>
        <v/>
      </c>
    </row>
    <row r="6343">
      <c r="J6343">
        <f>IF(AND(ISNUMBER('Data'!$F$6344),'Data'!$F$6344&lt;&gt;999,'Data'!$F$6344&lt;&gt;""),'Data'!$F$6344,"")</f>
        <v/>
      </c>
      <c r="Z6343" t="n">
        <v>1</v>
      </c>
      <c r="AA6343">
        <f>IF(ISNUMBER('IN-CLASS_Lab Part C'!$J$6343),'IN-CLASS_Lab Part C'!$J$6343,NA())</f>
        <v/>
      </c>
    </row>
    <row r="6344">
      <c r="J6344">
        <f>IF(AND(ISNUMBER('Data'!$F$6345),'Data'!$F$6345&lt;&gt;999,'Data'!$F$6345&lt;&gt;""),'Data'!$F$6345,"")</f>
        <v/>
      </c>
      <c r="Z6344" t="n">
        <v>1</v>
      </c>
      <c r="AA6344">
        <f>IF(ISNUMBER('IN-CLASS_Lab Part C'!$J$6344),'IN-CLASS_Lab Part C'!$J$6344,NA())</f>
        <v/>
      </c>
    </row>
    <row r="6345">
      <c r="J6345">
        <f>IF(AND(ISNUMBER('Data'!$F$6346),'Data'!$F$6346&lt;&gt;999,'Data'!$F$6346&lt;&gt;""),'Data'!$F$6346,"")</f>
        <v/>
      </c>
      <c r="Z6345" t="n">
        <v>1</v>
      </c>
      <c r="AA6345">
        <f>IF(ISNUMBER('IN-CLASS_Lab Part C'!$J$6345),'IN-CLASS_Lab Part C'!$J$6345,NA())</f>
        <v/>
      </c>
    </row>
    <row r="6346">
      <c r="J6346">
        <f>IF(AND(ISNUMBER('Data'!$F$6347),'Data'!$F$6347&lt;&gt;999,'Data'!$F$6347&lt;&gt;""),'Data'!$F$6347,"")</f>
        <v/>
      </c>
      <c r="Z6346" t="n">
        <v>1</v>
      </c>
      <c r="AA6346">
        <f>IF(ISNUMBER('IN-CLASS_Lab Part C'!$J$6346),'IN-CLASS_Lab Part C'!$J$6346,NA())</f>
        <v/>
      </c>
    </row>
    <row r="6347">
      <c r="J6347">
        <f>IF(AND(ISNUMBER('Data'!$F$6348),'Data'!$F$6348&lt;&gt;999,'Data'!$F$6348&lt;&gt;""),'Data'!$F$6348,"")</f>
        <v/>
      </c>
      <c r="Z6347" t="n">
        <v>1</v>
      </c>
      <c r="AA6347">
        <f>IF(ISNUMBER('IN-CLASS_Lab Part C'!$J$6347),'IN-CLASS_Lab Part C'!$J$6347,NA())</f>
        <v/>
      </c>
    </row>
    <row r="6348">
      <c r="J6348">
        <f>IF(AND(ISNUMBER('Data'!$F$6349),'Data'!$F$6349&lt;&gt;999,'Data'!$F$6349&lt;&gt;""),'Data'!$F$6349,"")</f>
        <v/>
      </c>
      <c r="Z6348" t="n">
        <v>1</v>
      </c>
      <c r="AA6348">
        <f>IF(ISNUMBER('IN-CLASS_Lab Part C'!$J$6348),'IN-CLASS_Lab Part C'!$J$6348,NA())</f>
        <v/>
      </c>
    </row>
    <row r="6349">
      <c r="J6349">
        <f>IF(AND(ISNUMBER('Data'!$F$6350),'Data'!$F$6350&lt;&gt;999,'Data'!$F$6350&lt;&gt;""),'Data'!$F$6350,"")</f>
        <v/>
      </c>
      <c r="Z6349" t="n">
        <v>1</v>
      </c>
      <c r="AA6349">
        <f>IF(ISNUMBER('IN-CLASS_Lab Part C'!$J$6349),'IN-CLASS_Lab Part C'!$J$6349,NA())</f>
        <v/>
      </c>
    </row>
    <row r="6350">
      <c r="J6350">
        <f>IF(AND(ISNUMBER('Data'!$F$6351),'Data'!$F$6351&lt;&gt;999,'Data'!$F$6351&lt;&gt;""),'Data'!$F$6351,"")</f>
        <v/>
      </c>
      <c r="Z6350" t="n">
        <v>1</v>
      </c>
      <c r="AA6350">
        <f>IF(ISNUMBER('IN-CLASS_Lab Part C'!$J$6350),'IN-CLASS_Lab Part C'!$J$6350,NA())</f>
        <v/>
      </c>
    </row>
    <row r="6351">
      <c r="J6351">
        <f>IF(AND(ISNUMBER('Data'!$F$6352),'Data'!$F$6352&lt;&gt;999,'Data'!$F$6352&lt;&gt;""),'Data'!$F$6352,"")</f>
        <v/>
      </c>
      <c r="Z6351" t="n">
        <v>1</v>
      </c>
      <c r="AA6351">
        <f>IF(ISNUMBER('IN-CLASS_Lab Part C'!$J$6351),'IN-CLASS_Lab Part C'!$J$6351,NA())</f>
        <v/>
      </c>
    </row>
    <row r="6352">
      <c r="J6352">
        <f>IF(AND(ISNUMBER('Data'!$F$6353),'Data'!$F$6353&lt;&gt;999,'Data'!$F$6353&lt;&gt;""),'Data'!$F$6353,"")</f>
        <v/>
      </c>
      <c r="Z6352" t="n">
        <v>1</v>
      </c>
      <c r="AA6352">
        <f>IF(ISNUMBER('IN-CLASS_Lab Part C'!$J$6352),'IN-CLASS_Lab Part C'!$J$6352,NA())</f>
        <v/>
      </c>
    </row>
    <row r="6353">
      <c r="J6353">
        <f>IF(AND(ISNUMBER('Data'!$F$6354),'Data'!$F$6354&lt;&gt;999,'Data'!$F$6354&lt;&gt;""),'Data'!$F$6354,"")</f>
        <v/>
      </c>
      <c r="Z6353" t="n">
        <v>1</v>
      </c>
      <c r="AA6353">
        <f>IF(ISNUMBER('IN-CLASS_Lab Part C'!$J$6353),'IN-CLASS_Lab Part C'!$J$6353,NA())</f>
        <v/>
      </c>
    </row>
    <row r="6354">
      <c r="J6354">
        <f>IF(AND(ISNUMBER('Data'!$F$6355),'Data'!$F$6355&lt;&gt;999,'Data'!$F$6355&lt;&gt;""),'Data'!$F$6355,"")</f>
        <v/>
      </c>
      <c r="Z6354" t="n">
        <v>1</v>
      </c>
      <c r="AA6354">
        <f>IF(ISNUMBER('IN-CLASS_Lab Part C'!$J$6354),'IN-CLASS_Lab Part C'!$J$6354,NA())</f>
        <v/>
      </c>
    </row>
    <row r="6355">
      <c r="J6355">
        <f>IF(AND(ISNUMBER('Data'!$F$6356),'Data'!$F$6356&lt;&gt;999,'Data'!$F$6356&lt;&gt;""),'Data'!$F$6356,"")</f>
        <v/>
      </c>
      <c r="Z6355" t="n">
        <v>1</v>
      </c>
      <c r="AA6355">
        <f>IF(ISNUMBER('IN-CLASS_Lab Part C'!$J$6355),'IN-CLASS_Lab Part C'!$J$6355,NA())</f>
        <v/>
      </c>
    </row>
    <row r="6356">
      <c r="J6356">
        <f>IF(AND(ISNUMBER('Data'!$F$6357),'Data'!$F$6357&lt;&gt;999,'Data'!$F$6357&lt;&gt;""),'Data'!$F$6357,"")</f>
        <v/>
      </c>
      <c r="Z6356" t="n">
        <v>1</v>
      </c>
      <c r="AA6356">
        <f>IF(ISNUMBER('IN-CLASS_Lab Part C'!$J$6356),'IN-CLASS_Lab Part C'!$J$6356,NA())</f>
        <v/>
      </c>
    </row>
    <row r="6357">
      <c r="J6357">
        <f>IF(AND(ISNUMBER('Data'!$F$6358),'Data'!$F$6358&lt;&gt;999,'Data'!$F$6358&lt;&gt;""),'Data'!$F$6358,"")</f>
        <v/>
      </c>
      <c r="Z6357" t="n">
        <v>1</v>
      </c>
      <c r="AA6357">
        <f>IF(ISNUMBER('IN-CLASS_Lab Part C'!$J$6357),'IN-CLASS_Lab Part C'!$J$6357,NA())</f>
        <v/>
      </c>
    </row>
    <row r="6358">
      <c r="J6358">
        <f>IF(AND(ISNUMBER('Data'!$F$6359),'Data'!$F$6359&lt;&gt;999,'Data'!$F$6359&lt;&gt;""),'Data'!$F$6359,"")</f>
        <v/>
      </c>
      <c r="Z6358" t="n">
        <v>1</v>
      </c>
      <c r="AA6358">
        <f>IF(ISNUMBER('IN-CLASS_Lab Part C'!$J$6358),'IN-CLASS_Lab Part C'!$J$6358,NA())</f>
        <v/>
      </c>
    </row>
    <row r="6359">
      <c r="J6359">
        <f>IF(AND(ISNUMBER('Data'!$F$6360),'Data'!$F$6360&lt;&gt;999,'Data'!$F$6360&lt;&gt;""),'Data'!$F$6360,"")</f>
        <v/>
      </c>
      <c r="Z6359" t="n">
        <v>1</v>
      </c>
      <c r="AA6359">
        <f>IF(ISNUMBER('IN-CLASS_Lab Part C'!$J$6359),'IN-CLASS_Lab Part C'!$J$6359,NA())</f>
        <v/>
      </c>
    </row>
    <row r="6360">
      <c r="J6360">
        <f>IF(AND(ISNUMBER('Data'!$F$6361),'Data'!$F$6361&lt;&gt;999,'Data'!$F$6361&lt;&gt;""),'Data'!$F$6361,"")</f>
        <v/>
      </c>
      <c r="Z6360" t="n">
        <v>1</v>
      </c>
      <c r="AA6360">
        <f>IF(ISNUMBER('IN-CLASS_Lab Part C'!$J$6360),'IN-CLASS_Lab Part C'!$J$6360,NA())</f>
        <v/>
      </c>
    </row>
    <row r="6361">
      <c r="J6361">
        <f>IF(AND(ISNUMBER('Data'!$F$6362),'Data'!$F$6362&lt;&gt;999,'Data'!$F$6362&lt;&gt;""),'Data'!$F$6362,"")</f>
        <v/>
      </c>
      <c r="Z6361" t="n">
        <v>1</v>
      </c>
      <c r="AA6361">
        <f>IF(ISNUMBER('IN-CLASS_Lab Part C'!$J$6361),'IN-CLASS_Lab Part C'!$J$6361,NA())</f>
        <v/>
      </c>
    </row>
    <row r="6362">
      <c r="J6362">
        <f>IF(AND(ISNUMBER('Data'!$F$6363),'Data'!$F$6363&lt;&gt;999,'Data'!$F$6363&lt;&gt;""),'Data'!$F$6363,"")</f>
        <v/>
      </c>
      <c r="Z6362" t="n">
        <v>1</v>
      </c>
      <c r="AA6362">
        <f>IF(ISNUMBER('IN-CLASS_Lab Part C'!$J$6362),'IN-CLASS_Lab Part C'!$J$6362,NA())</f>
        <v/>
      </c>
    </row>
    <row r="6363">
      <c r="J6363">
        <f>IF(AND(ISNUMBER('Data'!$F$6364),'Data'!$F$6364&lt;&gt;999,'Data'!$F$6364&lt;&gt;""),'Data'!$F$6364,"")</f>
        <v/>
      </c>
      <c r="Z6363" t="n">
        <v>1</v>
      </c>
      <c r="AA6363">
        <f>IF(ISNUMBER('IN-CLASS_Lab Part C'!$J$6363),'IN-CLASS_Lab Part C'!$J$6363,NA())</f>
        <v/>
      </c>
    </row>
    <row r="6364">
      <c r="J6364">
        <f>IF(AND(ISNUMBER('Data'!$F$6365),'Data'!$F$6365&lt;&gt;999,'Data'!$F$6365&lt;&gt;""),'Data'!$F$6365,"")</f>
        <v/>
      </c>
      <c r="Z6364" t="n">
        <v>1</v>
      </c>
      <c r="AA6364">
        <f>IF(ISNUMBER('IN-CLASS_Lab Part C'!$J$6364),'IN-CLASS_Lab Part C'!$J$6364,NA())</f>
        <v/>
      </c>
    </row>
    <row r="6365">
      <c r="J6365">
        <f>IF(AND(ISNUMBER('Data'!$F$6366),'Data'!$F$6366&lt;&gt;999,'Data'!$F$6366&lt;&gt;""),'Data'!$F$6366,"")</f>
        <v/>
      </c>
      <c r="Z6365" t="n">
        <v>1</v>
      </c>
      <c r="AA6365">
        <f>IF(ISNUMBER('IN-CLASS_Lab Part C'!$J$6365),'IN-CLASS_Lab Part C'!$J$6365,NA())</f>
        <v/>
      </c>
    </row>
    <row r="6366">
      <c r="J6366">
        <f>IF(AND(ISNUMBER('Data'!$F$6367),'Data'!$F$6367&lt;&gt;999,'Data'!$F$6367&lt;&gt;""),'Data'!$F$6367,"")</f>
        <v/>
      </c>
      <c r="Z6366" t="n">
        <v>1</v>
      </c>
      <c r="AA6366">
        <f>IF(ISNUMBER('IN-CLASS_Lab Part C'!$J$6366),'IN-CLASS_Lab Part C'!$J$6366,NA())</f>
        <v/>
      </c>
    </row>
    <row r="6367">
      <c r="J6367">
        <f>IF(AND(ISNUMBER('Data'!$F$6368),'Data'!$F$6368&lt;&gt;999,'Data'!$F$6368&lt;&gt;""),'Data'!$F$6368,"")</f>
        <v/>
      </c>
      <c r="Z6367" t="n">
        <v>1</v>
      </c>
      <c r="AA6367">
        <f>IF(ISNUMBER('IN-CLASS_Lab Part C'!$J$6367),'IN-CLASS_Lab Part C'!$J$6367,NA())</f>
        <v/>
      </c>
    </row>
    <row r="6368">
      <c r="J6368">
        <f>IF(AND(ISNUMBER('Data'!$F$6369),'Data'!$F$6369&lt;&gt;999,'Data'!$F$6369&lt;&gt;""),'Data'!$F$6369,"")</f>
        <v/>
      </c>
      <c r="Z6368" t="n">
        <v>1</v>
      </c>
      <c r="AA6368">
        <f>IF(ISNUMBER('IN-CLASS_Lab Part C'!$J$6368),'IN-CLASS_Lab Part C'!$J$6368,NA())</f>
        <v/>
      </c>
    </row>
    <row r="6369">
      <c r="J6369">
        <f>IF(AND(ISNUMBER('Data'!$F$6370),'Data'!$F$6370&lt;&gt;999,'Data'!$F$6370&lt;&gt;""),'Data'!$F$6370,"")</f>
        <v/>
      </c>
      <c r="Z6369" t="n">
        <v>1</v>
      </c>
      <c r="AA6369">
        <f>IF(ISNUMBER('IN-CLASS_Lab Part C'!$J$6369),'IN-CLASS_Lab Part C'!$J$6369,NA())</f>
        <v/>
      </c>
    </row>
    <row r="6370">
      <c r="J6370">
        <f>IF(AND(ISNUMBER('Data'!$F$6371),'Data'!$F$6371&lt;&gt;999,'Data'!$F$6371&lt;&gt;""),'Data'!$F$6371,"")</f>
        <v/>
      </c>
      <c r="Z6370" t="n">
        <v>1</v>
      </c>
      <c r="AA6370">
        <f>IF(ISNUMBER('IN-CLASS_Lab Part C'!$J$6370),'IN-CLASS_Lab Part C'!$J$6370,NA())</f>
        <v/>
      </c>
    </row>
    <row r="6371">
      <c r="J6371">
        <f>IF(AND(ISNUMBER('Data'!$F$6372),'Data'!$F$6372&lt;&gt;999,'Data'!$F$6372&lt;&gt;""),'Data'!$F$6372,"")</f>
        <v/>
      </c>
      <c r="Z6371" t="n">
        <v>1</v>
      </c>
      <c r="AA6371">
        <f>IF(ISNUMBER('IN-CLASS_Lab Part C'!$J$6371),'IN-CLASS_Lab Part C'!$J$6371,NA())</f>
        <v/>
      </c>
    </row>
    <row r="6372">
      <c r="J6372">
        <f>IF(AND(ISNUMBER('Data'!$F$6373),'Data'!$F$6373&lt;&gt;999,'Data'!$F$6373&lt;&gt;""),'Data'!$F$6373,"")</f>
        <v/>
      </c>
      <c r="Z6372" t="n">
        <v>1</v>
      </c>
      <c r="AA6372">
        <f>IF(ISNUMBER('IN-CLASS_Lab Part C'!$J$6372),'IN-CLASS_Lab Part C'!$J$6372,NA())</f>
        <v/>
      </c>
    </row>
    <row r="6373">
      <c r="J6373">
        <f>IF(AND(ISNUMBER('Data'!$F$6374),'Data'!$F$6374&lt;&gt;999,'Data'!$F$6374&lt;&gt;""),'Data'!$F$6374,"")</f>
        <v/>
      </c>
      <c r="Z6373" t="n">
        <v>1</v>
      </c>
      <c r="AA6373">
        <f>IF(ISNUMBER('IN-CLASS_Lab Part C'!$J$6373),'IN-CLASS_Lab Part C'!$J$6373,NA())</f>
        <v/>
      </c>
    </row>
    <row r="6374">
      <c r="J6374">
        <f>IF(AND(ISNUMBER('Data'!$F$6375),'Data'!$F$6375&lt;&gt;999,'Data'!$F$6375&lt;&gt;""),'Data'!$F$6375,"")</f>
        <v/>
      </c>
      <c r="Z6374" t="n">
        <v>1</v>
      </c>
      <c r="AA6374">
        <f>IF(ISNUMBER('IN-CLASS_Lab Part C'!$J$6374),'IN-CLASS_Lab Part C'!$J$6374,NA())</f>
        <v/>
      </c>
    </row>
    <row r="6375">
      <c r="J6375">
        <f>IF(AND(ISNUMBER('Data'!$F$6376),'Data'!$F$6376&lt;&gt;999,'Data'!$F$6376&lt;&gt;""),'Data'!$F$6376,"")</f>
        <v/>
      </c>
      <c r="Z6375" t="n">
        <v>1</v>
      </c>
      <c r="AA6375">
        <f>IF(ISNUMBER('IN-CLASS_Lab Part C'!$J$6375),'IN-CLASS_Lab Part C'!$J$6375,NA())</f>
        <v/>
      </c>
    </row>
    <row r="6376">
      <c r="J6376">
        <f>IF(AND(ISNUMBER('Data'!$F$6377),'Data'!$F$6377&lt;&gt;999,'Data'!$F$6377&lt;&gt;""),'Data'!$F$6377,"")</f>
        <v/>
      </c>
      <c r="Z6376" t="n">
        <v>1</v>
      </c>
      <c r="AA6376">
        <f>IF(ISNUMBER('IN-CLASS_Lab Part C'!$J$6376),'IN-CLASS_Lab Part C'!$J$6376,NA())</f>
        <v/>
      </c>
    </row>
    <row r="6377">
      <c r="J6377">
        <f>IF(AND(ISNUMBER('Data'!$F$6378),'Data'!$F$6378&lt;&gt;999,'Data'!$F$6378&lt;&gt;""),'Data'!$F$6378,"")</f>
        <v/>
      </c>
      <c r="Z6377" t="n">
        <v>1</v>
      </c>
      <c r="AA6377">
        <f>IF(ISNUMBER('IN-CLASS_Lab Part C'!$J$6377),'IN-CLASS_Lab Part C'!$J$6377,NA())</f>
        <v/>
      </c>
    </row>
    <row r="6378">
      <c r="J6378">
        <f>IF(AND(ISNUMBER('Data'!$F$6379),'Data'!$F$6379&lt;&gt;999,'Data'!$F$6379&lt;&gt;""),'Data'!$F$6379,"")</f>
        <v/>
      </c>
      <c r="Z6378" t="n">
        <v>1</v>
      </c>
      <c r="AA6378">
        <f>IF(ISNUMBER('IN-CLASS_Lab Part C'!$J$6378),'IN-CLASS_Lab Part C'!$J$6378,NA())</f>
        <v/>
      </c>
    </row>
    <row r="6379">
      <c r="J6379">
        <f>IF(AND(ISNUMBER('Data'!$F$6380),'Data'!$F$6380&lt;&gt;999,'Data'!$F$6380&lt;&gt;""),'Data'!$F$6380,"")</f>
        <v/>
      </c>
      <c r="Z6379" t="n">
        <v>1</v>
      </c>
      <c r="AA6379">
        <f>IF(ISNUMBER('IN-CLASS_Lab Part C'!$J$6379),'IN-CLASS_Lab Part C'!$J$6379,NA())</f>
        <v/>
      </c>
    </row>
    <row r="6380">
      <c r="J6380">
        <f>IF(AND(ISNUMBER('Data'!$F$6381),'Data'!$F$6381&lt;&gt;999,'Data'!$F$6381&lt;&gt;""),'Data'!$F$6381,"")</f>
        <v/>
      </c>
      <c r="Z6380" t="n">
        <v>1</v>
      </c>
      <c r="AA6380">
        <f>IF(ISNUMBER('IN-CLASS_Lab Part C'!$J$6380),'IN-CLASS_Lab Part C'!$J$6380,NA())</f>
        <v/>
      </c>
    </row>
    <row r="6381">
      <c r="J6381">
        <f>IF(AND(ISNUMBER('Data'!$F$6382),'Data'!$F$6382&lt;&gt;999,'Data'!$F$6382&lt;&gt;""),'Data'!$F$6382,"")</f>
        <v/>
      </c>
      <c r="Z6381" t="n">
        <v>1</v>
      </c>
      <c r="AA6381">
        <f>IF(ISNUMBER('IN-CLASS_Lab Part C'!$J$6381),'IN-CLASS_Lab Part C'!$J$6381,NA())</f>
        <v/>
      </c>
    </row>
    <row r="6382">
      <c r="J6382">
        <f>IF(AND(ISNUMBER('Data'!$F$6383),'Data'!$F$6383&lt;&gt;999,'Data'!$F$6383&lt;&gt;""),'Data'!$F$6383,"")</f>
        <v/>
      </c>
      <c r="Z6382" t="n">
        <v>1</v>
      </c>
      <c r="AA6382">
        <f>IF(ISNUMBER('IN-CLASS_Lab Part C'!$J$6382),'IN-CLASS_Lab Part C'!$J$6382,NA())</f>
        <v/>
      </c>
    </row>
    <row r="6383">
      <c r="J6383">
        <f>IF(AND(ISNUMBER('Data'!$F$6384),'Data'!$F$6384&lt;&gt;999,'Data'!$F$6384&lt;&gt;""),'Data'!$F$6384,"")</f>
        <v/>
      </c>
      <c r="Z6383" t="n">
        <v>1</v>
      </c>
      <c r="AA6383">
        <f>IF(ISNUMBER('IN-CLASS_Lab Part C'!$J$6383),'IN-CLASS_Lab Part C'!$J$6383,NA())</f>
        <v/>
      </c>
    </row>
    <row r="6384">
      <c r="J6384">
        <f>IF(AND(ISNUMBER('Data'!$F$6385),'Data'!$F$6385&lt;&gt;999,'Data'!$F$6385&lt;&gt;""),'Data'!$F$6385,"")</f>
        <v/>
      </c>
      <c r="Z6384" t="n">
        <v>1</v>
      </c>
      <c r="AA6384">
        <f>IF(ISNUMBER('IN-CLASS_Lab Part C'!$J$6384),'IN-CLASS_Lab Part C'!$J$6384,NA())</f>
        <v/>
      </c>
    </row>
    <row r="6385">
      <c r="J6385">
        <f>IF(AND(ISNUMBER('Data'!$F$6386),'Data'!$F$6386&lt;&gt;999,'Data'!$F$6386&lt;&gt;""),'Data'!$F$6386,"")</f>
        <v/>
      </c>
      <c r="Z6385" t="n">
        <v>1</v>
      </c>
      <c r="AA6385">
        <f>IF(ISNUMBER('IN-CLASS_Lab Part C'!$J$6385),'IN-CLASS_Lab Part C'!$J$6385,NA())</f>
        <v/>
      </c>
    </row>
    <row r="6386">
      <c r="J6386">
        <f>IF(AND(ISNUMBER('Data'!$F$6387),'Data'!$F$6387&lt;&gt;999,'Data'!$F$6387&lt;&gt;""),'Data'!$F$6387,"")</f>
        <v/>
      </c>
      <c r="Z6386" t="n">
        <v>1</v>
      </c>
      <c r="AA6386">
        <f>IF(ISNUMBER('IN-CLASS_Lab Part C'!$J$6386),'IN-CLASS_Lab Part C'!$J$6386,NA())</f>
        <v/>
      </c>
    </row>
    <row r="6387">
      <c r="J6387">
        <f>IF(AND(ISNUMBER('Data'!$F$6388),'Data'!$F$6388&lt;&gt;999,'Data'!$F$6388&lt;&gt;""),'Data'!$F$6388,"")</f>
        <v/>
      </c>
      <c r="Z6387" t="n">
        <v>1</v>
      </c>
      <c r="AA6387">
        <f>IF(ISNUMBER('IN-CLASS_Lab Part C'!$J$6387),'IN-CLASS_Lab Part C'!$J$6387,NA())</f>
        <v/>
      </c>
    </row>
    <row r="6388">
      <c r="J6388">
        <f>IF(AND(ISNUMBER('Data'!$F$6389),'Data'!$F$6389&lt;&gt;999,'Data'!$F$6389&lt;&gt;""),'Data'!$F$6389,"")</f>
        <v/>
      </c>
      <c r="Z6388" t="n">
        <v>1</v>
      </c>
      <c r="AA6388">
        <f>IF(ISNUMBER('IN-CLASS_Lab Part C'!$J$6388),'IN-CLASS_Lab Part C'!$J$6388,NA())</f>
        <v/>
      </c>
    </row>
    <row r="6389">
      <c r="J6389">
        <f>IF(AND(ISNUMBER('Data'!$F$6390),'Data'!$F$6390&lt;&gt;999,'Data'!$F$6390&lt;&gt;""),'Data'!$F$6390,"")</f>
        <v/>
      </c>
      <c r="Z6389" t="n">
        <v>1</v>
      </c>
      <c r="AA6389">
        <f>IF(ISNUMBER('IN-CLASS_Lab Part C'!$J$6389),'IN-CLASS_Lab Part C'!$J$6389,NA())</f>
        <v/>
      </c>
    </row>
    <row r="6390">
      <c r="J6390">
        <f>IF(AND(ISNUMBER('Data'!$F$6391),'Data'!$F$6391&lt;&gt;999,'Data'!$F$6391&lt;&gt;""),'Data'!$F$6391,"")</f>
        <v/>
      </c>
      <c r="Z6390" t="n">
        <v>1</v>
      </c>
      <c r="AA6390">
        <f>IF(ISNUMBER('IN-CLASS_Lab Part C'!$J$6390),'IN-CLASS_Lab Part C'!$J$6390,NA())</f>
        <v/>
      </c>
    </row>
    <row r="6391">
      <c r="J6391">
        <f>IF(AND(ISNUMBER('Data'!$F$6392),'Data'!$F$6392&lt;&gt;999,'Data'!$F$6392&lt;&gt;""),'Data'!$F$6392,"")</f>
        <v/>
      </c>
      <c r="Z6391" t="n">
        <v>1</v>
      </c>
      <c r="AA6391">
        <f>IF(ISNUMBER('IN-CLASS_Lab Part C'!$J$6391),'IN-CLASS_Lab Part C'!$J$6391,NA())</f>
        <v/>
      </c>
    </row>
    <row r="6392">
      <c r="J6392">
        <f>IF(AND(ISNUMBER('Data'!$F$6393),'Data'!$F$6393&lt;&gt;999,'Data'!$F$6393&lt;&gt;""),'Data'!$F$6393,"")</f>
        <v/>
      </c>
      <c r="Z6392" t="n">
        <v>1</v>
      </c>
      <c r="AA6392">
        <f>IF(ISNUMBER('IN-CLASS_Lab Part C'!$J$6392),'IN-CLASS_Lab Part C'!$J$6392,NA())</f>
        <v/>
      </c>
    </row>
    <row r="6393">
      <c r="J6393">
        <f>IF(AND(ISNUMBER('Data'!$F$6394),'Data'!$F$6394&lt;&gt;999,'Data'!$F$6394&lt;&gt;""),'Data'!$F$6394,"")</f>
        <v/>
      </c>
      <c r="Z6393" t="n">
        <v>1</v>
      </c>
      <c r="AA6393">
        <f>IF(ISNUMBER('IN-CLASS_Lab Part C'!$J$6393),'IN-CLASS_Lab Part C'!$J$6393,NA())</f>
        <v/>
      </c>
    </row>
    <row r="6394">
      <c r="J6394">
        <f>IF(AND(ISNUMBER('Data'!$F$6395),'Data'!$F$6395&lt;&gt;999,'Data'!$F$6395&lt;&gt;""),'Data'!$F$6395,"")</f>
        <v/>
      </c>
      <c r="Z6394" t="n">
        <v>1</v>
      </c>
      <c r="AA6394">
        <f>IF(ISNUMBER('IN-CLASS_Lab Part C'!$J$6394),'IN-CLASS_Lab Part C'!$J$6394,NA())</f>
        <v/>
      </c>
    </row>
    <row r="6395">
      <c r="J6395">
        <f>IF(AND(ISNUMBER('Data'!$F$6396),'Data'!$F$6396&lt;&gt;999,'Data'!$F$6396&lt;&gt;""),'Data'!$F$6396,"")</f>
        <v/>
      </c>
      <c r="Z6395" t="n">
        <v>1</v>
      </c>
      <c r="AA6395">
        <f>IF(ISNUMBER('IN-CLASS_Lab Part C'!$J$6395),'IN-CLASS_Lab Part C'!$J$6395,NA())</f>
        <v/>
      </c>
    </row>
    <row r="6396">
      <c r="J6396">
        <f>IF(AND(ISNUMBER('Data'!$F$6397),'Data'!$F$6397&lt;&gt;999,'Data'!$F$6397&lt;&gt;""),'Data'!$F$6397,"")</f>
        <v/>
      </c>
      <c r="Z6396" t="n">
        <v>1</v>
      </c>
      <c r="AA6396">
        <f>IF(ISNUMBER('IN-CLASS_Lab Part C'!$J$6396),'IN-CLASS_Lab Part C'!$J$6396,NA())</f>
        <v/>
      </c>
    </row>
    <row r="6397">
      <c r="J6397">
        <f>IF(AND(ISNUMBER('Data'!$F$6398),'Data'!$F$6398&lt;&gt;999,'Data'!$F$6398&lt;&gt;""),'Data'!$F$6398,"")</f>
        <v/>
      </c>
      <c r="Z6397" t="n">
        <v>1</v>
      </c>
      <c r="AA6397">
        <f>IF(ISNUMBER('IN-CLASS_Lab Part C'!$J$6397),'IN-CLASS_Lab Part C'!$J$6397,NA())</f>
        <v/>
      </c>
    </row>
    <row r="6398">
      <c r="J6398">
        <f>IF(AND(ISNUMBER('Data'!$F$6399),'Data'!$F$6399&lt;&gt;999,'Data'!$F$6399&lt;&gt;""),'Data'!$F$6399,"")</f>
        <v/>
      </c>
      <c r="Z6398" t="n">
        <v>1</v>
      </c>
      <c r="AA6398">
        <f>IF(ISNUMBER('IN-CLASS_Lab Part C'!$J$6398),'IN-CLASS_Lab Part C'!$J$6398,NA())</f>
        <v/>
      </c>
    </row>
    <row r="6399">
      <c r="J6399">
        <f>IF(AND(ISNUMBER('Data'!$F$6400),'Data'!$F$6400&lt;&gt;999,'Data'!$F$6400&lt;&gt;""),'Data'!$F$6400,"")</f>
        <v/>
      </c>
      <c r="Z6399" t="n">
        <v>1</v>
      </c>
      <c r="AA6399">
        <f>IF(ISNUMBER('IN-CLASS_Lab Part C'!$J$6399),'IN-CLASS_Lab Part C'!$J$6399,NA())</f>
        <v/>
      </c>
    </row>
    <row r="6400">
      <c r="J6400">
        <f>IF(AND(ISNUMBER('Data'!$F$6401),'Data'!$F$6401&lt;&gt;999,'Data'!$F$6401&lt;&gt;""),'Data'!$F$6401,"")</f>
        <v/>
      </c>
      <c r="Z6400" t="n">
        <v>1</v>
      </c>
      <c r="AA6400">
        <f>IF(ISNUMBER('IN-CLASS_Lab Part C'!$J$6400),'IN-CLASS_Lab Part C'!$J$6400,NA())</f>
        <v/>
      </c>
    </row>
    <row r="6401">
      <c r="J6401">
        <f>IF(AND(ISNUMBER('Data'!$F$6402),'Data'!$F$6402&lt;&gt;999,'Data'!$F$6402&lt;&gt;""),'Data'!$F$6402,"")</f>
        <v/>
      </c>
      <c r="Z6401" t="n">
        <v>1</v>
      </c>
      <c r="AA6401">
        <f>IF(ISNUMBER('IN-CLASS_Lab Part C'!$J$6401),'IN-CLASS_Lab Part C'!$J$6401,NA())</f>
        <v/>
      </c>
    </row>
    <row r="6402">
      <c r="J6402">
        <f>IF(AND(ISNUMBER('Data'!$F$6403),'Data'!$F$6403&lt;&gt;999,'Data'!$F$6403&lt;&gt;""),'Data'!$F$6403,"")</f>
        <v/>
      </c>
      <c r="Z6402" t="n">
        <v>1</v>
      </c>
      <c r="AA6402">
        <f>IF(ISNUMBER('IN-CLASS_Lab Part C'!$J$6402),'IN-CLASS_Lab Part C'!$J$6402,NA())</f>
        <v/>
      </c>
    </row>
    <row r="6403">
      <c r="J6403">
        <f>IF(AND(ISNUMBER('Data'!$F$6404),'Data'!$F$6404&lt;&gt;999,'Data'!$F$6404&lt;&gt;""),'Data'!$F$6404,"")</f>
        <v/>
      </c>
      <c r="Z6403" t="n">
        <v>1</v>
      </c>
      <c r="AA6403">
        <f>IF(ISNUMBER('IN-CLASS_Lab Part C'!$J$6403),'IN-CLASS_Lab Part C'!$J$6403,NA())</f>
        <v/>
      </c>
    </row>
    <row r="6404">
      <c r="J6404">
        <f>IF(AND(ISNUMBER('Data'!$F$6405),'Data'!$F$6405&lt;&gt;999,'Data'!$F$6405&lt;&gt;""),'Data'!$F$6405,"")</f>
        <v/>
      </c>
      <c r="Z6404" t="n">
        <v>1</v>
      </c>
      <c r="AA6404">
        <f>IF(ISNUMBER('IN-CLASS_Lab Part C'!$J$6404),'IN-CLASS_Lab Part C'!$J$6404,NA())</f>
        <v/>
      </c>
    </row>
    <row r="6405">
      <c r="J6405">
        <f>IF(AND(ISNUMBER('Data'!$F$6406),'Data'!$F$6406&lt;&gt;999,'Data'!$F$6406&lt;&gt;""),'Data'!$F$6406,"")</f>
        <v/>
      </c>
      <c r="Z6405" t="n">
        <v>1</v>
      </c>
      <c r="AA6405">
        <f>IF(ISNUMBER('IN-CLASS_Lab Part C'!$J$6405),'IN-CLASS_Lab Part C'!$J$6405,NA())</f>
        <v/>
      </c>
    </row>
    <row r="6406">
      <c r="J6406">
        <f>IF(AND(ISNUMBER('Data'!$F$6407),'Data'!$F$6407&lt;&gt;999,'Data'!$F$6407&lt;&gt;""),'Data'!$F$6407,"")</f>
        <v/>
      </c>
      <c r="Z6406" t="n">
        <v>1</v>
      </c>
      <c r="AA6406">
        <f>IF(ISNUMBER('IN-CLASS_Lab Part C'!$J$6406),'IN-CLASS_Lab Part C'!$J$6406,NA())</f>
        <v/>
      </c>
    </row>
    <row r="6407">
      <c r="J6407">
        <f>IF(AND(ISNUMBER('Data'!$F$6408),'Data'!$F$6408&lt;&gt;999,'Data'!$F$6408&lt;&gt;""),'Data'!$F$6408,"")</f>
        <v/>
      </c>
      <c r="Z6407" t="n">
        <v>1</v>
      </c>
      <c r="AA6407">
        <f>IF(ISNUMBER('IN-CLASS_Lab Part C'!$J$6407),'IN-CLASS_Lab Part C'!$J$6407,NA())</f>
        <v/>
      </c>
    </row>
    <row r="6408">
      <c r="J6408">
        <f>IF(AND(ISNUMBER('Data'!$F$6409),'Data'!$F$6409&lt;&gt;999,'Data'!$F$6409&lt;&gt;""),'Data'!$F$6409,"")</f>
        <v/>
      </c>
      <c r="Z6408" t="n">
        <v>1</v>
      </c>
      <c r="AA6408">
        <f>IF(ISNUMBER('IN-CLASS_Lab Part C'!$J$6408),'IN-CLASS_Lab Part C'!$J$6408,NA())</f>
        <v/>
      </c>
    </row>
    <row r="6409">
      <c r="J6409">
        <f>IF(AND(ISNUMBER('Data'!$F$6410),'Data'!$F$6410&lt;&gt;999,'Data'!$F$6410&lt;&gt;""),'Data'!$F$6410,"")</f>
        <v/>
      </c>
      <c r="Z6409" t="n">
        <v>1</v>
      </c>
      <c r="AA6409">
        <f>IF(ISNUMBER('IN-CLASS_Lab Part C'!$J$6409),'IN-CLASS_Lab Part C'!$J$6409,NA())</f>
        <v/>
      </c>
    </row>
    <row r="6410">
      <c r="J6410">
        <f>IF(AND(ISNUMBER('Data'!$F$6411),'Data'!$F$6411&lt;&gt;999,'Data'!$F$6411&lt;&gt;""),'Data'!$F$6411,"")</f>
        <v/>
      </c>
      <c r="Z6410" t="n">
        <v>1</v>
      </c>
      <c r="AA6410">
        <f>IF(ISNUMBER('IN-CLASS_Lab Part C'!$J$6410),'IN-CLASS_Lab Part C'!$J$6410,NA())</f>
        <v/>
      </c>
    </row>
    <row r="6411">
      <c r="J6411">
        <f>IF(AND(ISNUMBER('Data'!$F$6412),'Data'!$F$6412&lt;&gt;999,'Data'!$F$6412&lt;&gt;""),'Data'!$F$6412,"")</f>
        <v/>
      </c>
      <c r="Z6411" t="n">
        <v>1</v>
      </c>
      <c r="AA6411">
        <f>IF(ISNUMBER('IN-CLASS_Lab Part C'!$J$6411),'IN-CLASS_Lab Part C'!$J$6411,NA())</f>
        <v/>
      </c>
    </row>
    <row r="6412">
      <c r="J6412">
        <f>IF(AND(ISNUMBER('Data'!$F$6413),'Data'!$F$6413&lt;&gt;999,'Data'!$F$6413&lt;&gt;""),'Data'!$F$6413,"")</f>
        <v/>
      </c>
      <c r="Z6412" t="n">
        <v>1</v>
      </c>
      <c r="AA6412">
        <f>IF(ISNUMBER('IN-CLASS_Lab Part C'!$J$6412),'IN-CLASS_Lab Part C'!$J$6412,NA())</f>
        <v/>
      </c>
    </row>
    <row r="6413">
      <c r="J6413">
        <f>IF(AND(ISNUMBER('Data'!$F$6414),'Data'!$F$6414&lt;&gt;999,'Data'!$F$6414&lt;&gt;""),'Data'!$F$6414,"")</f>
        <v/>
      </c>
      <c r="Z6413" t="n">
        <v>1</v>
      </c>
      <c r="AA6413">
        <f>IF(ISNUMBER('IN-CLASS_Lab Part C'!$J$6413),'IN-CLASS_Lab Part C'!$J$6413,NA())</f>
        <v/>
      </c>
    </row>
    <row r="6414">
      <c r="J6414">
        <f>IF(AND(ISNUMBER('Data'!$F$6415),'Data'!$F$6415&lt;&gt;999,'Data'!$F$6415&lt;&gt;""),'Data'!$F$6415,"")</f>
        <v/>
      </c>
      <c r="Z6414" t="n">
        <v>1</v>
      </c>
      <c r="AA6414">
        <f>IF(ISNUMBER('IN-CLASS_Lab Part C'!$J$6414),'IN-CLASS_Lab Part C'!$J$6414,NA())</f>
        <v/>
      </c>
    </row>
    <row r="6415">
      <c r="J6415">
        <f>IF(AND(ISNUMBER('Data'!$F$6416),'Data'!$F$6416&lt;&gt;999,'Data'!$F$6416&lt;&gt;""),'Data'!$F$6416,"")</f>
        <v/>
      </c>
      <c r="Z6415" t="n">
        <v>1</v>
      </c>
      <c r="AA6415">
        <f>IF(ISNUMBER('IN-CLASS_Lab Part C'!$J$6415),'IN-CLASS_Lab Part C'!$J$6415,NA())</f>
        <v/>
      </c>
    </row>
    <row r="6416">
      <c r="J6416">
        <f>IF(AND(ISNUMBER('Data'!$F$6417),'Data'!$F$6417&lt;&gt;999,'Data'!$F$6417&lt;&gt;""),'Data'!$F$6417,"")</f>
        <v/>
      </c>
      <c r="Z6416" t="n">
        <v>1</v>
      </c>
      <c r="AA6416">
        <f>IF(ISNUMBER('IN-CLASS_Lab Part C'!$J$6416),'IN-CLASS_Lab Part C'!$J$6416,NA())</f>
        <v/>
      </c>
    </row>
    <row r="6417">
      <c r="J6417">
        <f>IF(AND(ISNUMBER('Data'!$F$6418),'Data'!$F$6418&lt;&gt;999,'Data'!$F$6418&lt;&gt;""),'Data'!$F$6418,"")</f>
        <v/>
      </c>
      <c r="Z6417" t="n">
        <v>1</v>
      </c>
      <c r="AA6417">
        <f>IF(ISNUMBER('IN-CLASS_Lab Part C'!$J$6417),'IN-CLASS_Lab Part C'!$J$6417,NA())</f>
        <v/>
      </c>
    </row>
    <row r="6418">
      <c r="J6418">
        <f>IF(AND(ISNUMBER('Data'!$F$6419),'Data'!$F$6419&lt;&gt;999,'Data'!$F$6419&lt;&gt;""),'Data'!$F$6419,"")</f>
        <v/>
      </c>
      <c r="Z6418" t="n">
        <v>1</v>
      </c>
      <c r="AA6418">
        <f>IF(ISNUMBER('IN-CLASS_Lab Part C'!$J$6418),'IN-CLASS_Lab Part C'!$J$6418,NA())</f>
        <v/>
      </c>
    </row>
    <row r="6419">
      <c r="J6419">
        <f>IF(AND(ISNUMBER('Data'!$F$6420),'Data'!$F$6420&lt;&gt;999,'Data'!$F$6420&lt;&gt;""),'Data'!$F$6420,"")</f>
        <v/>
      </c>
      <c r="Z6419" t="n">
        <v>1</v>
      </c>
      <c r="AA6419">
        <f>IF(ISNUMBER('IN-CLASS_Lab Part C'!$J$6419),'IN-CLASS_Lab Part C'!$J$6419,NA())</f>
        <v/>
      </c>
    </row>
    <row r="6420">
      <c r="J6420">
        <f>IF(AND(ISNUMBER('Data'!$F$6421),'Data'!$F$6421&lt;&gt;999,'Data'!$F$6421&lt;&gt;""),'Data'!$F$6421,"")</f>
        <v/>
      </c>
      <c r="Z6420" t="n">
        <v>1</v>
      </c>
      <c r="AA6420">
        <f>IF(ISNUMBER('IN-CLASS_Lab Part C'!$J$6420),'IN-CLASS_Lab Part C'!$J$6420,NA())</f>
        <v/>
      </c>
    </row>
    <row r="6421">
      <c r="J6421">
        <f>IF(AND(ISNUMBER('Data'!$F$6422),'Data'!$F$6422&lt;&gt;999,'Data'!$F$6422&lt;&gt;""),'Data'!$F$6422,"")</f>
        <v/>
      </c>
      <c r="Z6421" t="n">
        <v>1</v>
      </c>
      <c r="AA6421">
        <f>IF(ISNUMBER('IN-CLASS_Lab Part C'!$J$6421),'IN-CLASS_Lab Part C'!$J$6421,NA())</f>
        <v/>
      </c>
    </row>
    <row r="6422">
      <c r="J6422">
        <f>IF(AND(ISNUMBER('Data'!$F$6423),'Data'!$F$6423&lt;&gt;999,'Data'!$F$6423&lt;&gt;""),'Data'!$F$6423,"")</f>
        <v/>
      </c>
      <c r="Z6422" t="n">
        <v>1</v>
      </c>
      <c r="AA6422">
        <f>IF(ISNUMBER('IN-CLASS_Lab Part C'!$J$6422),'IN-CLASS_Lab Part C'!$J$6422,NA())</f>
        <v/>
      </c>
    </row>
    <row r="6423">
      <c r="J6423">
        <f>IF(AND(ISNUMBER('Data'!$F$6424),'Data'!$F$6424&lt;&gt;999,'Data'!$F$6424&lt;&gt;""),'Data'!$F$6424,"")</f>
        <v/>
      </c>
      <c r="Z6423" t="n">
        <v>1</v>
      </c>
      <c r="AA6423">
        <f>IF(ISNUMBER('IN-CLASS_Lab Part C'!$J$6423),'IN-CLASS_Lab Part C'!$J$6423,NA())</f>
        <v/>
      </c>
    </row>
    <row r="6424">
      <c r="J6424">
        <f>IF(AND(ISNUMBER('Data'!$F$6425),'Data'!$F$6425&lt;&gt;999,'Data'!$F$6425&lt;&gt;""),'Data'!$F$6425,"")</f>
        <v/>
      </c>
      <c r="Z6424" t="n">
        <v>1</v>
      </c>
      <c r="AA6424">
        <f>IF(ISNUMBER('IN-CLASS_Lab Part C'!$J$6424),'IN-CLASS_Lab Part C'!$J$6424,NA())</f>
        <v/>
      </c>
    </row>
    <row r="6425">
      <c r="J6425">
        <f>IF(AND(ISNUMBER('Data'!$F$6426),'Data'!$F$6426&lt;&gt;999,'Data'!$F$6426&lt;&gt;""),'Data'!$F$6426,"")</f>
        <v/>
      </c>
      <c r="Z6425" t="n">
        <v>1</v>
      </c>
      <c r="AA6425">
        <f>IF(ISNUMBER('IN-CLASS_Lab Part C'!$J$6425),'IN-CLASS_Lab Part C'!$J$6425,NA())</f>
        <v/>
      </c>
    </row>
    <row r="6426">
      <c r="J6426">
        <f>IF(AND(ISNUMBER('Data'!$F$6427),'Data'!$F$6427&lt;&gt;999,'Data'!$F$6427&lt;&gt;""),'Data'!$F$6427,"")</f>
        <v/>
      </c>
      <c r="Z6426" t="n">
        <v>1</v>
      </c>
      <c r="AA6426">
        <f>IF(ISNUMBER('IN-CLASS_Lab Part C'!$J$6426),'IN-CLASS_Lab Part C'!$J$6426,NA())</f>
        <v/>
      </c>
    </row>
    <row r="6427">
      <c r="J6427">
        <f>IF(AND(ISNUMBER('Data'!$F$6428),'Data'!$F$6428&lt;&gt;999,'Data'!$F$6428&lt;&gt;""),'Data'!$F$6428,"")</f>
        <v/>
      </c>
      <c r="Z6427" t="n">
        <v>1</v>
      </c>
      <c r="AA6427">
        <f>IF(ISNUMBER('IN-CLASS_Lab Part C'!$J$6427),'IN-CLASS_Lab Part C'!$J$6427,NA())</f>
        <v/>
      </c>
    </row>
    <row r="6428">
      <c r="J6428">
        <f>IF(AND(ISNUMBER('Data'!$F$6429),'Data'!$F$6429&lt;&gt;999,'Data'!$F$6429&lt;&gt;""),'Data'!$F$6429,"")</f>
        <v/>
      </c>
      <c r="Z6428" t="n">
        <v>1</v>
      </c>
      <c r="AA6428">
        <f>IF(ISNUMBER('IN-CLASS_Lab Part C'!$J$6428),'IN-CLASS_Lab Part C'!$J$6428,NA())</f>
        <v/>
      </c>
    </row>
    <row r="6429">
      <c r="J6429">
        <f>IF(AND(ISNUMBER('Data'!$F$6430),'Data'!$F$6430&lt;&gt;999,'Data'!$F$6430&lt;&gt;""),'Data'!$F$6430,"")</f>
        <v/>
      </c>
      <c r="Z6429" t="n">
        <v>1</v>
      </c>
      <c r="AA6429">
        <f>IF(ISNUMBER('IN-CLASS_Lab Part C'!$J$6429),'IN-CLASS_Lab Part C'!$J$6429,NA())</f>
        <v/>
      </c>
    </row>
    <row r="6430">
      <c r="J6430">
        <f>IF(AND(ISNUMBER('Data'!$F$6431),'Data'!$F$6431&lt;&gt;999,'Data'!$F$6431&lt;&gt;""),'Data'!$F$6431,"")</f>
        <v/>
      </c>
      <c r="Z6430" t="n">
        <v>1</v>
      </c>
      <c r="AA6430">
        <f>IF(ISNUMBER('IN-CLASS_Lab Part C'!$J$6430),'IN-CLASS_Lab Part C'!$J$6430,NA())</f>
        <v/>
      </c>
    </row>
    <row r="6431">
      <c r="J6431">
        <f>IF(AND(ISNUMBER('Data'!$F$6432),'Data'!$F$6432&lt;&gt;999,'Data'!$F$6432&lt;&gt;""),'Data'!$F$6432,"")</f>
        <v/>
      </c>
      <c r="Z6431" t="n">
        <v>1</v>
      </c>
      <c r="AA6431">
        <f>IF(ISNUMBER('IN-CLASS_Lab Part C'!$J$6431),'IN-CLASS_Lab Part C'!$J$6431,NA())</f>
        <v/>
      </c>
    </row>
    <row r="6432">
      <c r="J6432">
        <f>IF(AND(ISNUMBER('Data'!$F$6433),'Data'!$F$6433&lt;&gt;999,'Data'!$F$6433&lt;&gt;""),'Data'!$F$6433,"")</f>
        <v/>
      </c>
      <c r="Z6432" t="n">
        <v>1</v>
      </c>
      <c r="AA6432">
        <f>IF(ISNUMBER('IN-CLASS_Lab Part C'!$J$6432),'IN-CLASS_Lab Part C'!$J$6432,NA())</f>
        <v/>
      </c>
    </row>
    <row r="6433">
      <c r="J6433">
        <f>IF(AND(ISNUMBER('Data'!$F$6434),'Data'!$F$6434&lt;&gt;999,'Data'!$F$6434&lt;&gt;""),'Data'!$F$6434,"")</f>
        <v/>
      </c>
      <c r="Z6433" t="n">
        <v>1</v>
      </c>
      <c r="AA6433">
        <f>IF(ISNUMBER('IN-CLASS_Lab Part C'!$J$6433),'IN-CLASS_Lab Part C'!$J$6433,NA())</f>
        <v/>
      </c>
    </row>
    <row r="6434">
      <c r="J6434">
        <f>IF(AND(ISNUMBER('Data'!$F$6435),'Data'!$F$6435&lt;&gt;999,'Data'!$F$6435&lt;&gt;""),'Data'!$F$6435,"")</f>
        <v/>
      </c>
      <c r="Z6434" t="n">
        <v>1</v>
      </c>
      <c r="AA6434">
        <f>IF(ISNUMBER('IN-CLASS_Lab Part C'!$J$6434),'IN-CLASS_Lab Part C'!$J$6434,NA())</f>
        <v/>
      </c>
    </row>
    <row r="6435">
      <c r="J6435">
        <f>IF(AND(ISNUMBER('Data'!$F$6436),'Data'!$F$6436&lt;&gt;999,'Data'!$F$6436&lt;&gt;""),'Data'!$F$6436,"")</f>
        <v/>
      </c>
      <c r="Z6435" t="n">
        <v>1</v>
      </c>
      <c r="AA6435">
        <f>IF(ISNUMBER('IN-CLASS_Lab Part C'!$J$6435),'IN-CLASS_Lab Part C'!$J$6435,NA())</f>
        <v/>
      </c>
    </row>
    <row r="6436">
      <c r="J6436">
        <f>IF(AND(ISNUMBER('Data'!$F$6437),'Data'!$F$6437&lt;&gt;999,'Data'!$F$6437&lt;&gt;""),'Data'!$F$6437,"")</f>
        <v/>
      </c>
      <c r="Z6436" t="n">
        <v>1</v>
      </c>
      <c r="AA6436">
        <f>IF(ISNUMBER('IN-CLASS_Lab Part C'!$J$6436),'IN-CLASS_Lab Part C'!$J$6436,NA())</f>
        <v/>
      </c>
    </row>
    <row r="6437">
      <c r="J6437">
        <f>IF(AND(ISNUMBER('Data'!$F$6438),'Data'!$F$6438&lt;&gt;999,'Data'!$F$6438&lt;&gt;""),'Data'!$F$6438,"")</f>
        <v/>
      </c>
      <c r="Z6437" t="n">
        <v>1</v>
      </c>
      <c r="AA6437">
        <f>IF(ISNUMBER('IN-CLASS_Lab Part C'!$J$6437),'IN-CLASS_Lab Part C'!$J$6437,NA())</f>
        <v/>
      </c>
    </row>
    <row r="6438">
      <c r="J6438">
        <f>IF(AND(ISNUMBER('Data'!$F$6439),'Data'!$F$6439&lt;&gt;999,'Data'!$F$6439&lt;&gt;""),'Data'!$F$6439,"")</f>
        <v/>
      </c>
      <c r="Z6438" t="n">
        <v>1</v>
      </c>
      <c r="AA6438">
        <f>IF(ISNUMBER('IN-CLASS_Lab Part C'!$J$6438),'IN-CLASS_Lab Part C'!$J$6438,NA())</f>
        <v/>
      </c>
    </row>
    <row r="6439">
      <c r="J6439">
        <f>IF(AND(ISNUMBER('Data'!$F$6440),'Data'!$F$6440&lt;&gt;999,'Data'!$F$6440&lt;&gt;""),'Data'!$F$6440,"")</f>
        <v/>
      </c>
      <c r="Z6439" t="n">
        <v>1</v>
      </c>
      <c r="AA6439">
        <f>IF(ISNUMBER('IN-CLASS_Lab Part C'!$J$6439),'IN-CLASS_Lab Part C'!$J$6439,NA())</f>
        <v/>
      </c>
    </row>
    <row r="6440">
      <c r="J6440">
        <f>IF(AND(ISNUMBER('Data'!$F$6441),'Data'!$F$6441&lt;&gt;999,'Data'!$F$6441&lt;&gt;""),'Data'!$F$6441,"")</f>
        <v/>
      </c>
      <c r="Z6440" t="n">
        <v>1</v>
      </c>
      <c r="AA6440">
        <f>IF(ISNUMBER('IN-CLASS_Lab Part C'!$J$6440),'IN-CLASS_Lab Part C'!$J$6440,NA())</f>
        <v/>
      </c>
    </row>
    <row r="6441">
      <c r="J6441">
        <f>IF(AND(ISNUMBER('Data'!$F$6442),'Data'!$F$6442&lt;&gt;999,'Data'!$F$6442&lt;&gt;""),'Data'!$F$6442,"")</f>
        <v/>
      </c>
      <c r="Z6441" t="n">
        <v>1</v>
      </c>
      <c r="AA6441">
        <f>IF(ISNUMBER('IN-CLASS_Lab Part C'!$J$6441),'IN-CLASS_Lab Part C'!$J$6441,NA())</f>
        <v/>
      </c>
    </row>
    <row r="6442">
      <c r="J6442">
        <f>IF(AND(ISNUMBER('Data'!$F$6443),'Data'!$F$6443&lt;&gt;999,'Data'!$F$6443&lt;&gt;""),'Data'!$F$6443,"")</f>
        <v/>
      </c>
      <c r="Z6442" t="n">
        <v>1</v>
      </c>
      <c r="AA6442">
        <f>IF(ISNUMBER('IN-CLASS_Lab Part C'!$J$6442),'IN-CLASS_Lab Part C'!$J$6442,NA())</f>
        <v/>
      </c>
    </row>
    <row r="6443">
      <c r="J6443">
        <f>IF(AND(ISNUMBER('Data'!$F$6444),'Data'!$F$6444&lt;&gt;999,'Data'!$F$6444&lt;&gt;""),'Data'!$F$6444,"")</f>
        <v/>
      </c>
      <c r="Z6443" t="n">
        <v>1</v>
      </c>
      <c r="AA6443">
        <f>IF(ISNUMBER('IN-CLASS_Lab Part C'!$J$6443),'IN-CLASS_Lab Part C'!$J$6443,NA())</f>
        <v/>
      </c>
    </row>
    <row r="6444">
      <c r="J6444">
        <f>IF(AND(ISNUMBER('Data'!$F$6445),'Data'!$F$6445&lt;&gt;999,'Data'!$F$6445&lt;&gt;""),'Data'!$F$6445,"")</f>
        <v/>
      </c>
      <c r="Z6444" t="n">
        <v>1</v>
      </c>
      <c r="AA6444">
        <f>IF(ISNUMBER('IN-CLASS_Lab Part C'!$J$6444),'IN-CLASS_Lab Part C'!$J$6444,NA())</f>
        <v/>
      </c>
    </row>
    <row r="6445">
      <c r="J6445">
        <f>IF(AND(ISNUMBER('Data'!$F$6446),'Data'!$F$6446&lt;&gt;999,'Data'!$F$6446&lt;&gt;""),'Data'!$F$6446,"")</f>
        <v/>
      </c>
      <c r="Z6445" t="n">
        <v>1</v>
      </c>
      <c r="AA6445">
        <f>IF(ISNUMBER('IN-CLASS_Lab Part C'!$J$6445),'IN-CLASS_Lab Part C'!$J$6445,NA())</f>
        <v/>
      </c>
    </row>
    <row r="6446">
      <c r="J6446">
        <f>IF(AND(ISNUMBER('Data'!$F$6447),'Data'!$F$6447&lt;&gt;999,'Data'!$F$6447&lt;&gt;""),'Data'!$F$6447,"")</f>
        <v/>
      </c>
      <c r="Z6446" t="n">
        <v>1</v>
      </c>
      <c r="AA6446">
        <f>IF(ISNUMBER('IN-CLASS_Lab Part C'!$J$6446),'IN-CLASS_Lab Part C'!$J$6446,NA())</f>
        <v/>
      </c>
    </row>
    <row r="6447">
      <c r="J6447">
        <f>IF(AND(ISNUMBER('Data'!$F$6448),'Data'!$F$6448&lt;&gt;999,'Data'!$F$6448&lt;&gt;""),'Data'!$F$6448,"")</f>
        <v/>
      </c>
      <c r="Z6447" t="n">
        <v>1</v>
      </c>
      <c r="AA6447">
        <f>IF(ISNUMBER('IN-CLASS_Lab Part C'!$J$6447),'IN-CLASS_Lab Part C'!$J$6447,NA())</f>
        <v/>
      </c>
    </row>
    <row r="6448">
      <c r="J6448">
        <f>IF(AND(ISNUMBER('Data'!$F$6449),'Data'!$F$6449&lt;&gt;999,'Data'!$F$6449&lt;&gt;""),'Data'!$F$6449,"")</f>
        <v/>
      </c>
      <c r="Z6448" t="n">
        <v>1</v>
      </c>
      <c r="AA6448">
        <f>IF(ISNUMBER('IN-CLASS_Lab Part C'!$J$6448),'IN-CLASS_Lab Part C'!$J$6448,NA())</f>
        <v/>
      </c>
    </row>
    <row r="6449">
      <c r="J6449">
        <f>IF(AND(ISNUMBER('Data'!$F$6450),'Data'!$F$6450&lt;&gt;999,'Data'!$F$6450&lt;&gt;""),'Data'!$F$6450,"")</f>
        <v/>
      </c>
      <c r="Z6449" t="n">
        <v>1</v>
      </c>
      <c r="AA6449">
        <f>IF(ISNUMBER('IN-CLASS_Lab Part C'!$J$6449),'IN-CLASS_Lab Part C'!$J$6449,NA())</f>
        <v/>
      </c>
    </row>
    <row r="6450">
      <c r="J6450">
        <f>IF(AND(ISNUMBER('Data'!$F$6451),'Data'!$F$6451&lt;&gt;999,'Data'!$F$6451&lt;&gt;""),'Data'!$F$6451,"")</f>
        <v/>
      </c>
      <c r="Z6450" t="n">
        <v>1</v>
      </c>
      <c r="AA6450">
        <f>IF(ISNUMBER('IN-CLASS_Lab Part C'!$J$6450),'IN-CLASS_Lab Part C'!$J$6450,NA())</f>
        <v/>
      </c>
    </row>
    <row r="6451">
      <c r="J6451">
        <f>IF(AND(ISNUMBER('Data'!$F$6452),'Data'!$F$6452&lt;&gt;999,'Data'!$F$6452&lt;&gt;""),'Data'!$F$6452,"")</f>
        <v/>
      </c>
      <c r="Z6451" t="n">
        <v>1</v>
      </c>
      <c r="AA6451">
        <f>IF(ISNUMBER('IN-CLASS_Lab Part C'!$J$6451),'IN-CLASS_Lab Part C'!$J$6451,NA())</f>
        <v/>
      </c>
    </row>
    <row r="6452">
      <c r="J6452">
        <f>IF(AND(ISNUMBER('Data'!$F$6453),'Data'!$F$6453&lt;&gt;999,'Data'!$F$6453&lt;&gt;""),'Data'!$F$6453,"")</f>
        <v/>
      </c>
      <c r="Z6452" t="n">
        <v>1</v>
      </c>
      <c r="AA6452">
        <f>IF(ISNUMBER('IN-CLASS_Lab Part C'!$J$6452),'IN-CLASS_Lab Part C'!$J$6452,NA())</f>
        <v/>
      </c>
    </row>
    <row r="6453">
      <c r="J6453">
        <f>IF(AND(ISNUMBER('Data'!$F$6454),'Data'!$F$6454&lt;&gt;999,'Data'!$F$6454&lt;&gt;""),'Data'!$F$6454,"")</f>
        <v/>
      </c>
      <c r="Z6453" t="n">
        <v>1</v>
      </c>
      <c r="AA6453">
        <f>IF(ISNUMBER('IN-CLASS_Lab Part C'!$J$6453),'IN-CLASS_Lab Part C'!$J$6453,NA())</f>
        <v/>
      </c>
    </row>
    <row r="6454">
      <c r="J6454">
        <f>IF(AND(ISNUMBER('Data'!$F$6455),'Data'!$F$6455&lt;&gt;999,'Data'!$F$6455&lt;&gt;""),'Data'!$F$6455,"")</f>
        <v/>
      </c>
      <c r="Z6454" t="n">
        <v>1</v>
      </c>
      <c r="AA6454">
        <f>IF(ISNUMBER('IN-CLASS_Lab Part C'!$J$6454),'IN-CLASS_Lab Part C'!$J$6454,NA())</f>
        <v/>
      </c>
    </row>
    <row r="6455">
      <c r="J6455">
        <f>IF(AND(ISNUMBER('Data'!$F$6456),'Data'!$F$6456&lt;&gt;999,'Data'!$F$6456&lt;&gt;""),'Data'!$F$6456,"")</f>
        <v/>
      </c>
      <c r="Z6455" t="n">
        <v>1</v>
      </c>
      <c r="AA6455">
        <f>IF(ISNUMBER('IN-CLASS_Lab Part C'!$J$6455),'IN-CLASS_Lab Part C'!$J$6455,NA())</f>
        <v/>
      </c>
    </row>
    <row r="6456">
      <c r="J6456">
        <f>IF(AND(ISNUMBER('Data'!$F$6457),'Data'!$F$6457&lt;&gt;999,'Data'!$F$6457&lt;&gt;""),'Data'!$F$6457,"")</f>
        <v/>
      </c>
      <c r="Z6456" t="n">
        <v>1</v>
      </c>
      <c r="AA6456">
        <f>IF(ISNUMBER('IN-CLASS_Lab Part C'!$J$6456),'IN-CLASS_Lab Part C'!$J$6456,NA())</f>
        <v/>
      </c>
    </row>
    <row r="6457">
      <c r="J6457">
        <f>IF(AND(ISNUMBER('Data'!$F$6458),'Data'!$F$6458&lt;&gt;999,'Data'!$F$6458&lt;&gt;""),'Data'!$F$6458,"")</f>
        <v/>
      </c>
      <c r="Z6457" t="n">
        <v>1</v>
      </c>
      <c r="AA6457">
        <f>IF(ISNUMBER('IN-CLASS_Lab Part C'!$J$6457),'IN-CLASS_Lab Part C'!$J$6457,NA())</f>
        <v/>
      </c>
    </row>
    <row r="6458">
      <c r="J6458">
        <f>IF(AND(ISNUMBER('Data'!$F$6459),'Data'!$F$6459&lt;&gt;999,'Data'!$F$6459&lt;&gt;""),'Data'!$F$6459,"")</f>
        <v/>
      </c>
      <c r="Z6458" t="n">
        <v>1</v>
      </c>
      <c r="AA6458">
        <f>IF(ISNUMBER('IN-CLASS_Lab Part C'!$J$6458),'IN-CLASS_Lab Part C'!$J$6458,NA())</f>
        <v/>
      </c>
    </row>
    <row r="6459">
      <c r="J6459">
        <f>IF(AND(ISNUMBER('Data'!$F$6460),'Data'!$F$6460&lt;&gt;999,'Data'!$F$6460&lt;&gt;""),'Data'!$F$6460,"")</f>
        <v/>
      </c>
      <c r="Z6459" t="n">
        <v>1</v>
      </c>
      <c r="AA6459">
        <f>IF(ISNUMBER('IN-CLASS_Lab Part C'!$J$6459),'IN-CLASS_Lab Part C'!$J$6459,NA())</f>
        <v/>
      </c>
    </row>
    <row r="6460">
      <c r="J6460">
        <f>IF(AND(ISNUMBER('Data'!$F$6461),'Data'!$F$6461&lt;&gt;999,'Data'!$F$6461&lt;&gt;""),'Data'!$F$6461,"")</f>
        <v/>
      </c>
      <c r="Z6460" t="n">
        <v>1</v>
      </c>
      <c r="AA6460">
        <f>IF(ISNUMBER('IN-CLASS_Lab Part C'!$J$6460),'IN-CLASS_Lab Part C'!$J$6460,NA())</f>
        <v/>
      </c>
    </row>
    <row r="6461">
      <c r="J6461">
        <f>IF(AND(ISNUMBER('Data'!$F$6462),'Data'!$F$6462&lt;&gt;999,'Data'!$F$6462&lt;&gt;""),'Data'!$F$6462,"")</f>
        <v/>
      </c>
      <c r="Z6461" t="n">
        <v>1</v>
      </c>
      <c r="AA6461">
        <f>IF(ISNUMBER('IN-CLASS_Lab Part C'!$J$6461),'IN-CLASS_Lab Part C'!$J$6461,NA())</f>
        <v/>
      </c>
    </row>
    <row r="6462">
      <c r="J6462">
        <f>IF(AND(ISNUMBER('Data'!$F$6463),'Data'!$F$6463&lt;&gt;999,'Data'!$F$6463&lt;&gt;""),'Data'!$F$6463,"")</f>
        <v/>
      </c>
      <c r="Z6462" t="n">
        <v>1</v>
      </c>
      <c r="AA6462">
        <f>IF(ISNUMBER('IN-CLASS_Lab Part C'!$J$6462),'IN-CLASS_Lab Part C'!$J$6462,NA())</f>
        <v/>
      </c>
    </row>
    <row r="6463">
      <c r="J6463">
        <f>IF(AND(ISNUMBER('Data'!$F$6464),'Data'!$F$6464&lt;&gt;999,'Data'!$F$6464&lt;&gt;""),'Data'!$F$6464,"")</f>
        <v/>
      </c>
      <c r="Z6463" t="n">
        <v>1</v>
      </c>
      <c r="AA6463">
        <f>IF(ISNUMBER('IN-CLASS_Lab Part C'!$J$6463),'IN-CLASS_Lab Part C'!$J$6463,NA())</f>
        <v/>
      </c>
    </row>
    <row r="6464">
      <c r="J6464">
        <f>IF(AND(ISNUMBER('Data'!$F$6465),'Data'!$F$6465&lt;&gt;999,'Data'!$F$6465&lt;&gt;""),'Data'!$F$6465,"")</f>
        <v/>
      </c>
      <c r="Z6464" t="n">
        <v>1</v>
      </c>
      <c r="AA6464">
        <f>IF(ISNUMBER('IN-CLASS_Lab Part C'!$J$6464),'IN-CLASS_Lab Part C'!$J$6464,NA())</f>
        <v/>
      </c>
    </row>
    <row r="6465">
      <c r="J6465">
        <f>IF(AND(ISNUMBER('Data'!$F$6466),'Data'!$F$6466&lt;&gt;999,'Data'!$F$6466&lt;&gt;""),'Data'!$F$6466,"")</f>
        <v/>
      </c>
      <c r="Z6465" t="n">
        <v>1</v>
      </c>
      <c r="AA6465">
        <f>IF(ISNUMBER('IN-CLASS_Lab Part C'!$J$6465),'IN-CLASS_Lab Part C'!$J$6465,NA())</f>
        <v/>
      </c>
    </row>
    <row r="6466">
      <c r="J6466">
        <f>IF(AND(ISNUMBER('Data'!$F$6467),'Data'!$F$6467&lt;&gt;999,'Data'!$F$6467&lt;&gt;""),'Data'!$F$6467,"")</f>
        <v/>
      </c>
      <c r="Z6466" t="n">
        <v>1</v>
      </c>
      <c r="AA6466">
        <f>IF(ISNUMBER('IN-CLASS_Lab Part C'!$J$6466),'IN-CLASS_Lab Part C'!$J$6466,NA())</f>
        <v/>
      </c>
    </row>
    <row r="6467">
      <c r="J6467">
        <f>IF(AND(ISNUMBER('Data'!$F$6468),'Data'!$F$6468&lt;&gt;999,'Data'!$F$6468&lt;&gt;""),'Data'!$F$6468,"")</f>
        <v/>
      </c>
      <c r="Z6467" t="n">
        <v>1</v>
      </c>
      <c r="AA6467">
        <f>IF(ISNUMBER('IN-CLASS_Lab Part C'!$J$6467),'IN-CLASS_Lab Part C'!$J$6467,NA())</f>
        <v/>
      </c>
    </row>
    <row r="6468">
      <c r="J6468">
        <f>IF(AND(ISNUMBER('Data'!$F$6469),'Data'!$F$6469&lt;&gt;999,'Data'!$F$6469&lt;&gt;""),'Data'!$F$6469,"")</f>
        <v/>
      </c>
      <c r="Z6468" t="n">
        <v>1</v>
      </c>
      <c r="AA6468">
        <f>IF(ISNUMBER('IN-CLASS_Lab Part C'!$J$6468),'IN-CLASS_Lab Part C'!$J$6468,NA())</f>
        <v/>
      </c>
    </row>
    <row r="6469">
      <c r="J6469">
        <f>IF(AND(ISNUMBER('Data'!$F$6470),'Data'!$F$6470&lt;&gt;999,'Data'!$F$6470&lt;&gt;""),'Data'!$F$6470,"")</f>
        <v/>
      </c>
      <c r="Z6469" t="n">
        <v>1</v>
      </c>
      <c r="AA6469">
        <f>IF(ISNUMBER('IN-CLASS_Lab Part C'!$J$6469),'IN-CLASS_Lab Part C'!$J$6469,NA())</f>
        <v/>
      </c>
    </row>
    <row r="6470">
      <c r="J6470">
        <f>IF(AND(ISNUMBER('Data'!$F$6471),'Data'!$F$6471&lt;&gt;999,'Data'!$F$6471&lt;&gt;""),'Data'!$F$6471,"")</f>
        <v/>
      </c>
      <c r="Z6470" t="n">
        <v>1</v>
      </c>
      <c r="AA6470">
        <f>IF(ISNUMBER('IN-CLASS_Lab Part C'!$J$6470),'IN-CLASS_Lab Part C'!$J$6470,NA())</f>
        <v/>
      </c>
    </row>
    <row r="6471">
      <c r="J6471">
        <f>IF(AND(ISNUMBER('Data'!$F$6472),'Data'!$F$6472&lt;&gt;999,'Data'!$F$6472&lt;&gt;""),'Data'!$F$6472,"")</f>
        <v/>
      </c>
      <c r="Z6471" t="n">
        <v>1</v>
      </c>
      <c r="AA6471">
        <f>IF(ISNUMBER('IN-CLASS_Lab Part C'!$J$6471),'IN-CLASS_Lab Part C'!$J$6471,NA())</f>
        <v/>
      </c>
    </row>
    <row r="6472">
      <c r="J6472">
        <f>IF(AND(ISNUMBER('Data'!$F$6473),'Data'!$F$6473&lt;&gt;999,'Data'!$F$6473&lt;&gt;""),'Data'!$F$6473,"")</f>
        <v/>
      </c>
      <c r="Z6472" t="n">
        <v>1</v>
      </c>
      <c r="AA6472">
        <f>IF(ISNUMBER('IN-CLASS_Lab Part C'!$J$6472),'IN-CLASS_Lab Part C'!$J$6472,NA())</f>
        <v/>
      </c>
    </row>
    <row r="6473">
      <c r="J6473">
        <f>IF(AND(ISNUMBER('Data'!$F$6474),'Data'!$F$6474&lt;&gt;999,'Data'!$F$6474&lt;&gt;""),'Data'!$F$6474,"")</f>
        <v/>
      </c>
      <c r="Z6473" t="n">
        <v>1</v>
      </c>
      <c r="AA6473">
        <f>IF(ISNUMBER('IN-CLASS_Lab Part C'!$J$6473),'IN-CLASS_Lab Part C'!$J$6473,NA())</f>
        <v/>
      </c>
    </row>
    <row r="6474">
      <c r="J6474">
        <f>IF(AND(ISNUMBER('Data'!$F$6475),'Data'!$F$6475&lt;&gt;999,'Data'!$F$6475&lt;&gt;""),'Data'!$F$6475,"")</f>
        <v/>
      </c>
      <c r="Z6474" t="n">
        <v>1</v>
      </c>
      <c r="AA6474">
        <f>IF(ISNUMBER('IN-CLASS_Lab Part C'!$J$6474),'IN-CLASS_Lab Part C'!$J$6474,NA())</f>
        <v/>
      </c>
    </row>
    <row r="6475">
      <c r="J6475">
        <f>IF(AND(ISNUMBER('Data'!$F$6476),'Data'!$F$6476&lt;&gt;999,'Data'!$F$6476&lt;&gt;""),'Data'!$F$6476,"")</f>
        <v/>
      </c>
      <c r="Z6475" t="n">
        <v>1</v>
      </c>
      <c r="AA6475">
        <f>IF(ISNUMBER('IN-CLASS_Lab Part C'!$J$6475),'IN-CLASS_Lab Part C'!$J$6475,NA())</f>
        <v/>
      </c>
    </row>
    <row r="6476">
      <c r="J6476">
        <f>IF(AND(ISNUMBER('Data'!$F$6477),'Data'!$F$6477&lt;&gt;999,'Data'!$F$6477&lt;&gt;""),'Data'!$F$6477,"")</f>
        <v/>
      </c>
      <c r="Z6476" t="n">
        <v>1</v>
      </c>
      <c r="AA6476">
        <f>IF(ISNUMBER('IN-CLASS_Lab Part C'!$J$6476),'IN-CLASS_Lab Part C'!$J$6476,NA())</f>
        <v/>
      </c>
    </row>
    <row r="6477">
      <c r="J6477">
        <f>IF(AND(ISNUMBER('Data'!$F$6478),'Data'!$F$6478&lt;&gt;999,'Data'!$F$6478&lt;&gt;""),'Data'!$F$6478,"")</f>
        <v/>
      </c>
      <c r="Z6477" t="n">
        <v>1</v>
      </c>
      <c r="AA6477">
        <f>IF(ISNUMBER('IN-CLASS_Lab Part C'!$J$6477),'IN-CLASS_Lab Part C'!$J$6477,NA())</f>
        <v/>
      </c>
    </row>
    <row r="6478">
      <c r="J6478">
        <f>IF(AND(ISNUMBER('Data'!$F$6479),'Data'!$F$6479&lt;&gt;999,'Data'!$F$6479&lt;&gt;""),'Data'!$F$6479,"")</f>
        <v/>
      </c>
      <c r="Z6478" t="n">
        <v>1</v>
      </c>
      <c r="AA6478">
        <f>IF(ISNUMBER('IN-CLASS_Lab Part C'!$J$6478),'IN-CLASS_Lab Part C'!$J$6478,NA())</f>
        <v/>
      </c>
    </row>
    <row r="6479">
      <c r="J6479">
        <f>IF(AND(ISNUMBER('Data'!$F$6480),'Data'!$F$6480&lt;&gt;999,'Data'!$F$6480&lt;&gt;""),'Data'!$F$6480,"")</f>
        <v/>
      </c>
      <c r="Z6479" t="n">
        <v>1</v>
      </c>
      <c r="AA6479">
        <f>IF(ISNUMBER('IN-CLASS_Lab Part C'!$J$6479),'IN-CLASS_Lab Part C'!$J$6479,NA())</f>
        <v/>
      </c>
    </row>
    <row r="6480">
      <c r="J6480">
        <f>IF(AND(ISNUMBER('Data'!$F$6481),'Data'!$F$6481&lt;&gt;999,'Data'!$F$6481&lt;&gt;""),'Data'!$F$6481,"")</f>
        <v/>
      </c>
      <c r="Z6480" t="n">
        <v>1</v>
      </c>
      <c r="AA6480">
        <f>IF(ISNUMBER('IN-CLASS_Lab Part C'!$J$6480),'IN-CLASS_Lab Part C'!$J$6480,NA())</f>
        <v/>
      </c>
    </row>
    <row r="6481">
      <c r="J6481">
        <f>IF(AND(ISNUMBER('Data'!$F$6482),'Data'!$F$6482&lt;&gt;999,'Data'!$F$6482&lt;&gt;""),'Data'!$F$6482,"")</f>
        <v/>
      </c>
      <c r="Z6481" t="n">
        <v>1</v>
      </c>
      <c r="AA6481">
        <f>IF(ISNUMBER('IN-CLASS_Lab Part C'!$J$6481),'IN-CLASS_Lab Part C'!$J$6481,NA())</f>
        <v/>
      </c>
    </row>
    <row r="6482">
      <c r="J6482">
        <f>IF(AND(ISNUMBER('Data'!$F$6483),'Data'!$F$6483&lt;&gt;999,'Data'!$F$6483&lt;&gt;""),'Data'!$F$6483,"")</f>
        <v/>
      </c>
      <c r="Z6482" t="n">
        <v>1</v>
      </c>
      <c r="AA6482">
        <f>IF(ISNUMBER('IN-CLASS_Lab Part C'!$J$6482),'IN-CLASS_Lab Part C'!$J$6482,NA())</f>
        <v/>
      </c>
    </row>
    <row r="6483">
      <c r="J6483">
        <f>IF(AND(ISNUMBER('Data'!$F$6484),'Data'!$F$6484&lt;&gt;999,'Data'!$F$6484&lt;&gt;""),'Data'!$F$6484,"")</f>
        <v/>
      </c>
      <c r="Z6483" t="n">
        <v>1</v>
      </c>
      <c r="AA6483">
        <f>IF(ISNUMBER('IN-CLASS_Lab Part C'!$J$6483),'IN-CLASS_Lab Part C'!$J$6483,NA())</f>
        <v/>
      </c>
    </row>
    <row r="6484">
      <c r="J6484">
        <f>IF(AND(ISNUMBER('Data'!$F$6485),'Data'!$F$6485&lt;&gt;999,'Data'!$F$6485&lt;&gt;""),'Data'!$F$6485,"")</f>
        <v/>
      </c>
      <c r="Z6484" t="n">
        <v>1</v>
      </c>
      <c r="AA6484">
        <f>IF(ISNUMBER('IN-CLASS_Lab Part C'!$J$6484),'IN-CLASS_Lab Part C'!$J$6484,NA())</f>
        <v/>
      </c>
    </row>
    <row r="6485">
      <c r="J6485">
        <f>IF(AND(ISNUMBER('Data'!$F$6486),'Data'!$F$6486&lt;&gt;999,'Data'!$F$6486&lt;&gt;""),'Data'!$F$6486,"")</f>
        <v/>
      </c>
      <c r="Z6485" t="n">
        <v>1</v>
      </c>
      <c r="AA6485">
        <f>IF(ISNUMBER('IN-CLASS_Lab Part C'!$J$6485),'IN-CLASS_Lab Part C'!$J$6485,NA())</f>
        <v/>
      </c>
    </row>
    <row r="6486">
      <c r="J6486">
        <f>IF(AND(ISNUMBER('Data'!$F$6487),'Data'!$F$6487&lt;&gt;999,'Data'!$F$6487&lt;&gt;""),'Data'!$F$6487,"")</f>
        <v/>
      </c>
      <c r="Z6486" t="n">
        <v>1</v>
      </c>
      <c r="AA6486">
        <f>IF(ISNUMBER('IN-CLASS_Lab Part C'!$J$6486),'IN-CLASS_Lab Part C'!$J$6486,NA())</f>
        <v/>
      </c>
    </row>
    <row r="6487">
      <c r="J6487">
        <f>IF(AND(ISNUMBER('Data'!$F$6488),'Data'!$F$6488&lt;&gt;999,'Data'!$F$6488&lt;&gt;""),'Data'!$F$6488,"")</f>
        <v/>
      </c>
      <c r="Z6487" t="n">
        <v>1</v>
      </c>
      <c r="AA6487">
        <f>IF(ISNUMBER('IN-CLASS_Lab Part C'!$J$6487),'IN-CLASS_Lab Part C'!$J$6487,NA())</f>
        <v/>
      </c>
    </row>
    <row r="6488">
      <c r="J6488">
        <f>IF(AND(ISNUMBER('Data'!$F$6489),'Data'!$F$6489&lt;&gt;999,'Data'!$F$6489&lt;&gt;""),'Data'!$F$6489,"")</f>
        <v/>
      </c>
      <c r="Z6488" t="n">
        <v>1</v>
      </c>
      <c r="AA6488">
        <f>IF(ISNUMBER('IN-CLASS_Lab Part C'!$J$6488),'IN-CLASS_Lab Part C'!$J$6488,NA())</f>
        <v/>
      </c>
    </row>
    <row r="6489">
      <c r="J6489">
        <f>IF(AND(ISNUMBER('Data'!$F$6490),'Data'!$F$6490&lt;&gt;999,'Data'!$F$6490&lt;&gt;""),'Data'!$F$6490,"")</f>
        <v/>
      </c>
      <c r="Z6489" t="n">
        <v>1</v>
      </c>
      <c r="AA6489">
        <f>IF(ISNUMBER('IN-CLASS_Lab Part C'!$J$6489),'IN-CLASS_Lab Part C'!$J$6489,NA())</f>
        <v/>
      </c>
    </row>
    <row r="6490">
      <c r="J6490">
        <f>IF(AND(ISNUMBER('Data'!$F$6491),'Data'!$F$6491&lt;&gt;999,'Data'!$F$6491&lt;&gt;""),'Data'!$F$6491,"")</f>
        <v/>
      </c>
      <c r="Z6490" t="n">
        <v>1</v>
      </c>
      <c r="AA6490">
        <f>IF(ISNUMBER('IN-CLASS_Lab Part C'!$J$6490),'IN-CLASS_Lab Part C'!$J$6490,NA())</f>
        <v/>
      </c>
    </row>
    <row r="6491">
      <c r="J6491">
        <f>IF(AND(ISNUMBER('Data'!$F$6492),'Data'!$F$6492&lt;&gt;999,'Data'!$F$6492&lt;&gt;""),'Data'!$F$6492,"")</f>
        <v/>
      </c>
      <c r="Z6491" t="n">
        <v>1</v>
      </c>
      <c r="AA6491">
        <f>IF(ISNUMBER('IN-CLASS_Lab Part C'!$J$6491),'IN-CLASS_Lab Part C'!$J$6491,NA())</f>
        <v/>
      </c>
    </row>
    <row r="6492">
      <c r="J6492">
        <f>IF(AND(ISNUMBER('Data'!$F$6493),'Data'!$F$6493&lt;&gt;999,'Data'!$F$6493&lt;&gt;""),'Data'!$F$6493,"")</f>
        <v/>
      </c>
      <c r="Z6492" t="n">
        <v>1</v>
      </c>
      <c r="AA6492">
        <f>IF(ISNUMBER('IN-CLASS_Lab Part C'!$J$6492),'IN-CLASS_Lab Part C'!$J$6492,NA())</f>
        <v/>
      </c>
    </row>
    <row r="6493">
      <c r="J6493">
        <f>IF(AND(ISNUMBER('Data'!$F$6494),'Data'!$F$6494&lt;&gt;999,'Data'!$F$6494&lt;&gt;""),'Data'!$F$6494,"")</f>
        <v/>
      </c>
      <c r="Z6493" t="n">
        <v>1</v>
      </c>
      <c r="AA6493">
        <f>IF(ISNUMBER('IN-CLASS_Lab Part C'!$J$6493),'IN-CLASS_Lab Part C'!$J$6493,NA())</f>
        <v/>
      </c>
    </row>
    <row r="6494">
      <c r="J6494">
        <f>IF(AND(ISNUMBER('Data'!$F$6495),'Data'!$F$6495&lt;&gt;999,'Data'!$F$6495&lt;&gt;""),'Data'!$F$6495,"")</f>
        <v/>
      </c>
      <c r="Z6494" t="n">
        <v>1</v>
      </c>
      <c r="AA6494">
        <f>IF(ISNUMBER('IN-CLASS_Lab Part C'!$J$6494),'IN-CLASS_Lab Part C'!$J$6494,NA())</f>
        <v/>
      </c>
    </row>
    <row r="6495">
      <c r="J6495">
        <f>IF(AND(ISNUMBER('Data'!$F$6496),'Data'!$F$6496&lt;&gt;999,'Data'!$F$6496&lt;&gt;""),'Data'!$F$6496,"")</f>
        <v/>
      </c>
      <c r="Z6495" t="n">
        <v>1</v>
      </c>
      <c r="AA6495">
        <f>IF(ISNUMBER('IN-CLASS_Lab Part C'!$J$6495),'IN-CLASS_Lab Part C'!$J$6495,NA())</f>
        <v/>
      </c>
    </row>
    <row r="6496">
      <c r="J6496">
        <f>IF(AND(ISNUMBER('Data'!$F$6497),'Data'!$F$6497&lt;&gt;999,'Data'!$F$6497&lt;&gt;""),'Data'!$F$6497,"")</f>
        <v/>
      </c>
      <c r="Z6496" t="n">
        <v>1</v>
      </c>
      <c r="AA6496">
        <f>IF(ISNUMBER('IN-CLASS_Lab Part C'!$J$6496),'IN-CLASS_Lab Part C'!$J$6496,NA())</f>
        <v/>
      </c>
    </row>
    <row r="6497">
      <c r="J6497">
        <f>IF(AND(ISNUMBER('Data'!$F$6498),'Data'!$F$6498&lt;&gt;999,'Data'!$F$6498&lt;&gt;""),'Data'!$F$6498,"")</f>
        <v/>
      </c>
      <c r="Z6497" t="n">
        <v>1</v>
      </c>
      <c r="AA6497">
        <f>IF(ISNUMBER('IN-CLASS_Lab Part C'!$J$6497),'IN-CLASS_Lab Part C'!$J$6497,NA())</f>
        <v/>
      </c>
    </row>
    <row r="6498">
      <c r="J6498">
        <f>IF(AND(ISNUMBER('Data'!$F$6499),'Data'!$F$6499&lt;&gt;999,'Data'!$F$6499&lt;&gt;""),'Data'!$F$6499,"")</f>
        <v/>
      </c>
      <c r="Z6498" t="n">
        <v>1</v>
      </c>
      <c r="AA6498">
        <f>IF(ISNUMBER('IN-CLASS_Lab Part C'!$J$6498),'IN-CLASS_Lab Part C'!$J$6498,NA())</f>
        <v/>
      </c>
    </row>
    <row r="6499">
      <c r="J6499">
        <f>IF(AND(ISNUMBER('Data'!$F$6500),'Data'!$F$6500&lt;&gt;999,'Data'!$F$6500&lt;&gt;""),'Data'!$F$6500,"")</f>
        <v/>
      </c>
      <c r="Z6499" t="n">
        <v>1</v>
      </c>
      <c r="AA6499">
        <f>IF(ISNUMBER('IN-CLASS_Lab Part C'!$J$6499),'IN-CLASS_Lab Part C'!$J$6499,NA())</f>
        <v/>
      </c>
    </row>
    <row r="6500">
      <c r="J6500">
        <f>IF(AND(ISNUMBER('Data'!$F$6501),'Data'!$F$6501&lt;&gt;999,'Data'!$F$6501&lt;&gt;""),'Data'!$F$6501,"")</f>
        <v/>
      </c>
      <c r="Z6500" t="n">
        <v>1</v>
      </c>
      <c r="AA6500">
        <f>IF(ISNUMBER('IN-CLASS_Lab Part C'!$J$6500),'IN-CLASS_Lab Part C'!$J$6500,NA())</f>
        <v/>
      </c>
    </row>
    <row r="6501">
      <c r="J6501">
        <f>IF(AND(ISNUMBER('Data'!$F$6502),'Data'!$F$6502&lt;&gt;999,'Data'!$F$6502&lt;&gt;""),'Data'!$F$6502,"")</f>
        <v/>
      </c>
      <c r="Z6501" t="n">
        <v>1</v>
      </c>
      <c r="AA6501">
        <f>IF(ISNUMBER('IN-CLASS_Lab Part C'!$J$6501),'IN-CLASS_Lab Part C'!$J$6501,NA())</f>
        <v/>
      </c>
    </row>
    <row r="6502">
      <c r="J6502">
        <f>IF(AND(ISNUMBER('Data'!$F$6503),'Data'!$F$6503&lt;&gt;999,'Data'!$F$6503&lt;&gt;""),'Data'!$F$6503,"")</f>
        <v/>
      </c>
      <c r="Z6502" t="n">
        <v>1</v>
      </c>
      <c r="AA6502">
        <f>IF(ISNUMBER('IN-CLASS_Lab Part C'!$J$6502),'IN-CLASS_Lab Part C'!$J$6502,NA())</f>
        <v/>
      </c>
    </row>
    <row r="6503">
      <c r="J6503">
        <f>IF(AND(ISNUMBER('Data'!$F$6504),'Data'!$F$6504&lt;&gt;999,'Data'!$F$6504&lt;&gt;""),'Data'!$F$6504,"")</f>
        <v/>
      </c>
      <c r="Z6503" t="n">
        <v>1</v>
      </c>
      <c r="AA6503">
        <f>IF(ISNUMBER('IN-CLASS_Lab Part C'!$J$6503),'IN-CLASS_Lab Part C'!$J$6503,NA())</f>
        <v/>
      </c>
    </row>
    <row r="6504">
      <c r="J6504">
        <f>IF(AND(ISNUMBER('Data'!$F$6505),'Data'!$F$6505&lt;&gt;999,'Data'!$F$6505&lt;&gt;""),'Data'!$F$6505,"")</f>
        <v/>
      </c>
      <c r="Z6504" t="n">
        <v>1</v>
      </c>
      <c r="AA6504">
        <f>IF(ISNUMBER('IN-CLASS_Lab Part C'!$J$6504),'IN-CLASS_Lab Part C'!$J$6504,NA())</f>
        <v/>
      </c>
    </row>
    <row r="6505">
      <c r="J6505">
        <f>IF(AND(ISNUMBER('Data'!$F$6506),'Data'!$F$6506&lt;&gt;999,'Data'!$F$6506&lt;&gt;""),'Data'!$F$6506,"")</f>
        <v/>
      </c>
      <c r="Z6505" t="n">
        <v>1</v>
      </c>
      <c r="AA6505">
        <f>IF(ISNUMBER('IN-CLASS_Lab Part C'!$J$6505),'IN-CLASS_Lab Part C'!$J$6505,NA())</f>
        <v/>
      </c>
    </row>
    <row r="6506">
      <c r="J6506">
        <f>IF(AND(ISNUMBER('Data'!$F$6507),'Data'!$F$6507&lt;&gt;999,'Data'!$F$6507&lt;&gt;""),'Data'!$F$6507,"")</f>
        <v/>
      </c>
      <c r="Z6506" t="n">
        <v>1</v>
      </c>
      <c r="AA6506">
        <f>IF(ISNUMBER('IN-CLASS_Lab Part C'!$J$6506),'IN-CLASS_Lab Part C'!$J$6506,NA())</f>
        <v/>
      </c>
    </row>
    <row r="6507">
      <c r="J6507">
        <f>IF(AND(ISNUMBER('Data'!$F$6508),'Data'!$F$6508&lt;&gt;999,'Data'!$F$6508&lt;&gt;""),'Data'!$F$6508,"")</f>
        <v/>
      </c>
      <c r="Z6507" t="n">
        <v>1</v>
      </c>
      <c r="AA6507">
        <f>IF(ISNUMBER('IN-CLASS_Lab Part C'!$J$6507),'IN-CLASS_Lab Part C'!$J$6507,NA())</f>
        <v/>
      </c>
    </row>
    <row r="6508">
      <c r="J6508">
        <f>IF(AND(ISNUMBER('Data'!$F$6509),'Data'!$F$6509&lt;&gt;999,'Data'!$F$6509&lt;&gt;""),'Data'!$F$6509,"")</f>
        <v/>
      </c>
      <c r="Z6508" t="n">
        <v>1</v>
      </c>
      <c r="AA6508">
        <f>IF(ISNUMBER('IN-CLASS_Lab Part C'!$J$6508),'IN-CLASS_Lab Part C'!$J$6508,NA())</f>
        <v/>
      </c>
    </row>
    <row r="6509">
      <c r="J6509">
        <f>IF(AND(ISNUMBER('Data'!$F$6510),'Data'!$F$6510&lt;&gt;999,'Data'!$F$6510&lt;&gt;""),'Data'!$F$6510,"")</f>
        <v/>
      </c>
      <c r="Z6509" t="n">
        <v>1</v>
      </c>
      <c r="AA6509">
        <f>IF(ISNUMBER('IN-CLASS_Lab Part C'!$J$6509),'IN-CLASS_Lab Part C'!$J$6509,NA())</f>
        <v/>
      </c>
    </row>
    <row r="6510">
      <c r="J6510">
        <f>IF(AND(ISNUMBER('Data'!$F$6511),'Data'!$F$6511&lt;&gt;999,'Data'!$F$6511&lt;&gt;""),'Data'!$F$6511,"")</f>
        <v/>
      </c>
      <c r="Z6510" t="n">
        <v>1</v>
      </c>
      <c r="AA6510">
        <f>IF(ISNUMBER('IN-CLASS_Lab Part C'!$J$6510),'IN-CLASS_Lab Part C'!$J$6510,NA())</f>
        <v/>
      </c>
    </row>
    <row r="6511">
      <c r="J6511">
        <f>IF(AND(ISNUMBER('Data'!$F$6512),'Data'!$F$6512&lt;&gt;999,'Data'!$F$6512&lt;&gt;""),'Data'!$F$6512,"")</f>
        <v/>
      </c>
      <c r="Z6511" t="n">
        <v>1</v>
      </c>
      <c r="AA6511">
        <f>IF(ISNUMBER('IN-CLASS_Lab Part C'!$J$6511),'IN-CLASS_Lab Part C'!$J$6511,NA())</f>
        <v/>
      </c>
    </row>
    <row r="6512">
      <c r="J6512">
        <f>IF(AND(ISNUMBER('Data'!$F$6513),'Data'!$F$6513&lt;&gt;999,'Data'!$F$6513&lt;&gt;""),'Data'!$F$6513,"")</f>
        <v/>
      </c>
      <c r="Z6512" t="n">
        <v>1</v>
      </c>
      <c r="AA6512">
        <f>IF(ISNUMBER('IN-CLASS_Lab Part C'!$J$6512),'IN-CLASS_Lab Part C'!$J$6512,NA())</f>
        <v/>
      </c>
    </row>
    <row r="6513">
      <c r="J6513">
        <f>IF(AND(ISNUMBER('Data'!$F$6514),'Data'!$F$6514&lt;&gt;999,'Data'!$F$6514&lt;&gt;""),'Data'!$F$6514,"")</f>
        <v/>
      </c>
      <c r="Z6513" t="n">
        <v>1</v>
      </c>
      <c r="AA6513">
        <f>IF(ISNUMBER('IN-CLASS_Lab Part C'!$J$6513),'IN-CLASS_Lab Part C'!$J$6513,NA())</f>
        <v/>
      </c>
    </row>
    <row r="6514">
      <c r="J6514">
        <f>IF(AND(ISNUMBER('Data'!$F$6515),'Data'!$F$6515&lt;&gt;999,'Data'!$F$6515&lt;&gt;""),'Data'!$F$6515,"")</f>
        <v/>
      </c>
      <c r="Z6514" t="n">
        <v>1</v>
      </c>
      <c r="AA6514">
        <f>IF(ISNUMBER('IN-CLASS_Lab Part C'!$J$6514),'IN-CLASS_Lab Part C'!$J$6514,NA())</f>
        <v/>
      </c>
    </row>
    <row r="6515">
      <c r="J6515">
        <f>IF(AND(ISNUMBER('Data'!$F$6516),'Data'!$F$6516&lt;&gt;999,'Data'!$F$6516&lt;&gt;""),'Data'!$F$6516,"")</f>
        <v/>
      </c>
      <c r="Z6515" t="n">
        <v>1</v>
      </c>
      <c r="AA6515">
        <f>IF(ISNUMBER('IN-CLASS_Lab Part C'!$J$6515),'IN-CLASS_Lab Part C'!$J$6515,NA())</f>
        <v/>
      </c>
    </row>
    <row r="6516">
      <c r="J6516">
        <f>IF(AND(ISNUMBER('Data'!$F$6517),'Data'!$F$6517&lt;&gt;999,'Data'!$F$6517&lt;&gt;""),'Data'!$F$6517,"")</f>
        <v/>
      </c>
      <c r="Z6516" t="n">
        <v>1</v>
      </c>
      <c r="AA6516">
        <f>IF(ISNUMBER('IN-CLASS_Lab Part C'!$J$6516),'IN-CLASS_Lab Part C'!$J$6516,NA())</f>
        <v/>
      </c>
    </row>
    <row r="6517">
      <c r="J6517">
        <f>IF(AND(ISNUMBER('Data'!$F$6518),'Data'!$F$6518&lt;&gt;999,'Data'!$F$6518&lt;&gt;""),'Data'!$F$6518,"")</f>
        <v/>
      </c>
      <c r="Z6517" t="n">
        <v>1</v>
      </c>
      <c r="AA6517">
        <f>IF(ISNUMBER('IN-CLASS_Lab Part C'!$J$6517),'IN-CLASS_Lab Part C'!$J$6517,NA())</f>
        <v/>
      </c>
    </row>
    <row r="6518">
      <c r="J6518">
        <f>IF(AND(ISNUMBER('Data'!$F$6519),'Data'!$F$6519&lt;&gt;999,'Data'!$F$6519&lt;&gt;""),'Data'!$F$6519,"")</f>
        <v/>
      </c>
      <c r="Z6518" t="n">
        <v>1</v>
      </c>
      <c r="AA6518">
        <f>IF(ISNUMBER('IN-CLASS_Lab Part C'!$J$6518),'IN-CLASS_Lab Part C'!$J$6518,NA())</f>
        <v/>
      </c>
    </row>
    <row r="6519">
      <c r="J6519">
        <f>IF(AND(ISNUMBER('Data'!$F$6520),'Data'!$F$6520&lt;&gt;999,'Data'!$F$6520&lt;&gt;""),'Data'!$F$6520,"")</f>
        <v/>
      </c>
      <c r="Z6519" t="n">
        <v>1</v>
      </c>
      <c r="AA6519">
        <f>IF(ISNUMBER('IN-CLASS_Lab Part C'!$J$6519),'IN-CLASS_Lab Part C'!$J$6519,NA())</f>
        <v/>
      </c>
    </row>
    <row r="6520">
      <c r="J6520">
        <f>IF(AND(ISNUMBER('Data'!$F$6521),'Data'!$F$6521&lt;&gt;999,'Data'!$F$6521&lt;&gt;""),'Data'!$F$6521,"")</f>
        <v/>
      </c>
      <c r="Z6520" t="n">
        <v>1</v>
      </c>
      <c r="AA6520">
        <f>IF(ISNUMBER('IN-CLASS_Lab Part C'!$J$6520),'IN-CLASS_Lab Part C'!$J$6520,NA())</f>
        <v/>
      </c>
    </row>
    <row r="6521">
      <c r="J6521">
        <f>IF(AND(ISNUMBER('Data'!$F$6522),'Data'!$F$6522&lt;&gt;999,'Data'!$F$6522&lt;&gt;""),'Data'!$F$6522,"")</f>
        <v/>
      </c>
      <c r="Z6521" t="n">
        <v>1</v>
      </c>
      <c r="AA6521">
        <f>IF(ISNUMBER('IN-CLASS_Lab Part C'!$J$6521),'IN-CLASS_Lab Part C'!$J$6521,NA())</f>
        <v/>
      </c>
    </row>
    <row r="6522">
      <c r="J6522">
        <f>IF(AND(ISNUMBER('Data'!$F$6523),'Data'!$F$6523&lt;&gt;999,'Data'!$F$6523&lt;&gt;""),'Data'!$F$6523,"")</f>
        <v/>
      </c>
      <c r="Z6522" t="n">
        <v>1</v>
      </c>
      <c r="AA6522">
        <f>IF(ISNUMBER('IN-CLASS_Lab Part C'!$J$6522),'IN-CLASS_Lab Part C'!$J$6522,NA())</f>
        <v/>
      </c>
    </row>
    <row r="6523">
      <c r="J6523">
        <f>IF(AND(ISNUMBER('Data'!$F$6524),'Data'!$F$6524&lt;&gt;999,'Data'!$F$6524&lt;&gt;""),'Data'!$F$6524,"")</f>
        <v/>
      </c>
      <c r="Z6523" t="n">
        <v>1</v>
      </c>
      <c r="AA6523">
        <f>IF(ISNUMBER('IN-CLASS_Lab Part C'!$J$6523),'IN-CLASS_Lab Part C'!$J$6523,NA())</f>
        <v/>
      </c>
    </row>
    <row r="6524">
      <c r="J6524">
        <f>IF(AND(ISNUMBER('Data'!$F$6525),'Data'!$F$6525&lt;&gt;999,'Data'!$F$6525&lt;&gt;""),'Data'!$F$6525,"")</f>
        <v/>
      </c>
      <c r="Z6524" t="n">
        <v>1</v>
      </c>
      <c r="AA6524">
        <f>IF(ISNUMBER('IN-CLASS_Lab Part C'!$J$6524),'IN-CLASS_Lab Part C'!$J$6524,NA())</f>
        <v/>
      </c>
    </row>
    <row r="6525">
      <c r="J6525">
        <f>IF(AND(ISNUMBER('Data'!$F$6526),'Data'!$F$6526&lt;&gt;999,'Data'!$F$6526&lt;&gt;""),'Data'!$F$6526,"")</f>
        <v/>
      </c>
      <c r="Z6525" t="n">
        <v>1</v>
      </c>
      <c r="AA6525">
        <f>IF(ISNUMBER('IN-CLASS_Lab Part C'!$J$6525),'IN-CLASS_Lab Part C'!$J$6525,NA())</f>
        <v/>
      </c>
    </row>
    <row r="6526">
      <c r="J6526">
        <f>IF(AND(ISNUMBER('Data'!$F$6527),'Data'!$F$6527&lt;&gt;999,'Data'!$F$6527&lt;&gt;""),'Data'!$F$6527,"")</f>
        <v/>
      </c>
      <c r="Z6526" t="n">
        <v>1</v>
      </c>
      <c r="AA6526">
        <f>IF(ISNUMBER('IN-CLASS_Lab Part C'!$J$6526),'IN-CLASS_Lab Part C'!$J$6526,NA())</f>
        <v/>
      </c>
    </row>
    <row r="6527">
      <c r="J6527">
        <f>IF(AND(ISNUMBER('Data'!$F$6528),'Data'!$F$6528&lt;&gt;999,'Data'!$F$6528&lt;&gt;""),'Data'!$F$6528,"")</f>
        <v/>
      </c>
      <c r="Z6527" t="n">
        <v>1</v>
      </c>
      <c r="AA6527">
        <f>IF(ISNUMBER('IN-CLASS_Lab Part C'!$J$6527),'IN-CLASS_Lab Part C'!$J$6527,NA())</f>
        <v/>
      </c>
    </row>
    <row r="6528">
      <c r="J6528">
        <f>IF(AND(ISNUMBER('Data'!$F$6529),'Data'!$F$6529&lt;&gt;999,'Data'!$F$6529&lt;&gt;""),'Data'!$F$6529,"")</f>
        <v/>
      </c>
      <c r="Z6528" t="n">
        <v>1</v>
      </c>
      <c r="AA6528">
        <f>IF(ISNUMBER('IN-CLASS_Lab Part C'!$J$6528),'IN-CLASS_Lab Part C'!$J$6528,NA())</f>
        <v/>
      </c>
    </row>
    <row r="6529">
      <c r="J6529">
        <f>IF(AND(ISNUMBER('Data'!$F$6530),'Data'!$F$6530&lt;&gt;999,'Data'!$F$6530&lt;&gt;""),'Data'!$F$6530,"")</f>
        <v/>
      </c>
      <c r="Z6529" t="n">
        <v>1</v>
      </c>
      <c r="AA6529">
        <f>IF(ISNUMBER('IN-CLASS_Lab Part C'!$J$6529),'IN-CLASS_Lab Part C'!$J$6529,NA())</f>
        <v/>
      </c>
    </row>
    <row r="6530">
      <c r="J6530">
        <f>IF(AND(ISNUMBER('Data'!$F$6531),'Data'!$F$6531&lt;&gt;999,'Data'!$F$6531&lt;&gt;""),'Data'!$F$6531,"")</f>
        <v/>
      </c>
      <c r="Z6530" t="n">
        <v>1</v>
      </c>
      <c r="AA6530">
        <f>IF(ISNUMBER('IN-CLASS_Lab Part C'!$J$6530),'IN-CLASS_Lab Part C'!$J$6530,NA())</f>
        <v/>
      </c>
    </row>
    <row r="6531">
      <c r="J6531">
        <f>IF(AND(ISNUMBER('Data'!$F$6532),'Data'!$F$6532&lt;&gt;999,'Data'!$F$6532&lt;&gt;""),'Data'!$F$6532,"")</f>
        <v/>
      </c>
      <c r="Z6531" t="n">
        <v>1</v>
      </c>
      <c r="AA6531">
        <f>IF(ISNUMBER('IN-CLASS_Lab Part C'!$J$6531),'IN-CLASS_Lab Part C'!$J$6531,NA())</f>
        <v/>
      </c>
    </row>
    <row r="6532">
      <c r="J6532">
        <f>IF(AND(ISNUMBER('Data'!$F$6533),'Data'!$F$6533&lt;&gt;999,'Data'!$F$6533&lt;&gt;""),'Data'!$F$6533,"")</f>
        <v/>
      </c>
      <c r="Z6532" t="n">
        <v>1</v>
      </c>
      <c r="AA6532">
        <f>IF(ISNUMBER('IN-CLASS_Lab Part C'!$J$6532),'IN-CLASS_Lab Part C'!$J$6532,NA())</f>
        <v/>
      </c>
    </row>
    <row r="6533">
      <c r="J6533">
        <f>IF(AND(ISNUMBER('Data'!$F$6534),'Data'!$F$6534&lt;&gt;999,'Data'!$F$6534&lt;&gt;""),'Data'!$F$6534,"")</f>
        <v/>
      </c>
      <c r="Z6533" t="n">
        <v>1</v>
      </c>
      <c r="AA6533">
        <f>IF(ISNUMBER('IN-CLASS_Lab Part C'!$J$6533),'IN-CLASS_Lab Part C'!$J$6533,NA())</f>
        <v/>
      </c>
    </row>
    <row r="6534">
      <c r="J6534">
        <f>IF(AND(ISNUMBER('Data'!$F$6535),'Data'!$F$6535&lt;&gt;999,'Data'!$F$6535&lt;&gt;""),'Data'!$F$6535,"")</f>
        <v/>
      </c>
      <c r="Z6534" t="n">
        <v>1</v>
      </c>
      <c r="AA6534">
        <f>IF(ISNUMBER('IN-CLASS_Lab Part C'!$J$6534),'IN-CLASS_Lab Part C'!$J$6534,NA())</f>
        <v/>
      </c>
    </row>
    <row r="6535">
      <c r="J6535">
        <f>IF(AND(ISNUMBER('Data'!$F$6536),'Data'!$F$6536&lt;&gt;999,'Data'!$F$6536&lt;&gt;""),'Data'!$F$6536,"")</f>
        <v/>
      </c>
      <c r="Z6535" t="n">
        <v>1</v>
      </c>
      <c r="AA6535">
        <f>IF(ISNUMBER('IN-CLASS_Lab Part C'!$J$6535),'IN-CLASS_Lab Part C'!$J$6535,NA())</f>
        <v/>
      </c>
    </row>
    <row r="6536">
      <c r="J6536">
        <f>IF(AND(ISNUMBER('Data'!$F$6537),'Data'!$F$6537&lt;&gt;999,'Data'!$F$6537&lt;&gt;""),'Data'!$F$6537,"")</f>
        <v/>
      </c>
      <c r="Z6536" t="n">
        <v>1</v>
      </c>
      <c r="AA6536">
        <f>IF(ISNUMBER('IN-CLASS_Lab Part C'!$J$6536),'IN-CLASS_Lab Part C'!$J$6536,NA())</f>
        <v/>
      </c>
    </row>
    <row r="6537">
      <c r="J6537">
        <f>IF(AND(ISNUMBER('Data'!$F$6538),'Data'!$F$6538&lt;&gt;999,'Data'!$F$6538&lt;&gt;""),'Data'!$F$6538,"")</f>
        <v/>
      </c>
      <c r="Z6537" t="n">
        <v>1</v>
      </c>
      <c r="AA6537">
        <f>IF(ISNUMBER('IN-CLASS_Lab Part C'!$J$6537),'IN-CLASS_Lab Part C'!$J$6537,NA())</f>
        <v/>
      </c>
    </row>
    <row r="6538">
      <c r="J6538">
        <f>IF(AND(ISNUMBER('Data'!$F$6539),'Data'!$F$6539&lt;&gt;999,'Data'!$F$6539&lt;&gt;""),'Data'!$F$6539,"")</f>
        <v/>
      </c>
      <c r="Z6538" t="n">
        <v>1</v>
      </c>
      <c r="AA6538">
        <f>IF(ISNUMBER('IN-CLASS_Lab Part C'!$J$6538),'IN-CLASS_Lab Part C'!$J$6538,NA())</f>
        <v/>
      </c>
    </row>
    <row r="6539">
      <c r="J6539">
        <f>IF(AND(ISNUMBER('Data'!$F$6540),'Data'!$F$6540&lt;&gt;999,'Data'!$F$6540&lt;&gt;""),'Data'!$F$6540,"")</f>
        <v/>
      </c>
      <c r="Z6539" t="n">
        <v>1</v>
      </c>
      <c r="AA6539">
        <f>IF(ISNUMBER('IN-CLASS_Lab Part C'!$J$6539),'IN-CLASS_Lab Part C'!$J$6539,NA())</f>
        <v/>
      </c>
    </row>
    <row r="6540">
      <c r="J6540">
        <f>IF(AND(ISNUMBER('Data'!$F$6541),'Data'!$F$6541&lt;&gt;999,'Data'!$F$6541&lt;&gt;""),'Data'!$F$6541,"")</f>
        <v/>
      </c>
      <c r="Z6540" t="n">
        <v>1</v>
      </c>
      <c r="AA6540">
        <f>IF(ISNUMBER('IN-CLASS_Lab Part C'!$J$6540),'IN-CLASS_Lab Part C'!$J$6540,NA())</f>
        <v/>
      </c>
    </row>
    <row r="6541">
      <c r="J6541">
        <f>IF(AND(ISNUMBER('Data'!$F$6542),'Data'!$F$6542&lt;&gt;999,'Data'!$F$6542&lt;&gt;""),'Data'!$F$6542,"")</f>
        <v/>
      </c>
      <c r="Z6541" t="n">
        <v>1</v>
      </c>
      <c r="AA6541">
        <f>IF(ISNUMBER('IN-CLASS_Lab Part C'!$J$6541),'IN-CLASS_Lab Part C'!$J$6541,NA())</f>
        <v/>
      </c>
    </row>
    <row r="6542">
      <c r="J6542">
        <f>IF(AND(ISNUMBER('Data'!$F$6543),'Data'!$F$6543&lt;&gt;999,'Data'!$F$6543&lt;&gt;""),'Data'!$F$6543,"")</f>
        <v/>
      </c>
      <c r="Z6542" t="n">
        <v>1</v>
      </c>
      <c r="AA6542">
        <f>IF(ISNUMBER('IN-CLASS_Lab Part C'!$J$6542),'IN-CLASS_Lab Part C'!$J$6542,NA())</f>
        <v/>
      </c>
    </row>
    <row r="6543">
      <c r="J6543">
        <f>IF(AND(ISNUMBER('Data'!$F$6544),'Data'!$F$6544&lt;&gt;999,'Data'!$F$6544&lt;&gt;""),'Data'!$F$6544,"")</f>
        <v/>
      </c>
      <c r="Z6543" t="n">
        <v>1</v>
      </c>
      <c r="AA6543">
        <f>IF(ISNUMBER('IN-CLASS_Lab Part C'!$J$6543),'IN-CLASS_Lab Part C'!$J$6543,NA())</f>
        <v/>
      </c>
    </row>
    <row r="6544">
      <c r="J6544">
        <f>IF(AND(ISNUMBER('Data'!$F$6545),'Data'!$F$6545&lt;&gt;999,'Data'!$F$6545&lt;&gt;""),'Data'!$F$6545,"")</f>
        <v/>
      </c>
      <c r="Z6544" t="n">
        <v>1</v>
      </c>
      <c r="AA6544">
        <f>IF(ISNUMBER('IN-CLASS_Lab Part C'!$J$6544),'IN-CLASS_Lab Part C'!$J$6544,NA())</f>
        <v/>
      </c>
    </row>
    <row r="6545">
      <c r="J6545">
        <f>IF(AND(ISNUMBER('Data'!$F$6546),'Data'!$F$6546&lt;&gt;999,'Data'!$F$6546&lt;&gt;""),'Data'!$F$6546,"")</f>
        <v/>
      </c>
      <c r="Z6545" t="n">
        <v>1</v>
      </c>
      <c r="AA6545">
        <f>IF(ISNUMBER('IN-CLASS_Lab Part C'!$J$6545),'IN-CLASS_Lab Part C'!$J$6545,NA())</f>
        <v/>
      </c>
    </row>
    <row r="6546">
      <c r="J6546">
        <f>IF(AND(ISNUMBER('Data'!$F$6547),'Data'!$F$6547&lt;&gt;999,'Data'!$F$6547&lt;&gt;""),'Data'!$F$6547,"")</f>
        <v/>
      </c>
      <c r="Z6546" t="n">
        <v>1</v>
      </c>
      <c r="AA6546">
        <f>IF(ISNUMBER('IN-CLASS_Lab Part C'!$J$6546),'IN-CLASS_Lab Part C'!$J$6546,NA())</f>
        <v/>
      </c>
    </row>
    <row r="6547">
      <c r="J6547">
        <f>IF(AND(ISNUMBER('Data'!$F$6548),'Data'!$F$6548&lt;&gt;999,'Data'!$F$6548&lt;&gt;""),'Data'!$F$6548,"")</f>
        <v/>
      </c>
      <c r="Z6547" t="n">
        <v>1</v>
      </c>
      <c r="AA6547">
        <f>IF(ISNUMBER('IN-CLASS_Lab Part C'!$J$6547),'IN-CLASS_Lab Part C'!$J$6547,NA())</f>
        <v/>
      </c>
    </row>
    <row r="6548">
      <c r="J6548">
        <f>IF(AND(ISNUMBER('Data'!$F$6549),'Data'!$F$6549&lt;&gt;999,'Data'!$F$6549&lt;&gt;""),'Data'!$F$6549,"")</f>
        <v/>
      </c>
      <c r="Z6548" t="n">
        <v>1</v>
      </c>
      <c r="AA6548">
        <f>IF(ISNUMBER('IN-CLASS_Lab Part C'!$J$6548),'IN-CLASS_Lab Part C'!$J$6548,NA())</f>
        <v/>
      </c>
    </row>
    <row r="6549">
      <c r="J6549">
        <f>IF(AND(ISNUMBER('Data'!$F$6550),'Data'!$F$6550&lt;&gt;999,'Data'!$F$6550&lt;&gt;""),'Data'!$F$6550,"")</f>
        <v/>
      </c>
      <c r="Z6549" t="n">
        <v>1</v>
      </c>
      <c r="AA6549">
        <f>IF(ISNUMBER('IN-CLASS_Lab Part C'!$J$6549),'IN-CLASS_Lab Part C'!$J$6549,NA())</f>
        <v/>
      </c>
    </row>
    <row r="6550">
      <c r="J6550">
        <f>IF(AND(ISNUMBER('Data'!$F$6551),'Data'!$F$6551&lt;&gt;999,'Data'!$F$6551&lt;&gt;""),'Data'!$F$6551,"")</f>
        <v/>
      </c>
      <c r="Z6550" t="n">
        <v>1</v>
      </c>
      <c r="AA6550">
        <f>IF(ISNUMBER('IN-CLASS_Lab Part C'!$J$6550),'IN-CLASS_Lab Part C'!$J$6550,NA())</f>
        <v/>
      </c>
    </row>
    <row r="6551">
      <c r="J6551">
        <f>IF(AND(ISNUMBER('Data'!$F$6552),'Data'!$F$6552&lt;&gt;999,'Data'!$F$6552&lt;&gt;""),'Data'!$F$6552,"")</f>
        <v/>
      </c>
      <c r="Z6551" t="n">
        <v>1</v>
      </c>
      <c r="AA6551">
        <f>IF(ISNUMBER('IN-CLASS_Lab Part C'!$J$6551),'IN-CLASS_Lab Part C'!$J$6551,NA())</f>
        <v/>
      </c>
    </row>
    <row r="6552">
      <c r="J6552">
        <f>IF(AND(ISNUMBER('Data'!$F$6553),'Data'!$F$6553&lt;&gt;999,'Data'!$F$6553&lt;&gt;""),'Data'!$F$6553,"")</f>
        <v/>
      </c>
      <c r="Z6552" t="n">
        <v>1</v>
      </c>
      <c r="AA6552">
        <f>IF(ISNUMBER('IN-CLASS_Lab Part C'!$J$6552),'IN-CLASS_Lab Part C'!$J$6552,NA())</f>
        <v/>
      </c>
    </row>
    <row r="6553">
      <c r="J6553">
        <f>IF(AND(ISNUMBER('Data'!$F$6554),'Data'!$F$6554&lt;&gt;999,'Data'!$F$6554&lt;&gt;""),'Data'!$F$6554,"")</f>
        <v/>
      </c>
      <c r="Z6553" t="n">
        <v>1</v>
      </c>
      <c r="AA6553">
        <f>IF(ISNUMBER('IN-CLASS_Lab Part C'!$J$6553),'IN-CLASS_Lab Part C'!$J$6553,NA())</f>
        <v/>
      </c>
    </row>
    <row r="6554">
      <c r="J6554">
        <f>IF(AND(ISNUMBER('Data'!$F$6555),'Data'!$F$6555&lt;&gt;999,'Data'!$F$6555&lt;&gt;""),'Data'!$F$6555,"")</f>
        <v/>
      </c>
      <c r="Z6554" t="n">
        <v>1</v>
      </c>
      <c r="AA6554">
        <f>IF(ISNUMBER('IN-CLASS_Lab Part C'!$J$6554),'IN-CLASS_Lab Part C'!$J$6554,NA())</f>
        <v/>
      </c>
    </row>
    <row r="6555">
      <c r="J6555">
        <f>IF(AND(ISNUMBER('Data'!$F$6556),'Data'!$F$6556&lt;&gt;999,'Data'!$F$6556&lt;&gt;""),'Data'!$F$6556,"")</f>
        <v/>
      </c>
      <c r="Z6555" t="n">
        <v>1</v>
      </c>
      <c r="AA6555">
        <f>IF(ISNUMBER('IN-CLASS_Lab Part C'!$J$6555),'IN-CLASS_Lab Part C'!$J$6555,NA())</f>
        <v/>
      </c>
    </row>
    <row r="6556">
      <c r="J6556">
        <f>IF(AND(ISNUMBER('Data'!$F$6557),'Data'!$F$6557&lt;&gt;999,'Data'!$F$6557&lt;&gt;""),'Data'!$F$6557,"")</f>
        <v/>
      </c>
      <c r="Z6556" t="n">
        <v>1</v>
      </c>
      <c r="AA6556">
        <f>IF(ISNUMBER('IN-CLASS_Lab Part C'!$J$6556),'IN-CLASS_Lab Part C'!$J$6556,NA())</f>
        <v/>
      </c>
    </row>
    <row r="6557">
      <c r="J6557">
        <f>IF(AND(ISNUMBER('Data'!$F$6558),'Data'!$F$6558&lt;&gt;999,'Data'!$F$6558&lt;&gt;""),'Data'!$F$6558,"")</f>
        <v/>
      </c>
      <c r="Z6557" t="n">
        <v>1</v>
      </c>
      <c r="AA6557">
        <f>IF(ISNUMBER('IN-CLASS_Lab Part C'!$J$6557),'IN-CLASS_Lab Part C'!$J$6557,NA())</f>
        <v/>
      </c>
    </row>
    <row r="6558">
      <c r="J6558">
        <f>IF(AND(ISNUMBER('Data'!$F$6559),'Data'!$F$6559&lt;&gt;999,'Data'!$F$6559&lt;&gt;""),'Data'!$F$6559,"")</f>
        <v/>
      </c>
      <c r="Z6558" t="n">
        <v>1</v>
      </c>
      <c r="AA6558">
        <f>IF(ISNUMBER('IN-CLASS_Lab Part C'!$J$6558),'IN-CLASS_Lab Part C'!$J$6558,NA())</f>
        <v/>
      </c>
    </row>
    <row r="6559">
      <c r="J6559">
        <f>IF(AND(ISNUMBER('Data'!$F$6560),'Data'!$F$6560&lt;&gt;999,'Data'!$F$6560&lt;&gt;""),'Data'!$F$6560,"")</f>
        <v/>
      </c>
      <c r="Z6559" t="n">
        <v>1</v>
      </c>
      <c r="AA6559">
        <f>IF(ISNUMBER('IN-CLASS_Lab Part C'!$J$6559),'IN-CLASS_Lab Part C'!$J$6559,NA())</f>
        <v/>
      </c>
    </row>
    <row r="6560">
      <c r="J6560">
        <f>IF(AND(ISNUMBER('Data'!$F$6561),'Data'!$F$6561&lt;&gt;999,'Data'!$F$6561&lt;&gt;""),'Data'!$F$6561,"")</f>
        <v/>
      </c>
      <c r="Z6560" t="n">
        <v>1</v>
      </c>
      <c r="AA6560">
        <f>IF(ISNUMBER('IN-CLASS_Lab Part C'!$J$6560),'IN-CLASS_Lab Part C'!$J$6560,NA())</f>
        <v/>
      </c>
    </row>
    <row r="6561">
      <c r="J6561">
        <f>IF(AND(ISNUMBER('Data'!$F$6562),'Data'!$F$6562&lt;&gt;999,'Data'!$F$6562&lt;&gt;""),'Data'!$F$6562,"")</f>
        <v/>
      </c>
      <c r="Z6561" t="n">
        <v>1</v>
      </c>
      <c r="AA6561">
        <f>IF(ISNUMBER('IN-CLASS_Lab Part C'!$J$6561),'IN-CLASS_Lab Part C'!$J$6561,NA())</f>
        <v/>
      </c>
    </row>
    <row r="6562">
      <c r="J6562">
        <f>IF(AND(ISNUMBER('Data'!$F$6563),'Data'!$F$6563&lt;&gt;999,'Data'!$F$6563&lt;&gt;""),'Data'!$F$6563,"")</f>
        <v/>
      </c>
      <c r="Z6562" t="n">
        <v>1</v>
      </c>
      <c r="AA6562">
        <f>IF(ISNUMBER('IN-CLASS_Lab Part C'!$J$6562),'IN-CLASS_Lab Part C'!$J$6562,NA())</f>
        <v/>
      </c>
    </row>
    <row r="6563">
      <c r="J6563">
        <f>IF(AND(ISNUMBER('Data'!$F$6564),'Data'!$F$6564&lt;&gt;999,'Data'!$F$6564&lt;&gt;""),'Data'!$F$6564,"")</f>
        <v/>
      </c>
      <c r="Z6563" t="n">
        <v>1</v>
      </c>
      <c r="AA6563">
        <f>IF(ISNUMBER('IN-CLASS_Lab Part C'!$J$6563),'IN-CLASS_Lab Part C'!$J$6563,NA())</f>
        <v/>
      </c>
    </row>
    <row r="6564">
      <c r="J6564">
        <f>IF(AND(ISNUMBER('Data'!$F$6565),'Data'!$F$6565&lt;&gt;999,'Data'!$F$6565&lt;&gt;""),'Data'!$F$6565,"")</f>
        <v/>
      </c>
      <c r="Z6564" t="n">
        <v>1</v>
      </c>
      <c r="AA6564">
        <f>IF(ISNUMBER('IN-CLASS_Lab Part C'!$J$6564),'IN-CLASS_Lab Part C'!$J$6564,NA())</f>
        <v/>
      </c>
    </row>
    <row r="6565">
      <c r="J6565">
        <f>IF(AND(ISNUMBER('Data'!$F$6566),'Data'!$F$6566&lt;&gt;999,'Data'!$F$6566&lt;&gt;""),'Data'!$F$6566,"")</f>
        <v/>
      </c>
      <c r="Z6565" t="n">
        <v>1</v>
      </c>
      <c r="AA6565">
        <f>IF(ISNUMBER('IN-CLASS_Lab Part C'!$J$6565),'IN-CLASS_Lab Part C'!$J$6565,NA())</f>
        <v/>
      </c>
    </row>
    <row r="6566">
      <c r="J6566">
        <f>IF(AND(ISNUMBER('Data'!$F$6567),'Data'!$F$6567&lt;&gt;999,'Data'!$F$6567&lt;&gt;""),'Data'!$F$6567,"")</f>
        <v/>
      </c>
      <c r="Z6566" t="n">
        <v>1</v>
      </c>
      <c r="AA6566">
        <f>IF(ISNUMBER('IN-CLASS_Lab Part C'!$J$6566),'IN-CLASS_Lab Part C'!$J$6566,NA())</f>
        <v/>
      </c>
    </row>
    <row r="6567">
      <c r="J6567">
        <f>IF(AND(ISNUMBER('Data'!$F$6568),'Data'!$F$6568&lt;&gt;999,'Data'!$F$6568&lt;&gt;""),'Data'!$F$6568,"")</f>
        <v/>
      </c>
      <c r="Z6567" t="n">
        <v>1</v>
      </c>
      <c r="AA6567">
        <f>IF(ISNUMBER('IN-CLASS_Lab Part C'!$J$6567),'IN-CLASS_Lab Part C'!$J$6567,NA())</f>
        <v/>
      </c>
    </row>
    <row r="6568">
      <c r="J6568">
        <f>IF(AND(ISNUMBER('Data'!$F$6569),'Data'!$F$6569&lt;&gt;999,'Data'!$F$6569&lt;&gt;""),'Data'!$F$6569,"")</f>
        <v/>
      </c>
      <c r="Z6568" t="n">
        <v>1</v>
      </c>
      <c r="AA6568">
        <f>IF(ISNUMBER('IN-CLASS_Lab Part C'!$J$6568),'IN-CLASS_Lab Part C'!$J$6568,NA())</f>
        <v/>
      </c>
    </row>
    <row r="6569">
      <c r="J6569">
        <f>IF(AND(ISNUMBER('Data'!$F$6570),'Data'!$F$6570&lt;&gt;999,'Data'!$F$6570&lt;&gt;""),'Data'!$F$6570,"")</f>
        <v/>
      </c>
      <c r="Z6569" t="n">
        <v>1</v>
      </c>
      <c r="AA6569">
        <f>IF(ISNUMBER('IN-CLASS_Lab Part C'!$J$6569),'IN-CLASS_Lab Part C'!$J$6569,NA())</f>
        <v/>
      </c>
    </row>
    <row r="6570">
      <c r="J6570">
        <f>IF(AND(ISNUMBER('Data'!$F$6571),'Data'!$F$6571&lt;&gt;999,'Data'!$F$6571&lt;&gt;""),'Data'!$F$6571,"")</f>
        <v/>
      </c>
      <c r="Z6570" t="n">
        <v>1</v>
      </c>
      <c r="AA6570">
        <f>IF(ISNUMBER('IN-CLASS_Lab Part C'!$J$6570),'IN-CLASS_Lab Part C'!$J$6570,NA())</f>
        <v/>
      </c>
    </row>
    <row r="6571">
      <c r="J6571">
        <f>IF(AND(ISNUMBER('Data'!$F$6572),'Data'!$F$6572&lt;&gt;999,'Data'!$F$6572&lt;&gt;""),'Data'!$F$6572,"")</f>
        <v/>
      </c>
      <c r="Z6571" t="n">
        <v>1</v>
      </c>
      <c r="AA6571">
        <f>IF(ISNUMBER('IN-CLASS_Lab Part C'!$J$6571),'IN-CLASS_Lab Part C'!$J$6571,NA())</f>
        <v/>
      </c>
    </row>
    <row r="6572">
      <c r="J6572">
        <f>IF(AND(ISNUMBER('Data'!$F$6573),'Data'!$F$6573&lt;&gt;999,'Data'!$F$6573&lt;&gt;""),'Data'!$F$6573,"")</f>
        <v/>
      </c>
      <c r="Z6572" t="n">
        <v>1</v>
      </c>
      <c r="AA6572">
        <f>IF(ISNUMBER('IN-CLASS_Lab Part C'!$J$6572),'IN-CLASS_Lab Part C'!$J$6572,NA())</f>
        <v/>
      </c>
    </row>
    <row r="6573">
      <c r="J6573">
        <f>IF(AND(ISNUMBER('Data'!$F$6574),'Data'!$F$6574&lt;&gt;999,'Data'!$F$6574&lt;&gt;""),'Data'!$F$6574,"")</f>
        <v/>
      </c>
      <c r="Z6573" t="n">
        <v>1</v>
      </c>
      <c r="AA6573">
        <f>IF(ISNUMBER('IN-CLASS_Lab Part C'!$J$6573),'IN-CLASS_Lab Part C'!$J$6573,NA())</f>
        <v/>
      </c>
    </row>
    <row r="6574">
      <c r="J6574">
        <f>IF(AND(ISNUMBER('Data'!$F$6575),'Data'!$F$6575&lt;&gt;999,'Data'!$F$6575&lt;&gt;""),'Data'!$F$6575,"")</f>
        <v/>
      </c>
      <c r="Z6574" t="n">
        <v>1</v>
      </c>
      <c r="AA6574">
        <f>IF(ISNUMBER('IN-CLASS_Lab Part C'!$J$6574),'IN-CLASS_Lab Part C'!$J$6574,NA())</f>
        <v/>
      </c>
    </row>
    <row r="6575">
      <c r="J6575">
        <f>IF(AND(ISNUMBER('Data'!$F$6576),'Data'!$F$6576&lt;&gt;999,'Data'!$F$6576&lt;&gt;""),'Data'!$F$6576,"")</f>
        <v/>
      </c>
      <c r="Z6575" t="n">
        <v>1</v>
      </c>
      <c r="AA6575">
        <f>IF(ISNUMBER('IN-CLASS_Lab Part C'!$J$6575),'IN-CLASS_Lab Part C'!$J$6575,NA())</f>
        <v/>
      </c>
    </row>
    <row r="6576">
      <c r="J6576">
        <f>IF(AND(ISNUMBER('Data'!$F$6577),'Data'!$F$6577&lt;&gt;999,'Data'!$F$6577&lt;&gt;""),'Data'!$F$6577,"")</f>
        <v/>
      </c>
      <c r="Z6576" t="n">
        <v>1</v>
      </c>
      <c r="AA6576">
        <f>IF(ISNUMBER('IN-CLASS_Lab Part C'!$J$6576),'IN-CLASS_Lab Part C'!$J$6576,NA())</f>
        <v/>
      </c>
    </row>
    <row r="6577">
      <c r="J6577">
        <f>IF(AND(ISNUMBER('Data'!$F$6578),'Data'!$F$6578&lt;&gt;999,'Data'!$F$6578&lt;&gt;""),'Data'!$F$6578,"")</f>
        <v/>
      </c>
      <c r="Z6577" t="n">
        <v>1</v>
      </c>
      <c r="AA6577">
        <f>IF(ISNUMBER('IN-CLASS_Lab Part C'!$J$6577),'IN-CLASS_Lab Part C'!$J$6577,NA())</f>
        <v/>
      </c>
    </row>
    <row r="6578">
      <c r="J6578">
        <f>IF(AND(ISNUMBER('Data'!$F$6579),'Data'!$F$6579&lt;&gt;999,'Data'!$F$6579&lt;&gt;""),'Data'!$F$6579,"")</f>
        <v/>
      </c>
      <c r="Z6578" t="n">
        <v>1</v>
      </c>
      <c r="AA6578">
        <f>IF(ISNUMBER('IN-CLASS_Lab Part C'!$J$6578),'IN-CLASS_Lab Part C'!$J$6578,NA())</f>
        <v/>
      </c>
    </row>
    <row r="6579">
      <c r="J6579">
        <f>IF(AND(ISNUMBER('Data'!$F$6580),'Data'!$F$6580&lt;&gt;999,'Data'!$F$6580&lt;&gt;""),'Data'!$F$6580,"")</f>
        <v/>
      </c>
      <c r="Z6579" t="n">
        <v>1</v>
      </c>
      <c r="AA6579">
        <f>IF(ISNUMBER('IN-CLASS_Lab Part C'!$J$6579),'IN-CLASS_Lab Part C'!$J$6579,NA())</f>
        <v/>
      </c>
    </row>
    <row r="6580">
      <c r="J6580">
        <f>IF(AND(ISNUMBER('Data'!$F$6581),'Data'!$F$6581&lt;&gt;999,'Data'!$F$6581&lt;&gt;""),'Data'!$F$6581,"")</f>
        <v/>
      </c>
      <c r="Z6580" t="n">
        <v>1</v>
      </c>
      <c r="AA6580">
        <f>IF(ISNUMBER('IN-CLASS_Lab Part C'!$J$6580),'IN-CLASS_Lab Part C'!$J$6580,NA())</f>
        <v/>
      </c>
    </row>
    <row r="6581">
      <c r="J6581">
        <f>IF(AND(ISNUMBER('Data'!$F$6582),'Data'!$F$6582&lt;&gt;999,'Data'!$F$6582&lt;&gt;""),'Data'!$F$6582,"")</f>
        <v/>
      </c>
      <c r="Z6581" t="n">
        <v>1</v>
      </c>
      <c r="AA6581">
        <f>IF(ISNUMBER('IN-CLASS_Lab Part C'!$J$6581),'IN-CLASS_Lab Part C'!$J$6581,NA())</f>
        <v/>
      </c>
    </row>
    <row r="6582">
      <c r="J6582">
        <f>IF(AND(ISNUMBER('Data'!$F$6583),'Data'!$F$6583&lt;&gt;999,'Data'!$F$6583&lt;&gt;""),'Data'!$F$6583,"")</f>
        <v/>
      </c>
      <c r="Z6582" t="n">
        <v>1</v>
      </c>
      <c r="AA6582">
        <f>IF(ISNUMBER('IN-CLASS_Lab Part C'!$J$6582),'IN-CLASS_Lab Part C'!$J$6582,NA())</f>
        <v/>
      </c>
    </row>
    <row r="6583">
      <c r="J6583">
        <f>IF(AND(ISNUMBER('Data'!$F$6584),'Data'!$F$6584&lt;&gt;999,'Data'!$F$6584&lt;&gt;""),'Data'!$F$6584,"")</f>
        <v/>
      </c>
      <c r="Z6583" t="n">
        <v>1</v>
      </c>
      <c r="AA6583">
        <f>IF(ISNUMBER('IN-CLASS_Lab Part C'!$J$6583),'IN-CLASS_Lab Part C'!$J$6583,NA())</f>
        <v/>
      </c>
    </row>
    <row r="6584">
      <c r="J6584">
        <f>IF(AND(ISNUMBER('Data'!$F$6585),'Data'!$F$6585&lt;&gt;999,'Data'!$F$6585&lt;&gt;""),'Data'!$F$6585,"")</f>
        <v/>
      </c>
      <c r="Z6584" t="n">
        <v>1</v>
      </c>
      <c r="AA6584">
        <f>IF(ISNUMBER('IN-CLASS_Lab Part C'!$J$6584),'IN-CLASS_Lab Part C'!$J$6584,NA())</f>
        <v/>
      </c>
    </row>
    <row r="6585">
      <c r="J6585">
        <f>IF(AND(ISNUMBER('Data'!$F$6586),'Data'!$F$6586&lt;&gt;999,'Data'!$F$6586&lt;&gt;""),'Data'!$F$6586,"")</f>
        <v/>
      </c>
      <c r="Z6585" t="n">
        <v>1</v>
      </c>
      <c r="AA6585">
        <f>IF(ISNUMBER('IN-CLASS_Lab Part C'!$J$6585),'IN-CLASS_Lab Part C'!$J$6585,NA())</f>
        <v/>
      </c>
    </row>
    <row r="6586">
      <c r="J6586">
        <f>IF(AND(ISNUMBER('Data'!$F$6587),'Data'!$F$6587&lt;&gt;999,'Data'!$F$6587&lt;&gt;""),'Data'!$F$6587,"")</f>
        <v/>
      </c>
      <c r="Z6586" t="n">
        <v>1</v>
      </c>
      <c r="AA6586">
        <f>IF(ISNUMBER('IN-CLASS_Lab Part C'!$J$6586),'IN-CLASS_Lab Part C'!$J$6586,NA())</f>
        <v/>
      </c>
    </row>
    <row r="6587">
      <c r="J6587">
        <f>IF(AND(ISNUMBER('Data'!$F$6588),'Data'!$F$6588&lt;&gt;999,'Data'!$F$6588&lt;&gt;""),'Data'!$F$6588,"")</f>
        <v/>
      </c>
      <c r="Z6587" t="n">
        <v>1</v>
      </c>
      <c r="AA6587">
        <f>IF(ISNUMBER('IN-CLASS_Lab Part C'!$J$6587),'IN-CLASS_Lab Part C'!$J$6587,NA())</f>
        <v/>
      </c>
    </row>
    <row r="6588">
      <c r="J6588">
        <f>IF(AND(ISNUMBER('Data'!$F$6589),'Data'!$F$6589&lt;&gt;999,'Data'!$F$6589&lt;&gt;""),'Data'!$F$6589,"")</f>
        <v/>
      </c>
      <c r="Z6588" t="n">
        <v>1</v>
      </c>
      <c r="AA6588">
        <f>IF(ISNUMBER('IN-CLASS_Lab Part C'!$J$6588),'IN-CLASS_Lab Part C'!$J$6588,NA())</f>
        <v/>
      </c>
    </row>
    <row r="6589">
      <c r="J6589">
        <f>IF(AND(ISNUMBER('Data'!$F$6590),'Data'!$F$6590&lt;&gt;999,'Data'!$F$6590&lt;&gt;""),'Data'!$F$6590,"")</f>
        <v/>
      </c>
      <c r="Z6589" t="n">
        <v>1</v>
      </c>
      <c r="AA6589">
        <f>IF(ISNUMBER('IN-CLASS_Lab Part C'!$J$6589),'IN-CLASS_Lab Part C'!$J$6589,NA())</f>
        <v/>
      </c>
    </row>
    <row r="6590">
      <c r="J6590">
        <f>IF(AND(ISNUMBER('Data'!$F$6591),'Data'!$F$6591&lt;&gt;999,'Data'!$F$6591&lt;&gt;""),'Data'!$F$6591,"")</f>
        <v/>
      </c>
      <c r="Z6590" t="n">
        <v>1</v>
      </c>
      <c r="AA6590">
        <f>IF(ISNUMBER('IN-CLASS_Lab Part C'!$J$6590),'IN-CLASS_Lab Part C'!$J$6590,NA())</f>
        <v/>
      </c>
    </row>
    <row r="6591">
      <c r="J6591">
        <f>IF(AND(ISNUMBER('Data'!$F$6592),'Data'!$F$6592&lt;&gt;999,'Data'!$F$6592&lt;&gt;""),'Data'!$F$6592,"")</f>
        <v/>
      </c>
      <c r="Z6591" t="n">
        <v>1</v>
      </c>
      <c r="AA6591">
        <f>IF(ISNUMBER('IN-CLASS_Lab Part C'!$J$6591),'IN-CLASS_Lab Part C'!$J$6591,NA())</f>
        <v/>
      </c>
    </row>
    <row r="6592">
      <c r="J6592">
        <f>IF(AND(ISNUMBER('Data'!$F$6593),'Data'!$F$6593&lt;&gt;999,'Data'!$F$6593&lt;&gt;""),'Data'!$F$6593,"")</f>
        <v/>
      </c>
      <c r="Z6592" t="n">
        <v>1</v>
      </c>
      <c r="AA6592">
        <f>IF(ISNUMBER('IN-CLASS_Lab Part C'!$J$6592),'IN-CLASS_Lab Part C'!$J$6592,NA())</f>
        <v/>
      </c>
    </row>
    <row r="6593">
      <c r="J6593">
        <f>IF(AND(ISNUMBER('Data'!$F$6594),'Data'!$F$6594&lt;&gt;999,'Data'!$F$6594&lt;&gt;""),'Data'!$F$6594,"")</f>
        <v/>
      </c>
      <c r="Z6593" t="n">
        <v>1</v>
      </c>
      <c r="AA6593">
        <f>IF(ISNUMBER('IN-CLASS_Lab Part C'!$J$6593),'IN-CLASS_Lab Part C'!$J$6593,NA())</f>
        <v/>
      </c>
    </row>
    <row r="6594">
      <c r="J6594">
        <f>IF(AND(ISNUMBER('Data'!$F$6595),'Data'!$F$6595&lt;&gt;999,'Data'!$F$6595&lt;&gt;""),'Data'!$F$6595,"")</f>
        <v/>
      </c>
      <c r="Z6594" t="n">
        <v>1</v>
      </c>
      <c r="AA6594">
        <f>IF(ISNUMBER('IN-CLASS_Lab Part C'!$J$6594),'IN-CLASS_Lab Part C'!$J$6594,NA())</f>
        <v/>
      </c>
    </row>
    <row r="6595">
      <c r="J6595">
        <f>IF(AND(ISNUMBER('Data'!$F$6596),'Data'!$F$6596&lt;&gt;999,'Data'!$F$6596&lt;&gt;""),'Data'!$F$6596,"")</f>
        <v/>
      </c>
      <c r="Z6595" t="n">
        <v>1</v>
      </c>
      <c r="AA6595">
        <f>IF(ISNUMBER('IN-CLASS_Lab Part C'!$J$6595),'IN-CLASS_Lab Part C'!$J$6595,NA())</f>
        <v/>
      </c>
    </row>
    <row r="6596">
      <c r="J6596">
        <f>IF(AND(ISNUMBER('Data'!$F$6597),'Data'!$F$6597&lt;&gt;999,'Data'!$F$6597&lt;&gt;""),'Data'!$F$6597,"")</f>
        <v/>
      </c>
      <c r="Z6596" t="n">
        <v>1</v>
      </c>
      <c r="AA6596">
        <f>IF(ISNUMBER('IN-CLASS_Lab Part C'!$J$6596),'IN-CLASS_Lab Part C'!$J$6596,NA())</f>
        <v/>
      </c>
    </row>
    <row r="6597">
      <c r="J6597">
        <f>IF(AND(ISNUMBER('Data'!$F$6598),'Data'!$F$6598&lt;&gt;999,'Data'!$F$6598&lt;&gt;""),'Data'!$F$6598,"")</f>
        <v/>
      </c>
      <c r="Z6597" t="n">
        <v>1</v>
      </c>
      <c r="AA6597">
        <f>IF(ISNUMBER('IN-CLASS_Lab Part C'!$J$6597),'IN-CLASS_Lab Part C'!$J$6597,NA())</f>
        <v/>
      </c>
    </row>
    <row r="6598">
      <c r="J6598">
        <f>IF(AND(ISNUMBER('Data'!$F$6599),'Data'!$F$6599&lt;&gt;999,'Data'!$F$6599&lt;&gt;""),'Data'!$F$6599,"")</f>
        <v/>
      </c>
      <c r="Z6598" t="n">
        <v>1</v>
      </c>
      <c r="AA6598">
        <f>IF(ISNUMBER('IN-CLASS_Lab Part C'!$J$6598),'IN-CLASS_Lab Part C'!$J$6598,NA())</f>
        <v/>
      </c>
    </row>
    <row r="6599">
      <c r="J6599">
        <f>IF(AND(ISNUMBER('Data'!$F$6600),'Data'!$F$6600&lt;&gt;999,'Data'!$F$6600&lt;&gt;""),'Data'!$F$6600,"")</f>
        <v/>
      </c>
      <c r="Z6599" t="n">
        <v>1</v>
      </c>
      <c r="AA6599">
        <f>IF(ISNUMBER('IN-CLASS_Lab Part C'!$J$6599),'IN-CLASS_Lab Part C'!$J$6599,NA())</f>
        <v/>
      </c>
    </row>
    <row r="6600">
      <c r="J6600">
        <f>IF(AND(ISNUMBER('Data'!$F$6601),'Data'!$F$6601&lt;&gt;999,'Data'!$F$6601&lt;&gt;""),'Data'!$F$6601,"")</f>
        <v/>
      </c>
      <c r="Z6600" t="n">
        <v>1</v>
      </c>
      <c r="AA6600">
        <f>IF(ISNUMBER('IN-CLASS_Lab Part C'!$J$6600),'IN-CLASS_Lab Part C'!$J$6600,NA())</f>
        <v/>
      </c>
    </row>
    <row r="6601">
      <c r="J6601">
        <f>IF(AND(ISNUMBER('Data'!$F$6602),'Data'!$F$6602&lt;&gt;999,'Data'!$F$6602&lt;&gt;""),'Data'!$F$6602,"")</f>
        <v/>
      </c>
      <c r="Z6601" t="n">
        <v>1</v>
      </c>
      <c r="AA6601">
        <f>IF(ISNUMBER('IN-CLASS_Lab Part C'!$J$6601),'IN-CLASS_Lab Part C'!$J$6601,NA())</f>
        <v/>
      </c>
    </row>
    <row r="6602">
      <c r="J6602">
        <f>IF(AND(ISNUMBER('Data'!$F$6603),'Data'!$F$6603&lt;&gt;999,'Data'!$F$6603&lt;&gt;""),'Data'!$F$6603,"")</f>
        <v/>
      </c>
      <c r="Z6602" t="n">
        <v>1</v>
      </c>
      <c r="AA6602">
        <f>IF(ISNUMBER('IN-CLASS_Lab Part C'!$J$6602),'IN-CLASS_Lab Part C'!$J$6602,NA())</f>
        <v/>
      </c>
    </row>
    <row r="6603">
      <c r="J6603">
        <f>IF(AND(ISNUMBER('Data'!$F$6604),'Data'!$F$6604&lt;&gt;999,'Data'!$F$6604&lt;&gt;""),'Data'!$F$6604,"")</f>
        <v/>
      </c>
      <c r="Z6603" t="n">
        <v>1</v>
      </c>
      <c r="AA6603">
        <f>IF(ISNUMBER('IN-CLASS_Lab Part C'!$J$6603),'IN-CLASS_Lab Part C'!$J$6603,NA())</f>
        <v/>
      </c>
    </row>
    <row r="6604">
      <c r="J6604">
        <f>IF(AND(ISNUMBER('Data'!$F$6605),'Data'!$F$6605&lt;&gt;999,'Data'!$F$6605&lt;&gt;""),'Data'!$F$6605,"")</f>
        <v/>
      </c>
      <c r="Z6604" t="n">
        <v>1</v>
      </c>
      <c r="AA6604">
        <f>IF(ISNUMBER('IN-CLASS_Lab Part C'!$J$6604),'IN-CLASS_Lab Part C'!$J$6604,NA())</f>
        <v/>
      </c>
    </row>
    <row r="6605">
      <c r="J6605">
        <f>IF(AND(ISNUMBER('Data'!$F$6606),'Data'!$F$6606&lt;&gt;999,'Data'!$F$6606&lt;&gt;""),'Data'!$F$6606,"")</f>
        <v/>
      </c>
      <c r="Z6605" t="n">
        <v>1</v>
      </c>
      <c r="AA6605">
        <f>IF(ISNUMBER('IN-CLASS_Lab Part C'!$J$6605),'IN-CLASS_Lab Part C'!$J$6605,NA())</f>
        <v/>
      </c>
    </row>
    <row r="6606">
      <c r="J6606">
        <f>IF(AND(ISNUMBER('Data'!$F$6607),'Data'!$F$6607&lt;&gt;999,'Data'!$F$6607&lt;&gt;""),'Data'!$F$6607,"")</f>
        <v/>
      </c>
      <c r="Z6606" t="n">
        <v>1</v>
      </c>
      <c r="AA6606">
        <f>IF(ISNUMBER('IN-CLASS_Lab Part C'!$J$6606),'IN-CLASS_Lab Part C'!$J$6606,NA())</f>
        <v/>
      </c>
    </row>
    <row r="6607">
      <c r="J6607">
        <f>IF(AND(ISNUMBER('Data'!$F$6608),'Data'!$F$6608&lt;&gt;999,'Data'!$F$6608&lt;&gt;""),'Data'!$F$6608,"")</f>
        <v/>
      </c>
      <c r="Z6607" t="n">
        <v>1</v>
      </c>
      <c r="AA6607">
        <f>IF(ISNUMBER('IN-CLASS_Lab Part C'!$J$6607),'IN-CLASS_Lab Part C'!$J$6607,NA())</f>
        <v/>
      </c>
    </row>
    <row r="6608">
      <c r="J6608">
        <f>IF(AND(ISNUMBER('Data'!$F$6609),'Data'!$F$6609&lt;&gt;999,'Data'!$F$6609&lt;&gt;""),'Data'!$F$6609,"")</f>
        <v/>
      </c>
      <c r="Z6608" t="n">
        <v>1</v>
      </c>
      <c r="AA6608">
        <f>IF(ISNUMBER('IN-CLASS_Lab Part C'!$J$6608),'IN-CLASS_Lab Part C'!$J$6608,NA())</f>
        <v/>
      </c>
    </row>
    <row r="6609">
      <c r="J6609">
        <f>IF(AND(ISNUMBER('Data'!$F$6610),'Data'!$F$6610&lt;&gt;999,'Data'!$F$6610&lt;&gt;""),'Data'!$F$6610,"")</f>
        <v/>
      </c>
      <c r="Z6609" t="n">
        <v>1</v>
      </c>
      <c r="AA6609">
        <f>IF(ISNUMBER('IN-CLASS_Lab Part C'!$J$6609),'IN-CLASS_Lab Part C'!$J$6609,NA())</f>
        <v/>
      </c>
    </row>
    <row r="6610">
      <c r="J6610">
        <f>IF(AND(ISNUMBER('Data'!$F$6611),'Data'!$F$6611&lt;&gt;999,'Data'!$F$6611&lt;&gt;""),'Data'!$F$6611,"")</f>
        <v/>
      </c>
      <c r="Z6610" t="n">
        <v>1</v>
      </c>
      <c r="AA6610">
        <f>IF(ISNUMBER('IN-CLASS_Lab Part C'!$J$6610),'IN-CLASS_Lab Part C'!$J$6610,NA())</f>
        <v/>
      </c>
    </row>
    <row r="6611">
      <c r="J6611">
        <f>IF(AND(ISNUMBER('Data'!$F$6612),'Data'!$F$6612&lt;&gt;999,'Data'!$F$6612&lt;&gt;""),'Data'!$F$6612,"")</f>
        <v/>
      </c>
      <c r="Z6611" t="n">
        <v>1</v>
      </c>
      <c r="AA6611">
        <f>IF(ISNUMBER('IN-CLASS_Lab Part C'!$J$6611),'IN-CLASS_Lab Part C'!$J$6611,NA())</f>
        <v/>
      </c>
    </row>
    <row r="6612">
      <c r="J6612">
        <f>IF(AND(ISNUMBER('Data'!$F$6613),'Data'!$F$6613&lt;&gt;999,'Data'!$F$6613&lt;&gt;""),'Data'!$F$6613,"")</f>
        <v/>
      </c>
      <c r="Z6612" t="n">
        <v>1</v>
      </c>
      <c r="AA6612">
        <f>IF(ISNUMBER('IN-CLASS_Lab Part C'!$J$6612),'IN-CLASS_Lab Part C'!$J$6612,NA())</f>
        <v/>
      </c>
    </row>
    <row r="6613">
      <c r="J6613">
        <f>IF(AND(ISNUMBER('Data'!$F$6614),'Data'!$F$6614&lt;&gt;999,'Data'!$F$6614&lt;&gt;""),'Data'!$F$6614,"")</f>
        <v/>
      </c>
      <c r="Z6613" t="n">
        <v>1</v>
      </c>
      <c r="AA6613">
        <f>IF(ISNUMBER('IN-CLASS_Lab Part C'!$J$6613),'IN-CLASS_Lab Part C'!$J$6613,NA())</f>
        <v/>
      </c>
    </row>
    <row r="6614">
      <c r="J6614">
        <f>IF(AND(ISNUMBER('Data'!$F$6615),'Data'!$F$6615&lt;&gt;999,'Data'!$F$6615&lt;&gt;""),'Data'!$F$6615,"")</f>
        <v/>
      </c>
      <c r="Z6614" t="n">
        <v>1</v>
      </c>
      <c r="AA6614">
        <f>IF(ISNUMBER('IN-CLASS_Lab Part C'!$J$6614),'IN-CLASS_Lab Part C'!$J$6614,NA())</f>
        <v/>
      </c>
    </row>
    <row r="6615">
      <c r="J6615">
        <f>IF(AND(ISNUMBER('Data'!$F$6616),'Data'!$F$6616&lt;&gt;999,'Data'!$F$6616&lt;&gt;""),'Data'!$F$6616,"")</f>
        <v/>
      </c>
      <c r="Z6615" t="n">
        <v>1</v>
      </c>
      <c r="AA6615">
        <f>IF(ISNUMBER('IN-CLASS_Lab Part C'!$J$6615),'IN-CLASS_Lab Part C'!$J$6615,NA())</f>
        <v/>
      </c>
    </row>
    <row r="6616">
      <c r="J6616">
        <f>IF(AND(ISNUMBER('Data'!$F$6617),'Data'!$F$6617&lt;&gt;999,'Data'!$F$6617&lt;&gt;""),'Data'!$F$6617,"")</f>
        <v/>
      </c>
      <c r="Z6616" t="n">
        <v>1</v>
      </c>
      <c r="AA6616">
        <f>IF(ISNUMBER('IN-CLASS_Lab Part C'!$J$6616),'IN-CLASS_Lab Part C'!$J$6616,NA())</f>
        <v/>
      </c>
    </row>
    <row r="6617">
      <c r="J6617">
        <f>IF(AND(ISNUMBER('Data'!$F$6618),'Data'!$F$6618&lt;&gt;999,'Data'!$F$6618&lt;&gt;""),'Data'!$F$6618,"")</f>
        <v/>
      </c>
      <c r="Z6617" t="n">
        <v>1</v>
      </c>
      <c r="AA6617">
        <f>IF(ISNUMBER('IN-CLASS_Lab Part C'!$J$6617),'IN-CLASS_Lab Part C'!$J$6617,NA())</f>
        <v/>
      </c>
    </row>
    <row r="6618">
      <c r="J6618">
        <f>IF(AND(ISNUMBER('Data'!$F$6619),'Data'!$F$6619&lt;&gt;999,'Data'!$F$6619&lt;&gt;""),'Data'!$F$6619,"")</f>
        <v/>
      </c>
      <c r="Z6618" t="n">
        <v>1</v>
      </c>
      <c r="AA6618">
        <f>IF(ISNUMBER('IN-CLASS_Lab Part C'!$J$6618),'IN-CLASS_Lab Part C'!$J$6618,NA())</f>
        <v/>
      </c>
    </row>
    <row r="6619">
      <c r="J6619">
        <f>IF(AND(ISNUMBER('Data'!$F$6620),'Data'!$F$6620&lt;&gt;999,'Data'!$F$6620&lt;&gt;""),'Data'!$F$6620,"")</f>
        <v/>
      </c>
      <c r="Z6619" t="n">
        <v>1</v>
      </c>
      <c r="AA6619">
        <f>IF(ISNUMBER('IN-CLASS_Lab Part C'!$J$6619),'IN-CLASS_Lab Part C'!$J$6619,NA())</f>
        <v/>
      </c>
    </row>
    <row r="6620">
      <c r="J6620">
        <f>IF(AND(ISNUMBER('Data'!$F$6621),'Data'!$F$6621&lt;&gt;999,'Data'!$F$6621&lt;&gt;""),'Data'!$F$6621,"")</f>
        <v/>
      </c>
      <c r="Z6620" t="n">
        <v>1</v>
      </c>
      <c r="AA6620">
        <f>IF(ISNUMBER('IN-CLASS_Lab Part C'!$J$6620),'IN-CLASS_Lab Part C'!$J$6620,NA())</f>
        <v/>
      </c>
    </row>
    <row r="6621">
      <c r="J6621">
        <f>IF(AND(ISNUMBER('Data'!$F$6622),'Data'!$F$6622&lt;&gt;999,'Data'!$F$6622&lt;&gt;""),'Data'!$F$6622,"")</f>
        <v/>
      </c>
      <c r="Z6621" t="n">
        <v>1</v>
      </c>
      <c r="AA6621">
        <f>IF(ISNUMBER('IN-CLASS_Lab Part C'!$J$6621),'IN-CLASS_Lab Part C'!$J$6621,NA())</f>
        <v/>
      </c>
    </row>
    <row r="6622">
      <c r="J6622">
        <f>IF(AND(ISNUMBER('Data'!$F$6623),'Data'!$F$6623&lt;&gt;999,'Data'!$F$6623&lt;&gt;""),'Data'!$F$6623,"")</f>
        <v/>
      </c>
      <c r="Z6622" t="n">
        <v>1</v>
      </c>
      <c r="AA6622">
        <f>IF(ISNUMBER('IN-CLASS_Lab Part C'!$J$6622),'IN-CLASS_Lab Part C'!$J$6622,NA())</f>
        <v/>
      </c>
    </row>
    <row r="6623">
      <c r="J6623">
        <f>IF(AND(ISNUMBER('Data'!$F$6624),'Data'!$F$6624&lt;&gt;999,'Data'!$F$6624&lt;&gt;""),'Data'!$F$6624,"")</f>
        <v/>
      </c>
      <c r="Z6623" t="n">
        <v>1</v>
      </c>
      <c r="AA6623">
        <f>IF(ISNUMBER('IN-CLASS_Lab Part C'!$J$6623),'IN-CLASS_Lab Part C'!$J$6623,NA())</f>
        <v/>
      </c>
    </row>
    <row r="6624">
      <c r="J6624">
        <f>IF(AND(ISNUMBER('Data'!$F$6625),'Data'!$F$6625&lt;&gt;999,'Data'!$F$6625&lt;&gt;""),'Data'!$F$6625,"")</f>
        <v/>
      </c>
      <c r="Z6624" t="n">
        <v>1</v>
      </c>
      <c r="AA6624">
        <f>IF(ISNUMBER('IN-CLASS_Lab Part C'!$J$6624),'IN-CLASS_Lab Part C'!$J$6624,NA())</f>
        <v/>
      </c>
    </row>
    <row r="6625">
      <c r="J6625">
        <f>IF(AND(ISNUMBER('Data'!$F$6626),'Data'!$F$6626&lt;&gt;999,'Data'!$F$6626&lt;&gt;""),'Data'!$F$6626,"")</f>
        <v/>
      </c>
      <c r="Z6625" t="n">
        <v>1</v>
      </c>
      <c r="AA6625">
        <f>IF(ISNUMBER('IN-CLASS_Lab Part C'!$J$6625),'IN-CLASS_Lab Part C'!$J$6625,NA())</f>
        <v/>
      </c>
    </row>
    <row r="6626">
      <c r="J6626">
        <f>IF(AND(ISNUMBER('Data'!$F$6627),'Data'!$F$6627&lt;&gt;999,'Data'!$F$6627&lt;&gt;""),'Data'!$F$6627,"")</f>
        <v/>
      </c>
      <c r="Z6626" t="n">
        <v>1</v>
      </c>
      <c r="AA6626">
        <f>IF(ISNUMBER('IN-CLASS_Lab Part C'!$J$6626),'IN-CLASS_Lab Part C'!$J$6626,NA())</f>
        <v/>
      </c>
    </row>
    <row r="6627">
      <c r="J6627">
        <f>IF(AND(ISNUMBER('Data'!$F$6628),'Data'!$F$6628&lt;&gt;999,'Data'!$F$6628&lt;&gt;""),'Data'!$F$6628,"")</f>
        <v/>
      </c>
      <c r="Z6627" t="n">
        <v>1</v>
      </c>
      <c r="AA6627">
        <f>IF(ISNUMBER('IN-CLASS_Lab Part C'!$J$6627),'IN-CLASS_Lab Part C'!$J$6627,NA())</f>
        <v/>
      </c>
    </row>
    <row r="6628">
      <c r="J6628">
        <f>IF(AND(ISNUMBER('Data'!$F$6629),'Data'!$F$6629&lt;&gt;999,'Data'!$F$6629&lt;&gt;""),'Data'!$F$6629,"")</f>
        <v/>
      </c>
      <c r="Z6628" t="n">
        <v>1</v>
      </c>
      <c r="AA6628">
        <f>IF(ISNUMBER('IN-CLASS_Lab Part C'!$J$6628),'IN-CLASS_Lab Part C'!$J$6628,NA())</f>
        <v/>
      </c>
    </row>
    <row r="6629">
      <c r="J6629">
        <f>IF(AND(ISNUMBER('Data'!$F$6630),'Data'!$F$6630&lt;&gt;999,'Data'!$F$6630&lt;&gt;""),'Data'!$F$6630,"")</f>
        <v/>
      </c>
      <c r="Z6629" t="n">
        <v>1</v>
      </c>
      <c r="AA6629">
        <f>IF(ISNUMBER('IN-CLASS_Lab Part C'!$J$6629),'IN-CLASS_Lab Part C'!$J$6629,NA())</f>
        <v/>
      </c>
    </row>
    <row r="6630">
      <c r="J6630">
        <f>IF(AND(ISNUMBER('Data'!$F$6631),'Data'!$F$6631&lt;&gt;999,'Data'!$F$6631&lt;&gt;""),'Data'!$F$6631,"")</f>
        <v/>
      </c>
      <c r="Z6630" t="n">
        <v>1</v>
      </c>
      <c r="AA6630">
        <f>IF(ISNUMBER('IN-CLASS_Lab Part C'!$J$6630),'IN-CLASS_Lab Part C'!$J$6630,NA())</f>
        <v/>
      </c>
    </row>
    <row r="6631">
      <c r="J6631">
        <f>IF(AND(ISNUMBER('Data'!$F$6632),'Data'!$F$6632&lt;&gt;999,'Data'!$F$6632&lt;&gt;""),'Data'!$F$6632,"")</f>
        <v/>
      </c>
      <c r="Z6631" t="n">
        <v>1</v>
      </c>
      <c r="AA6631">
        <f>IF(ISNUMBER('IN-CLASS_Lab Part C'!$J$6631),'IN-CLASS_Lab Part C'!$J$6631,NA())</f>
        <v/>
      </c>
    </row>
    <row r="6632">
      <c r="J6632">
        <f>IF(AND(ISNUMBER('Data'!$F$6633),'Data'!$F$6633&lt;&gt;999,'Data'!$F$6633&lt;&gt;""),'Data'!$F$6633,"")</f>
        <v/>
      </c>
      <c r="Z6632" t="n">
        <v>1</v>
      </c>
      <c r="AA6632">
        <f>IF(ISNUMBER('IN-CLASS_Lab Part C'!$J$6632),'IN-CLASS_Lab Part C'!$J$6632,NA())</f>
        <v/>
      </c>
    </row>
    <row r="6633">
      <c r="J6633">
        <f>IF(AND(ISNUMBER('Data'!$F$6634),'Data'!$F$6634&lt;&gt;999,'Data'!$F$6634&lt;&gt;""),'Data'!$F$6634,"")</f>
        <v/>
      </c>
      <c r="Z6633" t="n">
        <v>1</v>
      </c>
      <c r="AA6633">
        <f>IF(ISNUMBER('IN-CLASS_Lab Part C'!$J$6633),'IN-CLASS_Lab Part C'!$J$6633,NA())</f>
        <v/>
      </c>
    </row>
    <row r="6634">
      <c r="J6634">
        <f>IF(AND(ISNUMBER('Data'!$F$6635),'Data'!$F$6635&lt;&gt;999,'Data'!$F$6635&lt;&gt;""),'Data'!$F$6635,"")</f>
        <v/>
      </c>
      <c r="Z6634" t="n">
        <v>1</v>
      </c>
      <c r="AA6634">
        <f>IF(ISNUMBER('IN-CLASS_Lab Part C'!$J$6634),'IN-CLASS_Lab Part C'!$J$6634,NA())</f>
        <v/>
      </c>
    </row>
    <row r="6635">
      <c r="J6635">
        <f>IF(AND(ISNUMBER('Data'!$F$6636),'Data'!$F$6636&lt;&gt;999,'Data'!$F$6636&lt;&gt;""),'Data'!$F$6636,"")</f>
        <v/>
      </c>
      <c r="Z6635" t="n">
        <v>1</v>
      </c>
      <c r="AA6635">
        <f>IF(ISNUMBER('IN-CLASS_Lab Part C'!$J$6635),'IN-CLASS_Lab Part C'!$J$6635,NA())</f>
        <v/>
      </c>
    </row>
    <row r="6636">
      <c r="J6636">
        <f>IF(AND(ISNUMBER('Data'!$F$6637),'Data'!$F$6637&lt;&gt;999,'Data'!$F$6637&lt;&gt;""),'Data'!$F$6637,"")</f>
        <v/>
      </c>
      <c r="Z6636" t="n">
        <v>1</v>
      </c>
      <c r="AA6636">
        <f>IF(ISNUMBER('IN-CLASS_Lab Part C'!$J$6636),'IN-CLASS_Lab Part C'!$J$6636,NA())</f>
        <v/>
      </c>
    </row>
    <row r="6637">
      <c r="J6637">
        <f>IF(AND(ISNUMBER('Data'!$F$6638),'Data'!$F$6638&lt;&gt;999,'Data'!$F$6638&lt;&gt;""),'Data'!$F$6638,"")</f>
        <v/>
      </c>
      <c r="Z6637" t="n">
        <v>1</v>
      </c>
      <c r="AA6637">
        <f>IF(ISNUMBER('IN-CLASS_Lab Part C'!$J$6637),'IN-CLASS_Lab Part C'!$J$6637,NA())</f>
        <v/>
      </c>
    </row>
    <row r="6638">
      <c r="J6638">
        <f>IF(AND(ISNUMBER('Data'!$F$6639),'Data'!$F$6639&lt;&gt;999,'Data'!$F$6639&lt;&gt;""),'Data'!$F$6639,"")</f>
        <v/>
      </c>
      <c r="Z6638" t="n">
        <v>1</v>
      </c>
      <c r="AA6638">
        <f>IF(ISNUMBER('IN-CLASS_Lab Part C'!$J$6638),'IN-CLASS_Lab Part C'!$J$6638,NA())</f>
        <v/>
      </c>
    </row>
    <row r="6639">
      <c r="J6639">
        <f>IF(AND(ISNUMBER('Data'!$F$6640),'Data'!$F$6640&lt;&gt;999,'Data'!$F$6640&lt;&gt;""),'Data'!$F$6640,"")</f>
        <v/>
      </c>
      <c r="Z6639" t="n">
        <v>1</v>
      </c>
      <c r="AA6639">
        <f>IF(ISNUMBER('IN-CLASS_Lab Part C'!$J$6639),'IN-CLASS_Lab Part C'!$J$6639,NA())</f>
        <v/>
      </c>
    </row>
    <row r="6640">
      <c r="J6640">
        <f>IF(AND(ISNUMBER('Data'!$F$6641),'Data'!$F$6641&lt;&gt;999,'Data'!$F$6641&lt;&gt;""),'Data'!$F$6641,"")</f>
        <v/>
      </c>
      <c r="Z6640" t="n">
        <v>1</v>
      </c>
      <c r="AA6640">
        <f>IF(ISNUMBER('IN-CLASS_Lab Part C'!$J$6640),'IN-CLASS_Lab Part C'!$J$6640,NA())</f>
        <v/>
      </c>
    </row>
    <row r="6641">
      <c r="J6641">
        <f>IF(AND(ISNUMBER('Data'!$F$6642),'Data'!$F$6642&lt;&gt;999,'Data'!$F$6642&lt;&gt;""),'Data'!$F$6642,"")</f>
        <v/>
      </c>
      <c r="Z6641" t="n">
        <v>1</v>
      </c>
      <c r="AA6641">
        <f>IF(ISNUMBER('IN-CLASS_Lab Part C'!$J$6641),'IN-CLASS_Lab Part C'!$J$6641,NA())</f>
        <v/>
      </c>
    </row>
    <row r="6642">
      <c r="J6642">
        <f>IF(AND(ISNUMBER('Data'!$F$6643),'Data'!$F$6643&lt;&gt;999,'Data'!$F$6643&lt;&gt;""),'Data'!$F$6643,"")</f>
        <v/>
      </c>
      <c r="Z6642" t="n">
        <v>1</v>
      </c>
      <c r="AA6642">
        <f>IF(ISNUMBER('IN-CLASS_Lab Part C'!$J$6642),'IN-CLASS_Lab Part C'!$J$6642,NA())</f>
        <v/>
      </c>
    </row>
    <row r="6643">
      <c r="J6643">
        <f>IF(AND(ISNUMBER('Data'!$F$6644),'Data'!$F$6644&lt;&gt;999,'Data'!$F$6644&lt;&gt;""),'Data'!$F$6644,"")</f>
        <v/>
      </c>
      <c r="Z6643" t="n">
        <v>1</v>
      </c>
      <c r="AA6643">
        <f>IF(ISNUMBER('IN-CLASS_Lab Part C'!$J$6643),'IN-CLASS_Lab Part C'!$J$6643,NA())</f>
        <v/>
      </c>
    </row>
    <row r="6644">
      <c r="J6644">
        <f>IF(AND(ISNUMBER('Data'!$F$6645),'Data'!$F$6645&lt;&gt;999,'Data'!$F$6645&lt;&gt;""),'Data'!$F$6645,"")</f>
        <v/>
      </c>
      <c r="Z6644" t="n">
        <v>1</v>
      </c>
      <c r="AA6644">
        <f>IF(ISNUMBER('IN-CLASS_Lab Part C'!$J$6644),'IN-CLASS_Lab Part C'!$J$6644,NA())</f>
        <v/>
      </c>
    </row>
    <row r="6645">
      <c r="J6645">
        <f>IF(AND(ISNUMBER('Data'!$F$6646),'Data'!$F$6646&lt;&gt;999,'Data'!$F$6646&lt;&gt;""),'Data'!$F$6646,"")</f>
        <v/>
      </c>
      <c r="Z6645" t="n">
        <v>1</v>
      </c>
      <c r="AA6645">
        <f>IF(ISNUMBER('IN-CLASS_Lab Part C'!$J$6645),'IN-CLASS_Lab Part C'!$J$6645,NA())</f>
        <v/>
      </c>
    </row>
    <row r="6646">
      <c r="J6646">
        <f>IF(AND(ISNUMBER('Data'!$F$6647),'Data'!$F$6647&lt;&gt;999,'Data'!$F$6647&lt;&gt;""),'Data'!$F$6647,"")</f>
        <v/>
      </c>
      <c r="Z6646" t="n">
        <v>1</v>
      </c>
      <c r="AA6646">
        <f>IF(ISNUMBER('IN-CLASS_Lab Part C'!$J$6646),'IN-CLASS_Lab Part C'!$J$6646,NA())</f>
        <v/>
      </c>
    </row>
    <row r="6647">
      <c r="J6647">
        <f>IF(AND(ISNUMBER('Data'!$F$6648),'Data'!$F$6648&lt;&gt;999,'Data'!$F$6648&lt;&gt;""),'Data'!$F$6648,"")</f>
        <v/>
      </c>
      <c r="Z6647" t="n">
        <v>1</v>
      </c>
      <c r="AA6647">
        <f>IF(ISNUMBER('IN-CLASS_Lab Part C'!$J$6647),'IN-CLASS_Lab Part C'!$J$6647,NA())</f>
        <v/>
      </c>
    </row>
    <row r="6648">
      <c r="J6648">
        <f>IF(AND(ISNUMBER('Data'!$F$6649),'Data'!$F$6649&lt;&gt;999,'Data'!$F$6649&lt;&gt;""),'Data'!$F$6649,"")</f>
        <v/>
      </c>
      <c r="Z6648" t="n">
        <v>1</v>
      </c>
      <c r="AA6648">
        <f>IF(ISNUMBER('IN-CLASS_Lab Part C'!$J$6648),'IN-CLASS_Lab Part C'!$J$6648,NA())</f>
        <v/>
      </c>
    </row>
    <row r="6649">
      <c r="J6649">
        <f>IF(AND(ISNUMBER('Data'!$F$6650),'Data'!$F$6650&lt;&gt;999,'Data'!$F$6650&lt;&gt;""),'Data'!$F$6650,"")</f>
        <v/>
      </c>
      <c r="Z6649" t="n">
        <v>1</v>
      </c>
      <c r="AA6649">
        <f>IF(ISNUMBER('IN-CLASS_Lab Part C'!$J$6649),'IN-CLASS_Lab Part C'!$J$6649,NA())</f>
        <v/>
      </c>
    </row>
    <row r="6650">
      <c r="J6650">
        <f>IF(AND(ISNUMBER('Data'!$F$6651),'Data'!$F$6651&lt;&gt;999,'Data'!$F$6651&lt;&gt;""),'Data'!$F$6651,"")</f>
        <v/>
      </c>
      <c r="Z6650" t="n">
        <v>1</v>
      </c>
      <c r="AA6650">
        <f>IF(ISNUMBER('IN-CLASS_Lab Part C'!$J$6650),'IN-CLASS_Lab Part C'!$J$6650,NA())</f>
        <v/>
      </c>
    </row>
    <row r="6651">
      <c r="J6651">
        <f>IF(AND(ISNUMBER('Data'!$F$6652),'Data'!$F$6652&lt;&gt;999,'Data'!$F$6652&lt;&gt;""),'Data'!$F$6652,"")</f>
        <v/>
      </c>
      <c r="Z6651" t="n">
        <v>1</v>
      </c>
      <c r="AA6651">
        <f>IF(ISNUMBER('IN-CLASS_Lab Part C'!$J$6651),'IN-CLASS_Lab Part C'!$J$6651,NA())</f>
        <v/>
      </c>
    </row>
    <row r="6652">
      <c r="J6652">
        <f>IF(AND(ISNUMBER('Data'!$F$6653),'Data'!$F$6653&lt;&gt;999,'Data'!$F$6653&lt;&gt;""),'Data'!$F$6653,"")</f>
        <v/>
      </c>
      <c r="Z6652" t="n">
        <v>1</v>
      </c>
      <c r="AA6652">
        <f>IF(ISNUMBER('IN-CLASS_Lab Part C'!$J$6652),'IN-CLASS_Lab Part C'!$J$6652,NA())</f>
        <v/>
      </c>
    </row>
    <row r="6653">
      <c r="J6653">
        <f>IF(AND(ISNUMBER('Data'!$F$6654),'Data'!$F$6654&lt;&gt;999,'Data'!$F$6654&lt;&gt;""),'Data'!$F$6654,"")</f>
        <v/>
      </c>
      <c r="Z6653" t="n">
        <v>1</v>
      </c>
      <c r="AA6653">
        <f>IF(ISNUMBER('IN-CLASS_Lab Part C'!$J$6653),'IN-CLASS_Lab Part C'!$J$6653,NA())</f>
        <v/>
      </c>
    </row>
    <row r="6654">
      <c r="J6654">
        <f>IF(AND(ISNUMBER('Data'!$F$6655),'Data'!$F$6655&lt;&gt;999,'Data'!$F$6655&lt;&gt;""),'Data'!$F$6655,"")</f>
        <v/>
      </c>
      <c r="Z6654" t="n">
        <v>1</v>
      </c>
      <c r="AA6654">
        <f>IF(ISNUMBER('IN-CLASS_Lab Part C'!$J$6654),'IN-CLASS_Lab Part C'!$J$6654,NA())</f>
        <v/>
      </c>
    </row>
    <row r="6655">
      <c r="J6655">
        <f>IF(AND(ISNUMBER('Data'!$F$6656),'Data'!$F$6656&lt;&gt;999,'Data'!$F$6656&lt;&gt;""),'Data'!$F$6656,"")</f>
        <v/>
      </c>
      <c r="Z6655" t="n">
        <v>1</v>
      </c>
      <c r="AA6655">
        <f>IF(ISNUMBER('IN-CLASS_Lab Part C'!$J$6655),'IN-CLASS_Lab Part C'!$J$6655,NA())</f>
        <v/>
      </c>
    </row>
    <row r="6656">
      <c r="J6656">
        <f>IF(AND(ISNUMBER('Data'!$F$6657),'Data'!$F$6657&lt;&gt;999,'Data'!$F$6657&lt;&gt;""),'Data'!$F$6657,"")</f>
        <v/>
      </c>
      <c r="Z6656" t="n">
        <v>1</v>
      </c>
      <c r="AA6656">
        <f>IF(ISNUMBER('IN-CLASS_Lab Part C'!$J$6656),'IN-CLASS_Lab Part C'!$J$6656,NA())</f>
        <v/>
      </c>
    </row>
    <row r="6657">
      <c r="J6657">
        <f>IF(AND(ISNUMBER('Data'!$F$6658),'Data'!$F$6658&lt;&gt;999,'Data'!$F$6658&lt;&gt;""),'Data'!$F$6658,"")</f>
        <v/>
      </c>
      <c r="Z6657" t="n">
        <v>1</v>
      </c>
      <c r="AA6657">
        <f>IF(ISNUMBER('IN-CLASS_Lab Part C'!$J$6657),'IN-CLASS_Lab Part C'!$J$6657,NA())</f>
        <v/>
      </c>
    </row>
    <row r="6658">
      <c r="J6658">
        <f>IF(AND(ISNUMBER('Data'!$F$6659),'Data'!$F$6659&lt;&gt;999,'Data'!$F$6659&lt;&gt;""),'Data'!$F$6659,"")</f>
        <v/>
      </c>
      <c r="Z6658" t="n">
        <v>1</v>
      </c>
      <c r="AA6658">
        <f>IF(ISNUMBER('IN-CLASS_Lab Part C'!$J$6658),'IN-CLASS_Lab Part C'!$J$6658,NA())</f>
        <v/>
      </c>
    </row>
    <row r="6659">
      <c r="J6659">
        <f>IF(AND(ISNUMBER('Data'!$F$6660),'Data'!$F$6660&lt;&gt;999,'Data'!$F$6660&lt;&gt;""),'Data'!$F$6660,"")</f>
        <v/>
      </c>
      <c r="Z6659" t="n">
        <v>1</v>
      </c>
      <c r="AA6659">
        <f>IF(ISNUMBER('IN-CLASS_Lab Part C'!$J$6659),'IN-CLASS_Lab Part C'!$J$6659,NA())</f>
        <v/>
      </c>
    </row>
    <row r="6660">
      <c r="J6660">
        <f>IF(AND(ISNUMBER('Data'!$F$6661),'Data'!$F$6661&lt;&gt;999,'Data'!$F$6661&lt;&gt;""),'Data'!$F$6661,"")</f>
        <v/>
      </c>
      <c r="Z6660" t="n">
        <v>1</v>
      </c>
      <c r="AA6660">
        <f>IF(ISNUMBER('IN-CLASS_Lab Part C'!$J$6660),'IN-CLASS_Lab Part C'!$J$6660,NA())</f>
        <v/>
      </c>
    </row>
    <row r="6661">
      <c r="J6661">
        <f>IF(AND(ISNUMBER('Data'!$F$6662),'Data'!$F$6662&lt;&gt;999,'Data'!$F$6662&lt;&gt;""),'Data'!$F$6662,"")</f>
        <v/>
      </c>
      <c r="Z6661" t="n">
        <v>1</v>
      </c>
      <c r="AA6661">
        <f>IF(ISNUMBER('IN-CLASS_Lab Part C'!$J$6661),'IN-CLASS_Lab Part C'!$J$6661,NA())</f>
        <v/>
      </c>
    </row>
    <row r="6662">
      <c r="J6662">
        <f>IF(AND(ISNUMBER('Data'!$F$6663),'Data'!$F$6663&lt;&gt;999,'Data'!$F$6663&lt;&gt;""),'Data'!$F$6663,"")</f>
        <v/>
      </c>
      <c r="Z6662" t="n">
        <v>1</v>
      </c>
      <c r="AA6662">
        <f>IF(ISNUMBER('IN-CLASS_Lab Part C'!$J$6662),'IN-CLASS_Lab Part C'!$J$6662,NA())</f>
        <v/>
      </c>
    </row>
    <row r="6663">
      <c r="J6663">
        <f>IF(AND(ISNUMBER('Data'!$F$6664),'Data'!$F$6664&lt;&gt;999,'Data'!$F$6664&lt;&gt;""),'Data'!$F$6664,"")</f>
        <v/>
      </c>
      <c r="Z6663" t="n">
        <v>1</v>
      </c>
      <c r="AA6663">
        <f>IF(ISNUMBER('IN-CLASS_Lab Part C'!$J$6663),'IN-CLASS_Lab Part C'!$J$6663,NA())</f>
        <v/>
      </c>
    </row>
    <row r="6664">
      <c r="J6664">
        <f>IF(AND(ISNUMBER('Data'!$F$6665),'Data'!$F$6665&lt;&gt;999,'Data'!$F$6665&lt;&gt;""),'Data'!$F$6665,"")</f>
        <v/>
      </c>
      <c r="Z6664" t="n">
        <v>1</v>
      </c>
      <c r="AA6664">
        <f>IF(ISNUMBER('IN-CLASS_Lab Part C'!$J$6664),'IN-CLASS_Lab Part C'!$J$6664,NA())</f>
        <v/>
      </c>
    </row>
    <row r="6665">
      <c r="J6665">
        <f>IF(AND(ISNUMBER('Data'!$F$6666),'Data'!$F$6666&lt;&gt;999,'Data'!$F$6666&lt;&gt;""),'Data'!$F$6666,"")</f>
        <v/>
      </c>
      <c r="Z6665" t="n">
        <v>1</v>
      </c>
      <c r="AA6665">
        <f>IF(ISNUMBER('IN-CLASS_Lab Part C'!$J$6665),'IN-CLASS_Lab Part C'!$J$6665,NA())</f>
        <v/>
      </c>
    </row>
    <row r="6666">
      <c r="J6666">
        <f>IF(AND(ISNUMBER('Data'!$F$6667),'Data'!$F$6667&lt;&gt;999,'Data'!$F$6667&lt;&gt;""),'Data'!$F$6667,"")</f>
        <v/>
      </c>
      <c r="Z6666" t="n">
        <v>1</v>
      </c>
      <c r="AA6666">
        <f>IF(ISNUMBER('IN-CLASS_Lab Part C'!$J$6666),'IN-CLASS_Lab Part C'!$J$6666,NA())</f>
        <v/>
      </c>
    </row>
    <row r="6667">
      <c r="J6667">
        <f>IF(AND(ISNUMBER('Data'!$F$6668),'Data'!$F$6668&lt;&gt;999,'Data'!$F$6668&lt;&gt;""),'Data'!$F$6668,"")</f>
        <v/>
      </c>
      <c r="Z6667" t="n">
        <v>1</v>
      </c>
      <c r="AA6667">
        <f>IF(ISNUMBER('IN-CLASS_Lab Part C'!$J$6667),'IN-CLASS_Lab Part C'!$J$6667,NA())</f>
        <v/>
      </c>
    </row>
    <row r="6668">
      <c r="J6668">
        <f>IF(AND(ISNUMBER('Data'!$F$6669),'Data'!$F$6669&lt;&gt;999,'Data'!$F$6669&lt;&gt;""),'Data'!$F$6669,"")</f>
        <v/>
      </c>
      <c r="Z6668" t="n">
        <v>1</v>
      </c>
      <c r="AA6668">
        <f>IF(ISNUMBER('IN-CLASS_Lab Part C'!$J$6668),'IN-CLASS_Lab Part C'!$J$6668,NA())</f>
        <v/>
      </c>
    </row>
    <row r="6669">
      <c r="J6669">
        <f>IF(AND(ISNUMBER('Data'!$F$6670),'Data'!$F$6670&lt;&gt;999,'Data'!$F$6670&lt;&gt;""),'Data'!$F$6670,"")</f>
        <v/>
      </c>
      <c r="Z6669" t="n">
        <v>1</v>
      </c>
      <c r="AA6669">
        <f>IF(ISNUMBER('IN-CLASS_Lab Part C'!$J$6669),'IN-CLASS_Lab Part C'!$J$6669,NA())</f>
        <v/>
      </c>
    </row>
    <row r="6670">
      <c r="J6670">
        <f>IF(AND(ISNUMBER('Data'!$F$6671),'Data'!$F$6671&lt;&gt;999,'Data'!$F$6671&lt;&gt;""),'Data'!$F$6671,"")</f>
        <v/>
      </c>
      <c r="Z6670" t="n">
        <v>1</v>
      </c>
      <c r="AA6670">
        <f>IF(ISNUMBER('IN-CLASS_Lab Part C'!$J$6670),'IN-CLASS_Lab Part C'!$J$6670,NA())</f>
        <v/>
      </c>
    </row>
    <row r="6671">
      <c r="J6671">
        <f>IF(AND(ISNUMBER('Data'!$F$6672),'Data'!$F$6672&lt;&gt;999,'Data'!$F$6672&lt;&gt;""),'Data'!$F$6672,"")</f>
        <v/>
      </c>
      <c r="Z6671" t="n">
        <v>1</v>
      </c>
      <c r="AA6671">
        <f>IF(ISNUMBER('IN-CLASS_Lab Part C'!$J$6671),'IN-CLASS_Lab Part C'!$J$6671,NA())</f>
        <v/>
      </c>
    </row>
    <row r="6672">
      <c r="J6672">
        <f>IF(AND(ISNUMBER('Data'!$F$6673),'Data'!$F$6673&lt;&gt;999,'Data'!$F$6673&lt;&gt;""),'Data'!$F$6673,"")</f>
        <v/>
      </c>
      <c r="Z6672" t="n">
        <v>1</v>
      </c>
      <c r="AA6672">
        <f>IF(ISNUMBER('IN-CLASS_Lab Part C'!$J$6672),'IN-CLASS_Lab Part C'!$J$6672,NA())</f>
        <v/>
      </c>
    </row>
    <row r="6673">
      <c r="J6673">
        <f>IF(AND(ISNUMBER('Data'!$F$6674),'Data'!$F$6674&lt;&gt;999,'Data'!$F$6674&lt;&gt;""),'Data'!$F$6674,"")</f>
        <v/>
      </c>
      <c r="Z6673" t="n">
        <v>1</v>
      </c>
      <c r="AA6673">
        <f>IF(ISNUMBER('IN-CLASS_Lab Part C'!$J$6673),'IN-CLASS_Lab Part C'!$J$6673,NA())</f>
        <v/>
      </c>
    </row>
    <row r="6674">
      <c r="J6674">
        <f>IF(AND(ISNUMBER('Data'!$F$6675),'Data'!$F$6675&lt;&gt;999,'Data'!$F$6675&lt;&gt;""),'Data'!$F$6675,"")</f>
        <v/>
      </c>
      <c r="Z6674" t="n">
        <v>1</v>
      </c>
      <c r="AA6674">
        <f>IF(ISNUMBER('IN-CLASS_Lab Part C'!$J$6674),'IN-CLASS_Lab Part C'!$J$6674,NA())</f>
        <v/>
      </c>
    </row>
    <row r="6675">
      <c r="J6675">
        <f>IF(AND(ISNUMBER('Data'!$F$6676),'Data'!$F$6676&lt;&gt;999,'Data'!$F$6676&lt;&gt;""),'Data'!$F$6676,"")</f>
        <v/>
      </c>
      <c r="Z6675" t="n">
        <v>1</v>
      </c>
      <c r="AA6675">
        <f>IF(ISNUMBER('IN-CLASS_Lab Part C'!$J$6675),'IN-CLASS_Lab Part C'!$J$6675,NA())</f>
        <v/>
      </c>
    </row>
    <row r="6676">
      <c r="J6676">
        <f>IF(AND(ISNUMBER('Data'!$F$6677),'Data'!$F$6677&lt;&gt;999,'Data'!$F$6677&lt;&gt;""),'Data'!$F$6677,"")</f>
        <v/>
      </c>
      <c r="Z6676" t="n">
        <v>1</v>
      </c>
      <c r="AA6676">
        <f>IF(ISNUMBER('IN-CLASS_Lab Part C'!$J$6676),'IN-CLASS_Lab Part C'!$J$6676,NA())</f>
        <v/>
      </c>
    </row>
    <row r="6677">
      <c r="J6677">
        <f>IF(AND(ISNUMBER('Data'!$F$6678),'Data'!$F$6678&lt;&gt;999,'Data'!$F$6678&lt;&gt;""),'Data'!$F$6678,"")</f>
        <v/>
      </c>
      <c r="Z6677" t="n">
        <v>1</v>
      </c>
      <c r="AA6677">
        <f>IF(ISNUMBER('IN-CLASS_Lab Part C'!$J$6677),'IN-CLASS_Lab Part C'!$J$6677,NA())</f>
        <v/>
      </c>
    </row>
    <row r="6678">
      <c r="J6678">
        <f>IF(AND(ISNUMBER('Data'!$F$6679),'Data'!$F$6679&lt;&gt;999,'Data'!$F$6679&lt;&gt;""),'Data'!$F$6679,"")</f>
        <v/>
      </c>
      <c r="Z6678" t="n">
        <v>1</v>
      </c>
      <c r="AA6678">
        <f>IF(ISNUMBER('IN-CLASS_Lab Part C'!$J$6678),'IN-CLASS_Lab Part C'!$J$6678,NA())</f>
        <v/>
      </c>
    </row>
    <row r="6679">
      <c r="J6679">
        <f>IF(AND(ISNUMBER('Data'!$F$6680),'Data'!$F$6680&lt;&gt;999,'Data'!$F$6680&lt;&gt;""),'Data'!$F$6680,"")</f>
        <v/>
      </c>
      <c r="Z6679" t="n">
        <v>1</v>
      </c>
      <c r="AA6679">
        <f>IF(ISNUMBER('IN-CLASS_Lab Part C'!$J$6679),'IN-CLASS_Lab Part C'!$J$6679,NA())</f>
        <v/>
      </c>
    </row>
    <row r="6680">
      <c r="J6680">
        <f>IF(AND(ISNUMBER('Data'!$F$6681),'Data'!$F$6681&lt;&gt;999,'Data'!$F$6681&lt;&gt;""),'Data'!$F$6681,"")</f>
        <v/>
      </c>
      <c r="Z6680" t="n">
        <v>1</v>
      </c>
      <c r="AA6680">
        <f>IF(ISNUMBER('IN-CLASS_Lab Part C'!$J$6680),'IN-CLASS_Lab Part C'!$J$6680,NA())</f>
        <v/>
      </c>
    </row>
    <row r="6681">
      <c r="J6681">
        <f>IF(AND(ISNUMBER('Data'!$F$6682),'Data'!$F$6682&lt;&gt;999,'Data'!$F$6682&lt;&gt;""),'Data'!$F$6682,"")</f>
        <v/>
      </c>
      <c r="Z6681" t="n">
        <v>1</v>
      </c>
      <c r="AA6681">
        <f>IF(ISNUMBER('IN-CLASS_Lab Part C'!$J$6681),'IN-CLASS_Lab Part C'!$J$6681,NA())</f>
        <v/>
      </c>
    </row>
    <row r="6682">
      <c r="J6682">
        <f>IF(AND(ISNUMBER('Data'!$F$6683),'Data'!$F$6683&lt;&gt;999,'Data'!$F$6683&lt;&gt;""),'Data'!$F$6683,"")</f>
        <v/>
      </c>
      <c r="Z6682" t="n">
        <v>1</v>
      </c>
      <c r="AA6682">
        <f>IF(ISNUMBER('IN-CLASS_Lab Part C'!$J$6682),'IN-CLASS_Lab Part C'!$J$6682,NA())</f>
        <v/>
      </c>
    </row>
    <row r="6683">
      <c r="J6683">
        <f>IF(AND(ISNUMBER('Data'!$F$6684),'Data'!$F$6684&lt;&gt;999,'Data'!$F$6684&lt;&gt;""),'Data'!$F$6684,"")</f>
        <v/>
      </c>
      <c r="Z6683" t="n">
        <v>1</v>
      </c>
      <c r="AA6683">
        <f>IF(ISNUMBER('IN-CLASS_Lab Part C'!$J$6683),'IN-CLASS_Lab Part C'!$J$6683,NA())</f>
        <v/>
      </c>
    </row>
    <row r="6684">
      <c r="J6684">
        <f>IF(AND(ISNUMBER('Data'!$F$6685),'Data'!$F$6685&lt;&gt;999,'Data'!$F$6685&lt;&gt;""),'Data'!$F$6685,"")</f>
        <v/>
      </c>
      <c r="Z6684" t="n">
        <v>1</v>
      </c>
      <c r="AA6684">
        <f>IF(ISNUMBER('IN-CLASS_Lab Part C'!$J$6684),'IN-CLASS_Lab Part C'!$J$6684,NA())</f>
        <v/>
      </c>
    </row>
    <row r="6685">
      <c r="J6685">
        <f>IF(AND(ISNUMBER('Data'!$F$6686),'Data'!$F$6686&lt;&gt;999,'Data'!$F$6686&lt;&gt;""),'Data'!$F$6686,"")</f>
        <v/>
      </c>
      <c r="Z6685" t="n">
        <v>1</v>
      </c>
      <c r="AA6685">
        <f>IF(ISNUMBER('IN-CLASS_Lab Part C'!$J$6685),'IN-CLASS_Lab Part C'!$J$6685,NA())</f>
        <v/>
      </c>
    </row>
    <row r="6686">
      <c r="J6686">
        <f>IF(AND(ISNUMBER('Data'!$F$6687),'Data'!$F$6687&lt;&gt;999,'Data'!$F$6687&lt;&gt;""),'Data'!$F$6687,"")</f>
        <v/>
      </c>
      <c r="Z6686" t="n">
        <v>1</v>
      </c>
      <c r="AA6686">
        <f>IF(ISNUMBER('IN-CLASS_Lab Part C'!$J$6686),'IN-CLASS_Lab Part C'!$J$6686,NA())</f>
        <v/>
      </c>
    </row>
    <row r="6687">
      <c r="J6687">
        <f>IF(AND(ISNUMBER('Data'!$F$6688),'Data'!$F$6688&lt;&gt;999,'Data'!$F$6688&lt;&gt;""),'Data'!$F$6688,"")</f>
        <v/>
      </c>
      <c r="Z6687" t="n">
        <v>1</v>
      </c>
      <c r="AA6687">
        <f>IF(ISNUMBER('IN-CLASS_Lab Part C'!$J$6687),'IN-CLASS_Lab Part C'!$J$6687,NA())</f>
        <v/>
      </c>
    </row>
    <row r="6688">
      <c r="J6688">
        <f>IF(AND(ISNUMBER('Data'!$F$6689),'Data'!$F$6689&lt;&gt;999,'Data'!$F$6689&lt;&gt;""),'Data'!$F$6689,"")</f>
        <v/>
      </c>
      <c r="Z6688" t="n">
        <v>1</v>
      </c>
      <c r="AA6688">
        <f>IF(ISNUMBER('IN-CLASS_Lab Part C'!$J$6688),'IN-CLASS_Lab Part C'!$J$6688,NA())</f>
        <v/>
      </c>
    </row>
    <row r="6689">
      <c r="J6689">
        <f>IF(AND(ISNUMBER('Data'!$F$6690),'Data'!$F$6690&lt;&gt;999,'Data'!$F$6690&lt;&gt;""),'Data'!$F$6690,"")</f>
        <v/>
      </c>
      <c r="Z6689" t="n">
        <v>1</v>
      </c>
      <c r="AA6689">
        <f>IF(ISNUMBER('IN-CLASS_Lab Part C'!$J$6689),'IN-CLASS_Lab Part C'!$J$6689,NA())</f>
        <v/>
      </c>
    </row>
    <row r="6690">
      <c r="J6690">
        <f>IF(AND(ISNUMBER('Data'!$F$6691),'Data'!$F$6691&lt;&gt;999,'Data'!$F$6691&lt;&gt;""),'Data'!$F$6691,"")</f>
        <v/>
      </c>
      <c r="Z6690" t="n">
        <v>1</v>
      </c>
      <c r="AA6690">
        <f>IF(ISNUMBER('IN-CLASS_Lab Part C'!$J$6690),'IN-CLASS_Lab Part C'!$J$6690,NA())</f>
        <v/>
      </c>
    </row>
    <row r="6691">
      <c r="J6691">
        <f>IF(AND(ISNUMBER('Data'!$F$6692),'Data'!$F$6692&lt;&gt;999,'Data'!$F$6692&lt;&gt;""),'Data'!$F$6692,"")</f>
        <v/>
      </c>
      <c r="Z6691" t="n">
        <v>1</v>
      </c>
      <c r="AA6691">
        <f>IF(ISNUMBER('IN-CLASS_Lab Part C'!$J$6691),'IN-CLASS_Lab Part C'!$J$6691,NA())</f>
        <v/>
      </c>
    </row>
    <row r="6692">
      <c r="J6692">
        <f>IF(AND(ISNUMBER('Data'!$F$6693),'Data'!$F$6693&lt;&gt;999,'Data'!$F$6693&lt;&gt;""),'Data'!$F$6693,"")</f>
        <v/>
      </c>
      <c r="Z6692" t="n">
        <v>1</v>
      </c>
      <c r="AA6692">
        <f>IF(ISNUMBER('IN-CLASS_Lab Part C'!$J$6692),'IN-CLASS_Lab Part C'!$J$6692,NA())</f>
        <v/>
      </c>
    </row>
    <row r="6693">
      <c r="J6693">
        <f>IF(AND(ISNUMBER('Data'!$F$6694),'Data'!$F$6694&lt;&gt;999,'Data'!$F$6694&lt;&gt;""),'Data'!$F$6694,"")</f>
        <v/>
      </c>
      <c r="Z6693" t="n">
        <v>1</v>
      </c>
      <c r="AA6693">
        <f>IF(ISNUMBER('IN-CLASS_Lab Part C'!$J$6693),'IN-CLASS_Lab Part C'!$J$6693,NA())</f>
        <v/>
      </c>
    </row>
    <row r="6694">
      <c r="J6694">
        <f>IF(AND(ISNUMBER('Data'!$F$6695),'Data'!$F$6695&lt;&gt;999,'Data'!$F$6695&lt;&gt;""),'Data'!$F$6695,"")</f>
        <v/>
      </c>
      <c r="Z6694" t="n">
        <v>1</v>
      </c>
      <c r="AA6694">
        <f>IF(ISNUMBER('IN-CLASS_Lab Part C'!$J$6694),'IN-CLASS_Lab Part C'!$J$6694,NA())</f>
        <v/>
      </c>
    </row>
    <row r="6695">
      <c r="J6695">
        <f>IF(AND(ISNUMBER('Data'!$F$6696),'Data'!$F$6696&lt;&gt;999,'Data'!$F$6696&lt;&gt;""),'Data'!$F$6696,"")</f>
        <v/>
      </c>
      <c r="Z6695" t="n">
        <v>1</v>
      </c>
      <c r="AA6695">
        <f>IF(ISNUMBER('IN-CLASS_Lab Part C'!$J$6695),'IN-CLASS_Lab Part C'!$J$6695,NA())</f>
        <v/>
      </c>
    </row>
    <row r="6696">
      <c r="J6696">
        <f>IF(AND(ISNUMBER('Data'!$F$6697),'Data'!$F$6697&lt;&gt;999,'Data'!$F$6697&lt;&gt;""),'Data'!$F$6697,"")</f>
        <v/>
      </c>
      <c r="Z6696" t="n">
        <v>1</v>
      </c>
      <c r="AA6696">
        <f>IF(ISNUMBER('IN-CLASS_Lab Part C'!$J$6696),'IN-CLASS_Lab Part C'!$J$6696,NA())</f>
        <v/>
      </c>
    </row>
    <row r="6697">
      <c r="J6697">
        <f>IF(AND(ISNUMBER('Data'!$F$6698),'Data'!$F$6698&lt;&gt;999,'Data'!$F$6698&lt;&gt;""),'Data'!$F$6698,"")</f>
        <v/>
      </c>
      <c r="Z6697" t="n">
        <v>1</v>
      </c>
      <c r="AA6697">
        <f>IF(ISNUMBER('IN-CLASS_Lab Part C'!$J$6697),'IN-CLASS_Lab Part C'!$J$6697,NA())</f>
        <v/>
      </c>
    </row>
    <row r="6698">
      <c r="J6698">
        <f>IF(AND(ISNUMBER('Data'!$F$6699),'Data'!$F$6699&lt;&gt;999,'Data'!$F$6699&lt;&gt;""),'Data'!$F$6699,"")</f>
        <v/>
      </c>
      <c r="Z6698" t="n">
        <v>1</v>
      </c>
      <c r="AA6698">
        <f>IF(ISNUMBER('IN-CLASS_Lab Part C'!$J$6698),'IN-CLASS_Lab Part C'!$J$6698,NA())</f>
        <v/>
      </c>
    </row>
    <row r="6699">
      <c r="J6699">
        <f>IF(AND(ISNUMBER('Data'!$F$6700),'Data'!$F$6700&lt;&gt;999,'Data'!$F$6700&lt;&gt;""),'Data'!$F$6700,"")</f>
        <v/>
      </c>
      <c r="Z6699" t="n">
        <v>1</v>
      </c>
      <c r="AA6699">
        <f>IF(ISNUMBER('IN-CLASS_Lab Part C'!$J$6699),'IN-CLASS_Lab Part C'!$J$6699,NA())</f>
        <v/>
      </c>
    </row>
    <row r="6700">
      <c r="J6700">
        <f>IF(AND(ISNUMBER('Data'!$F$6701),'Data'!$F$6701&lt;&gt;999,'Data'!$F$6701&lt;&gt;""),'Data'!$F$6701,"")</f>
        <v/>
      </c>
      <c r="Z6700" t="n">
        <v>1</v>
      </c>
      <c r="AA6700">
        <f>IF(ISNUMBER('IN-CLASS_Lab Part C'!$J$6700),'IN-CLASS_Lab Part C'!$J$6700,NA())</f>
        <v/>
      </c>
    </row>
    <row r="6701">
      <c r="J6701">
        <f>IF(AND(ISNUMBER('Data'!$F$6702),'Data'!$F$6702&lt;&gt;999,'Data'!$F$6702&lt;&gt;""),'Data'!$F$6702,"")</f>
        <v/>
      </c>
      <c r="Z6701" t="n">
        <v>1</v>
      </c>
      <c r="AA6701">
        <f>IF(ISNUMBER('IN-CLASS_Lab Part C'!$J$6701),'IN-CLASS_Lab Part C'!$J$6701,NA())</f>
        <v/>
      </c>
    </row>
    <row r="6702">
      <c r="J6702">
        <f>IF(AND(ISNUMBER('Data'!$F$6703),'Data'!$F$6703&lt;&gt;999,'Data'!$F$6703&lt;&gt;""),'Data'!$F$6703,"")</f>
        <v/>
      </c>
      <c r="Z6702" t="n">
        <v>1</v>
      </c>
      <c r="AA6702">
        <f>IF(ISNUMBER('IN-CLASS_Lab Part C'!$J$6702),'IN-CLASS_Lab Part C'!$J$6702,NA())</f>
        <v/>
      </c>
    </row>
    <row r="6703">
      <c r="J6703">
        <f>IF(AND(ISNUMBER('Data'!$F$6704),'Data'!$F$6704&lt;&gt;999,'Data'!$F$6704&lt;&gt;""),'Data'!$F$6704,"")</f>
        <v/>
      </c>
      <c r="Z6703" t="n">
        <v>1</v>
      </c>
      <c r="AA6703">
        <f>IF(ISNUMBER('IN-CLASS_Lab Part C'!$J$6703),'IN-CLASS_Lab Part C'!$J$6703,NA())</f>
        <v/>
      </c>
    </row>
    <row r="6704">
      <c r="J6704">
        <f>IF(AND(ISNUMBER('Data'!$F$6705),'Data'!$F$6705&lt;&gt;999,'Data'!$F$6705&lt;&gt;""),'Data'!$F$6705,"")</f>
        <v/>
      </c>
      <c r="Z6704" t="n">
        <v>1</v>
      </c>
      <c r="AA6704">
        <f>IF(ISNUMBER('IN-CLASS_Lab Part C'!$J$6704),'IN-CLASS_Lab Part C'!$J$6704,NA())</f>
        <v/>
      </c>
    </row>
    <row r="6705">
      <c r="J6705">
        <f>IF(AND(ISNUMBER('Data'!$F$6706),'Data'!$F$6706&lt;&gt;999,'Data'!$F$6706&lt;&gt;""),'Data'!$F$6706,"")</f>
        <v/>
      </c>
      <c r="Z6705" t="n">
        <v>1</v>
      </c>
      <c r="AA6705">
        <f>IF(ISNUMBER('IN-CLASS_Lab Part C'!$J$6705),'IN-CLASS_Lab Part C'!$J$6705,NA())</f>
        <v/>
      </c>
    </row>
    <row r="6706">
      <c r="J6706">
        <f>IF(AND(ISNUMBER('Data'!$F$6707),'Data'!$F$6707&lt;&gt;999,'Data'!$F$6707&lt;&gt;""),'Data'!$F$6707,"")</f>
        <v/>
      </c>
      <c r="Z6706" t="n">
        <v>1</v>
      </c>
      <c r="AA6706">
        <f>IF(ISNUMBER('IN-CLASS_Lab Part C'!$J$6706),'IN-CLASS_Lab Part C'!$J$6706,NA())</f>
        <v/>
      </c>
    </row>
    <row r="6707">
      <c r="J6707">
        <f>IF(AND(ISNUMBER('Data'!$F$6708),'Data'!$F$6708&lt;&gt;999,'Data'!$F$6708&lt;&gt;""),'Data'!$F$6708,"")</f>
        <v/>
      </c>
      <c r="Z6707" t="n">
        <v>1</v>
      </c>
      <c r="AA6707">
        <f>IF(ISNUMBER('IN-CLASS_Lab Part C'!$J$6707),'IN-CLASS_Lab Part C'!$J$6707,NA())</f>
        <v/>
      </c>
    </row>
    <row r="6708">
      <c r="J6708">
        <f>IF(AND(ISNUMBER('Data'!$F$6709),'Data'!$F$6709&lt;&gt;999,'Data'!$F$6709&lt;&gt;""),'Data'!$F$6709,"")</f>
        <v/>
      </c>
      <c r="Z6708" t="n">
        <v>1</v>
      </c>
      <c r="AA6708">
        <f>IF(ISNUMBER('IN-CLASS_Lab Part C'!$J$6708),'IN-CLASS_Lab Part C'!$J$6708,NA())</f>
        <v/>
      </c>
    </row>
    <row r="6709">
      <c r="J6709">
        <f>IF(AND(ISNUMBER('Data'!$F$6710),'Data'!$F$6710&lt;&gt;999,'Data'!$F$6710&lt;&gt;""),'Data'!$F$6710,"")</f>
        <v/>
      </c>
      <c r="Z6709" t="n">
        <v>1</v>
      </c>
      <c r="AA6709">
        <f>IF(ISNUMBER('IN-CLASS_Lab Part C'!$J$6709),'IN-CLASS_Lab Part C'!$J$6709,NA())</f>
        <v/>
      </c>
    </row>
    <row r="6710">
      <c r="J6710">
        <f>IF(AND(ISNUMBER('Data'!$F$6711),'Data'!$F$6711&lt;&gt;999,'Data'!$F$6711&lt;&gt;""),'Data'!$F$6711,"")</f>
        <v/>
      </c>
      <c r="Z6710" t="n">
        <v>1</v>
      </c>
      <c r="AA6710">
        <f>IF(ISNUMBER('IN-CLASS_Lab Part C'!$J$6710),'IN-CLASS_Lab Part C'!$J$6710,NA())</f>
        <v/>
      </c>
    </row>
    <row r="6711">
      <c r="J6711">
        <f>IF(AND(ISNUMBER('Data'!$F$6712),'Data'!$F$6712&lt;&gt;999,'Data'!$F$6712&lt;&gt;""),'Data'!$F$6712,"")</f>
        <v/>
      </c>
      <c r="Z6711" t="n">
        <v>1</v>
      </c>
      <c r="AA6711">
        <f>IF(ISNUMBER('IN-CLASS_Lab Part C'!$J$6711),'IN-CLASS_Lab Part C'!$J$6711,NA())</f>
        <v/>
      </c>
    </row>
    <row r="6712">
      <c r="J6712">
        <f>IF(AND(ISNUMBER('Data'!$F$6713),'Data'!$F$6713&lt;&gt;999,'Data'!$F$6713&lt;&gt;""),'Data'!$F$6713,"")</f>
        <v/>
      </c>
      <c r="Z6712" t="n">
        <v>1</v>
      </c>
      <c r="AA6712">
        <f>IF(ISNUMBER('IN-CLASS_Lab Part C'!$J$6712),'IN-CLASS_Lab Part C'!$J$6712,NA())</f>
        <v/>
      </c>
    </row>
    <row r="6713">
      <c r="J6713">
        <f>IF(AND(ISNUMBER('Data'!$F$6714),'Data'!$F$6714&lt;&gt;999,'Data'!$F$6714&lt;&gt;""),'Data'!$F$6714,"")</f>
        <v/>
      </c>
      <c r="Z6713" t="n">
        <v>1</v>
      </c>
      <c r="AA6713">
        <f>IF(ISNUMBER('IN-CLASS_Lab Part C'!$J$6713),'IN-CLASS_Lab Part C'!$J$6713,NA())</f>
        <v/>
      </c>
    </row>
    <row r="6714">
      <c r="J6714">
        <f>IF(AND(ISNUMBER('Data'!$F$6715),'Data'!$F$6715&lt;&gt;999,'Data'!$F$6715&lt;&gt;""),'Data'!$F$6715,"")</f>
        <v/>
      </c>
      <c r="Z6714" t="n">
        <v>1</v>
      </c>
      <c r="AA6714">
        <f>IF(ISNUMBER('IN-CLASS_Lab Part C'!$J$6714),'IN-CLASS_Lab Part C'!$J$6714,NA())</f>
        <v/>
      </c>
    </row>
    <row r="6715">
      <c r="J6715">
        <f>IF(AND(ISNUMBER('Data'!$F$6716),'Data'!$F$6716&lt;&gt;999,'Data'!$F$6716&lt;&gt;""),'Data'!$F$6716,"")</f>
        <v/>
      </c>
      <c r="Z6715" t="n">
        <v>1</v>
      </c>
      <c r="AA6715">
        <f>IF(ISNUMBER('IN-CLASS_Lab Part C'!$J$6715),'IN-CLASS_Lab Part C'!$J$6715,NA())</f>
        <v/>
      </c>
    </row>
    <row r="6716">
      <c r="J6716">
        <f>IF(AND(ISNUMBER('Data'!$F$6717),'Data'!$F$6717&lt;&gt;999,'Data'!$F$6717&lt;&gt;""),'Data'!$F$6717,"")</f>
        <v/>
      </c>
      <c r="Z6716" t="n">
        <v>1</v>
      </c>
      <c r="AA6716">
        <f>IF(ISNUMBER('IN-CLASS_Lab Part C'!$J$6716),'IN-CLASS_Lab Part C'!$J$6716,NA())</f>
        <v/>
      </c>
    </row>
    <row r="6717">
      <c r="J6717">
        <f>IF(AND(ISNUMBER('Data'!$F$6718),'Data'!$F$6718&lt;&gt;999,'Data'!$F$6718&lt;&gt;""),'Data'!$F$6718,"")</f>
        <v/>
      </c>
      <c r="Z6717" t="n">
        <v>1</v>
      </c>
      <c r="AA6717">
        <f>IF(ISNUMBER('IN-CLASS_Lab Part C'!$J$6717),'IN-CLASS_Lab Part C'!$J$6717,NA())</f>
        <v/>
      </c>
    </row>
    <row r="6718">
      <c r="J6718">
        <f>IF(AND(ISNUMBER('Data'!$F$6719),'Data'!$F$6719&lt;&gt;999,'Data'!$F$6719&lt;&gt;""),'Data'!$F$6719,"")</f>
        <v/>
      </c>
      <c r="Z6718" t="n">
        <v>1</v>
      </c>
      <c r="AA6718">
        <f>IF(ISNUMBER('IN-CLASS_Lab Part C'!$J$6718),'IN-CLASS_Lab Part C'!$J$6718,NA())</f>
        <v/>
      </c>
    </row>
    <row r="6719">
      <c r="J6719">
        <f>IF(AND(ISNUMBER('Data'!$F$6720),'Data'!$F$6720&lt;&gt;999,'Data'!$F$6720&lt;&gt;""),'Data'!$F$6720,"")</f>
        <v/>
      </c>
      <c r="Z6719" t="n">
        <v>1</v>
      </c>
      <c r="AA6719">
        <f>IF(ISNUMBER('IN-CLASS_Lab Part C'!$J$6719),'IN-CLASS_Lab Part C'!$J$6719,NA())</f>
        <v/>
      </c>
    </row>
    <row r="6720">
      <c r="J6720">
        <f>IF(AND(ISNUMBER('Data'!$F$6721),'Data'!$F$6721&lt;&gt;999,'Data'!$F$6721&lt;&gt;""),'Data'!$F$6721,"")</f>
        <v/>
      </c>
      <c r="Z6720" t="n">
        <v>1</v>
      </c>
      <c r="AA6720">
        <f>IF(ISNUMBER('IN-CLASS_Lab Part C'!$J$6720),'IN-CLASS_Lab Part C'!$J$6720,NA())</f>
        <v/>
      </c>
    </row>
    <row r="6721">
      <c r="J6721">
        <f>IF(AND(ISNUMBER('Data'!$F$6722),'Data'!$F$6722&lt;&gt;999,'Data'!$F$6722&lt;&gt;""),'Data'!$F$6722,"")</f>
        <v/>
      </c>
      <c r="Z6721" t="n">
        <v>1</v>
      </c>
      <c r="AA6721">
        <f>IF(ISNUMBER('IN-CLASS_Lab Part C'!$J$6721),'IN-CLASS_Lab Part C'!$J$6721,NA())</f>
        <v/>
      </c>
    </row>
    <row r="6722">
      <c r="J6722">
        <f>IF(AND(ISNUMBER('Data'!$F$6723),'Data'!$F$6723&lt;&gt;999,'Data'!$F$6723&lt;&gt;""),'Data'!$F$6723,"")</f>
        <v/>
      </c>
      <c r="Z6722" t="n">
        <v>1</v>
      </c>
      <c r="AA6722">
        <f>IF(ISNUMBER('IN-CLASS_Lab Part C'!$J$6722),'IN-CLASS_Lab Part C'!$J$6722,NA())</f>
        <v/>
      </c>
    </row>
    <row r="6723">
      <c r="J6723">
        <f>IF(AND(ISNUMBER('Data'!$F$6724),'Data'!$F$6724&lt;&gt;999,'Data'!$F$6724&lt;&gt;""),'Data'!$F$6724,"")</f>
        <v/>
      </c>
      <c r="Z6723" t="n">
        <v>1</v>
      </c>
      <c r="AA6723">
        <f>IF(ISNUMBER('IN-CLASS_Lab Part C'!$J$6723),'IN-CLASS_Lab Part C'!$J$6723,NA())</f>
        <v/>
      </c>
    </row>
    <row r="6724">
      <c r="J6724">
        <f>IF(AND(ISNUMBER('Data'!$F$6725),'Data'!$F$6725&lt;&gt;999,'Data'!$F$6725&lt;&gt;""),'Data'!$F$6725,"")</f>
        <v/>
      </c>
      <c r="Z6724" t="n">
        <v>1</v>
      </c>
      <c r="AA6724">
        <f>IF(ISNUMBER('IN-CLASS_Lab Part C'!$J$6724),'IN-CLASS_Lab Part C'!$J$6724,NA())</f>
        <v/>
      </c>
    </row>
    <row r="6725">
      <c r="J6725">
        <f>IF(AND(ISNUMBER('Data'!$F$6726),'Data'!$F$6726&lt;&gt;999,'Data'!$F$6726&lt;&gt;""),'Data'!$F$6726,"")</f>
        <v/>
      </c>
      <c r="Z6725" t="n">
        <v>1</v>
      </c>
      <c r="AA6725">
        <f>IF(ISNUMBER('IN-CLASS_Lab Part C'!$J$6725),'IN-CLASS_Lab Part C'!$J$6725,NA())</f>
        <v/>
      </c>
    </row>
    <row r="6726">
      <c r="J6726">
        <f>IF(AND(ISNUMBER('Data'!$F$6727),'Data'!$F$6727&lt;&gt;999,'Data'!$F$6727&lt;&gt;""),'Data'!$F$6727,"")</f>
        <v/>
      </c>
      <c r="Z6726" t="n">
        <v>1</v>
      </c>
      <c r="AA6726">
        <f>IF(ISNUMBER('IN-CLASS_Lab Part C'!$J$6726),'IN-CLASS_Lab Part C'!$J$6726,NA())</f>
        <v/>
      </c>
    </row>
    <row r="6727">
      <c r="J6727">
        <f>IF(AND(ISNUMBER('Data'!$F$6728),'Data'!$F$6728&lt;&gt;999,'Data'!$F$6728&lt;&gt;""),'Data'!$F$6728,"")</f>
        <v/>
      </c>
      <c r="Z6727" t="n">
        <v>1</v>
      </c>
      <c r="AA6727">
        <f>IF(ISNUMBER('IN-CLASS_Lab Part C'!$J$6727),'IN-CLASS_Lab Part C'!$J$6727,NA())</f>
        <v/>
      </c>
    </row>
    <row r="6728">
      <c r="J6728">
        <f>IF(AND(ISNUMBER('Data'!$F$6729),'Data'!$F$6729&lt;&gt;999,'Data'!$F$6729&lt;&gt;""),'Data'!$F$6729,"")</f>
        <v/>
      </c>
      <c r="Z6728" t="n">
        <v>1</v>
      </c>
      <c r="AA6728">
        <f>IF(ISNUMBER('IN-CLASS_Lab Part C'!$J$6728),'IN-CLASS_Lab Part C'!$J$6728,NA())</f>
        <v/>
      </c>
    </row>
    <row r="6729">
      <c r="J6729">
        <f>IF(AND(ISNUMBER('Data'!$F$6730),'Data'!$F$6730&lt;&gt;999,'Data'!$F$6730&lt;&gt;""),'Data'!$F$6730,"")</f>
        <v/>
      </c>
      <c r="Z6729" t="n">
        <v>1</v>
      </c>
      <c r="AA6729">
        <f>IF(ISNUMBER('IN-CLASS_Lab Part C'!$J$6729),'IN-CLASS_Lab Part C'!$J$6729,NA())</f>
        <v/>
      </c>
    </row>
    <row r="6730">
      <c r="J6730">
        <f>IF(AND(ISNUMBER('Data'!$F$6731),'Data'!$F$6731&lt;&gt;999,'Data'!$F$6731&lt;&gt;""),'Data'!$F$6731,"")</f>
        <v/>
      </c>
      <c r="Z6730" t="n">
        <v>1</v>
      </c>
      <c r="AA6730">
        <f>IF(ISNUMBER('IN-CLASS_Lab Part C'!$J$6730),'IN-CLASS_Lab Part C'!$J$6730,NA())</f>
        <v/>
      </c>
    </row>
    <row r="6731">
      <c r="J6731">
        <f>IF(AND(ISNUMBER('Data'!$F$6732),'Data'!$F$6732&lt;&gt;999,'Data'!$F$6732&lt;&gt;""),'Data'!$F$6732,"")</f>
        <v/>
      </c>
      <c r="Z6731" t="n">
        <v>1</v>
      </c>
      <c r="AA6731">
        <f>IF(ISNUMBER('IN-CLASS_Lab Part C'!$J$6731),'IN-CLASS_Lab Part C'!$J$6731,NA())</f>
        <v/>
      </c>
    </row>
    <row r="6732">
      <c r="J6732">
        <f>IF(AND(ISNUMBER('Data'!$F$6733),'Data'!$F$6733&lt;&gt;999,'Data'!$F$6733&lt;&gt;""),'Data'!$F$6733,"")</f>
        <v/>
      </c>
      <c r="Z6732" t="n">
        <v>1</v>
      </c>
      <c r="AA6732">
        <f>IF(ISNUMBER('IN-CLASS_Lab Part C'!$J$6732),'IN-CLASS_Lab Part C'!$J$6732,NA())</f>
        <v/>
      </c>
    </row>
    <row r="6733">
      <c r="J6733">
        <f>IF(AND(ISNUMBER('Data'!$F$6734),'Data'!$F$6734&lt;&gt;999,'Data'!$F$6734&lt;&gt;""),'Data'!$F$6734,"")</f>
        <v/>
      </c>
      <c r="Z6733" t="n">
        <v>1</v>
      </c>
      <c r="AA6733">
        <f>IF(ISNUMBER('IN-CLASS_Lab Part C'!$J$6733),'IN-CLASS_Lab Part C'!$J$6733,NA())</f>
        <v/>
      </c>
    </row>
    <row r="6734">
      <c r="J6734">
        <f>IF(AND(ISNUMBER('Data'!$F$6735),'Data'!$F$6735&lt;&gt;999,'Data'!$F$6735&lt;&gt;""),'Data'!$F$6735,"")</f>
        <v/>
      </c>
      <c r="Z6734" t="n">
        <v>1</v>
      </c>
      <c r="AA6734">
        <f>IF(ISNUMBER('IN-CLASS_Lab Part C'!$J$6734),'IN-CLASS_Lab Part C'!$J$6734,NA())</f>
        <v/>
      </c>
    </row>
    <row r="6735">
      <c r="J6735">
        <f>IF(AND(ISNUMBER('Data'!$F$6736),'Data'!$F$6736&lt;&gt;999,'Data'!$F$6736&lt;&gt;""),'Data'!$F$6736,"")</f>
        <v/>
      </c>
      <c r="Z6735" t="n">
        <v>1</v>
      </c>
      <c r="AA6735">
        <f>IF(ISNUMBER('IN-CLASS_Lab Part C'!$J$6735),'IN-CLASS_Lab Part C'!$J$6735,NA())</f>
        <v/>
      </c>
    </row>
    <row r="6736">
      <c r="J6736">
        <f>IF(AND(ISNUMBER('Data'!$F$6737),'Data'!$F$6737&lt;&gt;999,'Data'!$F$6737&lt;&gt;""),'Data'!$F$6737,"")</f>
        <v/>
      </c>
      <c r="Z6736" t="n">
        <v>1</v>
      </c>
      <c r="AA6736">
        <f>IF(ISNUMBER('IN-CLASS_Lab Part C'!$J$6736),'IN-CLASS_Lab Part C'!$J$6736,NA())</f>
        <v/>
      </c>
    </row>
    <row r="6737">
      <c r="J6737">
        <f>IF(AND(ISNUMBER('Data'!$F$6738),'Data'!$F$6738&lt;&gt;999,'Data'!$F$6738&lt;&gt;""),'Data'!$F$6738,"")</f>
        <v/>
      </c>
      <c r="Z6737" t="n">
        <v>1</v>
      </c>
      <c r="AA6737">
        <f>IF(ISNUMBER('IN-CLASS_Lab Part C'!$J$6737),'IN-CLASS_Lab Part C'!$J$6737,NA())</f>
        <v/>
      </c>
    </row>
    <row r="6738">
      <c r="J6738">
        <f>IF(AND(ISNUMBER('Data'!$F$6739),'Data'!$F$6739&lt;&gt;999,'Data'!$F$6739&lt;&gt;""),'Data'!$F$6739,"")</f>
        <v/>
      </c>
      <c r="Z6738" t="n">
        <v>1</v>
      </c>
      <c r="AA6738">
        <f>IF(ISNUMBER('IN-CLASS_Lab Part C'!$J$6738),'IN-CLASS_Lab Part C'!$J$6738,NA())</f>
        <v/>
      </c>
    </row>
    <row r="6739">
      <c r="J6739">
        <f>IF(AND(ISNUMBER('Data'!$F$6740),'Data'!$F$6740&lt;&gt;999,'Data'!$F$6740&lt;&gt;""),'Data'!$F$6740,"")</f>
        <v/>
      </c>
      <c r="Z6739" t="n">
        <v>1</v>
      </c>
      <c r="AA6739">
        <f>IF(ISNUMBER('IN-CLASS_Lab Part C'!$J$6739),'IN-CLASS_Lab Part C'!$J$6739,NA())</f>
        <v/>
      </c>
    </row>
    <row r="6740">
      <c r="J6740">
        <f>IF(AND(ISNUMBER('Data'!$F$6741),'Data'!$F$6741&lt;&gt;999,'Data'!$F$6741&lt;&gt;""),'Data'!$F$6741,"")</f>
        <v/>
      </c>
      <c r="Z6740" t="n">
        <v>1</v>
      </c>
      <c r="AA6740">
        <f>IF(ISNUMBER('IN-CLASS_Lab Part C'!$J$6740),'IN-CLASS_Lab Part C'!$J$6740,NA())</f>
        <v/>
      </c>
    </row>
    <row r="6741">
      <c r="J6741">
        <f>IF(AND(ISNUMBER('Data'!$F$6742),'Data'!$F$6742&lt;&gt;999,'Data'!$F$6742&lt;&gt;""),'Data'!$F$6742,"")</f>
        <v/>
      </c>
      <c r="Z6741" t="n">
        <v>1</v>
      </c>
      <c r="AA6741">
        <f>IF(ISNUMBER('IN-CLASS_Lab Part C'!$J$6741),'IN-CLASS_Lab Part C'!$J$6741,NA())</f>
        <v/>
      </c>
    </row>
    <row r="6742">
      <c r="J6742">
        <f>IF(AND(ISNUMBER('Data'!$F$6743),'Data'!$F$6743&lt;&gt;999,'Data'!$F$6743&lt;&gt;""),'Data'!$F$6743,"")</f>
        <v/>
      </c>
      <c r="Z6742" t="n">
        <v>1</v>
      </c>
      <c r="AA6742">
        <f>IF(ISNUMBER('IN-CLASS_Lab Part C'!$J$6742),'IN-CLASS_Lab Part C'!$J$6742,NA())</f>
        <v/>
      </c>
    </row>
    <row r="6743">
      <c r="J6743">
        <f>IF(AND(ISNUMBER('Data'!$F$6744),'Data'!$F$6744&lt;&gt;999,'Data'!$F$6744&lt;&gt;""),'Data'!$F$6744,"")</f>
        <v/>
      </c>
      <c r="Z6743" t="n">
        <v>1</v>
      </c>
      <c r="AA6743">
        <f>IF(ISNUMBER('IN-CLASS_Lab Part C'!$J$6743),'IN-CLASS_Lab Part C'!$J$6743,NA())</f>
        <v/>
      </c>
    </row>
    <row r="6744">
      <c r="J6744">
        <f>IF(AND(ISNUMBER('Data'!$F$6745),'Data'!$F$6745&lt;&gt;999,'Data'!$F$6745&lt;&gt;""),'Data'!$F$6745,"")</f>
        <v/>
      </c>
      <c r="Z6744" t="n">
        <v>1</v>
      </c>
      <c r="AA6744">
        <f>IF(ISNUMBER('IN-CLASS_Lab Part C'!$J$6744),'IN-CLASS_Lab Part C'!$J$6744,NA())</f>
        <v/>
      </c>
    </row>
    <row r="6745">
      <c r="J6745">
        <f>IF(AND(ISNUMBER('Data'!$F$6746),'Data'!$F$6746&lt;&gt;999,'Data'!$F$6746&lt;&gt;""),'Data'!$F$6746,"")</f>
        <v/>
      </c>
      <c r="Z6745" t="n">
        <v>1</v>
      </c>
      <c r="AA6745">
        <f>IF(ISNUMBER('IN-CLASS_Lab Part C'!$J$6745),'IN-CLASS_Lab Part C'!$J$6745,NA())</f>
        <v/>
      </c>
    </row>
    <row r="6746">
      <c r="J6746">
        <f>IF(AND(ISNUMBER('Data'!$F$6747),'Data'!$F$6747&lt;&gt;999,'Data'!$F$6747&lt;&gt;""),'Data'!$F$6747,"")</f>
        <v/>
      </c>
      <c r="Z6746" t="n">
        <v>1</v>
      </c>
      <c r="AA6746">
        <f>IF(ISNUMBER('IN-CLASS_Lab Part C'!$J$6746),'IN-CLASS_Lab Part C'!$J$6746,NA())</f>
        <v/>
      </c>
    </row>
    <row r="6747">
      <c r="J6747">
        <f>IF(AND(ISNUMBER('Data'!$F$6748),'Data'!$F$6748&lt;&gt;999,'Data'!$F$6748&lt;&gt;""),'Data'!$F$6748,"")</f>
        <v/>
      </c>
      <c r="Z6747" t="n">
        <v>1</v>
      </c>
      <c r="AA6747">
        <f>IF(ISNUMBER('IN-CLASS_Lab Part C'!$J$6747),'IN-CLASS_Lab Part C'!$J$6747,NA())</f>
        <v/>
      </c>
    </row>
    <row r="6748">
      <c r="J6748">
        <f>IF(AND(ISNUMBER('Data'!$F$6749),'Data'!$F$6749&lt;&gt;999,'Data'!$F$6749&lt;&gt;""),'Data'!$F$6749,"")</f>
        <v/>
      </c>
      <c r="Z6748" t="n">
        <v>1</v>
      </c>
      <c r="AA6748">
        <f>IF(ISNUMBER('IN-CLASS_Lab Part C'!$J$6748),'IN-CLASS_Lab Part C'!$J$6748,NA())</f>
        <v/>
      </c>
    </row>
    <row r="6749">
      <c r="J6749">
        <f>IF(AND(ISNUMBER('Data'!$F$6750),'Data'!$F$6750&lt;&gt;999,'Data'!$F$6750&lt;&gt;""),'Data'!$F$6750,"")</f>
        <v/>
      </c>
      <c r="Z6749" t="n">
        <v>1</v>
      </c>
      <c r="AA6749">
        <f>IF(ISNUMBER('IN-CLASS_Lab Part C'!$J$6749),'IN-CLASS_Lab Part C'!$J$6749,NA())</f>
        <v/>
      </c>
    </row>
    <row r="6750">
      <c r="J6750">
        <f>IF(AND(ISNUMBER('Data'!$F$6751),'Data'!$F$6751&lt;&gt;999,'Data'!$F$6751&lt;&gt;""),'Data'!$F$6751,"")</f>
        <v/>
      </c>
      <c r="Z6750" t="n">
        <v>1</v>
      </c>
      <c r="AA6750">
        <f>IF(ISNUMBER('IN-CLASS_Lab Part C'!$J$6750),'IN-CLASS_Lab Part C'!$J$6750,NA())</f>
        <v/>
      </c>
    </row>
    <row r="6751">
      <c r="J6751">
        <f>IF(AND(ISNUMBER('Data'!$F$6752),'Data'!$F$6752&lt;&gt;999,'Data'!$F$6752&lt;&gt;""),'Data'!$F$6752,"")</f>
        <v/>
      </c>
      <c r="Z6751" t="n">
        <v>1</v>
      </c>
      <c r="AA6751">
        <f>IF(ISNUMBER('IN-CLASS_Lab Part C'!$J$6751),'IN-CLASS_Lab Part C'!$J$6751,NA())</f>
        <v/>
      </c>
    </row>
    <row r="6752">
      <c r="J6752">
        <f>IF(AND(ISNUMBER('Data'!$F$6753),'Data'!$F$6753&lt;&gt;999,'Data'!$F$6753&lt;&gt;""),'Data'!$F$6753,"")</f>
        <v/>
      </c>
      <c r="Z6752" t="n">
        <v>1</v>
      </c>
      <c r="AA6752">
        <f>IF(ISNUMBER('IN-CLASS_Lab Part C'!$J$6752),'IN-CLASS_Lab Part C'!$J$6752,NA())</f>
        <v/>
      </c>
    </row>
    <row r="6753">
      <c r="J6753">
        <f>IF(AND(ISNUMBER('Data'!$F$6754),'Data'!$F$6754&lt;&gt;999,'Data'!$F$6754&lt;&gt;""),'Data'!$F$6754,"")</f>
        <v/>
      </c>
      <c r="Z6753" t="n">
        <v>1</v>
      </c>
      <c r="AA6753">
        <f>IF(ISNUMBER('IN-CLASS_Lab Part C'!$J$6753),'IN-CLASS_Lab Part C'!$J$6753,NA())</f>
        <v/>
      </c>
    </row>
    <row r="6754">
      <c r="J6754">
        <f>IF(AND(ISNUMBER('Data'!$F$6755),'Data'!$F$6755&lt;&gt;999,'Data'!$F$6755&lt;&gt;""),'Data'!$F$6755,"")</f>
        <v/>
      </c>
      <c r="Z6754" t="n">
        <v>1</v>
      </c>
      <c r="AA6754">
        <f>IF(ISNUMBER('IN-CLASS_Lab Part C'!$J$6754),'IN-CLASS_Lab Part C'!$J$6754,NA())</f>
        <v/>
      </c>
    </row>
    <row r="6755">
      <c r="J6755">
        <f>IF(AND(ISNUMBER('Data'!$F$6756),'Data'!$F$6756&lt;&gt;999,'Data'!$F$6756&lt;&gt;""),'Data'!$F$6756,"")</f>
        <v/>
      </c>
      <c r="Z6755" t="n">
        <v>1</v>
      </c>
      <c r="AA6755">
        <f>IF(ISNUMBER('IN-CLASS_Lab Part C'!$J$6755),'IN-CLASS_Lab Part C'!$J$6755,NA())</f>
        <v/>
      </c>
    </row>
    <row r="6756">
      <c r="J6756">
        <f>IF(AND(ISNUMBER('Data'!$F$6757),'Data'!$F$6757&lt;&gt;999,'Data'!$F$6757&lt;&gt;""),'Data'!$F$6757,"")</f>
        <v/>
      </c>
      <c r="Z6756" t="n">
        <v>1</v>
      </c>
      <c r="AA6756">
        <f>IF(ISNUMBER('IN-CLASS_Lab Part C'!$J$6756),'IN-CLASS_Lab Part C'!$J$6756,NA())</f>
        <v/>
      </c>
    </row>
    <row r="6757">
      <c r="J6757">
        <f>IF(AND(ISNUMBER('Data'!$F$6758),'Data'!$F$6758&lt;&gt;999,'Data'!$F$6758&lt;&gt;""),'Data'!$F$6758,"")</f>
        <v/>
      </c>
      <c r="Z6757" t="n">
        <v>1</v>
      </c>
      <c r="AA6757">
        <f>IF(ISNUMBER('IN-CLASS_Lab Part C'!$J$6757),'IN-CLASS_Lab Part C'!$J$6757,NA())</f>
        <v/>
      </c>
    </row>
    <row r="6758">
      <c r="J6758">
        <f>IF(AND(ISNUMBER('Data'!$F$6759),'Data'!$F$6759&lt;&gt;999,'Data'!$F$6759&lt;&gt;""),'Data'!$F$6759,"")</f>
        <v/>
      </c>
      <c r="Z6758" t="n">
        <v>1</v>
      </c>
      <c r="AA6758">
        <f>IF(ISNUMBER('IN-CLASS_Lab Part C'!$J$6758),'IN-CLASS_Lab Part C'!$J$6758,NA())</f>
        <v/>
      </c>
    </row>
    <row r="6759">
      <c r="J6759">
        <f>IF(AND(ISNUMBER('Data'!$F$6760),'Data'!$F$6760&lt;&gt;999,'Data'!$F$6760&lt;&gt;""),'Data'!$F$6760,"")</f>
        <v/>
      </c>
      <c r="Z6759" t="n">
        <v>1</v>
      </c>
      <c r="AA6759">
        <f>IF(ISNUMBER('IN-CLASS_Lab Part C'!$J$6759),'IN-CLASS_Lab Part C'!$J$6759,NA())</f>
        <v/>
      </c>
    </row>
    <row r="6760">
      <c r="J6760">
        <f>IF(AND(ISNUMBER('Data'!$F$6761),'Data'!$F$6761&lt;&gt;999,'Data'!$F$6761&lt;&gt;""),'Data'!$F$6761,"")</f>
        <v/>
      </c>
      <c r="Z6760" t="n">
        <v>1</v>
      </c>
      <c r="AA6760">
        <f>IF(ISNUMBER('IN-CLASS_Lab Part C'!$J$6760),'IN-CLASS_Lab Part C'!$J$6760,NA())</f>
        <v/>
      </c>
    </row>
    <row r="6761">
      <c r="J6761">
        <f>IF(AND(ISNUMBER('Data'!$F$6762),'Data'!$F$6762&lt;&gt;999,'Data'!$F$6762&lt;&gt;""),'Data'!$F$6762,"")</f>
        <v/>
      </c>
      <c r="Z6761" t="n">
        <v>1</v>
      </c>
      <c r="AA6761">
        <f>IF(ISNUMBER('IN-CLASS_Lab Part C'!$J$6761),'IN-CLASS_Lab Part C'!$J$6761,NA())</f>
        <v/>
      </c>
    </row>
    <row r="6762">
      <c r="J6762">
        <f>IF(AND(ISNUMBER('Data'!$F$6763),'Data'!$F$6763&lt;&gt;999,'Data'!$F$6763&lt;&gt;""),'Data'!$F$6763,"")</f>
        <v/>
      </c>
      <c r="Z6762" t="n">
        <v>1</v>
      </c>
      <c r="AA6762">
        <f>IF(ISNUMBER('IN-CLASS_Lab Part C'!$J$6762),'IN-CLASS_Lab Part C'!$J$6762,NA())</f>
        <v/>
      </c>
    </row>
    <row r="6763">
      <c r="J6763">
        <f>IF(AND(ISNUMBER('Data'!$F$6764),'Data'!$F$6764&lt;&gt;999,'Data'!$F$6764&lt;&gt;""),'Data'!$F$6764,"")</f>
        <v/>
      </c>
      <c r="Z6763" t="n">
        <v>1</v>
      </c>
      <c r="AA6763">
        <f>IF(ISNUMBER('IN-CLASS_Lab Part C'!$J$6763),'IN-CLASS_Lab Part C'!$J$6763,NA())</f>
        <v/>
      </c>
    </row>
    <row r="6764">
      <c r="J6764">
        <f>IF(AND(ISNUMBER('Data'!$F$6765),'Data'!$F$6765&lt;&gt;999,'Data'!$F$6765&lt;&gt;""),'Data'!$F$6765,"")</f>
        <v/>
      </c>
      <c r="Z6764" t="n">
        <v>1</v>
      </c>
      <c r="AA6764">
        <f>IF(ISNUMBER('IN-CLASS_Lab Part C'!$J$6764),'IN-CLASS_Lab Part C'!$J$6764,NA())</f>
        <v/>
      </c>
    </row>
    <row r="6765">
      <c r="J6765">
        <f>IF(AND(ISNUMBER('Data'!$F$6766),'Data'!$F$6766&lt;&gt;999,'Data'!$F$6766&lt;&gt;""),'Data'!$F$6766,"")</f>
        <v/>
      </c>
      <c r="Z6765" t="n">
        <v>1</v>
      </c>
      <c r="AA6765">
        <f>IF(ISNUMBER('IN-CLASS_Lab Part C'!$J$6765),'IN-CLASS_Lab Part C'!$J$6765,NA())</f>
        <v/>
      </c>
    </row>
    <row r="6766">
      <c r="J6766">
        <f>IF(AND(ISNUMBER('Data'!$F$6767),'Data'!$F$6767&lt;&gt;999,'Data'!$F$6767&lt;&gt;""),'Data'!$F$6767,"")</f>
        <v/>
      </c>
      <c r="Z6766" t="n">
        <v>1</v>
      </c>
      <c r="AA6766">
        <f>IF(ISNUMBER('IN-CLASS_Lab Part C'!$J$6766),'IN-CLASS_Lab Part C'!$J$6766,NA())</f>
        <v/>
      </c>
    </row>
    <row r="6767">
      <c r="J6767">
        <f>IF(AND(ISNUMBER('Data'!$F$6768),'Data'!$F$6768&lt;&gt;999,'Data'!$F$6768&lt;&gt;""),'Data'!$F$6768,"")</f>
        <v/>
      </c>
      <c r="Z6767" t="n">
        <v>1</v>
      </c>
      <c r="AA6767">
        <f>IF(ISNUMBER('IN-CLASS_Lab Part C'!$J$6767),'IN-CLASS_Lab Part C'!$J$6767,NA())</f>
        <v/>
      </c>
    </row>
    <row r="6768">
      <c r="J6768">
        <f>IF(AND(ISNUMBER('Data'!$F$6769),'Data'!$F$6769&lt;&gt;999,'Data'!$F$6769&lt;&gt;""),'Data'!$F$6769,"")</f>
        <v/>
      </c>
      <c r="Z6768" t="n">
        <v>1</v>
      </c>
      <c r="AA6768">
        <f>IF(ISNUMBER('IN-CLASS_Lab Part C'!$J$6768),'IN-CLASS_Lab Part C'!$J$6768,NA())</f>
        <v/>
      </c>
    </row>
    <row r="6769">
      <c r="J6769">
        <f>IF(AND(ISNUMBER('Data'!$F$6770),'Data'!$F$6770&lt;&gt;999,'Data'!$F$6770&lt;&gt;""),'Data'!$F$6770,"")</f>
        <v/>
      </c>
      <c r="Z6769" t="n">
        <v>1</v>
      </c>
      <c r="AA6769">
        <f>IF(ISNUMBER('IN-CLASS_Lab Part C'!$J$6769),'IN-CLASS_Lab Part C'!$J$6769,NA())</f>
        <v/>
      </c>
    </row>
    <row r="6770">
      <c r="J6770">
        <f>IF(AND(ISNUMBER('Data'!$F$6771),'Data'!$F$6771&lt;&gt;999,'Data'!$F$6771&lt;&gt;""),'Data'!$F$6771,"")</f>
        <v/>
      </c>
      <c r="Z6770" t="n">
        <v>1</v>
      </c>
      <c r="AA6770">
        <f>IF(ISNUMBER('IN-CLASS_Lab Part C'!$J$6770),'IN-CLASS_Lab Part C'!$J$6770,NA())</f>
        <v/>
      </c>
    </row>
    <row r="6771">
      <c r="J6771">
        <f>IF(AND(ISNUMBER('Data'!$F$6772),'Data'!$F$6772&lt;&gt;999,'Data'!$F$6772&lt;&gt;""),'Data'!$F$6772,"")</f>
        <v/>
      </c>
      <c r="Z6771" t="n">
        <v>1</v>
      </c>
      <c r="AA6771">
        <f>IF(ISNUMBER('IN-CLASS_Lab Part C'!$J$6771),'IN-CLASS_Lab Part C'!$J$6771,NA())</f>
        <v/>
      </c>
    </row>
    <row r="6772">
      <c r="J6772">
        <f>IF(AND(ISNUMBER('Data'!$F$6773),'Data'!$F$6773&lt;&gt;999,'Data'!$F$6773&lt;&gt;""),'Data'!$F$6773,"")</f>
        <v/>
      </c>
      <c r="Z6772" t="n">
        <v>1</v>
      </c>
      <c r="AA6772">
        <f>IF(ISNUMBER('IN-CLASS_Lab Part C'!$J$6772),'IN-CLASS_Lab Part C'!$J$6772,NA())</f>
        <v/>
      </c>
    </row>
    <row r="6773">
      <c r="J6773">
        <f>IF(AND(ISNUMBER('Data'!$F$6774),'Data'!$F$6774&lt;&gt;999,'Data'!$F$6774&lt;&gt;""),'Data'!$F$6774,"")</f>
        <v/>
      </c>
      <c r="Z6773" t="n">
        <v>1</v>
      </c>
      <c r="AA6773">
        <f>IF(ISNUMBER('IN-CLASS_Lab Part C'!$J$6773),'IN-CLASS_Lab Part C'!$J$6773,NA())</f>
        <v/>
      </c>
    </row>
    <row r="6774">
      <c r="J6774">
        <f>IF(AND(ISNUMBER('Data'!$F$6775),'Data'!$F$6775&lt;&gt;999,'Data'!$F$6775&lt;&gt;""),'Data'!$F$6775,"")</f>
        <v/>
      </c>
      <c r="Z6774" t="n">
        <v>1</v>
      </c>
      <c r="AA6774">
        <f>IF(ISNUMBER('IN-CLASS_Lab Part C'!$J$6774),'IN-CLASS_Lab Part C'!$J$6774,NA())</f>
        <v/>
      </c>
    </row>
    <row r="6775">
      <c r="J6775">
        <f>IF(AND(ISNUMBER('Data'!$F$6776),'Data'!$F$6776&lt;&gt;999,'Data'!$F$6776&lt;&gt;""),'Data'!$F$6776,"")</f>
        <v/>
      </c>
      <c r="Z6775" t="n">
        <v>1</v>
      </c>
      <c r="AA6775">
        <f>IF(ISNUMBER('IN-CLASS_Lab Part C'!$J$6775),'IN-CLASS_Lab Part C'!$J$6775,NA())</f>
        <v/>
      </c>
    </row>
    <row r="6776">
      <c r="J6776">
        <f>IF(AND(ISNUMBER('Data'!$F$6777),'Data'!$F$6777&lt;&gt;999,'Data'!$F$6777&lt;&gt;""),'Data'!$F$6777,"")</f>
        <v/>
      </c>
      <c r="Z6776" t="n">
        <v>1</v>
      </c>
      <c r="AA6776">
        <f>IF(ISNUMBER('IN-CLASS_Lab Part C'!$J$6776),'IN-CLASS_Lab Part C'!$J$6776,NA())</f>
        <v/>
      </c>
    </row>
    <row r="6777">
      <c r="J6777">
        <f>IF(AND(ISNUMBER('Data'!$F$6778),'Data'!$F$6778&lt;&gt;999,'Data'!$F$6778&lt;&gt;""),'Data'!$F$6778,"")</f>
        <v/>
      </c>
      <c r="Z6777" t="n">
        <v>1</v>
      </c>
      <c r="AA6777">
        <f>IF(ISNUMBER('IN-CLASS_Lab Part C'!$J$6777),'IN-CLASS_Lab Part C'!$J$6777,NA())</f>
        <v/>
      </c>
    </row>
    <row r="6778">
      <c r="J6778">
        <f>IF(AND(ISNUMBER('Data'!$F$6779),'Data'!$F$6779&lt;&gt;999,'Data'!$F$6779&lt;&gt;""),'Data'!$F$6779,"")</f>
        <v/>
      </c>
      <c r="Z6778" t="n">
        <v>1</v>
      </c>
      <c r="AA6778">
        <f>IF(ISNUMBER('IN-CLASS_Lab Part C'!$J$6778),'IN-CLASS_Lab Part C'!$J$6778,NA())</f>
        <v/>
      </c>
    </row>
    <row r="6779">
      <c r="J6779">
        <f>IF(AND(ISNUMBER('Data'!$F$6780),'Data'!$F$6780&lt;&gt;999,'Data'!$F$6780&lt;&gt;""),'Data'!$F$6780,"")</f>
        <v/>
      </c>
      <c r="Z6779" t="n">
        <v>1</v>
      </c>
      <c r="AA6779">
        <f>IF(ISNUMBER('IN-CLASS_Lab Part C'!$J$6779),'IN-CLASS_Lab Part C'!$J$6779,NA())</f>
        <v/>
      </c>
    </row>
    <row r="6780">
      <c r="J6780">
        <f>IF(AND(ISNUMBER('Data'!$F$6781),'Data'!$F$6781&lt;&gt;999,'Data'!$F$6781&lt;&gt;""),'Data'!$F$6781,"")</f>
        <v/>
      </c>
      <c r="Z6780" t="n">
        <v>1</v>
      </c>
      <c r="AA6780">
        <f>IF(ISNUMBER('IN-CLASS_Lab Part C'!$J$6780),'IN-CLASS_Lab Part C'!$J$6780,NA())</f>
        <v/>
      </c>
    </row>
    <row r="6781">
      <c r="J6781">
        <f>IF(AND(ISNUMBER('Data'!$F$6782),'Data'!$F$6782&lt;&gt;999,'Data'!$F$6782&lt;&gt;""),'Data'!$F$6782,"")</f>
        <v/>
      </c>
      <c r="Z6781" t="n">
        <v>1</v>
      </c>
      <c r="AA6781">
        <f>IF(ISNUMBER('IN-CLASS_Lab Part C'!$J$6781),'IN-CLASS_Lab Part C'!$J$6781,NA())</f>
        <v/>
      </c>
    </row>
    <row r="6782">
      <c r="J6782">
        <f>IF(AND(ISNUMBER('Data'!$F$6783),'Data'!$F$6783&lt;&gt;999,'Data'!$F$6783&lt;&gt;""),'Data'!$F$6783,"")</f>
        <v/>
      </c>
      <c r="Z6782" t="n">
        <v>1</v>
      </c>
      <c r="AA6782">
        <f>IF(ISNUMBER('IN-CLASS_Lab Part C'!$J$6782),'IN-CLASS_Lab Part C'!$J$6782,NA())</f>
        <v/>
      </c>
    </row>
    <row r="6783">
      <c r="J6783">
        <f>IF(AND(ISNUMBER('Data'!$F$6784),'Data'!$F$6784&lt;&gt;999,'Data'!$F$6784&lt;&gt;""),'Data'!$F$6784,"")</f>
        <v/>
      </c>
      <c r="Z6783" t="n">
        <v>1</v>
      </c>
      <c r="AA6783">
        <f>IF(ISNUMBER('IN-CLASS_Lab Part C'!$J$6783),'IN-CLASS_Lab Part C'!$J$6783,NA())</f>
        <v/>
      </c>
    </row>
    <row r="6784">
      <c r="J6784">
        <f>IF(AND(ISNUMBER('Data'!$F$6785),'Data'!$F$6785&lt;&gt;999,'Data'!$F$6785&lt;&gt;""),'Data'!$F$6785,"")</f>
        <v/>
      </c>
      <c r="Z6784" t="n">
        <v>1</v>
      </c>
      <c r="AA6784">
        <f>IF(ISNUMBER('IN-CLASS_Lab Part C'!$J$6784),'IN-CLASS_Lab Part C'!$J$6784,NA())</f>
        <v/>
      </c>
    </row>
    <row r="6785">
      <c r="J6785">
        <f>IF(AND(ISNUMBER('Data'!$F$6786),'Data'!$F$6786&lt;&gt;999,'Data'!$F$6786&lt;&gt;""),'Data'!$F$6786,"")</f>
        <v/>
      </c>
      <c r="Z6785" t="n">
        <v>1</v>
      </c>
      <c r="AA6785">
        <f>IF(ISNUMBER('IN-CLASS_Lab Part C'!$J$6785),'IN-CLASS_Lab Part C'!$J$6785,NA())</f>
        <v/>
      </c>
    </row>
    <row r="6786">
      <c r="J6786">
        <f>IF(AND(ISNUMBER('Data'!$F$6787),'Data'!$F$6787&lt;&gt;999,'Data'!$F$6787&lt;&gt;""),'Data'!$F$6787,"")</f>
        <v/>
      </c>
      <c r="Z6786" t="n">
        <v>1</v>
      </c>
      <c r="AA6786">
        <f>IF(ISNUMBER('IN-CLASS_Lab Part C'!$J$6786),'IN-CLASS_Lab Part C'!$J$6786,NA())</f>
        <v/>
      </c>
    </row>
    <row r="6787">
      <c r="J6787">
        <f>IF(AND(ISNUMBER('Data'!$F$6788),'Data'!$F$6788&lt;&gt;999,'Data'!$F$6788&lt;&gt;""),'Data'!$F$6788,"")</f>
        <v/>
      </c>
      <c r="Z6787" t="n">
        <v>1</v>
      </c>
      <c r="AA6787">
        <f>IF(ISNUMBER('IN-CLASS_Lab Part C'!$J$6787),'IN-CLASS_Lab Part C'!$J$6787,NA())</f>
        <v/>
      </c>
    </row>
    <row r="6788">
      <c r="J6788">
        <f>IF(AND(ISNUMBER('Data'!$F$6789),'Data'!$F$6789&lt;&gt;999,'Data'!$F$6789&lt;&gt;""),'Data'!$F$6789,"")</f>
        <v/>
      </c>
      <c r="Z6788" t="n">
        <v>1</v>
      </c>
      <c r="AA6788">
        <f>IF(ISNUMBER('IN-CLASS_Lab Part C'!$J$6788),'IN-CLASS_Lab Part C'!$J$6788,NA())</f>
        <v/>
      </c>
    </row>
    <row r="6789">
      <c r="J6789">
        <f>IF(AND(ISNUMBER('Data'!$F$6790),'Data'!$F$6790&lt;&gt;999,'Data'!$F$6790&lt;&gt;""),'Data'!$F$6790,"")</f>
        <v/>
      </c>
      <c r="Z6789" t="n">
        <v>1</v>
      </c>
      <c r="AA6789">
        <f>IF(ISNUMBER('IN-CLASS_Lab Part C'!$J$6789),'IN-CLASS_Lab Part C'!$J$6789,NA())</f>
        <v/>
      </c>
    </row>
    <row r="6790">
      <c r="J6790">
        <f>IF(AND(ISNUMBER('Data'!$F$6791),'Data'!$F$6791&lt;&gt;999,'Data'!$F$6791&lt;&gt;""),'Data'!$F$6791,"")</f>
        <v/>
      </c>
      <c r="Z6790" t="n">
        <v>1</v>
      </c>
      <c r="AA6790">
        <f>IF(ISNUMBER('IN-CLASS_Lab Part C'!$J$6790),'IN-CLASS_Lab Part C'!$J$6790,NA())</f>
        <v/>
      </c>
    </row>
    <row r="6791">
      <c r="J6791">
        <f>IF(AND(ISNUMBER('Data'!$F$6792),'Data'!$F$6792&lt;&gt;999,'Data'!$F$6792&lt;&gt;""),'Data'!$F$6792,"")</f>
        <v/>
      </c>
      <c r="Z6791" t="n">
        <v>1</v>
      </c>
      <c r="AA6791">
        <f>IF(ISNUMBER('IN-CLASS_Lab Part C'!$J$6791),'IN-CLASS_Lab Part C'!$J$6791,NA())</f>
        <v/>
      </c>
    </row>
    <row r="6792">
      <c r="J6792">
        <f>IF(AND(ISNUMBER('Data'!$F$6793),'Data'!$F$6793&lt;&gt;999,'Data'!$F$6793&lt;&gt;""),'Data'!$F$6793,"")</f>
        <v/>
      </c>
      <c r="Z6792" t="n">
        <v>1</v>
      </c>
      <c r="AA6792">
        <f>IF(ISNUMBER('IN-CLASS_Lab Part C'!$J$6792),'IN-CLASS_Lab Part C'!$J$6792,NA())</f>
        <v/>
      </c>
    </row>
    <row r="6793">
      <c r="J6793">
        <f>IF(AND(ISNUMBER('Data'!$F$6794),'Data'!$F$6794&lt;&gt;999,'Data'!$F$6794&lt;&gt;""),'Data'!$F$6794,"")</f>
        <v/>
      </c>
      <c r="Z6793" t="n">
        <v>1</v>
      </c>
      <c r="AA6793">
        <f>IF(ISNUMBER('IN-CLASS_Lab Part C'!$J$6793),'IN-CLASS_Lab Part C'!$J$6793,NA())</f>
        <v/>
      </c>
    </row>
    <row r="6794">
      <c r="J6794">
        <f>IF(AND(ISNUMBER('Data'!$F$6795),'Data'!$F$6795&lt;&gt;999,'Data'!$F$6795&lt;&gt;""),'Data'!$F$6795,"")</f>
        <v/>
      </c>
      <c r="Z6794" t="n">
        <v>1</v>
      </c>
      <c r="AA6794">
        <f>IF(ISNUMBER('IN-CLASS_Lab Part C'!$J$6794),'IN-CLASS_Lab Part C'!$J$6794,NA())</f>
        <v/>
      </c>
    </row>
    <row r="6795">
      <c r="J6795">
        <f>IF(AND(ISNUMBER('Data'!$F$6796),'Data'!$F$6796&lt;&gt;999,'Data'!$F$6796&lt;&gt;""),'Data'!$F$6796,"")</f>
        <v/>
      </c>
      <c r="Z6795" t="n">
        <v>1</v>
      </c>
      <c r="AA6795">
        <f>IF(ISNUMBER('IN-CLASS_Lab Part C'!$J$6795),'IN-CLASS_Lab Part C'!$J$6795,NA())</f>
        <v/>
      </c>
    </row>
    <row r="6796">
      <c r="J6796">
        <f>IF(AND(ISNUMBER('Data'!$F$6797),'Data'!$F$6797&lt;&gt;999,'Data'!$F$6797&lt;&gt;""),'Data'!$F$6797,"")</f>
        <v/>
      </c>
      <c r="Z6796" t="n">
        <v>1</v>
      </c>
      <c r="AA6796">
        <f>IF(ISNUMBER('IN-CLASS_Lab Part C'!$J$6796),'IN-CLASS_Lab Part C'!$J$6796,NA())</f>
        <v/>
      </c>
    </row>
    <row r="6797">
      <c r="J6797">
        <f>IF(AND(ISNUMBER('Data'!$F$6798),'Data'!$F$6798&lt;&gt;999,'Data'!$F$6798&lt;&gt;""),'Data'!$F$6798,"")</f>
        <v/>
      </c>
      <c r="Z6797" t="n">
        <v>1</v>
      </c>
      <c r="AA6797">
        <f>IF(ISNUMBER('IN-CLASS_Lab Part C'!$J$6797),'IN-CLASS_Lab Part C'!$J$6797,NA())</f>
        <v/>
      </c>
    </row>
    <row r="6798">
      <c r="J6798">
        <f>IF(AND(ISNUMBER('Data'!$F$6799),'Data'!$F$6799&lt;&gt;999,'Data'!$F$6799&lt;&gt;""),'Data'!$F$6799,"")</f>
        <v/>
      </c>
      <c r="Z6798" t="n">
        <v>1</v>
      </c>
      <c r="AA6798">
        <f>IF(ISNUMBER('IN-CLASS_Lab Part C'!$J$6798),'IN-CLASS_Lab Part C'!$J$6798,NA())</f>
        <v/>
      </c>
    </row>
    <row r="6799">
      <c r="J6799">
        <f>IF(AND(ISNUMBER('Data'!$F$6800),'Data'!$F$6800&lt;&gt;999,'Data'!$F$6800&lt;&gt;""),'Data'!$F$6800,"")</f>
        <v/>
      </c>
      <c r="Z6799" t="n">
        <v>1</v>
      </c>
      <c r="AA6799">
        <f>IF(ISNUMBER('IN-CLASS_Lab Part C'!$J$6799),'IN-CLASS_Lab Part C'!$J$6799,NA())</f>
        <v/>
      </c>
    </row>
    <row r="6800">
      <c r="J6800">
        <f>IF(AND(ISNUMBER('Data'!$F$6801),'Data'!$F$6801&lt;&gt;999,'Data'!$F$6801&lt;&gt;""),'Data'!$F$6801,"")</f>
        <v/>
      </c>
      <c r="Z6800" t="n">
        <v>1</v>
      </c>
      <c r="AA6800">
        <f>IF(ISNUMBER('IN-CLASS_Lab Part C'!$J$6800),'IN-CLASS_Lab Part C'!$J$6800,NA())</f>
        <v/>
      </c>
    </row>
    <row r="6801">
      <c r="J6801">
        <f>IF(AND(ISNUMBER('Data'!$F$6802),'Data'!$F$6802&lt;&gt;999,'Data'!$F$6802&lt;&gt;""),'Data'!$F$6802,"")</f>
        <v/>
      </c>
      <c r="Z6801" t="n">
        <v>1</v>
      </c>
      <c r="AA6801">
        <f>IF(ISNUMBER('IN-CLASS_Lab Part C'!$J$6801),'IN-CLASS_Lab Part C'!$J$6801,NA())</f>
        <v/>
      </c>
    </row>
    <row r="6802">
      <c r="J6802">
        <f>IF(AND(ISNUMBER('Data'!$F$6803),'Data'!$F$6803&lt;&gt;999,'Data'!$F$6803&lt;&gt;""),'Data'!$F$6803,"")</f>
        <v/>
      </c>
      <c r="Z6802" t="n">
        <v>1</v>
      </c>
      <c r="AA6802">
        <f>IF(ISNUMBER('IN-CLASS_Lab Part C'!$J$6802),'IN-CLASS_Lab Part C'!$J$6802,NA())</f>
        <v/>
      </c>
    </row>
    <row r="6803">
      <c r="J6803">
        <f>IF(AND(ISNUMBER('Data'!$F$6804),'Data'!$F$6804&lt;&gt;999,'Data'!$F$6804&lt;&gt;""),'Data'!$F$6804,"")</f>
        <v/>
      </c>
      <c r="Z6803" t="n">
        <v>1</v>
      </c>
      <c r="AA6803">
        <f>IF(ISNUMBER('IN-CLASS_Lab Part C'!$J$6803),'IN-CLASS_Lab Part C'!$J$6803,NA())</f>
        <v/>
      </c>
    </row>
    <row r="6804">
      <c r="J6804">
        <f>IF(AND(ISNUMBER('Data'!$F$6805),'Data'!$F$6805&lt;&gt;999,'Data'!$F$6805&lt;&gt;""),'Data'!$F$6805,"")</f>
        <v/>
      </c>
      <c r="Z6804" t="n">
        <v>1</v>
      </c>
      <c r="AA6804">
        <f>IF(ISNUMBER('IN-CLASS_Lab Part C'!$J$6804),'IN-CLASS_Lab Part C'!$J$6804,NA())</f>
        <v/>
      </c>
    </row>
    <row r="6805">
      <c r="J6805">
        <f>IF(AND(ISNUMBER('Data'!$F$6806),'Data'!$F$6806&lt;&gt;999,'Data'!$F$6806&lt;&gt;""),'Data'!$F$6806,"")</f>
        <v/>
      </c>
      <c r="Z6805" t="n">
        <v>1</v>
      </c>
      <c r="AA6805">
        <f>IF(ISNUMBER('IN-CLASS_Lab Part C'!$J$6805),'IN-CLASS_Lab Part C'!$J$6805,NA())</f>
        <v/>
      </c>
    </row>
    <row r="6806">
      <c r="J6806">
        <f>IF(AND(ISNUMBER('Data'!$F$6807),'Data'!$F$6807&lt;&gt;999,'Data'!$F$6807&lt;&gt;""),'Data'!$F$6807,"")</f>
        <v/>
      </c>
      <c r="Z6806" t="n">
        <v>1</v>
      </c>
      <c r="AA6806">
        <f>IF(ISNUMBER('IN-CLASS_Lab Part C'!$J$6806),'IN-CLASS_Lab Part C'!$J$6806,NA())</f>
        <v/>
      </c>
    </row>
    <row r="6807">
      <c r="J6807">
        <f>IF(AND(ISNUMBER('Data'!$F$6808),'Data'!$F$6808&lt;&gt;999,'Data'!$F$6808&lt;&gt;""),'Data'!$F$6808,"")</f>
        <v/>
      </c>
      <c r="Z6807" t="n">
        <v>1</v>
      </c>
      <c r="AA6807">
        <f>IF(ISNUMBER('IN-CLASS_Lab Part C'!$J$6807),'IN-CLASS_Lab Part C'!$J$6807,NA())</f>
        <v/>
      </c>
    </row>
    <row r="6808">
      <c r="J6808">
        <f>IF(AND(ISNUMBER('Data'!$F$6809),'Data'!$F$6809&lt;&gt;999,'Data'!$F$6809&lt;&gt;""),'Data'!$F$6809,"")</f>
        <v/>
      </c>
      <c r="Z6808" t="n">
        <v>1</v>
      </c>
      <c r="AA6808">
        <f>IF(ISNUMBER('IN-CLASS_Lab Part C'!$J$6808),'IN-CLASS_Lab Part C'!$J$6808,NA())</f>
        <v/>
      </c>
    </row>
    <row r="6809">
      <c r="J6809">
        <f>IF(AND(ISNUMBER('Data'!$F$6810),'Data'!$F$6810&lt;&gt;999,'Data'!$F$6810&lt;&gt;""),'Data'!$F$6810,"")</f>
        <v/>
      </c>
      <c r="Z6809" t="n">
        <v>1</v>
      </c>
      <c r="AA6809">
        <f>IF(ISNUMBER('IN-CLASS_Lab Part C'!$J$6809),'IN-CLASS_Lab Part C'!$J$6809,NA())</f>
        <v/>
      </c>
    </row>
    <row r="6810">
      <c r="J6810">
        <f>IF(AND(ISNUMBER('Data'!$F$6811),'Data'!$F$6811&lt;&gt;999,'Data'!$F$6811&lt;&gt;""),'Data'!$F$6811,"")</f>
        <v/>
      </c>
      <c r="Z6810" t="n">
        <v>1</v>
      </c>
      <c r="AA6810">
        <f>IF(ISNUMBER('IN-CLASS_Lab Part C'!$J$6810),'IN-CLASS_Lab Part C'!$J$6810,NA())</f>
        <v/>
      </c>
    </row>
    <row r="6811">
      <c r="J6811">
        <f>IF(AND(ISNUMBER('Data'!$F$6812),'Data'!$F$6812&lt;&gt;999,'Data'!$F$6812&lt;&gt;""),'Data'!$F$6812,"")</f>
        <v/>
      </c>
      <c r="Z6811" t="n">
        <v>1</v>
      </c>
      <c r="AA6811">
        <f>IF(ISNUMBER('IN-CLASS_Lab Part C'!$J$6811),'IN-CLASS_Lab Part C'!$J$6811,NA())</f>
        <v/>
      </c>
    </row>
    <row r="6812">
      <c r="J6812">
        <f>IF(AND(ISNUMBER('Data'!$F$6813),'Data'!$F$6813&lt;&gt;999,'Data'!$F$6813&lt;&gt;""),'Data'!$F$6813,"")</f>
        <v/>
      </c>
      <c r="Z6812" t="n">
        <v>1</v>
      </c>
      <c r="AA6812">
        <f>IF(ISNUMBER('IN-CLASS_Lab Part C'!$J$6812),'IN-CLASS_Lab Part C'!$J$6812,NA())</f>
        <v/>
      </c>
    </row>
    <row r="6813">
      <c r="J6813">
        <f>IF(AND(ISNUMBER('Data'!$F$6814),'Data'!$F$6814&lt;&gt;999,'Data'!$F$6814&lt;&gt;""),'Data'!$F$6814,"")</f>
        <v/>
      </c>
      <c r="Z6813" t="n">
        <v>1</v>
      </c>
      <c r="AA6813">
        <f>IF(ISNUMBER('IN-CLASS_Lab Part C'!$J$6813),'IN-CLASS_Lab Part C'!$J$6813,NA())</f>
        <v/>
      </c>
    </row>
    <row r="6814">
      <c r="J6814">
        <f>IF(AND(ISNUMBER('Data'!$F$6815),'Data'!$F$6815&lt;&gt;999,'Data'!$F$6815&lt;&gt;""),'Data'!$F$6815,"")</f>
        <v/>
      </c>
      <c r="Z6814" t="n">
        <v>1</v>
      </c>
      <c r="AA6814">
        <f>IF(ISNUMBER('IN-CLASS_Lab Part C'!$J$6814),'IN-CLASS_Lab Part C'!$J$6814,NA())</f>
        <v/>
      </c>
    </row>
    <row r="6815">
      <c r="J6815">
        <f>IF(AND(ISNUMBER('Data'!$F$6816),'Data'!$F$6816&lt;&gt;999,'Data'!$F$6816&lt;&gt;""),'Data'!$F$6816,"")</f>
        <v/>
      </c>
      <c r="Z6815" t="n">
        <v>1</v>
      </c>
      <c r="AA6815">
        <f>IF(ISNUMBER('IN-CLASS_Lab Part C'!$J$6815),'IN-CLASS_Lab Part C'!$J$6815,NA())</f>
        <v/>
      </c>
    </row>
    <row r="6816">
      <c r="J6816">
        <f>IF(AND(ISNUMBER('Data'!$F$6817),'Data'!$F$6817&lt;&gt;999,'Data'!$F$6817&lt;&gt;""),'Data'!$F$6817,"")</f>
        <v/>
      </c>
      <c r="Z6816" t="n">
        <v>1</v>
      </c>
      <c r="AA6816">
        <f>IF(ISNUMBER('IN-CLASS_Lab Part C'!$J$6816),'IN-CLASS_Lab Part C'!$J$6816,NA())</f>
        <v/>
      </c>
    </row>
    <row r="6817">
      <c r="J6817">
        <f>IF(AND(ISNUMBER('Data'!$F$6818),'Data'!$F$6818&lt;&gt;999,'Data'!$F$6818&lt;&gt;""),'Data'!$F$6818,"")</f>
        <v/>
      </c>
      <c r="Z6817" t="n">
        <v>1</v>
      </c>
      <c r="AA6817">
        <f>IF(ISNUMBER('IN-CLASS_Lab Part C'!$J$6817),'IN-CLASS_Lab Part C'!$J$6817,NA())</f>
        <v/>
      </c>
    </row>
    <row r="6818">
      <c r="J6818">
        <f>IF(AND(ISNUMBER('Data'!$F$6819),'Data'!$F$6819&lt;&gt;999,'Data'!$F$6819&lt;&gt;""),'Data'!$F$6819,"")</f>
        <v/>
      </c>
      <c r="Z6818" t="n">
        <v>1</v>
      </c>
      <c r="AA6818">
        <f>IF(ISNUMBER('IN-CLASS_Lab Part C'!$J$6818),'IN-CLASS_Lab Part C'!$J$6818,NA())</f>
        <v/>
      </c>
    </row>
    <row r="6819">
      <c r="J6819">
        <f>IF(AND(ISNUMBER('Data'!$F$6820),'Data'!$F$6820&lt;&gt;999,'Data'!$F$6820&lt;&gt;""),'Data'!$F$6820,"")</f>
        <v/>
      </c>
      <c r="Z6819" t="n">
        <v>1</v>
      </c>
      <c r="AA6819">
        <f>IF(ISNUMBER('IN-CLASS_Lab Part C'!$J$6819),'IN-CLASS_Lab Part C'!$J$6819,NA())</f>
        <v/>
      </c>
    </row>
    <row r="6820">
      <c r="J6820">
        <f>IF(AND(ISNUMBER('Data'!$F$6821),'Data'!$F$6821&lt;&gt;999,'Data'!$F$6821&lt;&gt;""),'Data'!$F$6821,"")</f>
        <v/>
      </c>
      <c r="Z6820" t="n">
        <v>1</v>
      </c>
      <c r="AA6820">
        <f>IF(ISNUMBER('IN-CLASS_Lab Part C'!$J$6820),'IN-CLASS_Lab Part C'!$J$6820,NA())</f>
        <v/>
      </c>
    </row>
    <row r="6821">
      <c r="J6821">
        <f>IF(AND(ISNUMBER('Data'!$F$6822),'Data'!$F$6822&lt;&gt;999,'Data'!$F$6822&lt;&gt;""),'Data'!$F$6822,"")</f>
        <v/>
      </c>
      <c r="Z6821" t="n">
        <v>1</v>
      </c>
      <c r="AA6821">
        <f>IF(ISNUMBER('IN-CLASS_Lab Part C'!$J$6821),'IN-CLASS_Lab Part C'!$J$6821,NA())</f>
        <v/>
      </c>
    </row>
    <row r="6822">
      <c r="J6822">
        <f>IF(AND(ISNUMBER('Data'!$F$6823),'Data'!$F$6823&lt;&gt;999,'Data'!$F$6823&lt;&gt;""),'Data'!$F$6823,"")</f>
        <v/>
      </c>
      <c r="Z6822" t="n">
        <v>1</v>
      </c>
      <c r="AA6822">
        <f>IF(ISNUMBER('IN-CLASS_Lab Part C'!$J$6822),'IN-CLASS_Lab Part C'!$J$6822,NA())</f>
        <v/>
      </c>
    </row>
    <row r="6823">
      <c r="J6823">
        <f>IF(AND(ISNUMBER('Data'!$F$6824),'Data'!$F$6824&lt;&gt;999,'Data'!$F$6824&lt;&gt;""),'Data'!$F$6824,"")</f>
        <v/>
      </c>
      <c r="Z6823" t="n">
        <v>1</v>
      </c>
      <c r="AA6823">
        <f>IF(ISNUMBER('IN-CLASS_Lab Part C'!$J$6823),'IN-CLASS_Lab Part C'!$J$6823,NA())</f>
        <v/>
      </c>
    </row>
    <row r="6824">
      <c r="J6824">
        <f>IF(AND(ISNUMBER('Data'!$F$6825),'Data'!$F$6825&lt;&gt;999,'Data'!$F$6825&lt;&gt;""),'Data'!$F$6825,"")</f>
        <v/>
      </c>
      <c r="Z6824" t="n">
        <v>1</v>
      </c>
      <c r="AA6824">
        <f>IF(ISNUMBER('IN-CLASS_Lab Part C'!$J$6824),'IN-CLASS_Lab Part C'!$J$6824,NA())</f>
        <v/>
      </c>
    </row>
    <row r="6825">
      <c r="J6825">
        <f>IF(AND(ISNUMBER('Data'!$F$6826),'Data'!$F$6826&lt;&gt;999,'Data'!$F$6826&lt;&gt;""),'Data'!$F$6826,"")</f>
        <v/>
      </c>
      <c r="Z6825" t="n">
        <v>1</v>
      </c>
      <c r="AA6825">
        <f>IF(ISNUMBER('IN-CLASS_Lab Part C'!$J$6825),'IN-CLASS_Lab Part C'!$J$6825,NA())</f>
        <v/>
      </c>
    </row>
    <row r="6826">
      <c r="J6826">
        <f>IF(AND(ISNUMBER('Data'!$F$6827),'Data'!$F$6827&lt;&gt;999,'Data'!$F$6827&lt;&gt;""),'Data'!$F$6827,"")</f>
        <v/>
      </c>
      <c r="Z6826" t="n">
        <v>1</v>
      </c>
      <c r="AA6826">
        <f>IF(ISNUMBER('IN-CLASS_Lab Part C'!$J$6826),'IN-CLASS_Lab Part C'!$J$6826,NA())</f>
        <v/>
      </c>
    </row>
    <row r="6827">
      <c r="J6827">
        <f>IF(AND(ISNUMBER('Data'!$F$6828),'Data'!$F$6828&lt;&gt;999,'Data'!$F$6828&lt;&gt;""),'Data'!$F$6828,"")</f>
        <v/>
      </c>
      <c r="Z6827" t="n">
        <v>1</v>
      </c>
      <c r="AA6827">
        <f>IF(ISNUMBER('IN-CLASS_Lab Part C'!$J$6827),'IN-CLASS_Lab Part C'!$J$6827,NA())</f>
        <v/>
      </c>
    </row>
    <row r="6828">
      <c r="J6828">
        <f>IF(AND(ISNUMBER('Data'!$F$6829),'Data'!$F$6829&lt;&gt;999,'Data'!$F$6829&lt;&gt;""),'Data'!$F$6829,"")</f>
        <v/>
      </c>
      <c r="Z6828" t="n">
        <v>1</v>
      </c>
      <c r="AA6828">
        <f>IF(ISNUMBER('IN-CLASS_Lab Part C'!$J$6828),'IN-CLASS_Lab Part C'!$J$6828,NA())</f>
        <v/>
      </c>
    </row>
    <row r="6829">
      <c r="J6829">
        <f>IF(AND(ISNUMBER('Data'!$F$6830),'Data'!$F$6830&lt;&gt;999,'Data'!$F$6830&lt;&gt;""),'Data'!$F$6830,"")</f>
        <v/>
      </c>
      <c r="Z6829" t="n">
        <v>1</v>
      </c>
      <c r="AA6829">
        <f>IF(ISNUMBER('IN-CLASS_Lab Part C'!$J$6829),'IN-CLASS_Lab Part C'!$J$6829,NA())</f>
        <v/>
      </c>
    </row>
    <row r="6830">
      <c r="J6830">
        <f>IF(AND(ISNUMBER('Data'!$F$6831),'Data'!$F$6831&lt;&gt;999,'Data'!$F$6831&lt;&gt;""),'Data'!$F$6831,"")</f>
        <v/>
      </c>
      <c r="Z6830" t="n">
        <v>1</v>
      </c>
      <c r="AA6830">
        <f>IF(ISNUMBER('IN-CLASS_Lab Part C'!$J$6830),'IN-CLASS_Lab Part C'!$J$6830,NA())</f>
        <v/>
      </c>
    </row>
    <row r="6831">
      <c r="J6831">
        <f>IF(AND(ISNUMBER('Data'!$F$6832),'Data'!$F$6832&lt;&gt;999,'Data'!$F$6832&lt;&gt;""),'Data'!$F$6832,"")</f>
        <v/>
      </c>
      <c r="Z6831" t="n">
        <v>1</v>
      </c>
      <c r="AA6831">
        <f>IF(ISNUMBER('IN-CLASS_Lab Part C'!$J$6831),'IN-CLASS_Lab Part C'!$J$6831,NA())</f>
        <v/>
      </c>
    </row>
    <row r="6832">
      <c r="J6832">
        <f>IF(AND(ISNUMBER('Data'!$F$6833),'Data'!$F$6833&lt;&gt;999,'Data'!$F$6833&lt;&gt;""),'Data'!$F$6833,"")</f>
        <v/>
      </c>
      <c r="Z6832" t="n">
        <v>1</v>
      </c>
      <c r="AA6832">
        <f>IF(ISNUMBER('IN-CLASS_Lab Part C'!$J$6832),'IN-CLASS_Lab Part C'!$J$6832,NA())</f>
        <v/>
      </c>
    </row>
    <row r="6833">
      <c r="J6833">
        <f>IF(AND(ISNUMBER('Data'!$F$6834),'Data'!$F$6834&lt;&gt;999,'Data'!$F$6834&lt;&gt;""),'Data'!$F$6834,"")</f>
        <v/>
      </c>
      <c r="Z6833" t="n">
        <v>1</v>
      </c>
      <c r="AA6833">
        <f>IF(ISNUMBER('IN-CLASS_Lab Part C'!$J$6833),'IN-CLASS_Lab Part C'!$J$6833,NA())</f>
        <v/>
      </c>
    </row>
    <row r="6834">
      <c r="J6834">
        <f>IF(AND(ISNUMBER('Data'!$F$6835),'Data'!$F$6835&lt;&gt;999,'Data'!$F$6835&lt;&gt;""),'Data'!$F$6835,"")</f>
        <v/>
      </c>
      <c r="Z6834" t="n">
        <v>1</v>
      </c>
      <c r="AA6834">
        <f>IF(ISNUMBER('IN-CLASS_Lab Part C'!$J$6834),'IN-CLASS_Lab Part C'!$J$6834,NA())</f>
        <v/>
      </c>
    </row>
    <row r="6835">
      <c r="J6835">
        <f>IF(AND(ISNUMBER('Data'!$F$6836),'Data'!$F$6836&lt;&gt;999,'Data'!$F$6836&lt;&gt;""),'Data'!$F$6836,"")</f>
        <v/>
      </c>
      <c r="Z6835" t="n">
        <v>1</v>
      </c>
      <c r="AA6835">
        <f>IF(ISNUMBER('IN-CLASS_Lab Part C'!$J$6835),'IN-CLASS_Lab Part C'!$J$6835,NA())</f>
        <v/>
      </c>
    </row>
    <row r="6836">
      <c r="J6836">
        <f>IF(AND(ISNUMBER('Data'!$F$6837),'Data'!$F$6837&lt;&gt;999,'Data'!$F$6837&lt;&gt;""),'Data'!$F$6837,"")</f>
        <v/>
      </c>
      <c r="Z6836" t="n">
        <v>1</v>
      </c>
      <c r="AA6836">
        <f>IF(ISNUMBER('IN-CLASS_Lab Part C'!$J$6836),'IN-CLASS_Lab Part C'!$J$6836,NA())</f>
        <v/>
      </c>
    </row>
    <row r="6837">
      <c r="J6837">
        <f>IF(AND(ISNUMBER('Data'!$F$6838),'Data'!$F$6838&lt;&gt;999,'Data'!$F$6838&lt;&gt;""),'Data'!$F$6838,"")</f>
        <v/>
      </c>
      <c r="Z6837" t="n">
        <v>1</v>
      </c>
      <c r="AA6837">
        <f>IF(ISNUMBER('IN-CLASS_Lab Part C'!$J$6837),'IN-CLASS_Lab Part C'!$J$6837,NA())</f>
        <v/>
      </c>
    </row>
    <row r="6838">
      <c r="J6838">
        <f>IF(AND(ISNUMBER('Data'!$F$6839),'Data'!$F$6839&lt;&gt;999,'Data'!$F$6839&lt;&gt;""),'Data'!$F$6839,"")</f>
        <v/>
      </c>
      <c r="Z6838" t="n">
        <v>1</v>
      </c>
      <c r="AA6838">
        <f>IF(ISNUMBER('IN-CLASS_Lab Part C'!$J$6838),'IN-CLASS_Lab Part C'!$J$6838,NA())</f>
        <v/>
      </c>
    </row>
    <row r="6839">
      <c r="J6839">
        <f>IF(AND(ISNUMBER('Data'!$F$6840),'Data'!$F$6840&lt;&gt;999,'Data'!$F$6840&lt;&gt;""),'Data'!$F$6840,"")</f>
        <v/>
      </c>
      <c r="Z6839" t="n">
        <v>1</v>
      </c>
      <c r="AA6839">
        <f>IF(ISNUMBER('IN-CLASS_Lab Part C'!$J$6839),'IN-CLASS_Lab Part C'!$J$6839,NA())</f>
        <v/>
      </c>
    </row>
    <row r="6840">
      <c r="J6840">
        <f>IF(AND(ISNUMBER('Data'!$F$6841),'Data'!$F$6841&lt;&gt;999,'Data'!$F$6841&lt;&gt;""),'Data'!$F$6841,"")</f>
        <v/>
      </c>
      <c r="Z6840" t="n">
        <v>1</v>
      </c>
      <c r="AA6840">
        <f>IF(ISNUMBER('IN-CLASS_Lab Part C'!$J$6840),'IN-CLASS_Lab Part C'!$J$6840,NA())</f>
        <v/>
      </c>
    </row>
    <row r="6841">
      <c r="J6841">
        <f>IF(AND(ISNUMBER('Data'!$F$6842),'Data'!$F$6842&lt;&gt;999,'Data'!$F$6842&lt;&gt;""),'Data'!$F$6842,"")</f>
        <v/>
      </c>
      <c r="Z6841" t="n">
        <v>1</v>
      </c>
      <c r="AA6841">
        <f>IF(ISNUMBER('IN-CLASS_Lab Part C'!$J$6841),'IN-CLASS_Lab Part C'!$J$6841,NA())</f>
        <v/>
      </c>
    </row>
    <row r="6842">
      <c r="J6842">
        <f>IF(AND(ISNUMBER('Data'!$F$6843),'Data'!$F$6843&lt;&gt;999,'Data'!$F$6843&lt;&gt;""),'Data'!$F$6843,"")</f>
        <v/>
      </c>
      <c r="Z6842" t="n">
        <v>1</v>
      </c>
      <c r="AA6842">
        <f>IF(ISNUMBER('IN-CLASS_Lab Part C'!$J$6842),'IN-CLASS_Lab Part C'!$J$6842,NA())</f>
        <v/>
      </c>
    </row>
    <row r="6843">
      <c r="J6843">
        <f>IF(AND(ISNUMBER('Data'!$F$6844),'Data'!$F$6844&lt;&gt;999,'Data'!$F$6844&lt;&gt;""),'Data'!$F$6844,"")</f>
        <v/>
      </c>
      <c r="Z6843" t="n">
        <v>1</v>
      </c>
      <c r="AA6843">
        <f>IF(ISNUMBER('IN-CLASS_Lab Part C'!$J$6843),'IN-CLASS_Lab Part C'!$J$6843,NA())</f>
        <v/>
      </c>
    </row>
    <row r="6844">
      <c r="J6844">
        <f>IF(AND(ISNUMBER('Data'!$F$6845),'Data'!$F$6845&lt;&gt;999,'Data'!$F$6845&lt;&gt;""),'Data'!$F$6845,"")</f>
        <v/>
      </c>
      <c r="Z6844" t="n">
        <v>1</v>
      </c>
      <c r="AA6844">
        <f>IF(ISNUMBER('IN-CLASS_Lab Part C'!$J$6844),'IN-CLASS_Lab Part C'!$J$6844,NA())</f>
        <v/>
      </c>
    </row>
    <row r="6845">
      <c r="J6845">
        <f>IF(AND(ISNUMBER('Data'!$F$6846),'Data'!$F$6846&lt;&gt;999,'Data'!$F$6846&lt;&gt;""),'Data'!$F$6846,"")</f>
        <v/>
      </c>
      <c r="Z6845" t="n">
        <v>1</v>
      </c>
      <c r="AA6845">
        <f>IF(ISNUMBER('IN-CLASS_Lab Part C'!$J$6845),'IN-CLASS_Lab Part C'!$J$6845,NA())</f>
        <v/>
      </c>
    </row>
    <row r="6846">
      <c r="J6846">
        <f>IF(AND(ISNUMBER('Data'!$F$6847),'Data'!$F$6847&lt;&gt;999,'Data'!$F$6847&lt;&gt;""),'Data'!$F$6847,"")</f>
        <v/>
      </c>
      <c r="Z6846" t="n">
        <v>1</v>
      </c>
      <c r="AA6846">
        <f>IF(ISNUMBER('IN-CLASS_Lab Part C'!$J$6846),'IN-CLASS_Lab Part C'!$J$6846,NA())</f>
        <v/>
      </c>
    </row>
    <row r="6847">
      <c r="J6847">
        <f>IF(AND(ISNUMBER('Data'!$F$6848),'Data'!$F$6848&lt;&gt;999,'Data'!$F$6848&lt;&gt;""),'Data'!$F$6848,"")</f>
        <v/>
      </c>
      <c r="Z6847" t="n">
        <v>1</v>
      </c>
      <c r="AA6847">
        <f>IF(ISNUMBER('IN-CLASS_Lab Part C'!$J$6847),'IN-CLASS_Lab Part C'!$J$6847,NA())</f>
        <v/>
      </c>
    </row>
    <row r="6848">
      <c r="J6848">
        <f>IF(AND(ISNUMBER('Data'!$F$6849),'Data'!$F$6849&lt;&gt;999,'Data'!$F$6849&lt;&gt;""),'Data'!$F$6849,"")</f>
        <v/>
      </c>
      <c r="Z6848" t="n">
        <v>1</v>
      </c>
      <c r="AA6848">
        <f>IF(ISNUMBER('IN-CLASS_Lab Part C'!$J$6848),'IN-CLASS_Lab Part C'!$J$6848,NA())</f>
        <v/>
      </c>
    </row>
    <row r="6849">
      <c r="J6849">
        <f>IF(AND(ISNUMBER('Data'!$F$6850),'Data'!$F$6850&lt;&gt;999,'Data'!$F$6850&lt;&gt;""),'Data'!$F$6850,"")</f>
        <v/>
      </c>
      <c r="Z6849" t="n">
        <v>1</v>
      </c>
      <c r="AA6849">
        <f>IF(ISNUMBER('IN-CLASS_Lab Part C'!$J$6849),'IN-CLASS_Lab Part C'!$J$6849,NA())</f>
        <v/>
      </c>
    </row>
    <row r="6850">
      <c r="J6850">
        <f>IF(AND(ISNUMBER('Data'!$F$6851),'Data'!$F$6851&lt;&gt;999,'Data'!$F$6851&lt;&gt;""),'Data'!$F$6851,"")</f>
        <v/>
      </c>
      <c r="Z6850" t="n">
        <v>1</v>
      </c>
      <c r="AA6850">
        <f>IF(ISNUMBER('IN-CLASS_Lab Part C'!$J$6850),'IN-CLASS_Lab Part C'!$J$6850,NA())</f>
        <v/>
      </c>
    </row>
    <row r="6851">
      <c r="J6851">
        <f>IF(AND(ISNUMBER('Data'!$F$6852),'Data'!$F$6852&lt;&gt;999,'Data'!$F$6852&lt;&gt;""),'Data'!$F$6852,"")</f>
        <v/>
      </c>
      <c r="Z6851" t="n">
        <v>1</v>
      </c>
      <c r="AA6851">
        <f>IF(ISNUMBER('IN-CLASS_Lab Part C'!$J$6851),'IN-CLASS_Lab Part C'!$J$6851,NA())</f>
        <v/>
      </c>
    </row>
    <row r="6852">
      <c r="J6852">
        <f>IF(AND(ISNUMBER('Data'!$F$6853),'Data'!$F$6853&lt;&gt;999,'Data'!$F$6853&lt;&gt;""),'Data'!$F$6853,"")</f>
        <v/>
      </c>
      <c r="Z6852" t="n">
        <v>1</v>
      </c>
      <c r="AA6852">
        <f>IF(ISNUMBER('IN-CLASS_Lab Part C'!$J$6852),'IN-CLASS_Lab Part C'!$J$6852,NA())</f>
        <v/>
      </c>
    </row>
    <row r="6853">
      <c r="J6853">
        <f>IF(AND(ISNUMBER('Data'!$F$6854),'Data'!$F$6854&lt;&gt;999,'Data'!$F$6854&lt;&gt;""),'Data'!$F$6854,"")</f>
        <v/>
      </c>
      <c r="Z6853" t="n">
        <v>1</v>
      </c>
      <c r="AA6853">
        <f>IF(ISNUMBER('IN-CLASS_Lab Part C'!$J$6853),'IN-CLASS_Lab Part C'!$J$6853,NA())</f>
        <v/>
      </c>
    </row>
    <row r="6854">
      <c r="J6854">
        <f>IF(AND(ISNUMBER('Data'!$F$6855),'Data'!$F$6855&lt;&gt;999,'Data'!$F$6855&lt;&gt;""),'Data'!$F$6855,"")</f>
        <v/>
      </c>
      <c r="Z6854" t="n">
        <v>1</v>
      </c>
      <c r="AA6854">
        <f>IF(ISNUMBER('IN-CLASS_Lab Part C'!$J$6854),'IN-CLASS_Lab Part C'!$J$6854,NA())</f>
        <v/>
      </c>
    </row>
    <row r="6855">
      <c r="J6855">
        <f>IF(AND(ISNUMBER('Data'!$F$6856),'Data'!$F$6856&lt;&gt;999,'Data'!$F$6856&lt;&gt;""),'Data'!$F$6856,"")</f>
        <v/>
      </c>
      <c r="Z6855" t="n">
        <v>1</v>
      </c>
      <c r="AA6855">
        <f>IF(ISNUMBER('IN-CLASS_Lab Part C'!$J$6855),'IN-CLASS_Lab Part C'!$J$6855,NA())</f>
        <v/>
      </c>
    </row>
    <row r="6856">
      <c r="J6856">
        <f>IF(AND(ISNUMBER('Data'!$F$6857),'Data'!$F$6857&lt;&gt;999,'Data'!$F$6857&lt;&gt;""),'Data'!$F$6857,"")</f>
        <v/>
      </c>
      <c r="Z6856" t="n">
        <v>1</v>
      </c>
      <c r="AA6856">
        <f>IF(ISNUMBER('IN-CLASS_Lab Part C'!$J$6856),'IN-CLASS_Lab Part C'!$J$6856,NA())</f>
        <v/>
      </c>
    </row>
    <row r="6857">
      <c r="J6857">
        <f>IF(AND(ISNUMBER('Data'!$F$6858),'Data'!$F$6858&lt;&gt;999,'Data'!$F$6858&lt;&gt;""),'Data'!$F$6858,"")</f>
        <v/>
      </c>
      <c r="Z6857" t="n">
        <v>1</v>
      </c>
      <c r="AA6857">
        <f>IF(ISNUMBER('IN-CLASS_Lab Part C'!$J$6857),'IN-CLASS_Lab Part C'!$J$6857,NA())</f>
        <v/>
      </c>
    </row>
    <row r="6858">
      <c r="J6858">
        <f>IF(AND(ISNUMBER('Data'!$F$6859),'Data'!$F$6859&lt;&gt;999,'Data'!$F$6859&lt;&gt;""),'Data'!$F$6859,"")</f>
        <v/>
      </c>
      <c r="Z6858" t="n">
        <v>1</v>
      </c>
      <c r="AA6858">
        <f>IF(ISNUMBER('IN-CLASS_Lab Part C'!$J$6858),'IN-CLASS_Lab Part C'!$J$6858,NA())</f>
        <v/>
      </c>
    </row>
    <row r="6859">
      <c r="J6859">
        <f>IF(AND(ISNUMBER('Data'!$F$6860),'Data'!$F$6860&lt;&gt;999,'Data'!$F$6860&lt;&gt;""),'Data'!$F$6860,"")</f>
        <v/>
      </c>
      <c r="Z6859" t="n">
        <v>1</v>
      </c>
      <c r="AA6859">
        <f>IF(ISNUMBER('IN-CLASS_Lab Part C'!$J$6859),'IN-CLASS_Lab Part C'!$J$6859,NA())</f>
        <v/>
      </c>
    </row>
    <row r="6860">
      <c r="J6860">
        <f>IF(AND(ISNUMBER('Data'!$F$6861),'Data'!$F$6861&lt;&gt;999,'Data'!$F$6861&lt;&gt;""),'Data'!$F$6861,"")</f>
        <v/>
      </c>
      <c r="Z6860" t="n">
        <v>1</v>
      </c>
      <c r="AA6860">
        <f>IF(ISNUMBER('IN-CLASS_Lab Part C'!$J$6860),'IN-CLASS_Lab Part C'!$J$6860,NA())</f>
        <v/>
      </c>
    </row>
    <row r="6861">
      <c r="J6861">
        <f>IF(AND(ISNUMBER('Data'!$F$6862),'Data'!$F$6862&lt;&gt;999,'Data'!$F$6862&lt;&gt;""),'Data'!$F$6862,"")</f>
        <v/>
      </c>
      <c r="Z6861" t="n">
        <v>1</v>
      </c>
      <c r="AA6861">
        <f>IF(ISNUMBER('IN-CLASS_Lab Part C'!$J$6861),'IN-CLASS_Lab Part C'!$J$6861,NA())</f>
        <v/>
      </c>
    </row>
    <row r="6862">
      <c r="J6862">
        <f>IF(AND(ISNUMBER('Data'!$F$6863),'Data'!$F$6863&lt;&gt;999,'Data'!$F$6863&lt;&gt;""),'Data'!$F$6863,"")</f>
        <v/>
      </c>
      <c r="Z6862" t="n">
        <v>1</v>
      </c>
      <c r="AA6862">
        <f>IF(ISNUMBER('IN-CLASS_Lab Part C'!$J$6862),'IN-CLASS_Lab Part C'!$J$6862,NA())</f>
        <v/>
      </c>
    </row>
    <row r="6863">
      <c r="J6863">
        <f>IF(AND(ISNUMBER('Data'!$F$6864),'Data'!$F$6864&lt;&gt;999,'Data'!$F$6864&lt;&gt;""),'Data'!$F$6864,"")</f>
        <v/>
      </c>
      <c r="Z6863" t="n">
        <v>1</v>
      </c>
      <c r="AA6863">
        <f>IF(ISNUMBER('IN-CLASS_Lab Part C'!$J$6863),'IN-CLASS_Lab Part C'!$J$6863,NA())</f>
        <v/>
      </c>
    </row>
    <row r="6864">
      <c r="J6864">
        <f>IF(AND(ISNUMBER('Data'!$F$6865),'Data'!$F$6865&lt;&gt;999,'Data'!$F$6865&lt;&gt;""),'Data'!$F$6865,"")</f>
        <v/>
      </c>
      <c r="Z6864" t="n">
        <v>1</v>
      </c>
      <c r="AA6864">
        <f>IF(ISNUMBER('IN-CLASS_Lab Part C'!$J$6864),'IN-CLASS_Lab Part C'!$J$6864,NA())</f>
        <v/>
      </c>
    </row>
    <row r="6865">
      <c r="J6865">
        <f>IF(AND(ISNUMBER('Data'!$F$6866),'Data'!$F$6866&lt;&gt;999,'Data'!$F$6866&lt;&gt;""),'Data'!$F$6866,"")</f>
        <v/>
      </c>
      <c r="Z6865" t="n">
        <v>1</v>
      </c>
      <c r="AA6865">
        <f>IF(ISNUMBER('IN-CLASS_Lab Part C'!$J$6865),'IN-CLASS_Lab Part C'!$J$6865,NA())</f>
        <v/>
      </c>
    </row>
    <row r="6866">
      <c r="J6866">
        <f>IF(AND(ISNUMBER('Data'!$F$6867),'Data'!$F$6867&lt;&gt;999,'Data'!$F$6867&lt;&gt;""),'Data'!$F$6867,"")</f>
        <v/>
      </c>
      <c r="Z6866" t="n">
        <v>1</v>
      </c>
      <c r="AA6866">
        <f>IF(ISNUMBER('IN-CLASS_Lab Part C'!$J$6866),'IN-CLASS_Lab Part C'!$J$6866,NA())</f>
        <v/>
      </c>
    </row>
    <row r="6867">
      <c r="J6867">
        <f>IF(AND(ISNUMBER('Data'!$F$6868),'Data'!$F$6868&lt;&gt;999,'Data'!$F$6868&lt;&gt;""),'Data'!$F$6868,"")</f>
        <v/>
      </c>
      <c r="Z6867" t="n">
        <v>1</v>
      </c>
      <c r="AA6867">
        <f>IF(ISNUMBER('IN-CLASS_Lab Part C'!$J$6867),'IN-CLASS_Lab Part C'!$J$6867,NA())</f>
        <v/>
      </c>
    </row>
    <row r="6868">
      <c r="J6868">
        <f>IF(AND(ISNUMBER('Data'!$F$6869),'Data'!$F$6869&lt;&gt;999,'Data'!$F$6869&lt;&gt;""),'Data'!$F$6869,"")</f>
        <v/>
      </c>
      <c r="Z6868" t="n">
        <v>1</v>
      </c>
      <c r="AA6868">
        <f>IF(ISNUMBER('IN-CLASS_Lab Part C'!$J$6868),'IN-CLASS_Lab Part C'!$J$6868,NA())</f>
        <v/>
      </c>
    </row>
    <row r="6869">
      <c r="J6869">
        <f>IF(AND(ISNUMBER('Data'!$F$6870),'Data'!$F$6870&lt;&gt;999,'Data'!$F$6870&lt;&gt;""),'Data'!$F$6870,"")</f>
        <v/>
      </c>
      <c r="Z6869" t="n">
        <v>1</v>
      </c>
      <c r="AA6869">
        <f>IF(ISNUMBER('IN-CLASS_Lab Part C'!$J$6869),'IN-CLASS_Lab Part C'!$J$6869,NA())</f>
        <v/>
      </c>
    </row>
    <row r="6870">
      <c r="J6870">
        <f>IF(AND(ISNUMBER('Data'!$F$6871),'Data'!$F$6871&lt;&gt;999,'Data'!$F$6871&lt;&gt;""),'Data'!$F$6871,"")</f>
        <v/>
      </c>
      <c r="Z6870" t="n">
        <v>1</v>
      </c>
      <c r="AA6870">
        <f>IF(ISNUMBER('IN-CLASS_Lab Part C'!$J$6870),'IN-CLASS_Lab Part C'!$J$6870,NA())</f>
        <v/>
      </c>
    </row>
    <row r="6871">
      <c r="J6871">
        <f>IF(AND(ISNUMBER('Data'!$F$6872),'Data'!$F$6872&lt;&gt;999,'Data'!$F$6872&lt;&gt;""),'Data'!$F$6872,"")</f>
        <v/>
      </c>
      <c r="Z6871" t="n">
        <v>1</v>
      </c>
      <c r="AA6871">
        <f>IF(ISNUMBER('IN-CLASS_Lab Part C'!$J$6871),'IN-CLASS_Lab Part C'!$J$6871,NA())</f>
        <v/>
      </c>
    </row>
    <row r="6872">
      <c r="J6872">
        <f>IF(AND(ISNUMBER('Data'!$F$6873),'Data'!$F$6873&lt;&gt;999,'Data'!$F$6873&lt;&gt;""),'Data'!$F$6873,"")</f>
        <v/>
      </c>
      <c r="Z6872" t="n">
        <v>1</v>
      </c>
      <c r="AA6872">
        <f>IF(ISNUMBER('IN-CLASS_Lab Part C'!$J$6872),'IN-CLASS_Lab Part C'!$J$6872,NA())</f>
        <v/>
      </c>
    </row>
    <row r="6873">
      <c r="J6873">
        <f>IF(AND(ISNUMBER('Data'!$F$6874),'Data'!$F$6874&lt;&gt;999,'Data'!$F$6874&lt;&gt;""),'Data'!$F$6874,"")</f>
        <v/>
      </c>
      <c r="Z6873" t="n">
        <v>1</v>
      </c>
      <c r="AA6873">
        <f>IF(ISNUMBER('IN-CLASS_Lab Part C'!$J$6873),'IN-CLASS_Lab Part C'!$J$6873,NA())</f>
        <v/>
      </c>
    </row>
    <row r="6874">
      <c r="J6874">
        <f>IF(AND(ISNUMBER('Data'!$F$6875),'Data'!$F$6875&lt;&gt;999,'Data'!$F$6875&lt;&gt;""),'Data'!$F$6875,"")</f>
        <v/>
      </c>
      <c r="Z6874" t="n">
        <v>1</v>
      </c>
      <c r="AA6874">
        <f>IF(ISNUMBER('IN-CLASS_Lab Part C'!$J$6874),'IN-CLASS_Lab Part C'!$J$6874,NA())</f>
        <v/>
      </c>
    </row>
    <row r="6875">
      <c r="J6875">
        <f>IF(AND(ISNUMBER('Data'!$F$6876),'Data'!$F$6876&lt;&gt;999,'Data'!$F$6876&lt;&gt;""),'Data'!$F$6876,"")</f>
        <v/>
      </c>
      <c r="Z6875" t="n">
        <v>1</v>
      </c>
      <c r="AA6875">
        <f>IF(ISNUMBER('IN-CLASS_Lab Part C'!$J$6875),'IN-CLASS_Lab Part C'!$J$6875,NA())</f>
        <v/>
      </c>
    </row>
    <row r="6876">
      <c r="J6876">
        <f>IF(AND(ISNUMBER('Data'!$F$6877),'Data'!$F$6877&lt;&gt;999,'Data'!$F$6877&lt;&gt;""),'Data'!$F$6877,"")</f>
        <v/>
      </c>
      <c r="Z6876" t="n">
        <v>1</v>
      </c>
      <c r="AA6876">
        <f>IF(ISNUMBER('IN-CLASS_Lab Part C'!$J$6876),'IN-CLASS_Lab Part C'!$J$6876,NA())</f>
        <v/>
      </c>
    </row>
    <row r="6877">
      <c r="J6877">
        <f>IF(AND(ISNUMBER('Data'!$F$6878),'Data'!$F$6878&lt;&gt;999,'Data'!$F$6878&lt;&gt;""),'Data'!$F$6878,"")</f>
        <v/>
      </c>
      <c r="Z6877" t="n">
        <v>1</v>
      </c>
      <c r="AA6877">
        <f>IF(ISNUMBER('IN-CLASS_Lab Part C'!$J$6877),'IN-CLASS_Lab Part C'!$J$6877,NA())</f>
        <v/>
      </c>
    </row>
    <row r="6878">
      <c r="J6878">
        <f>IF(AND(ISNUMBER('Data'!$F$6879),'Data'!$F$6879&lt;&gt;999,'Data'!$F$6879&lt;&gt;""),'Data'!$F$6879,"")</f>
        <v/>
      </c>
      <c r="Z6878" t="n">
        <v>1</v>
      </c>
      <c r="AA6878">
        <f>IF(ISNUMBER('IN-CLASS_Lab Part C'!$J$6878),'IN-CLASS_Lab Part C'!$J$6878,NA())</f>
        <v/>
      </c>
    </row>
    <row r="6879">
      <c r="J6879">
        <f>IF(AND(ISNUMBER('Data'!$F$6880),'Data'!$F$6880&lt;&gt;999,'Data'!$F$6880&lt;&gt;""),'Data'!$F$6880,"")</f>
        <v/>
      </c>
      <c r="Z6879" t="n">
        <v>1</v>
      </c>
      <c r="AA6879">
        <f>IF(ISNUMBER('IN-CLASS_Lab Part C'!$J$6879),'IN-CLASS_Lab Part C'!$J$6879,NA())</f>
        <v/>
      </c>
    </row>
    <row r="6880">
      <c r="J6880">
        <f>IF(AND(ISNUMBER('Data'!$F$6881),'Data'!$F$6881&lt;&gt;999,'Data'!$F$6881&lt;&gt;""),'Data'!$F$6881,"")</f>
        <v/>
      </c>
      <c r="Z6880" t="n">
        <v>1</v>
      </c>
      <c r="AA6880">
        <f>IF(ISNUMBER('IN-CLASS_Lab Part C'!$J$6880),'IN-CLASS_Lab Part C'!$J$6880,NA())</f>
        <v/>
      </c>
    </row>
    <row r="6881">
      <c r="J6881">
        <f>IF(AND(ISNUMBER('Data'!$F$6882),'Data'!$F$6882&lt;&gt;999,'Data'!$F$6882&lt;&gt;""),'Data'!$F$6882,"")</f>
        <v/>
      </c>
      <c r="Z6881" t="n">
        <v>1</v>
      </c>
      <c r="AA6881">
        <f>IF(ISNUMBER('IN-CLASS_Lab Part C'!$J$6881),'IN-CLASS_Lab Part C'!$J$6881,NA())</f>
        <v/>
      </c>
    </row>
    <row r="6882">
      <c r="J6882">
        <f>IF(AND(ISNUMBER('Data'!$F$6883),'Data'!$F$6883&lt;&gt;999,'Data'!$F$6883&lt;&gt;""),'Data'!$F$6883,"")</f>
        <v/>
      </c>
      <c r="Z6882" t="n">
        <v>1</v>
      </c>
      <c r="AA6882">
        <f>IF(ISNUMBER('IN-CLASS_Lab Part C'!$J$6882),'IN-CLASS_Lab Part C'!$J$6882,NA())</f>
        <v/>
      </c>
    </row>
    <row r="6883">
      <c r="J6883">
        <f>IF(AND(ISNUMBER('Data'!$F$6884),'Data'!$F$6884&lt;&gt;999,'Data'!$F$6884&lt;&gt;""),'Data'!$F$6884,"")</f>
        <v/>
      </c>
      <c r="Z6883" t="n">
        <v>1</v>
      </c>
      <c r="AA6883">
        <f>IF(ISNUMBER('IN-CLASS_Lab Part C'!$J$6883),'IN-CLASS_Lab Part C'!$J$6883,NA())</f>
        <v/>
      </c>
    </row>
    <row r="6884">
      <c r="J6884">
        <f>IF(AND(ISNUMBER('Data'!$F$6885),'Data'!$F$6885&lt;&gt;999,'Data'!$F$6885&lt;&gt;""),'Data'!$F$6885,"")</f>
        <v/>
      </c>
      <c r="Z6884" t="n">
        <v>1</v>
      </c>
      <c r="AA6884">
        <f>IF(ISNUMBER('IN-CLASS_Lab Part C'!$J$6884),'IN-CLASS_Lab Part C'!$J$6884,NA())</f>
        <v/>
      </c>
    </row>
    <row r="6885">
      <c r="J6885">
        <f>IF(AND(ISNUMBER('Data'!$F$6886),'Data'!$F$6886&lt;&gt;999,'Data'!$F$6886&lt;&gt;""),'Data'!$F$6886,"")</f>
        <v/>
      </c>
      <c r="Z6885" t="n">
        <v>1</v>
      </c>
      <c r="AA6885">
        <f>IF(ISNUMBER('IN-CLASS_Lab Part C'!$J$6885),'IN-CLASS_Lab Part C'!$J$6885,NA())</f>
        <v/>
      </c>
    </row>
    <row r="6886">
      <c r="J6886">
        <f>IF(AND(ISNUMBER('Data'!$F$6887),'Data'!$F$6887&lt;&gt;999,'Data'!$F$6887&lt;&gt;""),'Data'!$F$6887,"")</f>
        <v/>
      </c>
      <c r="Z6886" t="n">
        <v>1</v>
      </c>
      <c r="AA6886">
        <f>IF(ISNUMBER('IN-CLASS_Lab Part C'!$J$6886),'IN-CLASS_Lab Part C'!$J$6886,NA())</f>
        <v/>
      </c>
    </row>
    <row r="6887">
      <c r="J6887">
        <f>IF(AND(ISNUMBER('Data'!$F$6888),'Data'!$F$6888&lt;&gt;999,'Data'!$F$6888&lt;&gt;""),'Data'!$F$6888,"")</f>
        <v/>
      </c>
      <c r="Z6887" t="n">
        <v>1</v>
      </c>
      <c r="AA6887">
        <f>IF(ISNUMBER('IN-CLASS_Lab Part C'!$J$6887),'IN-CLASS_Lab Part C'!$J$6887,NA())</f>
        <v/>
      </c>
    </row>
    <row r="6888">
      <c r="J6888">
        <f>IF(AND(ISNUMBER('Data'!$F$6889),'Data'!$F$6889&lt;&gt;999,'Data'!$F$6889&lt;&gt;""),'Data'!$F$6889,"")</f>
        <v/>
      </c>
      <c r="Z6888" t="n">
        <v>1</v>
      </c>
      <c r="AA6888">
        <f>IF(ISNUMBER('IN-CLASS_Lab Part C'!$J$6888),'IN-CLASS_Lab Part C'!$J$6888,NA())</f>
        <v/>
      </c>
    </row>
    <row r="6889">
      <c r="J6889">
        <f>IF(AND(ISNUMBER('Data'!$F$6890),'Data'!$F$6890&lt;&gt;999,'Data'!$F$6890&lt;&gt;""),'Data'!$F$6890,"")</f>
        <v/>
      </c>
      <c r="Z6889" t="n">
        <v>1</v>
      </c>
      <c r="AA6889">
        <f>IF(ISNUMBER('IN-CLASS_Lab Part C'!$J$6889),'IN-CLASS_Lab Part C'!$J$6889,NA())</f>
        <v/>
      </c>
    </row>
    <row r="6890">
      <c r="J6890">
        <f>IF(AND(ISNUMBER('Data'!$F$6891),'Data'!$F$6891&lt;&gt;999,'Data'!$F$6891&lt;&gt;""),'Data'!$F$6891,"")</f>
        <v/>
      </c>
      <c r="Z6890" t="n">
        <v>1</v>
      </c>
      <c r="AA6890">
        <f>IF(ISNUMBER('IN-CLASS_Lab Part C'!$J$6890),'IN-CLASS_Lab Part C'!$J$6890,NA())</f>
        <v/>
      </c>
    </row>
    <row r="6891">
      <c r="J6891">
        <f>IF(AND(ISNUMBER('Data'!$F$6892),'Data'!$F$6892&lt;&gt;999,'Data'!$F$6892&lt;&gt;""),'Data'!$F$6892,"")</f>
        <v/>
      </c>
      <c r="Z6891" t="n">
        <v>1</v>
      </c>
      <c r="AA6891">
        <f>IF(ISNUMBER('IN-CLASS_Lab Part C'!$J$6891),'IN-CLASS_Lab Part C'!$J$6891,NA())</f>
        <v/>
      </c>
    </row>
    <row r="6892">
      <c r="J6892">
        <f>IF(AND(ISNUMBER('Data'!$F$6893),'Data'!$F$6893&lt;&gt;999,'Data'!$F$6893&lt;&gt;""),'Data'!$F$6893,"")</f>
        <v/>
      </c>
      <c r="Z6892" t="n">
        <v>1</v>
      </c>
      <c r="AA6892">
        <f>IF(ISNUMBER('IN-CLASS_Lab Part C'!$J$6892),'IN-CLASS_Lab Part C'!$J$6892,NA())</f>
        <v/>
      </c>
    </row>
    <row r="6893">
      <c r="J6893">
        <f>IF(AND(ISNUMBER('Data'!$F$6894),'Data'!$F$6894&lt;&gt;999,'Data'!$F$6894&lt;&gt;""),'Data'!$F$6894,"")</f>
        <v/>
      </c>
      <c r="Z6893" t="n">
        <v>1</v>
      </c>
      <c r="AA6893">
        <f>IF(ISNUMBER('IN-CLASS_Lab Part C'!$J$6893),'IN-CLASS_Lab Part C'!$J$6893,NA())</f>
        <v/>
      </c>
    </row>
    <row r="6894">
      <c r="J6894">
        <f>IF(AND(ISNUMBER('Data'!$F$6895),'Data'!$F$6895&lt;&gt;999,'Data'!$F$6895&lt;&gt;""),'Data'!$F$6895,"")</f>
        <v/>
      </c>
      <c r="Z6894" t="n">
        <v>1</v>
      </c>
      <c r="AA6894">
        <f>IF(ISNUMBER('IN-CLASS_Lab Part C'!$J$6894),'IN-CLASS_Lab Part C'!$J$6894,NA())</f>
        <v/>
      </c>
    </row>
    <row r="6895">
      <c r="J6895">
        <f>IF(AND(ISNUMBER('Data'!$F$6896),'Data'!$F$6896&lt;&gt;999,'Data'!$F$6896&lt;&gt;""),'Data'!$F$6896,"")</f>
        <v/>
      </c>
      <c r="Z6895" t="n">
        <v>1</v>
      </c>
      <c r="AA6895">
        <f>IF(ISNUMBER('IN-CLASS_Lab Part C'!$J$6895),'IN-CLASS_Lab Part C'!$J$6895,NA())</f>
        <v/>
      </c>
    </row>
    <row r="6896">
      <c r="J6896">
        <f>IF(AND(ISNUMBER('Data'!$F$6897),'Data'!$F$6897&lt;&gt;999,'Data'!$F$6897&lt;&gt;""),'Data'!$F$6897,"")</f>
        <v/>
      </c>
      <c r="Z6896" t="n">
        <v>1</v>
      </c>
      <c r="AA6896">
        <f>IF(ISNUMBER('IN-CLASS_Lab Part C'!$J$6896),'IN-CLASS_Lab Part C'!$J$6896,NA())</f>
        <v/>
      </c>
    </row>
    <row r="6897">
      <c r="J6897">
        <f>IF(AND(ISNUMBER('Data'!$F$6898),'Data'!$F$6898&lt;&gt;999,'Data'!$F$6898&lt;&gt;""),'Data'!$F$6898,"")</f>
        <v/>
      </c>
      <c r="Z6897" t="n">
        <v>1</v>
      </c>
      <c r="AA6897">
        <f>IF(ISNUMBER('IN-CLASS_Lab Part C'!$J$6897),'IN-CLASS_Lab Part C'!$J$6897,NA())</f>
        <v/>
      </c>
    </row>
    <row r="6898">
      <c r="J6898">
        <f>IF(AND(ISNUMBER('Data'!$F$6899),'Data'!$F$6899&lt;&gt;999,'Data'!$F$6899&lt;&gt;""),'Data'!$F$6899,"")</f>
        <v/>
      </c>
      <c r="Z6898" t="n">
        <v>1</v>
      </c>
      <c r="AA6898">
        <f>IF(ISNUMBER('IN-CLASS_Lab Part C'!$J$6898),'IN-CLASS_Lab Part C'!$J$6898,NA())</f>
        <v/>
      </c>
    </row>
    <row r="6899">
      <c r="J6899">
        <f>IF(AND(ISNUMBER('Data'!$F$6900),'Data'!$F$6900&lt;&gt;999,'Data'!$F$6900&lt;&gt;""),'Data'!$F$6900,"")</f>
        <v/>
      </c>
      <c r="Z6899" t="n">
        <v>1</v>
      </c>
      <c r="AA6899">
        <f>IF(ISNUMBER('IN-CLASS_Lab Part C'!$J$6899),'IN-CLASS_Lab Part C'!$J$6899,NA())</f>
        <v/>
      </c>
    </row>
    <row r="6900">
      <c r="J6900">
        <f>IF(AND(ISNUMBER('Data'!$F$6901),'Data'!$F$6901&lt;&gt;999,'Data'!$F$6901&lt;&gt;""),'Data'!$F$6901,"")</f>
        <v/>
      </c>
      <c r="Z6900" t="n">
        <v>1</v>
      </c>
      <c r="AA6900">
        <f>IF(ISNUMBER('IN-CLASS_Lab Part C'!$J$6900),'IN-CLASS_Lab Part C'!$J$6900,NA())</f>
        <v/>
      </c>
    </row>
    <row r="6901">
      <c r="J6901">
        <f>IF(AND(ISNUMBER('Data'!$F$6902),'Data'!$F$6902&lt;&gt;999,'Data'!$F$6902&lt;&gt;""),'Data'!$F$6902,"")</f>
        <v/>
      </c>
      <c r="Z6901" t="n">
        <v>1</v>
      </c>
      <c r="AA6901">
        <f>IF(ISNUMBER('IN-CLASS_Lab Part C'!$J$6901),'IN-CLASS_Lab Part C'!$J$6901,NA())</f>
        <v/>
      </c>
    </row>
    <row r="6902">
      <c r="J6902">
        <f>IF(AND(ISNUMBER('Data'!$F$6903),'Data'!$F$6903&lt;&gt;999,'Data'!$F$6903&lt;&gt;""),'Data'!$F$6903,"")</f>
        <v/>
      </c>
      <c r="Z6902" t="n">
        <v>1</v>
      </c>
      <c r="AA6902">
        <f>IF(ISNUMBER('IN-CLASS_Lab Part C'!$J$6902),'IN-CLASS_Lab Part C'!$J$6902,NA())</f>
        <v/>
      </c>
    </row>
    <row r="6903">
      <c r="J6903">
        <f>IF(AND(ISNUMBER('Data'!$F$6904),'Data'!$F$6904&lt;&gt;999,'Data'!$F$6904&lt;&gt;""),'Data'!$F$6904,"")</f>
        <v/>
      </c>
      <c r="Z6903" t="n">
        <v>1</v>
      </c>
      <c r="AA6903">
        <f>IF(ISNUMBER('IN-CLASS_Lab Part C'!$J$6903),'IN-CLASS_Lab Part C'!$J$6903,NA())</f>
        <v/>
      </c>
    </row>
    <row r="6904">
      <c r="J6904">
        <f>IF(AND(ISNUMBER('Data'!$F$6905),'Data'!$F$6905&lt;&gt;999,'Data'!$F$6905&lt;&gt;""),'Data'!$F$6905,"")</f>
        <v/>
      </c>
      <c r="Z6904" t="n">
        <v>1</v>
      </c>
      <c r="AA6904">
        <f>IF(ISNUMBER('IN-CLASS_Lab Part C'!$J$6904),'IN-CLASS_Lab Part C'!$J$6904,NA())</f>
        <v/>
      </c>
    </row>
    <row r="6905">
      <c r="J6905">
        <f>IF(AND(ISNUMBER('Data'!$F$6906),'Data'!$F$6906&lt;&gt;999,'Data'!$F$6906&lt;&gt;""),'Data'!$F$6906,"")</f>
        <v/>
      </c>
      <c r="Z6905" t="n">
        <v>1</v>
      </c>
      <c r="AA6905">
        <f>IF(ISNUMBER('IN-CLASS_Lab Part C'!$J$6905),'IN-CLASS_Lab Part C'!$J$6905,NA())</f>
        <v/>
      </c>
    </row>
    <row r="6906">
      <c r="J6906">
        <f>IF(AND(ISNUMBER('Data'!$F$6907),'Data'!$F$6907&lt;&gt;999,'Data'!$F$6907&lt;&gt;""),'Data'!$F$6907,"")</f>
        <v/>
      </c>
      <c r="Z6906" t="n">
        <v>1</v>
      </c>
      <c r="AA6906">
        <f>IF(ISNUMBER('IN-CLASS_Lab Part C'!$J$6906),'IN-CLASS_Lab Part C'!$J$6906,NA())</f>
        <v/>
      </c>
    </row>
    <row r="6907">
      <c r="J6907">
        <f>IF(AND(ISNUMBER('Data'!$F$6908),'Data'!$F$6908&lt;&gt;999,'Data'!$F$6908&lt;&gt;""),'Data'!$F$6908,"")</f>
        <v/>
      </c>
      <c r="Z6907" t="n">
        <v>1</v>
      </c>
      <c r="AA6907">
        <f>IF(ISNUMBER('IN-CLASS_Lab Part C'!$J$6907),'IN-CLASS_Lab Part C'!$J$6907,NA())</f>
        <v/>
      </c>
    </row>
    <row r="6908">
      <c r="J6908">
        <f>IF(AND(ISNUMBER('Data'!$F$6909),'Data'!$F$6909&lt;&gt;999,'Data'!$F$6909&lt;&gt;""),'Data'!$F$6909,"")</f>
        <v/>
      </c>
      <c r="Z6908" t="n">
        <v>1</v>
      </c>
      <c r="AA6908">
        <f>IF(ISNUMBER('IN-CLASS_Lab Part C'!$J$6908),'IN-CLASS_Lab Part C'!$J$6908,NA())</f>
        <v/>
      </c>
    </row>
    <row r="6909">
      <c r="J6909">
        <f>IF(AND(ISNUMBER('Data'!$F$6910),'Data'!$F$6910&lt;&gt;999,'Data'!$F$6910&lt;&gt;""),'Data'!$F$6910,"")</f>
        <v/>
      </c>
      <c r="Z6909" t="n">
        <v>1</v>
      </c>
      <c r="AA6909">
        <f>IF(ISNUMBER('IN-CLASS_Lab Part C'!$J$6909),'IN-CLASS_Lab Part C'!$J$6909,NA())</f>
        <v/>
      </c>
    </row>
    <row r="6910">
      <c r="J6910">
        <f>IF(AND(ISNUMBER('Data'!$F$6911),'Data'!$F$6911&lt;&gt;999,'Data'!$F$6911&lt;&gt;""),'Data'!$F$6911,"")</f>
        <v/>
      </c>
      <c r="Z6910" t="n">
        <v>1</v>
      </c>
      <c r="AA6910">
        <f>IF(ISNUMBER('IN-CLASS_Lab Part C'!$J$6910),'IN-CLASS_Lab Part C'!$J$6910,NA())</f>
        <v/>
      </c>
    </row>
    <row r="6911">
      <c r="J6911">
        <f>IF(AND(ISNUMBER('Data'!$F$6912),'Data'!$F$6912&lt;&gt;999,'Data'!$F$6912&lt;&gt;""),'Data'!$F$6912,"")</f>
        <v/>
      </c>
      <c r="Z6911" t="n">
        <v>1</v>
      </c>
      <c r="AA6911">
        <f>IF(ISNUMBER('IN-CLASS_Lab Part C'!$J$6911),'IN-CLASS_Lab Part C'!$J$6911,NA())</f>
        <v/>
      </c>
    </row>
    <row r="6912">
      <c r="J6912">
        <f>IF(AND(ISNUMBER('Data'!$F$6913),'Data'!$F$6913&lt;&gt;999,'Data'!$F$6913&lt;&gt;""),'Data'!$F$6913,"")</f>
        <v/>
      </c>
      <c r="Z6912" t="n">
        <v>1</v>
      </c>
      <c r="AA6912">
        <f>IF(ISNUMBER('IN-CLASS_Lab Part C'!$J$6912),'IN-CLASS_Lab Part C'!$J$6912,NA())</f>
        <v/>
      </c>
    </row>
    <row r="6913">
      <c r="J6913">
        <f>IF(AND(ISNUMBER('Data'!$F$6914),'Data'!$F$6914&lt;&gt;999,'Data'!$F$6914&lt;&gt;""),'Data'!$F$6914,"")</f>
        <v/>
      </c>
      <c r="Z6913" t="n">
        <v>1</v>
      </c>
      <c r="AA6913">
        <f>IF(ISNUMBER('IN-CLASS_Lab Part C'!$J$6913),'IN-CLASS_Lab Part C'!$J$6913,NA())</f>
        <v/>
      </c>
    </row>
    <row r="6914">
      <c r="J6914">
        <f>IF(AND(ISNUMBER('Data'!$F$6915),'Data'!$F$6915&lt;&gt;999,'Data'!$F$6915&lt;&gt;""),'Data'!$F$6915,"")</f>
        <v/>
      </c>
      <c r="Z6914" t="n">
        <v>1</v>
      </c>
      <c r="AA6914">
        <f>IF(ISNUMBER('IN-CLASS_Lab Part C'!$J$6914),'IN-CLASS_Lab Part C'!$J$6914,NA())</f>
        <v/>
      </c>
    </row>
    <row r="6915">
      <c r="J6915">
        <f>IF(AND(ISNUMBER('Data'!$F$6916),'Data'!$F$6916&lt;&gt;999,'Data'!$F$6916&lt;&gt;""),'Data'!$F$6916,"")</f>
        <v/>
      </c>
      <c r="Z6915" t="n">
        <v>1</v>
      </c>
      <c r="AA6915">
        <f>IF(ISNUMBER('IN-CLASS_Lab Part C'!$J$6915),'IN-CLASS_Lab Part C'!$J$6915,NA())</f>
        <v/>
      </c>
    </row>
    <row r="6916">
      <c r="J6916">
        <f>IF(AND(ISNUMBER('Data'!$F$6917),'Data'!$F$6917&lt;&gt;999,'Data'!$F$6917&lt;&gt;""),'Data'!$F$6917,"")</f>
        <v/>
      </c>
      <c r="Z6916" t="n">
        <v>1</v>
      </c>
      <c r="AA6916">
        <f>IF(ISNUMBER('IN-CLASS_Lab Part C'!$J$6916),'IN-CLASS_Lab Part C'!$J$6916,NA())</f>
        <v/>
      </c>
    </row>
    <row r="6917">
      <c r="J6917">
        <f>IF(AND(ISNUMBER('Data'!$F$6918),'Data'!$F$6918&lt;&gt;999,'Data'!$F$6918&lt;&gt;""),'Data'!$F$6918,"")</f>
        <v/>
      </c>
      <c r="Z6917" t="n">
        <v>1</v>
      </c>
      <c r="AA6917">
        <f>IF(ISNUMBER('IN-CLASS_Lab Part C'!$J$6917),'IN-CLASS_Lab Part C'!$J$6917,NA())</f>
        <v/>
      </c>
    </row>
    <row r="6918">
      <c r="J6918">
        <f>IF(AND(ISNUMBER('Data'!$F$6919),'Data'!$F$6919&lt;&gt;999,'Data'!$F$6919&lt;&gt;""),'Data'!$F$6919,"")</f>
        <v/>
      </c>
      <c r="Z6918" t="n">
        <v>1</v>
      </c>
      <c r="AA6918">
        <f>IF(ISNUMBER('IN-CLASS_Lab Part C'!$J$6918),'IN-CLASS_Lab Part C'!$J$6918,NA())</f>
        <v/>
      </c>
    </row>
    <row r="6919">
      <c r="J6919">
        <f>IF(AND(ISNUMBER('Data'!$F$6920),'Data'!$F$6920&lt;&gt;999,'Data'!$F$6920&lt;&gt;""),'Data'!$F$6920,"")</f>
        <v/>
      </c>
      <c r="Z6919" t="n">
        <v>1</v>
      </c>
      <c r="AA6919">
        <f>IF(ISNUMBER('IN-CLASS_Lab Part C'!$J$6919),'IN-CLASS_Lab Part C'!$J$6919,NA())</f>
        <v/>
      </c>
    </row>
    <row r="6920">
      <c r="J6920">
        <f>IF(AND(ISNUMBER('Data'!$F$6921),'Data'!$F$6921&lt;&gt;999,'Data'!$F$6921&lt;&gt;""),'Data'!$F$6921,"")</f>
        <v/>
      </c>
      <c r="Z6920" t="n">
        <v>1</v>
      </c>
      <c r="AA6920">
        <f>IF(ISNUMBER('IN-CLASS_Lab Part C'!$J$6920),'IN-CLASS_Lab Part C'!$J$6920,NA())</f>
        <v/>
      </c>
    </row>
    <row r="6921">
      <c r="J6921">
        <f>IF(AND(ISNUMBER('Data'!$F$6922),'Data'!$F$6922&lt;&gt;999,'Data'!$F$6922&lt;&gt;""),'Data'!$F$6922,"")</f>
        <v/>
      </c>
      <c r="Z6921" t="n">
        <v>1</v>
      </c>
      <c r="AA6921">
        <f>IF(ISNUMBER('IN-CLASS_Lab Part C'!$J$6921),'IN-CLASS_Lab Part C'!$J$6921,NA())</f>
        <v/>
      </c>
    </row>
    <row r="6922">
      <c r="J6922">
        <f>IF(AND(ISNUMBER('Data'!$F$6923),'Data'!$F$6923&lt;&gt;999,'Data'!$F$6923&lt;&gt;""),'Data'!$F$6923,"")</f>
        <v/>
      </c>
      <c r="Z6922" t="n">
        <v>1</v>
      </c>
      <c r="AA6922">
        <f>IF(ISNUMBER('IN-CLASS_Lab Part C'!$J$6922),'IN-CLASS_Lab Part C'!$J$6922,NA())</f>
        <v/>
      </c>
    </row>
    <row r="6923">
      <c r="J6923">
        <f>IF(AND(ISNUMBER('Data'!$F$6924),'Data'!$F$6924&lt;&gt;999,'Data'!$F$6924&lt;&gt;""),'Data'!$F$6924,"")</f>
        <v/>
      </c>
      <c r="Z6923" t="n">
        <v>1</v>
      </c>
      <c r="AA6923">
        <f>IF(ISNUMBER('IN-CLASS_Lab Part C'!$J$6923),'IN-CLASS_Lab Part C'!$J$6923,NA())</f>
        <v/>
      </c>
    </row>
    <row r="6924">
      <c r="J6924">
        <f>IF(AND(ISNUMBER('Data'!$F$6925),'Data'!$F$6925&lt;&gt;999,'Data'!$F$6925&lt;&gt;""),'Data'!$F$6925,"")</f>
        <v/>
      </c>
      <c r="Z6924" t="n">
        <v>1</v>
      </c>
      <c r="AA6924">
        <f>IF(ISNUMBER('IN-CLASS_Lab Part C'!$J$6924),'IN-CLASS_Lab Part C'!$J$6924,NA())</f>
        <v/>
      </c>
    </row>
    <row r="6925">
      <c r="J6925">
        <f>IF(AND(ISNUMBER('Data'!$F$6926),'Data'!$F$6926&lt;&gt;999,'Data'!$F$6926&lt;&gt;""),'Data'!$F$6926,"")</f>
        <v/>
      </c>
      <c r="Z6925" t="n">
        <v>1</v>
      </c>
      <c r="AA6925">
        <f>IF(ISNUMBER('IN-CLASS_Lab Part C'!$J$6925),'IN-CLASS_Lab Part C'!$J$6925,NA())</f>
        <v/>
      </c>
    </row>
    <row r="6926">
      <c r="J6926">
        <f>IF(AND(ISNUMBER('Data'!$F$6927),'Data'!$F$6927&lt;&gt;999,'Data'!$F$6927&lt;&gt;""),'Data'!$F$6927,"")</f>
        <v/>
      </c>
      <c r="Z6926" t="n">
        <v>1</v>
      </c>
      <c r="AA6926">
        <f>IF(ISNUMBER('IN-CLASS_Lab Part C'!$J$6926),'IN-CLASS_Lab Part C'!$J$6926,NA())</f>
        <v/>
      </c>
    </row>
    <row r="6927">
      <c r="J6927">
        <f>IF(AND(ISNUMBER('Data'!$F$6928),'Data'!$F$6928&lt;&gt;999,'Data'!$F$6928&lt;&gt;""),'Data'!$F$6928,"")</f>
        <v/>
      </c>
      <c r="Z6927" t="n">
        <v>1</v>
      </c>
      <c r="AA6927">
        <f>IF(ISNUMBER('IN-CLASS_Lab Part C'!$J$6927),'IN-CLASS_Lab Part C'!$J$6927,NA())</f>
        <v/>
      </c>
    </row>
    <row r="6928">
      <c r="J6928">
        <f>IF(AND(ISNUMBER('Data'!$F$6929),'Data'!$F$6929&lt;&gt;999,'Data'!$F$6929&lt;&gt;""),'Data'!$F$6929,"")</f>
        <v/>
      </c>
      <c r="Z6928" t="n">
        <v>1</v>
      </c>
      <c r="AA6928">
        <f>IF(ISNUMBER('IN-CLASS_Lab Part C'!$J$6928),'IN-CLASS_Lab Part C'!$J$6928,NA())</f>
        <v/>
      </c>
    </row>
    <row r="6929">
      <c r="J6929">
        <f>IF(AND(ISNUMBER('Data'!$F$6930),'Data'!$F$6930&lt;&gt;999,'Data'!$F$6930&lt;&gt;""),'Data'!$F$6930,"")</f>
        <v/>
      </c>
      <c r="Z6929" t="n">
        <v>1</v>
      </c>
      <c r="AA6929">
        <f>IF(ISNUMBER('IN-CLASS_Lab Part C'!$J$6929),'IN-CLASS_Lab Part C'!$J$6929,NA())</f>
        <v/>
      </c>
    </row>
    <row r="6930">
      <c r="J6930">
        <f>IF(AND(ISNUMBER('Data'!$F$6931),'Data'!$F$6931&lt;&gt;999,'Data'!$F$6931&lt;&gt;""),'Data'!$F$6931,"")</f>
        <v/>
      </c>
      <c r="Z6930" t="n">
        <v>1</v>
      </c>
      <c r="AA6930">
        <f>IF(ISNUMBER('IN-CLASS_Lab Part C'!$J$6930),'IN-CLASS_Lab Part C'!$J$6930,NA())</f>
        <v/>
      </c>
    </row>
    <row r="6931">
      <c r="J6931">
        <f>IF(AND(ISNUMBER('Data'!$F$6932),'Data'!$F$6932&lt;&gt;999,'Data'!$F$6932&lt;&gt;""),'Data'!$F$6932,"")</f>
        <v/>
      </c>
      <c r="Z6931" t="n">
        <v>1</v>
      </c>
      <c r="AA6931">
        <f>IF(ISNUMBER('IN-CLASS_Lab Part C'!$J$6931),'IN-CLASS_Lab Part C'!$J$6931,NA())</f>
        <v/>
      </c>
    </row>
    <row r="6932">
      <c r="J6932">
        <f>IF(AND(ISNUMBER('Data'!$F$6933),'Data'!$F$6933&lt;&gt;999,'Data'!$F$6933&lt;&gt;""),'Data'!$F$6933,"")</f>
        <v/>
      </c>
      <c r="Z6932" t="n">
        <v>1</v>
      </c>
      <c r="AA6932">
        <f>IF(ISNUMBER('IN-CLASS_Lab Part C'!$J$6932),'IN-CLASS_Lab Part C'!$J$6932,NA())</f>
        <v/>
      </c>
    </row>
    <row r="6933">
      <c r="J6933">
        <f>IF(AND(ISNUMBER('Data'!$F$6934),'Data'!$F$6934&lt;&gt;999,'Data'!$F$6934&lt;&gt;""),'Data'!$F$6934,"")</f>
        <v/>
      </c>
      <c r="Z6933" t="n">
        <v>1</v>
      </c>
      <c r="AA6933">
        <f>IF(ISNUMBER('IN-CLASS_Lab Part C'!$J$6933),'IN-CLASS_Lab Part C'!$J$6933,NA())</f>
        <v/>
      </c>
    </row>
    <row r="6934">
      <c r="J6934">
        <f>IF(AND(ISNUMBER('Data'!$F$6935),'Data'!$F$6935&lt;&gt;999,'Data'!$F$6935&lt;&gt;""),'Data'!$F$6935,"")</f>
        <v/>
      </c>
      <c r="Z6934" t="n">
        <v>1</v>
      </c>
      <c r="AA6934">
        <f>IF(ISNUMBER('IN-CLASS_Lab Part C'!$J$6934),'IN-CLASS_Lab Part C'!$J$6934,NA())</f>
        <v/>
      </c>
    </row>
    <row r="6935">
      <c r="J6935">
        <f>IF(AND(ISNUMBER('Data'!$F$6936),'Data'!$F$6936&lt;&gt;999,'Data'!$F$6936&lt;&gt;""),'Data'!$F$6936,"")</f>
        <v/>
      </c>
      <c r="Z6935" t="n">
        <v>1</v>
      </c>
      <c r="AA6935">
        <f>IF(ISNUMBER('IN-CLASS_Lab Part C'!$J$6935),'IN-CLASS_Lab Part C'!$J$6935,NA())</f>
        <v/>
      </c>
    </row>
    <row r="6936">
      <c r="J6936">
        <f>IF(AND(ISNUMBER('Data'!$F$6937),'Data'!$F$6937&lt;&gt;999,'Data'!$F$6937&lt;&gt;""),'Data'!$F$6937,"")</f>
        <v/>
      </c>
      <c r="Z6936" t="n">
        <v>1</v>
      </c>
      <c r="AA6936">
        <f>IF(ISNUMBER('IN-CLASS_Lab Part C'!$J$6936),'IN-CLASS_Lab Part C'!$J$6936,NA())</f>
        <v/>
      </c>
    </row>
    <row r="6937">
      <c r="J6937">
        <f>IF(AND(ISNUMBER('Data'!$F$6938),'Data'!$F$6938&lt;&gt;999,'Data'!$F$6938&lt;&gt;""),'Data'!$F$6938,"")</f>
        <v/>
      </c>
      <c r="Z6937" t="n">
        <v>1</v>
      </c>
      <c r="AA6937">
        <f>IF(ISNUMBER('IN-CLASS_Lab Part C'!$J$6937),'IN-CLASS_Lab Part C'!$J$6937,NA())</f>
        <v/>
      </c>
    </row>
    <row r="6938">
      <c r="J6938">
        <f>IF(AND(ISNUMBER('Data'!$F$6939),'Data'!$F$6939&lt;&gt;999,'Data'!$F$6939&lt;&gt;""),'Data'!$F$6939,"")</f>
        <v/>
      </c>
      <c r="Z6938" t="n">
        <v>1</v>
      </c>
      <c r="AA6938">
        <f>IF(ISNUMBER('IN-CLASS_Lab Part C'!$J$6938),'IN-CLASS_Lab Part C'!$J$6938,NA())</f>
        <v/>
      </c>
    </row>
    <row r="6939">
      <c r="J6939">
        <f>IF(AND(ISNUMBER('Data'!$F$6940),'Data'!$F$6940&lt;&gt;999,'Data'!$F$6940&lt;&gt;""),'Data'!$F$6940,"")</f>
        <v/>
      </c>
      <c r="Z6939" t="n">
        <v>1</v>
      </c>
      <c r="AA6939">
        <f>IF(ISNUMBER('IN-CLASS_Lab Part C'!$J$6939),'IN-CLASS_Lab Part C'!$J$6939,NA())</f>
        <v/>
      </c>
    </row>
    <row r="6940">
      <c r="J6940">
        <f>IF(AND(ISNUMBER('Data'!$F$6941),'Data'!$F$6941&lt;&gt;999,'Data'!$F$6941&lt;&gt;""),'Data'!$F$6941,"")</f>
        <v/>
      </c>
      <c r="Z6940" t="n">
        <v>1</v>
      </c>
      <c r="AA6940">
        <f>IF(ISNUMBER('IN-CLASS_Lab Part C'!$J$6940),'IN-CLASS_Lab Part C'!$J$6940,NA())</f>
        <v/>
      </c>
    </row>
    <row r="6941">
      <c r="J6941">
        <f>IF(AND(ISNUMBER('Data'!$F$6942),'Data'!$F$6942&lt;&gt;999,'Data'!$F$6942&lt;&gt;""),'Data'!$F$6942,"")</f>
        <v/>
      </c>
      <c r="Z6941" t="n">
        <v>1</v>
      </c>
      <c r="AA6941">
        <f>IF(ISNUMBER('IN-CLASS_Lab Part C'!$J$6941),'IN-CLASS_Lab Part C'!$J$6941,NA())</f>
        <v/>
      </c>
    </row>
    <row r="6942">
      <c r="J6942">
        <f>IF(AND(ISNUMBER('Data'!$F$6943),'Data'!$F$6943&lt;&gt;999,'Data'!$F$6943&lt;&gt;""),'Data'!$F$6943,"")</f>
        <v/>
      </c>
      <c r="Z6942" t="n">
        <v>1</v>
      </c>
      <c r="AA6942">
        <f>IF(ISNUMBER('IN-CLASS_Lab Part C'!$J$6942),'IN-CLASS_Lab Part C'!$J$6942,NA())</f>
        <v/>
      </c>
    </row>
    <row r="6943">
      <c r="J6943">
        <f>IF(AND(ISNUMBER('Data'!$F$6944),'Data'!$F$6944&lt;&gt;999,'Data'!$F$6944&lt;&gt;""),'Data'!$F$6944,"")</f>
        <v/>
      </c>
      <c r="Z6943" t="n">
        <v>1</v>
      </c>
      <c r="AA6943">
        <f>IF(ISNUMBER('IN-CLASS_Lab Part C'!$J$6943),'IN-CLASS_Lab Part C'!$J$6943,NA())</f>
        <v/>
      </c>
    </row>
    <row r="6944">
      <c r="J6944">
        <f>IF(AND(ISNUMBER('Data'!$F$6945),'Data'!$F$6945&lt;&gt;999,'Data'!$F$6945&lt;&gt;""),'Data'!$F$6945,"")</f>
        <v/>
      </c>
      <c r="Z6944" t="n">
        <v>1</v>
      </c>
      <c r="AA6944">
        <f>IF(ISNUMBER('IN-CLASS_Lab Part C'!$J$6944),'IN-CLASS_Lab Part C'!$J$6944,NA())</f>
        <v/>
      </c>
    </row>
    <row r="6945">
      <c r="J6945">
        <f>IF(AND(ISNUMBER('Data'!$F$6946),'Data'!$F$6946&lt;&gt;999,'Data'!$F$6946&lt;&gt;""),'Data'!$F$6946,"")</f>
        <v/>
      </c>
      <c r="Z6945" t="n">
        <v>1</v>
      </c>
      <c r="AA6945">
        <f>IF(ISNUMBER('IN-CLASS_Lab Part C'!$J$6945),'IN-CLASS_Lab Part C'!$J$6945,NA())</f>
        <v/>
      </c>
    </row>
    <row r="6946">
      <c r="J6946">
        <f>IF(AND(ISNUMBER('Data'!$F$6947),'Data'!$F$6947&lt;&gt;999,'Data'!$F$6947&lt;&gt;""),'Data'!$F$6947,"")</f>
        <v/>
      </c>
      <c r="Z6946" t="n">
        <v>1</v>
      </c>
      <c r="AA6946">
        <f>IF(ISNUMBER('IN-CLASS_Lab Part C'!$J$6946),'IN-CLASS_Lab Part C'!$J$6946,NA())</f>
        <v/>
      </c>
    </row>
    <row r="6947">
      <c r="J6947">
        <f>IF(AND(ISNUMBER('Data'!$F$6948),'Data'!$F$6948&lt;&gt;999,'Data'!$F$6948&lt;&gt;""),'Data'!$F$6948,"")</f>
        <v/>
      </c>
      <c r="Z6947" t="n">
        <v>1</v>
      </c>
      <c r="AA6947">
        <f>IF(ISNUMBER('IN-CLASS_Lab Part C'!$J$6947),'IN-CLASS_Lab Part C'!$J$6947,NA())</f>
        <v/>
      </c>
    </row>
    <row r="6948">
      <c r="J6948">
        <f>IF(AND(ISNUMBER('Data'!$F$6949),'Data'!$F$6949&lt;&gt;999,'Data'!$F$6949&lt;&gt;""),'Data'!$F$6949,"")</f>
        <v/>
      </c>
      <c r="Z6948" t="n">
        <v>1</v>
      </c>
      <c r="AA6948">
        <f>IF(ISNUMBER('IN-CLASS_Lab Part C'!$J$6948),'IN-CLASS_Lab Part C'!$J$6948,NA())</f>
        <v/>
      </c>
    </row>
    <row r="6949">
      <c r="J6949">
        <f>IF(AND(ISNUMBER('Data'!$F$6950),'Data'!$F$6950&lt;&gt;999,'Data'!$F$6950&lt;&gt;""),'Data'!$F$6950,"")</f>
        <v/>
      </c>
      <c r="Z6949" t="n">
        <v>1</v>
      </c>
      <c r="AA6949">
        <f>IF(ISNUMBER('IN-CLASS_Lab Part C'!$J$6949),'IN-CLASS_Lab Part C'!$J$6949,NA())</f>
        <v/>
      </c>
    </row>
    <row r="6950">
      <c r="J6950">
        <f>IF(AND(ISNUMBER('Data'!$F$6951),'Data'!$F$6951&lt;&gt;999,'Data'!$F$6951&lt;&gt;""),'Data'!$F$6951,"")</f>
        <v/>
      </c>
      <c r="Z6950" t="n">
        <v>1</v>
      </c>
      <c r="AA6950">
        <f>IF(ISNUMBER('IN-CLASS_Lab Part C'!$J$6950),'IN-CLASS_Lab Part C'!$J$6950,NA())</f>
        <v/>
      </c>
    </row>
    <row r="6951">
      <c r="J6951">
        <f>IF(AND(ISNUMBER('Data'!$F$6952),'Data'!$F$6952&lt;&gt;999,'Data'!$F$6952&lt;&gt;""),'Data'!$F$6952,"")</f>
        <v/>
      </c>
      <c r="Z6951" t="n">
        <v>1</v>
      </c>
      <c r="AA6951">
        <f>IF(ISNUMBER('IN-CLASS_Lab Part C'!$J$6951),'IN-CLASS_Lab Part C'!$J$6951,NA())</f>
        <v/>
      </c>
    </row>
    <row r="6952">
      <c r="J6952">
        <f>IF(AND(ISNUMBER('Data'!$F$6953),'Data'!$F$6953&lt;&gt;999,'Data'!$F$6953&lt;&gt;""),'Data'!$F$6953,"")</f>
        <v/>
      </c>
      <c r="Z6952" t="n">
        <v>1</v>
      </c>
      <c r="AA6952">
        <f>IF(ISNUMBER('IN-CLASS_Lab Part C'!$J$6952),'IN-CLASS_Lab Part C'!$J$6952,NA())</f>
        <v/>
      </c>
    </row>
    <row r="6953">
      <c r="J6953">
        <f>IF(AND(ISNUMBER('Data'!$F$6954),'Data'!$F$6954&lt;&gt;999,'Data'!$F$6954&lt;&gt;""),'Data'!$F$6954,"")</f>
        <v/>
      </c>
      <c r="Z6953" t="n">
        <v>1</v>
      </c>
      <c r="AA6953">
        <f>IF(ISNUMBER('IN-CLASS_Lab Part C'!$J$6953),'IN-CLASS_Lab Part C'!$J$6953,NA())</f>
        <v/>
      </c>
    </row>
    <row r="6954">
      <c r="J6954">
        <f>IF(AND(ISNUMBER('Data'!$F$6955),'Data'!$F$6955&lt;&gt;999,'Data'!$F$6955&lt;&gt;""),'Data'!$F$6955,"")</f>
        <v/>
      </c>
      <c r="Z6954" t="n">
        <v>1</v>
      </c>
      <c r="AA6954">
        <f>IF(ISNUMBER('IN-CLASS_Lab Part C'!$J$6954),'IN-CLASS_Lab Part C'!$J$6954,NA())</f>
        <v/>
      </c>
    </row>
    <row r="6955">
      <c r="J6955">
        <f>IF(AND(ISNUMBER('Data'!$F$6956),'Data'!$F$6956&lt;&gt;999,'Data'!$F$6956&lt;&gt;""),'Data'!$F$6956,"")</f>
        <v/>
      </c>
      <c r="Z6955" t="n">
        <v>1</v>
      </c>
      <c r="AA6955">
        <f>IF(ISNUMBER('IN-CLASS_Lab Part C'!$J$6955),'IN-CLASS_Lab Part C'!$J$6955,NA())</f>
        <v/>
      </c>
    </row>
    <row r="6956">
      <c r="J6956">
        <f>IF(AND(ISNUMBER('Data'!$F$6957),'Data'!$F$6957&lt;&gt;999,'Data'!$F$6957&lt;&gt;""),'Data'!$F$6957,"")</f>
        <v/>
      </c>
      <c r="Z6956" t="n">
        <v>1</v>
      </c>
      <c r="AA6956">
        <f>IF(ISNUMBER('IN-CLASS_Lab Part C'!$J$6956),'IN-CLASS_Lab Part C'!$J$6956,NA())</f>
        <v/>
      </c>
    </row>
    <row r="6957">
      <c r="J6957">
        <f>IF(AND(ISNUMBER('Data'!$F$6958),'Data'!$F$6958&lt;&gt;999,'Data'!$F$6958&lt;&gt;""),'Data'!$F$6958,"")</f>
        <v/>
      </c>
      <c r="Z6957" t="n">
        <v>1</v>
      </c>
      <c r="AA6957">
        <f>IF(ISNUMBER('IN-CLASS_Lab Part C'!$J$6957),'IN-CLASS_Lab Part C'!$J$6957,NA())</f>
        <v/>
      </c>
    </row>
    <row r="6958">
      <c r="J6958">
        <f>IF(AND(ISNUMBER('Data'!$F$6959),'Data'!$F$6959&lt;&gt;999,'Data'!$F$6959&lt;&gt;""),'Data'!$F$6959,"")</f>
        <v/>
      </c>
      <c r="Z6958" t="n">
        <v>1</v>
      </c>
      <c r="AA6958">
        <f>IF(ISNUMBER('IN-CLASS_Lab Part C'!$J$6958),'IN-CLASS_Lab Part C'!$J$6958,NA())</f>
        <v/>
      </c>
    </row>
    <row r="6959">
      <c r="J6959">
        <f>IF(AND(ISNUMBER('Data'!$F$6960),'Data'!$F$6960&lt;&gt;999,'Data'!$F$6960&lt;&gt;""),'Data'!$F$6960,"")</f>
        <v/>
      </c>
      <c r="Z6959" t="n">
        <v>1</v>
      </c>
      <c r="AA6959">
        <f>IF(ISNUMBER('IN-CLASS_Lab Part C'!$J$6959),'IN-CLASS_Lab Part C'!$J$6959,NA())</f>
        <v/>
      </c>
    </row>
    <row r="6960">
      <c r="J6960">
        <f>IF(AND(ISNUMBER('Data'!$F$6961),'Data'!$F$6961&lt;&gt;999,'Data'!$F$6961&lt;&gt;""),'Data'!$F$6961,"")</f>
        <v/>
      </c>
      <c r="Z6960" t="n">
        <v>1</v>
      </c>
      <c r="AA6960">
        <f>IF(ISNUMBER('IN-CLASS_Lab Part C'!$J$6960),'IN-CLASS_Lab Part C'!$J$6960,NA())</f>
        <v/>
      </c>
    </row>
    <row r="6961">
      <c r="J6961">
        <f>IF(AND(ISNUMBER('Data'!$F$6962),'Data'!$F$6962&lt;&gt;999,'Data'!$F$6962&lt;&gt;""),'Data'!$F$6962,"")</f>
        <v/>
      </c>
      <c r="Z6961" t="n">
        <v>1</v>
      </c>
      <c r="AA6961">
        <f>IF(ISNUMBER('IN-CLASS_Lab Part C'!$J$6961),'IN-CLASS_Lab Part C'!$J$6961,NA())</f>
        <v/>
      </c>
    </row>
    <row r="6962">
      <c r="J6962">
        <f>IF(AND(ISNUMBER('Data'!$F$6963),'Data'!$F$6963&lt;&gt;999,'Data'!$F$6963&lt;&gt;""),'Data'!$F$6963,"")</f>
        <v/>
      </c>
      <c r="Z6962" t="n">
        <v>1</v>
      </c>
      <c r="AA6962">
        <f>IF(ISNUMBER('IN-CLASS_Lab Part C'!$J$6962),'IN-CLASS_Lab Part C'!$J$6962,NA())</f>
        <v/>
      </c>
    </row>
    <row r="6963">
      <c r="J6963">
        <f>IF(AND(ISNUMBER('Data'!$F$6964),'Data'!$F$6964&lt;&gt;999,'Data'!$F$6964&lt;&gt;""),'Data'!$F$6964,"")</f>
        <v/>
      </c>
      <c r="Z6963" t="n">
        <v>1</v>
      </c>
      <c r="AA6963">
        <f>IF(ISNUMBER('IN-CLASS_Lab Part C'!$J$6963),'IN-CLASS_Lab Part C'!$J$6963,NA())</f>
        <v/>
      </c>
    </row>
    <row r="6964">
      <c r="J6964">
        <f>IF(AND(ISNUMBER('Data'!$F$6965),'Data'!$F$6965&lt;&gt;999,'Data'!$F$6965&lt;&gt;""),'Data'!$F$6965,"")</f>
        <v/>
      </c>
      <c r="Z6964" t="n">
        <v>1</v>
      </c>
      <c r="AA6964">
        <f>IF(ISNUMBER('IN-CLASS_Lab Part C'!$J$6964),'IN-CLASS_Lab Part C'!$J$6964,NA())</f>
        <v/>
      </c>
    </row>
    <row r="6965">
      <c r="J6965">
        <f>IF(AND(ISNUMBER('Data'!$F$6966),'Data'!$F$6966&lt;&gt;999,'Data'!$F$6966&lt;&gt;""),'Data'!$F$6966,"")</f>
        <v/>
      </c>
      <c r="Z6965" t="n">
        <v>1</v>
      </c>
      <c r="AA6965">
        <f>IF(ISNUMBER('IN-CLASS_Lab Part C'!$J$6965),'IN-CLASS_Lab Part C'!$J$6965,NA())</f>
        <v/>
      </c>
    </row>
    <row r="6966">
      <c r="J6966">
        <f>IF(AND(ISNUMBER('Data'!$F$6967),'Data'!$F$6967&lt;&gt;999,'Data'!$F$6967&lt;&gt;""),'Data'!$F$6967,"")</f>
        <v/>
      </c>
      <c r="Z6966" t="n">
        <v>1</v>
      </c>
      <c r="AA6966">
        <f>IF(ISNUMBER('IN-CLASS_Lab Part C'!$J$6966),'IN-CLASS_Lab Part C'!$J$6966,NA())</f>
        <v/>
      </c>
    </row>
    <row r="6967">
      <c r="J6967">
        <f>IF(AND(ISNUMBER('Data'!$F$6968),'Data'!$F$6968&lt;&gt;999,'Data'!$F$6968&lt;&gt;""),'Data'!$F$6968,"")</f>
        <v/>
      </c>
      <c r="Z6967" t="n">
        <v>1</v>
      </c>
      <c r="AA6967">
        <f>IF(ISNUMBER('IN-CLASS_Lab Part C'!$J$6967),'IN-CLASS_Lab Part C'!$J$6967,NA())</f>
        <v/>
      </c>
    </row>
    <row r="6968">
      <c r="J6968">
        <f>IF(AND(ISNUMBER('Data'!$F$6969),'Data'!$F$6969&lt;&gt;999,'Data'!$F$6969&lt;&gt;""),'Data'!$F$6969,"")</f>
        <v/>
      </c>
      <c r="Z6968" t="n">
        <v>1</v>
      </c>
      <c r="AA6968">
        <f>IF(ISNUMBER('IN-CLASS_Lab Part C'!$J$6968),'IN-CLASS_Lab Part C'!$J$6968,NA())</f>
        <v/>
      </c>
    </row>
    <row r="6969">
      <c r="J6969">
        <f>IF(AND(ISNUMBER('Data'!$F$6970),'Data'!$F$6970&lt;&gt;999,'Data'!$F$6970&lt;&gt;""),'Data'!$F$6970,"")</f>
        <v/>
      </c>
      <c r="Z6969" t="n">
        <v>1</v>
      </c>
      <c r="AA6969">
        <f>IF(ISNUMBER('IN-CLASS_Lab Part C'!$J$6969),'IN-CLASS_Lab Part C'!$J$6969,NA())</f>
        <v/>
      </c>
    </row>
    <row r="6970">
      <c r="J6970">
        <f>IF(AND(ISNUMBER('Data'!$F$6971),'Data'!$F$6971&lt;&gt;999,'Data'!$F$6971&lt;&gt;""),'Data'!$F$6971,"")</f>
        <v/>
      </c>
      <c r="Z6970" t="n">
        <v>1</v>
      </c>
      <c r="AA6970">
        <f>IF(ISNUMBER('IN-CLASS_Lab Part C'!$J$6970),'IN-CLASS_Lab Part C'!$J$6970,NA())</f>
        <v/>
      </c>
    </row>
    <row r="6971">
      <c r="J6971">
        <f>IF(AND(ISNUMBER('Data'!$F$6972),'Data'!$F$6972&lt;&gt;999,'Data'!$F$6972&lt;&gt;""),'Data'!$F$6972,"")</f>
        <v/>
      </c>
      <c r="Z6971" t="n">
        <v>1</v>
      </c>
      <c r="AA6971">
        <f>IF(ISNUMBER('IN-CLASS_Lab Part C'!$J$6971),'IN-CLASS_Lab Part C'!$J$6971,NA())</f>
        <v/>
      </c>
    </row>
    <row r="6972">
      <c r="J6972">
        <f>IF(AND(ISNUMBER('Data'!$F$6973),'Data'!$F$6973&lt;&gt;999,'Data'!$F$6973&lt;&gt;""),'Data'!$F$6973,"")</f>
        <v/>
      </c>
      <c r="Z6972" t="n">
        <v>1</v>
      </c>
      <c r="AA6972">
        <f>IF(ISNUMBER('IN-CLASS_Lab Part C'!$J$6972),'IN-CLASS_Lab Part C'!$J$6972,NA())</f>
        <v/>
      </c>
    </row>
    <row r="6973">
      <c r="J6973">
        <f>IF(AND(ISNUMBER('Data'!$F$6974),'Data'!$F$6974&lt;&gt;999,'Data'!$F$6974&lt;&gt;""),'Data'!$F$6974,"")</f>
        <v/>
      </c>
      <c r="Z6973" t="n">
        <v>1</v>
      </c>
      <c r="AA6973">
        <f>IF(ISNUMBER('IN-CLASS_Lab Part C'!$J$6973),'IN-CLASS_Lab Part C'!$J$6973,NA())</f>
        <v/>
      </c>
    </row>
    <row r="6974">
      <c r="J6974">
        <f>IF(AND(ISNUMBER('Data'!$F$6975),'Data'!$F$6975&lt;&gt;999,'Data'!$F$6975&lt;&gt;""),'Data'!$F$6975,"")</f>
        <v/>
      </c>
      <c r="Z6974" t="n">
        <v>1</v>
      </c>
      <c r="AA6974">
        <f>IF(ISNUMBER('IN-CLASS_Lab Part C'!$J$6974),'IN-CLASS_Lab Part C'!$J$6974,NA())</f>
        <v/>
      </c>
    </row>
    <row r="6975">
      <c r="J6975">
        <f>IF(AND(ISNUMBER('Data'!$F$6976),'Data'!$F$6976&lt;&gt;999,'Data'!$F$6976&lt;&gt;""),'Data'!$F$6976,"")</f>
        <v/>
      </c>
      <c r="Z6975" t="n">
        <v>1</v>
      </c>
      <c r="AA6975">
        <f>IF(ISNUMBER('IN-CLASS_Lab Part C'!$J$6975),'IN-CLASS_Lab Part C'!$J$6975,NA())</f>
        <v/>
      </c>
    </row>
    <row r="6976">
      <c r="J6976">
        <f>IF(AND(ISNUMBER('Data'!$F$6977),'Data'!$F$6977&lt;&gt;999,'Data'!$F$6977&lt;&gt;""),'Data'!$F$6977,"")</f>
        <v/>
      </c>
      <c r="Z6976" t="n">
        <v>1</v>
      </c>
      <c r="AA6976">
        <f>IF(ISNUMBER('IN-CLASS_Lab Part C'!$J$6976),'IN-CLASS_Lab Part C'!$J$6976,NA())</f>
        <v/>
      </c>
    </row>
    <row r="6977">
      <c r="J6977">
        <f>IF(AND(ISNUMBER('Data'!$F$6978),'Data'!$F$6978&lt;&gt;999,'Data'!$F$6978&lt;&gt;""),'Data'!$F$6978,"")</f>
        <v/>
      </c>
      <c r="Z6977" t="n">
        <v>1</v>
      </c>
      <c r="AA6977">
        <f>IF(ISNUMBER('IN-CLASS_Lab Part C'!$J$6977),'IN-CLASS_Lab Part C'!$J$6977,NA())</f>
        <v/>
      </c>
    </row>
    <row r="6978">
      <c r="J6978">
        <f>IF(AND(ISNUMBER('Data'!$F$6979),'Data'!$F$6979&lt;&gt;999,'Data'!$F$6979&lt;&gt;""),'Data'!$F$6979,"")</f>
        <v/>
      </c>
      <c r="Z6978" t="n">
        <v>1</v>
      </c>
      <c r="AA6978">
        <f>IF(ISNUMBER('IN-CLASS_Lab Part C'!$J$6978),'IN-CLASS_Lab Part C'!$J$6978,NA())</f>
        <v/>
      </c>
    </row>
    <row r="6979">
      <c r="J6979">
        <f>IF(AND(ISNUMBER('Data'!$F$6980),'Data'!$F$6980&lt;&gt;999,'Data'!$F$6980&lt;&gt;""),'Data'!$F$6980,"")</f>
        <v/>
      </c>
      <c r="Z6979" t="n">
        <v>1</v>
      </c>
      <c r="AA6979">
        <f>IF(ISNUMBER('IN-CLASS_Lab Part C'!$J$6979),'IN-CLASS_Lab Part C'!$J$6979,NA())</f>
        <v/>
      </c>
    </row>
    <row r="6980">
      <c r="J6980">
        <f>IF(AND(ISNUMBER('Data'!$F$6981),'Data'!$F$6981&lt;&gt;999,'Data'!$F$6981&lt;&gt;""),'Data'!$F$6981,"")</f>
        <v/>
      </c>
      <c r="Z6980" t="n">
        <v>1</v>
      </c>
      <c r="AA6980">
        <f>IF(ISNUMBER('IN-CLASS_Lab Part C'!$J$6980),'IN-CLASS_Lab Part C'!$J$6980,NA())</f>
        <v/>
      </c>
    </row>
    <row r="6981">
      <c r="J6981">
        <f>IF(AND(ISNUMBER('Data'!$F$6982),'Data'!$F$6982&lt;&gt;999,'Data'!$F$6982&lt;&gt;""),'Data'!$F$6982,"")</f>
        <v/>
      </c>
      <c r="Z6981" t="n">
        <v>1</v>
      </c>
      <c r="AA6981">
        <f>IF(ISNUMBER('IN-CLASS_Lab Part C'!$J$6981),'IN-CLASS_Lab Part C'!$J$6981,NA())</f>
        <v/>
      </c>
    </row>
    <row r="6982">
      <c r="J6982">
        <f>IF(AND(ISNUMBER('Data'!$F$6983),'Data'!$F$6983&lt;&gt;999,'Data'!$F$6983&lt;&gt;""),'Data'!$F$6983,"")</f>
        <v/>
      </c>
      <c r="Z6982" t="n">
        <v>1</v>
      </c>
      <c r="AA6982">
        <f>IF(ISNUMBER('IN-CLASS_Lab Part C'!$J$6982),'IN-CLASS_Lab Part C'!$J$6982,NA())</f>
        <v/>
      </c>
    </row>
    <row r="6983">
      <c r="J6983">
        <f>IF(AND(ISNUMBER('Data'!$F$6984),'Data'!$F$6984&lt;&gt;999,'Data'!$F$6984&lt;&gt;""),'Data'!$F$6984,"")</f>
        <v/>
      </c>
      <c r="Z6983" t="n">
        <v>1</v>
      </c>
      <c r="AA6983">
        <f>IF(ISNUMBER('IN-CLASS_Lab Part C'!$J$6983),'IN-CLASS_Lab Part C'!$J$6983,NA())</f>
        <v/>
      </c>
    </row>
    <row r="6984">
      <c r="J6984">
        <f>IF(AND(ISNUMBER('Data'!$F$6985),'Data'!$F$6985&lt;&gt;999,'Data'!$F$6985&lt;&gt;""),'Data'!$F$6985,"")</f>
        <v/>
      </c>
      <c r="Z6984" t="n">
        <v>1</v>
      </c>
      <c r="AA6984">
        <f>IF(ISNUMBER('IN-CLASS_Lab Part C'!$J$6984),'IN-CLASS_Lab Part C'!$J$6984,NA())</f>
        <v/>
      </c>
    </row>
    <row r="6985">
      <c r="J6985">
        <f>IF(AND(ISNUMBER('Data'!$F$6986),'Data'!$F$6986&lt;&gt;999,'Data'!$F$6986&lt;&gt;""),'Data'!$F$6986,"")</f>
        <v/>
      </c>
      <c r="Z6985" t="n">
        <v>1</v>
      </c>
      <c r="AA6985">
        <f>IF(ISNUMBER('IN-CLASS_Lab Part C'!$J$6985),'IN-CLASS_Lab Part C'!$J$6985,NA())</f>
        <v/>
      </c>
    </row>
    <row r="6986">
      <c r="J6986">
        <f>IF(AND(ISNUMBER('Data'!$F$6987),'Data'!$F$6987&lt;&gt;999,'Data'!$F$6987&lt;&gt;""),'Data'!$F$6987,"")</f>
        <v/>
      </c>
      <c r="Z6986" t="n">
        <v>1</v>
      </c>
      <c r="AA6986">
        <f>IF(ISNUMBER('IN-CLASS_Lab Part C'!$J$6986),'IN-CLASS_Lab Part C'!$J$6986,NA())</f>
        <v/>
      </c>
    </row>
    <row r="6987">
      <c r="J6987">
        <f>IF(AND(ISNUMBER('Data'!$F$6988),'Data'!$F$6988&lt;&gt;999,'Data'!$F$6988&lt;&gt;""),'Data'!$F$6988,"")</f>
        <v/>
      </c>
      <c r="Z6987" t="n">
        <v>1</v>
      </c>
      <c r="AA6987">
        <f>IF(ISNUMBER('IN-CLASS_Lab Part C'!$J$6987),'IN-CLASS_Lab Part C'!$J$6987,NA())</f>
        <v/>
      </c>
    </row>
    <row r="6988">
      <c r="J6988">
        <f>IF(AND(ISNUMBER('Data'!$F$6989),'Data'!$F$6989&lt;&gt;999,'Data'!$F$6989&lt;&gt;""),'Data'!$F$6989,"")</f>
        <v/>
      </c>
      <c r="Z6988" t="n">
        <v>1</v>
      </c>
      <c r="AA6988">
        <f>IF(ISNUMBER('IN-CLASS_Lab Part C'!$J$6988),'IN-CLASS_Lab Part C'!$J$6988,NA())</f>
        <v/>
      </c>
    </row>
    <row r="6989">
      <c r="J6989">
        <f>IF(AND(ISNUMBER('Data'!$F$6990),'Data'!$F$6990&lt;&gt;999,'Data'!$F$6990&lt;&gt;""),'Data'!$F$6990,"")</f>
        <v/>
      </c>
      <c r="Z6989" t="n">
        <v>1</v>
      </c>
      <c r="AA6989">
        <f>IF(ISNUMBER('IN-CLASS_Lab Part C'!$J$6989),'IN-CLASS_Lab Part C'!$J$6989,NA())</f>
        <v/>
      </c>
    </row>
    <row r="6990">
      <c r="J6990">
        <f>IF(AND(ISNUMBER('Data'!$F$6991),'Data'!$F$6991&lt;&gt;999,'Data'!$F$6991&lt;&gt;""),'Data'!$F$6991,"")</f>
        <v/>
      </c>
      <c r="Z6990" t="n">
        <v>1</v>
      </c>
      <c r="AA6990">
        <f>IF(ISNUMBER('IN-CLASS_Lab Part C'!$J$6990),'IN-CLASS_Lab Part C'!$J$6990,NA())</f>
        <v/>
      </c>
    </row>
    <row r="6991">
      <c r="J6991">
        <f>IF(AND(ISNUMBER('Data'!$F$6992),'Data'!$F$6992&lt;&gt;999,'Data'!$F$6992&lt;&gt;""),'Data'!$F$6992,"")</f>
        <v/>
      </c>
      <c r="Z6991" t="n">
        <v>1</v>
      </c>
      <c r="AA6991">
        <f>IF(ISNUMBER('IN-CLASS_Lab Part C'!$J$6991),'IN-CLASS_Lab Part C'!$J$6991,NA())</f>
        <v/>
      </c>
    </row>
    <row r="6992">
      <c r="J6992">
        <f>IF(AND(ISNUMBER('Data'!$F$6993),'Data'!$F$6993&lt;&gt;999,'Data'!$F$6993&lt;&gt;""),'Data'!$F$6993,"")</f>
        <v/>
      </c>
      <c r="Z6992" t="n">
        <v>1</v>
      </c>
      <c r="AA6992">
        <f>IF(ISNUMBER('IN-CLASS_Lab Part C'!$J$6992),'IN-CLASS_Lab Part C'!$J$6992,NA())</f>
        <v/>
      </c>
    </row>
    <row r="6993">
      <c r="J6993">
        <f>IF(AND(ISNUMBER('Data'!$F$6994),'Data'!$F$6994&lt;&gt;999,'Data'!$F$6994&lt;&gt;""),'Data'!$F$6994,"")</f>
        <v/>
      </c>
      <c r="Z6993" t="n">
        <v>1</v>
      </c>
      <c r="AA6993">
        <f>IF(ISNUMBER('IN-CLASS_Lab Part C'!$J$6993),'IN-CLASS_Lab Part C'!$J$6993,NA())</f>
        <v/>
      </c>
    </row>
    <row r="6994">
      <c r="J6994">
        <f>IF(AND(ISNUMBER('Data'!$F$6995),'Data'!$F$6995&lt;&gt;999,'Data'!$F$6995&lt;&gt;""),'Data'!$F$6995,"")</f>
        <v/>
      </c>
      <c r="Z6994" t="n">
        <v>1</v>
      </c>
      <c r="AA6994">
        <f>IF(ISNUMBER('IN-CLASS_Lab Part C'!$J$6994),'IN-CLASS_Lab Part C'!$J$6994,NA())</f>
        <v/>
      </c>
    </row>
    <row r="6995">
      <c r="J6995">
        <f>IF(AND(ISNUMBER('Data'!$F$6996),'Data'!$F$6996&lt;&gt;999,'Data'!$F$6996&lt;&gt;""),'Data'!$F$6996,"")</f>
        <v/>
      </c>
      <c r="Z6995" t="n">
        <v>1</v>
      </c>
      <c r="AA6995">
        <f>IF(ISNUMBER('IN-CLASS_Lab Part C'!$J$6995),'IN-CLASS_Lab Part C'!$J$6995,NA())</f>
        <v/>
      </c>
    </row>
    <row r="6996">
      <c r="J6996">
        <f>IF(AND(ISNUMBER('Data'!$F$6997),'Data'!$F$6997&lt;&gt;999,'Data'!$F$6997&lt;&gt;""),'Data'!$F$6997,"")</f>
        <v/>
      </c>
      <c r="Z6996" t="n">
        <v>1</v>
      </c>
      <c r="AA6996">
        <f>IF(ISNUMBER('IN-CLASS_Lab Part C'!$J$6996),'IN-CLASS_Lab Part C'!$J$6996,NA())</f>
        <v/>
      </c>
    </row>
    <row r="6997">
      <c r="J6997">
        <f>IF(AND(ISNUMBER('Data'!$F$6998),'Data'!$F$6998&lt;&gt;999,'Data'!$F$6998&lt;&gt;""),'Data'!$F$6998,"")</f>
        <v/>
      </c>
      <c r="Z6997" t="n">
        <v>1</v>
      </c>
      <c r="AA6997">
        <f>IF(ISNUMBER('IN-CLASS_Lab Part C'!$J$6997),'IN-CLASS_Lab Part C'!$J$6997,NA())</f>
        <v/>
      </c>
    </row>
    <row r="6998">
      <c r="J6998">
        <f>IF(AND(ISNUMBER('Data'!$F$6999),'Data'!$F$6999&lt;&gt;999,'Data'!$F$6999&lt;&gt;""),'Data'!$F$6999,"")</f>
        <v/>
      </c>
      <c r="Z6998" t="n">
        <v>1</v>
      </c>
      <c r="AA6998">
        <f>IF(ISNUMBER('IN-CLASS_Lab Part C'!$J$6998),'IN-CLASS_Lab Part C'!$J$6998,NA())</f>
        <v/>
      </c>
    </row>
    <row r="6999">
      <c r="J6999">
        <f>IF(AND(ISNUMBER('Data'!$F$7000),'Data'!$F$7000&lt;&gt;999,'Data'!$F$7000&lt;&gt;""),'Data'!$F$7000,"")</f>
        <v/>
      </c>
      <c r="Z6999" t="n">
        <v>1</v>
      </c>
      <c r="AA6999">
        <f>IF(ISNUMBER('IN-CLASS_Lab Part C'!$J$6999),'IN-CLASS_Lab Part C'!$J$6999,NA())</f>
        <v/>
      </c>
    </row>
    <row r="7000">
      <c r="J7000">
        <f>IF(AND(ISNUMBER('Data'!$F$7001),'Data'!$F$7001&lt;&gt;999,'Data'!$F$7001&lt;&gt;""),'Data'!$F$7001,"")</f>
        <v/>
      </c>
      <c r="Z7000" t="n">
        <v>1</v>
      </c>
      <c r="AA7000">
        <f>IF(ISNUMBER('IN-CLASS_Lab Part C'!$J$7000),'IN-CLASS_Lab Part C'!$J$7000,NA())</f>
        <v/>
      </c>
    </row>
    <row r="7001">
      <c r="J7001">
        <f>IF(AND(ISNUMBER('Data'!$F$7002),'Data'!$F$7002&lt;&gt;999,'Data'!$F$7002&lt;&gt;""),'Data'!$F$7002,"")</f>
        <v/>
      </c>
      <c r="Z7001" t="n">
        <v>1</v>
      </c>
      <c r="AA7001">
        <f>IF(ISNUMBER('IN-CLASS_Lab Part C'!$J$7001),'IN-CLASS_Lab Part C'!$J$7001,NA())</f>
        <v/>
      </c>
    </row>
    <row r="7002">
      <c r="J7002">
        <f>IF(AND(ISNUMBER('Data'!$F$7003),'Data'!$F$7003&lt;&gt;999,'Data'!$F$7003&lt;&gt;""),'Data'!$F$7003,"")</f>
        <v/>
      </c>
      <c r="Z7002" t="n">
        <v>1</v>
      </c>
      <c r="AA7002">
        <f>IF(ISNUMBER('IN-CLASS_Lab Part C'!$J$7002),'IN-CLASS_Lab Part C'!$J$7002,NA())</f>
        <v/>
      </c>
    </row>
    <row r="7003">
      <c r="J7003">
        <f>IF(AND(ISNUMBER('Data'!$F$7004),'Data'!$F$7004&lt;&gt;999,'Data'!$F$7004&lt;&gt;""),'Data'!$F$7004,"")</f>
        <v/>
      </c>
      <c r="Z7003" t="n">
        <v>1</v>
      </c>
      <c r="AA7003">
        <f>IF(ISNUMBER('IN-CLASS_Lab Part C'!$J$7003),'IN-CLASS_Lab Part C'!$J$7003,NA())</f>
        <v/>
      </c>
    </row>
    <row r="7004">
      <c r="J7004">
        <f>IF(AND(ISNUMBER('Data'!$F$7005),'Data'!$F$7005&lt;&gt;999,'Data'!$F$7005&lt;&gt;""),'Data'!$F$7005,"")</f>
        <v/>
      </c>
      <c r="Z7004" t="n">
        <v>1</v>
      </c>
      <c r="AA7004">
        <f>IF(ISNUMBER('IN-CLASS_Lab Part C'!$J$7004),'IN-CLASS_Lab Part C'!$J$7004,NA())</f>
        <v/>
      </c>
    </row>
    <row r="7005">
      <c r="J7005">
        <f>IF(AND(ISNUMBER('Data'!$F$7006),'Data'!$F$7006&lt;&gt;999,'Data'!$F$7006&lt;&gt;""),'Data'!$F$7006,"")</f>
        <v/>
      </c>
      <c r="Z7005" t="n">
        <v>1</v>
      </c>
      <c r="AA7005">
        <f>IF(ISNUMBER('IN-CLASS_Lab Part C'!$J$7005),'IN-CLASS_Lab Part C'!$J$7005,NA())</f>
        <v/>
      </c>
    </row>
    <row r="7006">
      <c r="J7006">
        <f>IF(AND(ISNUMBER('Data'!$F$7007),'Data'!$F$7007&lt;&gt;999,'Data'!$F$7007&lt;&gt;""),'Data'!$F$7007,"")</f>
        <v/>
      </c>
      <c r="Z7006" t="n">
        <v>1</v>
      </c>
      <c r="AA7006">
        <f>IF(ISNUMBER('IN-CLASS_Lab Part C'!$J$7006),'IN-CLASS_Lab Part C'!$J$7006,NA())</f>
        <v/>
      </c>
    </row>
    <row r="7007">
      <c r="J7007">
        <f>IF(AND(ISNUMBER('Data'!$F$7008),'Data'!$F$7008&lt;&gt;999,'Data'!$F$7008&lt;&gt;""),'Data'!$F$7008,"")</f>
        <v/>
      </c>
      <c r="Z7007" t="n">
        <v>1</v>
      </c>
      <c r="AA7007">
        <f>IF(ISNUMBER('IN-CLASS_Lab Part C'!$J$7007),'IN-CLASS_Lab Part C'!$J$7007,NA())</f>
        <v/>
      </c>
    </row>
    <row r="7008">
      <c r="J7008">
        <f>IF(AND(ISNUMBER('Data'!$F$7009),'Data'!$F$7009&lt;&gt;999,'Data'!$F$7009&lt;&gt;""),'Data'!$F$7009,"")</f>
        <v/>
      </c>
      <c r="Z7008" t="n">
        <v>1</v>
      </c>
      <c r="AA7008">
        <f>IF(ISNUMBER('IN-CLASS_Lab Part C'!$J$7008),'IN-CLASS_Lab Part C'!$J$7008,NA())</f>
        <v/>
      </c>
    </row>
    <row r="7009">
      <c r="J7009">
        <f>IF(AND(ISNUMBER('Data'!$F$7010),'Data'!$F$7010&lt;&gt;999,'Data'!$F$7010&lt;&gt;""),'Data'!$F$7010,"")</f>
        <v/>
      </c>
      <c r="Z7009" t="n">
        <v>1</v>
      </c>
      <c r="AA7009">
        <f>IF(ISNUMBER('IN-CLASS_Lab Part C'!$J$7009),'IN-CLASS_Lab Part C'!$J$7009,NA())</f>
        <v/>
      </c>
    </row>
    <row r="7010">
      <c r="J7010">
        <f>IF(AND(ISNUMBER('Data'!$F$7011),'Data'!$F$7011&lt;&gt;999,'Data'!$F$7011&lt;&gt;""),'Data'!$F$7011,"")</f>
        <v/>
      </c>
      <c r="Z7010" t="n">
        <v>1</v>
      </c>
      <c r="AA7010">
        <f>IF(ISNUMBER('IN-CLASS_Lab Part C'!$J$7010),'IN-CLASS_Lab Part C'!$J$7010,NA())</f>
        <v/>
      </c>
    </row>
    <row r="7011">
      <c r="J7011">
        <f>IF(AND(ISNUMBER('Data'!$F$7012),'Data'!$F$7012&lt;&gt;999,'Data'!$F$7012&lt;&gt;""),'Data'!$F$7012,"")</f>
        <v/>
      </c>
      <c r="Z7011" t="n">
        <v>1</v>
      </c>
      <c r="AA7011">
        <f>IF(ISNUMBER('IN-CLASS_Lab Part C'!$J$7011),'IN-CLASS_Lab Part C'!$J$7011,NA())</f>
        <v/>
      </c>
    </row>
    <row r="7012">
      <c r="J7012">
        <f>IF(AND(ISNUMBER('Data'!$F$7013),'Data'!$F$7013&lt;&gt;999,'Data'!$F$7013&lt;&gt;""),'Data'!$F$7013,"")</f>
        <v/>
      </c>
      <c r="Z7012" t="n">
        <v>1</v>
      </c>
      <c r="AA7012">
        <f>IF(ISNUMBER('IN-CLASS_Lab Part C'!$J$7012),'IN-CLASS_Lab Part C'!$J$7012,NA())</f>
        <v/>
      </c>
    </row>
    <row r="7013">
      <c r="J7013">
        <f>IF(AND(ISNUMBER('Data'!$F$7014),'Data'!$F$7014&lt;&gt;999,'Data'!$F$7014&lt;&gt;""),'Data'!$F$7014,"")</f>
        <v/>
      </c>
      <c r="Z7013" t="n">
        <v>1</v>
      </c>
      <c r="AA7013">
        <f>IF(ISNUMBER('IN-CLASS_Lab Part C'!$J$7013),'IN-CLASS_Lab Part C'!$J$7013,NA())</f>
        <v/>
      </c>
    </row>
    <row r="7014">
      <c r="J7014">
        <f>IF(AND(ISNUMBER('Data'!$F$7015),'Data'!$F$7015&lt;&gt;999,'Data'!$F$7015&lt;&gt;""),'Data'!$F$7015,"")</f>
        <v/>
      </c>
      <c r="Z7014" t="n">
        <v>1</v>
      </c>
      <c r="AA7014">
        <f>IF(ISNUMBER('IN-CLASS_Lab Part C'!$J$7014),'IN-CLASS_Lab Part C'!$J$7014,NA())</f>
        <v/>
      </c>
    </row>
    <row r="7015">
      <c r="J7015">
        <f>IF(AND(ISNUMBER('Data'!$F$7016),'Data'!$F$7016&lt;&gt;999,'Data'!$F$7016&lt;&gt;""),'Data'!$F$7016,"")</f>
        <v/>
      </c>
      <c r="Z7015" t="n">
        <v>1</v>
      </c>
      <c r="AA7015">
        <f>IF(ISNUMBER('IN-CLASS_Lab Part C'!$J$7015),'IN-CLASS_Lab Part C'!$J$7015,NA())</f>
        <v/>
      </c>
    </row>
    <row r="7016">
      <c r="J7016">
        <f>IF(AND(ISNUMBER('Data'!$F$7017),'Data'!$F$7017&lt;&gt;999,'Data'!$F$7017&lt;&gt;""),'Data'!$F$7017,"")</f>
        <v/>
      </c>
      <c r="Z7016" t="n">
        <v>1</v>
      </c>
      <c r="AA7016">
        <f>IF(ISNUMBER('IN-CLASS_Lab Part C'!$J$7016),'IN-CLASS_Lab Part C'!$J$7016,NA())</f>
        <v/>
      </c>
    </row>
    <row r="7017">
      <c r="J7017">
        <f>IF(AND(ISNUMBER('Data'!$F$7018),'Data'!$F$7018&lt;&gt;999,'Data'!$F$7018&lt;&gt;""),'Data'!$F$7018,"")</f>
        <v/>
      </c>
      <c r="Z7017" t="n">
        <v>1</v>
      </c>
      <c r="AA7017">
        <f>IF(ISNUMBER('IN-CLASS_Lab Part C'!$J$7017),'IN-CLASS_Lab Part C'!$J$7017,NA())</f>
        <v/>
      </c>
    </row>
    <row r="7018">
      <c r="J7018">
        <f>IF(AND(ISNUMBER('Data'!$F$7019),'Data'!$F$7019&lt;&gt;999,'Data'!$F$7019&lt;&gt;""),'Data'!$F$7019,"")</f>
        <v/>
      </c>
      <c r="Z7018" t="n">
        <v>1</v>
      </c>
      <c r="AA7018">
        <f>IF(ISNUMBER('IN-CLASS_Lab Part C'!$J$7018),'IN-CLASS_Lab Part C'!$J$7018,NA())</f>
        <v/>
      </c>
    </row>
    <row r="7019">
      <c r="J7019">
        <f>IF(AND(ISNUMBER('Data'!$F$7020),'Data'!$F$7020&lt;&gt;999,'Data'!$F$7020&lt;&gt;""),'Data'!$F$7020,"")</f>
        <v/>
      </c>
      <c r="Z7019" t="n">
        <v>1</v>
      </c>
      <c r="AA7019">
        <f>IF(ISNUMBER('IN-CLASS_Lab Part C'!$J$7019),'IN-CLASS_Lab Part C'!$J$7019,NA())</f>
        <v/>
      </c>
    </row>
    <row r="7020">
      <c r="J7020">
        <f>IF(AND(ISNUMBER('Data'!$F$7021),'Data'!$F$7021&lt;&gt;999,'Data'!$F$7021&lt;&gt;""),'Data'!$F$7021,"")</f>
        <v/>
      </c>
      <c r="Z7020" t="n">
        <v>1</v>
      </c>
      <c r="AA7020">
        <f>IF(ISNUMBER('IN-CLASS_Lab Part C'!$J$7020),'IN-CLASS_Lab Part C'!$J$7020,NA())</f>
        <v/>
      </c>
    </row>
    <row r="7021">
      <c r="J7021">
        <f>IF(AND(ISNUMBER('Data'!$F$7022),'Data'!$F$7022&lt;&gt;999,'Data'!$F$7022&lt;&gt;""),'Data'!$F$7022,"")</f>
        <v/>
      </c>
      <c r="Z7021" t="n">
        <v>1</v>
      </c>
      <c r="AA7021">
        <f>IF(ISNUMBER('IN-CLASS_Lab Part C'!$J$7021),'IN-CLASS_Lab Part C'!$J$7021,NA())</f>
        <v/>
      </c>
    </row>
    <row r="7022">
      <c r="J7022">
        <f>IF(AND(ISNUMBER('Data'!$F$7023),'Data'!$F$7023&lt;&gt;999,'Data'!$F$7023&lt;&gt;""),'Data'!$F$7023,"")</f>
        <v/>
      </c>
      <c r="Z7022" t="n">
        <v>1</v>
      </c>
      <c r="AA7022">
        <f>IF(ISNUMBER('IN-CLASS_Lab Part C'!$J$7022),'IN-CLASS_Lab Part C'!$J$7022,NA())</f>
        <v/>
      </c>
    </row>
    <row r="7023">
      <c r="J7023">
        <f>IF(AND(ISNUMBER('Data'!$F$7024),'Data'!$F$7024&lt;&gt;999,'Data'!$F$7024&lt;&gt;""),'Data'!$F$7024,"")</f>
        <v/>
      </c>
      <c r="Z7023" t="n">
        <v>1</v>
      </c>
      <c r="AA7023">
        <f>IF(ISNUMBER('IN-CLASS_Lab Part C'!$J$7023),'IN-CLASS_Lab Part C'!$J$7023,NA())</f>
        <v/>
      </c>
    </row>
    <row r="7024">
      <c r="J7024">
        <f>IF(AND(ISNUMBER('Data'!$F$7025),'Data'!$F$7025&lt;&gt;999,'Data'!$F$7025&lt;&gt;""),'Data'!$F$7025,"")</f>
        <v/>
      </c>
      <c r="Z7024" t="n">
        <v>1</v>
      </c>
      <c r="AA7024">
        <f>IF(ISNUMBER('IN-CLASS_Lab Part C'!$J$7024),'IN-CLASS_Lab Part C'!$J$7024,NA())</f>
        <v/>
      </c>
    </row>
    <row r="7025">
      <c r="J7025">
        <f>IF(AND(ISNUMBER('Data'!$F$7026),'Data'!$F$7026&lt;&gt;999,'Data'!$F$7026&lt;&gt;""),'Data'!$F$7026,"")</f>
        <v/>
      </c>
      <c r="Z7025" t="n">
        <v>1</v>
      </c>
      <c r="AA7025">
        <f>IF(ISNUMBER('IN-CLASS_Lab Part C'!$J$7025),'IN-CLASS_Lab Part C'!$J$7025,NA())</f>
        <v/>
      </c>
    </row>
    <row r="7026">
      <c r="J7026">
        <f>IF(AND(ISNUMBER('Data'!$F$7027),'Data'!$F$7027&lt;&gt;999,'Data'!$F$7027&lt;&gt;""),'Data'!$F$7027,"")</f>
        <v/>
      </c>
      <c r="Z7026" t="n">
        <v>1</v>
      </c>
      <c r="AA7026">
        <f>IF(ISNUMBER('IN-CLASS_Lab Part C'!$J$7026),'IN-CLASS_Lab Part C'!$J$7026,NA())</f>
        <v/>
      </c>
    </row>
    <row r="7027">
      <c r="J7027">
        <f>IF(AND(ISNUMBER('Data'!$F$7028),'Data'!$F$7028&lt;&gt;999,'Data'!$F$7028&lt;&gt;""),'Data'!$F$7028,"")</f>
        <v/>
      </c>
      <c r="Z7027" t="n">
        <v>1</v>
      </c>
      <c r="AA7027">
        <f>IF(ISNUMBER('IN-CLASS_Lab Part C'!$J$7027),'IN-CLASS_Lab Part C'!$J$7027,NA())</f>
        <v/>
      </c>
    </row>
    <row r="7028">
      <c r="J7028">
        <f>IF(AND(ISNUMBER('Data'!$F$7029),'Data'!$F$7029&lt;&gt;999,'Data'!$F$7029&lt;&gt;""),'Data'!$F$7029,"")</f>
        <v/>
      </c>
      <c r="Z7028" t="n">
        <v>1</v>
      </c>
      <c r="AA7028">
        <f>IF(ISNUMBER('IN-CLASS_Lab Part C'!$J$7028),'IN-CLASS_Lab Part C'!$J$7028,NA())</f>
        <v/>
      </c>
    </row>
    <row r="7029">
      <c r="J7029">
        <f>IF(AND(ISNUMBER('Data'!$F$7030),'Data'!$F$7030&lt;&gt;999,'Data'!$F$7030&lt;&gt;""),'Data'!$F$7030,"")</f>
        <v/>
      </c>
      <c r="Z7029" t="n">
        <v>1</v>
      </c>
      <c r="AA7029">
        <f>IF(ISNUMBER('IN-CLASS_Lab Part C'!$J$7029),'IN-CLASS_Lab Part C'!$J$7029,NA())</f>
        <v/>
      </c>
    </row>
    <row r="7030">
      <c r="J7030">
        <f>IF(AND(ISNUMBER('Data'!$F$7031),'Data'!$F$7031&lt;&gt;999,'Data'!$F$7031&lt;&gt;""),'Data'!$F$7031,"")</f>
        <v/>
      </c>
      <c r="Z7030" t="n">
        <v>1</v>
      </c>
      <c r="AA7030">
        <f>IF(ISNUMBER('IN-CLASS_Lab Part C'!$J$7030),'IN-CLASS_Lab Part C'!$J$7030,NA())</f>
        <v/>
      </c>
    </row>
    <row r="7031">
      <c r="J7031">
        <f>IF(AND(ISNUMBER('Data'!$F$7032),'Data'!$F$7032&lt;&gt;999,'Data'!$F$7032&lt;&gt;""),'Data'!$F$7032,"")</f>
        <v/>
      </c>
      <c r="Z7031" t="n">
        <v>1</v>
      </c>
      <c r="AA7031">
        <f>IF(ISNUMBER('IN-CLASS_Lab Part C'!$J$7031),'IN-CLASS_Lab Part C'!$J$7031,NA())</f>
        <v/>
      </c>
    </row>
    <row r="7032">
      <c r="J7032">
        <f>IF(AND(ISNUMBER('Data'!$F$7033),'Data'!$F$7033&lt;&gt;999,'Data'!$F$7033&lt;&gt;""),'Data'!$F$7033,"")</f>
        <v/>
      </c>
      <c r="Z7032" t="n">
        <v>1</v>
      </c>
      <c r="AA7032">
        <f>IF(ISNUMBER('IN-CLASS_Lab Part C'!$J$7032),'IN-CLASS_Lab Part C'!$J$7032,NA())</f>
        <v/>
      </c>
    </row>
    <row r="7033">
      <c r="J7033">
        <f>IF(AND(ISNUMBER('Data'!$F$7034),'Data'!$F$7034&lt;&gt;999,'Data'!$F$7034&lt;&gt;""),'Data'!$F$7034,"")</f>
        <v/>
      </c>
      <c r="Z7033" t="n">
        <v>1</v>
      </c>
      <c r="AA7033">
        <f>IF(ISNUMBER('IN-CLASS_Lab Part C'!$J$7033),'IN-CLASS_Lab Part C'!$J$7033,NA())</f>
        <v/>
      </c>
    </row>
    <row r="7034">
      <c r="J7034">
        <f>IF(AND(ISNUMBER('Data'!$F$7035),'Data'!$F$7035&lt;&gt;999,'Data'!$F$7035&lt;&gt;""),'Data'!$F$7035,"")</f>
        <v/>
      </c>
      <c r="Z7034" t="n">
        <v>1</v>
      </c>
      <c r="AA7034">
        <f>IF(ISNUMBER('IN-CLASS_Lab Part C'!$J$7034),'IN-CLASS_Lab Part C'!$J$7034,NA())</f>
        <v/>
      </c>
    </row>
    <row r="7035">
      <c r="J7035">
        <f>IF(AND(ISNUMBER('Data'!$F$7036),'Data'!$F$7036&lt;&gt;999,'Data'!$F$7036&lt;&gt;""),'Data'!$F$7036,"")</f>
        <v/>
      </c>
      <c r="Z7035" t="n">
        <v>1</v>
      </c>
      <c r="AA7035">
        <f>IF(ISNUMBER('IN-CLASS_Lab Part C'!$J$7035),'IN-CLASS_Lab Part C'!$J$7035,NA())</f>
        <v/>
      </c>
    </row>
    <row r="7036">
      <c r="J7036">
        <f>IF(AND(ISNUMBER('Data'!$F$7037),'Data'!$F$7037&lt;&gt;999,'Data'!$F$7037&lt;&gt;""),'Data'!$F$7037,"")</f>
        <v/>
      </c>
      <c r="Z7036" t="n">
        <v>1</v>
      </c>
      <c r="AA7036">
        <f>IF(ISNUMBER('IN-CLASS_Lab Part C'!$J$7036),'IN-CLASS_Lab Part C'!$J$7036,NA())</f>
        <v/>
      </c>
    </row>
    <row r="7037">
      <c r="J7037">
        <f>IF(AND(ISNUMBER('Data'!$F$7038),'Data'!$F$7038&lt;&gt;999,'Data'!$F$7038&lt;&gt;""),'Data'!$F$7038,"")</f>
        <v/>
      </c>
      <c r="Z7037" t="n">
        <v>1</v>
      </c>
      <c r="AA7037">
        <f>IF(ISNUMBER('IN-CLASS_Lab Part C'!$J$7037),'IN-CLASS_Lab Part C'!$J$7037,NA())</f>
        <v/>
      </c>
    </row>
    <row r="7038">
      <c r="J7038">
        <f>IF(AND(ISNUMBER('Data'!$F$7039),'Data'!$F$7039&lt;&gt;999,'Data'!$F$7039&lt;&gt;""),'Data'!$F$7039,"")</f>
        <v/>
      </c>
      <c r="Z7038" t="n">
        <v>1</v>
      </c>
      <c r="AA7038">
        <f>IF(ISNUMBER('IN-CLASS_Lab Part C'!$J$7038),'IN-CLASS_Lab Part C'!$J$7038,NA())</f>
        <v/>
      </c>
    </row>
    <row r="7039">
      <c r="J7039">
        <f>IF(AND(ISNUMBER('Data'!$F$7040),'Data'!$F$7040&lt;&gt;999,'Data'!$F$7040&lt;&gt;""),'Data'!$F$7040,"")</f>
        <v/>
      </c>
      <c r="Z7039" t="n">
        <v>1</v>
      </c>
      <c r="AA7039">
        <f>IF(ISNUMBER('IN-CLASS_Lab Part C'!$J$7039),'IN-CLASS_Lab Part C'!$J$7039,NA())</f>
        <v/>
      </c>
    </row>
    <row r="7040">
      <c r="J7040">
        <f>IF(AND(ISNUMBER('Data'!$F$7041),'Data'!$F$7041&lt;&gt;999,'Data'!$F$7041&lt;&gt;""),'Data'!$F$7041,"")</f>
        <v/>
      </c>
      <c r="Z7040" t="n">
        <v>1</v>
      </c>
      <c r="AA7040">
        <f>IF(ISNUMBER('IN-CLASS_Lab Part C'!$J$7040),'IN-CLASS_Lab Part C'!$J$7040,NA())</f>
        <v/>
      </c>
    </row>
    <row r="7041">
      <c r="J7041">
        <f>IF(AND(ISNUMBER('Data'!$F$7042),'Data'!$F$7042&lt;&gt;999,'Data'!$F$7042&lt;&gt;""),'Data'!$F$7042,"")</f>
        <v/>
      </c>
      <c r="Z7041" t="n">
        <v>1</v>
      </c>
      <c r="AA7041">
        <f>IF(ISNUMBER('IN-CLASS_Lab Part C'!$J$7041),'IN-CLASS_Lab Part C'!$J$7041,NA())</f>
        <v/>
      </c>
    </row>
    <row r="7042">
      <c r="J7042">
        <f>IF(AND(ISNUMBER('Data'!$F$7043),'Data'!$F$7043&lt;&gt;999,'Data'!$F$7043&lt;&gt;""),'Data'!$F$7043,"")</f>
        <v/>
      </c>
      <c r="Z7042" t="n">
        <v>1</v>
      </c>
      <c r="AA7042">
        <f>IF(ISNUMBER('IN-CLASS_Lab Part C'!$J$7042),'IN-CLASS_Lab Part C'!$J$7042,NA())</f>
        <v/>
      </c>
    </row>
    <row r="7043">
      <c r="J7043">
        <f>IF(AND(ISNUMBER('Data'!$F$7044),'Data'!$F$7044&lt;&gt;999,'Data'!$F$7044&lt;&gt;""),'Data'!$F$7044,"")</f>
        <v/>
      </c>
      <c r="Z7043" t="n">
        <v>1</v>
      </c>
      <c r="AA7043">
        <f>IF(ISNUMBER('IN-CLASS_Lab Part C'!$J$7043),'IN-CLASS_Lab Part C'!$J$7043,NA())</f>
        <v/>
      </c>
    </row>
    <row r="7044">
      <c r="J7044">
        <f>IF(AND(ISNUMBER('Data'!$F$7045),'Data'!$F$7045&lt;&gt;999,'Data'!$F$7045&lt;&gt;""),'Data'!$F$7045,"")</f>
        <v/>
      </c>
      <c r="Z7044" t="n">
        <v>1</v>
      </c>
      <c r="AA7044">
        <f>IF(ISNUMBER('IN-CLASS_Lab Part C'!$J$7044),'IN-CLASS_Lab Part C'!$J$7044,NA())</f>
        <v/>
      </c>
    </row>
    <row r="7045">
      <c r="J7045">
        <f>IF(AND(ISNUMBER('Data'!$F$7046),'Data'!$F$7046&lt;&gt;999,'Data'!$F$7046&lt;&gt;""),'Data'!$F$7046,"")</f>
        <v/>
      </c>
      <c r="Z7045" t="n">
        <v>1</v>
      </c>
      <c r="AA7045">
        <f>IF(ISNUMBER('IN-CLASS_Lab Part C'!$J$7045),'IN-CLASS_Lab Part C'!$J$7045,NA())</f>
        <v/>
      </c>
    </row>
    <row r="7046">
      <c r="J7046">
        <f>IF(AND(ISNUMBER('Data'!$F$7047),'Data'!$F$7047&lt;&gt;999,'Data'!$F$7047&lt;&gt;""),'Data'!$F$7047,"")</f>
        <v/>
      </c>
      <c r="Z7046" t="n">
        <v>1</v>
      </c>
      <c r="AA7046">
        <f>IF(ISNUMBER('IN-CLASS_Lab Part C'!$J$7046),'IN-CLASS_Lab Part C'!$J$7046,NA())</f>
        <v/>
      </c>
    </row>
    <row r="7047">
      <c r="J7047">
        <f>IF(AND(ISNUMBER('Data'!$F$7048),'Data'!$F$7048&lt;&gt;999,'Data'!$F$7048&lt;&gt;""),'Data'!$F$7048,"")</f>
        <v/>
      </c>
      <c r="Z7047" t="n">
        <v>1</v>
      </c>
      <c r="AA7047">
        <f>IF(ISNUMBER('IN-CLASS_Lab Part C'!$J$7047),'IN-CLASS_Lab Part C'!$J$7047,NA())</f>
        <v/>
      </c>
    </row>
    <row r="7048">
      <c r="J7048">
        <f>IF(AND(ISNUMBER('Data'!$F$7049),'Data'!$F$7049&lt;&gt;999,'Data'!$F$7049&lt;&gt;""),'Data'!$F$7049,"")</f>
        <v/>
      </c>
      <c r="Z7048" t="n">
        <v>1</v>
      </c>
      <c r="AA7048">
        <f>IF(ISNUMBER('IN-CLASS_Lab Part C'!$J$7048),'IN-CLASS_Lab Part C'!$J$7048,NA())</f>
        <v/>
      </c>
    </row>
    <row r="7049">
      <c r="J7049">
        <f>IF(AND(ISNUMBER('Data'!$F$7050),'Data'!$F$7050&lt;&gt;999,'Data'!$F$7050&lt;&gt;""),'Data'!$F$7050,"")</f>
        <v/>
      </c>
      <c r="Z7049" t="n">
        <v>1</v>
      </c>
      <c r="AA7049">
        <f>IF(ISNUMBER('IN-CLASS_Lab Part C'!$J$7049),'IN-CLASS_Lab Part C'!$J$7049,NA())</f>
        <v/>
      </c>
    </row>
    <row r="7050">
      <c r="J7050">
        <f>IF(AND(ISNUMBER('Data'!$F$7051),'Data'!$F$7051&lt;&gt;999,'Data'!$F$7051&lt;&gt;""),'Data'!$F$7051,"")</f>
        <v/>
      </c>
      <c r="Z7050" t="n">
        <v>1</v>
      </c>
      <c r="AA7050">
        <f>IF(ISNUMBER('IN-CLASS_Lab Part C'!$J$7050),'IN-CLASS_Lab Part C'!$J$7050,NA())</f>
        <v/>
      </c>
    </row>
    <row r="7051">
      <c r="J7051">
        <f>IF(AND(ISNUMBER('Data'!$F$7052),'Data'!$F$7052&lt;&gt;999,'Data'!$F$7052&lt;&gt;""),'Data'!$F$7052,"")</f>
        <v/>
      </c>
      <c r="Z7051" t="n">
        <v>1</v>
      </c>
      <c r="AA7051">
        <f>IF(ISNUMBER('IN-CLASS_Lab Part C'!$J$7051),'IN-CLASS_Lab Part C'!$J$7051,NA())</f>
        <v/>
      </c>
    </row>
    <row r="7052">
      <c r="J7052">
        <f>IF(AND(ISNUMBER('Data'!$F$7053),'Data'!$F$7053&lt;&gt;999,'Data'!$F$7053&lt;&gt;""),'Data'!$F$7053,"")</f>
        <v/>
      </c>
      <c r="Z7052" t="n">
        <v>1</v>
      </c>
      <c r="AA7052">
        <f>IF(ISNUMBER('IN-CLASS_Lab Part C'!$J$7052),'IN-CLASS_Lab Part C'!$J$7052,NA())</f>
        <v/>
      </c>
    </row>
    <row r="7053">
      <c r="J7053">
        <f>IF(AND(ISNUMBER('Data'!$F$7054),'Data'!$F$7054&lt;&gt;999,'Data'!$F$7054&lt;&gt;""),'Data'!$F$7054,"")</f>
        <v/>
      </c>
      <c r="Z7053" t="n">
        <v>1</v>
      </c>
      <c r="AA7053">
        <f>IF(ISNUMBER('IN-CLASS_Lab Part C'!$J$7053),'IN-CLASS_Lab Part C'!$J$7053,NA())</f>
        <v/>
      </c>
    </row>
    <row r="7054">
      <c r="J7054">
        <f>IF(AND(ISNUMBER('Data'!$F$7055),'Data'!$F$7055&lt;&gt;999,'Data'!$F$7055&lt;&gt;""),'Data'!$F$7055,"")</f>
        <v/>
      </c>
      <c r="Z7054" t="n">
        <v>1</v>
      </c>
      <c r="AA7054">
        <f>IF(ISNUMBER('IN-CLASS_Lab Part C'!$J$7054),'IN-CLASS_Lab Part C'!$J$7054,NA())</f>
        <v/>
      </c>
    </row>
    <row r="7055">
      <c r="J7055">
        <f>IF(AND(ISNUMBER('Data'!$F$7056),'Data'!$F$7056&lt;&gt;999,'Data'!$F$7056&lt;&gt;""),'Data'!$F$7056,"")</f>
        <v/>
      </c>
      <c r="Z7055" t="n">
        <v>1</v>
      </c>
      <c r="AA7055">
        <f>IF(ISNUMBER('IN-CLASS_Lab Part C'!$J$7055),'IN-CLASS_Lab Part C'!$J$7055,NA())</f>
        <v/>
      </c>
    </row>
    <row r="7056">
      <c r="J7056">
        <f>IF(AND(ISNUMBER('Data'!$F$7057),'Data'!$F$7057&lt;&gt;999,'Data'!$F$7057&lt;&gt;""),'Data'!$F$7057,"")</f>
        <v/>
      </c>
      <c r="Z7056" t="n">
        <v>1</v>
      </c>
      <c r="AA7056">
        <f>IF(ISNUMBER('IN-CLASS_Lab Part C'!$J$7056),'IN-CLASS_Lab Part C'!$J$7056,NA())</f>
        <v/>
      </c>
    </row>
    <row r="7057">
      <c r="J7057">
        <f>IF(AND(ISNUMBER('Data'!$F$7058),'Data'!$F$7058&lt;&gt;999,'Data'!$F$7058&lt;&gt;""),'Data'!$F$7058,"")</f>
        <v/>
      </c>
      <c r="Z7057" t="n">
        <v>1</v>
      </c>
      <c r="AA7057">
        <f>IF(ISNUMBER('IN-CLASS_Lab Part C'!$J$7057),'IN-CLASS_Lab Part C'!$J$7057,NA())</f>
        <v/>
      </c>
    </row>
    <row r="7058">
      <c r="J7058">
        <f>IF(AND(ISNUMBER('Data'!$F$7059),'Data'!$F$7059&lt;&gt;999,'Data'!$F$7059&lt;&gt;""),'Data'!$F$7059,"")</f>
        <v/>
      </c>
      <c r="Z7058" t="n">
        <v>1</v>
      </c>
      <c r="AA7058">
        <f>IF(ISNUMBER('IN-CLASS_Lab Part C'!$J$7058),'IN-CLASS_Lab Part C'!$J$7058,NA())</f>
        <v/>
      </c>
    </row>
    <row r="7059">
      <c r="J7059">
        <f>IF(AND(ISNUMBER('Data'!$F$7060),'Data'!$F$7060&lt;&gt;999,'Data'!$F$7060&lt;&gt;""),'Data'!$F$7060,"")</f>
        <v/>
      </c>
      <c r="Z7059" t="n">
        <v>1</v>
      </c>
      <c r="AA7059">
        <f>IF(ISNUMBER('IN-CLASS_Lab Part C'!$J$7059),'IN-CLASS_Lab Part C'!$J$7059,NA())</f>
        <v/>
      </c>
    </row>
    <row r="7060">
      <c r="J7060">
        <f>IF(AND(ISNUMBER('Data'!$F$7061),'Data'!$F$7061&lt;&gt;999,'Data'!$F$7061&lt;&gt;""),'Data'!$F$7061,"")</f>
        <v/>
      </c>
      <c r="Z7060" t="n">
        <v>1</v>
      </c>
      <c r="AA7060">
        <f>IF(ISNUMBER('IN-CLASS_Lab Part C'!$J$7060),'IN-CLASS_Lab Part C'!$J$7060,NA())</f>
        <v/>
      </c>
    </row>
    <row r="7061">
      <c r="J7061">
        <f>IF(AND(ISNUMBER('Data'!$F$7062),'Data'!$F$7062&lt;&gt;999,'Data'!$F$7062&lt;&gt;""),'Data'!$F$7062,"")</f>
        <v/>
      </c>
      <c r="Z7061" t="n">
        <v>1</v>
      </c>
      <c r="AA7061">
        <f>IF(ISNUMBER('IN-CLASS_Lab Part C'!$J$7061),'IN-CLASS_Lab Part C'!$J$7061,NA())</f>
        <v/>
      </c>
    </row>
    <row r="7062">
      <c r="J7062">
        <f>IF(AND(ISNUMBER('Data'!$F$7063),'Data'!$F$7063&lt;&gt;999,'Data'!$F$7063&lt;&gt;""),'Data'!$F$7063,"")</f>
        <v/>
      </c>
      <c r="Z7062" t="n">
        <v>1</v>
      </c>
      <c r="AA7062">
        <f>IF(ISNUMBER('IN-CLASS_Lab Part C'!$J$7062),'IN-CLASS_Lab Part C'!$J$7062,NA())</f>
        <v/>
      </c>
    </row>
    <row r="7063">
      <c r="J7063">
        <f>IF(AND(ISNUMBER('Data'!$F$7064),'Data'!$F$7064&lt;&gt;999,'Data'!$F$7064&lt;&gt;""),'Data'!$F$7064,"")</f>
        <v/>
      </c>
      <c r="Z7063" t="n">
        <v>1</v>
      </c>
      <c r="AA7063">
        <f>IF(ISNUMBER('IN-CLASS_Lab Part C'!$J$7063),'IN-CLASS_Lab Part C'!$J$7063,NA())</f>
        <v/>
      </c>
    </row>
    <row r="7064">
      <c r="J7064">
        <f>IF(AND(ISNUMBER('Data'!$F$7065),'Data'!$F$7065&lt;&gt;999,'Data'!$F$7065&lt;&gt;""),'Data'!$F$7065,"")</f>
        <v/>
      </c>
      <c r="Z7064" t="n">
        <v>1</v>
      </c>
      <c r="AA7064">
        <f>IF(ISNUMBER('IN-CLASS_Lab Part C'!$J$7064),'IN-CLASS_Lab Part C'!$J$7064,NA())</f>
        <v/>
      </c>
    </row>
    <row r="7065">
      <c r="J7065">
        <f>IF(AND(ISNUMBER('Data'!$F$7066),'Data'!$F$7066&lt;&gt;999,'Data'!$F$7066&lt;&gt;""),'Data'!$F$7066,"")</f>
        <v/>
      </c>
      <c r="Z7065" t="n">
        <v>1</v>
      </c>
      <c r="AA7065">
        <f>IF(ISNUMBER('IN-CLASS_Lab Part C'!$J$7065),'IN-CLASS_Lab Part C'!$J$7065,NA())</f>
        <v/>
      </c>
    </row>
    <row r="7066">
      <c r="J7066">
        <f>IF(AND(ISNUMBER('Data'!$F$7067),'Data'!$F$7067&lt;&gt;999,'Data'!$F$7067&lt;&gt;""),'Data'!$F$7067,"")</f>
        <v/>
      </c>
      <c r="Z7066" t="n">
        <v>1</v>
      </c>
      <c r="AA7066">
        <f>IF(ISNUMBER('IN-CLASS_Lab Part C'!$J$7066),'IN-CLASS_Lab Part C'!$J$7066,NA())</f>
        <v/>
      </c>
    </row>
    <row r="7067">
      <c r="J7067">
        <f>IF(AND(ISNUMBER('Data'!$F$7068),'Data'!$F$7068&lt;&gt;999,'Data'!$F$7068&lt;&gt;""),'Data'!$F$7068,"")</f>
        <v/>
      </c>
      <c r="Z7067" t="n">
        <v>1</v>
      </c>
      <c r="AA7067">
        <f>IF(ISNUMBER('IN-CLASS_Lab Part C'!$J$7067),'IN-CLASS_Lab Part C'!$J$7067,NA())</f>
        <v/>
      </c>
    </row>
    <row r="7068">
      <c r="J7068">
        <f>IF(AND(ISNUMBER('Data'!$F$7069),'Data'!$F$7069&lt;&gt;999,'Data'!$F$7069&lt;&gt;""),'Data'!$F$7069,"")</f>
        <v/>
      </c>
      <c r="Z7068" t="n">
        <v>1</v>
      </c>
      <c r="AA7068">
        <f>IF(ISNUMBER('IN-CLASS_Lab Part C'!$J$7068),'IN-CLASS_Lab Part C'!$J$7068,NA())</f>
        <v/>
      </c>
    </row>
    <row r="7069">
      <c r="J7069">
        <f>IF(AND(ISNUMBER('Data'!$F$7070),'Data'!$F$7070&lt;&gt;999,'Data'!$F$7070&lt;&gt;""),'Data'!$F$7070,"")</f>
        <v/>
      </c>
      <c r="Z7069" t="n">
        <v>1</v>
      </c>
      <c r="AA7069">
        <f>IF(ISNUMBER('IN-CLASS_Lab Part C'!$J$7069),'IN-CLASS_Lab Part C'!$J$7069,NA())</f>
        <v/>
      </c>
    </row>
    <row r="7070">
      <c r="J7070">
        <f>IF(AND(ISNUMBER('Data'!$F$7071),'Data'!$F$7071&lt;&gt;999,'Data'!$F$7071&lt;&gt;""),'Data'!$F$7071,"")</f>
        <v/>
      </c>
      <c r="Z7070" t="n">
        <v>1</v>
      </c>
      <c r="AA7070">
        <f>IF(ISNUMBER('IN-CLASS_Lab Part C'!$J$7070),'IN-CLASS_Lab Part C'!$J$7070,NA())</f>
        <v/>
      </c>
    </row>
    <row r="7071">
      <c r="J7071">
        <f>IF(AND(ISNUMBER('Data'!$F$7072),'Data'!$F$7072&lt;&gt;999,'Data'!$F$7072&lt;&gt;""),'Data'!$F$7072,"")</f>
        <v/>
      </c>
      <c r="Z7071" t="n">
        <v>1</v>
      </c>
      <c r="AA7071">
        <f>IF(ISNUMBER('IN-CLASS_Lab Part C'!$J$7071),'IN-CLASS_Lab Part C'!$J$7071,NA())</f>
        <v/>
      </c>
    </row>
    <row r="7072">
      <c r="J7072">
        <f>IF(AND(ISNUMBER('Data'!$F$7073),'Data'!$F$7073&lt;&gt;999,'Data'!$F$7073&lt;&gt;""),'Data'!$F$7073,"")</f>
        <v/>
      </c>
      <c r="Z7072" t="n">
        <v>1</v>
      </c>
      <c r="AA7072">
        <f>IF(ISNUMBER('IN-CLASS_Lab Part C'!$J$7072),'IN-CLASS_Lab Part C'!$J$7072,NA())</f>
        <v/>
      </c>
    </row>
    <row r="7073">
      <c r="J7073">
        <f>IF(AND(ISNUMBER('Data'!$F$7074),'Data'!$F$7074&lt;&gt;999,'Data'!$F$7074&lt;&gt;""),'Data'!$F$7074,"")</f>
        <v/>
      </c>
      <c r="Z7073" t="n">
        <v>1</v>
      </c>
      <c r="AA7073">
        <f>IF(ISNUMBER('IN-CLASS_Lab Part C'!$J$7073),'IN-CLASS_Lab Part C'!$J$7073,NA())</f>
        <v/>
      </c>
    </row>
    <row r="7074">
      <c r="J7074">
        <f>IF(AND(ISNUMBER('Data'!$F$7075),'Data'!$F$7075&lt;&gt;999,'Data'!$F$7075&lt;&gt;""),'Data'!$F$7075,"")</f>
        <v/>
      </c>
      <c r="Z7074" t="n">
        <v>1</v>
      </c>
      <c r="AA7074">
        <f>IF(ISNUMBER('IN-CLASS_Lab Part C'!$J$7074),'IN-CLASS_Lab Part C'!$J$7074,NA())</f>
        <v/>
      </c>
    </row>
    <row r="7075">
      <c r="J7075">
        <f>IF(AND(ISNUMBER('Data'!$F$7076),'Data'!$F$7076&lt;&gt;999,'Data'!$F$7076&lt;&gt;""),'Data'!$F$7076,"")</f>
        <v/>
      </c>
      <c r="Z7075" t="n">
        <v>1</v>
      </c>
      <c r="AA7075">
        <f>IF(ISNUMBER('IN-CLASS_Lab Part C'!$J$7075),'IN-CLASS_Lab Part C'!$J$7075,NA())</f>
        <v/>
      </c>
    </row>
    <row r="7076">
      <c r="J7076">
        <f>IF(AND(ISNUMBER('Data'!$F$7077),'Data'!$F$7077&lt;&gt;999,'Data'!$F$7077&lt;&gt;""),'Data'!$F$7077,"")</f>
        <v/>
      </c>
      <c r="Z7076" t="n">
        <v>1</v>
      </c>
      <c r="AA7076">
        <f>IF(ISNUMBER('IN-CLASS_Lab Part C'!$J$7076),'IN-CLASS_Lab Part C'!$J$7076,NA())</f>
        <v/>
      </c>
    </row>
    <row r="7077">
      <c r="J7077">
        <f>IF(AND(ISNUMBER('Data'!$F$7078),'Data'!$F$7078&lt;&gt;999,'Data'!$F$7078&lt;&gt;""),'Data'!$F$7078,"")</f>
        <v/>
      </c>
      <c r="Z7077" t="n">
        <v>1</v>
      </c>
      <c r="AA7077">
        <f>IF(ISNUMBER('IN-CLASS_Lab Part C'!$J$7077),'IN-CLASS_Lab Part C'!$J$7077,NA())</f>
        <v/>
      </c>
    </row>
    <row r="7078">
      <c r="J7078">
        <f>IF(AND(ISNUMBER('Data'!$F$7079),'Data'!$F$7079&lt;&gt;999,'Data'!$F$7079&lt;&gt;""),'Data'!$F$7079,"")</f>
        <v/>
      </c>
      <c r="Z7078" t="n">
        <v>1</v>
      </c>
      <c r="AA7078">
        <f>IF(ISNUMBER('IN-CLASS_Lab Part C'!$J$7078),'IN-CLASS_Lab Part C'!$J$7078,NA())</f>
        <v/>
      </c>
    </row>
    <row r="7079">
      <c r="J7079">
        <f>IF(AND(ISNUMBER('Data'!$F$7080),'Data'!$F$7080&lt;&gt;999,'Data'!$F$7080&lt;&gt;""),'Data'!$F$7080,"")</f>
        <v/>
      </c>
      <c r="Z7079" t="n">
        <v>1</v>
      </c>
      <c r="AA7079">
        <f>IF(ISNUMBER('IN-CLASS_Lab Part C'!$J$7079),'IN-CLASS_Lab Part C'!$J$7079,NA())</f>
        <v/>
      </c>
    </row>
    <row r="7080">
      <c r="J7080">
        <f>IF(AND(ISNUMBER('Data'!$F$7081),'Data'!$F$7081&lt;&gt;999,'Data'!$F$7081&lt;&gt;""),'Data'!$F$7081,"")</f>
        <v/>
      </c>
      <c r="Z7080" t="n">
        <v>1</v>
      </c>
      <c r="AA7080">
        <f>IF(ISNUMBER('IN-CLASS_Lab Part C'!$J$7080),'IN-CLASS_Lab Part C'!$J$7080,NA())</f>
        <v/>
      </c>
    </row>
    <row r="7081">
      <c r="J7081">
        <f>IF(AND(ISNUMBER('Data'!$F$7082),'Data'!$F$7082&lt;&gt;999,'Data'!$F$7082&lt;&gt;""),'Data'!$F$7082,"")</f>
        <v/>
      </c>
      <c r="Z7081" t="n">
        <v>1</v>
      </c>
      <c r="AA7081">
        <f>IF(ISNUMBER('IN-CLASS_Lab Part C'!$J$7081),'IN-CLASS_Lab Part C'!$J$7081,NA())</f>
        <v/>
      </c>
    </row>
    <row r="7082">
      <c r="J7082">
        <f>IF(AND(ISNUMBER('Data'!$F$7083),'Data'!$F$7083&lt;&gt;999,'Data'!$F$7083&lt;&gt;""),'Data'!$F$7083,"")</f>
        <v/>
      </c>
      <c r="Z7082" t="n">
        <v>1</v>
      </c>
      <c r="AA7082">
        <f>IF(ISNUMBER('IN-CLASS_Lab Part C'!$J$7082),'IN-CLASS_Lab Part C'!$J$7082,NA())</f>
        <v/>
      </c>
    </row>
    <row r="7083">
      <c r="J7083">
        <f>IF(AND(ISNUMBER('Data'!$F$7084),'Data'!$F$7084&lt;&gt;999,'Data'!$F$7084&lt;&gt;""),'Data'!$F$7084,"")</f>
        <v/>
      </c>
      <c r="Z7083" t="n">
        <v>1</v>
      </c>
      <c r="AA7083">
        <f>IF(ISNUMBER('IN-CLASS_Lab Part C'!$J$7083),'IN-CLASS_Lab Part C'!$J$7083,NA())</f>
        <v/>
      </c>
    </row>
    <row r="7084">
      <c r="J7084">
        <f>IF(AND(ISNUMBER('Data'!$F$7085),'Data'!$F$7085&lt;&gt;999,'Data'!$F$7085&lt;&gt;""),'Data'!$F$7085,"")</f>
        <v/>
      </c>
      <c r="Z7084" t="n">
        <v>1</v>
      </c>
      <c r="AA7084">
        <f>IF(ISNUMBER('IN-CLASS_Lab Part C'!$J$7084),'IN-CLASS_Lab Part C'!$J$7084,NA())</f>
        <v/>
      </c>
    </row>
    <row r="7085">
      <c r="J7085">
        <f>IF(AND(ISNUMBER('Data'!$F$7086),'Data'!$F$7086&lt;&gt;999,'Data'!$F$7086&lt;&gt;""),'Data'!$F$7086,"")</f>
        <v/>
      </c>
      <c r="Z7085" t="n">
        <v>1</v>
      </c>
      <c r="AA7085">
        <f>IF(ISNUMBER('IN-CLASS_Lab Part C'!$J$7085),'IN-CLASS_Lab Part C'!$J$7085,NA())</f>
        <v/>
      </c>
    </row>
    <row r="7086">
      <c r="J7086">
        <f>IF(AND(ISNUMBER('Data'!$F$7087),'Data'!$F$7087&lt;&gt;999,'Data'!$F$7087&lt;&gt;""),'Data'!$F$7087,"")</f>
        <v/>
      </c>
      <c r="Z7086" t="n">
        <v>1</v>
      </c>
      <c r="AA7086">
        <f>IF(ISNUMBER('IN-CLASS_Lab Part C'!$J$7086),'IN-CLASS_Lab Part C'!$J$7086,NA())</f>
        <v/>
      </c>
    </row>
    <row r="7087">
      <c r="J7087">
        <f>IF(AND(ISNUMBER('Data'!$F$7088),'Data'!$F$7088&lt;&gt;999,'Data'!$F$7088&lt;&gt;""),'Data'!$F$7088,"")</f>
        <v/>
      </c>
      <c r="Z7087" t="n">
        <v>1</v>
      </c>
      <c r="AA7087">
        <f>IF(ISNUMBER('IN-CLASS_Lab Part C'!$J$7087),'IN-CLASS_Lab Part C'!$J$7087,NA())</f>
        <v/>
      </c>
    </row>
    <row r="7088">
      <c r="J7088">
        <f>IF(AND(ISNUMBER('Data'!$F$7089),'Data'!$F$7089&lt;&gt;999,'Data'!$F$7089&lt;&gt;""),'Data'!$F$7089,"")</f>
        <v/>
      </c>
      <c r="Z7088" t="n">
        <v>1</v>
      </c>
      <c r="AA7088">
        <f>IF(ISNUMBER('IN-CLASS_Lab Part C'!$J$7088),'IN-CLASS_Lab Part C'!$J$7088,NA())</f>
        <v/>
      </c>
    </row>
    <row r="7089">
      <c r="J7089">
        <f>IF(AND(ISNUMBER('Data'!$F$7090),'Data'!$F$7090&lt;&gt;999,'Data'!$F$7090&lt;&gt;""),'Data'!$F$7090,"")</f>
        <v/>
      </c>
      <c r="Z7089" t="n">
        <v>1</v>
      </c>
      <c r="AA7089">
        <f>IF(ISNUMBER('IN-CLASS_Lab Part C'!$J$7089),'IN-CLASS_Lab Part C'!$J$7089,NA())</f>
        <v/>
      </c>
    </row>
    <row r="7090">
      <c r="J7090">
        <f>IF(AND(ISNUMBER('Data'!$F$7091),'Data'!$F$7091&lt;&gt;999,'Data'!$F$7091&lt;&gt;""),'Data'!$F$7091,"")</f>
        <v/>
      </c>
      <c r="Z7090" t="n">
        <v>1</v>
      </c>
      <c r="AA7090">
        <f>IF(ISNUMBER('IN-CLASS_Lab Part C'!$J$7090),'IN-CLASS_Lab Part C'!$J$7090,NA())</f>
        <v/>
      </c>
    </row>
    <row r="7091">
      <c r="J7091">
        <f>IF(AND(ISNUMBER('Data'!$F$7092),'Data'!$F$7092&lt;&gt;999,'Data'!$F$7092&lt;&gt;""),'Data'!$F$7092,"")</f>
        <v/>
      </c>
      <c r="Z7091" t="n">
        <v>1</v>
      </c>
      <c r="AA7091">
        <f>IF(ISNUMBER('IN-CLASS_Lab Part C'!$J$7091),'IN-CLASS_Lab Part C'!$J$7091,NA())</f>
        <v/>
      </c>
    </row>
    <row r="7092">
      <c r="J7092">
        <f>IF(AND(ISNUMBER('Data'!$F$7093),'Data'!$F$7093&lt;&gt;999,'Data'!$F$7093&lt;&gt;""),'Data'!$F$7093,"")</f>
        <v/>
      </c>
      <c r="Z7092" t="n">
        <v>1</v>
      </c>
      <c r="AA7092">
        <f>IF(ISNUMBER('IN-CLASS_Lab Part C'!$J$7092),'IN-CLASS_Lab Part C'!$J$7092,NA())</f>
        <v/>
      </c>
    </row>
    <row r="7093">
      <c r="J7093">
        <f>IF(AND(ISNUMBER('Data'!$F$7094),'Data'!$F$7094&lt;&gt;999,'Data'!$F$7094&lt;&gt;""),'Data'!$F$7094,"")</f>
        <v/>
      </c>
      <c r="Z7093" t="n">
        <v>1</v>
      </c>
      <c r="AA7093">
        <f>IF(ISNUMBER('IN-CLASS_Lab Part C'!$J$7093),'IN-CLASS_Lab Part C'!$J$7093,NA())</f>
        <v/>
      </c>
    </row>
    <row r="7094">
      <c r="J7094">
        <f>IF(AND(ISNUMBER('Data'!$F$7095),'Data'!$F$7095&lt;&gt;999,'Data'!$F$7095&lt;&gt;""),'Data'!$F$7095,"")</f>
        <v/>
      </c>
      <c r="Z7094" t="n">
        <v>1</v>
      </c>
      <c r="AA7094">
        <f>IF(ISNUMBER('IN-CLASS_Lab Part C'!$J$7094),'IN-CLASS_Lab Part C'!$J$7094,NA())</f>
        <v/>
      </c>
    </row>
    <row r="7095">
      <c r="J7095">
        <f>IF(AND(ISNUMBER('Data'!$F$7096),'Data'!$F$7096&lt;&gt;999,'Data'!$F$7096&lt;&gt;""),'Data'!$F$7096,"")</f>
        <v/>
      </c>
      <c r="Z7095" t="n">
        <v>1</v>
      </c>
      <c r="AA7095">
        <f>IF(ISNUMBER('IN-CLASS_Lab Part C'!$J$7095),'IN-CLASS_Lab Part C'!$J$7095,NA())</f>
        <v/>
      </c>
    </row>
    <row r="7096">
      <c r="J7096">
        <f>IF(AND(ISNUMBER('Data'!$F$7097),'Data'!$F$7097&lt;&gt;999,'Data'!$F$7097&lt;&gt;""),'Data'!$F$7097,"")</f>
        <v/>
      </c>
      <c r="Z7096" t="n">
        <v>1</v>
      </c>
      <c r="AA7096">
        <f>IF(ISNUMBER('IN-CLASS_Lab Part C'!$J$7096),'IN-CLASS_Lab Part C'!$J$7096,NA())</f>
        <v/>
      </c>
    </row>
    <row r="7097">
      <c r="J7097">
        <f>IF(AND(ISNUMBER('Data'!$F$7098),'Data'!$F$7098&lt;&gt;999,'Data'!$F$7098&lt;&gt;""),'Data'!$F$7098,"")</f>
        <v/>
      </c>
      <c r="Z7097" t="n">
        <v>1</v>
      </c>
      <c r="AA7097">
        <f>IF(ISNUMBER('IN-CLASS_Lab Part C'!$J$7097),'IN-CLASS_Lab Part C'!$J$7097,NA())</f>
        <v/>
      </c>
    </row>
    <row r="7098">
      <c r="J7098">
        <f>IF(AND(ISNUMBER('Data'!$F$7099),'Data'!$F$7099&lt;&gt;999,'Data'!$F$7099&lt;&gt;""),'Data'!$F$7099,"")</f>
        <v/>
      </c>
      <c r="Z7098" t="n">
        <v>1</v>
      </c>
      <c r="AA7098">
        <f>IF(ISNUMBER('IN-CLASS_Lab Part C'!$J$7098),'IN-CLASS_Lab Part C'!$J$7098,NA())</f>
        <v/>
      </c>
    </row>
    <row r="7099">
      <c r="J7099">
        <f>IF(AND(ISNUMBER('Data'!$F$7100),'Data'!$F$7100&lt;&gt;999,'Data'!$F$7100&lt;&gt;""),'Data'!$F$7100,"")</f>
        <v/>
      </c>
      <c r="Z7099" t="n">
        <v>1</v>
      </c>
      <c r="AA7099">
        <f>IF(ISNUMBER('IN-CLASS_Lab Part C'!$J$7099),'IN-CLASS_Lab Part C'!$J$7099,NA())</f>
        <v/>
      </c>
    </row>
    <row r="7100">
      <c r="J7100">
        <f>IF(AND(ISNUMBER('Data'!$F$7101),'Data'!$F$7101&lt;&gt;999,'Data'!$F$7101&lt;&gt;""),'Data'!$F$7101,"")</f>
        <v/>
      </c>
      <c r="Z7100" t="n">
        <v>1</v>
      </c>
      <c r="AA7100">
        <f>IF(ISNUMBER('IN-CLASS_Lab Part C'!$J$7100),'IN-CLASS_Lab Part C'!$J$7100,NA())</f>
        <v/>
      </c>
    </row>
    <row r="7101">
      <c r="J7101">
        <f>IF(AND(ISNUMBER('Data'!$F$7102),'Data'!$F$7102&lt;&gt;999,'Data'!$F$7102&lt;&gt;""),'Data'!$F$7102,"")</f>
        <v/>
      </c>
      <c r="Z7101" t="n">
        <v>1</v>
      </c>
      <c r="AA7101">
        <f>IF(ISNUMBER('IN-CLASS_Lab Part C'!$J$7101),'IN-CLASS_Lab Part C'!$J$7101,NA())</f>
        <v/>
      </c>
    </row>
    <row r="7102">
      <c r="J7102">
        <f>IF(AND(ISNUMBER('Data'!$F$7103),'Data'!$F$7103&lt;&gt;999,'Data'!$F$7103&lt;&gt;""),'Data'!$F$7103,"")</f>
        <v/>
      </c>
      <c r="Z7102" t="n">
        <v>1</v>
      </c>
      <c r="AA7102">
        <f>IF(ISNUMBER('IN-CLASS_Lab Part C'!$J$7102),'IN-CLASS_Lab Part C'!$J$7102,NA())</f>
        <v/>
      </c>
    </row>
    <row r="7103">
      <c r="J7103">
        <f>IF(AND(ISNUMBER('Data'!$F$7104),'Data'!$F$7104&lt;&gt;999,'Data'!$F$7104&lt;&gt;""),'Data'!$F$7104,"")</f>
        <v/>
      </c>
      <c r="Z7103" t="n">
        <v>1</v>
      </c>
      <c r="AA7103">
        <f>IF(ISNUMBER('IN-CLASS_Lab Part C'!$J$7103),'IN-CLASS_Lab Part C'!$J$7103,NA())</f>
        <v/>
      </c>
    </row>
    <row r="7104">
      <c r="J7104">
        <f>IF(AND(ISNUMBER('Data'!$F$7105),'Data'!$F$7105&lt;&gt;999,'Data'!$F$7105&lt;&gt;""),'Data'!$F$7105,"")</f>
        <v/>
      </c>
      <c r="Z7104" t="n">
        <v>1</v>
      </c>
      <c r="AA7104">
        <f>IF(ISNUMBER('IN-CLASS_Lab Part C'!$J$7104),'IN-CLASS_Lab Part C'!$J$7104,NA())</f>
        <v/>
      </c>
    </row>
    <row r="7105">
      <c r="J7105">
        <f>IF(AND(ISNUMBER('Data'!$F$7106),'Data'!$F$7106&lt;&gt;999,'Data'!$F$7106&lt;&gt;""),'Data'!$F$7106,"")</f>
        <v/>
      </c>
      <c r="Z7105" t="n">
        <v>1</v>
      </c>
      <c r="AA7105">
        <f>IF(ISNUMBER('IN-CLASS_Lab Part C'!$J$7105),'IN-CLASS_Lab Part C'!$J$7105,NA())</f>
        <v/>
      </c>
    </row>
    <row r="7106">
      <c r="J7106">
        <f>IF(AND(ISNUMBER('Data'!$F$7107),'Data'!$F$7107&lt;&gt;999,'Data'!$F$7107&lt;&gt;""),'Data'!$F$7107,"")</f>
        <v/>
      </c>
      <c r="Z7106" t="n">
        <v>1</v>
      </c>
      <c r="AA7106">
        <f>IF(ISNUMBER('IN-CLASS_Lab Part C'!$J$7106),'IN-CLASS_Lab Part C'!$J$7106,NA())</f>
        <v/>
      </c>
    </row>
    <row r="7107">
      <c r="J7107">
        <f>IF(AND(ISNUMBER('Data'!$F$7108),'Data'!$F$7108&lt;&gt;999,'Data'!$F$7108&lt;&gt;""),'Data'!$F$7108,"")</f>
        <v/>
      </c>
      <c r="Z7107" t="n">
        <v>1</v>
      </c>
      <c r="AA7107">
        <f>IF(ISNUMBER('IN-CLASS_Lab Part C'!$J$7107),'IN-CLASS_Lab Part C'!$J$7107,NA())</f>
        <v/>
      </c>
    </row>
    <row r="7108">
      <c r="J7108">
        <f>IF(AND(ISNUMBER('Data'!$F$7109),'Data'!$F$7109&lt;&gt;999,'Data'!$F$7109&lt;&gt;""),'Data'!$F$7109,"")</f>
        <v/>
      </c>
      <c r="Z7108" t="n">
        <v>1</v>
      </c>
      <c r="AA7108">
        <f>IF(ISNUMBER('IN-CLASS_Lab Part C'!$J$7108),'IN-CLASS_Lab Part C'!$J$7108,NA())</f>
        <v/>
      </c>
    </row>
    <row r="7109">
      <c r="J7109">
        <f>IF(AND(ISNUMBER('Data'!$F$7110),'Data'!$F$7110&lt;&gt;999,'Data'!$F$7110&lt;&gt;""),'Data'!$F$7110,"")</f>
        <v/>
      </c>
      <c r="Z7109" t="n">
        <v>1</v>
      </c>
      <c r="AA7109">
        <f>IF(ISNUMBER('IN-CLASS_Lab Part C'!$J$7109),'IN-CLASS_Lab Part C'!$J$7109,NA())</f>
        <v/>
      </c>
    </row>
    <row r="7110">
      <c r="J7110">
        <f>IF(AND(ISNUMBER('Data'!$F$7111),'Data'!$F$7111&lt;&gt;999,'Data'!$F$7111&lt;&gt;""),'Data'!$F$7111,"")</f>
        <v/>
      </c>
      <c r="Z7110" t="n">
        <v>1</v>
      </c>
      <c r="AA7110">
        <f>IF(ISNUMBER('IN-CLASS_Lab Part C'!$J$7110),'IN-CLASS_Lab Part C'!$J$7110,NA())</f>
        <v/>
      </c>
    </row>
    <row r="7111">
      <c r="J7111">
        <f>IF(AND(ISNUMBER('Data'!$F$7112),'Data'!$F$7112&lt;&gt;999,'Data'!$F$7112&lt;&gt;""),'Data'!$F$7112,"")</f>
        <v/>
      </c>
      <c r="Z7111" t="n">
        <v>1</v>
      </c>
      <c r="AA7111">
        <f>IF(ISNUMBER('IN-CLASS_Lab Part C'!$J$7111),'IN-CLASS_Lab Part C'!$J$7111,NA())</f>
        <v/>
      </c>
    </row>
    <row r="7112">
      <c r="J7112">
        <f>IF(AND(ISNUMBER('Data'!$F$7113),'Data'!$F$7113&lt;&gt;999,'Data'!$F$7113&lt;&gt;""),'Data'!$F$7113,"")</f>
        <v/>
      </c>
      <c r="Z7112" t="n">
        <v>1</v>
      </c>
      <c r="AA7112">
        <f>IF(ISNUMBER('IN-CLASS_Lab Part C'!$J$7112),'IN-CLASS_Lab Part C'!$J$7112,NA())</f>
        <v/>
      </c>
    </row>
    <row r="7113">
      <c r="J7113">
        <f>IF(AND(ISNUMBER('Data'!$F$7114),'Data'!$F$7114&lt;&gt;999,'Data'!$F$7114&lt;&gt;""),'Data'!$F$7114,"")</f>
        <v/>
      </c>
      <c r="Z7113" t="n">
        <v>1</v>
      </c>
      <c r="AA7113">
        <f>IF(ISNUMBER('IN-CLASS_Lab Part C'!$J$7113),'IN-CLASS_Lab Part C'!$J$7113,NA())</f>
        <v/>
      </c>
    </row>
    <row r="7114">
      <c r="J7114">
        <f>IF(AND(ISNUMBER('Data'!$F$7115),'Data'!$F$7115&lt;&gt;999,'Data'!$F$7115&lt;&gt;""),'Data'!$F$7115,"")</f>
        <v/>
      </c>
      <c r="Z7114" t="n">
        <v>1</v>
      </c>
      <c r="AA7114">
        <f>IF(ISNUMBER('IN-CLASS_Lab Part C'!$J$7114),'IN-CLASS_Lab Part C'!$J$7114,NA())</f>
        <v/>
      </c>
    </row>
    <row r="7115">
      <c r="J7115">
        <f>IF(AND(ISNUMBER('Data'!$F$7116),'Data'!$F$7116&lt;&gt;999,'Data'!$F$7116&lt;&gt;""),'Data'!$F$7116,"")</f>
        <v/>
      </c>
      <c r="Z7115" t="n">
        <v>1</v>
      </c>
      <c r="AA7115">
        <f>IF(ISNUMBER('IN-CLASS_Lab Part C'!$J$7115),'IN-CLASS_Lab Part C'!$J$7115,NA())</f>
        <v/>
      </c>
    </row>
    <row r="7116">
      <c r="J7116">
        <f>IF(AND(ISNUMBER('Data'!$F$7117),'Data'!$F$7117&lt;&gt;999,'Data'!$F$7117&lt;&gt;""),'Data'!$F$7117,"")</f>
        <v/>
      </c>
      <c r="Z7116" t="n">
        <v>1</v>
      </c>
      <c r="AA7116">
        <f>IF(ISNUMBER('IN-CLASS_Lab Part C'!$J$7116),'IN-CLASS_Lab Part C'!$J$7116,NA())</f>
        <v/>
      </c>
    </row>
    <row r="7117">
      <c r="J7117">
        <f>IF(AND(ISNUMBER('Data'!$F$7118),'Data'!$F$7118&lt;&gt;999,'Data'!$F$7118&lt;&gt;""),'Data'!$F$7118,"")</f>
        <v/>
      </c>
      <c r="Z7117" t="n">
        <v>1</v>
      </c>
      <c r="AA7117">
        <f>IF(ISNUMBER('IN-CLASS_Lab Part C'!$J$7117),'IN-CLASS_Lab Part C'!$J$7117,NA())</f>
        <v/>
      </c>
    </row>
    <row r="7118">
      <c r="J7118">
        <f>IF(AND(ISNUMBER('Data'!$F$7119),'Data'!$F$7119&lt;&gt;999,'Data'!$F$7119&lt;&gt;""),'Data'!$F$7119,"")</f>
        <v/>
      </c>
      <c r="Z7118" t="n">
        <v>1</v>
      </c>
      <c r="AA7118">
        <f>IF(ISNUMBER('IN-CLASS_Lab Part C'!$J$7118),'IN-CLASS_Lab Part C'!$J$7118,NA())</f>
        <v/>
      </c>
    </row>
    <row r="7119">
      <c r="J7119">
        <f>IF(AND(ISNUMBER('Data'!$F$7120),'Data'!$F$7120&lt;&gt;999,'Data'!$F$7120&lt;&gt;""),'Data'!$F$7120,"")</f>
        <v/>
      </c>
      <c r="Z7119" t="n">
        <v>1</v>
      </c>
      <c r="AA7119">
        <f>IF(ISNUMBER('IN-CLASS_Lab Part C'!$J$7119),'IN-CLASS_Lab Part C'!$J$7119,NA())</f>
        <v/>
      </c>
    </row>
    <row r="7120">
      <c r="J7120">
        <f>IF(AND(ISNUMBER('Data'!$F$7121),'Data'!$F$7121&lt;&gt;999,'Data'!$F$7121&lt;&gt;""),'Data'!$F$7121,"")</f>
        <v/>
      </c>
      <c r="Z7120" t="n">
        <v>1</v>
      </c>
      <c r="AA7120">
        <f>IF(ISNUMBER('IN-CLASS_Lab Part C'!$J$7120),'IN-CLASS_Lab Part C'!$J$7120,NA())</f>
        <v/>
      </c>
    </row>
    <row r="7121">
      <c r="J7121">
        <f>IF(AND(ISNUMBER('Data'!$F$7122),'Data'!$F$7122&lt;&gt;999,'Data'!$F$7122&lt;&gt;""),'Data'!$F$7122,"")</f>
        <v/>
      </c>
      <c r="Z7121" t="n">
        <v>1</v>
      </c>
      <c r="AA7121">
        <f>IF(ISNUMBER('IN-CLASS_Lab Part C'!$J$7121),'IN-CLASS_Lab Part C'!$J$7121,NA())</f>
        <v/>
      </c>
    </row>
    <row r="7122">
      <c r="J7122">
        <f>IF(AND(ISNUMBER('Data'!$F$7123),'Data'!$F$7123&lt;&gt;999,'Data'!$F$7123&lt;&gt;""),'Data'!$F$7123,"")</f>
        <v/>
      </c>
      <c r="Z7122" t="n">
        <v>1</v>
      </c>
      <c r="AA7122">
        <f>IF(ISNUMBER('IN-CLASS_Lab Part C'!$J$7122),'IN-CLASS_Lab Part C'!$J$7122,NA())</f>
        <v/>
      </c>
    </row>
    <row r="7123">
      <c r="J7123">
        <f>IF(AND(ISNUMBER('Data'!$F$7124),'Data'!$F$7124&lt;&gt;999,'Data'!$F$7124&lt;&gt;""),'Data'!$F$7124,"")</f>
        <v/>
      </c>
      <c r="Z7123" t="n">
        <v>1</v>
      </c>
      <c r="AA7123">
        <f>IF(ISNUMBER('IN-CLASS_Lab Part C'!$J$7123),'IN-CLASS_Lab Part C'!$J$7123,NA())</f>
        <v/>
      </c>
    </row>
    <row r="7124">
      <c r="J7124">
        <f>IF(AND(ISNUMBER('Data'!$F$7125),'Data'!$F$7125&lt;&gt;999,'Data'!$F$7125&lt;&gt;""),'Data'!$F$7125,"")</f>
        <v/>
      </c>
      <c r="Z7124" t="n">
        <v>1</v>
      </c>
      <c r="AA7124">
        <f>IF(ISNUMBER('IN-CLASS_Lab Part C'!$J$7124),'IN-CLASS_Lab Part C'!$J$7124,NA())</f>
        <v/>
      </c>
    </row>
    <row r="7125">
      <c r="J7125">
        <f>IF(AND(ISNUMBER('Data'!$F$7126),'Data'!$F$7126&lt;&gt;999,'Data'!$F$7126&lt;&gt;""),'Data'!$F$7126,"")</f>
        <v/>
      </c>
      <c r="Z7125" t="n">
        <v>1</v>
      </c>
      <c r="AA7125">
        <f>IF(ISNUMBER('IN-CLASS_Lab Part C'!$J$7125),'IN-CLASS_Lab Part C'!$J$7125,NA())</f>
        <v/>
      </c>
    </row>
    <row r="7126">
      <c r="J7126">
        <f>IF(AND(ISNUMBER('Data'!$F$7127),'Data'!$F$7127&lt;&gt;999,'Data'!$F$7127&lt;&gt;""),'Data'!$F$7127,"")</f>
        <v/>
      </c>
      <c r="Z7126" t="n">
        <v>1</v>
      </c>
      <c r="AA7126">
        <f>IF(ISNUMBER('IN-CLASS_Lab Part C'!$J$7126),'IN-CLASS_Lab Part C'!$J$7126,NA())</f>
        <v/>
      </c>
    </row>
    <row r="7127">
      <c r="J7127">
        <f>IF(AND(ISNUMBER('Data'!$F$7128),'Data'!$F$7128&lt;&gt;999,'Data'!$F$7128&lt;&gt;""),'Data'!$F$7128,"")</f>
        <v/>
      </c>
      <c r="Z7127" t="n">
        <v>1</v>
      </c>
      <c r="AA7127">
        <f>IF(ISNUMBER('IN-CLASS_Lab Part C'!$J$7127),'IN-CLASS_Lab Part C'!$J$7127,NA())</f>
        <v/>
      </c>
    </row>
    <row r="7128">
      <c r="J7128">
        <f>IF(AND(ISNUMBER('Data'!$F$7129),'Data'!$F$7129&lt;&gt;999,'Data'!$F$7129&lt;&gt;""),'Data'!$F$7129,"")</f>
        <v/>
      </c>
      <c r="Z7128" t="n">
        <v>1</v>
      </c>
      <c r="AA7128">
        <f>IF(ISNUMBER('IN-CLASS_Lab Part C'!$J$7128),'IN-CLASS_Lab Part C'!$J$7128,NA())</f>
        <v/>
      </c>
    </row>
    <row r="7129">
      <c r="J7129">
        <f>IF(AND(ISNUMBER('Data'!$F$7130),'Data'!$F$7130&lt;&gt;999,'Data'!$F$7130&lt;&gt;""),'Data'!$F$7130,"")</f>
        <v/>
      </c>
      <c r="Z7129" t="n">
        <v>1</v>
      </c>
      <c r="AA7129">
        <f>IF(ISNUMBER('IN-CLASS_Lab Part C'!$J$7129),'IN-CLASS_Lab Part C'!$J$7129,NA())</f>
        <v/>
      </c>
    </row>
    <row r="7130">
      <c r="J7130">
        <f>IF(AND(ISNUMBER('Data'!$F$7131),'Data'!$F$7131&lt;&gt;999,'Data'!$F$7131&lt;&gt;""),'Data'!$F$7131,"")</f>
        <v/>
      </c>
      <c r="Z7130" t="n">
        <v>1</v>
      </c>
      <c r="AA7130">
        <f>IF(ISNUMBER('IN-CLASS_Lab Part C'!$J$7130),'IN-CLASS_Lab Part C'!$J$7130,NA())</f>
        <v/>
      </c>
    </row>
    <row r="7131">
      <c r="J7131">
        <f>IF(AND(ISNUMBER('Data'!$F$7132),'Data'!$F$7132&lt;&gt;999,'Data'!$F$7132&lt;&gt;""),'Data'!$F$7132,"")</f>
        <v/>
      </c>
      <c r="Z7131" t="n">
        <v>1</v>
      </c>
      <c r="AA7131">
        <f>IF(ISNUMBER('IN-CLASS_Lab Part C'!$J$7131),'IN-CLASS_Lab Part C'!$J$7131,NA())</f>
        <v/>
      </c>
    </row>
    <row r="7132">
      <c r="J7132">
        <f>IF(AND(ISNUMBER('Data'!$F$7133),'Data'!$F$7133&lt;&gt;999,'Data'!$F$7133&lt;&gt;""),'Data'!$F$7133,"")</f>
        <v/>
      </c>
      <c r="Z7132" t="n">
        <v>1</v>
      </c>
      <c r="AA7132">
        <f>IF(ISNUMBER('IN-CLASS_Lab Part C'!$J$7132),'IN-CLASS_Lab Part C'!$J$7132,NA())</f>
        <v/>
      </c>
    </row>
    <row r="7133">
      <c r="J7133">
        <f>IF(AND(ISNUMBER('Data'!$F$7134),'Data'!$F$7134&lt;&gt;999,'Data'!$F$7134&lt;&gt;""),'Data'!$F$7134,"")</f>
        <v/>
      </c>
      <c r="Z7133" t="n">
        <v>1</v>
      </c>
      <c r="AA7133">
        <f>IF(ISNUMBER('IN-CLASS_Lab Part C'!$J$7133),'IN-CLASS_Lab Part C'!$J$7133,NA())</f>
        <v/>
      </c>
    </row>
    <row r="7134">
      <c r="J7134">
        <f>IF(AND(ISNUMBER('Data'!$F$7135),'Data'!$F$7135&lt;&gt;999,'Data'!$F$7135&lt;&gt;""),'Data'!$F$7135,"")</f>
        <v/>
      </c>
      <c r="Z7134" t="n">
        <v>1</v>
      </c>
      <c r="AA7134">
        <f>IF(ISNUMBER('IN-CLASS_Lab Part C'!$J$7134),'IN-CLASS_Lab Part C'!$J$7134,NA())</f>
        <v/>
      </c>
    </row>
    <row r="7135">
      <c r="J7135">
        <f>IF(AND(ISNUMBER('Data'!$F$7136),'Data'!$F$7136&lt;&gt;999,'Data'!$F$7136&lt;&gt;""),'Data'!$F$7136,"")</f>
        <v/>
      </c>
      <c r="Z7135" t="n">
        <v>1</v>
      </c>
      <c r="AA7135">
        <f>IF(ISNUMBER('IN-CLASS_Lab Part C'!$J$7135),'IN-CLASS_Lab Part C'!$J$7135,NA())</f>
        <v/>
      </c>
    </row>
    <row r="7136">
      <c r="J7136">
        <f>IF(AND(ISNUMBER('Data'!$F$7137),'Data'!$F$7137&lt;&gt;999,'Data'!$F$7137&lt;&gt;""),'Data'!$F$7137,"")</f>
        <v/>
      </c>
      <c r="Z7136" t="n">
        <v>1</v>
      </c>
      <c r="AA7136">
        <f>IF(ISNUMBER('IN-CLASS_Lab Part C'!$J$7136),'IN-CLASS_Lab Part C'!$J$7136,NA())</f>
        <v/>
      </c>
    </row>
    <row r="7137">
      <c r="J7137">
        <f>IF(AND(ISNUMBER('Data'!$F$7138),'Data'!$F$7138&lt;&gt;999,'Data'!$F$7138&lt;&gt;""),'Data'!$F$7138,"")</f>
        <v/>
      </c>
      <c r="Z7137" t="n">
        <v>1</v>
      </c>
      <c r="AA7137">
        <f>IF(ISNUMBER('IN-CLASS_Lab Part C'!$J$7137),'IN-CLASS_Lab Part C'!$J$7137,NA())</f>
        <v/>
      </c>
    </row>
    <row r="7138">
      <c r="J7138">
        <f>IF(AND(ISNUMBER('Data'!$F$7139),'Data'!$F$7139&lt;&gt;999,'Data'!$F$7139&lt;&gt;""),'Data'!$F$7139,"")</f>
        <v/>
      </c>
      <c r="Z7138" t="n">
        <v>1</v>
      </c>
      <c r="AA7138">
        <f>IF(ISNUMBER('IN-CLASS_Lab Part C'!$J$7138),'IN-CLASS_Lab Part C'!$J$7138,NA())</f>
        <v/>
      </c>
    </row>
    <row r="7139">
      <c r="J7139">
        <f>IF(AND(ISNUMBER('Data'!$F$7140),'Data'!$F$7140&lt;&gt;999,'Data'!$F$7140&lt;&gt;""),'Data'!$F$7140,"")</f>
        <v/>
      </c>
      <c r="Z7139" t="n">
        <v>1</v>
      </c>
      <c r="AA7139">
        <f>IF(ISNUMBER('IN-CLASS_Lab Part C'!$J$7139),'IN-CLASS_Lab Part C'!$J$7139,NA())</f>
        <v/>
      </c>
    </row>
    <row r="7140">
      <c r="J7140">
        <f>IF(AND(ISNUMBER('Data'!$F$7141),'Data'!$F$7141&lt;&gt;999,'Data'!$F$7141&lt;&gt;""),'Data'!$F$7141,"")</f>
        <v/>
      </c>
      <c r="Z7140" t="n">
        <v>1</v>
      </c>
      <c r="AA7140">
        <f>IF(ISNUMBER('IN-CLASS_Lab Part C'!$J$7140),'IN-CLASS_Lab Part C'!$J$7140,NA())</f>
        <v/>
      </c>
    </row>
    <row r="7141">
      <c r="J7141">
        <f>IF(AND(ISNUMBER('Data'!$F$7142),'Data'!$F$7142&lt;&gt;999,'Data'!$F$7142&lt;&gt;""),'Data'!$F$7142,"")</f>
        <v/>
      </c>
      <c r="Z7141" t="n">
        <v>1</v>
      </c>
      <c r="AA7141">
        <f>IF(ISNUMBER('IN-CLASS_Lab Part C'!$J$7141),'IN-CLASS_Lab Part C'!$J$7141,NA())</f>
        <v/>
      </c>
    </row>
    <row r="7142">
      <c r="J7142">
        <f>IF(AND(ISNUMBER('Data'!$F$7143),'Data'!$F$7143&lt;&gt;999,'Data'!$F$7143&lt;&gt;""),'Data'!$F$7143,"")</f>
        <v/>
      </c>
      <c r="Z7142" t="n">
        <v>1</v>
      </c>
      <c r="AA7142">
        <f>IF(ISNUMBER('IN-CLASS_Lab Part C'!$J$7142),'IN-CLASS_Lab Part C'!$J$7142,NA())</f>
        <v/>
      </c>
    </row>
    <row r="7143">
      <c r="J7143">
        <f>IF(AND(ISNUMBER('Data'!$F$7144),'Data'!$F$7144&lt;&gt;999,'Data'!$F$7144&lt;&gt;""),'Data'!$F$7144,"")</f>
        <v/>
      </c>
      <c r="Z7143" t="n">
        <v>1</v>
      </c>
      <c r="AA7143">
        <f>IF(ISNUMBER('IN-CLASS_Lab Part C'!$J$7143),'IN-CLASS_Lab Part C'!$J$7143,NA())</f>
        <v/>
      </c>
    </row>
    <row r="7144">
      <c r="J7144">
        <f>IF(AND(ISNUMBER('Data'!$F$7145),'Data'!$F$7145&lt;&gt;999,'Data'!$F$7145&lt;&gt;""),'Data'!$F$7145,"")</f>
        <v/>
      </c>
      <c r="Z7144" t="n">
        <v>1</v>
      </c>
      <c r="AA7144">
        <f>IF(ISNUMBER('IN-CLASS_Lab Part C'!$J$7144),'IN-CLASS_Lab Part C'!$J$7144,NA())</f>
        <v/>
      </c>
    </row>
    <row r="7145">
      <c r="J7145">
        <f>IF(AND(ISNUMBER('Data'!$F$7146),'Data'!$F$7146&lt;&gt;999,'Data'!$F$7146&lt;&gt;""),'Data'!$F$7146,"")</f>
        <v/>
      </c>
      <c r="Z7145" t="n">
        <v>1</v>
      </c>
      <c r="AA7145">
        <f>IF(ISNUMBER('IN-CLASS_Lab Part C'!$J$7145),'IN-CLASS_Lab Part C'!$J$7145,NA())</f>
        <v/>
      </c>
    </row>
    <row r="7146">
      <c r="J7146">
        <f>IF(AND(ISNUMBER('Data'!$F$7147),'Data'!$F$7147&lt;&gt;999,'Data'!$F$7147&lt;&gt;""),'Data'!$F$7147,"")</f>
        <v/>
      </c>
      <c r="Z7146" t="n">
        <v>1</v>
      </c>
      <c r="AA7146">
        <f>IF(ISNUMBER('IN-CLASS_Lab Part C'!$J$7146),'IN-CLASS_Lab Part C'!$J$7146,NA())</f>
        <v/>
      </c>
    </row>
    <row r="7147">
      <c r="J7147">
        <f>IF(AND(ISNUMBER('Data'!$F$7148),'Data'!$F$7148&lt;&gt;999,'Data'!$F$7148&lt;&gt;""),'Data'!$F$7148,"")</f>
        <v/>
      </c>
      <c r="Z7147" t="n">
        <v>1</v>
      </c>
      <c r="AA7147">
        <f>IF(ISNUMBER('IN-CLASS_Lab Part C'!$J$7147),'IN-CLASS_Lab Part C'!$J$7147,NA())</f>
        <v/>
      </c>
    </row>
    <row r="7148">
      <c r="J7148">
        <f>IF(AND(ISNUMBER('Data'!$F$7149),'Data'!$F$7149&lt;&gt;999,'Data'!$F$7149&lt;&gt;""),'Data'!$F$7149,"")</f>
        <v/>
      </c>
      <c r="Z7148" t="n">
        <v>1</v>
      </c>
      <c r="AA7148">
        <f>IF(ISNUMBER('IN-CLASS_Lab Part C'!$J$7148),'IN-CLASS_Lab Part C'!$J$7148,NA())</f>
        <v/>
      </c>
    </row>
    <row r="7149">
      <c r="J7149">
        <f>IF(AND(ISNUMBER('Data'!$F$7150),'Data'!$F$7150&lt;&gt;999,'Data'!$F$7150&lt;&gt;""),'Data'!$F$7150,"")</f>
        <v/>
      </c>
      <c r="Z7149" t="n">
        <v>1</v>
      </c>
      <c r="AA7149">
        <f>IF(ISNUMBER('IN-CLASS_Lab Part C'!$J$7149),'IN-CLASS_Lab Part C'!$J$7149,NA())</f>
        <v/>
      </c>
    </row>
    <row r="7150">
      <c r="J7150">
        <f>IF(AND(ISNUMBER('Data'!$F$7151),'Data'!$F$7151&lt;&gt;999,'Data'!$F$7151&lt;&gt;""),'Data'!$F$7151,"")</f>
        <v/>
      </c>
      <c r="Z7150" t="n">
        <v>1</v>
      </c>
      <c r="AA7150">
        <f>IF(ISNUMBER('IN-CLASS_Lab Part C'!$J$7150),'IN-CLASS_Lab Part C'!$J$7150,NA())</f>
        <v/>
      </c>
    </row>
    <row r="7151">
      <c r="J7151">
        <f>IF(AND(ISNUMBER('Data'!$F$7152),'Data'!$F$7152&lt;&gt;999,'Data'!$F$7152&lt;&gt;""),'Data'!$F$7152,"")</f>
        <v/>
      </c>
      <c r="Z7151" t="n">
        <v>1</v>
      </c>
      <c r="AA7151">
        <f>IF(ISNUMBER('IN-CLASS_Lab Part C'!$J$7151),'IN-CLASS_Lab Part C'!$J$7151,NA())</f>
        <v/>
      </c>
    </row>
    <row r="7152">
      <c r="J7152">
        <f>IF(AND(ISNUMBER('Data'!$F$7153),'Data'!$F$7153&lt;&gt;999,'Data'!$F$7153&lt;&gt;""),'Data'!$F$7153,"")</f>
        <v/>
      </c>
      <c r="Z7152" t="n">
        <v>1</v>
      </c>
      <c r="AA7152">
        <f>IF(ISNUMBER('IN-CLASS_Lab Part C'!$J$7152),'IN-CLASS_Lab Part C'!$J$7152,NA())</f>
        <v/>
      </c>
    </row>
    <row r="7153">
      <c r="J7153">
        <f>IF(AND(ISNUMBER('Data'!$F$7154),'Data'!$F$7154&lt;&gt;999,'Data'!$F$7154&lt;&gt;""),'Data'!$F$7154,"")</f>
        <v/>
      </c>
      <c r="Z7153" t="n">
        <v>1</v>
      </c>
      <c r="AA7153">
        <f>IF(ISNUMBER('IN-CLASS_Lab Part C'!$J$7153),'IN-CLASS_Lab Part C'!$J$7153,NA())</f>
        <v/>
      </c>
    </row>
    <row r="7154">
      <c r="J7154">
        <f>IF(AND(ISNUMBER('Data'!$F$7155),'Data'!$F$7155&lt;&gt;999,'Data'!$F$7155&lt;&gt;""),'Data'!$F$7155,"")</f>
        <v/>
      </c>
      <c r="Z7154" t="n">
        <v>1</v>
      </c>
      <c r="AA7154">
        <f>IF(ISNUMBER('IN-CLASS_Lab Part C'!$J$7154),'IN-CLASS_Lab Part C'!$J$7154,NA())</f>
        <v/>
      </c>
    </row>
    <row r="7155">
      <c r="J7155">
        <f>IF(AND(ISNUMBER('Data'!$F$7156),'Data'!$F$7156&lt;&gt;999,'Data'!$F$7156&lt;&gt;""),'Data'!$F$7156,"")</f>
        <v/>
      </c>
      <c r="Z7155" t="n">
        <v>1</v>
      </c>
      <c r="AA7155">
        <f>IF(ISNUMBER('IN-CLASS_Lab Part C'!$J$7155),'IN-CLASS_Lab Part C'!$J$7155,NA())</f>
        <v/>
      </c>
    </row>
    <row r="7156">
      <c r="J7156">
        <f>IF(AND(ISNUMBER('Data'!$F$7157),'Data'!$F$7157&lt;&gt;999,'Data'!$F$7157&lt;&gt;""),'Data'!$F$7157,"")</f>
        <v/>
      </c>
      <c r="Z7156" t="n">
        <v>1</v>
      </c>
      <c r="AA7156">
        <f>IF(ISNUMBER('IN-CLASS_Lab Part C'!$J$7156),'IN-CLASS_Lab Part C'!$J$7156,NA())</f>
        <v/>
      </c>
    </row>
    <row r="7157">
      <c r="J7157">
        <f>IF(AND(ISNUMBER('Data'!$F$7158),'Data'!$F$7158&lt;&gt;999,'Data'!$F$7158&lt;&gt;""),'Data'!$F$7158,"")</f>
        <v/>
      </c>
      <c r="Z7157" t="n">
        <v>1</v>
      </c>
      <c r="AA7157">
        <f>IF(ISNUMBER('IN-CLASS_Lab Part C'!$J$7157),'IN-CLASS_Lab Part C'!$J$7157,NA())</f>
        <v/>
      </c>
    </row>
    <row r="7158">
      <c r="J7158">
        <f>IF(AND(ISNUMBER('Data'!$F$7159),'Data'!$F$7159&lt;&gt;999,'Data'!$F$7159&lt;&gt;""),'Data'!$F$7159,"")</f>
        <v/>
      </c>
      <c r="Z7158" t="n">
        <v>1</v>
      </c>
      <c r="AA7158">
        <f>IF(ISNUMBER('IN-CLASS_Lab Part C'!$J$7158),'IN-CLASS_Lab Part C'!$J$7158,NA())</f>
        <v/>
      </c>
    </row>
    <row r="7159">
      <c r="J7159">
        <f>IF(AND(ISNUMBER('Data'!$F$7160),'Data'!$F$7160&lt;&gt;999,'Data'!$F$7160&lt;&gt;""),'Data'!$F$7160,"")</f>
        <v/>
      </c>
      <c r="Z7159" t="n">
        <v>1</v>
      </c>
      <c r="AA7159">
        <f>IF(ISNUMBER('IN-CLASS_Lab Part C'!$J$7159),'IN-CLASS_Lab Part C'!$J$7159,NA())</f>
        <v/>
      </c>
    </row>
    <row r="7160">
      <c r="J7160">
        <f>IF(AND(ISNUMBER('Data'!$F$7161),'Data'!$F$7161&lt;&gt;999,'Data'!$F$7161&lt;&gt;""),'Data'!$F$7161,"")</f>
        <v/>
      </c>
      <c r="Z7160" t="n">
        <v>1</v>
      </c>
      <c r="AA7160">
        <f>IF(ISNUMBER('IN-CLASS_Lab Part C'!$J$7160),'IN-CLASS_Lab Part C'!$J$7160,NA())</f>
        <v/>
      </c>
    </row>
    <row r="7161">
      <c r="J7161">
        <f>IF(AND(ISNUMBER('Data'!$F$7162),'Data'!$F$7162&lt;&gt;999,'Data'!$F$7162&lt;&gt;""),'Data'!$F$7162,"")</f>
        <v/>
      </c>
      <c r="Z7161" t="n">
        <v>1</v>
      </c>
      <c r="AA7161">
        <f>IF(ISNUMBER('IN-CLASS_Lab Part C'!$J$7161),'IN-CLASS_Lab Part C'!$J$7161,NA())</f>
        <v/>
      </c>
    </row>
    <row r="7162">
      <c r="J7162">
        <f>IF(AND(ISNUMBER('Data'!$F$7163),'Data'!$F$7163&lt;&gt;999,'Data'!$F$7163&lt;&gt;""),'Data'!$F$7163,"")</f>
        <v/>
      </c>
      <c r="Z7162" t="n">
        <v>1</v>
      </c>
      <c r="AA7162">
        <f>IF(ISNUMBER('IN-CLASS_Lab Part C'!$J$7162),'IN-CLASS_Lab Part C'!$J$7162,NA())</f>
        <v/>
      </c>
    </row>
    <row r="7163">
      <c r="J7163">
        <f>IF(AND(ISNUMBER('Data'!$F$7164),'Data'!$F$7164&lt;&gt;999,'Data'!$F$7164&lt;&gt;""),'Data'!$F$7164,"")</f>
        <v/>
      </c>
      <c r="Z7163" t="n">
        <v>1</v>
      </c>
      <c r="AA7163">
        <f>IF(ISNUMBER('IN-CLASS_Lab Part C'!$J$7163),'IN-CLASS_Lab Part C'!$J$7163,NA())</f>
        <v/>
      </c>
    </row>
    <row r="7164">
      <c r="J7164">
        <f>IF(AND(ISNUMBER('Data'!$F$7165),'Data'!$F$7165&lt;&gt;999,'Data'!$F$7165&lt;&gt;""),'Data'!$F$7165,"")</f>
        <v/>
      </c>
      <c r="Z7164" t="n">
        <v>1</v>
      </c>
      <c r="AA7164">
        <f>IF(ISNUMBER('IN-CLASS_Lab Part C'!$J$7164),'IN-CLASS_Lab Part C'!$J$7164,NA())</f>
        <v/>
      </c>
    </row>
    <row r="7165">
      <c r="J7165">
        <f>IF(AND(ISNUMBER('Data'!$F$7166),'Data'!$F$7166&lt;&gt;999,'Data'!$F$7166&lt;&gt;""),'Data'!$F$7166,"")</f>
        <v/>
      </c>
      <c r="Z7165" t="n">
        <v>1</v>
      </c>
      <c r="AA7165">
        <f>IF(ISNUMBER('IN-CLASS_Lab Part C'!$J$7165),'IN-CLASS_Lab Part C'!$J$7165,NA())</f>
        <v/>
      </c>
    </row>
    <row r="7166">
      <c r="J7166">
        <f>IF(AND(ISNUMBER('Data'!$F$7167),'Data'!$F$7167&lt;&gt;999,'Data'!$F$7167&lt;&gt;""),'Data'!$F$7167,"")</f>
        <v/>
      </c>
      <c r="Z7166" t="n">
        <v>1</v>
      </c>
      <c r="AA7166">
        <f>IF(ISNUMBER('IN-CLASS_Lab Part C'!$J$7166),'IN-CLASS_Lab Part C'!$J$7166,NA())</f>
        <v/>
      </c>
    </row>
    <row r="7167">
      <c r="J7167">
        <f>IF(AND(ISNUMBER('Data'!$F$7168),'Data'!$F$7168&lt;&gt;999,'Data'!$F$7168&lt;&gt;""),'Data'!$F$7168,"")</f>
        <v/>
      </c>
      <c r="Z7167" t="n">
        <v>1</v>
      </c>
      <c r="AA7167">
        <f>IF(ISNUMBER('IN-CLASS_Lab Part C'!$J$7167),'IN-CLASS_Lab Part C'!$J$7167,NA())</f>
        <v/>
      </c>
    </row>
    <row r="7168">
      <c r="J7168">
        <f>IF(AND(ISNUMBER('Data'!$F$7169),'Data'!$F$7169&lt;&gt;999,'Data'!$F$7169&lt;&gt;""),'Data'!$F$7169,"")</f>
        <v/>
      </c>
      <c r="Z7168" t="n">
        <v>1</v>
      </c>
      <c r="AA7168">
        <f>IF(ISNUMBER('IN-CLASS_Lab Part C'!$J$7168),'IN-CLASS_Lab Part C'!$J$7168,NA())</f>
        <v/>
      </c>
    </row>
    <row r="7169">
      <c r="J7169">
        <f>IF(AND(ISNUMBER('Data'!$F$7170),'Data'!$F$7170&lt;&gt;999,'Data'!$F$7170&lt;&gt;""),'Data'!$F$7170,"")</f>
        <v/>
      </c>
      <c r="Z7169" t="n">
        <v>1</v>
      </c>
      <c r="AA7169">
        <f>IF(ISNUMBER('IN-CLASS_Lab Part C'!$J$7169),'IN-CLASS_Lab Part C'!$J$7169,NA())</f>
        <v/>
      </c>
    </row>
    <row r="7170">
      <c r="J7170">
        <f>IF(AND(ISNUMBER('Data'!$F$7171),'Data'!$F$7171&lt;&gt;999,'Data'!$F$7171&lt;&gt;""),'Data'!$F$7171,"")</f>
        <v/>
      </c>
      <c r="Z7170" t="n">
        <v>1</v>
      </c>
      <c r="AA7170">
        <f>IF(ISNUMBER('IN-CLASS_Lab Part C'!$J$7170),'IN-CLASS_Lab Part C'!$J$7170,NA())</f>
        <v/>
      </c>
    </row>
    <row r="7171">
      <c r="J7171">
        <f>IF(AND(ISNUMBER('Data'!$F$7172),'Data'!$F$7172&lt;&gt;999,'Data'!$F$7172&lt;&gt;""),'Data'!$F$7172,"")</f>
        <v/>
      </c>
      <c r="Z7171" t="n">
        <v>1</v>
      </c>
      <c r="AA7171">
        <f>IF(ISNUMBER('IN-CLASS_Lab Part C'!$J$7171),'IN-CLASS_Lab Part C'!$J$7171,NA())</f>
        <v/>
      </c>
    </row>
    <row r="7172">
      <c r="J7172">
        <f>IF(AND(ISNUMBER('Data'!$F$7173),'Data'!$F$7173&lt;&gt;999,'Data'!$F$7173&lt;&gt;""),'Data'!$F$7173,"")</f>
        <v/>
      </c>
      <c r="Z7172" t="n">
        <v>1</v>
      </c>
      <c r="AA7172">
        <f>IF(ISNUMBER('IN-CLASS_Lab Part C'!$J$7172),'IN-CLASS_Lab Part C'!$J$7172,NA())</f>
        <v/>
      </c>
    </row>
    <row r="7173">
      <c r="J7173">
        <f>IF(AND(ISNUMBER('Data'!$F$7174),'Data'!$F$7174&lt;&gt;999,'Data'!$F$7174&lt;&gt;""),'Data'!$F$7174,"")</f>
        <v/>
      </c>
      <c r="Z7173" t="n">
        <v>1</v>
      </c>
      <c r="AA7173">
        <f>IF(ISNUMBER('IN-CLASS_Lab Part C'!$J$7173),'IN-CLASS_Lab Part C'!$J$7173,NA())</f>
        <v/>
      </c>
    </row>
    <row r="7174">
      <c r="J7174">
        <f>IF(AND(ISNUMBER('Data'!$F$7175),'Data'!$F$7175&lt;&gt;999,'Data'!$F$7175&lt;&gt;""),'Data'!$F$7175,"")</f>
        <v/>
      </c>
      <c r="Z7174" t="n">
        <v>1</v>
      </c>
      <c r="AA7174">
        <f>IF(ISNUMBER('IN-CLASS_Lab Part C'!$J$7174),'IN-CLASS_Lab Part C'!$J$7174,NA())</f>
        <v/>
      </c>
    </row>
    <row r="7175">
      <c r="J7175">
        <f>IF(AND(ISNUMBER('Data'!$F$7176),'Data'!$F$7176&lt;&gt;999,'Data'!$F$7176&lt;&gt;""),'Data'!$F$7176,"")</f>
        <v/>
      </c>
      <c r="Z7175" t="n">
        <v>1</v>
      </c>
      <c r="AA7175">
        <f>IF(ISNUMBER('IN-CLASS_Lab Part C'!$J$7175),'IN-CLASS_Lab Part C'!$J$7175,NA())</f>
        <v/>
      </c>
    </row>
    <row r="7176">
      <c r="J7176">
        <f>IF(AND(ISNUMBER('Data'!$F$7177),'Data'!$F$7177&lt;&gt;999,'Data'!$F$7177&lt;&gt;""),'Data'!$F$7177,"")</f>
        <v/>
      </c>
      <c r="Z7176" t="n">
        <v>1</v>
      </c>
      <c r="AA7176">
        <f>IF(ISNUMBER('IN-CLASS_Lab Part C'!$J$7176),'IN-CLASS_Lab Part C'!$J$7176,NA())</f>
        <v/>
      </c>
    </row>
    <row r="7177">
      <c r="J7177">
        <f>IF(AND(ISNUMBER('Data'!$F$7178),'Data'!$F$7178&lt;&gt;999,'Data'!$F$7178&lt;&gt;""),'Data'!$F$7178,"")</f>
        <v/>
      </c>
      <c r="Z7177" t="n">
        <v>1</v>
      </c>
      <c r="AA7177">
        <f>IF(ISNUMBER('IN-CLASS_Lab Part C'!$J$7177),'IN-CLASS_Lab Part C'!$J$7177,NA())</f>
        <v/>
      </c>
    </row>
    <row r="7178">
      <c r="J7178">
        <f>IF(AND(ISNUMBER('Data'!$F$7179),'Data'!$F$7179&lt;&gt;999,'Data'!$F$7179&lt;&gt;""),'Data'!$F$7179,"")</f>
        <v/>
      </c>
      <c r="Z7178" t="n">
        <v>1</v>
      </c>
      <c r="AA7178">
        <f>IF(ISNUMBER('IN-CLASS_Lab Part C'!$J$7178),'IN-CLASS_Lab Part C'!$J$7178,NA())</f>
        <v/>
      </c>
    </row>
    <row r="7179">
      <c r="J7179">
        <f>IF(AND(ISNUMBER('Data'!$F$7180),'Data'!$F$7180&lt;&gt;999,'Data'!$F$7180&lt;&gt;""),'Data'!$F$7180,"")</f>
        <v/>
      </c>
      <c r="Z7179" t="n">
        <v>1</v>
      </c>
      <c r="AA7179">
        <f>IF(ISNUMBER('IN-CLASS_Lab Part C'!$J$7179),'IN-CLASS_Lab Part C'!$J$7179,NA())</f>
        <v/>
      </c>
    </row>
    <row r="7180">
      <c r="J7180">
        <f>IF(AND(ISNUMBER('Data'!$F$7181),'Data'!$F$7181&lt;&gt;999,'Data'!$F$7181&lt;&gt;""),'Data'!$F$7181,"")</f>
        <v/>
      </c>
      <c r="Z7180" t="n">
        <v>1</v>
      </c>
      <c r="AA7180">
        <f>IF(ISNUMBER('IN-CLASS_Lab Part C'!$J$7180),'IN-CLASS_Lab Part C'!$J$7180,NA())</f>
        <v/>
      </c>
    </row>
    <row r="7181">
      <c r="J7181">
        <f>IF(AND(ISNUMBER('Data'!$F$7182),'Data'!$F$7182&lt;&gt;999,'Data'!$F$7182&lt;&gt;""),'Data'!$F$7182,"")</f>
        <v/>
      </c>
      <c r="Z7181" t="n">
        <v>1</v>
      </c>
      <c r="AA7181">
        <f>IF(ISNUMBER('IN-CLASS_Lab Part C'!$J$7181),'IN-CLASS_Lab Part C'!$J$7181,NA())</f>
        <v/>
      </c>
    </row>
    <row r="7182">
      <c r="J7182">
        <f>IF(AND(ISNUMBER('Data'!$F$7183),'Data'!$F$7183&lt;&gt;999,'Data'!$F$7183&lt;&gt;""),'Data'!$F$7183,"")</f>
        <v/>
      </c>
      <c r="Z7182" t="n">
        <v>1</v>
      </c>
      <c r="AA7182">
        <f>IF(ISNUMBER('IN-CLASS_Lab Part C'!$J$7182),'IN-CLASS_Lab Part C'!$J$7182,NA())</f>
        <v/>
      </c>
    </row>
    <row r="7183">
      <c r="J7183">
        <f>IF(AND(ISNUMBER('Data'!$F$7184),'Data'!$F$7184&lt;&gt;999,'Data'!$F$7184&lt;&gt;""),'Data'!$F$7184,"")</f>
        <v/>
      </c>
      <c r="Z7183" t="n">
        <v>1</v>
      </c>
      <c r="AA7183">
        <f>IF(ISNUMBER('IN-CLASS_Lab Part C'!$J$7183),'IN-CLASS_Lab Part C'!$J$7183,NA())</f>
        <v/>
      </c>
    </row>
    <row r="7184">
      <c r="J7184">
        <f>IF(AND(ISNUMBER('Data'!$F$7185),'Data'!$F$7185&lt;&gt;999,'Data'!$F$7185&lt;&gt;""),'Data'!$F$7185,"")</f>
        <v/>
      </c>
      <c r="Z7184" t="n">
        <v>1</v>
      </c>
      <c r="AA7184">
        <f>IF(ISNUMBER('IN-CLASS_Lab Part C'!$J$7184),'IN-CLASS_Lab Part C'!$J$7184,NA())</f>
        <v/>
      </c>
    </row>
    <row r="7185">
      <c r="J7185">
        <f>IF(AND(ISNUMBER('Data'!$F$7186),'Data'!$F$7186&lt;&gt;999,'Data'!$F$7186&lt;&gt;""),'Data'!$F$7186,"")</f>
        <v/>
      </c>
      <c r="Z7185" t="n">
        <v>1</v>
      </c>
      <c r="AA7185">
        <f>IF(ISNUMBER('IN-CLASS_Lab Part C'!$J$7185),'IN-CLASS_Lab Part C'!$J$7185,NA())</f>
        <v/>
      </c>
    </row>
    <row r="7186">
      <c r="J7186">
        <f>IF(AND(ISNUMBER('Data'!$F$7187),'Data'!$F$7187&lt;&gt;999,'Data'!$F$7187&lt;&gt;""),'Data'!$F$7187,"")</f>
        <v/>
      </c>
      <c r="Z7186" t="n">
        <v>1</v>
      </c>
      <c r="AA7186">
        <f>IF(ISNUMBER('IN-CLASS_Lab Part C'!$J$7186),'IN-CLASS_Lab Part C'!$J$7186,NA())</f>
        <v/>
      </c>
    </row>
    <row r="7187">
      <c r="J7187">
        <f>IF(AND(ISNUMBER('Data'!$F$7188),'Data'!$F$7188&lt;&gt;999,'Data'!$F$7188&lt;&gt;""),'Data'!$F$7188,"")</f>
        <v/>
      </c>
      <c r="Z7187" t="n">
        <v>1</v>
      </c>
      <c r="AA7187">
        <f>IF(ISNUMBER('IN-CLASS_Lab Part C'!$J$7187),'IN-CLASS_Lab Part C'!$J$7187,NA())</f>
        <v/>
      </c>
    </row>
    <row r="7188">
      <c r="J7188">
        <f>IF(AND(ISNUMBER('Data'!$F$7189),'Data'!$F$7189&lt;&gt;999,'Data'!$F$7189&lt;&gt;""),'Data'!$F$7189,"")</f>
        <v/>
      </c>
      <c r="Z7188" t="n">
        <v>1</v>
      </c>
      <c r="AA7188">
        <f>IF(ISNUMBER('IN-CLASS_Lab Part C'!$J$7188),'IN-CLASS_Lab Part C'!$J$7188,NA())</f>
        <v/>
      </c>
    </row>
    <row r="7189">
      <c r="J7189">
        <f>IF(AND(ISNUMBER('Data'!$F$7190),'Data'!$F$7190&lt;&gt;999,'Data'!$F$7190&lt;&gt;""),'Data'!$F$7190,"")</f>
        <v/>
      </c>
      <c r="Z7189" t="n">
        <v>1</v>
      </c>
      <c r="AA7189">
        <f>IF(ISNUMBER('IN-CLASS_Lab Part C'!$J$7189),'IN-CLASS_Lab Part C'!$J$7189,NA())</f>
        <v/>
      </c>
    </row>
    <row r="7190">
      <c r="J7190">
        <f>IF(AND(ISNUMBER('Data'!$F$7191),'Data'!$F$7191&lt;&gt;999,'Data'!$F$7191&lt;&gt;""),'Data'!$F$7191,"")</f>
        <v/>
      </c>
      <c r="Z7190" t="n">
        <v>1</v>
      </c>
      <c r="AA7190">
        <f>IF(ISNUMBER('IN-CLASS_Lab Part C'!$J$7190),'IN-CLASS_Lab Part C'!$J$7190,NA())</f>
        <v/>
      </c>
    </row>
    <row r="7191">
      <c r="J7191">
        <f>IF(AND(ISNUMBER('Data'!$F$7192),'Data'!$F$7192&lt;&gt;999,'Data'!$F$7192&lt;&gt;""),'Data'!$F$7192,"")</f>
        <v/>
      </c>
      <c r="Z7191" t="n">
        <v>1</v>
      </c>
      <c r="AA7191">
        <f>IF(ISNUMBER('IN-CLASS_Lab Part C'!$J$7191),'IN-CLASS_Lab Part C'!$J$7191,NA())</f>
        <v/>
      </c>
    </row>
    <row r="7192">
      <c r="J7192">
        <f>IF(AND(ISNUMBER('Data'!$F$7193),'Data'!$F$7193&lt;&gt;999,'Data'!$F$7193&lt;&gt;""),'Data'!$F$7193,"")</f>
        <v/>
      </c>
      <c r="Z7192" t="n">
        <v>1</v>
      </c>
      <c r="AA7192">
        <f>IF(ISNUMBER('IN-CLASS_Lab Part C'!$J$7192),'IN-CLASS_Lab Part C'!$J$7192,NA())</f>
        <v/>
      </c>
    </row>
    <row r="7193">
      <c r="J7193">
        <f>IF(AND(ISNUMBER('Data'!$F$7194),'Data'!$F$7194&lt;&gt;999,'Data'!$F$7194&lt;&gt;""),'Data'!$F$7194,"")</f>
        <v/>
      </c>
      <c r="Z7193" t="n">
        <v>1</v>
      </c>
      <c r="AA7193">
        <f>IF(ISNUMBER('IN-CLASS_Lab Part C'!$J$7193),'IN-CLASS_Lab Part C'!$J$7193,NA())</f>
        <v/>
      </c>
    </row>
    <row r="7194">
      <c r="J7194">
        <f>IF(AND(ISNUMBER('Data'!$F$7195),'Data'!$F$7195&lt;&gt;999,'Data'!$F$7195&lt;&gt;""),'Data'!$F$7195,"")</f>
        <v/>
      </c>
      <c r="Z7194" t="n">
        <v>1</v>
      </c>
      <c r="AA7194">
        <f>IF(ISNUMBER('IN-CLASS_Lab Part C'!$J$7194),'IN-CLASS_Lab Part C'!$J$7194,NA())</f>
        <v/>
      </c>
    </row>
    <row r="7195">
      <c r="J7195">
        <f>IF(AND(ISNUMBER('Data'!$F$7196),'Data'!$F$7196&lt;&gt;999,'Data'!$F$7196&lt;&gt;""),'Data'!$F$7196,"")</f>
        <v/>
      </c>
      <c r="Z7195" t="n">
        <v>1</v>
      </c>
      <c r="AA7195">
        <f>IF(ISNUMBER('IN-CLASS_Lab Part C'!$J$7195),'IN-CLASS_Lab Part C'!$J$7195,NA())</f>
        <v/>
      </c>
    </row>
    <row r="7196">
      <c r="J7196">
        <f>IF(AND(ISNUMBER('Data'!$F$7197),'Data'!$F$7197&lt;&gt;999,'Data'!$F$7197&lt;&gt;""),'Data'!$F$7197,"")</f>
        <v/>
      </c>
      <c r="Z7196" t="n">
        <v>1</v>
      </c>
      <c r="AA7196">
        <f>IF(ISNUMBER('IN-CLASS_Lab Part C'!$J$7196),'IN-CLASS_Lab Part C'!$J$7196,NA())</f>
        <v/>
      </c>
    </row>
    <row r="7197">
      <c r="J7197">
        <f>IF(AND(ISNUMBER('Data'!$F$7198),'Data'!$F$7198&lt;&gt;999,'Data'!$F$7198&lt;&gt;""),'Data'!$F$7198,"")</f>
        <v/>
      </c>
      <c r="Z7197" t="n">
        <v>1</v>
      </c>
      <c r="AA7197">
        <f>IF(ISNUMBER('IN-CLASS_Lab Part C'!$J$7197),'IN-CLASS_Lab Part C'!$J$7197,NA())</f>
        <v/>
      </c>
    </row>
    <row r="7198">
      <c r="J7198">
        <f>IF(AND(ISNUMBER('Data'!$F$7199),'Data'!$F$7199&lt;&gt;999,'Data'!$F$7199&lt;&gt;""),'Data'!$F$7199,"")</f>
        <v/>
      </c>
      <c r="Z7198" t="n">
        <v>1</v>
      </c>
      <c r="AA7198">
        <f>IF(ISNUMBER('IN-CLASS_Lab Part C'!$J$7198),'IN-CLASS_Lab Part C'!$J$7198,NA())</f>
        <v/>
      </c>
    </row>
    <row r="7199">
      <c r="J7199">
        <f>IF(AND(ISNUMBER('Data'!$F$7200),'Data'!$F$7200&lt;&gt;999,'Data'!$F$7200&lt;&gt;""),'Data'!$F$7200,"")</f>
        <v/>
      </c>
      <c r="Z7199" t="n">
        <v>1</v>
      </c>
      <c r="AA7199">
        <f>IF(ISNUMBER('IN-CLASS_Lab Part C'!$J$7199),'IN-CLASS_Lab Part C'!$J$7199,NA())</f>
        <v/>
      </c>
    </row>
    <row r="7200">
      <c r="J7200">
        <f>IF(AND(ISNUMBER('Data'!$F$7201),'Data'!$F$7201&lt;&gt;999,'Data'!$F$7201&lt;&gt;""),'Data'!$F$7201,"")</f>
        <v/>
      </c>
      <c r="Z7200" t="n">
        <v>1</v>
      </c>
      <c r="AA7200">
        <f>IF(ISNUMBER('IN-CLASS_Lab Part C'!$J$7200),'IN-CLASS_Lab Part C'!$J$7200,NA())</f>
        <v/>
      </c>
    </row>
    <row r="7201">
      <c r="J7201">
        <f>IF(AND(ISNUMBER('Data'!$F$7202),'Data'!$F$7202&lt;&gt;999,'Data'!$F$7202&lt;&gt;""),'Data'!$F$7202,"")</f>
        <v/>
      </c>
      <c r="Z7201" t="n">
        <v>1</v>
      </c>
      <c r="AA7201">
        <f>IF(ISNUMBER('IN-CLASS_Lab Part C'!$J$7201),'IN-CLASS_Lab Part C'!$J$7201,NA())</f>
        <v/>
      </c>
    </row>
    <row r="7202">
      <c r="J7202">
        <f>IF(AND(ISNUMBER('Data'!$F$7203),'Data'!$F$7203&lt;&gt;999,'Data'!$F$7203&lt;&gt;""),'Data'!$F$7203,"")</f>
        <v/>
      </c>
      <c r="Z7202" t="n">
        <v>1</v>
      </c>
      <c r="AA7202">
        <f>IF(ISNUMBER('IN-CLASS_Lab Part C'!$J$7202),'IN-CLASS_Lab Part C'!$J$7202,NA())</f>
        <v/>
      </c>
    </row>
    <row r="7203">
      <c r="J7203">
        <f>IF(AND(ISNUMBER('Data'!$F$7204),'Data'!$F$7204&lt;&gt;999,'Data'!$F$7204&lt;&gt;""),'Data'!$F$7204,"")</f>
        <v/>
      </c>
      <c r="Z7203" t="n">
        <v>1</v>
      </c>
      <c r="AA7203">
        <f>IF(ISNUMBER('IN-CLASS_Lab Part C'!$J$7203),'IN-CLASS_Lab Part C'!$J$7203,NA())</f>
        <v/>
      </c>
    </row>
    <row r="7204">
      <c r="J7204">
        <f>IF(AND(ISNUMBER('Data'!$F$7205),'Data'!$F$7205&lt;&gt;999,'Data'!$F$7205&lt;&gt;""),'Data'!$F$7205,"")</f>
        <v/>
      </c>
      <c r="Z7204" t="n">
        <v>1</v>
      </c>
      <c r="AA7204">
        <f>IF(ISNUMBER('IN-CLASS_Lab Part C'!$J$7204),'IN-CLASS_Lab Part C'!$J$7204,NA())</f>
        <v/>
      </c>
    </row>
    <row r="7205">
      <c r="J7205">
        <f>IF(AND(ISNUMBER('Data'!$F$7206),'Data'!$F$7206&lt;&gt;999,'Data'!$F$7206&lt;&gt;""),'Data'!$F$7206,"")</f>
        <v/>
      </c>
      <c r="Z7205" t="n">
        <v>1</v>
      </c>
      <c r="AA7205">
        <f>IF(ISNUMBER('IN-CLASS_Lab Part C'!$J$7205),'IN-CLASS_Lab Part C'!$J$7205,NA())</f>
        <v/>
      </c>
    </row>
    <row r="7206">
      <c r="J7206">
        <f>IF(AND(ISNUMBER('Data'!$F$7207),'Data'!$F$7207&lt;&gt;999,'Data'!$F$7207&lt;&gt;""),'Data'!$F$7207,"")</f>
        <v/>
      </c>
      <c r="Z7206" t="n">
        <v>1</v>
      </c>
      <c r="AA7206">
        <f>IF(ISNUMBER('IN-CLASS_Lab Part C'!$J$7206),'IN-CLASS_Lab Part C'!$J$7206,NA())</f>
        <v/>
      </c>
    </row>
    <row r="7207">
      <c r="J7207">
        <f>IF(AND(ISNUMBER('Data'!$F$7208),'Data'!$F$7208&lt;&gt;999,'Data'!$F$7208&lt;&gt;""),'Data'!$F$7208,"")</f>
        <v/>
      </c>
      <c r="Z7207" t="n">
        <v>1</v>
      </c>
      <c r="AA7207">
        <f>IF(ISNUMBER('IN-CLASS_Lab Part C'!$J$7207),'IN-CLASS_Lab Part C'!$J$7207,NA())</f>
        <v/>
      </c>
    </row>
    <row r="7208">
      <c r="J7208">
        <f>IF(AND(ISNUMBER('Data'!$F$7209),'Data'!$F$7209&lt;&gt;999,'Data'!$F$7209&lt;&gt;""),'Data'!$F$7209,"")</f>
        <v/>
      </c>
      <c r="Z7208" t="n">
        <v>1</v>
      </c>
      <c r="AA7208">
        <f>IF(ISNUMBER('IN-CLASS_Lab Part C'!$J$7208),'IN-CLASS_Lab Part C'!$J$7208,NA())</f>
        <v/>
      </c>
    </row>
    <row r="7209">
      <c r="J7209">
        <f>IF(AND(ISNUMBER('Data'!$F$7210),'Data'!$F$7210&lt;&gt;999,'Data'!$F$7210&lt;&gt;""),'Data'!$F$7210,"")</f>
        <v/>
      </c>
      <c r="Z7209" t="n">
        <v>1</v>
      </c>
      <c r="AA7209">
        <f>IF(ISNUMBER('IN-CLASS_Lab Part C'!$J$7209),'IN-CLASS_Lab Part C'!$J$7209,NA())</f>
        <v/>
      </c>
    </row>
    <row r="7210">
      <c r="J7210">
        <f>IF(AND(ISNUMBER('Data'!$F$7211),'Data'!$F$7211&lt;&gt;999,'Data'!$F$7211&lt;&gt;""),'Data'!$F$7211,"")</f>
        <v/>
      </c>
      <c r="Z7210" t="n">
        <v>1</v>
      </c>
      <c r="AA7210">
        <f>IF(ISNUMBER('IN-CLASS_Lab Part C'!$J$7210),'IN-CLASS_Lab Part C'!$J$7210,NA())</f>
        <v/>
      </c>
    </row>
    <row r="7211">
      <c r="J7211">
        <f>IF(AND(ISNUMBER('Data'!$F$7212),'Data'!$F$7212&lt;&gt;999,'Data'!$F$7212&lt;&gt;""),'Data'!$F$7212,"")</f>
        <v/>
      </c>
      <c r="Z7211" t="n">
        <v>1</v>
      </c>
      <c r="AA7211">
        <f>IF(ISNUMBER('IN-CLASS_Lab Part C'!$J$7211),'IN-CLASS_Lab Part C'!$J$7211,NA())</f>
        <v/>
      </c>
    </row>
    <row r="7212">
      <c r="J7212">
        <f>IF(AND(ISNUMBER('Data'!$F$7213),'Data'!$F$7213&lt;&gt;999,'Data'!$F$7213&lt;&gt;""),'Data'!$F$7213,"")</f>
        <v/>
      </c>
      <c r="Z7212" t="n">
        <v>1</v>
      </c>
      <c r="AA7212">
        <f>IF(ISNUMBER('IN-CLASS_Lab Part C'!$J$7212),'IN-CLASS_Lab Part C'!$J$7212,NA())</f>
        <v/>
      </c>
    </row>
    <row r="7213">
      <c r="J7213">
        <f>IF(AND(ISNUMBER('Data'!$F$7214),'Data'!$F$7214&lt;&gt;999,'Data'!$F$7214&lt;&gt;""),'Data'!$F$7214,"")</f>
        <v/>
      </c>
      <c r="Z7213" t="n">
        <v>1</v>
      </c>
      <c r="AA7213">
        <f>IF(ISNUMBER('IN-CLASS_Lab Part C'!$J$7213),'IN-CLASS_Lab Part C'!$J$7213,NA())</f>
        <v/>
      </c>
    </row>
    <row r="7214">
      <c r="J7214">
        <f>IF(AND(ISNUMBER('Data'!$F$7215),'Data'!$F$7215&lt;&gt;999,'Data'!$F$7215&lt;&gt;""),'Data'!$F$7215,"")</f>
        <v/>
      </c>
      <c r="Z7214" t="n">
        <v>1</v>
      </c>
      <c r="AA7214">
        <f>IF(ISNUMBER('IN-CLASS_Lab Part C'!$J$7214),'IN-CLASS_Lab Part C'!$J$7214,NA())</f>
        <v/>
      </c>
    </row>
    <row r="7215">
      <c r="J7215">
        <f>IF(AND(ISNUMBER('Data'!$F$7216),'Data'!$F$7216&lt;&gt;999,'Data'!$F$7216&lt;&gt;""),'Data'!$F$7216,"")</f>
        <v/>
      </c>
      <c r="Z7215" t="n">
        <v>1</v>
      </c>
      <c r="AA7215">
        <f>IF(ISNUMBER('IN-CLASS_Lab Part C'!$J$7215),'IN-CLASS_Lab Part C'!$J$7215,NA())</f>
        <v/>
      </c>
    </row>
    <row r="7216">
      <c r="J7216">
        <f>IF(AND(ISNUMBER('Data'!$F$7217),'Data'!$F$7217&lt;&gt;999,'Data'!$F$7217&lt;&gt;""),'Data'!$F$7217,"")</f>
        <v/>
      </c>
      <c r="Z7216" t="n">
        <v>1</v>
      </c>
      <c r="AA7216">
        <f>IF(ISNUMBER('IN-CLASS_Lab Part C'!$J$7216),'IN-CLASS_Lab Part C'!$J$7216,NA())</f>
        <v/>
      </c>
    </row>
    <row r="7217">
      <c r="J7217">
        <f>IF(AND(ISNUMBER('Data'!$F$7218),'Data'!$F$7218&lt;&gt;999,'Data'!$F$7218&lt;&gt;""),'Data'!$F$7218,"")</f>
        <v/>
      </c>
      <c r="Z7217" t="n">
        <v>1</v>
      </c>
      <c r="AA7217">
        <f>IF(ISNUMBER('IN-CLASS_Lab Part C'!$J$7217),'IN-CLASS_Lab Part C'!$J$7217,NA())</f>
        <v/>
      </c>
    </row>
    <row r="7218">
      <c r="J7218">
        <f>IF(AND(ISNUMBER('Data'!$F$7219),'Data'!$F$7219&lt;&gt;999,'Data'!$F$7219&lt;&gt;""),'Data'!$F$7219,"")</f>
        <v/>
      </c>
      <c r="Z7218" t="n">
        <v>1</v>
      </c>
      <c r="AA7218">
        <f>IF(ISNUMBER('IN-CLASS_Lab Part C'!$J$7218),'IN-CLASS_Lab Part C'!$J$7218,NA())</f>
        <v/>
      </c>
    </row>
    <row r="7219">
      <c r="J7219">
        <f>IF(AND(ISNUMBER('Data'!$F$7220),'Data'!$F$7220&lt;&gt;999,'Data'!$F$7220&lt;&gt;""),'Data'!$F$7220,"")</f>
        <v/>
      </c>
      <c r="Z7219" t="n">
        <v>1</v>
      </c>
      <c r="AA7219">
        <f>IF(ISNUMBER('IN-CLASS_Lab Part C'!$J$7219),'IN-CLASS_Lab Part C'!$J$7219,NA())</f>
        <v/>
      </c>
    </row>
    <row r="7220">
      <c r="J7220">
        <f>IF(AND(ISNUMBER('Data'!$F$7221),'Data'!$F$7221&lt;&gt;999,'Data'!$F$7221&lt;&gt;""),'Data'!$F$7221,"")</f>
        <v/>
      </c>
      <c r="Z7220" t="n">
        <v>1</v>
      </c>
      <c r="AA7220">
        <f>IF(ISNUMBER('IN-CLASS_Lab Part C'!$J$7220),'IN-CLASS_Lab Part C'!$J$7220,NA())</f>
        <v/>
      </c>
    </row>
    <row r="7221">
      <c r="J7221">
        <f>IF(AND(ISNUMBER('Data'!$F$7222),'Data'!$F$7222&lt;&gt;999,'Data'!$F$7222&lt;&gt;""),'Data'!$F$7222,"")</f>
        <v/>
      </c>
      <c r="Z7221" t="n">
        <v>1</v>
      </c>
      <c r="AA7221">
        <f>IF(ISNUMBER('IN-CLASS_Lab Part C'!$J$7221),'IN-CLASS_Lab Part C'!$J$7221,NA())</f>
        <v/>
      </c>
    </row>
    <row r="7222">
      <c r="J7222">
        <f>IF(AND(ISNUMBER('Data'!$F$7223),'Data'!$F$7223&lt;&gt;999,'Data'!$F$7223&lt;&gt;""),'Data'!$F$7223,"")</f>
        <v/>
      </c>
      <c r="Z7222" t="n">
        <v>1</v>
      </c>
      <c r="AA7222">
        <f>IF(ISNUMBER('IN-CLASS_Lab Part C'!$J$7222),'IN-CLASS_Lab Part C'!$J$7222,NA())</f>
        <v/>
      </c>
    </row>
    <row r="7223">
      <c r="J7223">
        <f>IF(AND(ISNUMBER('Data'!$F$7224),'Data'!$F$7224&lt;&gt;999,'Data'!$F$7224&lt;&gt;""),'Data'!$F$7224,"")</f>
        <v/>
      </c>
      <c r="Z7223" t="n">
        <v>1</v>
      </c>
      <c r="AA7223">
        <f>IF(ISNUMBER('IN-CLASS_Lab Part C'!$J$7223),'IN-CLASS_Lab Part C'!$J$7223,NA())</f>
        <v/>
      </c>
    </row>
    <row r="7224">
      <c r="J7224">
        <f>IF(AND(ISNUMBER('Data'!$F$7225),'Data'!$F$7225&lt;&gt;999,'Data'!$F$7225&lt;&gt;""),'Data'!$F$7225,"")</f>
        <v/>
      </c>
      <c r="Z7224" t="n">
        <v>1</v>
      </c>
      <c r="AA7224">
        <f>IF(ISNUMBER('IN-CLASS_Lab Part C'!$J$7224),'IN-CLASS_Lab Part C'!$J$7224,NA())</f>
        <v/>
      </c>
    </row>
    <row r="7225">
      <c r="J7225">
        <f>IF(AND(ISNUMBER('Data'!$F$7226),'Data'!$F$7226&lt;&gt;999,'Data'!$F$7226&lt;&gt;""),'Data'!$F$7226,"")</f>
        <v/>
      </c>
      <c r="Z7225" t="n">
        <v>1</v>
      </c>
      <c r="AA7225">
        <f>IF(ISNUMBER('IN-CLASS_Lab Part C'!$J$7225),'IN-CLASS_Lab Part C'!$J$7225,NA())</f>
        <v/>
      </c>
    </row>
    <row r="7226">
      <c r="J7226">
        <f>IF(AND(ISNUMBER('Data'!$F$7227),'Data'!$F$7227&lt;&gt;999,'Data'!$F$7227&lt;&gt;""),'Data'!$F$7227,"")</f>
        <v/>
      </c>
      <c r="Z7226" t="n">
        <v>1</v>
      </c>
      <c r="AA7226">
        <f>IF(ISNUMBER('IN-CLASS_Lab Part C'!$J$7226),'IN-CLASS_Lab Part C'!$J$7226,NA())</f>
        <v/>
      </c>
    </row>
    <row r="7227">
      <c r="J7227">
        <f>IF(AND(ISNUMBER('Data'!$F$7228),'Data'!$F$7228&lt;&gt;999,'Data'!$F$7228&lt;&gt;""),'Data'!$F$7228,"")</f>
        <v/>
      </c>
      <c r="Z7227" t="n">
        <v>1</v>
      </c>
      <c r="AA7227">
        <f>IF(ISNUMBER('IN-CLASS_Lab Part C'!$J$7227),'IN-CLASS_Lab Part C'!$J$7227,NA())</f>
        <v/>
      </c>
    </row>
    <row r="7228">
      <c r="J7228">
        <f>IF(AND(ISNUMBER('Data'!$F$7229),'Data'!$F$7229&lt;&gt;999,'Data'!$F$7229&lt;&gt;""),'Data'!$F$7229,"")</f>
        <v/>
      </c>
      <c r="Z7228" t="n">
        <v>1</v>
      </c>
      <c r="AA7228">
        <f>IF(ISNUMBER('IN-CLASS_Lab Part C'!$J$7228),'IN-CLASS_Lab Part C'!$J$7228,NA())</f>
        <v/>
      </c>
    </row>
    <row r="7229">
      <c r="J7229">
        <f>IF(AND(ISNUMBER('Data'!$F$7230),'Data'!$F$7230&lt;&gt;999,'Data'!$F$7230&lt;&gt;""),'Data'!$F$7230,"")</f>
        <v/>
      </c>
      <c r="Z7229" t="n">
        <v>1</v>
      </c>
      <c r="AA7229">
        <f>IF(ISNUMBER('IN-CLASS_Lab Part C'!$J$7229),'IN-CLASS_Lab Part C'!$J$7229,NA())</f>
        <v/>
      </c>
    </row>
    <row r="7230">
      <c r="J7230">
        <f>IF(AND(ISNUMBER('Data'!$F$7231),'Data'!$F$7231&lt;&gt;999,'Data'!$F$7231&lt;&gt;""),'Data'!$F$7231,"")</f>
        <v/>
      </c>
      <c r="Z7230" t="n">
        <v>1</v>
      </c>
      <c r="AA7230">
        <f>IF(ISNUMBER('IN-CLASS_Lab Part C'!$J$7230),'IN-CLASS_Lab Part C'!$J$7230,NA())</f>
        <v/>
      </c>
    </row>
    <row r="7231">
      <c r="J7231">
        <f>IF(AND(ISNUMBER('Data'!$F$7232),'Data'!$F$7232&lt;&gt;999,'Data'!$F$7232&lt;&gt;""),'Data'!$F$7232,"")</f>
        <v/>
      </c>
      <c r="Z7231" t="n">
        <v>1</v>
      </c>
      <c r="AA7231">
        <f>IF(ISNUMBER('IN-CLASS_Lab Part C'!$J$7231),'IN-CLASS_Lab Part C'!$J$7231,NA())</f>
        <v/>
      </c>
    </row>
    <row r="7232">
      <c r="J7232">
        <f>IF(AND(ISNUMBER('Data'!$F$7233),'Data'!$F$7233&lt;&gt;999,'Data'!$F$7233&lt;&gt;""),'Data'!$F$7233,"")</f>
        <v/>
      </c>
      <c r="Z7232" t="n">
        <v>1</v>
      </c>
      <c r="AA7232">
        <f>IF(ISNUMBER('IN-CLASS_Lab Part C'!$J$7232),'IN-CLASS_Lab Part C'!$J$7232,NA())</f>
        <v/>
      </c>
    </row>
    <row r="7233">
      <c r="J7233">
        <f>IF(AND(ISNUMBER('Data'!$F$7234),'Data'!$F$7234&lt;&gt;999,'Data'!$F$7234&lt;&gt;""),'Data'!$F$7234,"")</f>
        <v/>
      </c>
      <c r="Z7233" t="n">
        <v>1</v>
      </c>
      <c r="AA7233">
        <f>IF(ISNUMBER('IN-CLASS_Lab Part C'!$J$7233),'IN-CLASS_Lab Part C'!$J$7233,NA())</f>
        <v/>
      </c>
    </row>
    <row r="7234">
      <c r="J7234">
        <f>IF(AND(ISNUMBER('Data'!$F$7235),'Data'!$F$7235&lt;&gt;999,'Data'!$F$7235&lt;&gt;""),'Data'!$F$7235,"")</f>
        <v/>
      </c>
      <c r="Z7234" t="n">
        <v>1</v>
      </c>
      <c r="AA7234">
        <f>IF(ISNUMBER('IN-CLASS_Lab Part C'!$J$7234),'IN-CLASS_Lab Part C'!$J$7234,NA())</f>
        <v/>
      </c>
    </row>
    <row r="7235">
      <c r="J7235">
        <f>IF(AND(ISNUMBER('Data'!$F$7236),'Data'!$F$7236&lt;&gt;999,'Data'!$F$7236&lt;&gt;""),'Data'!$F$7236,"")</f>
        <v/>
      </c>
      <c r="Z7235" t="n">
        <v>1</v>
      </c>
      <c r="AA7235">
        <f>IF(ISNUMBER('IN-CLASS_Lab Part C'!$J$7235),'IN-CLASS_Lab Part C'!$J$7235,NA())</f>
        <v/>
      </c>
    </row>
    <row r="7236">
      <c r="J7236">
        <f>IF(AND(ISNUMBER('Data'!$F$7237),'Data'!$F$7237&lt;&gt;999,'Data'!$F$7237&lt;&gt;""),'Data'!$F$7237,"")</f>
        <v/>
      </c>
      <c r="Z7236" t="n">
        <v>1</v>
      </c>
      <c r="AA7236">
        <f>IF(ISNUMBER('IN-CLASS_Lab Part C'!$J$7236),'IN-CLASS_Lab Part C'!$J$7236,NA())</f>
        <v/>
      </c>
    </row>
    <row r="7237">
      <c r="J7237">
        <f>IF(AND(ISNUMBER('Data'!$F$7238),'Data'!$F$7238&lt;&gt;999,'Data'!$F$7238&lt;&gt;""),'Data'!$F$7238,"")</f>
        <v/>
      </c>
      <c r="Z7237" t="n">
        <v>1</v>
      </c>
      <c r="AA7237">
        <f>IF(ISNUMBER('IN-CLASS_Lab Part C'!$J$7237),'IN-CLASS_Lab Part C'!$J$7237,NA())</f>
        <v/>
      </c>
    </row>
    <row r="7238">
      <c r="J7238">
        <f>IF(AND(ISNUMBER('Data'!$F$7239),'Data'!$F$7239&lt;&gt;999,'Data'!$F$7239&lt;&gt;""),'Data'!$F$7239,"")</f>
        <v/>
      </c>
      <c r="Z7238" t="n">
        <v>1</v>
      </c>
      <c r="AA7238">
        <f>IF(ISNUMBER('IN-CLASS_Lab Part C'!$J$7238),'IN-CLASS_Lab Part C'!$J$7238,NA())</f>
        <v/>
      </c>
    </row>
    <row r="7239">
      <c r="J7239">
        <f>IF(AND(ISNUMBER('Data'!$F$7240),'Data'!$F$7240&lt;&gt;999,'Data'!$F$7240&lt;&gt;""),'Data'!$F$7240,"")</f>
        <v/>
      </c>
      <c r="Z7239" t="n">
        <v>1</v>
      </c>
      <c r="AA7239">
        <f>IF(ISNUMBER('IN-CLASS_Lab Part C'!$J$7239),'IN-CLASS_Lab Part C'!$J$7239,NA())</f>
        <v/>
      </c>
    </row>
    <row r="7240">
      <c r="J7240">
        <f>IF(AND(ISNUMBER('Data'!$F$7241),'Data'!$F$7241&lt;&gt;999,'Data'!$F$7241&lt;&gt;""),'Data'!$F$7241,"")</f>
        <v/>
      </c>
      <c r="Z7240" t="n">
        <v>1</v>
      </c>
      <c r="AA7240">
        <f>IF(ISNUMBER('IN-CLASS_Lab Part C'!$J$7240),'IN-CLASS_Lab Part C'!$J$7240,NA())</f>
        <v/>
      </c>
    </row>
    <row r="7241">
      <c r="J7241">
        <f>IF(AND(ISNUMBER('Data'!$F$7242),'Data'!$F$7242&lt;&gt;999,'Data'!$F$7242&lt;&gt;""),'Data'!$F$7242,"")</f>
        <v/>
      </c>
      <c r="Z7241" t="n">
        <v>1</v>
      </c>
      <c r="AA7241">
        <f>IF(ISNUMBER('IN-CLASS_Lab Part C'!$J$7241),'IN-CLASS_Lab Part C'!$J$7241,NA())</f>
        <v/>
      </c>
    </row>
    <row r="7242">
      <c r="J7242">
        <f>IF(AND(ISNUMBER('Data'!$F$7243),'Data'!$F$7243&lt;&gt;999,'Data'!$F$7243&lt;&gt;""),'Data'!$F$7243,"")</f>
        <v/>
      </c>
      <c r="Z7242" t="n">
        <v>1</v>
      </c>
      <c r="AA7242">
        <f>IF(ISNUMBER('IN-CLASS_Lab Part C'!$J$7242),'IN-CLASS_Lab Part C'!$J$7242,NA())</f>
        <v/>
      </c>
    </row>
    <row r="7243">
      <c r="J7243">
        <f>IF(AND(ISNUMBER('Data'!$F$7244),'Data'!$F$7244&lt;&gt;999,'Data'!$F$7244&lt;&gt;""),'Data'!$F$7244,"")</f>
        <v/>
      </c>
      <c r="Z7243" t="n">
        <v>1</v>
      </c>
      <c r="AA7243">
        <f>IF(ISNUMBER('IN-CLASS_Lab Part C'!$J$7243),'IN-CLASS_Lab Part C'!$J$7243,NA())</f>
        <v/>
      </c>
    </row>
    <row r="7244">
      <c r="J7244">
        <f>IF(AND(ISNUMBER('Data'!$F$7245),'Data'!$F$7245&lt;&gt;999,'Data'!$F$7245&lt;&gt;""),'Data'!$F$7245,"")</f>
        <v/>
      </c>
      <c r="Z7244" t="n">
        <v>1</v>
      </c>
      <c r="AA7244">
        <f>IF(ISNUMBER('IN-CLASS_Lab Part C'!$J$7244),'IN-CLASS_Lab Part C'!$J$7244,NA())</f>
        <v/>
      </c>
    </row>
    <row r="7245">
      <c r="J7245">
        <f>IF(AND(ISNUMBER('Data'!$F$7246),'Data'!$F$7246&lt;&gt;999,'Data'!$F$7246&lt;&gt;""),'Data'!$F$7246,"")</f>
        <v/>
      </c>
      <c r="Z7245" t="n">
        <v>1</v>
      </c>
      <c r="AA7245">
        <f>IF(ISNUMBER('IN-CLASS_Lab Part C'!$J$7245),'IN-CLASS_Lab Part C'!$J$7245,NA())</f>
        <v/>
      </c>
    </row>
    <row r="7246">
      <c r="J7246">
        <f>IF(AND(ISNUMBER('Data'!$F$7247),'Data'!$F$7247&lt;&gt;999,'Data'!$F$7247&lt;&gt;""),'Data'!$F$7247,"")</f>
        <v/>
      </c>
      <c r="Z7246" t="n">
        <v>1</v>
      </c>
      <c r="AA7246">
        <f>IF(ISNUMBER('IN-CLASS_Lab Part C'!$J$7246),'IN-CLASS_Lab Part C'!$J$7246,NA())</f>
        <v/>
      </c>
    </row>
    <row r="7247">
      <c r="J7247">
        <f>IF(AND(ISNUMBER('Data'!$F$7248),'Data'!$F$7248&lt;&gt;999,'Data'!$F$7248&lt;&gt;""),'Data'!$F$7248,"")</f>
        <v/>
      </c>
      <c r="Z7247" t="n">
        <v>1</v>
      </c>
      <c r="AA7247">
        <f>IF(ISNUMBER('IN-CLASS_Lab Part C'!$J$7247),'IN-CLASS_Lab Part C'!$J$7247,NA())</f>
        <v/>
      </c>
    </row>
    <row r="7248">
      <c r="J7248">
        <f>IF(AND(ISNUMBER('Data'!$F$7249),'Data'!$F$7249&lt;&gt;999,'Data'!$F$7249&lt;&gt;""),'Data'!$F$7249,"")</f>
        <v/>
      </c>
      <c r="Z7248" t="n">
        <v>1</v>
      </c>
      <c r="AA7248">
        <f>IF(ISNUMBER('IN-CLASS_Lab Part C'!$J$7248),'IN-CLASS_Lab Part C'!$J$7248,NA())</f>
        <v/>
      </c>
    </row>
    <row r="7249">
      <c r="J7249">
        <f>IF(AND(ISNUMBER('Data'!$F$7250),'Data'!$F$7250&lt;&gt;999,'Data'!$F$7250&lt;&gt;""),'Data'!$F$7250,"")</f>
        <v/>
      </c>
      <c r="Z7249" t="n">
        <v>1</v>
      </c>
      <c r="AA7249">
        <f>IF(ISNUMBER('IN-CLASS_Lab Part C'!$J$7249),'IN-CLASS_Lab Part C'!$J$7249,NA())</f>
        <v/>
      </c>
    </row>
    <row r="7250">
      <c r="J7250">
        <f>IF(AND(ISNUMBER('Data'!$F$7251),'Data'!$F$7251&lt;&gt;999,'Data'!$F$7251&lt;&gt;""),'Data'!$F$7251,"")</f>
        <v/>
      </c>
      <c r="Z7250" t="n">
        <v>1</v>
      </c>
      <c r="AA7250">
        <f>IF(ISNUMBER('IN-CLASS_Lab Part C'!$J$7250),'IN-CLASS_Lab Part C'!$J$7250,NA())</f>
        <v/>
      </c>
    </row>
    <row r="7251">
      <c r="J7251">
        <f>IF(AND(ISNUMBER('Data'!$F$7252),'Data'!$F$7252&lt;&gt;999,'Data'!$F$7252&lt;&gt;""),'Data'!$F$7252,"")</f>
        <v/>
      </c>
      <c r="Z7251" t="n">
        <v>1</v>
      </c>
      <c r="AA7251">
        <f>IF(ISNUMBER('IN-CLASS_Lab Part C'!$J$7251),'IN-CLASS_Lab Part C'!$J$7251,NA())</f>
        <v/>
      </c>
    </row>
    <row r="7252">
      <c r="J7252">
        <f>IF(AND(ISNUMBER('Data'!$F$7253),'Data'!$F$7253&lt;&gt;999,'Data'!$F$7253&lt;&gt;""),'Data'!$F$7253,"")</f>
        <v/>
      </c>
      <c r="Z7252" t="n">
        <v>1</v>
      </c>
      <c r="AA7252">
        <f>IF(ISNUMBER('IN-CLASS_Lab Part C'!$J$7252),'IN-CLASS_Lab Part C'!$J$7252,NA())</f>
        <v/>
      </c>
    </row>
    <row r="7253">
      <c r="J7253">
        <f>IF(AND(ISNUMBER('Data'!$F$7254),'Data'!$F$7254&lt;&gt;999,'Data'!$F$7254&lt;&gt;""),'Data'!$F$7254,"")</f>
        <v/>
      </c>
      <c r="Z7253" t="n">
        <v>1</v>
      </c>
      <c r="AA7253">
        <f>IF(ISNUMBER('IN-CLASS_Lab Part C'!$J$7253),'IN-CLASS_Lab Part C'!$J$7253,NA())</f>
        <v/>
      </c>
    </row>
    <row r="7254">
      <c r="J7254">
        <f>IF(AND(ISNUMBER('Data'!$F$7255),'Data'!$F$7255&lt;&gt;999,'Data'!$F$7255&lt;&gt;""),'Data'!$F$7255,"")</f>
        <v/>
      </c>
      <c r="Z7254" t="n">
        <v>1</v>
      </c>
      <c r="AA7254">
        <f>IF(ISNUMBER('IN-CLASS_Lab Part C'!$J$7254),'IN-CLASS_Lab Part C'!$J$7254,NA())</f>
        <v/>
      </c>
    </row>
    <row r="7255">
      <c r="J7255">
        <f>IF(AND(ISNUMBER('Data'!$F$7256),'Data'!$F$7256&lt;&gt;999,'Data'!$F$7256&lt;&gt;""),'Data'!$F$7256,"")</f>
        <v/>
      </c>
      <c r="Z7255" t="n">
        <v>1</v>
      </c>
      <c r="AA7255">
        <f>IF(ISNUMBER('IN-CLASS_Lab Part C'!$J$7255),'IN-CLASS_Lab Part C'!$J$7255,NA())</f>
        <v/>
      </c>
    </row>
    <row r="7256">
      <c r="J7256">
        <f>IF(AND(ISNUMBER('Data'!$F$7257),'Data'!$F$7257&lt;&gt;999,'Data'!$F$7257&lt;&gt;""),'Data'!$F$7257,"")</f>
        <v/>
      </c>
      <c r="Z7256" t="n">
        <v>1</v>
      </c>
      <c r="AA7256">
        <f>IF(ISNUMBER('IN-CLASS_Lab Part C'!$J$7256),'IN-CLASS_Lab Part C'!$J$7256,NA())</f>
        <v/>
      </c>
    </row>
    <row r="7257">
      <c r="J7257">
        <f>IF(AND(ISNUMBER('Data'!$F$7258),'Data'!$F$7258&lt;&gt;999,'Data'!$F$7258&lt;&gt;""),'Data'!$F$7258,"")</f>
        <v/>
      </c>
      <c r="Z7257" t="n">
        <v>1</v>
      </c>
      <c r="AA7257">
        <f>IF(ISNUMBER('IN-CLASS_Lab Part C'!$J$7257),'IN-CLASS_Lab Part C'!$J$7257,NA())</f>
        <v/>
      </c>
    </row>
    <row r="7258">
      <c r="J7258">
        <f>IF(AND(ISNUMBER('Data'!$F$7259),'Data'!$F$7259&lt;&gt;999,'Data'!$F$7259&lt;&gt;""),'Data'!$F$7259,"")</f>
        <v/>
      </c>
      <c r="Z7258" t="n">
        <v>1</v>
      </c>
      <c r="AA7258">
        <f>IF(ISNUMBER('IN-CLASS_Lab Part C'!$J$7258),'IN-CLASS_Lab Part C'!$J$7258,NA())</f>
        <v/>
      </c>
    </row>
    <row r="7259">
      <c r="J7259">
        <f>IF(AND(ISNUMBER('Data'!$F$7260),'Data'!$F$7260&lt;&gt;999,'Data'!$F$7260&lt;&gt;""),'Data'!$F$7260,"")</f>
        <v/>
      </c>
      <c r="Z7259" t="n">
        <v>1</v>
      </c>
      <c r="AA7259">
        <f>IF(ISNUMBER('IN-CLASS_Lab Part C'!$J$7259),'IN-CLASS_Lab Part C'!$J$7259,NA())</f>
        <v/>
      </c>
    </row>
    <row r="7260">
      <c r="J7260">
        <f>IF(AND(ISNUMBER('Data'!$F$7261),'Data'!$F$7261&lt;&gt;999,'Data'!$F$7261&lt;&gt;""),'Data'!$F$7261,"")</f>
        <v/>
      </c>
      <c r="Z7260" t="n">
        <v>1</v>
      </c>
      <c r="AA7260">
        <f>IF(ISNUMBER('IN-CLASS_Lab Part C'!$J$7260),'IN-CLASS_Lab Part C'!$J$7260,NA())</f>
        <v/>
      </c>
    </row>
    <row r="7261">
      <c r="J7261">
        <f>IF(AND(ISNUMBER('Data'!$F$7262),'Data'!$F$7262&lt;&gt;999,'Data'!$F$7262&lt;&gt;""),'Data'!$F$7262,"")</f>
        <v/>
      </c>
      <c r="Z7261" t="n">
        <v>1</v>
      </c>
      <c r="AA7261">
        <f>IF(ISNUMBER('IN-CLASS_Lab Part C'!$J$7261),'IN-CLASS_Lab Part C'!$J$7261,NA())</f>
        <v/>
      </c>
    </row>
    <row r="7262">
      <c r="J7262">
        <f>IF(AND(ISNUMBER('Data'!$F$7263),'Data'!$F$7263&lt;&gt;999,'Data'!$F$7263&lt;&gt;""),'Data'!$F$7263,"")</f>
        <v/>
      </c>
      <c r="Z7262" t="n">
        <v>1</v>
      </c>
      <c r="AA7262">
        <f>IF(ISNUMBER('IN-CLASS_Lab Part C'!$J$7262),'IN-CLASS_Lab Part C'!$J$7262,NA())</f>
        <v/>
      </c>
    </row>
    <row r="7263">
      <c r="J7263">
        <f>IF(AND(ISNUMBER('Data'!$F$7264),'Data'!$F$7264&lt;&gt;999,'Data'!$F$7264&lt;&gt;""),'Data'!$F$7264,"")</f>
        <v/>
      </c>
      <c r="Z7263" t="n">
        <v>1</v>
      </c>
      <c r="AA7263">
        <f>IF(ISNUMBER('IN-CLASS_Lab Part C'!$J$7263),'IN-CLASS_Lab Part C'!$J$7263,NA())</f>
        <v/>
      </c>
    </row>
    <row r="7264">
      <c r="J7264">
        <f>IF(AND(ISNUMBER('Data'!$F$7265),'Data'!$F$7265&lt;&gt;999,'Data'!$F$7265&lt;&gt;""),'Data'!$F$7265,"")</f>
        <v/>
      </c>
      <c r="Z7264" t="n">
        <v>1</v>
      </c>
      <c r="AA7264">
        <f>IF(ISNUMBER('IN-CLASS_Lab Part C'!$J$7264),'IN-CLASS_Lab Part C'!$J$7264,NA())</f>
        <v/>
      </c>
    </row>
    <row r="7265">
      <c r="J7265">
        <f>IF(AND(ISNUMBER('Data'!$F$7266),'Data'!$F$7266&lt;&gt;999,'Data'!$F$7266&lt;&gt;""),'Data'!$F$7266,"")</f>
        <v/>
      </c>
      <c r="Z7265" t="n">
        <v>1</v>
      </c>
      <c r="AA7265">
        <f>IF(ISNUMBER('IN-CLASS_Lab Part C'!$J$7265),'IN-CLASS_Lab Part C'!$J$7265,NA())</f>
        <v/>
      </c>
    </row>
    <row r="7266">
      <c r="J7266">
        <f>IF(AND(ISNUMBER('Data'!$F$7267),'Data'!$F$7267&lt;&gt;999,'Data'!$F$7267&lt;&gt;""),'Data'!$F$7267,"")</f>
        <v/>
      </c>
      <c r="Z7266" t="n">
        <v>1</v>
      </c>
      <c r="AA7266">
        <f>IF(ISNUMBER('IN-CLASS_Lab Part C'!$J$7266),'IN-CLASS_Lab Part C'!$J$7266,NA())</f>
        <v/>
      </c>
    </row>
    <row r="7267">
      <c r="J7267">
        <f>IF(AND(ISNUMBER('Data'!$F$7268),'Data'!$F$7268&lt;&gt;999,'Data'!$F$7268&lt;&gt;""),'Data'!$F$7268,"")</f>
        <v/>
      </c>
      <c r="Z7267" t="n">
        <v>1</v>
      </c>
      <c r="AA7267">
        <f>IF(ISNUMBER('IN-CLASS_Lab Part C'!$J$7267),'IN-CLASS_Lab Part C'!$J$7267,NA())</f>
        <v/>
      </c>
    </row>
    <row r="7268">
      <c r="J7268">
        <f>IF(AND(ISNUMBER('Data'!$F$7269),'Data'!$F$7269&lt;&gt;999,'Data'!$F$7269&lt;&gt;""),'Data'!$F$7269,"")</f>
        <v/>
      </c>
      <c r="Z7268" t="n">
        <v>1</v>
      </c>
      <c r="AA7268">
        <f>IF(ISNUMBER('IN-CLASS_Lab Part C'!$J$7268),'IN-CLASS_Lab Part C'!$J$7268,NA())</f>
        <v/>
      </c>
    </row>
    <row r="7269">
      <c r="J7269">
        <f>IF(AND(ISNUMBER('Data'!$F$7270),'Data'!$F$7270&lt;&gt;999,'Data'!$F$7270&lt;&gt;""),'Data'!$F$7270,"")</f>
        <v/>
      </c>
      <c r="Z7269" t="n">
        <v>1</v>
      </c>
      <c r="AA7269">
        <f>IF(ISNUMBER('IN-CLASS_Lab Part C'!$J$7269),'IN-CLASS_Lab Part C'!$J$7269,NA())</f>
        <v/>
      </c>
    </row>
    <row r="7270">
      <c r="J7270">
        <f>IF(AND(ISNUMBER('Data'!$F$7271),'Data'!$F$7271&lt;&gt;999,'Data'!$F$7271&lt;&gt;""),'Data'!$F$7271,"")</f>
        <v/>
      </c>
      <c r="Z7270" t="n">
        <v>1</v>
      </c>
      <c r="AA7270">
        <f>IF(ISNUMBER('IN-CLASS_Lab Part C'!$J$7270),'IN-CLASS_Lab Part C'!$J$7270,NA())</f>
        <v/>
      </c>
    </row>
    <row r="7271">
      <c r="J7271">
        <f>IF(AND(ISNUMBER('Data'!$F$7272),'Data'!$F$7272&lt;&gt;999,'Data'!$F$7272&lt;&gt;""),'Data'!$F$7272,"")</f>
        <v/>
      </c>
      <c r="Z7271" t="n">
        <v>1</v>
      </c>
      <c r="AA7271">
        <f>IF(ISNUMBER('IN-CLASS_Lab Part C'!$J$7271),'IN-CLASS_Lab Part C'!$J$7271,NA())</f>
        <v/>
      </c>
    </row>
    <row r="7272">
      <c r="J7272">
        <f>IF(AND(ISNUMBER('Data'!$F$7273),'Data'!$F$7273&lt;&gt;999,'Data'!$F$7273&lt;&gt;""),'Data'!$F$7273,"")</f>
        <v/>
      </c>
      <c r="Z7272" t="n">
        <v>1</v>
      </c>
      <c r="AA7272">
        <f>IF(ISNUMBER('IN-CLASS_Lab Part C'!$J$7272),'IN-CLASS_Lab Part C'!$J$7272,NA())</f>
        <v/>
      </c>
    </row>
    <row r="7273">
      <c r="J7273">
        <f>IF(AND(ISNUMBER('Data'!$F$7274),'Data'!$F$7274&lt;&gt;999,'Data'!$F$7274&lt;&gt;""),'Data'!$F$7274,"")</f>
        <v/>
      </c>
      <c r="Z7273" t="n">
        <v>1</v>
      </c>
      <c r="AA7273">
        <f>IF(ISNUMBER('IN-CLASS_Lab Part C'!$J$7273),'IN-CLASS_Lab Part C'!$J$7273,NA())</f>
        <v/>
      </c>
    </row>
    <row r="7274">
      <c r="J7274">
        <f>IF(AND(ISNUMBER('Data'!$F$7275),'Data'!$F$7275&lt;&gt;999,'Data'!$F$7275&lt;&gt;""),'Data'!$F$7275,"")</f>
        <v/>
      </c>
      <c r="Z7274" t="n">
        <v>1</v>
      </c>
      <c r="AA7274">
        <f>IF(ISNUMBER('IN-CLASS_Lab Part C'!$J$7274),'IN-CLASS_Lab Part C'!$J$7274,NA())</f>
        <v/>
      </c>
    </row>
    <row r="7275">
      <c r="J7275">
        <f>IF(AND(ISNUMBER('Data'!$F$7276),'Data'!$F$7276&lt;&gt;999,'Data'!$F$7276&lt;&gt;""),'Data'!$F$7276,"")</f>
        <v/>
      </c>
      <c r="Z7275" t="n">
        <v>1</v>
      </c>
      <c r="AA7275">
        <f>IF(ISNUMBER('IN-CLASS_Lab Part C'!$J$7275),'IN-CLASS_Lab Part C'!$J$7275,NA())</f>
        <v/>
      </c>
    </row>
    <row r="7276">
      <c r="J7276">
        <f>IF(AND(ISNUMBER('Data'!$F$7277),'Data'!$F$7277&lt;&gt;999,'Data'!$F$7277&lt;&gt;""),'Data'!$F$7277,"")</f>
        <v/>
      </c>
      <c r="Z7276" t="n">
        <v>1</v>
      </c>
      <c r="AA7276">
        <f>IF(ISNUMBER('IN-CLASS_Lab Part C'!$J$7276),'IN-CLASS_Lab Part C'!$J$7276,NA())</f>
        <v/>
      </c>
    </row>
    <row r="7277">
      <c r="J7277">
        <f>IF(AND(ISNUMBER('Data'!$F$7278),'Data'!$F$7278&lt;&gt;999,'Data'!$F$7278&lt;&gt;""),'Data'!$F$7278,"")</f>
        <v/>
      </c>
      <c r="Z7277" t="n">
        <v>1</v>
      </c>
      <c r="AA7277">
        <f>IF(ISNUMBER('IN-CLASS_Lab Part C'!$J$7277),'IN-CLASS_Lab Part C'!$J$7277,NA())</f>
        <v/>
      </c>
    </row>
    <row r="7278">
      <c r="J7278">
        <f>IF(AND(ISNUMBER('Data'!$F$7279),'Data'!$F$7279&lt;&gt;999,'Data'!$F$7279&lt;&gt;""),'Data'!$F$7279,"")</f>
        <v/>
      </c>
      <c r="Z7278" t="n">
        <v>1</v>
      </c>
      <c r="AA7278">
        <f>IF(ISNUMBER('IN-CLASS_Lab Part C'!$J$7278),'IN-CLASS_Lab Part C'!$J$7278,NA())</f>
        <v/>
      </c>
    </row>
    <row r="7279">
      <c r="J7279">
        <f>IF(AND(ISNUMBER('Data'!$F$7280),'Data'!$F$7280&lt;&gt;999,'Data'!$F$7280&lt;&gt;""),'Data'!$F$7280,"")</f>
        <v/>
      </c>
      <c r="Z7279" t="n">
        <v>1</v>
      </c>
      <c r="AA7279">
        <f>IF(ISNUMBER('IN-CLASS_Lab Part C'!$J$7279),'IN-CLASS_Lab Part C'!$J$7279,NA())</f>
        <v/>
      </c>
    </row>
    <row r="7280">
      <c r="J7280">
        <f>IF(AND(ISNUMBER('Data'!$F$7281),'Data'!$F$7281&lt;&gt;999,'Data'!$F$7281&lt;&gt;""),'Data'!$F$7281,"")</f>
        <v/>
      </c>
      <c r="Z7280" t="n">
        <v>1</v>
      </c>
      <c r="AA7280">
        <f>IF(ISNUMBER('IN-CLASS_Lab Part C'!$J$7280),'IN-CLASS_Lab Part C'!$J$7280,NA())</f>
        <v/>
      </c>
    </row>
    <row r="7281">
      <c r="J7281">
        <f>IF(AND(ISNUMBER('Data'!$F$7282),'Data'!$F$7282&lt;&gt;999,'Data'!$F$7282&lt;&gt;""),'Data'!$F$7282,"")</f>
        <v/>
      </c>
      <c r="Z7281" t="n">
        <v>1</v>
      </c>
      <c r="AA7281">
        <f>IF(ISNUMBER('IN-CLASS_Lab Part C'!$J$7281),'IN-CLASS_Lab Part C'!$J$7281,NA())</f>
        <v/>
      </c>
    </row>
    <row r="7282">
      <c r="J7282">
        <f>IF(AND(ISNUMBER('Data'!$F$7283),'Data'!$F$7283&lt;&gt;999,'Data'!$F$7283&lt;&gt;""),'Data'!$F$7283,"")</f>
        <v/>
      </c>
      <c r="Z7282" t="n">
        <v>1</v>
      </c>
      <c r="AA7282">
        <f>IF(ISNUMBER('IN-CLASS_Lab Part C'!$J$7282),'IN-CLASS_Lab Part C'!$J$7282,NA())</f>
        <v/>
      </c>
    </row>
    <row r="7283">
      <c r="J7283">
        <f>IF(AND(ISNUMBER('Data'!$F$7284),'Data'!$F$7284&lt;&gt;999,'Data'!$F$7284&lt;&gt;""),'Data'!$F$7284,"")</f>
        <v/>
      </c>
      <c r="Z7283" t="n">
        <v>1</v>
      </c>
      <c r="AA7283">
        <f>IF(ISNUMBER('IN-CLASS_Lab Part C'!$J$7283),'IN-CLASS_Lab Part C'!$J$7283,NA())</f>
        <v/>
      </c>
    </row>
    <row r="7284">
      <c r="J7284">
        <f>IF(AND(ISNUMBER('Data'!$F$7285),'Data'!$F$7285&lt;&gt;999,'Data'!$F$7285&lt;&gt;""),'Data'!$F$7285,"")</f>
        <v/>
      </c>
      <c r="Z7284" t="n">
        <v>1</v>
      </c>
      <c r="AA7284">
        <f>IF(ISNUMBER('IN-CLASS_Lab Part C'!$J$7284),'IN-CLASS_Lab Part C'!$J$7284,NA())</f>
        <v/>
      </c>
    </row>
    <row r="7285">
      <c r="J7285">
        <f>IF(AND(ISNUMBER('Data'!$F$7286),'Data'!$F$7286&lt;&gt;999,'Data'!$F$7286&lt;&gt;""),'Data'!$F$7286,"")</f>
        <v/>
      </c>
      <c r="Z7285" t="n">
        <v>1</v>
      </c>
      <c r="AA7285">
        <f>IF(ISNUMBER('IN-CLASS_Lab Part C'!$J$7285),'IN-CLASS_Lab Part C'!$J$7285,NA())</f>
        <v/>
      </c>
    </row>
    <row r="7286">
      <c r="J7286">
        <f>IF(AND(ISNUMBER('Data'!$F$7287),'Data'!$F$7287&lt;&gt;999,'Data'!$F$7287&lt;&gt;""),'Data'!$F$7287,"")</f>
        <v/>
      </c>
      <c r="Z7286" t="n">
        <v>1</v>
      </c>
      <c r="AA7286">
        <f>IF(ISNUMBER('IN-CLASS_Lab Part C'!$J$7286),'IN-CLASS_Lab Part C'!$J$7286,NA())</f>
        <v/>
      </c>
    </row>
    <row r="7287">
      <c r="J7287">
        <f>IF(AND(ISNUMBER('Data'!$F$7288),'Data'!$F$7288&lt;&gt;999,'Data'!$F$7288&lt;&gt;""),'Data'!$F$7288,"")</f>
        <v/>
      </c>
      <c r="Z7287" t="n">
        <v>1</v>
      </c>
      <c r="AA7287">
        <f>IF(ISNUMBER('IN-CLASS_Lab Part C'!$J$7287),'IN-CLASS_Lab Part C'!$J$7287,NA())</f>
        <v/>
      </c>
    </row>
    <row r="7288">
      <c r="J7288">
        <f>IF(AND(ISNUMBER('Data'!$F$7289),'Data'!$F$7289&lt;&gt;999,'Data'!$F$7289&lt;&gt;""),'Data'!$F$7289,"")</f>
        <v/>
      </c>
      <c r="Z7288" t="n">
        <v>1</v>
      </c>
      <c r="AA7288">
        <f>IF(ISNUMBER('IN-CLASS_Lab Part C'!$J$7288),'IN-CLASS_Lab Part C'!$J$7288,NA())</f>
        <v/>
      </c>
    </row>
    <row r="7289">
      <c r="J7289">
        <f>IF(AND(ISNUMBER('Data'!$F$7290),'Data'!$F$7290&lt;&gt;999,'Data'!$F$7290&lt;&gt;""),'Data'!$F$7290,"")</f>
        <v/>
      </c>
      <c r="Z7289" t="n">
        <v>1</v>
      </c>
      <c r="AA7289">
        <f>IF(ISNUMBER('IN-CLASS_Lab Part C'!$J$7289),'IN-CLASS_Lab Part C'!$J$7289,NA())</f>
        <v/>
      </c>
    </row>
    <row r="7290">
      <c r="J7290">
        <f>IF(AND(ISNUMBER('Data'!$F$7291),'Data'!$F$7291&lt;&gt;999,'Data'!$F$7291&lt;&gt;""),'Data'!$F$7291,"")</f>
        <v/>
      </c>
      <c r="Z7290" t="n">
        <v>1</v>
      </c>
      <c r="AA7290">
        <f>IF(ISNUMBER('IN-CLASS_Lab Part C'!$J$7290),'IN-CLASS_Lab Part C'!$J$7290,NA())</f>
        <v/>
      </c>
    </row>
    <row r="7291">
      <c r="J7291">
        <f>IF(AND(ISNUMBER('Data'!$F$7292),'Data'!$F$7292&lt;&gt;999,'Data'!$F$7292&lt;&gt;""),'Data'!$F$7292,"")</f>
        <v/>
      </c>
      <c r="Z7291" t="n">
        <v>1</v>
      </c>
      <c r="AA7291">
        <f>IF(ISNUMBER('IN-CLASS_Lab Part C'!$J$7291),'IN-CLASS_Lab Part C'!$J$7291,NA())</f>
        <v/>
      </c>
    </row>
    <row r="7292">
      <c r="J7292">
        <f>IF(AND(ISNUMBER('Data'!$F$7293),'Data'!$F$7293&lt;&gt;999,'Data'!$F$7293&lt;&gt;""),'Data'!$F$7293,"")</f>
        <v/>
      </c>
      <c r="Z7292" t="n">
        <v>1</v>
      </c>
      <c r="AA7292">
        <f>IF(ISNUMBER('IN-CLASS_Lab Part C'!$J$7292),'IN-CLASS_Lab Part C'!$J$7292,NA())</f>
        <v/>
      </c>
    </row>
    <row r="7293">
      <c r="J7293">
        <f>IF(AND(ISNUMBER('Data'!$F$7294),'Data'!$F$7294&lt;&gt;999,'Data'!$F$7294&lt;&gt;""),'Data'!$F$7294,"")</f>
        <v/>
      </c>
      <c r="Z7293" t="n">
        <v>1</v>
      </c>
      <c r="AA7293">
        <f>IF(ISNUMBER('IN-CLASS_Lab Part C'!$J$7293),'IN-CLASS_Lab Part C'!$J$7293,NA())</f>
        <v/>
      </c>
    </row>
    <row r="7294">
      <c r="J7294">
        <f>IF(AND(ISNUMBER('Data'!$F$7295),'Data'!$F$7295&lt;&gt;999,'Data'!$F$7295&lt;&gt;""),'Data'!$F$7295,"")</f>
        <v/>
      </c>
      <c r="Z7294" t="n">
        <v>1</v>
      </c>
      <c r="AA7294">
        <f>IF(ISNUMBER('IN-CLASS_Lab Part C'!$J$7294),'IN-CLASS_Lab Part C'!$J$7294,NA())</f>
        <v/>
      </c>
    </row>
    <row r="7295">
      <c r="J7295">
        <f>IF(AND(ISNUMBER('Data'!$F$7296),'Data'!$F$7296&lt;&gt;999,'Data'!$F$7296&lt;&gt;""),'Data'!$F$7296,"")</f>
        <v/>
      </c>
      <c r="Z7295" t="n">
        <v>1</v>
      </c>
      <c r="AA7295">
        <f>IF(ISNUMBER('IN-CLASS_Lab Part C'!$J$7295),'IN-CLASS_Lab Part C'!$J$7295,NA())</f>
        <v/>
      </c>
    </row>
    <row r="7296">
      <c r="J7296">
        <f>IF(AND(ISNUMBER('Data'!$F$7297),'Data'!$F$7297&lt;&gt;999,'Data'!$F$7297&lt;&gt;""),'Data'!$F$7297,"")</f>
        <v/>
      </c>
      <c r="Z7296" t="n">
        <v>1</v>
      </c>
      <c r="AA7296">
        <f>IF(ISNUMBER('IN-CLASS_Lab Part C'!$J$7296),'IN-CLASS_Lab Part C'!$J$7296,NA())</f>
        <v/>
      </c>
    </row>
    <row r="7297">
      <c r="J7297">
        <f>IF(AND(ISNUMBER('Data'!$F$7298),'Data'!$F$7298&lt;&gt;999,'Data'!$F$7298&lt;&gt;""),'Data'!$F$7298,"")</f>
        <v/>
      </c>
      <c r="Z7297" t="n">
        <v>1</v>
      </c>
      <c r="AA7297">
        <f>IF(ISNUMBER('IN-CLASS_Lab Part C'!$J$7297),'IN-CLASS_Lab Part C'!$J$7297,NA())</f>
        <v/>
      </c>
    </row>
    <row r="7298">
      <c r="J7298">
        <f>IF(AND(ISNUMBER('Data'!$F$7299),'Data'!$F$7299&lt;&gt;999,'Data'!$F$7299&lt;&gt;""),'Data'!$F$7299,"")</f>
        <v/>
      </c>
      <c r="Z7298" t="n">
        <v>1</v>
      </c>
      <c r="AA7298">
        <f>IF(ISNUMBER('IN-CLASS_Lab Part C'!$J$7298),'IN-CLASS_Lab Part C'!$J$7298,NA())</f>
        <v/>
      </c>
    </row>
    <row r="7299">
      <c r="J7299">
        <f>IF(AND(ISNUMBER('Data'!$F$7300),'Data'!$F$7300&lt;&gt;999,'Data'!$F$7300&lt;&gt;""),'Data'!$F$7300,"")</f>
        <v/>
      </c>
      <c r="Z7299" t="n">
        <v>1</v>
      </c>
      <c r="AA7299">
        <f>IF(ISNUMBER('IN-CLASS_Lab Part C'!$J$7299),'IN-CLASS_Lab Part C'!$J$7299,NA())</f>
        <v/>
      </c>
    </row>
    <row r="7300">
      <c r="J7300">
        <f>IF(AND(ISNUMBER('Data'!$F$7301),'Data'!$F$7301&lt;&gt;999,'Data'!$F$7301&lt;&gt;""),'Data'!$F$7301,"")</f>
        <v/>
      </c>
      <c r="Z7300" t="n">
        <v>1</v>
      </c>
      <c r="AA7300">
        <f>IF(ISNUMBER('IN-CLASS_Lab Part C'!$J$7300),'IN-CLASS_Lab Part C'!$J$7300,NA())</f>
        <v/>
      </c>
    </row>
    <row r="7301">
      <c r="J7301">
        <f>IF(AND(ISNUMBER('Data'!$F$7302),'Data'!$F$7302&lt;&gt;999,'Data'!$F$7302&lt;&gt;""),'Data'!$F$7302,"")</f>
        <v/>
      </c>
      <c r="Z7301" t="n">
        <v>1</v>
      </c>
      <c r="AA7301">
        <f>IF(ISNUMBER('IN-CLASS_Lab Part C'!$J$7301),'IN-CLASS_Lab Part C'!$J$7301,NA())</f>
        <v/>
      </c>
    </row>
    <row r="7302">
      <c r="J7302">
        <f>IF(AND(ISNUMBER('Data'!$F$7303),'Data'!$F$7303&lt;&gt;999,'Data'!$F$7303&lt;&gt;""),'Data'!$F$7303,"")</f>
        <v/>
      </c>
      <c r="Z7302" t="n">
        <v>1</v>
      </c>
      <c r="AA7302">
        <f>IF(ISNUMBER('IN-CLASS_Lab Part C'!$J$7302),'IN-CLASS_Lab Part C'!$J$7302,NA())</f>
        <v/>
      </c>
    </row>
    <row r="7303">
      <c r="J7303">
        <f>IF(AND(ISNUMBER('Data'!$F$7304),'Data'!$F$7304&lt;&gt;999,'Data'!$F$7304&lt;&gt;""),'Data'!$F$7304,"")</f>
        <v/>
      </c>
      <c r="Z7303" t="n">
        <v>1</v>
      </c>
      <c r="AA7303">
        <f>IF(ISNUMBER('IN-CLASS_Lab Part C'!$J$7303),'IN-CLASS_Lab Part C'!$J$7303,NA())</f>
        <v/>
      </c>
    </row>
    <row r="7304">
      <c r="J7304">
        <f>IF(AND(ISNUMBER('Data'!$F$7305),'Data'!$F$7305&lt;&gt;999,'Data'!$F$7305&lt;&gt;""),'Data'!$F$7305,"")</f>
        <v/>
      </c>
      <c r="Z7304" t="n">
        <v>1</v>
      </c>
      <c r="AA7304">
        <f>IF(ISNUMBER('IN-CLASS_Lab Part C'!$J$7304),'IN-CLASS_Lab Part C'!$J$7304,NA())</f>
        <v/>
      </c>
    </row>
    <row r="7305">
      <c r="J7305">
        <f>IF(AND(ISNUMBER('Data'!$F$7306),'Data'!$F$7306&lt;&gt;999,'Data'!$F$7306&lt;&gt;""),'Data'!$F$7306,"")</f>
        <v/>
      </c>
      <c r="Z7305" t="n">
        <v>1</v>
      </c>
      <c r="AA7305">
        <f>IF(ISNUMBER('IN-CLASS_Lab Part C'!$J$7305),'IN-CLASS_Lab Part C'!$J$7305,NA())</f>
        <v/>
      </c>
    </row>
    <row r="7306">
      <c r="J7306">
        <f>IF(AND(ISNUMBER('Data'!$F$7307),'Data'!$F$7307&lt;&gt;999,'Data'!$F$7307&lt;&gt;""),'Data'!$F$7307,"")</f>
        <v/>
      </c>
      <c r="Z7306" t="n">
        <v>1</v>
      </c>
      <c r="AA7306">
        <f>IF(ISNUMBER('IN-CLASS_Lab Part C'!$J$7306),'IN-CLASS_Lab Part C'!$J$7306,NA())</f>
        <v/>
      </c>
    </row>
    <row r="7307">
      <c r="J7307">
        <f>IF(AND(ISNUMBER('Data'!$F$7308),'Data'!$F$7308&lt;&gt;999,'Data'!$F$7308&lt;&gt;""),'Data'!$F$7308,"")</f>
        <v/>
      </c>
      <c r="Z7307" t="n">
        <v>1</v>
      </c>
      <c r="AA7307">
        <f>IF(ISNUMBER('IN-CLASS_Lab Part C'!$J$7307),'IN-CLASS_Lab Part C'!$J$7307,NA())</f>
        <v/>
      </c>
    </row>
    <row r="7308">
      <c r="J7308">
        <f>IF(AND(ISNUMBER('Data'!$F$7309),'Data'!$F$7309&lt;&gt;999,'Data'!$F$7309&lt;&gt;""),'Data'!$F$7309,"")</f>
        <v/>
      </c>
      <c r="Z7308" t="n">
        <v>1</v>
      </c>
      <c r="AA7308">
        <f>IF(ISNUMBER('IN-CLASS_Lab Part C'!$J$7308),'IN-CLASS_Lab Part C'!$J$7308,NA())</f>
        <v/>
      </c>
    </row>
    <row r="7309">
      <c r="J7309">
        <f>IF(AND(ISNUMBER('Data'!$F$7310),'Data'!$F$7310&lt;&gt;999,'Data'!$F$7310&lt;&gt;""),'Data'!$F$7310,"")</f>
        <v/>
      </c>
      <c r="Z7309" t="n">
        <v>1</v>
      </c>
      <c r="AA7309">
        <f>IF(ISNUMBER('IN-CLASS_Lab Part C'!$J$7309),'IN-CLASS_Lab Part C'!$J$7309,NA())</f>
        <v/>
      </c>
    </row>
    <row r="7310">
      <c r="J7310">
        <f>IF(AND(ISNUMBER('Data'!$F$7311),'Data'!$F$7311&lt;&gt;999,'Data'!$F$7311&lt;&gt;""),'Data'!$F$7311,"")</f>
        <v/>
      </c>
      <c r="Z7310" t="n">
        <v>1</v>
      </c>
      <c r="AA7310">
        <f>IF(ISNUMBER('IN-CLASS_Lab Part C'!$J$7310),'IN-CLASS_Lab Part C'!$J$7310,NA())</f>
        <v/>
      </c>
    </row>
    <row r="7311">
      <c r="J7311">
        <f>IF(AND(ISNUMBER('Data'!$F$7312),'Data'!$F$7312&lt;&gt;999,'Data'!$F$7312&lt;&gt;""),'Data'!$F$7312,"")</f>
        <v/>
      </c>
      <c r="Z7311" t="n">
        <v>1</v>
      </c>
      <c r="AA7311">
        <f>IF(ISNUMBER('IN-CLASS_Lab Part C'!$J$7311),'IN-CLASS_Lab Part C'!$J$7311,NA())</f>
        <v/>
      </c>
    </row>
    <row r="7312">
      <c r="J7312">
        <f>IF(AND(ISNUMBER('Data'!$F$7313),'Data'!$F$7313&lt;&gt;999,'Data'!$F$7313&lt;&gt;""),'Data'!$F$7313,"")</f>
        <v/>
      </c>
      <c r="Z7312" t="n">
        <v>1</v>
      </c>
      <c r="AA7312">
        <f>IF(ISNUMBER('IN-CLASS_Lab Part C'!$J$7312),'IN-CLASS_Lab Part C'!$J$7312,NA())</f>
        <v/>
      </c>
    </row>
    <row r="7313">
      <c r="J7313">
        <f>IF(AND(ISNUMBER('Data'!$F$7314),'Data'!$F$7314&lt;&gt;999,'Data'!$F$7314&lt;&gt;""),'Data'!$F$7314,"")</f>
        <v/>
      </c>
      <c r="Z7313" t="n">
        <v>1</v>
      </c>
      <c r="AA7313">
        <f>IF(ISNUMBER('IN-CLASS_Lab Part C'!$J$7313),'IN-CLASS_Lab Part C'!$J$7313,NA())</f>
        <v/>
      </c>
    </row>
    <row r="7314">
      <c r="J7314">
        <f>IF(AND(ISNUMBER('Data'!$F$7315),'Data'!$F$7315&lt;&gt;999,'Data'!$F$7315&lt;&gt;""),'Data'!$F$7315,"")</f>
        <v/>
      </c>
      <c r="Z7314" t="n">
        <v>1</v>
      </c>
      <c r="AA7314">
        <f>IF(ISNUMBER('IN-CLASS_Lab Part C'!$J$7314),'IN-CLASS_Lab Part C'!$J$7314,NA())</f>
        <v/>
      </c>
    </row>
    <row r="7315">
      <c r="J7315">
        <f>IF(AND(ISNUMBER('Data'!$F$7316),'Data'!$F$7316&lt;&gt;999,'Data'!$F$7316&lt;&gt;""),'Data'!$F$7316,"")</f>
        <v/>
      </c>
      <c r="Z7315" t="n">
        <v>1</v>
      </c>
      <c r="AA7315">
        <f>IF(ISNUMBER('IN-CLASS_Lab Part C'!$J$7315),'IN-CLASS_Lab Part C'!$J$7315,NA())</f>
        <v/>
      </c>
    </row>
    <row r="7316">
      <c r="J7316">
        <f>IF(AND(ISNUMBER('Data'!$F$7317),'Data'!$F$7317&lt;&gt;999,'Data'!$F$7317&lt;&gt;""),'Data'!$F$7317,"")</f>
        <v/>
      </c>
      <c r="Z7316" t="n">
        <v>1</v>
      </c>
      <c r="AA7316">
        <f>IF(ISNUMBER('IN-CLASS_Lab Part C'!$J$7316),'IN-CLASS_Lab Part C'!$J$7316,NA())</f>
        <v/>
      </c>
    </row>
    <row r="7317">
      <c r="J7317">
        <f>IF(AND(ISNUMBER('Data'!$F$7318),'Data'!$F$7318&lt;&gt;999,'Data'!$F$7318&lt;&gt;""),'Data'!$F$7318,"")</f>
        <v/>
      </c>
      <c r="Z7317" t="n">
        <v>1</v>
      </c>
      <c r="AA7317">
        <f>IF(ISNUMBER('IN-CLASS_Lab Part C'!$J$7317),'IN-CLASS_Lab Part C'!$J$7317,NA())</f>
        <v/>
      </c>
    </row>
    <row r="7318">
      <c r="J7318">
        <f>IF(AND(ISNUMBER('Data'!$F$7319),'Data'!$F$7319&lt;&gt;999,'Data'!$F$7319&lt;&gt;""),'Data'!$F$7319,"")</f>
        <v/>
      </c>
      <c r="Z7318" t="n">
        <v>1</v>
      </c>
      <c r="AA7318">
        <f>IF(ISNUMBER('IN-CLASS_Lab Part C'!$J$7318),'IN-CLASS_Lab Part C'!$J$7318,NA())</f>
        <v/>
      </c>
    </row>
    <row r="7319">
      <c r="J7319">
        <f>IF(AND(ISNUMBER('Data'!$F$7320),'Data'!$F$7320&lt;&gt;999,'Data'!$F$7320&lt;&gt;""),'Data'!$F$7320,"")</f>
        <v/>
      </c>
      <c r="Z7319" t="n">
        <v>1</v>
      </c>
      <c r="AA7319">
        <f>IF(ISNUMBER('IN-CLASS_Lab Part C'!$J$7319),'IN-CLASS_Lab Part C'!$J$7319,NA())</f>
        <v/>
      </c>
    </row>
    <row r="7320">
      <c r="J7320">
        <f>IF(AND(ISNUMBER('Data'!$F$7321),'Data'!$F$7321&lt;&gt;999,'Data'!$F$7321&lt;&gt;""),'Data'!$F$7321,"")</f>
        <v/>
      </c>
      <c r="Z7320" t="n">
        <v>1</v>
      </c>
      <c r="AA7320">
        <f>IF(ISNUMBER('IN-CLASS_Lab Part C'!$J$7320),'IN-CLASS_Lab Part C'!$J$7320,NA())</f>
        <v/>
      </c>
    </row>
    <row r="7321">
      <c r="J7321">
        <f>IF(AND(ISNUMBER('Data'!$F$7322),'Data'!$F$7322&lt;&gt;999,'Data'!$F$7322&lt;&gt;""),'Data'!$F$7322,"")</f>
        <v/>
      </c>
      <c r="Z7321" t="n">
        <v>1</v>
      </c>
      <c r="AA7321">
        <f>IF(ISNUMBER('IN-CLASS_Lab Part C'!$J$7321),'IN-CLASS_Lab Part C'!$J$7321,NA())</f>
        <v/>
      </c>
    </row>
    <row r="7322">
      <c r="J7322">
        <f>IF(AND(ISNUMBER('Data'!$F$7323),'Data'!$F$7323&lt;&gt;999,'Data'!$F$7323&lt;&gt;""),'Data'!$F$7323,"")</f>
        <v/>
      </c>
      <c r="Z7322" t="n">
        <v>1</v>
      </c>
      <c r="AA7322">
        <f>IF(ISNUMBER('IN-CLASS_Lab Part C'!$J$7322),'IN-CLASS_Lab Part C'!$J$7322,NA())</f>
        <v/>
      </c>
    </row>
    <row r="7323">
      <c r="J7323">
        <f>IF(AND(ISNUMBER('Data'!$F$7324),'Data'!$F$7324&lt;&gt;999,'Data'!$F$7324&lt;&gt;""),'Data'!$F$7324,"")</f>
        <v/>
      </c>
      <c r="Z7323" t="n">
        <v>1</v>
      </c>
      <c r="AA7323">
        <f>IF(ISNUMBER('IN-CLASS_Lab Part C'!$J$7323),'IN-CLASS_Lab Part C'!$J$7323,NA())</f>
        <v/>
      </c>
    </row>
    <row r="7324">
      <c r="J7324">
        <f>IF(AND(ISNUMBER('Data'!$F$7325),'Data'!$F$7325&lt;&gt;999,'Data'!$F$7325&lt;&gt;""),'Data'!$F$7325,"")</f>
        <v/>
      </c>
      <c r="Z7324" t="n">
        <v>1</v>
      </c>
      <c r="AA7324">
        <f>IF(ISNUMBER('IN-CLASS_Lab Part C'!$J$7324),'IN-CLASS_Lab Part C'!$J$7324,NA())</f>
        <v/>
      </c>
    </row>
    <row r="7325">
      <c r="J7325">
        <f>IF(AND(ISNUMBER('Data'!$F$7326),'Data'!$F$7326&lt;&gt;999,'Data'!$F$7326&lt;&gt;""),'Data'!$F$7326,"")</f>
        <v/>
      </c>
      <c r="Z7325" t="n">
        <v>1</v>
      </c>
      <c r="AA7325">
        <f>IF(ISNUMBER('IN-CLASS_Lab Part C'!$J$7325),'IN-CLASS_Lab Part C'!$J$7325,NA())</f>
        <v/>
      </c>
    </row>
    <row r="7326">
      <c r="J7326">
        <f>IF(AND(ISNUMBER('Data'!$F$7327),'Data'!$F$7327&lt;&gt;999,'Data'!$F$7327&lt;&gt;""),'Data'!$F$7327,"")</f>
        <v/>
      </c>
      <c r="Z7326" t="n">
        <v>1</v>
      </c>
      <c r="AA7326">
        <f>IF(ISNUMBER('IN-CLASS_Lab Part C'!$J$7326),'IN-CLASS_Lab Part C'!$J$7326,NA())</f>
        <v/>
      </c>
    </row>
    <row r="7327">
      <c r="J7327">
        <f>IF(AND(ISNUMBER('Data'!$F$7328),'Data'!$F$7328&lt;&gt;999,'Data'!$F$7328&lt;&gt;""),'Data'!$F$7328,"")</f>
        <v/>
      </c>
      <c r="Z7327" t="n">
        <v>1</v>
      </c>
      <c r="AA7327">
        <f>IF(ISNUMBER('IN-CLASS_Lab Part C'!$J$7327),'IN-CLASS_Lab Part C'!$J$7327,NA())</f>
        <v/>
      </c>
    </row>
    <row r="7328">
      <c r="J7328">
        <f>IF(AND(ISNUMBER('Data'!$F$7329),'Data'!$F$7329&lt;&gt;999,'Data'!$F$7329&lt;&gt;""),'Data'!$F$7329,"")</f>
        <v/>
      </c>
      <c r="Z7328" t="n">
        <v>1</v>
      </c>
      <c r="AA7328">
        <f>IF(ISNUMBER('IN-CLASS_Lab Part C'!$J$7328),'IN-CLASS_Lab Part C'!$J$7328,NA())</f>
        <v/>
      </c>
    </row>
    <row r="7329">
      <c r="J7329">
        <f>IF(AND(ISNUMBER('Data'!$F$7330),'Data'!$F$7330&lt;&gt;999,'Data'!$F$7330&lt;&gt;""),'Data'!$F$7330,"")</f>
        <v/>
      </c>
      <c r="Z7329" t="n">
        <v>1</v>
      </c>
      <c r="AA7329">
        <f>IF(ISNUMBER('IN-CLASS_Lab Part C'!$J$7329),'IN-CLASS_Lab Part C'!$J$7329,NA())</f>
        <v/>
      </c>
    </row>
    <row r="7330">
      <c r="J7330">
        <f>IF(AND(ISNUMBER('Data'!$F$7331),'Data'!$F$7331&lt;&gt;999,'Data'!$F$7331&lt;&gt;""),'Data'!$F$7331,"")</f>
        <v/>
      </c>
      <c r="Z7330" t="n">
        <v>1</v>
      </c>
      <c r="AA7330">
        <f>IF(ISNUMBER('IN-CLASS_Lab Part C'!$J$7330),'IN-CLASS_Lab Part C'!$J$7330,NA())</f>
        <v/>
      </c>
    </row>
    <row r="7331">
      <c r="J7331">
        <f>IF(AND(ISNUMBER('Data'!$F$7332),'Data'!$F$7332&lt;&gt;999,'Data'!$F$7332&lt;&gt;""),'Data'!$F$7332,"")</f>
        <v/>
      </c>
      <c r="Z7331" t="n">
        <v>1</v>
      </c>
      <c r="AA7331">
        <f>IF(ISNUMBER('IN-CLASS_Lab Part C'!$J$7331),'IN-CLASS_Lab Part C'!$J$7331,NA())</f>
        <v/>
      </c>
    </row>
    <row r="7332">
      <c r="J7332">
        <f>IF(AND(ISNUMBER('Data'!$F$7333),'Data'!$F$7333&lt;&gt;999,'Data'!$F$7333&lt;&gt;""),'Data'!$F$7333,"")</f>
        <v/>
      </c>
      <c r="Z7332" t="n">
        <v>1</v>
      </c>
      <c r="AA7332">
        <f>IF(ISNUMBER('IN-CLASS_Lab Part C'!$J$7332),'IN-CLASS_Lab Part C'!$J$7332,NA())</f>
        <v/>
      </c>
    </row>
    <row r="7333">
      <c r="J7333">
        <f>IF(AND(ISNUMBER('Data'!$F$7334),'Data'!$F$7334&lt;&gt;999,'Data'!$F$7334&lt;&gt;""),'Data'!$F$7334,"")</f>
        <v/>
      </c>
      <c r="Z7333" t="n">
        <v>1</v>
      </c>
      <c r="AA7333">
        <f>IF(ISNUMBER('IN-CLASS_Lab Part C'!$J$7333),'IN-CLASS_Lab Part C'!$J$7333,NA())</f>
        <v/>
      </c>
    </row>
    <row r="7334">
      <c r="J7334">
        <f>IF(AND(ISNUMBER('Data'!$F$7335),'Data'!$F$7335&lt;&gt;999,'Data'!$F$7335&lt;&gt;""),'Data'!$F$7335,"")</f>
        <v/>
      </c>
      <c r="Z7334" t="n">
        <v>1</v>
      </c>
      <c r="AA7334">
        <f>IF(ISNUMBER('IN-CLASS_Lab Part C'!$J$7334),'IN-CLASS_Lab Part C'!$J$7334,NA())</f>
        <v/>
      </c>
    </row>
    <row r="7335">
      <c r="J7335">
        <f>IF(AND(ISNUMBER('Data'!$F$7336),'Data'!$F$7336&lt;&gt;999,'Data'!$F$7336&lt;&gt;""),'Data'!$F$7336,"")</f>
        <v/>
      </c>
      <c r="Z7335" t="n">
        <v>1</v>
      </c>
      <c r="AA7335">
        <f>IF(ISNUMBER('IN-CLASS_Lab Part C'!$J$7335),'IN-CLASS_Lab Part C'!$J$7335,NA())</f>
        <v/>
      </c>
    </row>
    <row r="7336">
      <c r="J7336">
        <f>IF(AND(ISNUMBER('Data'!$F$7337),'Data'!$F$7337&lt;&gt;999,'Data'!$F$7337&lt;&gt;""),'Data'!$F$7337,"")</f>
        <v/>
      </c>
      <c r="Z7336" t="n">
        <v>1</v>
      </c>
      <c r="AA7336">
        <f>IF(ISNUMBER('IN-CLASS_Lab Part C'!$J$7336),'IN-CLASS_Lab Part C'!$J$7336,NA())</f>
        <v/>
      </c>
    </row>
    <row r="7337">
      <c r="J7337">
        <f>IF(AND(ISNUMBER('Data'!$F$7338),'Data'!$F$7338&lt;&gt;999,'Data'!$F$7338&lt;&gt;""),'Data'!$F$7338,"")</f>
        <v/>
      </c>
      <c r="Z7337" t="n">
        <v>1</v>
      </c>
      <c r="AA7337">
        <f>IF(ISNUMBER('IN-CLASS_Lab Part C'!$J$7337),'IN-CLASS_Lab Part C'!$J$7337,NA())</f>
        <v/>
      </c>
    </row>
    <row r="7338">
      <c r="J7338">
        <f>IF(AND(ISNUMBER('Data'!$F$7339),'Data'!$F$7339&lt;&gt;999,'Data'!$F$7339&lt;&gt;""),'Data'!$F$7339,"")</f>
        <v/>
      </c>
      <c r="Z7338" t="n">
        <v>1</v>
      </c>
      <c r="AA7338">
        <f>IF(ISNUMBER('IN-CLASS_Lab Part C'!$J$7338),'IN-CLASS_Lab Part C'!$J$7338,NA())</f>
        <v/>
      </c>
    </row>
    <row r="7339">
      <c r="J7339">
        <f>IF(AND(ISNUMBER('Data'!$F$7340),'Data'!$F$7340&lt;&gt;999,'Data'!$F$7340&lt;&gt;""),'Data'!$F$7340,"")</f>
        <v/>
      </c>
      <c r="Z7339" t="n">
        <v>1</v>
      </c>
      <c r="AA7339">
        <f>IF(ISNUMBER('IN-CLASS_Lab Part C'!$J$7339),'IN-CLASS_Lab Part C'!$J$7339,NA())</f>
        <v/>
      </c>
    </row>
    <row r="7340">
      <c r="J7340">
        <f>IF(AND(ISNUMBER('Data'!$F$7341),'Data'!$F$7341&lt;&gt;999,'Data'!$F$7341&lt;&gt;""),'Data'!$F$7341,"")</f>
        <v/>
      </c>
      <c r="Z7340" t="n">
        <v>1</v>
      </c>
      <c r="AA7340">
        <f>IF(ISNUMBER('IN-CLASS_Lab Part C'!$J$7340),'IN-CLASS_Lab Part C'!$J$7340,NA())</f>
        <v/>
      </c>
    </row>
    <row r="7341">
      <c r="J7341">
        <f>IF(AND(ISNUMBER('Data'!$F$7342),'Data'!$F$7342&lt;&gt;999,'Data'!$F$7342&lt;&gt;""),'Data'!$F$7342,"")</f>
        <v/>
      </c>
      <c r="Z7341" t="n">
        <v>1</v>
      </c>
      <c r="AA7341">
        <f>IF(ISNUMBER('IN-CLASS_Lab Part C'!$J$7341),'IN-CLASS_Lab Part C'!$J$7341,NA())</f>
        <v/>
      </c>
    </row>
    <row r="7342">
      <c r="J7342">
        <f>IF(AND(ISNUMBER('Data'!$F$7343),'Data'!$F$7343&lt;&gt;999,'Data'!$F$7343&lt;&gt;""),'Data'!$F$7343,"")</f>
        <v/>
      </c>
      <c r="Z7342" t="n">
        <v>1</v>
      </c>
      <c r="AA7342">
        <f>IF(ISNUMBER('IN-CLASS_Lab Part C'!$J$7342),'IN-CLASS_Lab Part C'!$J$7342,NA())</f>
        <v/>
      </c>
    </row>
    <row r="7343">
      <c r="J7343">
        <f>IF(AND(ISNUMBER('Data'!$F$7344),'Data'!$F$7344&lt;&gt;999,'Data'!$F$7344&lt;&gt;""),'Data'!$F$7344,"")</f>
        <v/>
      </c>
      <c r="Z7343" t="n">
        <v>1</v>
      </c>
      <c r="AA7343">
        <f>IF(ISNUMBER('IN-CLASS_Lab Part C'!$J$7343),'IN-CLASS_Lab Part C'!$J$7343,NA())</f>
        <v/>
      </c>
    </row>
    <row r="7344">
      <c r="J7344">
        <f>IF(AND(ISNUMBER('Data'!$F$7345),'Data'!$F$7345&lt;&gt;999,'Data'!$F$7345&lt;&gt;""),'Data'!$F$7345,"")</f>
        <v/>
      </c>
      <c r="Z7344" t="n">
        <v>1</v>
      </c>
      <c r="AA7344">
        <f>IF(ISNUMBER('IN-CLASS_Lab Part C'!$J$7344),'IN-CLASS_Lab Part C'!$J$7344,NA())</f>
        <v/>
      </c>
    </row>
    <row r="7345">
      <c r="J7345">
        <f>IF(AND(ISNUMBER('Data'!$F$7346),'Data'!$F$7346&lt;&gt;999,'Data'!$F$7346&lt;&gt;""),'Data'!$F$7346,"")</f>
        <v/>
      </c>
      <c r="Z7345" t="n">
        <v>1</v>
      </c>
      <c r="AA7345">
        <f>IF(ISNUMBER('IN-CLASS_Lab Part C'!$J$7345),'IN-CLASS_Lab Part C'!$J$7345,NA())</f>
        <v/>
      </c>
    </row>
    <row r="7346">
      <c r="J7346">
        <f>IF(AND(ISNUMBER('Data'!$F$7347),'Data'!$F$7347&lt;&gt;999,'Data'!$F$7347&lt;&gt;""),'Data'!$F$7347,"")</f>
        <v/>
      </c>
      <c r="Z7346" t="n">
        <v>1</v>
      </c>
      <c r="AA7346">
        <f>IF(ISNUMBER('IN-CLASS_Lab Part C'!$J$7346),'IN-CLASS_Lab Part C'!$J$7346,NA())</f>
        <v/>
      </c>
    </row>
    <row r="7347">
      <c r="J7347">
        <f>IF(AND(ISNUMBER('Data'!$F$7348),'Data'!$F$7348&lt;&gt;999,'Data'!$F$7348&lt;&gt;""),'Data'!$F$7348,"")</f>
        <v/>
      </c>
      <c r="Z7347" t="n">
        <v>1</v>
      </c>
      <c r="AA7347">
        <f>IF(ISNUMBER('IN-CLASS_Lab Part C'!$J$7347),'IN-CLASS_Lab Part C'!$J$7347,NA())</f>
        <v/>
      </c>
    </row>
    <row r="7348">
      <c r="J7348">
        <f>IF(AND(ISNUMBER('Data'!$F$7349),'Data'!$F$7349&lt;&gt;999,'Data'!$F$7349&lt;&gt;""),'Data'!$F$7349,"")</f>
        <v/>
      </c>
      <c r="Z7348" t="n">
        <v>1</v>
      </c>
      <c r="AA7348">
        <f>IF(ISNUMBER('IN-CLASS_Lab Part C'!$J$7348),'IN-CLASS_Lab Part C'!$J$7348,NA())</f>
        <v/>
      </c>
    </row>
    <row r="7349">
      <c r="J7349">
        <f>IF(AND(ISNUMBER('Data'!$F$7350),'Data'!$F$7350&lt;&gt;999,'Data'!$F$7350&lt;&gt;""),'Data'!$F$7350,"")</f>
        <v/>
      </c>
      <c r="Z7349" t="n">
        <v>1</v>
      </c>
      <c r="AA7349">
        <f>IF(ISNUMBER('IN-CLASS_Lab Part C'!$J$7349),'IN-CLASS_Lab Part C'!$J$7349,NA())</f>
        <v/>
      </c>
    </row>
    <row r="7350">
      <c r="J7350">
        <f>IF(AND(ISNUMBER('Data'!$F$7351),'Data'!$F$7351&lt;&gt;999,'Data'!$F$7351&lt;&gt;""),'Data'!$F$7351,"")</f>
        <v/>
      </c>
      <c r="Z7350" t="n">
        <v>1</v>
      </c>
      <c r="AA7350">
        <f>IF(ISNUMBER('IN-CLASS_Lab Part C'!$J$7350),'IN-CLASS_Lab Part C'!$J$7350,NA())</f>
        <v/>
      </c>
    </row>
    <row r="7351">
      <c r="J7351">
        <f>IF(AND(ISNUMBER('Data'!$F$7352),'Data'!$F$7352&lt;&gt;999,'Data'!$F$7352&lt;&gt;""),'Data'!$F$7352,"")</f>
        <v/>
      </c>
      <c r="Z7351" t="n">
        <v>1</v>
      </c>
      <c r="AA7351">
        <f>IF(ISNUMBER('IN-CLASS_Lab Part C'!$J$7351),'IN-CLASS_Lab Part C'!$J$7351,NA())</f>
        <v/>
      </c>
    </row>
    <row r="7352">
      <c r="J7352">
        <f>IF(AND(ISNUMBER('Data'!$F$7353),'Data'!$F$7353&lt;&gt;999,'Data'!$F$7353&lt;&gt;""),'Data'!$F$7353,"")</f>
        <v/>
      </c>
      <c r="Z7352" t="n">
        <v>1</v>
      </c>
      <c r="AA7352">
        <f>IF(ISNUMBER('IN-CLASS_Lab Part C'!$J$7352),'IN-CLASS_Lab Part C'!$J$7352,NA())</f>
        <v/>
      </c>
    </row>
    <row r="7353">
      <c r="J7353">
        <f>IF(AND(ISNUMBER('Data'!$F$7354),'Data'!$F$7354&lt;&gt;999,'Data'!$F$7354&lt;&gt;""),'Data'!$F$7354,"")</f>
        <v/>
      </c>
      <c r="Z7353" t="n">
        <v>1</v>
      </c>
      <c r="AA7353">
        <f>IF(ISNUMBER('IN-CLASS_Lab Part C'!$J$7353),'IN-CLASS_Lab Part C'!$J$7353,NA())</f>
        <v/>
      </c>
    </row>
    <row r="7354">
      <c r="J7354">
        <f>IF(AND(ISNUMBER('Data'!$F$7355),'Data'!$F$7355&lt;&gt;999,'Data'!$F$7355&lt;&gt;""),'Data'!$F$7355,"")</f>
        <v/>
      </c>
      <c r="Z7354" t="n">
        <v>1</v>
      </c>
      <c r="AA7354">
        <f>IF(ISNUMBER('IN-CLASS_Lab Part C'!$J$7354),'IN-CLASS_Lab Part C'!$J$7354,NA())</f>
        <v/>
      </c>
    </row>
    <row r="7355">
      <c r="J7355">
        <f>IF(AND(ISNUMBER('Data'!$F$7356),'Data'!$F$7356&lt;&gt;999,'Data'!$F$7356&lt;&gt;""),'Data'!$F$7356,"")</f>
        <v/>
      </c>
      <c r="Z7355" t="n">
        <v>1</v>
      </c>
      <c r="AA7355">
        <f>IF(ISNUMBER('IN-CLASS_Lab Part C'!$J$7355),'IN-CLASS_Lab Part C'!$J$7355,NA())</f>
        <v/>
      </c>
    </row>
    <row r="7356">
      <c r="J7356">
        <f>IF(AND(ISNUMBER('Data'!$F$7357),'Data'!$F$7357&lt;&gt;999,'Data'!$F$7357&lt;&gt;""),'Data'!$F$7357,"")</f>
        <v/>
      </c>
      <c r="Z7356" t="n">
        <v>1</v>
      </c>
      <c r="AA7356">
        <f>IF(ISNUMBER('IN-CLASS_Lab Part C'!$J$7356),'IN-CLASS_Lab Part C'!$J$7356,NA())</f>
        <v/>
      </c>
    </row>
    <row r="7357">
      <c r="J7357">
        <f>IF(AND(ISNUMBER('Data'!$F$7358),'Data'!$F$7358&lt;&gt;999,'Data'!$F$7358&lt;&gt;""),'Data'!$F$7358,"")</f>
        <v/>
      </c>
      <c r="Z7357" t="n">
        <v>1</v>
      </c>
      <c r="AA7357">
        <f>IF(ISNUMBER('IN-CLASS_Lab Part C'!$J$7357),'IN-CLASS_Lab Part C'!$J$7357,NA())</f>
        <v/>
      </c>
    </row>
    <row r="7358">
      <c r="J7358">
        <f>IF(AND(ISNUMBER('Data'!$F$7359),'Data'!$F$7359&lt;&gt;999,'Data'!$F$7359&lt;&gt;""),'Data'!$F$7359,"")</f>
        <v/>
      </c>
      <c r="Z7358" t="n">
        <v>1</v>
      </c>
      <c r="AA7358">
        <f>IF(ISNUMBER('IN-CLASS_Lab Part C'!$J$7358),'IN-CLASS_Lab Part C'!$J$7358,NA())</f>
        <v/>
      </c>
    </row>
    <row r="7359">
      <c r="J7359">
        <f>IF(AND(ISNUMBER('Data'!$F$7360),'Data'!$F$7360&lt;&gt;999,'Data'!$F$7360&lt;&gt;""),'Data'!$F$7360,"")</f>
        <v/>
      </c>
      <c r="Z7359" t="n">
        <v>1</v>
      </c>
      <c r="AA7359">
        <f>IF(ISNUMBER('IN-CLASS_Lab Part C'!$J$7359),'IN-CLASS_Lab Part C'!$J$7359,NA())</f>
        <v/>
      </c>
    </row>
    <row r="7360">
      <c r="J7360">
        <f>IF(AND(ISNUMBER('Data'!$F$7361),'Data'!$F$7361&lt;&gt;999,'Data'!$F$7361&lt;&gt;""),'Data'!$F$7361,"")</f>
        <v/>
      </c>
      <c r="Z7360" t="n">
        <v>1</v>
      </c>
      <c r="AA7360">
        <f>IF(ISNUMBER('IN-CLASS_Lab Part C'!$J$7360),'IN-CLASS_Lab Part C'!$J$7360,NA())</f>
        <v/>
      </c>
    </row>
    <row r="7361">
      <c r="J7361">
        <f>IF(AND(ISNUMBER('Data'!$F$7362),'Data'!$F$7362&lt;&gt;999,'Data'!$F$7362&lt;&gt;""),'Data'!$F$7362,"")</f>
        <v/>
      </c>
      <c r="Z7361" t="n">
        <v>1</v>
      </c>
      <c r="AA7361">
        <f>IF(ISNUMBER('IN-CLASS_Lab Part C'!$J$7361),'IN-CLASS_Lab Part C'!$J$7361,NA())</f>
        <v/>
      </c>
    </row>
    <row r="7362">
      <c r="J7362">
        <f>IF(AND(ISNUMBER('Data'!$F$7363),'Data'!$F$7363&lt;&gt;999,'Data'!$F$7363&lt;&gt;""),'Data'!$F$7363,"")</f>
        <v/>
      </c>
      <c r="Z7362" t="n">
        <v>1</v>
      </c>
      <c r="AA7362">
        <f>IF(ISNUMBER('IN-CLASS_Lab Part C'!$J$7362),'IN-CLASS_Lab Part C'!$J$7362,NA())</f>
        <v/>
      </c>
    </row>
    <row r="7363">
      <c r="J7363">
        <f>IF(AND(ISNUMBER('Data'!$F$7364),'Data'!$F$7364&lt;&gt;999,'Data'!$F$7364&lt;&gt;""),'Data'!$F$7364,"")</f>
        <v/>
      </c>
      <c r="Z7363" t="n">
        <v>1</v>
      </c>
      <c r="AA7363">
        <f>IF(ISNUMBER('IN-CLASS_Lab Part C'!$J$7363),'IN-CLASS_Lab Part C'!$J$7363,NA())</f>
        <v/>
      </c>
    </row>
    <row r="7364">
      <c r="J7364">
        <f>IF(AND(ISNUMBER('Data'!$F$7365),'Data'!$F$7365&lt;&gt;999,'Data'!$F$7365&lt;&gt;""),'Data'!$F$7365,"")</f>
        <v/>
      </c>
      <c r="Z7364" t="n">
        <v>1</v>
      </c>
      <c r="AA7364">
        <f>IF(ISNUMBER('IN-CLASS_Lab Part C'!$J$7364),'IN-CLASS_Lab Part C'!$J$7364,NA())</f>
        <v/>
      </c>
    </row>
    <row r="7365">
      <c r="J7365">
        <f>IF(AND(ISNUMBER('Data'!$F$7366),'Data'!$F$7366&lt;&gt;999,'Data'!$F$7366&lt;&gt;""),'Data'!$F$7366,"")</f>
        <v/>
      </c>
      <c r="Z7365" t="n">
        <v>1</v>
      </c>
      <c r="AA7365">
        <f>IF(ISNUMBER('IN-CLASS_Lab Part C'!$J$7365),'IN-CLASS_Lab Part C'!$J$7365,NA())</f>
        <v/>
      </c>
    </row>
    <row r="7366">
      <c r="J7366">
        <f>IF(AND(ISNUMBER('Data'!$F$7367),'Data'!$F$7367&lt;&gt;999,'Data'!$F$7367&lt;&gt;""),'Data'!$F$7367,"")</f>
        <v/>
      </c>
      <c r="Z7366" t="n">
        <v>1</v>
      </c>
      <c r="AA7366">
        <f>IF(ISNUMBER('IN-CLASS_Lab Part C'!$J$7366),'IN-CLASS_Lab Part C'!$J$7366,NA())</f>
        <v/>
      </c>
    </row>
    <row r="7367">
      <c r="J7367">
        <f>IF(AND(ISNUMBER('Data'!$F$7368),'Data'!$F$7368&lt;&gt;999,'Data'!$F$7368&lt;&gt;""),'Data'!$F$7368,"")</f>
        <v/>
      </c>
      <c r="Z7367" t="n">
        <v>1</v>
      </c>
      <c r="AA7367">
        <f>IF(ISNUMBER('IN-CLASS_Lab Part C'!$J$7367),'IN-CLASS_Lab Part C'!$J$7367,NA())</f>
        <v/>
      </c>
    </row>
    <row r="7368">
      <c r="J7368">
        <f>IF(AND(ISNUMBER('Data'!$F$7369),'Data'!$F$7369&lt;&gt;999,'Data'!$F$7369&lt;&gt;""),'Data'!$F$7369,"")</f>
        <v/>
      </c>
      <c r="Z7368" t="n">
        <v>1</v>
      </c>
      <c r="AA7368">
        <f>IF(ISNUMBER('IN-CLASS_Lab Part C'!$J$7368),'IN-CLASS_Lab Part C'!$J$7368,NA())</f>
        <v/>
      </c>
    </row>
    <row r="7369">
      <c r="J7369">
        <f>IF(AND(ISNUMBER('Data'!$F$7370),'Data'!$F$7370&lt;&gt;999,'Data'!$F$7370&lt;&gt;""),'Data'!$F$7370,"")</f>
        <v/>
      </c>
      <c r="Z7369" t="n">
        <v>1</v>
      </c>
      <c r="AA7369">
        <f>IF(ISNUMBER('IN-CLASS_Lab Part C'!$J$7369),'IN-CLASS_Lab Part C'!$J$7369,NA())</f>
        <v/>
      </c>
    </row>
    <row r="7370">
      <c r="J7370">
        <f>IF(AND(ISNUMBER('Data'!$F$7371),'Data'!$F$7371&lt;&gt;999,'Data'!$F$7371&lt;&gt;""),'Data'!$F$7371,"")</f>
        <v/>
      </c>
      <c r="Z7370" t="n">
        <v>1</v>
      </c>
      <c r="AA7370">
        <f>IF(ISNUMBER('IN-CLASS_Lab Part C'!$J$7370),'IN-CLASS_Lab Part C'!$J$7370,NA())</f>
        <v/>
      </c>
    </row>
    <row r="7371">
      <c r="J7371">
        <f>IF(AND(ISNUMBER('Data'!$F$7372),'Data'!$F$7372&lt;&gt;999,'Data'!$F$7372&lt;&gt;""),'Data'!$F$7372,"")</f>
        <v/>
      </c>
      <c r="Z7371" t="n">
        <v>1</v>
      </c>
      <c r="AA7371">
        <f>IF(ISNUMBER('IN-CLASS_Lab Part C'!$J$7371),'IN-CLASS_Lab Part C'!$J$7371,NA())</f>
        <v/>
      </c>
    </row>
    <row r="7372">
      <c r="J7372">
        <f>IF(AND(ISNUMBER('Data'!$F$7373),'Data'!$F$7373&lt;&gt;999,'Data'!$F$7373&lt;&gt;""),'Data'!$F$7373,"")</f>
        <v/>
      </c>
      <c r="Z7372" t="n">
        <v>1</v>
      </c>
      <c r="AA7372">
        <f>IF(ISNUMBER('IN-CLASS_Lab Part C'!$J$7372),'IN-CLASS_Lab Part C'!$J$7372,NA())</f>
        <v/>
      </c>
    </row>
    <row r="7373">
      <c r="J7373">
        <f>IF(AND(ISNUMBER('Data'!$F$7374),'Data'!$F$7374&lt;&gt;999,'Data'!$F$7374&lt;&gt;""),'Data'!$F$7374,"")</f>
        <v/>
      </c>
      <c r="Z7373" t="n">
        <v>1</v>
      </c>
      <c r="AA7373">
        <f>IF(ISNUMBER('IN-CLASS_Lab Part C'!$J$7373),'IN-CLASS_Lab Part C'!$J$7373,NA())</f>
        <v/>
      </c>
    </row>
    <row r="7374">
      <c r="J7374">
        <f>IF(AND(ISNUMBER('Data'!$F$7375),'Data'!$F$7375&lt;&gt;999,'Data'!$F$7375&lt;&gt;""),'Data'!$F$7375,"")</f>
        <v/>
      </c>
      <c r="Z7374" t="n">
        <v>1</v>
      </c>
      <c r="AA7374">
        <f>IF(ISNUMBER('IN-CLASS_Lab Part C'!$J$7374),'IN-CLASS_Lab Part C'!$J$7374,NA())</f>
        <v/>
      </c>
    </row>
    <row r="7375">
      <c r="J7375">
        <f>IF(AND(ISNUMBER('Data'!$F$7376),'Data'!$F$7376&lt;&gt;999,'Data'!$F$7376&lt;&gt;""),'Data'!$F$7376,"")</f>
        <v/>
      </c>
      <c r="Z7375" t="n">
        <v>1</v>
      </c>
      <c r="AA7375">
        <f>IF(ISNUMBER('IN-CLASS_Lab Part C'!$J$7375),'IN-CLASS_Lab Part C'!$J$7375,NA())</f>
        <v/>
      </c>
    </row>
    <row r="7376">
      <c r="J7376">
        <f>IF(AND(ISNUMBER('Data'!$F$7377),'Data'!$F$7377&lt;&gt;999,'Data'!$F$7377&lt;&gt;""),'Data'!$F$7377,"")</f>
        <v/>
      </c>
      <c r="Z7376" t="n">
        <v>1</v>
      </c>
      <c r="AA7376">
        <f>IF(ISNUMBER('IN-CLASS_Lab Part C'!$J$7376),'IN-CLASS_Lab Part C'!$J$7376,NA())</f>
        <v/>
      </c>
    </row>
    <row r="7377">
      <c r="J7377">
        <f>IF(AND(ISNUMBER('Data'!$F$7378),'Data'!$F$7378&lt;&gt;999,'Data'!$F$7378&lt;&gt;""),'Data'!$F$7378,"")</f>
        <v/>
      </c>
      <c r="Z7377" t="n">
        <v>1</v>
      </c>
      <c r="AA7377">
        <f>IF(ISNUMBER('IN-CLASS_Lab Part C'!$J$7377),'IN-CLASS_Lab Part C'!$J$7377,NA())</f>
        <v/>
      </c>
    </row>
    <row r="7378">
      <c r="J7378">
        <f>IF(AND(ISNUMBER('Data'!$F$7379),'Data'!$F$7379&lt;&gt;999,'Data'!$F$7379&lt;&gt;""),'Data'!$F$7379,"")</f>
        <v/>
      </c>
      <c r="Z7378" t="n">
        <v>1</v>
      </c>
      <c r="AA7378">
        <f>IF(ISNUMBER('IN-CLASS_Lab Part C'!$J$7378),'IN-CLASS_Lab Part C'!$J$7378,NA())</f>
        <v/>
      </c>
    </row>
    <row r="7379">
      <c r="J7379">
        <f>IF(AND(ISNUMBER('Data'!$F$7380),'Data'!$F$7380&lt;&gt;999,'Data'!$F$7380&lt;&gt;""),'Data'!$F$7380,"")</f>
        <v/>
      </c>
      <c r="Z7379" t="n">
        <v>1</v>
      </c>
      <c r="AA7379">
        <f>IF(ISNUMBER('IN-CLASS_Lab Part C'!$J$7379),'IN-CLASS_Lab Part C'!$J$7379,NA())</f>
        <v/>
      </c>
    </row>
    <row r="7380">
      <c r="J7380">
        <f>IF(AND(ISNUMBER('Data'!$F$7381),'Data'!$F$7381&lt;&gt;999,'Data'!$F$7381&lt;&gt;""),'Data'!$F$7381,"")</f>
        <v/>
      </c>
      <c r="Z7380" t="n">
        <v>1</v>
      </c>
      <c r="AA7380">
        <f>IF(ISNUMBER('IN-CLASS_Lab Part C'!$J$7380),'IN-CLASS_Lab Part C'!$J$7380,NA())</f>
        <v/>
      </c>
    </row>
    <row r="7381">
      <c r="J7381">
        <f>IF(AND(ISNUMBER('Data'!$F$7382),'Data'!$F$7382&lt;&gt;999,'Data'!$F$7382&lt;&gt;""),'Data'!$F$7382,"")</f>
        <v/>
      </c>
      <c r="Z7381" t="n">
        <v>1</v>
      </c>
      <c r="AA7381">
        <f>IF(ISNUMBER('IN-CLASS_Lab Part C'!$J$7381),'IN-CLASS_Lab Part C'!$J$7381,NA())</f>
        <v/>
      </c>
    </row>
    <row r="7382">
      <c r="J7382">
        <f>IF(AND(ISNUMBER('Data'!$F$7383),'Data'!$F$7383&lt;&gt;999,'Data'!$F$7383&lt;&gt;""),'Data'!$F$7383,"")</f>
        <v/>
      </c>
      <c r="Z7382" t="n">
        <v>1</v>
      </c>
      <c r="AA7382">
        <f>IF(ISNUMBER('IN-CLASS_Lab Part C'!$J$7382),'IN-CLASS_Lab Part C'!$J$7382,NA())</f>
        <v/>
      </c>
    </row>
    <row r="7383">
      <c r="J7383">
        <f>IF(AND(ISNUMBER('Data'!$F$7384),'Data'!$F$7384&lt;&gt;999,'Data'!$F$7384&lt;&gt;""),'Data'!$F$7384,"")</f>
        <v/>
      </c>
      <c r="Z7383" t="n">
        <v>1</v>
      </c>
      <c r="AA7383">
        <f>IF(ISNUMBER('IN-CLASS_Lab Part C'!$J$7383),'IN-CLASS_Lab Part C'!$J$7383,NA())</f>
        <v/>
      </c>
    </row>
    <row r="7384">
      <c r="J7384">
        <f>IF(AND(ISNUMBER('Data'!$F$7385),'Data'!$F$7385&lt;&gt;999,'Data'!$F$7385&lt;&gt;""),'Data'!$F$7385,"")</f>
        <v/>
      </c>
      <c r="Z7384" t="n">
        <v>1</v>
      </c>
      <c r="AA7384">
        <f>IF(ISNUMBER('IN-CLASS_Lab Part C'!$J$7384),'IN-CLASS_Lab Part C'!$J$7384,NA())</f>
        <v/>
      </c>
    </row>
    <row r="7385">
      <c r="J7385">
        <f>IF(AND(ISNUMBER('Data'!$F$7386),'Data'!$F$7386&lt;&gt;999,'Data'!$F$7386&lt;&gt;""),'Data'!$F$7386,"")</f>
        <v/>
      </c>
      <c r="Z7385" t="n">
        <v>1</v>
      </c>
      <c r="AA7385">
        <f>IF(ISNUMBER('IN-CLASS_Lab Part C'!$J$7385),'IN-CLASS_Lab Part C'!$J$7385,NA())</f>
        <v/>
      </c>
    </row>
    <row r="7386">
      <c r="J7386">
        <f>IF(AND(ISNUMBER('Data'!$F$7387),'Data'!$F$7387&lt;&gt;999,'Data'!$F$7387&lt;&gt;""),'Data'!$F$7387,"")</f>
        <v/>
      </c>
      <c r="Z7386" t="n">
        <v>1</v>
      </c>
      <c r="AA7386">
        <f>IF(ISNUMBER('IN-CLASS_Lab Part C'!$J$7386),'IN-CLASS_Lab Part C'!$J$7386,NA())</f>
        <v/>
      </c>
    </row>
    <row r="7387">
      <c r="J7387">
        <f>IF(AND(ISNUMBER('Data'!$F$7388),'Data'!$F$7388&lt;&gt;999,'Data'!$F$7388&lt;&gt;""),'Data'!$F$7388,"")</f>
        <v/>
      </c>
      <c r="Z7387" t="n">
        <v>1</v>
      </c>
      <c r="AA7387">
        <f>IF(ISNUMBER('IN-CLASS_Lab Part C'!$J$7387),'IN-CLASS_Lab Part C'!$J$7387,NA())</f>
        <v/>
      </c>
    </row>
    <row r="7388">
      <c r="J7388">
        <f>IF(AND(ISNUMBER('Data'!$F$7389),'Data'!$F$7389&lt;&gt;999,'Data'!$F$7389&lt;&gt;""),'Data'!$F$7389,"")</f>
        <v/>
      </c>
      <c r="Z7388" t="n">
        <v>1</v>
      </c>
      <c r="AA7388">
        <f>IF(ISNUMBER('IN-CLASS_Lab Part C'!$J$7388),'IN-CLASS_Lab Part C'!$J$7388,NA())</f>
        <v/>
      </c>
    </row>
    <row r="7389">
      <c r="J7389">
        <f>IF(AND(ISNUMBER('Data'!$F$7390),'Data'!$F$7390&lt;&gt;999,'Data'!$F$7390&lt;&gt;""),'Data'!$F$7390,"")</f>
        <v/>
      </c>
      <c r="Z7389" t="n">
        <v>1</v>
      </c>
      <c r="AA7389">
        <f>IF(ISNUMBER('IN-CLASS_Lab Part C'!$J$7389),'IN-CLASS_Lab Part C'!$J$7389,NA())</f>
        <v/>
      </c>
    </row>
    <row r="7390">
      <c r="J7390">
        <f>IF(AND(ISNUMBER('Data'!$F$7391),'Data'!$F$7391&lt;&gt;999,'Data'!$F$7391&lt;&gt;""),'Data'!$F$7391,"")</f>
        <v/>
      </c>
      <c r="Z7390" t="n">
        <v>1</v>
      </c>
      <c r="AA7390">
        <f>IF(ISNUMBER('IN-CLASS_Lab Part C'!$J$7390),'IN-CLASS_Lab Part C'!$J$7390,NA())</f>
        <v/>
      </c>
    </row>
    <row r="7391">
      <c r="J7391">
        <f>IF(AND(ISNUMBER('Data'!$F$7392),'Data'!$F$7392&lt;&gt;999,'Data'!$F$7392&lt;&gt;""),'Data'!$F$7392,"")</f>
        <v/>
      </c>
      <c r="Z7391" t="n">
        <v>1</v>
      </c>
      <c r="AA7391">
        <f>IF(ISNUMBER('IN-CLASS_Lab Part C'!$J$7391),'IN-CLASS_Lab Part C'!$J$7391,NA())</f>
        <v/>
      </c>
    </row>
    <row r="7392">
      <c r="J7392">
        <f>IF(AND(ISNUMBER('Data'!$F$7393),'Data'!$F$7393&lt;&gt;999,'Data'!$F$7393&lt;&gt;""),'Data'!$F$7393,"")</f>
        <v/>
      </c>
      <c r="Z7392" t="n">
        <v>1</v>
      </c>
      <c r="AA7392">
        <f>IF(ISNUMBER('IN-CLASS_Lab Part C'!$J$7392),'IN-CLASS_Lab Part C'!$J$7392,NA())</f>
        <v/>
      </c>
    </row>
    <row r="7393">
      <c r="J7393">
        <f>IF(AND(ISNUMBER('Data'!$F$7394),'Data'!$F$7394&lt;&gt;999,'Data'!$F$7394&lt;&gt;""),'Data'!$F$7394,"")</f>
        <v/>
      </c>
      <c r="Z7393" t="n">
        <v>1</v>
      </c>
      <c r="AA7393">
        <f>IF(ISNUMBER('IN-CLASS_Lab Part C'!$J$7393),'IN-CLASS_Lab Part C'!$J$7393,NA())</f>
        <v/>
      </c>
    </row>
    <row r="7394">
      <c r="J7394">
        <f>IF(AND(ISNUMBER('Data'!$F$7395),'Data'!$F$7395&lt;&gt;999,'Data'!$F$7395&lt;&gt;""),'Data'!$F$7395,"")</f>
        <v/>
      </c>
      <c r="Z7394" t="n">
        <v>1</v>
      </c>
      <c r="AA7394">
        <f>IF(ISNUMBER('IN-CLASS_Lab Part C'!$J$7394),'IN-CLASS_Lab Part C'!$J$7394,NA())</f>
        <v/>
      </c>
    </row>
    <row r="7395">
      <c r="J7395">
        <f>IF(AND(ISNUMBER('Data'!$F$7396),'Data'!$F$7396&lt;&gt;999,'Data'!$F$7396&lt;&gt;""),'Data'!$F$7396,"")</f>
        <v/>
      </c>
      <c r="Z7395" t="n">
        <v>1</v>
      </c>
      <c r="AA7395">
        <f>IF(ISNUMBER('IN-CLASS_Lab Part C'!$J$7395),'IN-CLASS_Lab Part C'!$J$7395,NA())</f>
        <v/>
      </c>
    </row>
    <row r="7396">
      <c r="J7396">
        <f>IF(AND(ISNUMBER('Data'!$F$7397),'Data'!$F$7397&lt;&gt;999,'Data'!$F$7397&lt;&gt;""),'Data'!$F$7397,"")</f>
        <v/>
      </c>
      <c r="Z7396" t="n">
        <v>1</v>
      </c>
      <c r="AA7396">
        <f>IF(ISNUMBER('IN-CLASS_Lab Part C'!$J$7396),'IN-CLASS_Lab Part C'!$J$7396,NA())</f>
        <v/>
      </c>
    </row>
    <row r="7397">
      <c r="J7397">
        <f>IF(AND(ISNUMBER('Data'!$F$7398),'Data'!$F$7398&lt;&gt;999,'Data'!$F$7398&lt;&gt;""),'Data'!$F$7398,"")</f>
        <v/>
      </c>
      <c r="Z7397" t="n">
        <v>1</v>
      </c>
      <c r="AA7397">
        <f>IF(ISNUMBER('IN-CLASS_Lab Part C'!$J$7397),'IN-CLASS_Lab Part C'!$J$7397,NA())</f>
        <v/>
      </c>
    </row>
    <row r="7398">
      <c r="J7398">
        <f>IF(AND(ISNUMBER('Data'!$F$7399),'Data'!$F$7399&lt;&gt;999,'Data'!$F$7399&lt;&gt;""),'Data'!$F$7399,"")</f>
        <v/>
      </c>
      <c r="Z7398" t="n">
        <v>1</v>
      </c>
      <c r="AA7398">
        <f>IF(ISNUMBER('IN-CLASS_Lab Part C'!$J$7398),'IN-CLASS_Lab Part C'!$J$7398,NA())</f>
        <v/>
      </c>
    </row>
    <row r="7399">
      <c r="J7399">
        <f>IF(AND(ISNUMBER('Data'!$F$7400),'Data'!$F$7400&lt;&gt;999,'Data'!$F$7400&lt;&gt;""),'Data'!$F$7400,"")</f>
        <v/>
      </c>
      <c r="Z7399" t="n">
        <v>1</v>
      </c>
      <c r="AA7399">
        <f>IF(ISNUMBER('IN-CLASS_Lab Part C'!$J$7399),'IN-CLASS_Lab Part C'!$J$7399,NA())</f>
        <v/>
      </c>
    </row>
    <row r="7400">
      <c r="J7400">
        <f>IF(AND(ISNUMBER('Data'!$F$7401),'Data'!$F$7401&lt;&gt;999,'Data'!$F$7401&lt;&gt;""),'Data'!$F$7401,"")</f>
        <v/>
      </c>
      <c r="Z7400" t="n">
        <v>1</v>
      </c>
      <c r="AA7400">
        <f>IF(ISNUMBER('IN-CLASS_Lab Part C'!$J$7400),'IN-CLASS_Lab Part C'!$J$7400,NA())</f>
        <v/>
      </c>
    </row>
    <row r="7401">
      <c r="J7401">
        <f>IF(AND(ISNUMBER('Data'!$F$7402),'Data'!$F$7402&lt;&gt;999,'Data'!$F$7402&lt;&gt;""),'Data'!$F$7402,"")</f>
        <v/>
      </c>
      <c r="Z7401" t="n">
        <v>1</v>
      </c>
      <c r="AA7401">
        <f>IF(ISNUMBER('IN-CLASS_Lab Part C'!$J$7401),'IN-CLASS_Lab Part C'!$J$7401,NA())</f>
        <v/>
      </c>
    </row>
    <row r="7402">
      <c r="J7402">
        <f>IF(AND(ISNUMBER('Data'!$F$7403),'Data'!$F$7403&lt;&gt;999,'Data'!$F$7403&lt;&gt;""),'Data'!$F$7403,"")</f>
        <v/>
      </c>
      <c r="Z7402" t="n">
        <v>1</v>
      </c>
      <c r="AA7402">
        <f>IF(ISNUMBER('IN-CLASS_Lab Part C'!$J$7402),'IN-CLASS_Lab Part C'!$J$7402,NA())</f>
        <v/>
      </c>
    </row>
    <row r="7403">
      <c r="J7403">
        <f>IF(AND(ISNUMBER('Data'!$F$7404),'Data'!$F$7404&lt;&gt;999,'Data'!$F$7404&lt;&gt;""),'Data'!$F$7404,"")</f>
        <v/>
      </c>
      <c r="Z7403" t="n">
        <v>1</v>
      </c>
      <c r="AA7403">
        <f>IF(ISNUMBER('IN-CLASS_Lab Part C'!$J$7403),'IN-CLASS_Lab Part C'!$J$7403,NA())</f>
        <v/>
      </c>
    </row>
    <row r="7404">
      <c r="J7404">
        <f>IF(AND(ISNUMBER('Data'!$F$7405),'Data'!$F$7405&lt;&gt;999,'Data'!$F$7405&lt;&gt;""),'Data'!$F$7405,"")</f>
        <v/>
      </c>
      <c r="Z7404" t="n">
        <v>1</v>
      </c>
      <c r="AA7404">
        <f>IF(ISNUMBER('IN-CLASS_Lab Part C'!$J$7404),'IN-CLASS_Lab Part C'!$J$7404,NA())</f>
        <v/>
      </c>
    </row>
    <row r="7405">
      <c r="J7405">
        <f>IF(AND(ISNUMBER('Data'!$F$7406),'Data'!$F$7406&lt;&gt;999,'Data'!$F$7406&lt;&gt;""),'Data'!$F$7406,"")</f>
        <v/>
      </c>
      <c r="Z7405" t="n">
        <v>1</v>
      </c>
      <c r="AA7405">
        <f>IF(ISNUMBER('IN-CLASS_Lab Part C'!$J$7405),'IN-CLASS_Lab Part C'!$J$7405,NA())</f>
        <v/>
      </c>
    </row>
    <row r="7406">
      <c r="J7406">
        <f>IF(AND(ISNUMBER('Data'!$F$7407),'Data'!$F$7407&lt;&gt;999,'Data'!$F$7407&lt;&gt;""),'Data'!$F$7407,"")</f>
        <v/>
      </c>
      <c r="Z7406" t="n">
        <v>1</v>
      </c>
      <c r="AA7406">
        <f>IF(ISNUMBER('IN-CLASS_Lab Part C'!$J$7406),'IN-CLASS_Lab Part C'!$J$7406,NA())</f>
        <v/>
      </c>
    </row>
    <row r="7407">
      <c r="J7407">
        <f>IF(AND(ISNUMBER('Data'!$F$7408),'Data'!$F$7408&lt;&gt;999,'Data'!$F$7408&lt;&gt;""),'Data'!$F$7408,"")</f>
        <v/>
      </c>
      <c r="Z7407" t="n">
        <v>1</v>
      </c>
      <c r="AA7407">
        <f>IF(ISNUMBER('IN-CLASS_Lab Part C'!$J$7407),'IN-CLASS_Lab Part C'!$J$7407,NA())</f>
        <v/>
      </c>
    </row>
    <row r="7408">
      <c r="J7408">
        <f>IF(AND(ISNUMBER('Data'!$F$7409),'Data'!$F$7409&lt;&gt;999,'Data'!$F$7409&lt;&gt;""),'Data'!$F$7409,"")</f>
        <v/>
      </c>
      <c r="Z7408" t="n">
        <v>1</v>
      </c>
      <c r="AA7408">
        <f>IF(ISNUMBER('IN-CLASS_Lab Part C'!$J$7408),'IN-CLASS_Lab Part C'!$J$7408,NA())</f>
        <v/>
      </c>
    </row>
    <row r="7409">
      <c r="J7409">
        <f>IF(AND(ISNUMBER('Data'!$F$7410),'Data'!$F$7410&lt;&gt;999,'Data'!$F$7410&lt;&gt;""),'Data'!$F$7410,"")</f>
        <v/>
      </c>
      <c r="Z7409" t="n">
        <v>1</v>
      </c>
      <c r="AA7409">
        <f>IF(ISNUMBER('IN-CLASS_Lab Part C'!$J$7409),'IN-CLASS_Lab Part C'!$J$7409,NA())</f>
        <v/>
      </c>
    </row>
    <row r="7410">
      <c r="J7410">
        <f>IF(AND(ISNUMBER('Data'!$F$7411),'Data'!$F$7411&lt;&gt;999,'Data'!$F$7411&lt;&gt;""),'Data'!$F$7411,"")</f>
        <v/>
      </c>
      <c r="Z7410" t="n">
        <v>1</v>
      </c>
      <c r="AA7410">
        <f>IF(ISNUMBER('IN-CLASS_Lab Part C'!$J$7410),'IN-CLASS_Lab Part C'!$J$7410,NA())</f>
        <v/>
      </c>
    </row>
    <row r="7411">
      <c r="J7411">
        <f>IF(AND(ISNUMBER('Data'!$F$7412),'Data'!$F$7412&lt;&gt;999,'Data'!$F$7412&lt;&gt;""),'Data'!$F$7412,"")</f>
        <v/>
      </c>
      <c r="Z7411" t="n">
        <v>1</v>
      </c>
      <c r="AA7411">
        <f>IF(ISNUMBER('IN-CLASS_Lab Part C'!$J$7411),'IN-CLASS_Lab Part C'!$J$7411,NA())</f>
        <v/>
      </c>
    </row>
    <row r="7412">
      <c r="J7412">
        <f>IF(AND(ISNUMBER('Data'!$F$7413),'Data'!$F$7413&lt;&gt;999,'Data'!$F$7413&lt;&gt;""),'Data'!$F$7413,"")</f>
        <v/>
      </c>
      <c r="Z7412" t="n">
        <v>1</v>
      </c>
      <c r="AA7412">
        <f>IF(ISNUMBER('IN-CLASS_Lab Part C'!$J$7412),'IN-CLASS_Lab Part C'!$J$7412,NA())</f>
        <v/>
      </c>
    </row>
    <row r="7413">
      <c r="J7413">
        <f>IF(AND(ISNUMBER('Data'!$F$7414),'Data'!$F$7414&lt;&gt;999,'Data'!$F$7414&lt;&gt;""),'Data'!$F$7414,"")</f>
        <v/>
      </c>
      <c r="Z7413" t="n">
        <v>1</v>
      </c>
      <c r="AA7413">
        <f>IF(ISNUMBER('IN-CLASS_Lab Part C'!$J$7413),'IN-CLASS_Lab Part C'!$J$7413,NA())</f>
        <v/>
      </c>
    </row>
    <row r="7414">
      <c r="J7414">
        <f>IF(AND(ISNUMBER('Data'!$F$7415),'Data'!$F$7415&lt;&gt;999,'Data'!$F$7415&lt;&gt;""),'Data'!$F$7415,"")</f>
        <v/>
      </c>
      <c r="Z7414" t="n">
        <v>1</v>
      </c>
      <c r="AA7414">
        <f>IF(ISNUMBER('IN-CLASS_Lab Part C'!$J$7414),'IN-CLASS_Lab Part C'!$J$7414,NA())</f>
        <v/>
      </c>
    </row>
    <row r="7415">
      <c r="J7415">
        <f>IF(AND(ISNUMBER('Data'!$F$7416),'Data'!$F$7416&lt;&gt;999,'Data'!$F$7416&lt;&gt;""),'Data'!$F$7416,"")</f>
        <v/>
      </c>
      <c r="Z7415" t="n">
        <v>1</v>
      </c>
      <c r="AA7415">
        <f>IF(ISNUMBER('IN-CLASS_Lab Part C'!$J$7415),'IN-CLASS_Lab Part C'!$J$7415,NA())</f>
        <v/>
      </c>
    </row>
    <row r="7416">
      <c r="J7416">
        <f>IF(AND(ISNUMBER('Data'!$F$7417),'Data'!$F$7417&lt;&gt;999,'Data'!$F$7417&lt;&gt;""),'Data'!$F$7417,"")</f>
        <v/>
      </c>
      <c r="Z7416" t="n">
        <v>1</v>
      </c>
      <c r="AA7416">
        <f>IF(ISNUMBER('IN-CLASS_Lab Part C'!$J$7416),'IN-CLASS_Lab Part C'!$J$7416,NA())</f>
        <v/>
      </c>
    </row>
    <row r="7417">
      <c r="J7417">
        <f>IF(AND(ISNUMBER('Data'!$F$7418),'Data'!$F$7418&lt;&gt;999,'Data'!$F$7418&lt;&gt;""),'Data'!$F$7418,"")</f>
        <v/>
      </c>
      <c r="Z7417" t="n">
        <v>1</v>
      </c>
      <c r="AA7417">
        <f>IF(ISNUMBER('IN-CLASS_Lab Part C'!$J$7417),'IN-CLASS_Lab Part C'!$J$7417,NA())</f>
        <v/>
      </c>
    </row>
    <row r="7418">
      <c r="J7418">
        <f>IF(AND(ISNUMBER('Data'!$F$7419),'Data'!$F$7419&lt;&gt;999,'Data'!$F$7419&lt;&gt;""),'Data'!$F$7419,"")</f>
        <v/>
      </c>
      <c r="Z7418" t="n">
        <v>1</v>
      </c>
      <c r="AA7418">
        <f>IF(ISNUMBER('IN-CLASS_Lab Part C'!$J$7418),'IN-CLASS_Lab Part C'!$J$7418,NA())</f>
        <v/>
      </c>
    </row>
    <row r="7419">
      <c r="J7419">
        <f>IF(AND(ISNUMBER('Data'!$F$7420),'Data'!$F$7420&lt;&gt;999,'Data'!$F$7420&lt;&gt;""),'Data'!$F$7420,"")</f>
        <v/>
      </c>
      <c r="Z7419" t="n">
        <v>1</v>
      </c>
      <c r="AA7419">
        <f>IF(ISNUMBER('IN-CLASS_Lab Part C'!$J$7419),'IN-CLASS_Lab Part C'!$J$7419,NA())</f>
        <v/>
      </c>
    </row>
    <row r="7420">
      <c r="J7420">
        <f>IF(AND(ISNUMBER('Data'!$F$7421),'Data'!$F$7421&lt;&gt;999,'Data'!$F$7421&lt;&gt;""),'Data'!$F$7421,"")</f>
        <v/>
      </c>
      <c r="Z7420" t="n">
        <v>1</v>
      </c>
      <c r="AA7420">
        <f>IF(ISNUMBER('IN-CLASS_Lab Part C'!$J$7420),'IN-CLASS_Lab Part C'!$J$7420,NA())</f>
        <v/>
      </c>
    </row>
    <row r="7421">
      <c r="J7421">
        <f>IF(AND(ISNUMBER('Data'!$F$7422),'Data'!$F$7422&lt;&gt;999,'Data'!$F$7422&lt;&gt;""),'Data'!$F$7422,"")</f>
        <v/>
      </c>
      <c r="Z7421" t="n">
        <v>1</v>
      </c>
      <c r="AA7421">
        <f>IF(ISNUMBER('IN-CLASS_Lab Part C'!$J$7421),'IN-CLASS_Lab Part C'!$J$7421,NA())</f>
        <v/>
      </c>
    </row>
    <row r="7422">
      <c r="J7422">
        <f>IF(AND(ISNUMBER('Data'!$F$7423),'Data'!$F$7423&lt;&gt;999,'Data'!$F$7423&lt;&gt;""),'Data'!$F$7423,"")</f>
        <v/>
      </c>
      <c r="Z7422" t="n">
        <v>1</v>
      </c>
      <c r="AA7422">
        <f>IF(ISNUMBER('IN-CLASS_Lab Part C'!$J$7422),'IN-CLASS_Lab Part C'!$J$7422,NA())</f>
        <v/>
      </c>
    </row>
    <row r="7423">
      <c r="J7423">
        <f>IF(AND(ISNUMBER('Data'!$F$7424),'Data'!$F$7424&lt;&gt;999,'Data'!$F$7424&lt;&gt;""),'Data'!$F$7424,"")</f>
        <v/>
      </c>
      <c r="Z7423" t="n">
        <v>1</v>
      </c>
      <c r="AA7423">
        <f>IF(ISNUMBER('IN-CLASS_Lab Part C'!$J$7423),'IN-CLASS_Lab Part C'!$J$7423,NA())</f>
        <v/>
      </c>
    </row>
    <row r="7424">
      <c r="J7424">
        <f>IF(AND(ISNUMBER('Data'!$F$7425),'Data'!$F$7425&lt;&gt;999,'Data'!$F$7425&lt;&gt;""),'Data'!$F$7425,"")</f>
        <v/>
      </c>
      <c r="Z7424" t="n">
        <v>1</v>
      </c>
      <c r="AA7424">
        <f>IF(ISNUMBER('IN-CLASS_Lab Part C'!$J$7424),'IN-CLASS_Lab Part C'!$J$7424,NA())</f>
        <v/>
      </c>
    </row>
    <row r="7425">
      <c r="J7425">
        <f>IF(AND(ISNUMBER('Data'!$F$7426),'Data'!$F$7426&lt;&gt;999,'Data'!$F$7426&lt;&gt;""),'Data'!$F$7426,"")</f>
        <v/>
      </c>
      <c r="Z7425" t="n">
        <v>1</v>
      </c>
      <c r="AA7425">
        <f>IF(ISNUMBER('IN-CLASS_Lab Part C'!$J$7425),'IN-CLASS_Lab Part C'!$J$7425,NA())</f>
        <v/>
      </c>
    </row>
    <row r="7426">
      <c r="J7426">
        <f>IF(AND(ISNUMBER('Data'!$F$7427),'Data'!$F$7427&lt;&gt;999,'Data'!$F$7427&lt;&gt;""),'Data'!$F$7427,"")</f>
        <v/>
      </c>
      <c r="Z7426" t="n">
        <v>1</v>
      </c>
      <c r="AA7426">
        <f>IF(ISNUMBER('IN-CLASS_Lab Part C'!$J$7426),'IN-CLASS_Lab Part C'!$J$7426,NA())</f>
        <v/>
      </c>
    </row>
    <row r="7427">
      <c r="J7427">
        <f>IF(AND(ISNUMBER('Data'!$F$7428),'Data'!$F$7428&lt;&gt;999,'Data'!$F$7428&lt;&gt;""),'Data'!$F$7428,"")</f>
        <v/>
      </c>
      <c r="Z7427" t="n">
        <v>1</v>
      </c>
      <c r="AA7427">
        <f>IF(ISNUMBER('IN-CLASS_Lab Part C'!$J$7427),'IN-CLASS_Lab Part C'!$J$7427,NA())</f>
        <v/>
      </c>
    </row>
    <row r="7428">
      <c r="J7428">
        <f>IF(AND(ISNUMBER('Data'!$F$7429),'Data'!$F$7429&lt;&gt;999,'Data'!$F$7429&lt;&gt;""),'Data'!$F$7429,"")</f>
        <v/>
      </c>
      <c r="Z7428" t="n">
        <v>1</v>
      </c>
      <c r="AA7428">
        <f>IF(ISNUMBER('IN-CLASS_Lab Part C'!$J$7428),'IN-CLASS_Lab Part C'!$J$7428,NA())</f>
        <v/>
      </c>
    </row>
    <row r="7429">
      <c r="J7429">
        <f>IF(AND(ISNUMBER('Data'!$F$7430),'Data'!$F$7430&lt;&gt;999,'Data'!$F$7430&lt;&gt;""),'Data'!$F$7430,"")</f>
        <v/>
      </c>
      <c r="Z7429" t="n">
        <v>1</v>
      </c>
      <c r="AA7429">
        <f>IF(ISNUMBER('IN-CLASS_Lab Part C'!$J$7429),'IN-CLASS_Lab Part C'!$J$7429,NA())</f>
        <v/>
      </c>
    </row>
    <row r="7430">
      <c r="J7430">
        <f>IF(AND(ISNUMBER('Data'!$F$7431),'Data'!$F$7431&lt;&gt;999,'Data'!$F$7431&lt;&gt;""),'Data'!$F$7431,"")</f>
        <v/>
      </c>
      <c r="Z7430" t="n">
        <v>1</v>
      </c>
      <c r="AA7430">
        <f>IF(ISNUMBER('IN-CLASS_Lab Part C'!$J$7430),'IN-CLASS_Lab Part C'!$J$7430,NA())</f>
        <v/>
      </c>
    </row>
    <row r="7431">
      <c r="J7431">
        <f>IF(AND(ISNUMBER('Data'!$F$7432),'Data'!$F$7432&lt;&gt;999,'Data'!$F$7432&lt;&gt;""),'Data'!$F$7432,"")</f>
        <v/>
      </c>
      <c r="Z7431" t="n">
        <v>1</v>
      </c>
      <c r="AA7431">
        <f>IF(ISNUMBER('IN-CLASS_Lab Part C'!$J$7431),'IN-CLASS_Lab Part C'!$J$7431,NA())</f>
        <v/>
      </c>
    </row>
    <row r="7432">
      <c r="J7432">
        <f>IF(AND(ISNUMBER('Data'!$F$7433),'Data'!$F$7433&lt;&gt;999,'Data'!$F$7433&lt;&gt;""),'Data'!$F$7433,"")</f>
        <v/>
      </c>
      <c r="Z7432" t="n">
        <v>1</v>
      </c>
      <c r="AA7432">
        <f>IF(ISNUMBER('IN-CLASS_Lab Part C'!$J$7432),'IN-CLASS_Lab Part C'!$J$7432,NA())</f>
        <v/>
      </c>
    </row>
    <row r="7433">
      <c r="J7433">
        <f>IF(AND(ISNUMBER('Data'!$F$7434),'Data'!$F$7434&lt;&gt;999,'Data'!$F$7434&lt;&gt;""),'Data'!$F$7434,"")</f>
        <v/>
      </c>
      <c r="Z7433" t="n">
        <v>1</v>
      </c>
      <c r="AA7433">
        <f>IF(ISNUMBER('IN-CLASS_Lab Part C'!$J$7433),'IN-CLASS_Lab Part C'!$J$7433,NA())</f>
        <v/>
      </c>
    </row>
    <row r="7434">
      <c r="J7434">
        <f>IF(AND(ISNUMBER('Data'!$F$7435),'Data'!$F$7435&lt;&gt;999,'Data'!$F$7435&lt;&gt;""),'Data'!$F$7435,"")</f>
        <v/>
      </c>
      <c r="Z7434" t="n">
        <v>1</v>
      </c>
      <c r="AA7434">
        <f>IF(ISNUMBER('IN-CLASS_Lab Part C'!$J$7434),'IN-CLASS_Lab Part C'!$J$7434,NA())</f>
        <v/>
      </c>
    </row>
    <row r="7435">
      <c r="J7435">
        <f>IF(AND(ISNUMBER('Data'!$F$7436),'Data'!$F$7436&lt;&gt;999,'Data'!$F$7436&lt;&gt;""),'Data'!$F$7436,"")</f>
        <v/>
      </c>
      <c r="Z7435" t="n">
        <v>1</v>
      </c>
      <c r="AA7435">
        <f>IF(ISNUMBER('IN-CLASS_Lab Part C'!$J$7435),'IN-CLASS_Lab Part C'!$J$7435,NA())</f>
        <v/>
      </c>
    </row>
    <row r="7436">
      <c r="J7436">
        <f>IF(AND(ISNUMBER('Data'!$F$7437),'Data'!$F$7437&lt;&gt;999,'Data'!$F$7437&lt;&gt;""),'Data'!$F$7437,"")</f>
        <v/>
      </c>
      <c r="Z7436" t="n">
        <v>1</v>
      </c>
      <c r="AA7436">
        <f>IF(ISNUMBER('IN-CLASS_Lab Part C'!$J$7436),'IN-CLASS_Lab Part C'!$J$7436,NA())</f>
        <v/>
      </c>
    </row>
    <row r="7437">
      <c r="J7437">
        <f>IF(AND(ISNUMBER('Data'!$F$7438),'Data'!$F$7438&lt;&gt;999,'Data'!$F$7438&lt;&gt;""),'Data'!$F$7438,"")</f>
        <v/>
      </c>
      <c r="Z7437" t="n">
        <v>1</v>
      </c>
      <c r="AA7437">
        <f>IF(ISNUMBER('IN-CLASS_Lab Part C'!$J$7437),'IN-CLASS_Lab Part C'!$J$7437,NA())</f>
        <v/>
      </c>
    </row>
    <row r="7438">
      <c r="J7438">
        <f>IF(AND(ISNUMBER('Data'!$F$7439),'Data'!$F$7439&lt;&gt;999,'Data'!$F$7439&lt;&gt;""),'Data'!$F$7439,"")</f>
        <v/>
      </c>
      <c r="Z7438" t="n">
        <v>1</v>
      </c>
      <c r="AA7438">
        <f>IF(ISNUMBER('IN-CLASS_Lab Part C'!$J$7438),'IN-CLASS_Lab Part C'!$J$7438,NA())</f>
        <v/>
      </c>
    </row>
    <row r="7439">
      <c r="J7439">
        <f>IF(AND(ISNUMBER('Data'!$F$7440),'Data'!$F$7440&lt;&gt;999,'Data'!$F$7440&lt;&gt;""),'Data'!$F$7440,"")</f>
        <v/>
      </c>
      <c r="Z7439" t="n">
        <v>1</v>
      </c>
      <c r="AA7439">
        <f>IF(ISNUMBER('IN-CLASS_Lab Part C'!$J$7439),'IN-CLASS_Lab Part C'!$J$7439,NA())</f>
        <v/>
      </c>
    </row>
    <row r="7440">
      <c r="J7440">
        <f>IF(AND(ISNUMBER('Data'!$F$7441),'Data'!$F$7441&lt;&gt;999,'Data'!$F$7441&lt;&gt;""),'Data'!$F$7441,"")</f>
        <v/>
      </c>
      <c r="Z7440" t="n">
        <v>1</v>
      </c>
      <c r="AA7440">
        <f>IF(ISNUMBER('IN-CLASS_Lab Part C'!$J$7440),'IN-CLASS_Lab Part C'!$J$7440,NA())</f>
        <v/>
      </c>
    </row>
    <row r="7441">
      <c r="J7441">
        <f>IF(AND(ISNUMBER('Data'!$F$7442),'Data'!$F$7442&lt;&gt;999,'Data'!$F$7442&lt;&gt;""),'Data'!$F$7442,"")</f>
        <v/>
      </c>
      <c r="Z7441" t="n">
        <v>1</v>
      </c>
      <c r="AA7441">
        <f>IF(ISNUMBER('IN-CLASS_Lab Part C'!$J$7441),'IN-CLASS_Lab Part C'!$J$7441,NA())</f>
        <v/>
      </c>
    </row>
    <row r="7442">
      <c r="J7442">
        <f>IF(AND(ISNUMBER('Data'!$F$7443),'Data'!$F$7443&lt;&gt;999,'Data'!$F$7443&lt;&gt;""),'Data'!$F$7443,"")</f>
        <v/>
      </c>
      <c r="Z7442" t="n">
        <v>1</v>
      </c>
      <c r="AA7442">
        <f>IF(ISNUMBER('IN-CLASS_Lab Part C'!$J$7442),'IN-CLASS_Lab Part C'!$J$7442,NA())</f>
        <v/>
      </c>
    </row>
    <row r="7443">
      <c r="J7443">
        <f>IF(AND(ISNUMBER('Data'!$F$7444),'Data'!$F$7444&lt;&gt;999,'Data'!$F$7444&lt;&gt;""),'Data'!$F$7444,"")</f>
        <v/>
      </c>
      <c r="Z7443" t="n">
        <v>1</v>
      </c>
      <c r="AA7443">
        <f>IF(ISNUMBER('IN-CLASS_Lab Part C'!$J$7443),'IN-CLASS_Lab Part C'!$J$7443,NA())</f>
        <v/>
      </c>
    </row>
    <row r="7444">
      <c r="J7444">
        <f>IF(AND(ISNUMBER('Data'!$F$7445),'Data'!$F$7445&lt;&gt;999,'Data'!$F$7445&lt;&gt;""),'Data'!$F$7445,"")</f>
        <v/>
      </c>
      <c r="Z7444" t="n">
        <v>1</v>
      </c>
      <c r="AA7444">
        <f>IF(ISNUMBER('IN-CLASS_Lab Part C'!$J$7444),'IN-CLASS_Lab Part C'!$J$7444,NA())</f>
        <v/>
      </c>
    </row>
    <row r="7445">
      <c r="J7445">
        <f>IF(AND(ISNUMBER('Data'!$F$7446),'Data'!$F$7446&lt;&gt;999,'Data'!$F$7446&lt;&gt;""),'Data'!$F$7446,"")</f>
        <v/>
      </c>
      <c r="Z7445" t="n">
        <v>1</v>
      </c>
      <c r="AA7445">
        <f>IF(ISNUMBER('IN-CLASS_Lab Part C'!$J$7445),'IN-CLASS_Lab Part C'!$J$7445,NA())</f>
        <v/>
      </c>
    </row>
    <row r="7446">
      <c r="J7446">
        <f>IF(AND(ISNUMBER('Data'!$F$7447),'Data'!$F$7447&lt;&gt;999,'Data'!$F$7447&lt;&gt;""),'Data'!$F$7447,"")</f>
        <v/>
      </c>
      <c r="Z7446" t="n">
        <v>1</v>
      </c>
      <c r="AA7446">
        <f>IF(ISNUMBER('IN-CLASS_Lab Part C'!$J$7446),'IN-CLASS_Lab Part C'!$J$7446,NA())</f>
        <v/>
      </c>
    </row>
    <row r="7447">
      <c r="J7447">
        <f>IF(AND(ISNUMBER('Data'!$F$7448),'Data'!$F$7448&lt;&gt;999,'Data'!$F$7448&lt;&gt;""),'Data'!$F$7448,"")</f>
        <v/>
      </c>
      <c r="Z7447" t="n">
        <v>1</v>
      </c>
      <c r="AA7447">
        <f>IF(ISNUMBER('IN-CLASS_Lab Part C'!$J$7447),'IN-CLASS_Lab Part C'!$J$7447,NA())</f>
        <v/>
      </c>
    </row>
    <row r="7448">
      <c r="J7448">
        <f>IF(AND(ISNUMBER('Data'!$F$7449),'Data'!$F$7449&lt;&gt;999,'Data'!$F$7449&lt;&gt;""),'Data'!$F$7449,"")</f>
        <v/>
      </c>
      <c r="Z7448" t="n">
        <v>1</v>
      </c>
      <c r="AA7448">
        <f>IF(ISNUMBER('IN-CLASS_Lab Part C'!$J$7448),'IN-CLASS_Lab Part C'!$J$7448,NA())</f>
        <v/>
      </c>
    </row>
    <row r="7449">
      <c r="J7449">
        <f>IF(AND(ISNUMBER('Data'!$F$7450),'Data'!$F$7450&lt;&gt;999,'Data'!$F$7450&lt;&gt;""),'Data'!$F$7450,"")</f>
        <v/>
      </c>
      <c r="Z7449" t="n">
        <v>1</v>
      </c>
      <c r="AA7449">
        <f>IF(ISNUMBER('IN-CLASS_Lab Part C'!$J$7449),'IN-CLASS_Lab Part C'!$J$7449,NA())</f>
        <v/>
      </c>
    </row>
    <row r="7450">
      <c r="J7450">
        <f>IF(AND(ISNUMBER('Data'!$F$7451),'Data'!$F$7451&lt;&gt;999,'Data'!$F$7451&lt;&gt;""),'Data'!$F$7451,"")</f>
        <v/>
      </c>
      <c r="Z7450" t="n">
        <v>1</v>
      </c>
      <c r="AA7450">
        <f>IF(ISNUMBER('IN-CLASS_Lab Part C'!$J$7450),'IN-CLASS_Lab Part C'!$J$7450,NA())</f>
        <v/>
      </c>
    </row>
    <row r="7451">
      <c r="J7451">
        <f>IF(AND(ISNUMBER('Data'!$F$7452),'Data'!$F$7452&lt;&gt;999,'Data'!$F$7452&lt;&gt;""),'Data'!$F$7452,"")</f>
        <v/>
      </c>
      <c r="Z7451" t="n">
        <v>1</v>
      </c>
      <c r="AA7451">
        <f>IF(ISNUMBER('IN-CLASS_Lab Part C'!$J$7451),'IN-CLASS_Lab Part C'!$J$7451,NA())</f>
        <v/>
      </c>
    </row>
    <row r="7452">
      <c r="J7452">
        <f>IF(AND(ISNUMBER('Data'!$F$7453),'Data'!$F$7453&lt;&gt;999,'Data'!$F$7453&lt;&gt;""),'Data'!$F$7453,"")</f>
        <v/>
      </c>
      <c r="Z7452" t="n">
        <v>1</v>
      </c>
      <c r="AA7452">
        <f>IF(ISNUMBER('IN-CLASS_Lab Part C'!$J$7452),'IN-CLASS_Lab Part C'!$J$7452,NA())</f>
        <v/>
      </c>
    </row>
    <row r="7453">
      <c r="J7453">
        <f>IF(AND(ISNUMBER('Data'!$F$7454),'Data'!$F$7454&lt;&gt;999,'Data'!$F$7454&lt;&gt;""),'Data'!$F$7454,"")</f>
        <v/>
      </c>
      <c r="Z7453" t="n">
        <v>1</v>
      </c>
      <c r="AA7453">
        <f>IF(ISNUMBER('IN-CLASS_Lab Part C'!$J$7453),'IN-CLASS_Lab Part C'!$J$7453,NA())</f>
        <v/>
      </c>
    </row>
    <row r="7454">
      <c r="J7454">
        <f>IF(AND(ISNUMBER('Data'!$F$7455),'Data'!$F$7455&lt;&gt;999,'Data'!$F$7455&lt;&gt;""),'Data'!$F$7455,"")</f>
        <v/>
      </c>
      <c r="Z7454" t="n">
        <v>1</v>
      </c>
      <c r="AA7454">
        <f>IF(ISNUMBER('IN-CLASS_Lab Part C'!$J$7454),'IN-CLASS_Lab Part C'!$J$7454,NA())</f>
        <v/>
      </c>
    </row>
    <row r="7455">
      <c r="J7455">
        <f>IF(AND(ISNUMBER('Data'!$F$7456),'Data'!$F$7456&lt;&gt;999,'Data'!$F$7456&lt;&gt;""),'Data'!$F$7456,"")</f>
        <v/>
      </c>
      <c r="Z7455" t="n">
        <v>1</v>
      </c>
      <c r="AA7455">
        <f>IF(ISNUMBER('IN-CLASS_Lab Part C'!$J$7455),'IN-CLASS_Lab Part C'!$J$7455,NA())</f>
        <v/>
      </c>
    </row>
    <row r="7456">
      <c r="J7456">
        <f>IF(AND(ISNUMBER('Data'!$F$7457),'Data'!$F$7457&lt;&gt;999,'Data'!$F$7457&lt;&gt;""),'Data'!$F$7457,"")</f>
        <v/>
      </c>
      <c r="Z7456" t="n">
        <v>1</v>
      </c>
      <c r="AA7456">
        <f>IF(ISNUMBER('IN-CLASS_Lab Part C'!$J$7456),'IN-CLASS_Lab Part C'!$J$7456,NA())</f>
        <v/>
      </c>
    </row>
    <row r="7457">
      <c r="J7457">
        <f>IF(AND(ISNUMBER('Data'!$F$7458),'Data'!$F$7458&lt;&gt;999,'Data'!$F$7458&lt;&gt;""),'Data'!$F$7458,"")</f>
        <v/>
      </c>
      <c r="Z7457" t="n">
        <v>1</v>
      </c>
      <c r="AA7457">
        <f>IF(ISNUMBER('IN-CLASS_Lab Part C'!$J$7457),'IN-CLASS_Lab Part C'!$J$7457,NA())</f>
        <v/>
      </c>
    </row>
    <row r="7458">
      <c r="J7458">
        <f>IF(AND(ISNUMBER('Data'!$F$7459),'Data'!$F$7459&lt;&gt;999,'Data'!$F$7459&lt;&gt;""),'Data'!$F$7459,"")</f>
        <v/>
      </c>
      <c r="Z7458" t="n">
        <v>1</v>
      </c>
      <c r="AA7458">
        <f>IF(ISNUMBER('IN-CLASS_Lab Part C'!$J$7458),'IN-CLASS_Lab Part C'!$J$7458,NA())</f>
        <v/>
      </c>
    </row>
    <row r="7459">
      <c r="J7459">
        <f>IF(AND(ISNUMBER('Data'!$F$7460),'Data'!$F$7460&lt;&gt;999,'Data'!$F$7460&lt;&gt;""),'Data'!$F$7460,"")</f>
        <v/>
      </c>
      <c r="Z7459" t="n">
        <v>1</v>
      </c>
      <c r="AA7459">
        <f>IF(ISNUMBER('IN-CLASS_Lab Part C'!$J$7459),'IN-CLASS_Lab Part C'!$J$7459,NA())</f>
        <v/>
      </c>
    </row>
    <row r="7460">
      <c r="J7460">
        <f>IF(AND(ISNUMBER('Data'!$F$7461),'Data'!$F$7461&lt;&gt;999,'Data'!$F$7461&lt;&gt;""),'Data'!$F$7461,"")</f>
        <v/>
      </c>
      <c r="Z7460" t="n">
        <v>1</v>
      </c>
      <c r="AA7460">
        <f>IF(ISNUMBER('IN-CLASS_Lab Part C'!$J$7460),'IN-CLASS_Lab Part C'!$J$7460,NA())</f>
        <v/>
      </c>
    </row>
    <row r="7461">
      <c r="J7461">
        <f>IF(AND(ISNUMBER('Data'!$F$7462),'Data'!$F$7462&lt;&gt;999,'Data'!$F$7462&lt;&gt;""),'Data'!$F$7462,"")</f>
        <v/>
      </c>
      <c r="Z7461" t="n">
        <v>1</v>
      </c>
      <c r="AA7461">
        <f>IF(ISNUMBER('IN-CLASS_Lab Part C'!$J$7461),'IN-CLASS_Lab Part C'!$J$7461,NA())</f>
        <v/>
      </c>
    </row>
    <row r="7462">
      <c r="J7462">
        <f>IF(AND(ISNUMBER('Data'!$F$7463),'Data'!$F$7463&lt;&gt;999,'Data'!$F$7463&lt;&gt;""),'Data'!$F$7463,"")</f>
        <v/>
      </c>
      <c r="Z7462" t="n">
        <v>1</v>
      </c>
      <c r="AA7462">
        <f>IF(ISNUMBER('IN-CLASS_Lab Part C'!$J$7462),'IN-CLASS_Lab Part C'!$J$7462,NA())</f>
        <v/>
      </c>
    </row>
    <row r="7463">
      <c r="J7463">
        <f>IF(AND(ISNUMBER('Data'!$F$7464),'Data'!$F$7464&lt;&gt;999,'Data'!$F$7464&lt;&gt;""),'Data'!$F$7464,"")</f>
        <v/>
      </c>
      <c r="Z7463" t="n">
        <v>1</v>
      </c>
      <c r="AA7463">
        <f>IF(ISNUMBER('IN-CLASS_Lab Part C'!$J$7463),'IN-CLASS_Lab Part C'!$J$7463,NA())</f>
        <v/>
      </c>
    </row>
    <row r="7464">
      <c r="J7464">
        <f>IF(AND(ISNUMBER('Data'!$F$7465),'Data'!$F$7465&lt;&gt;999,'Data'!$F$7465&lt;&gt;""),'Data'!$F$7465,"")</f>
        <v/>
      </c>
      <c r="Z7464" t="n">
        <v>1</v>
      </c>
      <c r="AA7464">
        <f>IF(ISNUMBER('IN-CLASS_Lab Part C'!$J$7464),'IN-CLASS_Lab Part C'!$J$7464,NA())</f>
        <v/>
      </c>
    </row>
    <row r="7465">
      <c r="J7465">
        <f>IF(AND(ISNUMBER('Data'!$F$7466),'Data'!$F$7466&lt;&gt;999,'Data'!$F$7466&lt;&gt;""),'Data'!$F$7466,"")</f>
        <v/>
      </c>
      <c r="Z7465" t="n">
        <v>1</v>
      </c>
      <c r="AA7465">
        <f>IF(ISNUMBER('IN-CLASS_Lab Part C'!$J$7465),'IN-CLASS_Lab Part C'!$J$7465,NA())</f>
        <v/>
      </c>
    </row>
    <row r="7466">
      <c r="J7466">
        <f>IF(AND(ISNUMBER('Data'!$F$7467),'Data'!$F$7467&lt;&gt;999,'Data'!$F$7467&lt;&gt;""),'Data'!$F$7467,"")</f>
        <v/>
      </c>
      <c r="Z7466" t="n">
        <v>1</v>
      </c>
      <c r="AA7466">
        <f>IF(ISNUMBER('IN-CLASS_Lab Part C'!$J$7466),'IN-CLASS_Lab Part C'!$J$7466,NA())</f>
        <v/>
      </c>
    </row>
    <row r="7467">
      <c r="J7467">
        <f>IF(AND(ISNUMBER('Data'!$F$7468),'Data'!$F$7468&lt;&gt;999,'Data'!$F$7468&lt;&gt;""),'Data'!$F$7468,"")</f>
        <v/>
      </c>
      <c r="Z7467" t="n">
        <v>1</v>
      </c>
      <c r="AA7467">
        <f>IF(ISNUMBER('IN-CLASS_Lab Part C'!$J$7467),'IN-CLASS_Lab Part C'!$J$7467,NA())</f>
        <v/>
      </c>
    </row>
    <row r="7468">
      <c r="J7468">
        <f>IF(AND(ISNUMBER('Data'!$F$7469),'Data'!$F$7469&lt;&gt;999,'Data'!$F$7469&lt;&gt;""),'Data'!$F$7469,"")</f>
        <v/>
      </c>
      <c r="Z7468" t="n">
        <v>1</v>
      </c>
      <c r="AA7468">
        <f>IF(ISNUMBER('IN-CLASS_Lab Part C'!$J$7468),'IN-CLASS_Lab Part C'!$J$7468,NA())</f>
        <v/>
      </c>
    </row>
    <row r="7469">
      <c r="J7469">
        <f>IF(AND(ISNUMBER('Data'!$F$7470),'Data'!$F$7470&lt;&gt;999,'Data'!$F$7470&lt;&gt;""),'Data'!$F$7470,"")</f>
        <v/>
      </c>
      <c r="Z7469" t="n">
        <v>1</v>
      </c>
      <c r="AA7469">
        <f>IF(ISNUMBER('IN-CLASS_Lab Part C'!$J$7469),'IN-CLASS_Lab Part C'!$J$7469,NA())</f>
        <v/>
      </c>
    </row>
    <row r="7470">
      <c r="J7470">
        <f>IF(AND(ISNUMBER('Data'!$F$7471),'Data'!$F$7471&lt;&gt;999,'Data'!$F$7471&lt;&gt;""),'Data'!$F$7471,"")</f>
        <v/>
      </c>
      <c r="Z7470" t="n">
        <v>1</v>
      </c>
      <c r="AA7470">
        <f>IF(ISNUMBER('IN-CLASS_Lab Part C'!$J$7470),'IN-CLASS_Lab Part C'!$J$7470,NA())</f>
        <v/>
      </c>
    </row>
    <row r="7471">
      <c r="J7471">
        <f>IF(AND(ISNUMBER('Data'!$F$7472),'Data'!$F$7472&lt;&gt;999,'Data'!$F$7472&lt;&gt;""),'Data'!$F$7472,"")</f>
        <v/>
      </c>
      <c r="Z7471" t="n">
        <v>1</v>
      </c>
      <c r="AA7471">
        <f>IF(ISNUMBER('IN-CLASS_Lab Part C'!$J$7471),'IN-CLASS_Lab Part C'!$J$7471,NA())</f>
        <v/>
      </c>
    </row>
    <row r="7472">
      <c r="J7472">
        <f>IF(AND(ISNUMBER('Data'!$F$7473),'Data'!$F$7473&lt;&gt;999,'Data'!$F$7473&lt;&gt;""),'Data'!$F$7473,"")</f>
        <v/>
      </c>
      <c r="Z7472" t="n">
        <v>1</v>
      </c>
      <c r="AA7472">
        <f>IF(ISNUMBER('IN-CLASS_Lab Part C'!$J$7472),'IN-CLASS_Lab Part C'!$J$7472,NA())</f>
        <v/>
      </c>
    </row>
    <row r="7473">
      <c r="J7473">
        <f>IF(AND(ISNUMBER('Data'!$F$7474),'Data'!$F$7474&lt;&gt;999,'Data'!$F$7474&lt;&gt;""),'Data'!$F$7474,"")</f>
        <v/>
      </c>
      <c r="Z7473" t="n">
        <v>1</v>
      </c>
      <c r="AA7473">
        <f>IF(ISNUMBER('IN-CLASS_Lab Part C'!$J$7473),'IN-CLASS_Lab Part C'!$J$7473,NA())</f>
        <v/>
      </c>
    </row>
    <row r="7474">
      <c r="J7474">
        <f>IF(AND(ISNUMBER('Data'!$F$7475),'Data'!$F$7475&lt;&gt;999,'Data'!$F$7475&lt;&gt;""),'Data'!$F$7475,"")</f>
        <v/>
      </c>
      <c r="Z7474" t="n">
        <v>1</v>
      </c>
      <c r="AA7474">
        <f>IF(ISNUMBER('IN-CLASS_Lab Part C'!$J$7474),'IN-CLASS_Lab Part C'!$J$7474,NA())</f>
        <v/>
      </c>
    </row>
    <row r="7475">
      <c r="J7475">
        <f>IF(AND(ISNUMBER('Data'!$F$7476),'Data'!$F$7476&lt;&gt;999,'Data'!$F$7476&lt;&gt;""),'Data'!$F$7476,"")</f>
        <v/>
      </c>
      <c r="Z7475" t="n">
        <v>1</v>
      </c>
      <c r="AA7475">
        <f>IF(ISNUMBER('IN-CLASS_Lab Part C'!$J$7475),'IN-CLASS_Lab Part C'!$J$7475,NA())</f>
        <v/>
      </c>
    </row>
    <row r="7476">
      <c r="J7476">
        <f>IF(AND(ISNUMBER('Data'!$F$7477),'Data'!$F$7477&lt;&gt;999,'Data'!$F$7477&lt;&gt;""),'Data'!$F$7477,"")</f>
        <v/>
      </c>
      <c r="Z7476" t="n">
        <v>1</v>
      </c>
      <c r="AA7476">
        <f>IF(ISNUMBER('IN-CLASS_Lab Part C'!$J$7476),'IN-CLASS_Lab Part C'!$J$7476,NA())</f>
        <v/>
      </c>
    </row>
    <row r="7477">
      <c r="J7477">
        <f>IF(AND(ISNUMBER('Data'!$F$7478),'Data'!$F$7478&lt;&gt;999,'Data'!$F$7478&lt;&gt;""),'Data'!$F$7478,"")</f>
        <v/>
      </c>
      <c r="Z7477" t="n">
        <v>1</v>
      </c>
      <c r="AA7477">
        <f>IF(ISNUMBER('IN-CLASS_Lab Part C'!$J$7477),'IN-CLASS_Lab Part C'!$J$7477,NA())</f>
        <v/>
      </c>
    </row>
    <row r="7478">
      <c r="J7478">
        <f>IF(AND(ISNUMBER('Data'!$F$7479),'Data'!$F$7479&lt;&gt;999,'Data'!$F$7479&lt;&gt;""),'Data'!$F$7479,"")</f>
        <v/>
      </c>
      <c r="Z7478" t="n">
        <v>1</v>
      </c>
      <c r="AA7478">
        <f>IF(ISNUMBER('IN-CLASS_Lab Part C'!$J$7478),'IN-CLASS_Lab Part C'!$J$7478,NA())</f>
        <v/>
      </c>
    </row>
    <row r="7479">
      <c r="J7479">
        <f>IF(AND(ISNUMBER('Data'!$F$7480),'Data'!$F$7480&lt;&gt;999,'Data'!$F$7480&lt;&gt;""),'Data'!$F$7480,"")</f>
        <v/>
      </c>
      <c r="Z7479" t="n">
        <v>1</v>
      </c>
      <c r="AA7479">
        <f>IF(ISNUMBER('IN-CLASS_Lab Part C'!$J$7479),'IN-CLASS_Lab Part C'!$J$7479,NA())</f>
        <v/>
      </c>
    </row>
    <row r="7480">
      <c r="J7480">
        <f>IF(AND(ISNUMBER('Data'!$F$7481),'Data'!$F$7481&lt;&gt;999,'Data'!$F$7481&lt;&gt;""),'Data'!$F$7481,"")</f>
        <v/>
      </c>
      <c r="Z7480" t="n">
        <v>1</v>
      </c>
      <c r="AA7480">
        <f>IF(ISNUMBER('IN-CLASS_Lab Part C'!$J$7480),'IN-CLASS_Lab Part C'!$J$7480,NA())</f>
        <v/>
      </c>
    </row>
    <row r="7481">
      <c r="J7481">
        <f>IF(AND(ISNUMBER('Data'!$F$7482),'Data'!$F$7482&lt;&gt;999,'Data'!$F$7482&lt;&gt;""),'Data'!$F$7482,"")</f>
        <v/>
      </c>
      <c r="Z7481" t="n">
        <v>1</v>
      </c>
      <c r="AA7481">
        <f>IF(ISNUMBER('IN-CLASS_Lab Part C'!$J$7481),'IN-CLASS_Lab Part C'!$J$7481,NA())</f>
        <v/>
      </c>
    </row>
    <row r="7482">
      <c r="J7482">
        <f>IF(AND(ISNUMBER('Data'!$F$7483),'Data'!$F$7483&lt;&gt;999,'Data'!$F$7483&lt;&gt;""),'Data'!$F$7483,"")</f>
        <v/>
      </c>
      <c r="Z7482" t="n">
        <v>1</v>
      </c>
      <c r="AA7482">
        <f>IF(ISNUMBER('IN-CLASS_Lab Part C'!$J$7482),'IN-CLASS_Lab Part C'!$J$7482,NA())</f>
        <v/>
      </c>
    </row>
    <row r="7483">
      <c r="J7483">
        <f>IF(AND(ISNUMBER('Data'!$F$7484),'Data'!$F$7484&lt;&gt;999,'Data'!$F$7484&lt;&gt;""),'Data'!$F$7484,"")</f>
        <v/>
      </c>
      <c r="Z7483" t="n">
        <v>1</v>
      </c>
      <c r="AA7483">
        <f>IF(ISNUMBER('IN-CLASS_Lab Part C'!$J$7483),'IN-CLASS_Lab Part C'!$J$7483,NA())</f>
        <v/>
      </c>
    </row>
    <row r="7484">
      <c r="J7484">
        <f>IF(AND(ISNUMBER('Data'!$F$7485),'Data'!$F$7485&lt;&gt;999,'Data'!$F$7485&lt;&gt;""),'Data'!$F$7485,"")</f>
        <v/>
      </c>
      <c r="Z7484" t="n">
        <v>1</v>
      </c>
      <c r="AA7484">
        <f>IF(ISNUMBER('IN-CLASS_Lab Part C'!$J$7484),'IN-CLASS_Lab Part C'!$J$7484,NA())</f>
        <v/>
      </c>
    </row>
    <row r="7485">
      <c r="J7485">
        <f>IF(AND(ISNUMBER('Data'!$F$7486),'Data'!$F$7486&lt;&gt;999,'Data'!$F$7486&lt;&gt;""),'Data'!$F$7486,"")</f>
        <v/>
      </c>
      <c r="Z7485" t="n">
        <v>1</v>
      </c>
      <c r="AA7485">
        <f>IF(ISNUMBER('IN-CLASS_Lab Part C'!$J$7485),'IN-CLASS_Lab Part C'!$J$7485,NA())</f>
        <v/>
      </c>
    </row>
    <row r="7486">
      <c r="J7486">
        <f>IF(AND(ISNUMBER('Data'!$F$7487),'Data'!$F$7487&lt;&gt;999,'Data'!$F$7487&lt;&gt;""),'Data'!$F$7487,"")</f>
        <v/>
      </c>
      <c r="Z7486" t="n">
        <v>1</v>
      </c>
      <c r="AA7486">
        <f>IF(ISNUMBER('IN-CLASS_Lab Part C'!$J$7486),'IN-CLASS_Lab Part C'!$J$7486,NA())</f>
        <v/>
      </c>
    </row>
    <row r="7487">
      <c r="J7487">
        <f>IF(AND(ISNUMBER('Data'!$F$7488),'Data'!$F$7488&lt;&gt;999,'Data'!$F$7488&lt;&gt;""),'Data'!$F$7488,"")</f>
        <v/>
      </c>
      <c r="Z7487" t="n">
        <v>1</v>
      </c>
      <c r="AA7487">
        <f>IF(ISNUMBER('IN-CLASS_Lab Part C'!$J$7487),'IN-CLASS_Lab Part C'!$J$7487,NA())</f>
        <v/>
      </c>
    </row>
    <row r="7488">
      <c r="J7488">
        <f>IF(AND(ISNUMBER('Data'!$F$7489),'Data'!$F$7489&lt;&gt;999,'Data'!$F$7489&lt;&gt;""),'Data'!$F$7489,"")</f>
        <v/>
      </c>
      <c r="Z7488" t="n">
        <v>1</v>
      </c>
      <c r="AA7488">
        <f>IF(ISNUMBER('IN-CLASS_Lab Part C'!$J$7488),'IN-CLASS_Lab Part C'!$J$7488,NA())</f>
        <v/>
      </c>
    </row>
    <row r="7489">
      <c r="J7489">
        <f>IF(AND(ISNUMBER('Data'!$F$7490),'Data'!$F$7490&lt;&gt;999,'Data'!$F$7490&lt;&gt;""),'Data'!$F$7490,"")</f>
        <v/>
      </c>
      <c r="Z7489" t="n">
        <v>1</v>
      </c>
      <c r="AA7489">
        <f>IF(ISNUMBER('IN-CLASS_Lab Part C'!$J$7489),'IN-CLASS_Lab Part C'!$J$7489,NA())</f>
        <v/>
      </c>
    </row>
    <row r="7490">
      <c r="J7490">
        <f>IF(AND(ISNUMBER('Data'!$F$7491),'Data'!$F$7491&lt;&gt;999,'Data'!$F$7491&lt;&gt;""),'Data'!$F$7491,"")</f>
        <v/>
      </c>
      <c r="Z7490" t="n">
        <v>1</v>
      </c>
      <c r="AA7490">
        <f>IF(ISNUMBER('IN-CLASS_Lab Part C'!$J$7490),'IN-CLASS_Lab Part C'!$J$7490,NA())</f>
        <v/>
      </c>
    </row>
    <row r="7491">
      <c r="J7491">
        <f>IF(AND(ISNUMBER('Data'!$F$7492),'Data'!$F$7492&lt;&gt;999,'Data'!$F$7492&lt;&gt;""),'Data'!$F$7492,"")</f>
        <v/>
      </c>
      <c r="Z7491" t="n">
        <v>1</v>
      </c>
      <c r="AA7491">
        <f>IF(ISNUMBER('IN-CLASS_Lab Part C'!$J$7491),'IN-CLASS_Lab Part C'!$J$7491,NA())</f>
        <v/>
      </c>
    </row>
    <row r="7492">
      <c r="J7492">
        <f>IF(AND(ISNUMBER('Data'!$F$7493),'Data'!$F$7493&lt;&gt;999,'Data'!$F$7493&lt;&gt;""),'Data'!$F$7493,"")</f>
        <v/>
      </c>
      <c r="Z7492" t="n">
        <v>1</v>
      </c>
      <c r="AA7492">
        <f>IF(ISNUMBER('IN-CLASS_Lab Part C'!$J$7492),'IN-CLASS_Lab Part C'!$J$7492,NA())</f>
        <v/>
      </c>
    </row>
    <row r="7493">
      <c r="J7493">
        <f>IF(AND(ISNUMBER('Data'!$F$7494),'Data'!$F$7494&lt;&gt;999,'Data'!$F$7494&lt;&gt;""),'Data'!$F$7494,"")</f>
        <v/>
      </c>
      <c r="Z7493" t="n">
        <v>1</v>
      </c>
      <c r="AA7493">
        <f>IF(ISNUMBER('IN-CLASS_Lab Part C'!$J$7493),'IN-CLASS_Lab Part C'!$J$7493,NA())</f>
        <v/>
      </c>
    </row>
    <row r="7494">
      <c r="J7494">
        <f>IF(AND(ISNUMBER('Data'!$F$7495),'Data'!$F$7495&lt;&gt;999,'Data'!$F$7495&lt;&gt;""),'Data'!$F$7495,"")</f>
        <v/>
      </c>
      <c r="Z7494" t="n">
        <v>1</v>
      </c>
      <c r="AA7494">
        <f>IF(ISNUMBER('IN-CLASS_Lab Part C'!$J$7494),'IN-CLASS_Lab Part C'!$J$7494,NA())</f>
        <v/>
      </c>
    </row>
    <row r="7495">
      <c r="J7495">
        <f>IF(AND(ISNUMBER('Data'!$F$7496),'Data'!$F$7496&lt;&gt;999,'Data'!$F$7496&lt;&gt;""),'Data'!$F$7496,"")</f>
        <v/>
      </c>
      <c r="Z7495" t="n">
        <v>1</v>
      </c>
      <c r="AA7495">
        <f>IF(ISNUMBER('IN-CLASS_Lab Part C'!$J$7495),'IN-CLASS_Lab Part C'!$J$7495,NA())</f>
        <v/>
      </c>
    </row>
    <row r="7496">
      <c r="J7496">
        <f>IF(AND(ISNUMBER('Data'!$F$7497),'Data'!$F$7497&lt;&gt;999,'Data'!$F$7497&lt;&gt;""),'Data'!$F$7497,"")</f>
        <v/>
      </c>
      <c r="Z7496" t="n">
        <v>1</v>
      </c>
      <c r="AA7496">
        <f>IF(ISNUMBER('IN-CLASS_Lab Part C'!$J$7496),'IN-CLASS_Lab Part C'!$J$7496,NA())</f>
        <v/>
      </c>
    </row>
    <row r="7497">
      <c r="J7497">
        <f>IF(AND(ISNUMBER('Data'!$F$7498),'Data'!$F$7498&lt;&gt;999,'Data'!$F$7498&lt;&gt;""),'Data'!$F$7498,"")</f>
        <v/>
      </c>
      <c r="Z7497" t="n">
        <v>1</v>
      </c>
      <c r="AA7497">
        <f>IF(ISNUMBER('IN-CLASS_Lab Part C'!$J$7497),'IN-CLASS_Lab Part C'!$J$7497,NA())</f>
        <v/>
      </c>
    </row>
    <row r="7498">
      <c r="J7498">
        <f>IF(AND(ISNUMBER('Data'!$F$7499),'Data'!$F$7499&lt;&gt;999,'Data'!$F$7499&lt;&gt;""),'Data'!$F$7499,"")</f>
        <v/>
      </c>
      <c r="Z7498" t="n">
        <v>1</v>
      </c>
      <c r="AA7498">
        <f>IF(ISNUMBER('IN-CLASS_Lab Part C'!$J$7498),'IN-CLASS_Lab Part C'!$J$7498,NA())</f>
        <v/>
      </c>
    </row>
    <row r="7499">
      <c r="J7499">
        <f>IF(AND(ISNUMBER('Data'!$F$7500),'Data'!$F$7500&lt;&gt;999,'Data'!$F$7500&lt;&gt;""),'Data'!$F$7500,"")</f>
        <v/>
      </c>
      <c r="Z7499" t="n">
        <v>1</v>
      </c>
      <c r="AA7499">
        <f>IF(ISNUMBER('IN-CLASS_Lab Part C'!$J$7499),'IN-CLASS_Lab Part C'!$J$7499,NA())</f>
        <v/>
      </c>
    </row>
    <row r="7500">
      <c r="J7500">
        <f>IF(AND(ISNUMBER('Data'!$F$7501),'Data'!$F$7501&lt;&gt;999,'Data'!$F$7501&lt;&gt;""),'Data'!$F$7501,"")</f>
        <v/>
      </c>
      <c r="Z7500" t="n">
        <v>1</v>
      </c>
      <c r="AA7500">
        <f>IF(ISNUMBER('IN-CLASS_Lab Part C'!$J$7500),'IN-CLASS_Lab Part C'!$J$7500,NA())</f>
        <v/>
      </c>
    </row>
    <row r="7501">
      <c r="J7501">
        <f>IF(AND(ISNUMBER('Data'!$F$7502),'Data'!$F$7502&lt;&gt;999,'Data'!$F$7502&lt;&gt;""),'Data'!$F$7502,"")</f>
        <v/>
      </c>
      <c r="Z7501" t="n">
        <v>1</v>
      </c>
      <c r="AA7501">
        <f>IF(ISNUMBER('IN-CLASS_Lab Part C'!$J$7501),'IN-CLASS_Lab Part C'!$J$7501,NA())</f>
        <v/>
      </c>
    </row>
    <row r="7502">
      <c r="J7502">
        <f>IF(AND(ISNUMBER('Data'!$F$7503),'Data'!$F$7503&lt;&gt;999,'Data'!$F$7503&lt;&gt;""),'Data'!$F$7503,"")</f>
        <v/>
      </c>
      <c r="Z7502" t="n">
        <v>1</v>
      </c>
      <c r="AA7502">
        <f>IF(ISNUMBER('IN-CLASS_Lab Part C'!$J$7502),'IN-CLASS_Lab Part C'!$J$7502,NA())</f>
        <v/>
      </c>
    </row>
    <row r="7503">
      <c r="J7503">
        <f>IF(AND(ISNUMBER('Data'!$F$7504),'Data'!$F$7504&lt;&gt;999,'Data'!$F$7504&lt;&gt;""),'Data'!$F$7504,"")</f>
        <v/>
      </c>
      <c r="Z7503" t="n">
        <v>1</v>
      </c>
      <c r="AA7503">
        <f>IF(ISNUMBER('IN-CLASS_Lab Part C'!$J$7503),'IN-CLASS_Lab Part C'!$J$7503,NA())</f>
        <v/>
      </c>
    </row>
    <row r="7504">
      <c r="J7504">
        <f>IF(AND(ISNUMBER('Data'!$F$7505),'Data'!$F$7505&lt;&gt;999,'Data'!$F$7505&lt;&gt;""),'Data'!$F$7505,"")</f>
        <v/>
      </c>
      <c r="Z7504" t="n">
        <v>1</v>
      </c>
      <c r="AA7504">
        <f>IF(ISNUMBER('IN-CLASS_Lab Part C'!$J$7504),'IN-CLASS_Lab Part C'!$J$7504,NA())</f>
        <v/>
      </c>
    </row>
    <row r="7505">
      <c r="J7505">
        <f>IF(AND(ISNUMBER('Data'!$F$7506),'Data'!$F$7506&lt;&gt;999,'Data'!$F$7506&lt;&gt;""),'Data'!$F$7506,"")</f>
        <v/>
      </c>
      <c r="Z7505" t="n">
        <v>1</v>
      </c>
      <c r="AA7505">
        <f>IF(ISNUMBER('IN-CLASS_Lab Part C'!$J$7505),'IN-CLASS_Lab Part C'!$J$7505,NA())</f>
        <v/>
      </c>
    </row>
    <row r="7506">
      <c r="J7506">
        <f>IF(AND(ISNUMBER('Data'!$F$7507),'Data'!$F$7507&lt;&gt;999,'Data'!$F$7507&lt;&gt;""),'Data'!$F$7507,"")</f>
        <v/>
      </c>
      <c r="Z7506" t="n">
        <v>1</v>
      </c>
      <c r="AA7506">
        <f>IF(ISNUMBER('IN-CLASS_Lab Part C'!$J$7506),'IN-CLASS_Lab Part C'!$J$7506,NA())</f>
        <v/>
      </c>
    </row>
    <row r="7507">
      <c r="J7507">
        <f>IF(AND(ISNUMBER('Data'!$F$7508),'Data'!$F$7508&lt;&gt;999,'Data'!$F$7508&lt;&gt;""),'Data'!$F$7508,"")</f>
        <v/>
      </c>
      <c r="Z7507" t="n">
        <v>1</v>
      </c>
      <c r="AA7507">
        <f>IF(ISNUMBER('IN-CLASS_Lab Part C'!$J$7507),'IN-CLASS_Lab Part C'!$J$7507,NA())</f>
        <v/>
      </c>
    </row>
    <row r="7508">
      <c r="J7508">
        <f>IF(AND(ISNUMBER('Data'!$F$7509),'Data'!$F$7509&lt;&gt;999,'Data'!$F$7509&lt;&gt;""),'Data'!$F$7509,"")</f>
        <v/>
      </c>
      <c r="Z7508" t="n">
        <v>1</v>
      </c>
      <c r="AA7508">
        <f>IF(ISNUMBER('IN-CLASS_Lab Part C'!$J$7508),'IN-CLASS_Lab Part C'!$J$7508,NA())</f>
        <v/>
      </c>
    </row>
    <row r="7509">
      <c r="J7509">
        <f>IF(AND(ISNUMBER('Data'!$F$7510),'Data'!$F$7510&lt;&gt;999,'Data'!$F$7510&lt;&gt;""),'Data'!$F$7510,"")</f>
        <v/>
      </c>
      <c r="Z7509" t="n">
        <v>1</v>
      </c>
      <c r="AA7509">
        <f>IF(ISNUMBER('IN-CLASS_Lab Part C'!$J$7509),'IN-CLASS_Lab Part C'!$J$7509,NA())</f>
        <v/>
      </c>
    </row>
    <row r="7510">
      <c r="J7510">
        <f>IF(AND(ISNUMBER('Data'!$F$7511),'Data'!$F$7511&lt;&gt;999,'Data'!$F$7511&lt;&gt;""),'Data'!$F$7511,"")</f>
        <v/>
      </c>
      <c r="Z7510" t="n">
        <v>1</v>
      </c>
      <c r="AA7510">
        <f>IF(ISNUMBER('IN-CLASS_Lab Part C'!$J$7510),'IN-CLASS_Lab Part C'!$J$7510,NA())</f>
        <v/>
      </c>
    </row>
    <row r="7511">
      <c r="J7511">
        <f>IF(AND(ISNUMBER('Data'!$F$7512),'Data'!$F$7512&lt;&gt;999,'Data'!$F$7512&lt;&gt;""),'Data'!$F$7512,"")</f>
        <v/>
      </c>
      <c r="Z7511" t="n">
        <v>1</v>
      </c>
      <c r="AA7511">
        <f>IF(ISNUMBER('IN-CLASS_Lab Part C'!$J$7511),'IN-CLASS_Lab Part C'!$J$7511,NA())</f>
        <v/>
      </c>
    </row>
    <row r="7512">
      <c r="J7512">
        <f>IF(AND(ISNUMBER('Data'!$F$7513),'Data'!$F$7513&lt;&gt;999,'Data'!$F$7513&lt;&gt;""),'Data'!$F$7513,"")</f>
        <v/>
      </c>
      <c r="Z7512" t="n">
        <v>1</v>
      </c>
      <c r="AA7512">
        <f>IF(ISNUMBER('IN-CLASS_Lab Part C'!$J$7512),'IN-CLASS_Lab Part C'!$J$7512,NA())</f>
        <v/>
      </c>
    </row>
    <row r="7513">
      <c r="J7513">
        <f>IF(AND(ISNUMBER('Data'!$F$7514),'Data'!$F$7514&lt;&gt;999,'Data'!$F$7514&lt;&gt;""),'Data'!$F$7514,"")</f>
        <v/>
      </c>
      <c r="Z7513" t="n">
        <v>1</v>
      </c>
      <c r="AA7513">
        <f>IF(ISNUMBER('IN-CLASS_Lab Part C'!$J$7513),'IN-CLASS_Lab Part C'!$J$7513,NA())</f>
        <v/>
      </c>
    </row>
    <row r="7514">
      <c r="J7514">
        <f>IF(AND(ISNUMBER('Data'!$F$7515),'Data'!$F$7515&lt;&gt;999,'Data'!$F$7515&lt;&gt;""),'Data'!$F$7515,"")</f>
        <v/>
      </c>
      <c r="Z7514" t="n">
        <v>1</v>
      </c>
      <c r="AA7514">
        <f>IF(ISNUMBER('IN-CLASS_Lab Part C'!$J$7514),'IN-CLASS_Lab Part C'!$J$7514,NA())</f>
        <v/>
      </c>
    </row>
    <row r="7515">
      <c r="J7515">
        <f>IF(AND(ISNUMBER('Data'!$F$7516),'Data'!$F$7516&lt;&gt;999,'Data'!$F$7516&lt;&gt;""),'Data'!$F$7516,"")</f>
        <v/>
      </c>
      <c r="Z7515" t="n">
        <v>1</v>
      </c>
      <c r="AA7515">
        <f>IF(ISNUMBER('IN-CLASS_Lab Part C'!$J$7515),'IN-CLASS_Lab Part C'!$J$7515,NA())</f>
        <v/>
      </c>
    </row>
    <row r="7516">
      <c r="J7516">
        <f>IF(AND(ISNUMBER('Data'!$F$7517),'Data'!$F$7517&lt;&gt;999,'Data'!$F$7517&lt;&gt;""),'Data'!$F$7517,"")</f>
        <v/>
      </c>
      <c r="Z7516" t="n">
        <v>1</v>
      </c>
      <c r="AA7516">
        <f>IF(ISNUMBER('IN-CLASS_Lab Part C'!$J$7516),'IN-CLASS_Lab Part C'!$J$7516,NA())</f>
        <v/>
      </c>
    </row>
    <row r="7517">
      <c r="J7517">
        <f>IF(AND(ISNUMBER('Data'!$F$7518),'Data'!$F$7518&lt;&gt;999,'Data'!$F$7518&lt;&gt;""),'Data'!$F$7518,"")</f>
        <v/>
      </c>
      <c r="Z7517" t="n">
        <v>1</v>
      </c>
      <c r="AA7517">
        <f>IF(ISNUMBER('IN-CLASS_Lab Part C'!$J$7517),'IN-CLASS_Lab Part C'!$J$7517,NA())</f>
        <v/>
      </c>
    </row>
    <row r="7518">
      <c r="J7518">
        <f>IF(AND(ISNUMBER('Data'!$F$7519),'Data'!$F$7519&lt;&gt;999,'Data'!$F$7519&lt;&gt;""),'Data'!$F$7519,"")</f>
        <v/>
      </c>
      <c r="Z7518" t="n">
        <v>1</v>
      </c>
      <c r="AA7518">
        <f>IF(ISNUMBER('IN-CLASS_Lab Part C'!$J$7518),'IN-CLASS_Lab Part C'!$J$7518,NA())</f>
        <v/>
      </c>
    </row>
    <row r="7519">
      <c r="J7519">
        <f>IF(AND(ISNUMBER('Data'!$F$7520),'Data'!$F$7520&lt;&gt;999,'Data'!$F$7520&lt;&gt;""),'Data'!$F$7520,"")</f>
        <v/>
      </c>
      <c r="Z7519" t="n">
        <v>1</v>
      </c>
      <c r="AA7519">
        <f>IF(ISNUMBER('IN-CLASS_Lab Part C'!$J$7519),'IN-CLASS_Lab Part C'!$J$7519,NA())</f>
        <v/>
      </c>
    </row>
    <row r="7520">
      <c r="J7520">
        <f>IF(AND(ISNUMBER('Data'!$F$7521),'Data'!$F$7521&lt;&gt;999,'Data'!$F$7521&lt;&gt;""),'Data'!$F$7521,"")</f>
        <v/>
      </c>
      <c r="Z7520" t="n">
        <v>1</v>
      </c>
      <c r="AA7520">
        <f>IF(ISNUMBER('IN-CLASS_Lab Part C'!$J$7520),'IN-CLASS_Lab Part C'!$J$7520,NA())</f>
        <v/>
      </c>
    </row>
    <row r="7521">
      <c r="J7521">
        <f>IF(AND(ISNUMBER('Data'!$F$7522),'Data'!$F$7522&lt;&gt;999,'Data'!$F$7522&lt;&gt;""),'Data'!$F$7522,"")</f>
        <v/>
      </c>
      <c r="Z7521" t="n">
        <v>1</v>
      </c>
      <c r="AA7521">
        <f>IF(ISNUMBER('IN-CLASS_Lab Part C'!$J$7521),'IN-CLASS_Lab Part C'!$J$7521,NA())</f>
        <v/>
      </c>
    </row>
    <row r="7522">
      <c r="J7522">
        <f>IF(AND(ISNUMBER('Data'!$F$7523),'Data'!$F$7523&lt;&gt;999,'Data'!$F$7523&lt;&gt;""),'Data'!$F$7523,"")</f>
        <v/>
      </c>
      <c r="Z7522" t="n">
        <v>1</v>
      </c>
      <c r="AA7522">
        <f>IF(ISNUMBER('IN-CLASS_Lab Part C'!$J$7522),'IN-CLASS_Lab Part C'!$J$7522,NA())</f>
        <v/>
      </c>
    </row>
    <row r="7523">
      <c r="J7523">
        <f>IF(AND(ISNUMBER('Data'!$F$7524),'Data'!$F$7524&lt;&gt;999,'Data'!$F$7524&lt;&gt;""),'Data'!$F$7524,"")</f>
        <v/>
      </c>
      <c r="Z7523" t="n">
        <v>1</v>
      </c>
      <c r="AA7523">
        <f>IF(ISNUMBER('IN-CLASS_Lab Part C'!$J$7523),'IN-CLASS_Lab Part C'!$J$7523,NA())</f>
        <v/>
      </c>
    </row>
    <row r="7524">
      <c r="J7524">
        <f>IF(AND(ISNUMBER('Data'!$F$7525),'Data'!$F$7525&lt;&gt;999,'Data'!$F$7525&lt;&gt;""),'Data'!$F$7525,"")</f>
        <v/>
      </c>
      <c r="Z7524" t="n">
        <v>1</v>
      </c>
      <c r="AA7524">
        <f>IF(ISNUMBER('IN-CLASS_Lab Part C'!$J$7524),'IN-CLASS_Lab Part C'!$J$7524,NA())</f>
        <v/>
      </c>
    </row>
    <row r="7525">
      <c r="J7525">
        <f>IF(AND(ISNUMBER('Data'!$F$7526),'Data'!$F$7526&lt;&gt;999,'Data'!$F$7526&lt;&gt;""),'Data'!$F$7526,"")</f>
        <v/>
      </c>
      <c r="Z7525" t="n">
        <v>1</v>
      </c>
      <c r="AA7525">
        <f>IF(ISNUMBER('IN-CLASS_Lab Part C'!$J$7525),'IN-CLASS_Lab Part C'!$J$7525,NA())</f>
        <v/>
      </c>
    </row>
    <row r="7526">
      <c r="J7526">
        <f>IF(AND(ISNUMBER('Data'!$F$7527),'Data'!$F$7527&lt;&gt;999,'Data'!$F$7527&lt;&gt;""),'Data'!$F$7527,"")</f>
        <v/>
      </c>
      <c r="Z7526" t="n">
        <v>1</v>
      </c>
      <c r="AA7526">
        <f>IF(ISNUMBER('IN-CLASS_Lab Part C'!$J$7526),'IN-CLASS_Lab Part C'!$J$7526,NA())</f>
        <v/>
      </c>
    </row>
    <row r="7527">
      <c r="J7527">
        <f>IF(AND(ISNUMBER('Data'!$F$7528),'Data'!$F$7528&lt;&gt;999,'Data'!$F$7528&lt;&gt;""),'Data'!$F$7528,"")</f>
        <v/>
      </c>
      <c r="Z7527" t="n">
        <v>1</v>
      </c>
      <c r="AA7527">
        <f>IF(ISNUMBER('IN-CLASS_Lab Part C'!$J$7527),'IN-CLASS_Lab Part C'!$J$7527,NA())</f>
        <v/>
      </c>
    </row>
    <row r="7528">
      <c r="J7528">
        <f>IF(AND(ISNUMBER('Data'!$F$7529),'Data'!$F$7529&lt;&gt;999,'Data'!$F$7529&lt;&gt;""),'Data'!$F$7529,"")</f>
        <v/>
      </c>
      <c r="Z7528" t="n">
        <v>1</v>
      </c>
      <c r="AA7528">
        <f>IF(ISNUMBER('IN-CLASS_Lab Part C'!$J$7528),'IN-CLASS_Lab Part C'!$J$7528,NA())</f>
        <v/>
      </c>
    </row>
    <row r="7529">
      <c r="J7529">
        <f>IF(AND(ISNUMBER('Data'!$F$7530),'Data'!$F$7530&lt;&gt;999,'Data'!$F$7530&lt;&gt;""),'Data'!$F$7530,"")</f>
        <v/>
      </c>
      <c r="Z7529" t="n">
        <v>1</v>
      </c>
      <c r="AA7529">
        <f>IF(ISNUMBER('IN-CLASS_Lab Part C'!$J$7529),'IN-CLASS_Lab Part C'!$J$7529,NA())</f>
        <v/>
      </c>
    </row>
    <row r="7530">
      <c r="J7530">
        <f>IF(AND(ISNUMBER('Data'!$F$7531),'Data'!$F$7531&lt;&gt;999,'Data'!$F$7531&lt;&gt;""),'Data'!$F$7531,"")</f>
        <v/>
      </c>
      <c r="Z7530" t="n">
        <v>1</v>
      </c>
      <c r="AA7530">
        <f>IF(ISNUMBER('IN-CLASS_Lab Part C'!$J$7530),'IN-CLASS_Lab Part C'!$J$7530,NA())</f>
        <v/>
      </c>
    </row>
    <row r="7531">
      <c r="J7531">
        <f>IF(AND(ISNUMBER('Data'!$F$7532),'Data'!$F$7532&lt;&gt;999,'Data'!$F$7532&lt;&gt;""),'Data'!$F$7532,"")</f>
        <v/>
      </c>
      <c r="Z7531" t="n">
        <v>1</v>
      </c>
      <c r="AA7531">
        <f>IF(ISNUMBER('IN-CLASS_Lab Part C'!$J$7531),'IN-CLASS_Lab Part C'!$J$7531,NA())</f>
        <v/>
      </c>
    </row>
    <row r="7532">
      <c r="J7532">
        <f>IF(AND(ISNUMBER('Data'!$F$7533),'Data'!$F$7533&lt;&gt;999,'Data'!$F$7533&lt;&gt;""),'Data'!$F$7533,"")</f>
        <v/>
      </c>
      <c r="Z7532" t="n">
        <v>1</v>
      </c>
      <c r="AA7532">
        <f>IF(ISNUMBER('IN-CLASS_Lab Part C'!$J$7532),'IN-CLASS_Lab Part C'!$J$7532,NA())</f>
        <v/>
      </c>
    </row>
    <row r="7533">
      <c r="J7533">
        <f>IF(AND(ISNUMBER('Data'!$F$7534),'Data'!$F$7534&lt;&gt;999,'Data'!$F$7534&lt;&gt;""),'Data'!$F$7534,"")</f>
        <v/>
      </c>
      <c r="Z7533" t="n">
        <v>1</v>
      </c>
      <c r="AA7533">
        <f>IF(ISNUMBER('IN-CLASS_Lab Part C'!$J$7533),'IN-CLASS_Lab Part C'!$J$7533,NA())</f>
        <v/>
      </c>
    </row>
    <row r="7534">
      <c r="J7534">
        <f>IF(AND(ISNUMBER('Data'!$F$7535),'Data'!$F$7535&lt;&gt;999,'Data'!$F$7535&lt;&gt;""),'Data'!$F$7535,"")</f>
        <v/>
      </c>
      <c r="Z7534" t="n">
        <v>1</v>
      </c>
      <c r="AA7534">
        <f>IF(ISNUMBER('IN-CLASS_Lab Part C'!$J$7534),'IN-CLASS_Lab Part C'!$J$7534,NA())</f>
        <v/>
      </c>
    </row>
    <row r="7535">
      <c r="J7535">
        <f>IF(AND(ISNUMBER('Data'!$F$7536),'Data'!$F$7536&lt;&gt;999,'Data'!$F$7536&lt;&gt;""),'Data'!$F$7536,"")</f>
        <v/>
      </c>
      <c r="Z7535" t="n">
        <v>1</v>
      </c>
      <c r="AA7535">
        <f>IF(ISNUMBER('IN-CLASS_Lab Part C'!$J$7535),'IN-CLASS_Lab Part C'!$J$7535,NA())</f>
        <v/>
      </c>
    </row>
    <row r="7536">
      <c r="J7536">
        <f>IF(AND(ISNUMBER('Data'!$F$7537),'Data'!$F$7537&lt;&gt;999,'Data'!$F$7537&lt;&gt;""),'Data'!$F$7537,"")</f>
        <v/>
      </c>
      <c r="Z7536" t="n">
        <v>1</v>
      </c>
      <c r="AA7536">
        <f>IF(ISNUMBER('IN-CLASS_Lab Part C'!$J$7536),'IN-CLASS_Lab Part C'!$J$7536,NA())</f>
        <v/>
      </c>
    </row>
    <row r="7537">
      <c r="J7537">
        <f>IF(AND(ISNUMBER('Data'!$F$7538),'Data'!$F$7538&lt;&gt;999,'Data'!$F$7538&lt;&gt;""),'Data'!$F$7538,"")</f>
        <v/>
      </c>
      <c r="Z7537" t="n">
        <v>1</v>
      </c>
      <c r="AA7537">
        <f>IF(ISNUMBER('IN-CLASS_Lab Part C'!$J$7537),'IN-CLASS_Lab Part C'!$J$7537,NA())</f>
        <v/>
      </c>
    </row>
    <row r="7538">
      <c r="J7538">
        <f>IF(AND(ISNUMBER('Data'!$F$7539),'Data'!$F$7539&lt;&gt;999,'Data'!$F$7539&lt;&gt;""),'Data'!$F$7539,"")</f>
        <v/>
      </c>
      <c r="Z7538" t="n">
        <v>1</v>
      </c>
      <c r="AA7538">
        <f>IF(ISNUMBER('IN-CLASS_Lab Part C'!$J$7538),'IN-CLASS_Lab Part C'!$J$7538,NA())</f>
        <v/>
      </c>
    </row>
    <row r="7539">
      <c r="J7539">
        <f>IF(AND(ISNUMBER('Data'!$F$7540),'Data'!$F$7540&lt;&gt;999,'Data'!$F$7540&lt;&gt;""),'Data'!$F$7540,"")</f>
        <v/>
      </c>
      <c r="Z7539" t="n">
        <v>1</v>
      </c>
      <c r="AA7539">
        <f>IF(ISNUMBER('IN-CLASS_Lab Part C'!$J$7539),'IN-CLASS_Lab Part C'!$J$7539,NA())</f>
        <v/>
      </c>
    </row>
    <row r="7540">
      <c r="J7540">
        <f>IF(AND(ISNUMBER('Data'!$F$7541),'Data'!$F$7541&lt;&gt;999,'Data'!$F$7541&lt;&gt;""),'Data'!$F$7541,"")</f>
        <v/>
      </c>
      <c r="Z7540" t="n">
        <v>1</v>
      </c>
      <c r="AA7540">
        <f>IF(ISNUMBER('IN-CLASS_Lab Part C'!$J$7540),'IN-CLASS_Lab Part C'!$J$7540,NA())</f>
        <v/>
      </c>
    </row>
    <row r="7541">
      <c r="J7541">
        <f>IF(AND(ISNUMBER('Data'!$F$7542),'Data'!$F$7542&lt;&gt;999,'Data'!$F$7542&lt;&gt;""),'Data'!$F$7542,"")</f>
        <v/>
      </c>
      <c r="Z7541" t="n">
        <v>1</v>
      </c>
      <c r="AA7541">
        <f>IF(ISNUMBER('IN-CLASS_Lab Part C'!$J$7541),'IN-CLASS_Lab Part C'!$J$7541,NA())</f>
        <v/>
      </c>
    </row>
    <row r="7542">
      <c r="J7542">
        <f>IF(AND(ISNUMBER('Data'!$F$7543),'Data'!$F$7543&lt;&gt;999,'Data'!$F$7543&lt;&gt;""),'Data'!$F$7543,"")</f>
        <v/>
      </c>
      <c r="Z7542" t="n">
        <v>1</v>
      </c>
      <c r="AA7542">
        <f>IF(ISNUMBER('IN-CLASS_Lab Part C'!$J$7542),'IN-CLASS_Lab Part C'!$J$7542,NA())</f>
        <v/>
      </c>
    </row>
    <row r="7543">
      <c r="J7543">
        <f>IF(AND(ISNUMBER('Data'!$F$7544),'Data'!$F$7544&lt;&gt;999,'Data'!$F$7544&lt;&gt;""),'Data'!$F$7544,"")</f>
        <v/>
      </c>
      <c r="Z7543" t="n">
        <v>1</v>
      </c>
      <c r="AA7543">
        <f>IF(ISNUMBER('IN-CLASS_Lab Part C'!$J$7543),'IN-CLASS_Lab Part C'!$J$7543,NA())</f>
        <v/>
      </c>
    </row>
    <row r="7544">
      <c r="J7544">
        <f>IF(AND(ISNUMBER('Data'!$F$7545),'Data'!$F$7545&lt;&gt;999,'Data'!$F$7545&lt;&gt;""),'Data'!$F$7545,"")</f>
        <v/>
      </c>
      <c r="Z7544" t="n">
        <v>1</v>
      </c>
      <c r="AA7544">
        <f>IF(ISNUMBER('IN-CLASS_Lab Part C'!$J$7544),'IN-CLASS_Lab Part C'!$J$7544,NA())</f>
        <v/>
      </c>
    </row>
    <row r="7545">
      <c r="J7545">
        <f>IF(AND(ISNUMBER('Data'!$F$7546),'Data'!$F$7546&lt;&gt;999,'Data'!$F$7546&lt;&gt;""),'Data'!$F$7546,"")</f>
        <v/>
      </c>
      <c r="Z7545" t="n">
        <v>1</v>
      </c>
      <c r="AA7545">
        <f>IF(ISNUMBER('IN-CLASS_Lab Part C'!$J$7545),'IN-CLASS_Lab Part C'!$J$7545,NA())</f>
        <v/>
      </c>
    </row>
    <row r="7546">
      <c r="J7546">
        <f>IF(AND(ISNUMBER('Data'!$F$7547),'Data'!$F$7547&lt;&gt;999,'Data'!$F$7547&lt;&gt;""),'Data'!$F$7547,"")</f>
        <v/>
      </c>
      <c r="Z7546" t="n">
        <v>1</v>
      </c>
      <c r="AA7546">
        <f>IF(ISNUMBER('IN-CLASS_Lab Part C'!$J$7546),'IN-CLASS_Lab Part C'!$J$7546,NA())</f>
        <v/>
      </c>
    </row>
    <row r="7547">
      <c r="J7547">
        <f>IF(AND(ISNUMBER('Data'!$F$7548),'Data'!$F$7548&lt;&gt;999,'Data'!$F$7548&lt;&gt;""),'Data'!$F$7548,"")</f>
        <v/>
      </c>
      <c r="Z7547" t="n">
        <v>1</v>
      </c>
      <c r="AA7547">
        <f>IF(ISNUMBER('IN-CLASS_Lab Part C'!$J$7547),'IN-CLASS_Lab Part C'!$J$7547,NA())</f>
        <v/>
      </c>
    </row>
    <row r="7548">
      <c r="J7548">
        <f>IF(AND(ISNUMBER('Data'!$F$7549),'Data'!$F$7549&lt;&gt;999,'Data'!$F$7549&lt;&gt;""),'Data'!$F$7549,"")</f>
        <v/>
      </c>
      <c r="Z7548" t="n">
        <v>1</v>
      </c>
      <c r="AA7548">
        <f>IF(ISNUMBER('IN-CLASS_Lab Part C'!$J$7548),'IN-CLASS_Lab Part C'!$J$7548,NA())</f>
        <v/>
      </c>
    </row>
    <row r="7549">
      <c r="J7549">
        <f>IF(AND(ISNUMBER('Data'!$F$7550),'Data'!$F$7550&lt;&gt;999,'Data'!$F$7550&lt;&gt;""),'Data'!$F$7550,"")</f>
        <v/>
      </c>
      <c r="Z7549" t="n">
        <v>1</v>
      </c>
      <c r="AA7549">
        <f>IF(ISNUMBER('IN-CLASS_Lab Part C'!$J$7549),'IN-CLASS_Lab Part C'!$J$7549,NA())</f>
        <v/>
      </c>
    </row>
    <row r="7550">
      <c r="J7550">
        <f>IF(AND(ISNUMBER('Data'!$F$7551),'Data'!$F$7551&lt;&gt;999,'Data'!$F$7551&lt;&gt;""),'Data'!$F$7551,"")</f>
        <v/>
      </c>
      <c r="Z7550" t="n">
        <v>1</v>
      </c>
      <c r="AA7550">
        <f>IF(ISNUMBER('IN-CLASS_Lab Part C'!$J$7550),'IN-CLASS_Lab Part C'!$J$7550,NA())</f>
        <v/>
      </c>
    </row>
    <row r="7551">
      <c r="J7551">
        <f>IF(AND(ISNUMBER('Data'!$F$7552),'Data'!$F$7552&lt;&gt;999,'Data'!$F$7552&lt;&gt;""),'Data'!$F$7552,"")</f>
        <v/>
      </c>
      <c r="Z7551" t="n">
        <v>1</v>
      </c>
      <c r="AA7551">
        <f>IF(ISNUMBER('IN-CLASS_Lab Part C'!$J$7551),'IN-CLASS_Lab Part C'!$J$7551,NA())</f>
        <v/>
      </c>
    </row>
    <row r="7552">
      <c r="J7552">
        <f>IF(AND(ISNUMBER('Data'!$F$7553),'Data'!$F$7553&lt;&gt;999,'Data'!$F$7553&lt;&gt;""),'Data'!$F$7553,"")</f>
        <v/>
      </c>
      <c r="Z7552" t="n">
        <v>1</v>
      </c>
      <c r="AA7552">
        <f>IF(ISNUMBER('IN-CLASS_Lab Part C'!$J$7552),'IN-CLASS_Lab Part C'!$J$7552,NA())</f>
        <v/>
      </c>
    </row>
    <row r="7553">
      <c r="J7553">
        <f>IF(AND(ISNUMBER('Data'!$F$7554),'Data'!$F$7554&lt;&gt;999,'Data'!$F$7554&lt;&gt;""),'Data'!$F$7554,"")</f>
        <v/>
      </c>
      <c r="Z7553" t="n">
        <v>1</v>
      </c>
      <c r="AA7553">
        <f>IF(ISNUMBER('IN-CLASS_Lab Part C'!$J$7553),'IN-CLASS_Lab Part C'!$J$7553,NA())</f>
        <v/>
      </c>
    </row>
    <row r="7554">
      <c r="J7554">
        <f>IF(AND(ISNUMBER('Data'!$F$7555),'Data'!$F$7555&lt;&gt;999,'Data'!$F$7555&lt;&gt;""),'Data'!$F$7555,"")</f>
        <v/>
      </c>
      <c r="Z7554" t="n">
        <v>1</v>
      </c>
      <c r="AA7554">
        <f>IF(ISNUMBER('IN-CLASS_Lab Part C'!$J$7554),'IN-CLASS_Lab Part C'!$J$7554,NA())</f>
        <v/>
      </c>
    </row>
    <row r="7555">
      <c r="J7555">
        <f>IF(AND(ISNUMBER('Data'!$F$7556),'Data'!$F$7556&lt;&gt;999,'Data'!$F$7556&lt;&gt;""),'Data'!$F$7556,"")</f>
        <v/>
      </c>
      <c r="Z7555" t="n">
        <v>1</v>
      </c>
      <c r="AA7555">
        <f>IF(ISNUMBER('IN-CLASS_Lab Part C'!$J$7555),'IN-CLASS_Lab Part C'!$J$7555,NA())</f>
        <v/>
      </c>
    </row>
    <row r="7556">
      <c r="J7556">
        <f>IF(AND(ISNUMBER('Data'!$F$7557),'Data'!$F$7557&lt;&gt;999,'Data'!$F$7557&lt;&gt;""),'Data'!$F$7557,"")</f>
        <v/>
      </c>
      <c r="Z7556" t="n">
        <v>1</v>
      </c>
      <c r="AA7556">
        <f>IF(ISNUMBER('IN-CLASS_Lab Part C'!$J$7556),'IN-CLASS_Lab Part C'!$J$7556,NA())</f>
        <v/>
      </c>
    </row>
    <row r="7557">
      <c r="J7557">
        <f>IF(AND(ISNUMBER('Data'!$F$7558),'Data'!$F$7558&lt;&gt;999,'Data'!$F$7558&lt;&gt;""),'Data'!$F$7558,"")</f>
        <v/>
      </c>
      <c r="Z7557" t="n">
        <v>1</v>
      </c>
      <c r="AA7557">
        <f>IF(ISNUMBER('IN-CLASS_Lab Part C'!$J$7557),'IN-CLASS_Lab Part C'!$J$7557,NA())</f>
        <v/>
      </c>
    </row>
    <row r="7558">
      <c r="J7558">
        <f>IF(AND(ISNUMBER('Data'!$F$7559),'Data'!$F$7559&lt;&gt;999,'Data'!$F$7559&lt;&gt;""),'Data'!$F$7559,"")</f>
        <v/>
      </c>
      <c r="Z7558" t="n">
        <v>1</v>
      </c>
      <c r="AA7558">
        <f>IF(ISNUMBER('IN-CLASS_Lab Part C'!$J$7558),'IN-CLASS_Lab Part C'!$J$7558,NA())</f>
        <v/>
      </c>
    </row>
    <row r="7559">
      <c r="J7559">
        <f>IF(AND(ISNUMBER('Data'!$F$7560),'Data'!$F$7560&lt;&gt;999,'Data'!$F$7560&lt;&gt;""),'Data'!$F$7560,"")</f>
        <v/>
      </c>
      <c r="Z7559" t="n">
        <v>1</v>
      </c>
      <c r="AA7559">
        <f>IF(ISNUMBER('IN-CLASS_Lab Part C'!$J$7559),'IN-CLASS_Lab Part C'!$J$7559,NA())</f>
        <v/>
      </c>
    </row>
    <row r="7560">
      <c r="J7560">
        <f>IF(AND(ISNUMBER('Data'!$F$7561),'Data'!$F$7561&lt;&gt;999,'Data'!$F$7561&lt;&gt;""),'Data'!$F$7561,"")</f>
        <v/>
      </c>
      <c r="Z7560" t="n">
        <v>1</v>
      </c>
      <c r="AA7560">
        <f>IF(ISNUMBER('IN-CLASS_Lab Part C'!$J$7560),'IN-CLASS_Lab Part C'!$J$7560,NA())</f>
        <v/>
      </c>
    </row>
    <row r="7561">
      <c r="J7561">
        <f>IF(AND(ISNUMBER('Data'!$F$7562),'Data'!$F$7562&lt;&gt;999,'Data'!$F$7562&lt;&gt;""),'Data'!$F$7562,"")</f>
        <v/>
      </c>
      <c r="Z7561" t="n">
        <v>1</v>
      </c>
      <c r="AA7561">
        <f>IF(ISNUMBER('IN-CLASS_Lab Part C'!$J$7561),'IN-CLASS_Lab Part C'!$J$7561,NA())</f>
        <v/>
      </c>
    </row>
    <row r="7562">
      <c r="J7562">
        <f>IF(AND(ISNUMBER('Data'!$F$7563),'Data'!$F$7563&lt;&gt;999,'Data'!$F$7563&lt;&gt;""),'Data'!$F$7563,"")</f>
        <v/>
      </c>
      <c r="Z7562" t="n">
        <v>1</v>
      </c>
      <c r="AA7562">
        <f>IF(ISNUMBER('IN-CLASS_Lab Part C'!$J$7562),'IN-CLASS_Lab Part C'!$J$7562,NA())</f>
        <v/>
      </c>
    </row>
    <row r="7563">
      <c r="J7563">
        <f>IF(AND(ISNUMBER('Data'!$F$7564),'Data'!$F$7564&lt;&gt;999,'Data'!$F$7564&lt;&gt;""),'Data'!$F$7564,"")</f>
        <v/>
      </c>
      <c r="Z7563" t="n">
        <v>1</v>
      </c>
      <c r="AA7563">
        <f>IF(ISNUMBER('IN-CLASS_Lab Part C'!$J$7563),'IN-CLASS_Lab Part C'!$J$7563,NA())</f>
        <v/>
      </c>
    </row>
    <row r="7564">
      <c r="J7564">
        <f>IF(AND(ISNUMBER('Data'!$F$7565),'Data'!$F$7565&lt;&gt;999,'Data'!$F$7565&lt;&gt;""),'Data'!$F$7565,"")</f>
        <v/>
      </c>
      <c r="Z7564" t="n">
        <v>1</v>
      </c>
      <c r="AA7564">
        <f>IF(ISNUMBER('IN-CLASS_Lab Part C'!$J$7564),'IN-CLASS_Lab Part C'!$J$7564,NA())</f>
        <v/>
      </c>
    </row>
    <row r="7565">
      <c r="J7565">
        <f>IF(AND(ISNUMBER('Data'!$F$7566),'Data'!$F$7566&lt;&gt;999,'Data'!$F$7566&lt;&gt;""),'Data'!$F$7566,"")</f>
        <v/>
      </c>
      <c r="Z7565" t="n">
        <v>1</v>
      </c>
      <c r="AA7565">
        <f>IF(ISNUMBER('IN-CLASS_Lab Part C'!$J$7565),'IN-CLASS_Lab Part C'!$J$7565,NA())</f>
        <v/>
      </c>
    </row>
    <row r="7566">
      <c r="J7566">
        <f>IF(AND(ISNUMBER('Data'!$F$7567),'Data'!$F$7567&lt;&gt;999,'Data'!$F$7567&lt;&gt;""),'Data'!$F$7567,"")</f>
        <v/>
      </c>
      <c r="Z7566" t="n">
        <v>1</v>
      </c>
      <c r="AA7566">
        <f>IF(ISNUMBER('IN-CLASS_Lab Part C'!$J$7566),'IN-CLASS_Lab Part C'!$J$7566,NA())</f>
        <v/>
      </c>
    </row>
    <row r="7567">
      <c r="J7567">
        <f>IF(AND(ISNUMBER('Data'!$F$7568),'Data'!$F$7568&lt;&gt;999,'Data'!$F$7568&lt;&gt;""),'Data'!$F$7568,"")</f>
        <v/>
      </c>
      <c r="Z7567" t="n">
        <v>1</v>
      </c>
      <c r="AA7567">
        <f>IF(ISNUMBER('IN-CLASS_Lab Part C'!$J$7567),'IN-CLASS_Lab Part C'!$J$7567,NA())</f>
        <v/>
      </c>
    </row>
    <row r="7568">
      <c r="J7568">
        <f>IF(AND(ISNUMBER('Data'!$F$7569),'Data'!$F$7569&lt;&gt;999,'Data'!$F$7569&lt;&gt;""),'Data'!$F$7569,"")</f>
        <v/>
      </c>
      <c r="Z7568" t="n">
        <v>1</v>
      </c>
      <c r="AA7568">
        <f>IF(ISNUMBER('IN-CLASS_Lab Part C'!$J$7568),'IN-CLASS_Lab Part C'!$J$7568,NA())</f>
        <v/>
      </c>
    </row>
    <row r="7569">
      <c r="J7569">
        <f>IF(AND(ISNUMBER('Data'!$F$7570),'Data'!$F$7570&lt;&gt;999,'Data'!$F$7570&lt;&gt;""),'Data'!$F$7570,"")</f>
        <v/>
      </c>
      <c r="Z7569" t="n">
        <v>1</v>
      </c>
      <c r="AA7569">
        <f>IF(ISNUMBER('IN-CLASS_Lab Part C'!$J$7569),'IN-CLASS_Lab Part C'!$J$7569,NA())</f>
        <v/>
      </c>
    </row>
    <row r="7570">
      <c r="J7570">
        <f>IF(AND(ISNUMBER('Data'!$F$7571),'Data'!$F$7571&lt;&gt;999,'Data'!$F$7571&lt;&gt;""),'Data'!$F$7571,"")</f>
        <v/>
      </c>
      <c r="Z7570" t="n">
        <v>1</v>
      </c>
      <c r="AA7570">
        <f>IF(ISNUMBER('IN-CLASS_Lab Part C'!$J$7570),'IN-CLASS_Lab Part C'!$J$7570,NA())</f>
        <v/>
      </c>
    </row>
    <row r="7571">
      <c r="J7571">
        <f>IF(AND(ISNUMBER('Data'!$F$7572),'Data'!$F$7572&lt;&gt;999,'Data'!$F$7572&lt;&gt;""),'Data'!$F$7572,"")</f>
        <v/>
      </c>
      <c r="Z7571" t="n">
        <v>1</v>
      </c>
      <c r="AA7571">
        <f>IF(ISNUMBER('IN-CLASS_Lab Part C'!$J$7571),'IN-CLASS_Lab Part C'!$J$7571,NA())</f>
        <v/>
      </c>
    </row>
    <row r="7572">
      <c r="J7572">
        <f>IF(AND(ISNUMBER('Data'!$F$7573),'Data'!$F$7573&lt;&gt;999,'Data'!$F$7573&lt;&gt;""),'Data'!$F$7573,"")</f>
        <v/>
      </c>
      <c r="Z7572" t="n">
        <v>1</v>
      </c>
      <c r="AA7572">
        <f>IF(ISNUMBER('IN-CLASS_Lab Part C'!$J$7572),'IN-CLASS_Lab Part C'!$J$7572,NA())</f>
        <v/>
      </c>
    </row>
    <row r="7573">
      <c r="J7573">
        <f>IF(AND(ISNUMBER('Data'!$F$7574),'Data'!$F$7574&lt;&gt;999,'Data'!$F$7574&lt;&gt;""),'Data'!$F$7574,"")</f>
        <v/>
      </c>
      <c r="Z7573" t="n">
        <v>1</v>
      </c>
      <c r="AA7573">
        <f>IF(ISNUMBER('IN-CLASS_Lab Part C'!$J$7573),'IN-CLASS_Lab Part C'!$J$7573,NA())</f>
        <v/>
      </c>
    </row>
    <row r="7574">
      <c r="J7574">
        <f>IF(AND(ISNUMBER('Data'!$F$7575),'Data'!$F$7575&lt;&gt;999,'Data'!$F$7575&lt;&gt;""),'Data'!$F$7575,"")</f>
        <v/>
      </c>
      <c r="Z7574" t="n">
        <v>1</v>
      </c>
      <c r="AA7574">
        <f>IF(ISNUMBER('IN-CLASS_Lab Part C'!$J$7574),'IN-CLASS_Lab Part C'!$J$7574,NA())</f>
        <v/>
      </c>
    </row>
    <row r="7575">
      <c r="J7575">
        <f>IF(AND(ISNUMBER('Data'!$F$7576),'Data'!$F$7576&lt;&gt;999,'Data'!$F$7576&lt;&gt;""),'Data'!$F$7576,"")</f>
        <v/>
      </c>
      <c r="Z7575" t="n">
        <v>1</v>
      </c>
      <c r="AA7575">
        <f>IF(ISNUMBER('IN-CLASS_Lab Part C'!$J$7575),'IN-CLASS_Lab Part C'!$J$7575,NA())</f>
        <v/>
      </c>
    </row>
    <row r="7576">
      <c r="J7576">
        <f>IF(AND(ISNUMBER('Data'!$F$7577),'Data'!$F$7577&lt;&gt;999,'Data'!$F$7577&lt;&gt;""),'Data'!$F$7577,"")</f>
        <v/>
      </c>
      <c r="Z7576" t="n">
        <v>1</v>
      </c>
      <c r="AA7576">
        <f>IF(ISNUMBER('IN-CLASS_Lab Part C'!$J$7576),'IN-CLASS_Lab Part C'!$J$7576,NA())</f>
        <v/>
      </c>
    </row>
    <row r="7577">
      <c r="J7577">
        <f>IF(AND(ISNUMBER('Data'!$F$7578),'Data'!$F$7578&lt;&gt;999,'Data'!$F$7578&lt;&gt;""),'Data'!$F$7578,"")</f>
        <v/>
      </c>
      <c r="Z7577" t="n">
        <v>1</v>
      </c>
      <c r="AA7577">
        <f>IF(ISNUMBER('IN-CLASS_Lab Part C'!$J$7577),'IN-CLASS_Lab Part C'!$J$7577,NA())</f>
        <v/>
      </c>
    </row>
    <row r="7578">
      <c r="J7578">
        <f>IF(AND(ISNUMBER('Data'!$F$7579),'Data'!$F$7579&lt;&gt;999,'Data'!$F$7579&lt;&gt;""),'Data'!$F$7579,"")</f>
        <v/>
      </c>
      <c r="Z7578" t="n">
        <v>1</v>
      </c>
      <c r="AA7578">
        <f>IF(ISNUMBER('IN-CLASS_Lab Part C'!$J$7578),'IN-CLASS_Lab Part C'!$J$7578,NA())</f>
        <v/>
      </c>
    </row>
    <row r="7579">
      <c r="J7579">
        <f>IF(AND(ISNUMBER('Data'!$F$7580),'Data'!$F$7580&lt;&gt;999,'Data'!$F$7580&lt;&gt;""),'Data'!$F$7580,"")</f>
        <v/>
      </c>
      <c r="Z7579" t="n">
        <v>1</v>
      </c>
      <c r="AA7579">
        <f>IF(ISNUMBER('IN-CLASS_Lab Part C'!$J$7579),'IN-CLASS_Lab Part C'!$J$7579,NA())</f>
        <v/>
      </c>
    </row>
    <row r="7580">
      <c r="J7580">
        <f>IF(AND(ISNUMBER('Data'!$F$7581),'Data'!$F$7581&lt;&gt;999,'Data'!$F$7581&lt;&gt;""),'Data'!$F$7581,"")</f>
        <v/>
      </c>
      <c r="Z7580" t="n">
        <v>1</v>
      </c>
      <c r="AA7580">
        <f>IF(ISNUMBER('IN-CLASS_Lab Part C'!$J$7580),'IN-CLASS_Lab Part C'!$J$7580,NA())</f>
        <v/>
      </c>
    </row>
    <row r="7581">
      <c r="J7581">
        <f>IF(AND(ISNUMBER('Data'!$F$7582),'Data'!$F$7582&lt;&gt;999,'Data'!$F$7582&lt;&gt;""),'Data'!$F$7582,"")</f>
        <v/>
      </c>
      <c r="Z7581" t="n">
        <v>1</v>
      </c>
      <c r="AA7581">
        <f>IF(ISNUMBER('IN-CLASS_Lab Part C'!$J$7581),'IN-CLASS_Lab Part C'!$J$7581,NA())</f>
        <v/>
      </c>
    </row>
    <row r="7582">
      <c r="J7582">
        <f>IF(AND(ISNUMBER('Data'!$F$7583),'Data'!$F$7583&lt;&gt;999,'Data'!$F$7583&lt;&gt;""),'Data'!$F$7583,"")</f>
        <v/>
      </c>
      <c r="Z7582" t="n">
        <v>1</v>
      </c>
      <c r="AA7582">
        <f>IF(ISNUMBER('IN-CLASS_Lab Part C'!$J$7582),'IN-CLASS_Lab Part C'!$J$7582,NA())</f>
        <v/>
      </c>
    </row>
    <row r="7583">
      <c r="J7583">
        <f>IF(AND(ISNUMBER('Data'!$F$7584),'Data'!$F$7584&lt;&gt;999,'Data'!$F$7584&lt;&gt;""),'Data'!$F$7584,"")</f>
        <v/>
      </c>
      <c r="Z7583" t="n">
        <v>1</v>
      </c>
      <c r="AA7583">
        <f>IF(ISNUMBER('IN-CLASS_Lab Part C'!$J$7583),'IN-CLASS_Lab Part C'!$J$7583,NA())</f>
        <v/>
      </c>
    </row>
    <row r="7584">
      <c r="J7584">
        <f>IF(AND(ISNUMBER('Data'!$F$7585),'Data'!$F$7585&lt;&gt;999,'Data'!$F$7585&lt;&gt;""),'Data'!$F$7585,"")</f>
        <v/>
      </c>
      <c r="Z7584" t="n">
        <v>1</v>
      </c>
      <c r="AA7584">
        <f>IF(ISNUMBER('IN-CLASS_Lab Part C'!$J$7584),'IN-CLASS_Lab Part C'!$J$7584,NA())</f>
        <v/>
      </c>
    </row>
    <row r="7585">
      <c r="J7585">
        <f>IF(AND(ISNUMBER('Data'!$F$7586),'Data'!$F$7586&lt;&gt;999,'Data'!$F$7586&lt;&gt;""),'Data'!$F$7586,"")</f>
        <v/>
      </c>
      <c r="Z7585" t="n">
        <v>1</v>
      </c>
      <c r="AA7585">
        <f>IF(ISNUMBER('IN-CLASS_Lab Part C'!$J$7585),'IN-CLASS_Lab Part C'!$J$7585,NA())</f>
        <v/>
      </c>
    </row>
    <row r="7586">
      <c r="J7586">
        <f>IF(AND(ISNUMBER('Data'!$F$7587),'Data'!$F$7587&lt;&gt;999,'Data'!$F$7587&lt;&gt;""),'Data'!$F$7587,"")</f>
        <v/>
      </c>
      <c r="Z7586" t="n">
        <v>1</v>
      </c>
      <c r="AA7586">
        <f>IF(ISNUMBER('IN-CLASS_Lab Part C'!$J$7586),'IN-CLASS_Lab Part C'!$J$7586,NA())</f>
        <v/>
      </c>
    </row>
    <row r="7587">
      <c r="J7587">
        <f>IF(AND(ISNUMBER('Data'!$F$7588),'Data'!$F$7588&lt;&gt;999,'Data'!$F$7588&lt;&gt;""),'Data'!$F$7588,"")</f>
        <v/>
      </c>
      <c r="Z7587" t="n">
        <v>1</v>
      </c>
      <c r="AA7587">
        <f>IF(ISNUMBER('IN-CLASS_Lab Part C'!$J$7587),'IN-CLASS_Lab Part C'!$J$7587,NA())</f>
        <v/>
      </c>
    </row>
    <row r="7588">
      <c r="J7588">
        <f>IF(AND(ISNUMBER('Data'!$F$7589),'Data'!$F$7589&lt;&gt;999,'Data'!$F$7589&lt;&gt;""),'Data'!$F$7589,"")</f>
        <v/>
      </c>
      <c r="Z7588" t="n">
        <v>1</v>
      </c>
      <c r="AA7588">
        <f>IF(ISNUMBER('IN-CLASS_Lab Part C'!$J$7588),'IN-CLASS_Lab Part C'!$J$7588,NA())</f>
        <v/>
      </c>
    </row>
    <row r="7589">
      <c r="J7589">
        <f>IF(AND(ISNUMBER('Data'!$F$7590),'Data'!$F$7590&lt;&gt;999,'Data'!$F$7590&lt;&gt;""),'Data'!$F$7590,"")</f>
        <v/>
      </c>
      <c r="Z7589" t="n">
        <v>1</v>
      </c>
      <c r="AA7589">
        <f>IF(ISNUMBER('IN-CLASS_Lab Part C'!$J$7589),'IN-CLASS_Lab Part C'!$J$7589,NA())</f>
        <v/>
      </c>
    </row>
    <row r="7590">
      <c r="J7590">
        <f>IF(AND(ISNUMBER('Data'!$F$7591),'Data'!$F$7591&lt;&gt;999,'Data'!$F$7591&lt;&gt;""),'Data'!$F$7591,"")</f>
        <v/>
      </c>
      <c r="Z7590" t="n">
        <v>1</v>
      </c>
      <c r="AA7590">
        <f>IF(ISNUMBER('IN-CLASS_Lab Part C'!$J$7590),'IN-CLASS_Lab Part C'!$J$7590,NA())</f>
        <v/>
      </c>
    </row>
    <row r="7591">
      <c r="J7591">
        <f>IF(AND(ISNUMBER('Data'!$F$7592),'Data'!$F$7592&lt;&gt;999,'Data'!$F$7592&lt;&gt;""),'Data'!$F$7592,"")</f>
        <v/>
      </c>
      <c r="Z7591" t="n">
        <v>1</v>
      </c>
      <c r="AA7591">
        <f>IF(ISNUMBER('IN-CLASS_Lab Part C'!$J$7591),'IN-CLASS_Lab Part C'!$J$7591,NA())</f>
        <v/>
      </c>
    </row>
    <row r="7592">
      <c r="J7592">
        <f>IF(AND(ISNUMBER('Data'!$F$7593),'Data'!$F$7593&lt;&gt;999,'Data'!$F$7593&lt;&gt;""),'Data'!$F$7593,"")</f>
        <v/>
      </c>
      <c r="Z7592" t="n">
        <v>1</v>
      </c>
      <c r="AA7592">
        <f>IF(ISNUMBER('IN-CLASS_Lab Part C'!$J$7592),'IN-CLASS_Lab Part C'!$J$7592,NA())</f>
        <v/>
      </c>
    </row>
    <row r="7593">
      <c r="J7593">
        <f>IF(AND(ISNUMBER('Data'!$F$7594),'Data'!$F$7594&lt;&gt;999,'Data'!$F$7594&lt;&gt;""),'Data'!$F$7594,"")</f>
        <v/>
      </c>
      <c r="Z7593" t="n">
        <v>1</v>
      </c>
      <c r="AA7593">
        <f>IF(ISNUMBER('IN-CLASS_Lab Part C'!$J$7593),'IN-CLASS_Lab Part C'!$J$7593,NA())</f>
        <v/>
      </c>
    </row>
    <row r="7594">
      <c r="J7594">
        <f>IF(AND(ISNUMBER('Data'!$F$7595),'Data'!$F$7595&lt;&gt;999,'Data'!$F$7595&lt;&gt;""),'Data'!$F$7595,"")</f>
        <v/>
      </c>
      <c r="Z7594" t="n">
        <v>1</v>
      </c>
      <c r="AA7594">
        <f>IF(ISNUMBER('IN-CLASS_Lab Part C'!$J$7594),'IN-CLASS_Lab Part C'!$J$7594,NA())</f>
        <v/>
      </c>
    </row>
    <row r="7595">
      <c r="J7595">
        <f>IF(AND(ISNUMBER('Data'!$F$7596),'Data'!$F$7596&lt;&gt;999,'Data'!$F$7596&lt;&gt;""),'Data'!$F$7596,"")</f>
        <v/>
      </c>
      <c r="Z7595" t="n">
        <v>1</v>
      </c>
      <c r="AA7595">
        <f>IF(ISNUMBER('IN-CLASS_Lab Part C'!$J$7595),'IN-CLASS_Lab Part C'!$J$7595,NA())</f>
        <v/>
      </c>
    </row>
    <row r="7596">
      <c r="J7596">
        <f>IF(AND(ISNUMBER('Data'!$F$7597),'Data'!$F$7597&lt;&gt;999,'Data'!$F$7597&lt;&gt;""),'Data'!$F$7597,"")</f>
        <v/>
      </c>
      <c r="Z7596" t="n">
        <v>1</v>
      </c>
      <c r="AA7596">
        <f>IF(ISNUMBER('IN-CLASS_Lab Part C'!$J$7596),'IN-CLASS_Lab Part C'!$J$7596,NA())</f>
        <v/>
      </c>
    </row>
    <row r="7597">
      <c r="J7597">
        <f>IF(AND(ISNUMBER('Data'!$F$7598),'Data'!$F$7598&lt;&gt;999,'Data'!$F$7598&lt;&gt;""),'Data'!$F$7598,"")</f>
        <v/>
      </c>
      <c r="Z7597" t="n">
        <v>1</v>
      </c>
      <c r="AA7597">
        <f>IF(ISNUMBER('IN-CLASS_Lab Part C'!$J$7597),'IN-CLASS_Lab Part C'!$J$7597,NA())</f>
        <v/>
      </c>
    </row>
    <row r="7598">
      <c r="J7598">
        <f>IF(AND(ISNUMBER('Data'!$F$7599),'Data'!$F$7599&lt;&gt;999,'Data'!$F$7599&lt;&gt;""),'Data'!$F$7599,"")</f>
        <v/>
      </c>
      <c r="Z7598" t="n">
        <v>1</v>
      </c>
      <c r="AA7598">
        <f>IF(ISNUMBER('IN-CLASS_Lab Part C'!$J$7598),'IN-CLASS_Lab Part C'!$J$7598,NA())</f>
        <v/>
      </c>
    </row>
    <row r="7599">
      <c r="J7599">
        <f>IF(AND(ISNUMBER('Data'!$F$7600),'Data'!$F$7600&lt;&gt;999,'Data'!$F$7600&lt;&gt;""),'Data'!$F$7600,"")</f>
        <v/>
      </c>
      <c r="Z7599" t="n">
        <v>1</v>
      </c>
      <c r="AA7599">
        <f>IF(ISNUMBER('IN-CLASS_Lab Part C'!$J$7599),'IN-CLASS_Lab Part C'!$J$7599,NA())</f>
        <v/>
      </c>
    </row>
    <row r="7600">
      <c r="J7600">
        <f>IF(AND(ISNUMBER('Data'!$F$7601),'Data'!$F$7601&lt;&gt;999,'Data'!$F$7601&lt;&gt;""),'Data'!$F$7601,"")</f>
        <v/>
      </c>
      <c r="Z7600" t="n">
        <v>1</v>
      </c>
      <c r="AA7600">
        <f>IF(ISNUMBER('IN-CLASS_Lab Part C'!$J$7600),'IN-CLASS_Lab Part C'!$J$7600,NA())</f>
        <v/>
      </c>
    </row>
    <row r="7601">
      <c r="J7601">
        <f>IF(AND(ISNUMBER('Data'!$F$7602),'Data'!$F$7602&lt;&gt;999,'Data'!$F$7602&lt;&gt;""),'Data'!$F$7602,"")</f>
        <v/>
      </c>
      <c r="Z7601" t="n">
        <v>1</v>
      </c>
      <c r="AA7601">
        <f>IF(ISNUMBER('IN-CLASS_Lab Part C'!$J$7601),'IN-CLASS_Lab Part C'!$J$7601,NA())</f>
        <v/>
      </c>
    </row>
    <row r="7602">
      <c r="J7602">
        <f>IF(AND(ISNUMBER('Data'!$F$7603),'Data'!$F$7603&lt;&gt;999,'Data'!$F$7603&lt;&gt;""),'Data'!$F$7603,"")</f>
        <v/>
      </c>
      <c r="Z7602" t="n">
        <v>1</v>
      </c>
      <c r="AA7602">
        <f>IF(ISNUMBER('IN-CLASS_Lab Part C'!$J$7602),'IN-CLASS_Lab Part C'!$J$7602,NA())</f>
        <v/>
      </c>
    </row>
    <row r="7603">
      <c r="J7603">
        <f>IF(AND(ISNUMBER('Data'!$F$7604),'Data'!$F$7604&lt;&gt;999,'Data'!$F$7604&lt;&gt;""),'Data'!$F$7604,"")</f>
        <v/>
      </c>
      <c r="Z7603" t="n">
        <v>1</v>
      </c>
      <c r="AA7603">
        <f>IF(ISNUMBER('IN-CLASS_Lab Part C'!$J$7603),'IN-CLASS_Lab Part C'!$J$7603,NA())</f>
        <v/>
      </c>
    </row>
    <row r="7604">
      <c r="J7604">
        <f>IF(AND(ISNUMBER('Data'!$F$7605),'Data'!$F$7605&lt;&gt;999,'Data'!$F$7605&lt;&gt;""),'Data'!$F$7605,"")</f>
        <v/>
      </c>
      <c r="Z7604" t="n">
        <v>1</v>
      </c>
      <c r="AA7604">
        <f>IF(ISNUMBER('IN-CLASS_Lab Part C'!$J$7604),'IN-CLASS_Lab Part C'!$J$7604,NA())</f>
        <v/>
      </c>
    </row>
    <row r="7605">
      <c r="J7605">
        <f>IF(AND(ISNUMBER('Data'!$F$7606),'Data'!$F$7606&lt;&gt;999,'Data'!$F$7606&lt;&gt;""),'Data'!$F$7606,"")</f>
        <v/>
      </c>
      <c r="Z7605" t="n">
        <v>1</v>
      </c>
      <c r="AA7605">
        <f>IF(ISNUMBER('IN-CLASS_Lab Part C'!$J$7605),'IN-CLASS_Lab Part C'!$J$7605,NA())</f>
        <v/>
      </c>
    </row>
    <row r="7606">
      <c r="J7606">
        <f>IF(AND(ISNUMBER('Data'!$F$7607),'Data'!$F$7607&lt;&gt;999,'Data'!$F$7607&lt;&gt;""),'Data'!$F$7607,"")</f>
        <v/>
      </c>
      <c r="Z7606" t="n">
        <v>1</v>
      </c>
      <c r="AA7606">
        <f>IF(ISNUMBER('IN-CLASS_Lab Part C'!$J$7606),'IN-CLASS_Lab Part C'!$J$7606,NA())</f>
        <v/>
      </c>
    </row>
    <row r="7607">
      <c r="J7607">
        <f>IF(AND(ISNUMBER('Data'!$F$7608),'Data'!$F$7608&lt;&gt;999,'Data'!$F$7608&lt;&gt;""),'Data'!$F$7608,"")</f>
        <v/>
      </c>
      <c r="Z7607" t="n">
        <v>1</v>
      </c>
      <c r="AA7607">
        <f>IF(ISNUMBER('IN-CLASS_Lab Part C'!$J$7607),'IN-CLASS_Lab Part C'!$J$7607,NA())</f>
        <v/>
      </c>
    </row>
    <row r="7608">
      <c r="J7608">
        <f>IF(AND(ISNUMBER('Data'!$F$7609),'Data'!$F$7609&lt;&gt;999,'Data'!$F$7609&lt;&gt;""),'Data'!$F$7609,"")</f>
        <v/>
      </c>
      <c r="Z7608" t="n">
        <v>1</v>
      </c>
      <c r="AA7608">
        <f>IF(ISNUMBER('IN-CLASS_Lab Part C'!$J$7608),'IN-CLASS_Lab Part C'!$J$7608,NA())</f>
        <v/>
      </c>
    </row>
    <row r="7609">
      <c r="J7609">
        <f>IF(AND(ISNUMBER('Data'!$F$7610),'Data'!$F$7610&lt;&gt;999,'Data'!$F$7610&lt;&gt;""),'Data'!$F$7610,"")</f>
        <v/>
      </c>
      <c r="Z7609" t="n">
        <v>1</v>
      </c>
      <c r="AA7609">
        <f>IF(ISNUMBER('IN-CLASS_Lab Part C'!$J$7609),'IN-CLASS_Lab Part C'!$J$7609,NA())</f>
        <v/>
      </c>
    </row>
    <row r="7610">
      <c r="J7610">
        <f>IF(AND(ISNUMBER('Data'!$F$7611),'Data'!$F$7611&lt;&gt;999,'Data'!$F$7611&lt;&gt;""),'Data'!$F$7611,"")</f>
        <v/>
      </c>
      <c r="Z7610" t="n">
        <v>1</v>
      </c>
      <c r="AA7610">
        <f>IF(ISNUMBER('IN-CLASS_Lab Part C'!$J$7610),'IN-CLASS_Lab Part C'!$J$7610,NA())</f>
        <v/>
      </c>
    </row>
    <row r="7611">
      <c r="J7611">
        <f>IF(AND(ISNUMBER('Data'!$F$7612),'Data'!$F$7612&lt;&gt;999,'Data'!$F$7612&lt;&gt;""),'Data'!$F$7612,"")</f>
        <v/>
      </c>
      <c r="Z7611" t="n">
        <v>1</v>
      </c>
      <c r="AA7611">
        <f>IF(ISNUMBER('IN-CLASS_Lab Part C'!$J$7611),'IN-CLASS_Lab Part C'!$J$7611,NA())</f>
        <v/>
      </c>
    </row>
    <row r="7612">
      <c r="J7612">
        <f>IF(AND(ISNUMBER('Data'!$F$7613),'Data'!$F$7613&lt;&gt;999,'Data'!$F$7613&lt;&gt;""),'Data'!$F$7613,"")</f>
        <v/>
      </c>
      <c r="Z7612" t="n">
        <v>1</v>
      </c>
      <c r="AA7612">
        <f>IF(ISNUMBER('IN-CLASS_Lab Part C'!$J$7612),'IN-CLASS_Lab Part C'!$J$7612,NA())</f>
        <v/>
      </c>
    </row>
    <row r="7613">
      <c r="J7613">
        <f>IF(AND(ISNUMBER('Data'!$F$7614),'Data'!$F$7614&lt;&gt;999,'Data'!$F$7614&lt;&gt;""),'Data'!$F$7614,"")</f>
        <v/>
      </c>
      <c r="Z7613" t="n">
        <v>1</v>
      </c>
      <c r="AA7613">
        <f>IF(ISNUMBER('IN-CLASS_Lab Part C'!$J$7613),'IN-CLASS_Lab Part C'!$J$7613,NA())</f>
        <v/>
      </c>
    </row>
    <row r="7614">
      <c r="J7614">
        <f>IF(AND(ISNUMBER('Data'!$F$7615),'Data'!$F$7615&lt;&gt;999,'Data'!$F$7615&lt;&gt;""),'Data'!$F$7615,"")</f>
        <v/>
      </c>
      <c r="Z7614" t="n">
        <v>1</v>
      </c>
      <c r="AA7614">
        <f>IF(ISNUMBER('IN-CLASS_Lab Part C'!$J$7614),'IN-CLASS_Lab Part C'!$J$7614,NA())</f>
        <v/>
      </c>
    </row>
    <row r="7615">
      <c r="J7615">
        <f>IF(AND(ISNUMBER('Data'!$F$7616),'Data'!$F$7616&lt;&gt;999,'Data'!$F$7616&lt;&gt;""),'Data'!$F$7616,"")</f>
        <v/>
      </c>
      <c r="Z7615" t="n">
        <v>1</v>
      </c>
      <c r="AA7615">
        <f>IF(ISNUMBER('IN-CLASS_Lab Part C'!$J$7615),'IN-CLASS_Lab Part C'!$J$7615,NA())</f>
        <v/>
      </c>
    </row>
    <row r="7616">
      <c r="J7616">
        <f>IF(AND(ISNUMBER('Data'!$F$7617),'Data'!$F$7617&lt;&gt;999,'Data'!$F$7617&lt;&gt;""),'Data'!$F$7617,"")</f>
        <v/>
      </c>
      <c r="Z7616" t="n">
        <v>1</v>
      </c>
      <c r="AA7616">
        <f>IF(ISNUMBER('IN-CLASS_Lab Part C'!$J$7616),'IN-CLASS_Lab Part C'!$J$7616,NA())</f>
        <v/>
      </c>
    </row>
    <row r="7617">
      <c r="J7617">
        <f>IF(AND(ISNUMBER('Data'!$F$7618),'Data'!$F$7618&lt;&gt;999,'Data'!$F$7618&lt;&gt;""),'Data'!$F$7618,"")</f>
        <v/>
      </c>
      <c r="Z7617" t="n">
        <v>1</v>
      </c>
      <c r="AA7617">
        <f>IF(ISNUMBER('IN-CLASS_Lab Part C'!$J$7617),'IN-CLASS_Lab Part C'!$J$7617,NA())</f>
        <v/>
      </c>
    </row>
    <row r="7618">
      <c r="J7618">
        <f>IF(AND(ISNUMBER('Data'!$F$7619),'Data'!$F$7619&lt;&gt;999,'Data'!$F$7619&lt;&gt;""),'Data'!$F$7619,"")</f>
        <v/>
      </c>
      <c r="Z7618" t="n">
        <v>1</v>
      </c>
      <c r="AA7618">
        <f>IF(ISNUMBER('IN-CLASS_Lab Part C'!$J$7618),'IN-CLASS_Lab Part C'!$J$7618,NA())</f>
        <v/>
      </c>
    </row>
    <row r="7619">
      <c r="J7619">
        <f>IF(AND(ISNUMBER('Data'!$F$7620),'Data'!$F$7620&lt;&gt;999,'Data'!$F$7620&lt;&gt;""),'Data'!$F$7620,"")</f>
        <v/>
      </c>
      <c r="Z7619" t="n">
        <v>1</v>
      </c>
      <c r="AA7619">
        <f>IF(ISNUMBER('IN-CLASS_Lab Part C'!$J$7619),'IN-CLASS_Lab Part C'!$J$7619,NA())</f>
        <v/>
      </c>
    </row>
    <row r="7620">
      <c r="J7620">
        <f>IF(AND(ISNUMBER('Data'!$F$7621),'Data'!$F$7621&lt;&gt;999,'Data'!$F$7621&lt;&gt;""),'Data'!$F$7621,"")</f>
        <v/>
      </c>
      <c r="Z7620" t="n">
        <v>1</v>
      </c>
      <c r="AA7620">
        <f>IF(ISNUMBER('IN-CLASS_Lab Part C'!$J$7620),'IN-CLASS_Lab Part C'!$J$7620,NA())</f>
        <v/>
      </c>
    </row>
    <row r="7621">
      <c r="J7621">
        <f>IF(AND(ISNUMBER('Data'!$F$7622),'Data'!$F$7622&lt;&gt;999,'Data'!$F$7622&lt;&gt;""),'Data'!$F$7622,"")</f>
        <v/>
      </c>
      <c r="Z7621" t="n">
        <v>1</v>
      </c>
      <c r="AA7621">
        <f>IF(ISNUMBER('IN-CLASS_Lab Part C'!$J$7621),'IN-CLASS_Lab Part C'!$J$7621,NA())</f>
        <v/>
      </c>
    </row>
    <row r="7622">
      <c r="J7622">
        <f>IF(AND(ISNUMBER('Data'!$F$7623),'Data'!$F$7623&lt;&gt;999,'Data'!$F$7623&lt;&gt;""),'Data'!$F$7623,"")</f>
        <v/>
      </c>
      <c r="Z7622" t="n">
        <v>1</v>
      </c>
      <c r="AA7622">
        <f>IF(ISNUMBER('IN-CLASS_Lab Part C'!$J$7622),'IN-CLASS_Lab Part C'!$J$7622,NA())</f>
        <v/>
      </c>
    </row>
    <row r="7623">
      <c r="J7623">
        <f>IF(AND(ISNUMBER('Data'!$F$7624),'Data'!$F$7624&lt;&gt;999,'Data'!$F$7624&lt;&gt;""),'Data'!$F$7624,"")</f>
        <v/>
      </c>
      <c r="Z7623" t="n">
        <v>1</v>
      </c>
      <c r="AA7623">
        <f>IF(ISNUMBER('IN-CLASS_Lab Part C'!$J$7623),'IN-CLASS_Lab Part C'!$J$7623,NA())</f>
        <v/>
      </c>
    </row>
    <row r="7624">
      <c r="J7624">
        <f>IF(AND(ISNUMBER('Data'!$F$7625),'Data'!$F$7625&lt;&gt;999,'Data'!$F$7625&lt;&gt;""),'Data'!$F$7625,"")</f>
        <v/>
      </c>
      <c r="Z7624" t="n">
        <v>1</v>
      </c>
      <c r="AA7624">
        <f>IF(ISNUMBER('IN-CLASS_Lab Part C'!$J$7624),'IN-CLASS_Lab Part C'!$J$7624,NA())</f>
        <v/>
      </c>
    </row>
    <row r="7625">
      <c r="J7625">
        <f>IF(AND(ISNUMBER('Data'!$F$7626),'Data'!$F$7626&lt;&gt;999,'Data'!$F$7626&lt;&gt;""),'Data'!$F$7626,"")</f>
        <v/>
      </c>
      <c r="Z7625" t="n">
        <v>1</v>
      </c>
      <c r="AA7625">
        <f>IF(ISNUMBER('IN-CLASS_Lab Part C'!$J$7625),'IN-CLASS_Lab Part C'!$J$7625,NA())</f>
        <v/>
      </c>
    </row>
    <row r="7626">
      <c r="J7626">
        <f>IF(AND(ISNUMBER('Data'!$F$7627),'Data'!$F$7627&lt;&gt;999,'Data'!$F$7627&lt;&gt;""),'Data'!$F$7627,"")</f>
        <v/>
      </c>
      <c r="Z7626" t="n">
        <v>1</v>
      </c>
      <c r="AA7626">
        <f>IF(ISNUMBER('IN-CLASS_Lab Part C'!$J$7626),'IN-CLASS_Lab Part C'!$J$7626,NA())</f>
        <v/>
      </c>
    </row>
    <row r="7627">
      <c r="J7627">
        <f>IF(AND(ISNUMBER('Data'!$F$7628),'Data'!$F$7628&lt;&gt;999,'Data'!$F$7628&lt;&gt;""),'Data'!$F$7628,"")</f>
        <v/>
      </c>
      <c r="Z7627" t="n">
        <v>1</v>
      </c>
      <c r="AA7627">
        <f>IF(ISNUMBER('IN-CLASS_Lab Part C'!$J$7627),'IN-CLASS_Lab Part C'!$J$7627,NA())</f>
        <v/>
      </c>
    </row>
    <row r="7628">
      <c r="J7628">
        <f>IF(AND(ISNUMBER('Data'!$F$7629),'Data'!$F$7629&lt;&gt;999,'Data'!$F$7629&lt;&gt;""),'Data'!$F$7629,"")</f>
        <v/>
      </c>
      <c r="Z7628" t="n">
        <v>1</v>
      </c>
      <c r="AA7628">
        <f>IF(ISNUMBER('IN-CLASS_Lab Part C'!$J$7628),'IN-CLASS_Lab Part C'!$J$7628,NA())</f>
        <v/>
      </c>
    </row>
    <row r="7629">
      <c r="J7629">
        <f>IF(AND(ISNUMBER('Data'!$F$7630),'Data'!$F$7630&lt;&gt;999,'Data'!$F$7630&lt;&gt;""),'Data'!$F$7630,"")</f>
        <v/>
      </c>
      <c r="Z7629" t="n">
        <v>1</v>
      </c>
      <c r="AA7629">
        <f>IF(ISNUMBER('IN-CLASS_Lab Part C'!$J$7629),'IN-CLASS_Lab Part C'!$J$7629,NA())</f>
        <v/>
      </c>
    </row>
    <row r="7630">
      <c r="J7630">
        <f>IF(AND(ISNUMBER('Data'!$F$7631),'Data'!$F$7631&lt;&gt;999,'Data'!$F$7631&lt;&gt;""),'Data'!$F$7631,"")</f>
        <v/>
      </c>
      <c r="Z7630" t="n">
        <v>1</v>
      </c>
      <c r="AA7630">
        <f>IF(ISNUMBER('IN-CLASS_Lab Part C'!$J$7630),'IN-CLASS_Lab Part C'!$J$7630,NA())</f>
        <v/>
      </c>
    </row>
    <row r="7631">
      <c r="J7631">
        <f>IF(AND(ISNUMBER('Data'!$F$7632),'Data'!$F$7632&lt;&gt;999,'Data'!$F$7632&lt;&gt;""),'Data'!$F$7632,"")</f>
        <v/>
      </c>
      <c r="Z7631" t="n">
        <v>1</v>
      </c>
      <c r="AA7631">
        <f>IF(ISNUMBER('IN-CLASS_Lab Part C'!$J$7631),'IN-CLASS_Lab Part C'!$J$7631,NA())</f>
        <v/>
      </c>
    </row>
    <row r="7632">
      <c r="J7632">
        <f>IF(AND(ISNUMBER('Data'!$F$7633),'Data'!$F$7633&lt;&gt;999,'Data'!$F$7633&lt;&gt;""),'Data'!$F$7633,"")</f>
        <v/>
      </c>
      <c r="Z7632" t="n">
        <v>1</v>
      </c>
      <c r="AA7632">
        <f>IF(ISNUMBER('IN-CLASS_Lab Part C'!$J$7632),'IN-CLASS_Lab Part C'!$J$7632,NA())</f>
        <v/>
      </c>
    </row>
    <row r="7633">
      <c r="J7633">
        <f>IF(AND(ISNUMBER('Data'!$F$7634),'Data'!$F$7634&lt;&gt;999,'Data'!$F$7634&lt;&gt;""),'Data'!$F$7634,"")</f>
        <v/>
      </c>
      <c r="Z7633" t="n">
        <v>1</v>
      </c>
      <c r="AA7633">
        <f>IF(ISNUMBER('IN-CLASS_Lab Part C'!$J$7633),'IN-CLASS_Lab Part C'!$J$7633,NA())</f>
        <v/>
      </c>
    </row>
    <row r="7634">
      <c r="J7634">
        <f>IF(AND(ISNUMBER('Data'!$F$7635),'Data'!$F$7635&lt;&gt;999,'Data'!$F$7635&lt;&gt;""),'Data'!$F$7635,"")</f>
        <v/>
      </c>
      <c r="Z7634" t="n">
        <v>1</v>
      </c>
      <c r="AA7634">
        <f>IF(ISNUMBER('IN-CLASS_Lab Part C'!$J$7634),'IN-CLASS_Lab Part C'!$J$7634,NA())</f>
        <v/>
      </c>
    </row>
    <row r="7635">
      <c r="J7635">
        <f>IF(AND(ISNUMBER('Data'!$F$7636),'Data'!$F$7636&lt;&gt;999,'Data'!$F$7636&lt;&gt;""),'Data'!$F$7636,"")</f>
        <v/>
      </c>
      <c r="Z7635" t="n">
        <v>1</v>
      </c>
      <c r="AA7635">
        <f>IF(ISNUMBER('IN-CLASS_Lab Part C'!$J$7635),'IN-CLASS_Lab Part C'!$J$7635,NA())</f>
        <v/>
      </c>
    </row>
    <row r="7636">
      <c r="J7636">
        <f>IF(AND(ISNUMBER('Data'!$F$7637),'Data'!$F$7637&lt;&gt;999,'Data'!$F$7637&lt;&gt;""),'Data'!$F$7637,"")</f>
        <v/>
      </c>
      <c r="Z7636" t="n">
        <v>1</v>
      </c>
      <c r="AA7636">
        <f>IF(ISNUMBER('IN-CLASS_Lab Part C'!$J$7636),'IN-CLASS_Lab Part C'!$J$7636,NA())</f>
        <v/>
      </c>
    </row>
    <row r="7637">
      <c r="J7637">
        <f>IF(AND(ISNUMBER('Data'!$F$7638),'Data'!$F$7638&lt;&gt;999,'Data'!$F$7638&lt;&gt;""),'Data'!$F$7638,"")</f>
        <v/>
      </c>
      <c r="Z7637" t="n">
        <v>1</v>
      </c>
      <c r="AA7637">
        <f>IF(ISNUMBER('IN-CLASS_Lab Part C'!$J$7637),'IN-CLASS_Lab Part C'!$J$7637,NA())</f>
        <v/>
      </c>
    </row>
    <row r="7638">
      <c r="J7638">
        <f>IF(AND(ISNUMBER('Data'!$F$7639),'Data'!$F$7639&lt;&gt;999,'Data'!$F$7639&lt;&gt;""),'Data'!$F$7639,"")</f>
        <v/>
      </c>
      <c r="Z7638" t="n">
        <v>1</v>
      </c>
      <c r="AA7638">
        <f>IF(ISNUMBER('IN-CLASS_Lab Part C'!$J$7638),'IN-CLASS_Lab Part C'!$J$7638,NA())</f>
        <v/>
      </c>
    </row>
    <row r="7639">
      <c r="J7639">
        <f>IF(AND(ISNUMBER('Data'!$F$7640),'Data'!$F$7640&lt;&gt;999,'Data'!$F$7640&lt;&gt;""),'Data'!$F$7640,"")</f>
        <v/>
      </c>
      <c r="Z7639" t="n">
        <v>1</v>
      </c>
      <c r="AA7639">
        <f>IF(ISNUMBER('IN-CLASS_Lab Part C'!$J$7639),'IN-CLASS_Lab Part C'!$J$7639,NA())</f>
        <v/>
      </c>
    </row>
    <row r="7640">
      <c r="J7640">
        <f>IF(AND(ISNUMBER('Data'!$F$7641),'Data'!$F$7641&lt;&gt;999,'Data'!$F$7641&lt;&gt;""),'Data'!$F$7641,"")</f>
        <v/>
      </c>
      <c r="Z7640" t="n">
        <v>1</v>
      </c>
      <c r="AA7640">
        <f>IF(ISNUMBER('IN-CLASS_Lab Part C'!$J$7640),'IN-CLASS_Lab Part C'!$J$7640,NA())</f>
        <v/>
      </c>
    </row>
    <row r="7641">
      <c r="J7641">
        <f>IF(AND(ISNUMBER('Data'!$F$7642),'Data'!$F$7642&lt;&gt;999,'Data'!$F$7642&lt;&gt;""),'Data'!$F$7642,"")</f>
        <v/>
      </c>
      <c r="Z7641" t="n">
        <v>1</v>
      </c>
      <c r="AA7641">
        <f>IF(ISNUMBER('IN-CLASS_Lab Part C'!$J$7641),'IN-CLASS_Lab Part C'!$J$7641,NA())</f>
        <v/>
      </c>
    </row>
    <row r="7642">
      <c r="J7642">
        <f>IF(AND(ISNUMBER('Data'!$F$7643),'Data'!$F$7643&lt;&gt;999,'Data'!$F$7643&lt;&gt;""),'Data'!$F$7643,"")</f>
        <v/>
      </c>
      <c r="Z7642" t="n">
        <v>1</v>
      </c>
      <c r="AA7642">
        <f>IF(ISNUMBER('IN-CLASS_Lab Part C'!$J$7642),'IN-CLASS_Lab Part C'!$J$7642,NA())</f>
        <v/>
      </c>
    </row>
    <row r="7643">
      <c r="J7643">
        <f>IF(AND(ISNUMBER('Data'!$F$7644),'Data'!$F$7644&lt;&gt;999,'Data'!$F$7644&lt;&gt;""),'Data'!$F$7644,"")</f>
        <v/>
      </c>
      <c r="Z7643" t="n">
        <v>1</v>
      </c>
      <c r="AA7643">
        <f>IF(ISNUMBER('IN-CLASS_Lab Part C'!$J$7643),'IN-CLASS_Lab Part C'!$J$7643,NA())</f>
        <v/>
      </c>
    </row>
    <row r="7644">
      <c r="J7644">
        <f>IF(AND(ISNUMBER('Data'!$F$7645),'Data'!$F$7645&lt;&gt;999,'Data'!$F$7645&lt;&gt;""),'Data'!$F$7645,"")</f>
        <v/>
      </c>
      <c r="Z7644" t="n">
        <v>1</v>
      </c>
      <c r="AA7644">
        <f>IF(ISNUMBER('IN-CLASS_Lab Part C'!$J$7644),'IN-CLASS_Lab Part C'!$J$7644,NA())</f>
        <v/>
      </c>
    </row>
    <row r="7645">
      <c r="J7645">
        <f>IF(AND(ISNUMBER('Data'!$F$7646),'Data'!$F$7646&lt;&gt;999,'Data'!$F$7646&lt;&gt;""),'Data'!$F$7646,"")</f>
        <v/>
      </c>
      <c r="Z7645" t="n">
        <v>1</v>
      </c>
      <c r="AA7645">
        <f>IF(ISNUMBER('IN-CLASS_Lab Part C'!$J$7645),'IN-CLASS_Lab Part C'!$J$7645,NA())</f>
        <v/>
      </c>
    </row>
    <row r="7646">
      <c r="J7646">
        <f>IF(AND(ISNUMBER('Data'!$F$7647),'Data'!$F$7647&lt;&gt;999,'Data'!$F$7647&lt;&gt;""),'Data'!$F$7647,"")</f>
        <v/>
      </c>
      <c r="Z7646" t="n">
        <v>1</v>
      </c>
      <c r="AA7646">
        <f>IF(ISNUMBER('IN-CLASS_Lab Part C'!$J$7646),'IN-CLASS_Lab Part C'!$J$7646,NA())</f>
        <v/>
      </c>
    </row>
    <row r="7647">
      <c r="J7647">
        <f>IF(AND(ISNUMBER('Data'!$F$7648),'Data'!$F$7648&lt;&gt;999,'Data'!$F$7648&lt;&gt;""),'Data'!$F$7648,"")</f>
        <v/>
      </c>
      <c r="Z7647" t="n">
        <v>1</v>
      </c>
      <c r="AA7647">
        <f>IF(ISNUMBER('IN-CLASS_Lab Part C'!$J$7647),'IN-CLASS_Lab Part C'!$J$7647,NA())</f>
        <v/>
      </c>
    </row>
    <row r="7648">
      <c r="J7648">
        <f>IF(AND(ISNUMBER('Data'!$F$7649),'Data'!$F$7649&lt;&gt;999,'Data'!$F$7649&lt;&gt;""),'Data'!$F$7649,"")</f>
        <v/>
      </c>
      <c r="Z7648" t="n">
        <v>1</v>
      </c>
      <c r="AA7648">
        <f>IF(ISNUMBER('IN-CLASS_Lab Part C'!$J$7648),'IN-CLASS_Lab Part C'!$J$7648,NA())</f>
        <v/>
      </c>
    </row>
    <row r="7649">
      <c r="J7649">
        <f>IF(AND(ISNUMBER('Data'!$F$7650),'Data'!$F$7650&lt;&gt;999,'Data'!$F$7650&lt;&gt;""),'Data'!$F$7650,"")</f>
        <v/>
      </c>
      <c r="Z7649" t="n">
        <v>1</v>
      </c>
      <c r="AA7649">
        <f>IF(ISNUMBER('IN-CLASS_Lab Part C'!$J$7649),'IN-CLASS_Lab Part C'!$J$7649,NA())</f>
        <v/>
      </c>
    </row>
    <row r="7650">
      <c r="J7650">
        <f>IF(AND(ISNUMBER('Data'!$F$7651),'Data'!$F$7651&lt;&gt;999,'Data'!$F$7651&lt;&gt;""),'Data'!$F$7651,"")</f>
        <v/>
      </c>
      <c r="Z7650" t="n">
        <v>1</v>
      </c>
      <c r="AA7650">
        <f>IF(ISNUMBER('IN-CLASS_Lab Part C'!$J$7650),'IN-CLASS_Lab Part C'!$J$7650,NA())</f>
        <v/>
      </c>
    </row>
    <row r="7651">
      <c r="J7651">
        <f>IF(AND(ISNUMBER('Data'!$F$7652),'Data'!$F$7652&lt;&gt;999,'Data'!$F$7652&lt;&gt;""),'Data'!$F$7652,"")</f>
        <v/>
      </c>
      <c r="Z7651" t="n">
        <v>1</v>
      </c>
      <c r="AA7651">
        <f>IF(ISNUMBER('IN-CLASS_Lab Part C'!$J$7651),'IN-CLASS_Lab Part C'!$J$7651,NA())</f>
        <v/>
      </c>
    </row>
    <row r="7652">
      <c r="J7652">
        <f>IF(AND(ISNUMBER('Data'!$F$7653),'Data'!$F$7653&lt;&gt;999,'Data'!$F$7653&lt;&gt;""),'Data'!$F$7653,"")</f>
        <v/>
      </c>
      <c r="Z7652" t="n">
        <v>1</v>
      </c>
      <c r="AA7652">
        <f>IF(ISNUMBER('IN-CLASS_Lab Part C'!$J$7652),'IN-CLASS_Lab Part C'!$J$7652,NA())</f>
        <v/>
      </c>
    </row>
    <row r="7653">
      <c r="J7653">
        <f>IF(AND(ISNUMBER('Data'!$F$7654),'Data'!$F$7654&lt;&gt;999,'Data'!$F$7654&lt;&gt;""),'Data'!$F$7654,"")</f>
        <v/>
      </c>
      <c r="Z7653" t="n">
        <v>1</v>
      </c>
      <c r="AA7653">
        <f>IF(ISNUMBER('IN-CLASS_Lab Part C'!$J$7653),'IN-CLASS_Lab Part C'!$J$7653,NA())</f>
        <v/>
      </c>
    </row>
    <row r="7654">
      <c r="J7654">
        <f>IF(AND(ISNUMBER('Data'!$F$7655),'Data'!$F$7655&lt;&gt;999,'Data'!$F$7655&lt;&gt;""),'Data'!$F$7655,"")</f>
        <v/>
      </c>
      <c r="Z7654" t="n">
        <v>1</v>
      </c>
      <c r="AA7654">
        <f>IF(ISNUMBER('IN-CLASS_Lab Part C'!$J$7654),'IN-CLASS_Lab Part C'!$J$7654,NA())</f>
        <v/>
      </c>
    </row>
    <row r="7655">
      <c r="J7655">
        <f>IF(AND(ISNUMBER('Data'!$F$7656),'Data'!$F$7656&lt;&gt;999,'Data'!$F$7656&lt;&gt;""),'Data'!$F$7656,"")</f>
        <v/>
      </c>
      <c r="Z7655" t="n">
        <v>1</v>
      </c>
      <c r="AA7655">
        <f>IF(ISNUMBER('IN-CLASS_Lab Part C'!$J$7655),'IN-CLASS_Lab Part C'!$J$7655,NA())</f>
        <v/>
      </c>
    </row>
    <row r="7656">
      <c r="J7656">
        <f>IF(AND(ISNUMBER('Data'!$F$7657),'Data'!$F$7657&lt;&gt;999,'Data'!$F$7657&lt;&gt;""),'Data'!$F$7657,"")</f>
        <v/>
      </c>
      <c r="Z7656" t="n">
        <v>1</v>
      </c>
      <c r="AA7656">
        <f>IF(ISNUMBER('IN-CLASS_Lab Part C'!$J$7656),'IN-CLASS_Lab Part C'!$J$7656,NA())</f>
        <v/>
      </c>
    </row>
    <row r="7657">
      <c r="J7657">
        <f>IF(AND(ISNUMBER('Data'!$F$7658),'Data'!$F$7658&lt;&gt;999,'Data'!$F$7658&lt;&gt;""),'Data'!$F$7658,"")</f>
        <v/>
      </c>
      <c r="Z7657" t="n">
        <v>1</v>
      </c>
      <c r="AA7657">
        <f>IF(ISNUMBER('IN-CLASS_Lab Part C'!$J$7657),'IN-CLASS_Lab Part C'!$J$7657,NA())</f>
        <v/>
      </c>
    </row>
    <row r="7658">
      <c r="J7658">
        <f>IF(AND(ISNUMBER('Data'!$F$7659),'Data'!$F$7659&lt;&gt;999,'Data'!$F$7659&lt;&gt;""),'Data'!$F$7659,"")</f>
        <v/>
      </c>
      <c r="Z7658" t="n">
        <v>1</v>
      </c>
      <c r="AA7658">
        <f>IF(ISNUMBER('IN-CLASS_Lab Part C'!$J$7658),'IN-CLASS_Lab Part C'!$J$7658,NA())</f>
        <v/>
      </c>
    </row>
    <row r="7659">
      <c r="J7659">
        <f>IF(AND(ISNUMBER('Data'!$F$7660),'Data'!$F$7660&lt;&gt;999,'Data'!$F$7660&lt;&gt;""),'Data'!$F$7660,"")</f>
        <v/>
      </c>
      <c r="Z7659" t="n">
        <v>1</v>
      </c>
      <c r="AA7659">
        <f>IF(ISNUMBER('IN-CLASS_Lab Part C'!$J$7659),'IN-CLASS_Lab Part C'!$J$7659,NA())</f>
        <v/>
      </c>
    </row>
    <row r="7660">
      <c r="J7660">
        <f>IF(AND(ISNUMBER('Data'!$F$7661),'Data'!$F$7661&lt;&gt;999,'Data'!$F$7661&lt;&gt;""),'Data'!$F$7661,"")</f>
        <v/>
      </c>
      <c r="Z7660" t="n">
        <v>1</v>
      </c>
      <c r="AA7660">
        <f>IF(ISNUMBER('IN-CLASS_Lab Part C'!$J$7660),'IN-CLASS_Lab Part C'!$J$7660,NA())</f>
        <v/>
      </c>
    </row>
    <row r="7661">
      <c r="J7661">
        <f>IF(AND(ISNUMBER('Data'!$F$7662),'Data'!$F$7662&lt;&gt;999,'Data'!$F$7662&lt;&gt;""),'Data'!$F$7662,"")</f>
        <v/>
      </c>
      <c r="Z7661" t="n">
        <v>1</v>
      </c>
      <c r="AA7661">
        <f>IF(ISNUMBER('IN-CLASS_Lab Part C'!$J$7661),'IN-CLASS_Lab Part C'!$J$7661,NA())</f>
        <v/>
      </c>
    </row>
    <row r="7662">
      <c r="J7662">
        <f>IF(AND(ISNUMBER('Data'!$F$7663),'Data'!$F$7663&lt;&gt;999,'Data'!$F$7663&lt;&gt;""),'Data'!$F$7663,"")</f>
        <v/>
      </c>
      <c r="Z7662" t="n">
        <v>1</v>
      </c>
      <c r="AA7662">
        <f>IF(ISNUMBER('IN-CLASS_Lab Part C'!$J$7662),'IN-CLASS_Lab Part C'!$J$7662,NA())</f>
        <v/>
      </c>
    </row>
    <row r="7663">
      <c r="J7663">
        <f>IF(AND(ISNUMBER('Data'!$F$7664),'Data'!$F$7664&lt;&gt;999,'Data'!$F$7664&lt;&gt;""),'Data'!$F$7664,"")</f>
        <v/>
      </c>
      <c r="Z7663" t="n">
        <v>1</v>
      </c>
      <c r="AA7663">
        <f>IF(ISNUMBER('IN-CLASS_Lab Part C'!$J$7663),'IN-CLASS_Lab Part C'!$J$7663,NA())</f>
        <v/>
      </c>
    </row>
    <row r="7664">
      <c r="J7664">
        <f>IF(AND(ISNUMBER('Data'!$F$7665),'Data'!$F$7665&lt;&gt;999,'Data'!$F$7665&lt;&gt;""),'Data'!$F$7665,"")</f>
        <v/>
      </c>
      <c r="Z7664" t="n">
        <v>1</v>
      </c>
      <c r="AA7664">
        <f>IF(ISNUMBER('IN-CLASS_Lab Part C'!$J$7664),'IN-CLASS_Lab Part C'!$J$7664,NA())</f>
        <v/>
      </c>
    </row>
    <row r="7665">
      <c r="J7665">
        <f>IF(AND(ISNUMBER('Data'!$F$7666),'Data'!$F$7666&lt;&gt;999,'Data'!$F$7666&lt;&gt;""),'Data'!$F$7666,"")</f>
        <v/>
      </c>
      <c r="Z7665" t="n">
        <v>1</v>
      </c>
      <c r="AA7665">
        <f>IF(ISNUMBER('IN-CLASS_Lab Part C'!$J$7665),'IN-CLASS_Lab Part C'!$J$7665,NA())</f>
        <v/>
      </c>
    </row>
    <row r="7666">
      <c r="J7666">
        <f>IF(AND(ISNUMBER('Data'!$F$7667),'Data'!$F$7667&lt;&gt;999,'Data'!$F$7667&lt;&gt;""),'Data'!$F$7667,"")</f>
        <v/>
      </c>
      <c r="Z7666" t="n">
        <v>1</v>
      </c>
      <c r="AA7666">
        <f>IF(ISNUMBER('IN-CLASS_Lab Part C'!$J$7666),'IN-CLASS_Lab Part C'!$J$7666,NA())</f>
        <v/>
      </c>
    </row>
    <row r="7667">
      <c r="J7667">
        <f>IF(AND(ISNUMBER('Data'!$F$7668),'Data'!$F$7668&lt;&gt;999,'Data'!$F$7668&lt;&gt;""),'Data'!$F$7668,"")</f>
        <v/>
      </c>
      <c r="Z7667" t="n">
        <v>1</v>
      </c>
      <c r="AA7667">
        <f>IF(ISNUMBER('IN-CLASS_Lab Part C'!$J$7667),'IN-CLASS_Lab Part C'!$J$7667,NA())</f>
        <v/>
      </c>
    </row>
    <row r="7668">
      <c r="J7668">
        <f>IF(AND(ISNUMBER('Data'!$F$7669),'Data'!$F$7669&lt;&gt;999,'Data'!$F$7669&lt;&gt;""),'Data'!$F$7669,"")</f>
        <v/>
      </c>
      <c r="Z7668" t="n">
        <v>1</v>
      </c>
      <c r="AA7668">
        <f>IF(ISNUMBER('IN-CLASS_Lab Part C'!$J$7668),'IN-CLASS_Lab Part C'!$J$7668,NA())</f>
        <v/>
      </c>
    </row>
    <row r="7669">
      <c r="J7669">
        <f>IF(AND(ISNUMBER('Data'!$F$7670),'Data'!$F$7670&lt;&gt;999,'Data'!$F$7670&lt;&gt;""),'Data'!$F$7670,"")</f>
        <v/>
      </c>
      <c r="Z7669" t="n">
        <v>1</v>
      </c>
      <c r="AA7669">
        <f>IF(ISNUMBER('IN-CLASS_Lab Part C'!$J$7669),'IN-CLASS_Lab Part C'!$J$7669,NA())</f>
        <v/>
      </c>
    </row>
    <row r="7670">
      <c r="J7670">
        <f>IF(AND(ISNUMBER('Data'!$F$7671),'Data'!$F$7671&lt;&gt;999,'Data'!$F$7671&lt;&gt;""),'Data'!$F$7671,"")</f>
        <v/>
      </c>
      <c r="Z7670" t="n">
        <v>1</v>
      </c>
      <c r="AA7670">
        <f>IF(ISNUMBER('IN-CLASS_Lab Part C'!$J$7670),'IN-CLASS_Lab Part C'!$J$7670,NA())</f>
        <v/>
      </c>
    </row>
    <row r="7671">
      <c r="J7671">
        <f>IF(AND(ISNUMBER('Data'!$F$7672),'Data'!$F$7672&lt;&gt;999,'Data'!$F$7672&lt;&gt;""),'Data'!$F$7672,"")</f>
        <v/>
      </c>
      <c r="Z7671" t="n">
        <v>1</v>
      </c>
      <c r="AA7671">
        <f>IF(ISNUMBER('IN-CLASS_Lab Part C'!$J$7671),'IN-CLASS_Lab Part C'!$J$7671,NA())</f>
        <v/>
      </c>
    </row>
    <row r="7672">
      <c r="J7672">
        <f>IF(AND(ISNUMBER('Data'!$F$7673),'Data'!$F$7673&lt;&gt;999,'Data'!$F$7673&lt;&gt;""),'Data'!$F$7673,"")</f>
        <v/>
      </c>
      <c r="Z7672" t="n">
        <v>1</v>
      </c>
      <c r="AA7672">
        <f>IF(ISNUMBER('IN-CLASS_Lab Part C'!$J$7672),'IN-CLASS_Lab Part C'!$J$7672,NA())</f>
        <v/>
      </c>
    </row>
    <row r="7673">
      <c r="J7673">
        <f>IF(AND(ISNUMBER('Data'!$F$7674),'Data'!$F$7674&lt;&gt;999,'Data'!$F$7674&lt;&gt;""),'Data'!$F$7674,"")</f>
        <v/>
      </c>
      <c r="Z7673" t="n">
        <v>1</v>
      </c>
      <c r="AA7673">
        <f>IF(ISNUMBER('IN-CLASS_Lab Part C'!$J$7673),'IN-CLASS_Lab Part C'!$J$7673,NA())</f>
        <v/>
      </c>
    </row>
    <row r="7674">
      <c r="J7674">
        <f>IF(AND(ISNUMBER('Data'!$F$7675),'Data'!$F$7675&lt;&gt;999,'Data'!$F$7675&lt;&gt;""),'Data'!$F$7675,"")</f>
        <v/>
      </c>
      <c r="Z7674" t="n">
        <v>1</v>
      </c>
      <c r="AA7674">
        <f>IF(ISNUMBER('IN-CLASS_Lab Part C'!$J$7674),'IN-CLASS_Lab Part C'!$J$7674,NA())</f>
        <v/>
      </c>
    </row>
    <row r="7675">
      <c r="J7675">
        <f>IF(AND(ISNUMBER('Data'!$F$7676),'Data'!$F$7676&lt;&gt;999,'Data'!$F$7676&lt;&gt;""),'Data'!$F$7676,"")</f>
        <v/>
      </c>
      <c r="Z7675" t="n">
        <v>1</v>
      </c>
      <c r="AA7675">
        <f>IF(ISNUMBER('IN-CLASS_Lab Part C'!$J$7675),'IN-CLASS_Lab Part C'!$J$7675,NA())</f>
        <v/>
      </c>
    </row>
    <row r="7676">
      <c r="J7676">
        <f>IF(AND(ISNUMBER('Data'!$F$7677),'Data'!$F$7677&lt;&gt;999,'Data'!$F$7677&lt;&gt;""),'Data'!$F$7677,"")</f>
        <v/>
      </c>
      <c r="Z7676" t="n">
        <v>1</v>
      </c>
      <c r="AA7676">
        <f>IF(ISNUMBER('IN-CLASS_Lab Part C'!$J$7676),'IN-CLASS_Lab Part C'!$J$7676,NA())</f>
        <v/>
      </c>
    </row>
    <row r="7677">
      <c r="J7677">
        <f>IF(AND(ISNUMBER('Data'!$F$7678),'Data'!$F$7678&lt;&gt;999,'Data'!$F$7678&lt;&gt;""),'Data'!$F$7678,"")</f>
        <v/>
      </c>
      <c r="Z7677" t="n">
        <v>1</v>
      </c>
      <c r="AA7677">
        <f>IF(ISNUMBER('IN-CLASS_Lab Part C'!$J$7677),'IN-CLASS_Lab Part C'!$J$7677,NA())</f>
        <v/>
      </c>
    </row>
    <row r="7678">
      <c r="J7678">
        <f>IF(AND(ISNUMBER('Data'!$F$7679),'Data'!$F$7679&lt;&gt;999,'Data'!$F$7679&lt;&gt;""),'Data'!$F$7679,"")</f>
        <v/>
      </c>
      <c r="Z7678" t="n">
        <v>1</v>
      </c>
      <c r="AA7678">
        <f>IF(ISNUMBER('IN-CLASS_Lab Part C'!$J$7678),'IN-CLASS_Lab Part C'!$J$7678,NA())</f>
        <v/>
      </c>
    </row>
    <row r="7679">
      <c r="J7679">
        <f>IF(AND(ISNUMBER('Data'!$F$7680),'Data'!$F$7680&lt;&gt;999,'Data'!$F$7680&lt;&gt;""),'Data'!$F$7680,"")</f>
        <v/>
      </c>
      <c r="Z7679" t="n">
        <v>1</v>
      </c>
      <c r="AA7679">
        <f>IF(ISNUMBER('IN-CLASS_Lab Part C'!$J$7679),'IN-CLASS_Lab Part C'!$J$7679,NA())</f>
        <v/>
      </c>
    </row>
    <row r="7680">
      <c r="J7680">
        <f>IF(AND(ISNUMBER('Data'!$F$7681),'Data'!$F$7681&lt;&gt;999,'Data'!$F$7681&lt;&gt;""),'Data'!$F$7681,"")</f>
        <v/>
      </c>
      <c r="Z7680" t="n">
        <v>1</v>
      </c>
      <c r="AA7680">
        <f>IF(ISNUMBER('IN-CLASS_Lab Part C'!$J$7680),'IN-CLASS_Lab Part C'!$J$7680,NA())</f>
        <v/>
      </c>
    </row>
    <row r="7681">
      <c r="J7681">
        <f>IF(AND(ISNUMBER('Data'!$F$7682),'Data'!$F$7682&lt;&gt;999,'Data'!$F$7682&lt;&gt;""),'Data'!$F$7682,"")</f>
        <v/>
      </c>
      <c r="Z7681" t="n">
        <v>1</v>
      </c>
      <c r="AA7681">
        <f>IF(ISNUMBER('IN-CLASS_Lab Part C'!$J$7681),'IN-CLASS_Lab Part C'!$J$7681,NA())</f>
        <v/>
      </c>
    </row>
    <row r="7682">
      <c r="J7682">
        <f>IF(AND(ISNUMBER('Data'!$F$7683),'Data'!$F$7683&lt;&gt;999,'Data'!$F$7683&lt;&gt;""),'Data'!$F$7683,"")</f>
        <v/>
      </c>
      <c r="Z7682" t="n">
        <v>1</v>
      </c>
      <c r="AA7682">
        <f>IF(ISNUMBER('IN-CLASS_Lab Part C'!$J$7682),'IN-CLASS_Lab Part C'!$J$7682,NA())</f>
        <v/>
      </c>
    </row>
    <row r="7683">
      <c r="J7683">
        <f>IF(AND(ISNUMBER('Data'!$F$7684),'Data'!$F$7684&lt;&gt;999,'Data'!$F$7684&lt;&gt;""),'Data'!$F$7684,"")</f>
        <v/>
      </c>
      <c r="Z7683" t="n">
        <v>1</v>
      </c>
      <c r="AA7683">
        <f>IF(ISNUMBER('IN-CLASS_Lab Part C'!$J$7683),'IN-CLASS_Lab Part C'!$J$7683,NA())</f>
        <v/>
      </c>
    </row>
    <row r="7684">
      <c r="J7684">
        <f>IF(AND(ISNUMBER('Data'!$F$7685),'Data'!$F$7685&lt;&gt;999,'Data'!$F$7685&lt;&gt;""),'Data'!$F$7685,"")</f>
        <v/>
      </c>
      <c r="Z7684" t="n">
        <v>1</v>
      </c>
      <c r="AA7684">
        <f>IF(ISNUMBER('IN-CLASS_Lab Part C'!$J$7684),'IN-CLASS_Lab Part C'!$J$7684,NA())</f>
        <v/>
      </c>
    </row>
    <row r="7685">
      <c r="J7685">
        <f>IF(AND(ISNUMBER('Data'!$F$7686),'Data'!$F$7686&lt;&gt;999,'Data'!$F$7686&lt;&gt;""),'Data'!$F$7686,"")</f>
        <v/>
      </c>
      <c r="Z7685" t="n">
        <v>1</v>
      </c>
      <c r="AA7685">
        <f>IF(ISNUMBER('IN-CLASS_Lab Part C'!$J$7685),'IN-CLASS_Lab Part C'!$J$7685,NA())</f>
        <v/>
      </c>
    </row>
    <row r="7686">
      <c r="J7686">
        <f>IF(AND(ISNUMBER('Data'!$F$7687),'Data'!$F$7687&lt;&gt;999,'Data'!$F$7687&lt;&gt;""),'Data'!$F$7687,"")</f>
        <v/>
      </c>
      <c r="Z7686" t="n">
        <v>1</v>
      </c>
      <c r="AA7686">
        <f>IF(ISNUMBER('IN-CLASS_Lab Part C'!$J$7686),'IN-CLASS_Lab Part C'!$J$7686,NA())</f>
        <v/>
      </c>
    </row>
    <row r="7687">
      <c r="J7687">
        <f>IF(AND(ISNUMBER('Data'!$F$7688),'Data'!$F$7688&lt;&gt;999,'Data'!$F$7688&lt;&gt;""),'Data'!$F$7688,"")</f>
        <v/>
      </c>
      <c r="Z7687" t="n">
        <v>1</v>
      </c>
      <c r="AA7687">
        <f>IF(ISNUMBER('IN-CLASS_Lab Part C'!$J$7687),'IN-CLASS_Lab Part C'!$J$7687,NA())</f>
        <v/>
      </c>
    </row>
    <row r="7688">
      <c r="J7688">
        <f>IF(AND(ISNUMBER('Data'!$F$7689),'Data'!$F$7689&lt;&gt;999,'Data'!$F$7689&lt;&gt;""),'Data'!$F$7689,"")</f>
        <v/>
      </c>
      <c r="Z7688" t="n">
        <v>1</v>
      </c>
      <c r="AA7688">
        <f>IF(ISNUMBER('IN-CLASS_Lab Part C'!$J$7688),'IN-CLASS_Lab Part C'!$J$7688,NA())</f>
        <v/>
      </c>
    </row>
    <row r="7689">
      <c r="J7689">
        <f>IF(AND(ISNUMBER('Data'!$F$7690),'Data'!$F$7690&lt;&gt;999,'Data'!$F$7690&lt;&gt;""),'Data'!$F$7690,"")</f>
        <v/>
      </c>
      <c r="Z7689" t="n">
        <v>1</v>
      </c>
      <c r="AA7689">
        <f>IF(ISNUMBER('IN-CLASS_Lab Part C'!$J$7689),'IN-CLASS_Lab Part C'!$J$7689,NA())</f>
        <v/>
      </c>
    </row>
    <row r="7690">
      <c r="J7690">
        <f>IF(AND(ISNUMBER('Data'!$F$7691),'Data'!$F$7691&lt;&gt;999,'Data'!$F$7691&lt;&gt;""),'Data'!$F$7691,"")</f>
        <v/>
      </c>
      <c r="Z7690" t="n">
        <v>1</v>
      </c>
      <c r="AA7690">
        <f>IF(ISNUMBER('IN-CLASS_Lab Part C'!$J$7690),'IN-CLASS_Lab Part C'!$J$7690,NA())</f>
        <v/>
      </c>
    </row>
    <row r="7691">
      <c r="J7691">
        <f>IF(AND(ISNUMBER('Data'!$F$7692),'Data'!$F$7692&lt;&gt;999,'Data'!$F$7692&lt;&gt;""),'Data'!$F$7692,"")</f>
        <v/>
      </c>
      <c r="Z7691" t="n">
        <v>1</v>
      </c>
      <c r="AA7691">
        <f>IF(ISNUMBER('IN-CLASS_Lab Part C'!$J$7691),'IN-CLASS_Lab Part C'!$J$7691,NA())</f>
        <v/>
      </c>
    </row>
    <row r="7692">
      <c r="J7692">
        <f>IF(AND(ISNUMBER('Data'!$F$7693),'Data'!$F$7693&lt;&gt;999,'Data'!$F$7693&lt;&gt;""),'Data'!$F$7693,"")</f>
        <v/>
      </c>
      <c r="Z7692" t="n">
        <v>1</v>
      </c>
      <c r="AA7692">
        <f>IF(ISNUMBER('IN-CLASS_Lab Part C'!$J$7692),'IN-CLASS_Lab Part C'!$J$7692,NA())</f>
        <v/>
      </c>
    </row>
    <row r="7693">
      <c r="J7693">
        <f>IF(AND(ISNUMBER('Data'!$F$7694),'Data'!$F$7694&lt;&gt;999,'Data'!$F$7694&lt;&gt;""),'Data'!$F$7694,"")</f>
        <v/>
      </c>
      <c r="Z7693" t="n">
        <v>1</v>
      </c>
      <c r="AA7693">
        <f>IF(ISNUMBER('IN-CLASS_Lab Part C'!$J$7693),'IN-CLASS_Lab Part C'!$J$7693,NA())</f>
        <v/>
      </c>
    </row>
    <row r="7694">
      <c r="J7694">
        <f>IF(AND(ISNUMBER('Data'!$F$7695),'Data'!$F$7695&lt;&gt;999,'Data'!$F$7695&lt;&gt;""),'Data'!$F$7695,"")</f>
        <v/>
      </c>
      <c r="Z7694" t="n">
        <v>1</v>
      </c>
      <c r="AA7694">
        <f>IF(ISNUMBER('IN-CLASS_Lab Part C'!$J$7694),'IN-CLASS_Lab Part C'!$J$7694,NA())</f>
        <v/>
      </c>
    </row>
    <row r="7695">
      <c r="J7695">
        <f>IF(AND(ISNUMBER('Data'!$F$7696),'Data'!$F$7696&lt;&gt;999,'Data'!$F$7696&lt;&gt;""),'Data'!$F$7696,"")</f>
        <v/>
      </c>
      <c r="Z7695" t="n">
        <v>1</v>
      </c>
      <c r="AA7695">
        <f>IF(ISNUMBER('IN-CLASS_Lab Part C'!$J$7695),'IN-CLASS_Lab Part C'!$J$7695,NA())</f>
        <v/>
      </c>
    </row>
    <row r="7696">
      <c r="J7696">
        <f>IF(AND(ISNUMBER('Data'!$F$7697),'Data'!$F$7697&lt;&gt;999,'Data'!$F$7697&lt;&gt;""),'Data'!$F$7697,"")</f>
        <v/>
      </c>
      <c r="Z7696" t="n">
        <v>1</v>
      </c>
      <c r="AA7696">
        <f>IF(ISNUMBER('IN-CLASS_Lab Part C'!$J$7696),'IN-CLASS_Lab Part C'!$J$7696,NA())</f>
        <v/>
      </c>
    </row>
    <row r="7697">
      <c r="J7697">
        <f>IF(AND(ISNUMBER('Data'!$F$7698),'Data'!$F$7698&lt;&gt;999,'Data'!$F$7698&lt;&gt;""),'Data'!$F$7698,"")</f>
        <v/>
      </c>
      <c r="Z7697" t="n">
        <v>1</v>
      </c>
      <c r="AA7697">
        <f>IF(ISNUMBER('IN-CLASS_Lab Part C'!$J$7697),'IN-CLASS_Lab Part C'!$J$7697,NA())</f>
        <v/>
      </c>
    </row>
    <row r="7698">
      <c r="J7698">
        <f>IF(AND(ISNUMBER('Data'!$F$7699),'Data'!$F$7699&lt;&gt;999,'Data'!$F$7699&lt;&gt;""),'Data'!$F$7699,"")</f>
        <v/>
      </c>
      <c r="Z7698" t="n">
        <v>1</v>
      </c>
      <c r="AA7698">
        <f>IF(ISNUMBER('IN-CLASS_Lab Part C'!$J$7698),'IN-CLASS_Lab Part C'!$J$7698,NA())</f>
        <v/>
      </c>
    </row>
    <row r="7699">
      <c r="J7699">
        <f>IF(AND(ISNUMBER('Data'!$F$7700),'Data'!$F$7700&lt;&gt;999,'Data'!$F$7700&lt;&gt;""),'Data'!$F$7700,"")</f>
        <v/>
      </c>
      <c r="Z7699" t="n">
        <v>1</v>
      </c>
      <c r="AA7699">
        <f>IF(ISNUMBER('IN-CLASS_Lab Part C'!$J$7699),'IN-CLASS_Lab Part C'!$J$7699,NA())</f>
        <v/>
      </c>
    </row>
    <row r="7700">
      <c r="J7700">
        <f>IF(AND(ISNUMBER('Data'!$F$7701),'Data'!$F$7701&lt;&gt;999,'Data'!$F$7701&lt;&gt;""),'Data'!$F$7701,"")</f>
        <v/>
      </c>
      <c r="Z7700" t="n">
        <v>1</v>
      </c>
      <c r="AA7700">
        <f>IF(ISNUMBER('IN-CLASS_Lab Part C'!$J$7700),'IN-CLASS_Lab Part C'!$J$7700,NA())</f>
        <v/>
      </c>
    </row>
    <row r="7701">
      <c r="J7701">
        <f>IF(AND(ISNUMBER('Data'!$F$7702),'Data'!$F$7702&lt;&gt;999,'Data'!$F$7702&lt;&gt;""),'Data'!$F$7702,"")</f>
        <v/>
      </c>
      <c r="Z7701" t="n">
        <v>1</v>
      </c>
      <c r="AA7701">
        <f>IF(ISNUMBER('IN-CLASS_Lab Part C'!$J$7701),'IN-CLASS_Lab Part C'!$J$7701,NA())</f>
        <v/>
      </c>
    </row>
    <row r="7702">
      <c r="J7702">
        <f>IF(AND(ISNUMBER('Data'!$F$7703),'Data'!$F$7703&lt;&gt;999,'Data'!$F$7703&lt;&gt;""),'Data'!$F$7703,"")</f>
        <v/>
      </c>
      <c r="Z7702" t="n">
        <v>1</v>
      </c>
      <c r="AA7702">
        <f>IF(ISNUMBER('IN-CLASS_Lab Part C'!$J$7702),'IN-CLASS_Lab Part C'!$J$7702,NA())</f>
        <v/>
      </c>
    </row>
    <row r="7703">
      <c r="J7703">
        <f>IF(AND(ISNUMBER('Data'!$F$7704),'Data'!$F$7704&lt;&gt;999,'Data'!$F$7704&lt;&gt;""),'Data'!$F$7704,"")</f>
        <v/>
      </c>
      <c r="Z7703" t="n">
        <v>1</v>
      </c>
      <c r="AA7703">
        <f>IF(ISNUMBER('IN-CLASS_Lab Part C'!$J$7703),'IN-CLASS_Lab Part C'!$J$7703,NA())</f>
        <v/>
      </c>
    </row>
    <row r="7704">
      <c r="J7704">
        <f>IF(AND(ISNUMBER('Data'!$F$7705),'Data'!$F$7705&lt;&gt;999,'Data'!$F$7705&lt;&gt;""),'Data'!$F$7705,"")</f>
        <v/>
      </c>
      <c r="Z7704" t="n">
        <v>1</v>
      </c>
      <c r="AA7704">
        <f>IF(ISNUMBER('IN-CLASS_Lab Part C'!$J$7704),'IN-CLASS_Lab Part C'!$J$7704,NA())</f>
        <v/>
      </c>
    </row>
    <row r="7705">
      <c r="J7705">
        <f>IF(AND(ISNUMBER('Data'!$F$7706),'Data'!$F$7706&lt;&gt;999,'Data'!$F$7706&lt;&gt;""),'Data'!$F$7706,"")</f>
        <v/>
      </c>
      <c r="Z7705" t="n">
        <v>1</v>
      </c>
      <c r="AA7705">
        <f>IF(ISNUMBER('IN-CLASS_Lab Part C'!$J$7705),'IN-CLASS_Lab Part C'!$J$7705,NA())</f>
        <v/>
      </c>
    </row>
    <row r="7706">
      <c r="J7706">
        <f>IF(AND(ISNUMBER('Data'!$F$7707),'Data'!$F$7707&lt;&gt;999,'Data'!$F$7707&lt;&gt;""),'Data'!$F$7707,"")</f>
        <v/>
      </c>
      <c r="Z7706" t="n">
        <v>1</v>
      </c>
      <c r="AA7706">
        <f>IF(ISNUMBER('IN-CLASS_Lab Part C'!$J$7706),'IN-CLASS_Lab Part C'!$J$7706,NA())</f>
        <v/>
      </c>
    </row>
    <row r="7707">
      <c r="J7707">
        <f>IF(AND(ISNUMBER('Data'!$F$7708),'Data'!$F$7708&lt;&gt;999,'Data'!$F$7708&lt;&gt;""),'Data'!$F$7708,"")</f>
        <v/>
      </c>
      <c r="Z7707" t="n">
        <v>1</v>
      </c>
      <c r="AA7707">
        <f>IF(ISNUMBER('IN-CLASS_Lab Part C'!$J$7707),'IN-CLASS_Lab Part C'!$J$7707,NA())</f>
        <v/>
      </c>
    </row>
    <row r="7708">
      <c r="J7708">
        <f>IF(AND(ISNUMBER('Data'!$F$7709),'Data'!$F$7709&lt;&gt;999,'Data'!$F$7709&lt;&gt;""),'Data'!$F$7709,"")</f>
        <v/>
      </c>
      <c r="Z7708" t="n">
        <v>1</v>
      </c>
      <c r="AA7708">
        <f>IF(ISNUMBER('IN-CLASS_Lab Part C'!$J$7708),'IN-CLASS_Lab Part C'!$J$7708,NA())</f>
        <v/>
      </c>
    </row>
    <row r="7709">
      <c r="J7709">
        <f>IF(AND(ISNUMBER('Data'!$F$7710),'Data'!$F$7710&lt;&gt;999,'Data'!$F$7710&lt;&gt;""),'Data'!$F$7710,"")</f>
        <v/>
      </c>
      <c r="Z7709" t="n">
        <v>1</v>
      </c>
      <c r="AA7709">
        <f>IF(ISNUMBER('IN-CLASS_Lab Part C'!$J$7709),'IN-CLASS_Lab Part C'!$J$7709,NA())</f>
        <v/>
      </c>
    </row>
    <row r="7710">
      <c r="J7710">
        <f>IF(AND(ISNUMBER('Data'!$F$7711),'Data'!$F$7711&lt;&gt;999,'Data'!$F$7711&lt;&gt;""),'Data'!$F$7711,"")</f>
        <v/>
      </c>
      <c r="Z7710" t="n">
        <v>1</v>
      </c>
      <c r="AA7710">
        <f>IF(ISNUMBER('IN-CLASS_Lab Part C'!$J$7710),'IN-CLASS_Lab Part C'!$J$7710,NA())</f>
        <v/>
      </c>
    </row>
    <row r="7711">
      <c r="J7711">
        <f>IF(AND(ISNUMBER('Data'!$F$7712),'Data'!$F$7712&lt;&gt;999,'Data'!$F$7712&lt;&gt;""),'Data'!$F$7712,"")</f>
        <v/>
      </c>
      <c r="Z7711" t="n">
        <v>1</v>
      </c>
      <c r="AA7711">
        <f>IF(ISNUMBER('IN-CLASS_Lab Part C'!$J$7711),'IN-CLASS_Lab Part C'!$J$7711,NA())</f>
        <v/>
      </c>
    </row>
    <row r="7712">
      <c r="J7712">
        <f>IF(AND(ISNUMBER('Data'!$F$7713),'Data'!$F$7713&lt;&gt;999,'Data'!$F$7713&lt;&gt;""),'Data'!$F$7713,"")</f>
        <v/>
      </c>
      <c r="Z7712" t="n">
        <v>1</v>
      </c>
      <c r="AA7712">
        <f>IF(ISNUMBER('IN-CLASS_Lab Part C'!$J$7712),'IN-CLASS_Lab Part C'!$J$7712,NA())</f>
        <v/>
      </c>
    </row>
    <row r="7713">
      <c r="J7713">
        <f>IF(AND(ISNUMBER('Data'!$F$7714),'Data'!$F$7714&lt;&gt;999,'Data'!$F$7714&lt;&gt;""),'Data'!$F$7714,"")</f>
        <v/>
      </c>
      <c r="Z7713" t="n">
        <v>1</v>
      </c>
      <c r="AA7713">
        <f>IF(ISNUMBER('IN-CLASS_Lab Part C'!$J$7713),'IN-CLASS_Lab Part C'!$J$7713,NA())</f>
        <v/>
      </c>
    </row>
    <row r="7714">
      <c r="J7714">
        <f>IF(AND(ISNUMBER('Data'!$F$7715),'Data'!$F$7715&lt;&gt;999,'Data'!$F$7715&lt;&gt;""),'Data'!$F$7715,"")</f>
        <v/>
      </c>
      <c r="Z7714" t="n">
        <v>1</v>
      </c>
      <c r="AA7714">
        <f>IF(ISNUMBER('IN-CLASS_Lab Part C'!$J$7714),'IN-CLASS_Lab Part C'!$J$7714,NA())</f>
        <v/>
      </c>
    </row>
    <row r="7715">
      <c r="J7715">
        <f>IF(AND(ISNUMBER('Data'!$F$7716),'Data'!$F$7716&lt;&gt;999,'Data'!$F$7716&lt;&gt;""),'Data'!$F$7716,"")</f>
        <v/>
      </c>
      <c r="Z7715" t="n">
        <v>1</v>
      </c>
      <c r="AA7715">
        <f>IF(ISNUMBER('IN-CLASS_Lab Part C'!$J$7715),'IN-CLASS_Lab Part C'!$J$7715,NA())</f>
        <v/>
      </c>
    </row>
    <row r="7716">
      <c r="J7716">
        <f>IF(AND(ISNUMBER('Data'!$F$7717),'Data'!$F$7717&lt;&gt;999,'Data'!$F$7717&lt;&gt;""),'Data'!$F$7717,"")</f>
        <v/>
      </c>
      <c r="Z7716" t="n">
        <v>1</v>
      </c>
      <c r="AA7716">
        <f>IF(ISNUMBER('IN-CLASS_Lab Part C'!$J$7716),'IN-CLASS_Lab Part C'!$J$7716,NA())</f>
        <v/>
      </c>
    </row>
    <row r="7717">
      <c r="J7717">
        <f>IF(AND(ISNUMBER('Data'!$F$7718),'Data'!$F$7718&lt;&gt;999,'Data'!$F$7718&lt;&gt;""),'Data'!$F$7718,"")</f>
        <v/>
      </c>
      <c r="Z7717" t="n">
        <v>1</v>
      </c>
      <c r="AA7717">
        <f>IF(ISNUMBER('IN-CLASS_Lab Part C'!$J$7717),'IN-CLASS_Lab Part C'!$J$7717,NA())</f>
        <v/>
      </c>
    </row>
    <row r="7718">
      <c r="J7718">
        <f>IF(AND(ISNUMBER('Data'!$F$7719),'Data'!$F$7719&lt;&gt;999,'Data'!$F$7719&lt;&gt;""),'Data'!$F$7719,"")</f>
        <v/>
      </c>
      <c r="Z7718" t="n">
        <v>1</v>
      </c>
      <c r="AA7718">
        <f>IF(ISNUMBER('IN-CLASS_Lab Part C'!$J$7718),'IN-CLASS_Lab Part C'!$J$7718,NA())</f>
        <v/>
      </c>
    </row>
    <row r="7719">
      <c r="J7719">
        <f>IF(AND(ISNUMBER('Data'!$F$7720),'Data'!$F$7720&lt;&gt;999,'Data'!$F$7720&lt;&gt;""),'Data'!$F$7720,"")</f>
        <v/>
      </c>
      <c r="Z7719" t="n">
        <v>1</v>
      </c>
      <c r="AA7719">
        <f>IF(ISNUMBER('IN-CLASS_Lab Part C'!$J$7719),'IN-CLASS_Lab Part C'!$J$7719,NA())</f>
        <v/>
      </c>
    </row>
    <row r="7720">
      <c r="J7720">
        <f>IF(AND(ISNUMBER('Data'!$F$7721),'Data'!$F$7721&lt;&gt;999,'Data'!$F$7721&lt;&gt;""),'Data'!$F$7721,"")</f>
        <v/>
      </c>
      <c r="Z7720" t="n">
        <v>1</v>
      </c>
      <c r="AA7720">
        <f>IF(ISNUMBER('IN-CLASS_Lab Part C'!$J$7720),'IN-CLASS_Lab Part C'!$J$7720,NA())</f>
        <v/>
      </c>
    </row>
    <row r="7721">
      <c r="J7721">
        <f>IF(AND(ISNUMBER('Data'!$F$7722),'Data'!$F$7722&lt;&gt;999,'Data'!$F$7722&lt;&gt;""),'Data'!$F$7722,"")</f>
        <v/>
      </c>
      <c r="Z7721" t="n">
        <v>1</v>
      </c>
      <c r="AA7721">
        <f>IF(ISNUMBER('IN-CLASS_Lab Part C'!$J$7721),'IN-CLASS_Lab Part C'!$J$7721,NA())</f>
        <v/>
      </c>
    </row>
    <row r="7722">
      <c r="J7722">
        <f>IF(AND(ISNUMBER('Data'!$F$7723),'Data'!$F$7723&lt;&gt;999,'Data'!$F$7723&lt;&gt;""),'Data'!$F$7723,"")</f>
        <v/>
      </c>
      <c r="Z7722" t="n">
        <v>1</v>
      </c>
      <c r="AA7722">
        <f>IF(ISNUMBER('IN-CLASS_Lab Part C'!$J$7722),'IN-CLASS_Lab Part C'!$J$7722,NA())</f>
        <v/>
      </c>
    </row>
    <row r="7723">
      <c r="J7723">
        <f>IF(AND(ISNUMBER('Data'!$F$7724),'Data'!$F$7724&lt;&gt;999,'Data'!$F$7724&lt;&gt;""),'Data'!$F$7724,"")</f>
        <v/>
      </c>
      <c r="Z7723" t="n">
        <v>1</v>
      </c>
      <c r="AA7723">
        <f>IF(ISNUMBER('IN-CLASS_Lab Part C'!$J$7723),'IN-CLASS_Lab Part C'!$J$7723,NA())</f>
        <v/>
      </c>
    </row>
    <row r="7724">
      <c r="J7724">
        <f>IF(AND(ISNUMBER('Data'!$F$7725),'Data'!$F$7725&lt;&gt;999,'Data'!$F$7725&lt;&gt;""),'Data'!$F$7725,"")</f>
        <v/>
      </c>
      <c r="Z7724" t="n">
        <v>1</v>
      </c>
      <c r="AA7724">
        <f>IF(ISNUMBER('IN-CLASS_Lab Part C'!$J$7724),'IN-CLASS_Lab Part C'!$J$7724,NA())</f>
        <v/>
      </c>
    </row>
    <row r="7725">
      <c r="J7725">
        <f>IF(AND(ISNUMBER('Data'!$F$7726),'Data'!$F$7726&lt;&gt;999,'Data'!$F$7726&lt;&gt;""),'Data'!$F$7726,"")</f>
        <v/>
      </c>
      <c r="Z7725" t="n">
        <v>1</v>
      </c>
      <c r="AA7725">
        <f>IF(ISNUMBER('IN-CLASS_Lab Part C'!$J$7725),'IN-CLASS_Lab Part C'!$J$7725,NA())</f>
        <v/>
      </c>
    </row>
    <row r="7726">
      <c r="J7726">
        <f>IF(AND(ISNUMBER('Data'!$F$7727),'Data'!$F$7727&lt;&gt;999,'Data'!$F$7727&lt;&gt;""),'Data'!$F$7727,"")</f>
        <v/>
      </c>
      <c r="Z7726" t="n">
        <v>1</v>
      </c>
      <c r="AA7726">
        <f>IF(ISNUMBER('IN-CLASS_Lab Part C'!$J$7726),'IN-CLASS_Lab Part C'!$J$7726,NA())</f>
        <v/>
      </c>
    </row>
    <row r="7727">
      <c r="J7727">
        <f>IF(AND(ISNUMBER('Data'!$F$7728),'Data'!$F$7728&lt;&gt;999,'Data'!$F$7728&lt;&gt;""),'Data'!$F$7728,"")</f>
        <v/>
      </c>
      <c r="Z7727" t="n">
        <v>1</v>
      </c>
      <c r="AA7727">
        <f>IF(ISNUMBER('IN-CLASS_Lab Part C'!$J$7727),'IN-CLASS_Lab Part C'!$J$7727,NA())</f>
        <v/>
      </c>
    </row>
    <row r="7728">
      <c r="J7728">
        <f>IF(AND(ISNUMBER('Data'!$F$7729),'Data'!$F$7729&lt;&gt;999,'Data'!$F$7729&lt;&gt;""),'Data'!$F$7729,"")</f>
        <v/>
      </c>
      <c r="Z7728" t="n">
        <v>1</v>
      </c>
      <c r="AA7728">
        <f>IF(ISNUMBER('IN-CLASS_Lab Part C'!$J$7728),'IN-CLASS_Lab Part C'!$J$7728,NA())</f>
        <v/>
      </c>
    </row>
    <row r="7729">
      <c r="J7729">
        <f>IF(AND(ISNUMBER('Data'!$F$7730),'Data'!$F$7730&lt;&gt;999,'Data'!$F$7730&lt;&gt;""),'Data'!$F$7730,"")</f>
        <v/>
      </c>
      <c r="Z7729" t="n">
        <v>1</v>
      </c>
      <c r="AA7729">
        <f>IF(ISNUMBER('IN-CLASS_Lab Part C'!$J$7729),'IN-CLASS_Lab Part C'!$J$7729,NA())</f>
        <v/>
      </c>
    </row>
    <row r="7730">
      <c r="J7730">
        <f>IF(AND(ISNUMBER('Data'!$F$7731),'Data'!$F$7731&lt;&gt;999,'Data'!$F$7731&lt;&gt;""),'Data'!$F$7731,"")</f>
        <v/>
      </c>
      <c r="Z7730" t="n">
        <v>1</v>
      </c>
      <c r="AA7730">
        <f>IF(ISNUMBER('IN-CLASS_Lab Part C'!$J$7730),'IN-CLASS_Lab Part C'!$J$7730,NA())</f>
        <v/>
      </c>
    </row>
    <row r="7731">
      <c r="J7731">
        <f>IF(AND(ISNUMBER('Data'!$F$7732),'Data'!$F$7732&lt;&gt;999,'Data'!$F$7732&lt;&gt;""),'Data'!$F$7732,"")</f>
        <v/>
      </c>
      <c r="Z7731" t="n">
        <v>1</v>
      </c>
      <c r="AA7731">
        <f>IF(ISNUMBER('IN-CLASS_Lab Part C'!$J$7731),'IN-CLASS_Lab Part C'!$J$7731,NA())</f>
        <v/>
      </c>
    </row>
    <row r="7732">
      <c r="J7732">
        <f>IF(AND(ISNUMBER('Data'!$F$7733),'Data'!$F$7733&lt;&gt;999,'Data'!$F$7733&lt;&gt;""),'Data'!$F$7733,"")</f>
        <v/>
      </c>
      <c r="Z7732" t="n">
        <v>1</v>
      </c>
      <c r="AA7732">
        <f>IF(ISNUMBER('IN-CLASS_Lab Part C'!$J$7732),'IN-CLASS_Lab Part C'!$J$7732,NA())</f>
        <v/>
      </c>
    </row>
    <row r="7733">
      <c r="J7733">
        <f>IF(AND(ISNUMBER('Data'!$F$7734),'Data'!$F$7734&lt;&gt;999,'Data'!$F$7734&lt;&gt;""),'Data'!$F$7734,"")</f>
        <v/>
      </c>
      <c r="Z7733" t="n">
        <v>1</v>
      </c>
      <c r="AA7733">
        <f>IF(ISNUMBER('IN-CLASS_Lab Part C'!$J$7733),'IN-CLASS_Lab Part C'!$J$7733,NA())</f>
        <v/>
      </c>
    </row>
    <row r="7734">
      <c r="J7734">
        <f>IF(AND(ISNUMBER('Data'!$F$7735),'Data'!$F$7735&lt;&gt;999,'Data'!$F$7735&lt;&gt;""),'Data'!$F$7735,"")</f>
        <v/>
      </c>
      <c r="Z7734" t="n">
        <v>1</v>
      </c>
      <c r="AA7734">
        <f>IF(ISNUMBER('IN-CLASS_Lab Part C'!$J$7734),'IN-CLASS_Lab Part C'!$J$7734,NA())</f>
        <v/>
      </c>
    </row>
    <row r="7735">
      <c r="J7735">
        <f>IF(AND(ISNUMBER('Data'!$F$7736),'Data'!$F$7736&lt;&gt;999,'Data'!$F$7736&lt;&gt;""),'Data'!$F$7736,"")</f>
        <v/>
      </c>
      <c r="Z7735" t="n">
        <v>1</v>
      </c>
      <c r="AA7735">
        <f>IF(ISNUMBER('IN-CLASS_Lab Part C'!$J$7735),'IN-CLASS_Lab Part C'!$J$7735,NA())</f>
        <v/>
      </c>
    </row>
    <row r="7736">
      <c r="J7736">
        <f>IF(AND(ISNUMBER('Data'!$F$7737),'Data'!$F$7737&lt;&gt;999,'Data'!$F$7737&lt;&gt;""),'Data'!$F$7737,"")</f>
        <v/>
      </c>
      <c r="Z7736" t="n">
        <v>1</v>
      </c>
      <c r="AA7736">
        <f>IF(ISNUMBER('IN-CLASS_Lab Part C'!$J$7736),'IN-CLASS_Lab Part C'!$J$7736,NA())</f>
        <v/>
      </c>
    </row>
    <row r="7737">
      <c r="J7737">
        <f>IF(AND(ISNUMBER('Data'!$F$7738),'Data'!$F$7738&lt;&gt;999,'Data'!$F$7738&lt;&gt;""),'Data'!$F$7738,"")</f>
        <v/>
      </c>
      <c r="Z7737" t="n">
        <v>1</v>
      </c>
      <c r="AA7737">
        <f>IF(ISNUMBER('IN-CLASS_Lab Part C'!$J$7737),'IN-CLASS_Lab Part C'!$J$7737,NA())</f>
        <v/>
      </c>
    </row>
    <row r="7738">
      <c r="J7738">
        <f>IF(AND(ISNUMBER('Data'!$F$7739),'Data'!$F$7739&lt;&gt;999,'Data'!$F$7739&lt;&gt;""),'Data'!$F$7739,"")</f>
        <v/>
      </c>
      <c r="Z7738" t="n">
        <v>1</v>
      </c>
      <c r="AA7738">
        <f>IF(ISNUMBER('IN-CLASS_Lab Part C'!$J$7738),'IN-CLASS_Lab Part C'!$J$7738,NA())</f>
        <v/>
      </c>
    </row>
    <row r="7739">
      <c r="J7739">
        <f>IF(AND(ISNUMBER('Data'!$F$7740),'Data'!$F$7740&lt;&gt;999,'Data'!$F$7740&lt;&gt;""),'Data'!$F$7740,"")</f>
        <v/>
      </c>
      <c r="Z7739" t="n">
        <v>1</v>
      </c>
      <c r="AA7739">
        <f>IF(ISNUMBER('IN-CLASS_Lab Part C'!$J$7739),'IN-CLASS_Lab Part C'!$J$7739,NA())</f>
        <v/>
      </c>
    </row>
    <row r="7740">
      <c r="J7740">
        <f>IF(AND(ISNUMBER('Data'!$F$7741),'Data'!$F$7741&lt;&gt;999,'Data'!$F$7741&lt;&gt;""),'Data'!$F$7741,"")</f>
        <v/>
      </c>
      <c r="Z7740" t="n">
        <v>1</v>
      </c>
      <c r="AA7740">
        <f>IF(ISNUMBER('IN-CLASS_Lab Part C'!$J$7740),'IN-CLASS_Lab Part C'!$J$7740,NA())</f>
        <v/>
      </c>
    </row>
    <row r="7741">
      <c r="J7741">
        <f>IF(AND(ISNUMBER('Data'!$F$7742),'Data'!$F$7742&lt;&gt;999,'Data'!$F$7742&lt;&gt;""),'Data'!$F$7742,"")</f>
        <v/>
      </c>
      <c r="Z7741" t="n">
        <v>1</v>
      </c>
      <c r="AA7741">
        <f>IF(ISNUMBER('IN-CLASS_Lab Part C'!$J$7741),'IN-CLASS_Lab Part C'!$J$7741,NA())</f>
        <v/>
      </c>
    </row>
    <row r="7742">
      <c r="J7742">
        <f>IF(AND(ISNUMBER('Data'!$F$7743),'Data'!$F$7743&lt;&gt;999,'Data'!$F$7743&lt;&gt;""),'Data'!$F$7743,"")</f>
        <v/>
      </c>
      <c r="Z7742" t="n">
        <v>1</v>
      </c>
      <c r="AA7742">
        <f>IF(ISNUMBER('IN-CLASS_Lab Part C'!$J$7742),'IN-CLASS_Lab Part C'!$J$7742,NA())</f>
        <v/>
      </c>
    </row>
    <row r="7743">
      <c r="J7743">
        <f>IF(AND(ISNUMBER('Data'!$F$7744),'Data'!$F$7744&lt;&gt;999,'Data'!$F$7744&lt;&gt;""),'Data'!$F$7744,"")</f>
        <v/>
      </c>
      <c r="Z7743" t="n">
        <v>1</v>
      </c>
      <c r="AA7743">
        <f>IF(ISNUMBER('IN-CLASS_Lab Part C'!$J$7743),'IN-CLASS_Lab Part C'!$J$7743,NA())</f>
        <v/>
      </c>
    </row>
    <row r="7744">
      <c r="J7744">
        <f>IF(AND(ISNUMBER('Data'!$F$7745),'Data'!$F$7745&lt;&gt;999,'Data'!$F$7745&lt;&gt;""),'Data'!$F$7745,"")</f>
        <v/>
      </c>
      <c r="Z7744" t="n">
        <v>1</v>
      </c>
      <c r="AA7744">
        <f>IF(ISNUMBER('IN-CLASS_Lab Part C'!$J$7744),'IN-CLASS_Lab Part C'!$J$7744,NA())</f>
        <v/>
      </c>
    </row>
    <row r="7745">
      <c r="J7745">
        <f>IF(AND(ISNUMBER('Data'!$F$7746),'Data'!$F$7746&lt;&gt;999,'Data'!$F$7746&lt;&gt;""),'Data'!$F$7746,"")</f>
        <v/>
      </c>
      <c r="Z7745" t="n">
        <v>1</v>
      </c>
      <c r="AA7745">
        <f>IF(ISNUMBER('IN-CLASS_Lab Part C'!$J$7745),'IN-CLASS_Lab Part C'!$J$7745,NA())</f>
        <v/>
      </c>
    </row>
    <row r="7746">
      <c r="J7746">
        <f>IF(AND(ISNUMBER('Data'!$F$7747),'Data'!$F$7747&lt;&gt;999,'Data'!$F$7747&lt;&gt;""),'Data'!$F$7747,"")</f>
        <v/>
      </c>
      <c r="Z7746" t="n">
        <v>1</v>
      </c>
      <c r="AA7746">
        <f>IF(ISNUMBER('IN-CLASS_Lab Part C'!$J$7746),'IN-CLASS_Lab Part C'!$J$7746,NA())</f>
        <v/>
      </c>
    </row>
    <row r="7747">
      <c r="J7747">
        <f>IF(AND(ISNUMBER('Data'!$F$7748),'Data'!$F$7748&lt;&gt;999,'Data'!$F$7748&lt;&gt;""),'Data'!$F$7748,"")</f>
        <v/>
      </c>
      <c r="Z7747" t="n">
        <v>1</v>
      </c>
      <c r="AA7747">
        <f>IF(ISNUMBER('IN-CLASS_Lab Part C'!$J$7747),'IN-CLASS_Lab Part C'!$J$7747,NA())</f>
        <v/>
      </c>
    </row>
    <row r="7748">
      <c r="J7748">
        <f>IF(AND(ISNUMBER('Data'!$F$7749),'Data'!$F$7749&lt;&gt;999,'Data'!$F$7749&lt;&gt;""),'Data'!$F$7749,"")</f>
        <v/>
      </c>
      <c r="Z7748" t="n">
        <v>1</v>
      </c>
      <c r="AA7748">
        <f>IF(ISNUMBER('IN-CLASS_Lab Part C'!$J$7748),'IN-CLASS_Lab Part C'!$J$7748,NA())</f>
        <v/>
      </c>
    </row>
    <row r="7749">
      <c r="J7749">
        <f>IF(AND(ISNUMBER('Data'!$F$7750),'Data'!$F$7750&lt;&gt;999,'Data'!$F$7750&lt;&gt;""),'Data'!$F$7750,"")</f>
        <v/>
      </c>
      <c r="Z7749" t="n">
        <v>1</v>
      </c>
      <c r="AA7749">
        <f>IF(ISNUMBER('IN-CLASS_Lab Part C'!$J$7749),'IN-CLASS_Lab Part C'!$J$7749,NA())</f>
        <v/>
      </c>
    </row>
    <row r="7750">
      <c r="J7750">
        <f>IF(AND(ISNUMBER('Data'!$F$7751),'Data'!$F$7751&lt;&gt;999,'Data'!$F$7751&lt;&gt;""),'Data'!$F$7751,"")</f>
        <v/>
      </c>
      <c r="Z7750" t="n">
        <v>1</v>
      </c>
      <c r="AA7750">
        <f>IF(ISNUMBER('IN-CLASS_Lab Part C'!$J$7750),'IN-CLASS_Lab Part C'!$J$7750,NA())</f>
        <v/>
      </c>
    </row>
    <row r="7751">
      <c r="J7751">
        <f>IF(AND(ISNUMBER('Data'!$F$7752),'Data'!$F$7752&lt;&gt;999,'Data'!$F$7752&lt;&gt;""),'Data'!$F$7752,"")</f>
        <v/>
      </c>
      <c r="Z7751" t="n">
        <v>1</v>
      </c>
      <c r="AA7751">
        <f>IF(ISNUMBER('IN-CLASS_Lab Part C'!$J$7751),'IN-CLASS_Lab Part C'!$J$7751,NA())</f>
        <v/>
      </c>
    </row>
    <row r="7752">
      <c r="J7752">
        <f>IF(AND(ISNUMBER('Data'!$F$7753),'Data'!$F$7753&lt;&gt;999,'Data'!$F$7753&lt;&gt;""),'Data'!$F$7753,"")</f>
        <v/>
      </c>
      <c r="Z7752" t="n">
        <v>1</v>
      </c>
      <c r="AA7752">
        <f>IF(ISNUMBER('IN-CLASS_Lab Part C'!$J$7752),'IN-CLASS_Lab Part C'!$J$7752,NA())</f>
        <v/>
      </c>
    </row>
    <row r="7753">
      <c r="J7753">
        <f>IF(AND(ISNUMBER('Data'!$F$7754),'Data'!$F$7754&lt;&gt;999,'Data'!$F$7754&lt;&gt;""),'Data'!$F$7754,"")</f>
        <v/>
      </c>
      <c r="Z7753" t="n">
        <v>1</v>
      </c>
      <c r="AA7753">
        <f>IF(ISNUMBER('IN-CLASS_Lab Part C'!$J$7753),'IN-CLASS_Lab Part C'!$J$7753,NA())</f>
        <v/>
      </c>
    </row>
    <row r="7754">
      <c r="J7754">
        <f>IF(AND(ISNUMBER('Data'!$F$7755),'Data'!$F$7755&lt;&gt;999,'Data'!$F$7755&lt;&gt;""),'Data'!$F$7755,"")</f>
        <v/>
      </c>
      <c r="Z7754" t="n">
        <v>1</v>
      </c>
      <c r="AA7754">
        <f>IF(ISNUMBER('IN-CLASS_Lab Part C'!$J$7754),'IN-CLASS_Lab Part C'!$J$7754,NA())</f>
        <v/>
      </c>
    </row>
    <row r="7755">
      <c r="J7755">
        <f>IF(AND(ISNUMBER('Data'!$F$7756),'Data'!$F$7756&lt;&gt;999,'Data'!$F$7756&lt;&gt;""),'Data'!$F$7756,"")</f>
        <v/>
      </c>
      <c r="Z7755" t="n">
        <v>1</v>
      </c>
      <c r="AA7755">
        <f>IF(ISNUMBER('IN-CLASS_Lab Part C'!$J$7755),'IN-CLASS_Lab Part C'!$J$7755,NA())</f>
        <v/>
      </c>
    </row>
    <row r="7756">
      <c r="J7756">
        <f>IF(AND(ISNUMBER('Data'!$F$7757),'Data'!$F$7757&lt;&gt;999,'Data'!$F$7757&lt;&gt;""),'Data'!$F$7757,"")</f>
        <v/>
      </c>
      <c r="Z7756" t="n">
        <v>1</v>
      </c>
      <c r="AA7756">
        <f>IF(ISNUMBER('IN-CLASS_Lab Part C'!$J$7756),'IN-CLASS_Lab Part C'!$J$7756,NA())</f>
        <v/>
      </c>
    </row>
    <row r="7757">
      <c r="J7757">
        <f>IF(AND(ISNUMBER('Data'!$F$7758),'Data'!$F$7758&lt;&gt;999,'Data'!$F$7758&lt;&gt;""),'Data'!$F$7758,"")</f>
        <v/>
      </c>
      <c r="Z7757" t="n">
        <v>1</v>
      </c>
      <c r="AA7757">
        <f>IF(ISNUMBER('IN-CLASS_Lab Part C'!$J$7757),'IN-CLASS_Lab Part C'!$J$7757,NA())</f>
        <v/>
      </c>
    </row>
    <row r="7758">
      <c r="J7758">
        <f>IF(AND(ISNUMBER('Data'!$F$7759),'Data'!$F$7759&lt;&gt;999,'Data'!$F$7759&lt;&gt;""),'Data'!$F$7759,"")</f>
        <v/>
      </c>
      <c r="Z7758" t="n">
        <v>1</v>
      </c>
      <c r="AA7758">
        <f>IF(ISNUMBER('IN-CLASS_Lab Part C'!$J$7758),'IN-CLASS_Lab Part C'!$J$7758,NA())</f>
        <v/>
      </c>
    </row>
    <row r="7759">
      <c r="J7759">
        <f>IF(AND(ISNUMBER('Data'!$F$7760),'Data'!$F$7760&lt;&gt;999,'Data'!$F$7760&lt;&gt;""),'Data'!$F$7760,"")</f>
        <v/>
      </c>
      <c r="Z7759" t="n">
        <v>1</v>
      </c>
      <c r="AA7759">
        <f>IF(ISNUMBER('IN-CLASS_Lab Part C'!$J$7759),'IN-CLASS_Lab Part C'!$J$7759,NA())</f>
        <v/>
      </c>
    </row>
    <row r="7760">
      <c r="J7760">
        <f>IF(AND(ISNUMBER('Data'!$F$7761),'Data'!$F$7761&lt;&gt;999,'Data'!$F$7761&lt;&gt;""),'Data'!$F$7761,"")</f>
        <v/>
      </c>
      <c r="Z7760" t="n">
        <v>1</v>
      </c>
      <c r="AA7760">
        <f>IF(ISNUMBER('IN-CLASS_Lab Part C'!$J$7760),'IN-CLASS_Lab Part C'!$J$7760,NA())</f>
        <v/>
      </c>
    </row>
    <row r="7761">
      <c r="J7761">
        <f>IF(AND(ISNUMBER('Data'!$F$7762),'Data'!$F$7762&lt;&gt;999,'Data'!$F$7762&lt;&gt;""),'Data'!$F$7762,"")</f>
        <v/>
      </c>
      <c r="Z7761" t="n">
        <v>1</v>
      </c>
      <c r="AA7761">
        <f>IF(ISNUMBER('IN-CLASS_Lab Part C'!$J$7761),'IN-CLASS_Lab Part C'!$J$7761,NA())</f>
        <v/>
      </c>
    </row>
    <row r="7762">
      <c r="J7762">
        <f>IF(AND(ISNUMBER('Data'!$F$7763),'Data'!$F$7763&lt;&gt;999,'Data'!$F$7763&lt;&gt;""),'Data'!$F$7763,"")</f>
        <v/>
      </c>
      <c r="Z7762" t="n">
        <v>1</v>
      </c>
      <c r="AA7762">
        <f>IF(ISNUMBER('IN-CLASS_Lab Part C'!$J$7762),'IN-CLASS_Lab Part C'!$J$7762,NA())</f>
        <v/>
      </c>
    </row>
    <row r="7763">
      <c r="J7763">
        <f>IF(AND(ISNUMBER('Data'!$F$7764),'Data'!$F$7764&lt;&gt;999,'Data'!$F$7764&lt;&gt;""),'Data'!$F$7764,"")</f>
        <v/>
      </c>
      <c r="Z7763" t="n">
        <v>1</v>
      </c>
      <c r="AA7763">
        <f>IF(ISNUMBER('IN-CLASS_Lab Part C'!$J$7763),'IN-CLASS_Lab Part C'!$J$7763,NA())</f>
        <v/>
      </c>
    </row>
    <row r="7764">
      <c r="J7764">
        <f>IF(AND(ISNUMBER('Data'!$F$7765),'Data'!$F$7765&lt;&gt;999,'Data'!$F$7765&lt;&gt;""),'Data'!$F$7765,"")</f>
        <v/>
      </c>
      <c r="Z7764" t="n">
        <v>1</v>
      </c>
      <c r="AA7764">
        <f>IF(ISNUMBER('IN-CLASS_Lab Part C'!$J$7764),'IN-CLASS_Lab Part C'!$J$7764,NA())</f>
        <v/>
      </c>
    </row>
    <row r="7765">
      <c r="J7765">
        <f>IF(AND(ISNUMBER('Data'!$F$7766),'Data'!$F$7766&lt;&gt;999,'Data'!$F$7766&lt;&gt;""),'Data'!$F$7766,"")</f>
        <v/>
      </c>
      <c r="Z7765" t="n">
        <v>1</v>
      </c>
      <c r="AA7765">
        <f>IF(ISNUMBER('IN-CLASS_Lab Part C'!$J$7765),'IN-CLASS_Lab Part C'!$J$7765,NA())</f>
        <v/>
      </c>
    </row>
    <row r="7766">
      <c r="J7766">
        <f>IF(AND(ISNUMBER('Data'!$F$7767),'Data'!$F$7767&lt;&gt;999,'Data'!$F$7767&lt;&gt;""),'Data'!$F$7767,"")</f>
        <v/>
      </c>
      <c r="Z7766" t="n">
        <v>1</v>
      </c>
      <c r="AA7766">
        <f>IF(ISNUMBER('IN-CLASS_Lab Part C'!$J$7766),'IN-CLASS_Lab Part C'!$J$7766,NA())</f>
        <v/>
      </c>
    </row>
    <row r="7767">
      <c r="J7767">
        <f>IF(AND(ISNUMBER('Data'!$F$7768),'Data'!$F$7768&lt;&gt;999,'Data'!$F$7768&lt;&gt;""),'Data'!$F$7768,"")</f>
        <v/>
      </c>
      <c r="Z7767" t="n">
        <v>1</v>
      </c>
      <c r="AA7767">
        <f>IF(ISNUMBER('IN-CLASS_Lab Part C'!$J$7767),'IN-CLASS_Lab Part C'!$J$7767,NA())</f>
        <v/>
      </c>
    </row>
    <row r="7768">
      <c r="J7768">
        <f>IF(AND(ISNUMBER('Data'!$F$7769),'Data'!$F$7769&lt;&gt;999,'Data'!$F$7769&lt;&gt;""),'Data'!$F$7769,"")</f>
        <v/>
      </c>
      <c r="Z7768" t="n">
        <v>1</v>
      </c>
      <c r="AA7768">
        <f>IF(ISNUMBER('IN-CLASS_Lab Part C'!$J$7768),'IN-CLASS_Lab Part C'!$J$7768,NA())</f>
        <v/>
      </c>
    </row>
    <row r="7769">
      <c r="J7769">
        <f>IF(AND(ISNUMBER('Data'!$F$7770),'Data'!$F$7770&lt;&gt;999,'Data'!$F$7770&lt;&gt;""),'Data'!$F$7770,"")</f>
        <v/>
      </c>
      <c r="Z7769" t="n">
        <v>1</v>
      </c>
      <c r="AA7769">
        <f>IF(ISNUMBER('IN-CLASS_Lab Part C'!$J$7769),'IN-CLASS_Lab Part C'!$J$7769,NA())</f>
        <v/>
      </c>
    </row>
    <row r="7770">
      <c r="J7770">
        <f>IF(AND(ISNUMBER('Data'!$F$7771),'Data'!$F$7771&lt;&gt;999,'Data'!$F$7771&lt;&gt;""),'Data'!$F$7771,"")</f>
        <v/>
      </c>
      <c r="Z7770" t="n">
        <v>1</v>
      </c>
      <c r="AA7770">
        <f>IF(ISNUMBER('IN-CLASS_Lab Part C'!$J$7770),'IN-CLASS_Lab Part C'!$J$7770,NA())</f>
        <v/>
      </c>
    </row>
    <row r="7771">
      <c r="J7771">
        <f>IF(AND(ISNUMBER('Data'!$F$7772),'Data'!$F$7772&lt;&gt;999,'Data'!$F$7772&lt;&gt;""),'Data'!$F$7772,"")</f>
        <v/>
      </c>
      <c r="Z7771" t="n">
        <v>1</v>
      </c>
      <c r="AA7771">
        <f>IF(ISNUMBER('IN-CLASS_Lab Part C'!$J$7771),'IN-CLASS_Lab Part C'!$J$7771,NA())</f>
        <v/>
      </c>
    </row>
    <row r="7772">
      <c r="J7772">
        <f>IF(AND(ISNUMBER('Data'!$F$7773),'Data'!$F$7773&lt;&gt;999,'Data'!$F$7773&lt;&gt;""),'Data'!$F$7773,"")</f>
        <v/>
      </c>
      <c r="Z7772" t="n">
        <v>1</v>
      </c>
      <c r="AA7772">
        <f>IF(ISNUMBER('IN-CLASS_Lab Part C'!$J$7772),'IN-CLASS_Lab Part C'!$J$7772,NA())</f>
        <v/>
      </c>
    </row>
    <row r="7773">
      <c r="J7773">
        <f>IF(AND(ISNUMBER('Data'!$F$7774),'Data'!$F$7774&lt;&gt;999,'Data'!$F$7774&lt;&gt;""),'Data'!$F$7774,"")</f>
        <v/>
      </c>
      <c r="Z7773" t="n">
        <v>1</v>
      </c>
      <c r="AA7773">
        <f>IF(ISNUMBER('IN-CLASS_Lab Part C'!$J$7773),'IN-CLASS_Lab Part C'!$J$7773,NA())</f>
        <v/>
      </c>
    </row>
    <row r="7774">
      <c r="J7774">
        <f>IF(AND(ISNUMBER('Data'!$F$7775),'Data'!$F$7775&lt;&gt;999,'Data'!$F$7775&lt;&gt;""),'Data'!$F$7775,"")</f>
        <v/>
      </c>
      <c r="Z7774" t="n">
        <v>1</v>
      </c>
      <c r="AA7774">
        <f>IF(ISNUMBER('IN-CLASS_Lab Part C'!$J$7774),'IN-CLASS_Lab Part C'!$J$7774,NA())</f>
        <v/>
      </c>
    </row>
    <row r="7775">
      <c r="J7775">
        <f>IF(AND(ISNUMBER('Data'!$F$7776),'Data'!$F$7776&lt;&gt;999,'Data'!$F$7776&lt;&gt;""),'Data'!$F$7776,"")</f>
        <v/>
      </c>
      <c r="Z7775" t="n">
        <v>1</v>
      </c>
      <c r="AA7775">
        <f>IF(ISNUMBER('IN-CLASS_Lab Part C'!$J$7775),'IN-CLASS_Lab Part C'!$J$7775,NA())</f>
        <v/>
      </c>
    </row>
    <row r="7776">
      <c r="J7776">
        <f>IF(AND(ISNUMBER('Data'!$F$7777),'Data'!$F$7777&lt;&gt;999,'Data'!$F$7777&lt;&gt;""),'Data'!$F$7777,"")</f>
        <v/>
      </c>
      <c r="Z7776" t="n">
        <v>1</v>
      </c>
      <c r="AA7776">
        <f>IF(ISNUMBER('IN-CLASS_Lab Part C'!$J$7776),'IN-CLASS_Lab Part C'!$J$7776,NA())</f>
        <v/>
      </c>
    </row>
    <row r="7777">
      <c r="J7777">
        <f>IF(AND(ISNUMBER('Data'!$F$7778),'Data'!$F$7778&lt;&gt;999,'Data'!$F$7778&lt;&gt;""),'Data'!$F$7778,"")</f>
        <v/>
      </c>
      <c r="Z7777" t="n">
        <v>1</v>
      </c>
      <c r="AA7777">
        <f>IF(ISNUMBER('IN-CLASS_Lab Part C'!$J$7777),'IN-CLASS_Lab Part C'!$J$7777,NA())</f>
        <v/>
      </c>
    </row>
    <row r="7778">
      <c r="J7778">
        <f>IF(AND(ISNUMBER('Data'!$F$7779),'Data'!$F$7779&lt;&gt;999,'Data'!$F$7779&lt;&gt;""),'Data'!$F$7779,"")</f>
        <v/>
      </c>
      <c r="Z7778" t="n">
        <v>1</v>
      </c>
      <c r="AA7778">
        <f>IF(ISNUMBER('IN-CLASS_Lab Part C'!$J$7778),'IN-CLASS_Lab Part C'!$J$7778,NA())</f>
        <v/>
      </c>
    </row>
    <row r="7779">
      <c r="J7779">
        <f>IF(AND(ISNUMBER('Data'!$F$7780),'Data'!$F$7780&lt;&gt;999,'Data'!$F$7780&lt;&gt;""),'Data'!$F$7780,"")</f>
        <v/>
      </c>
      <c r="Z7779" t="n">
        <v>1</v>
      </c>
      <c r="AA7779">
        <f>IF(ISNUMBER('IN-CLASS_Lab Part C'!$J$7779),'IN-CLASS_Lab Part C'!$J$7779,NA())</f>
        <v/>
      </c>
    </row>
    <row r="7780">
      <c r="J7780">
        <f>IF(AND(ISNUMBER('Data'!$F$7781),'Data'!$F$7781&lt;&gt;999,'Data'!$F$7781&lt;&gt;""),'Data'!$F$7781,"")</f>
        <v/>
      </c>
      <c r="Z7780" t="n">
        <v>1</v>
      </c>
      <c r="AA7780">
        <f>IF(ISNUMBER('IN-CLASS_Lab Part C'!$J$7780),'IN-CLASS_Lab Part C'!$J$7780,NA())</f>
        <v/>
      </c>
    </row>
    <row r="7781">
      <c r="J7781">
        <f>IF(AND(ISNUMBER('Data'!$F$7782),'Data'!$F$7782&lt;&gt;999,'Data'!$F$7782&lt;&gt;""),'Data'!$F$7782,"")</f>
        <v/>
      </c>
      <c r="Z7781" t="n">
        <v>1</v>
      </c>
      <c r="AA7781">
        <f>IF(ISNUMBER('IN-CLASS_Lab Part C'!$J$7781),'IN-CLASS_Lab Part C'!$J$7781,NA())</f>
        <v/>
      </c>
    </row>
    <row r="7782">
      <c r="J7782">
        <f>IF(AND(ISNUMBER('Data'!$F$7783),'Data'!$F$7783&lt;&gt;999,'Data'!$F$7783&lt;&gt;""),'Data'!$F$7783,"")</f>
        <v/>
      </c>
      <c r="Z7782" t="n">
        <v>1</v>
      </c>
      <c r="AA7782">
        <f>IF(ISNUMBER('IN-CLASS_Lab Part C'!$J$7782),'IN-CLASS_Lab Part C'!$J$7782,NA())</f>
        <v/>
      </c>
    </row>
    <row r="7783">
      <c r="J7783">
        <f>IF(AND(ISNUMBER('Data'!$F$7784),'Data'!$F$7784&lt;&gt;999,'Data'!$F$7784&lt;&gt;""),'Data'!$F$7784,"")</f>
        <v/>
      </c>
      <c r="Z7783" t="n">
        <v>1</v>
      </c>
      <c r="AA7783">
        <f>IF(ISNUMBER('IN-CLASS_Lab Part C'!$J$7783),'IN-CLASS_Lab Part C'!$J$7783,NA())</f>
        <v/>
      </c>
    </row>
    <row r="7784">
      <c r="J7784">
        <f>IF(AND(ISNUMBER('Data'!$F$7785),'Data'!$F$7785&lt;&gt;999,'Data'!$F$7785&lt;&gt;""),'Data'!$F$7785,"")</f>
        <v/>
      </c>
      <c r="Z7784" t="n">
        <v>1</v>
      </c>
      <c r="AA7784">
        <f>IF(ISNUMBER('IN-CLASS_Lab Part C'!$J$7784),'IN-CLASS_Lab Part C'!$J$7784,NA())</f>
        <v/>
      </c>
    </row>
    <row r="7785">
      <c r="J7785">
        <f>IF(AND(ISNUMBER('Data'!$F$7786),'Data'!$F$7786&lt;&gt;999,'Data'!$F$7786&lt;&gt;""),'Data'!$F$7786,"")</f>
        <v/>
      </c>
      <c r="Z7785" t="n">
        <v>1</v>
      </c>
      <c r="AA7785">
        <f>IF(ISNUMBER('IN-CLASS_Lab Part C'!$J$7785),'IN-CLASS_Lab Part C'!$J$7785,NA())</f>
        <v/>
      </c>
    </row>
    <row r="7786">
      <c r="J7786">
        <f>IF(AND(ISNUMBER('Data'!$F$7787),'Data'!$F$7787&lt;&gt;999,'Data'!$F$7787&lt;&gt;""),'Data'!$F$7787,"")</f>
        <v/>
      </c>
      <c r="Z7786" t="n">
        <v>1</v>
      </c>
      <c r="AA7786">
        <f>IF(ISNUMBER('IN-CLASS_Lab Part C'!$J$7786),'IN-CLASS_Lab Part C'!$J$7786,NA())</f>
        <v/>
      </c>
    </row>
    <row r="7787">
      <c r="J7787">
        <f>IF(AND(ISNUMBER('Data'!$F$7788),'Data'!$F$7788&lt;&gt;999,'Data'!$F$7788&lt;&gt;""),'Data'!$F$7788,"")</f>
        <v/>
      </c>
      <c r="Z7787" t="n">
        <v>1</v>
      </c>
      <c r="AA7787">
        <f>IF(ISNUMBER('IN-CLASS_Lab Part C'!$J$7787),'IN-CLASS_Lab Part C'!$J$7787,NA())</f>
        <v/>
      </c>
    </row>
    <row r="7788">
      <c r="J7788">
        <f>IF(AND(ISNUMBER('Data'!$F$7789),'Data'!$F$7789&lt;&gt;999,'Data'!$F$7789&lt;&gt;""),'Data'!$F$7789,"")</f>
        <v/>
      </c>
      <c r="Z7788" t="n">
        <v>1</v>
      </c>
      <c r="AA7788">
        <f>IF(ISNUMBER('IN-CLASS_Lab Part C'!$J$7788),'IN-CLASS_Lab Part C'!$J$7788,NA())</f>
        <v/>
      </c>
    </row>
    <row r="7789">
      <c r="J7789">
        <f>IF(AND(ISNUMBER('Data'!$F$7790),'Data'!$F$7790&lt;&gt;999,'Data'!$F$7790&lt;&gt;""),'Data'!$F$7790,"")</f>
        <v/>
      </c>
      <c r="Z7789" t="n">
        <v>1</v>
      </c>
      <c r="AA7789">
        <f>IF(ISNUMBER('IN-CLASS_Lab Part C'!$J$7789),'IN-CLASS_Lab Part C'!$J$7789,NA())</f>
        <v/>
      </c>
    </row>
    <row r="7790">
      <c r="J7790">
        <f>IF(AND(ISNUMBER('Data'!$F$7791),'Data'!$F$7791&lt;&gt;999,'Data'!$F$7791&lt;&gt;""),'Data'!$F$7791,"")</f>
        <v/>
      </c>
      <c r="Z7790" t="n">
        <v>1</v>
      </c>
      <c r="AA7790">
        <f>IF(ISNUMBER('IN-CLASS_Lab Part C'!$J$7790),'IN-CLASS_Lab Part C'!$J$7790,NA())</f>
        <v/>
      </c>
    </row>
    <row r="7791">
      <c r="J7791">
        <f>IF(AND(ISNUMBER('Data'!$F$7792),'Data'!$F$7792&lt;&gt;999,'Data'!$F$7792&lt;&gt;""),'Data'!$F$7792,"")</f>
        <v/>
      </c>
      <c r="Z7791" t="n">
        <v>1</v>
      </c>
      <c r="AA7791">
        <f>IF(ISNUMBER('IN-CLASS_Lab Part C'!$J$7791),'IN-CLASS_Lab Part C'!$J$7791,NA())</f>
        <v/>
      </c>
    </row>
    <row r="7792">
      <c r="J7792">
        <f>IF(AND(ISNUMBER('Data'!$F$7793),'Data'!$F$7793&lt;&gt;999,'Data'!$F$7793&lt;&gt;""),'Data'!$F$7793,"")</f>
        <v/>
      </c>
      <c r="Z7792" t="n">
        <v>1</v>
      </c>
      <c r="AA7792">
        <f>IF(ISNUMBER('IN-CLASS_Lab Part C'!$J$7792),'IN-CLASS_Lab Part C'!$J$7792,NA())</f>
        <v/>
      </c>
    </row>
    <row r="7793">
      <c r="J7793">
        <f>IF(AND(ISNUMBER('Data'!$F$7794),'Data'!$F$7794&lt;&gt;999,'Data'!$F$7794&lt;&gt;""),'Data'!$F$7794,"")</f>
        <v/>
      </c>
      <c r="Z7793" t="n">
        <v>1</v>
      </c>
      <c r="AA7793">
        <f>IF(ISNUMBER('IN-CLASS_Lab Part C'!$J$7793),'IN-CLASS_Lab Part C'!$J$7793,NA())</f>
        <v/>
      </c>
    </row>
    <row r="7794">
      <c r="J7794">
        <f>IF(AND(ISNUMBER('Data'!$F$7795),'Data'!$F$7795&lt;&gt;999,'Data'!$F$7795&lt;&gt;""),'Data'!$F$7795,"")</f>
        <v/>
      </c>
      <c r="Z7794" t="n">
        <v>1</v>
      </c>
      <c r="AA7794">
        <f>IF(ISNUMBER('IN-CLASS_Lab Part C'!$J$7794),'IN-CLASS_Lab Part C'!$J$7794,NA())</f>
        <v/>
      </c>
    </row>
    <row r="7795">
      <c r="J7795">
        <f>IF(AND(ISNUMBER('Data'!$F$7796),'Data'!$F$7796&lt;&gt;999,'Data'!$F$7796&lt;&gt;""),'Data'!$F$7796,"")</f>
        <v/>
      </c>
      <c r="Z7795" t="n">
        <v>1</v>
      </c>
      <c r="AA7795">
        <f>IF(ISNUMBER('IN-CLASS_Lab Part C'!$J$7795),'IN-CLASS_Lab Part C'!$J$7795,NA())</f>
        <v/>
      </c>
    </row>
    <row r="7796">
      <c r="J7796">
        <f>IF(AND(ISNUMBER('Data'!$F$7797),'Data'!$F$7797&lt;&gt;999,'Data'!$F$7797&lt;&gt;""),'Data'!$F$7797,"")</f>
        <v/>
      </c>
      <c r="Z7796" t="n">
        <v>1</v>
      </c>
      <c r="AA7796">
        <f>IF(ISNUMBER('IN-CLASS_Lab Part C'!$J$7796),'IN-CLASS_Lab Part C'!$J$7796,NA())</f>
        <v/>
      </c>
    </row>
    <row r="7797">
      <c r="J7797">
        <f>IF(AND(ISNUMBER('Data'!$F$7798),'Data'!$F$7798&lt;&gt;999,'Data'!$F$7798&lt;&gt;""),'Data'!$F$7798,"")</f>
        <v/>
      </c>
      <c r="Z7797" t="n">
        <v>1</v>
      </c>
      <c r="AA7797">
        <f>IF(ISNUMBER('IN-CLASS_Lab Part C'!$J$7797),'IN-CLASS_Lab Part C'!$J$7797,NA())</f>
        <v/>
      </c>
    </row>
    <row r="7798">
      <c r="J7798">
        <f>IF(AND(ISNUMBER('Data'!$F$7799),'Data'!$F$7799&lt;&gt;999,'Data'!$F$7799&lt;&gt;""),'Data'!$F$7799,"")</f>
        <v/>
      </c>
      <c r="Z7798" t="n">
        <v>1</v>
      </c>
      <c r="AA7798">
        <f>IF(ISNUMBER('IN-CLASS_Lab Part C'!$J$7798),'IN-CLASS_Lab Part C'!$J$7798,NA())</f>
        <v/>
      </c>
    </row>
    <row r="7799">
      <c r="J7799">
        <f>IF(AND(ISNUMBER('Data'!$F$7800),'Data'!$F$7800&lt;&gt;999,'Data'!$F$7800&lt;&gt;""),'Data'!$F$7800,"")</f>
        <v/>
      </c>
      <c r="Z7799" t="n">
        <v>1</v>
      </c>
      <c r="AA7799">
        <f>IF(ISNUMBER('IN-CLASS_Lab Part C'!$J$7799),'IN-CLASS_Lab Part C'!$J$7799,NA())</f>
        <v/>
      </c>
    </row>
    <row r="7800">
      <c r="J7800">
        <f>IF(AND(ISNUMBER('Data'!$F$7801),'Data'!$F$7801&lt;&gt;999,'Data'!$F$7801&lt;&gt;""),'Data'!$F$7801,"")</f>
        <v/>
      </c>
      <c r="Z7800" t="n">
        <v>1</v>
      </c>
      <c r="AA7800">
        <f>IF(ISNUMBER('IN-CLASS_Lab Part C'!$J$7800),'IN-CLASS_Lab Part C'!$J$7800,NA())</f>
        <v/>
      </c>
    </row>
    <row r="7801">
      <c r="J7801">
        <f>IF(AND(ISNUMBER('Data'!$F$7802),'Data'!$F$7802&lt;&gt;999,'Data'!$F$7802&lt;&gt;""),'Data'!$F$7802,"")</f>
        <v/>
      </c>
      <c r="Z7801" t="n">
        <v>1</v>
      </c>
      <c r="AA7801">
        <f>IF(ISNUMBER('IN-CLASS_Lab Part C'!$J$7801),'IN-CLASS_Lab Part C'!$J$7801,NA())</f>
        <v/>
      </c>
    </row>
    <row r="7802">
      <c r="J7802">
        <f>IF(AND(ISNUMBER('Data'!$F$7803),'Data'!$F$7803&lt;&gt;999,'Data'!$F$7803&lt;&gt;""),'Data'!$F$7803,"")</f>
        <v/>
      </c>
      <c r="Z7802" t="n">
        <v>1</v>
      </c>
      <c r="AA7802">
        <f>IF(ISNUMBER('IN-CLASS_Lab Part C'!$J$7802),'IN-CLASS_Lab Part C'!$J$7802,NA())</f>
        <v/>
      </c>
    </row>
    <row r="7803">
      <c r="J7803">
        <f>IF(AND(ISNUMBER('Data'!$F$7804),'Data'!$F$7804&lt;&gt;999,'Data'!$F$7804&lt;&gt;""),'Data'!$F$7804,"")</f>
        <v/>
      </c>
      <c r="Z7803" t="n">
        <v>1</v>
      </c>
      <c r="AA7803">
        <f>IF(ISNUMBER('IN-CLASS_Lab Part C'!$J$7803),'IN-CLASS_Lab Part C'!$J$7803,NA())</f>
        <v/>
      </c>
    </row>
    <row r="7804">
      <c r="J7804">
        <f>IF(AND(ISNUMBER('Data'!$F$7805),'Data'!$F$7805&lt;&gt;999,'Data'!$F$7805&lt;&gt;""),'Data'!$F$7805,"")</f>
        <v/>
      </c>
      <c r="Z7804" t="n">
        <v>1</v>
      </c>
      <c r="AA7804">
        <f>IF(ISNUMBER('IN-CLASS_Lab Part C'!$J$7804),'IN-CLASS_Lab Part C'!$J$7804,NA())</f>
        <v/>
      </c>
    </row>
    <row r="7805">
      <c r="J7805">
        <f>IF(AND(ISNUMBER('Data'!$F$7806),'Data'!$F$7806&lt;&gt;999,'Data'!$F$7806&lt;&gt;""),'Data'!$F$7806,"")</f>
        <v/>
      </c>
      <c r="Z7805" t="n">
        <v>1</v>
      </c>
      <c r="AA7805">
        <f>IF(ISNUMBER('IN-CLASS_Lab Part C'!$J$7805),'IN-CLASS_Lab Part C'!$J$7805,NA())</f>
        <v/>
      </c>
    </row>
    <row r="7806">
      <c r="J7806">
        <f>IF(AND(ISNUMBER('Data'!$F$7807),'Data'!$F$7807&lt;&gt;999,'Data'!$F$7807&lt;&gt;""),'Data'!$F$7807,"")</f>
        <v/>
      </c>
      <c r="Z7806" t="n">
        <v>1</v>
      </c>
      <c r="AA7806">
        <f>IF(ISNUMBER('IN-CLASS_Lab Part C'!$J$7806),'IN-CLASS_Lab Part C'!$J$7806,NA())</f>
        <v/>
      </c>
    </row>
    <row r="7807">
      <c r="J7807">
        <f>IF(AND(ISNUMBER('Data'!$F$7808),'Data'!$F$7808&lt;&gt;999,'Data'!$F$7808&lt;&gt;""),'Data'!$F$7808,"")</f>
        <v/>
      </c>
      <c r="Z7807" t="n">
        <v>1</v>
      </c>
      <c r="AA7807">
        <f>IF(ISNUMBER('IN-CLASS_Lab Part C'!$J$7807),'IN-CLASS_Lab Part C'!$J$7807,NA())</f>
        <v/>
      </c>
    </row>
    <row r="7808">
      <c r="J7808">
        <f>IF(AND(ISNUMBER('Data'!$F$7809),'Data'!$F$7809&lt;&gt;999,'Data'!$F$7809&lt;&gt;""),'Data'!$F$7809,"")</f>
        <v/>
      </c>
      <c r="Z7808" t="n">
        <v>1</v>
      </c>
      <c r="AA7808">
        <f>IF(ISNUMBER('IN-CLASS_Lab Part C'!$J$7808),'IN-CLASS_Lab Part C'!$J$7808,NA())</f>
        <v/>
      </c>
    </row>
    <row r="7809">
      <c r="J7809">
        <f>IF(AND(ISNUMBER('Data'!$F$7810),'Data'!$F$7810&lt;&gt;999,'Data'!$F$7810&lt;&gt;""),'Data'!$F$7810,"")</f>
        <v/>
      </c>
      <c r="Z7809" t="n">
        <v>1</v>
      </c>
      <c r="AA7809">
        <f>IF(ISNUMBER('IN-CLASS_Lab Part C'!$J$7809),'IN-CLASS_Lab Part C'!$J$7809,NA())</f>
        <v/>
      </c>
    </row>
    <row r="7810">
      <c r="J7810">
        <f>IF(AND(ISNUMBER('Data'!$F$7811),'Data'!$F$7811&lt;&gt;999,'Data'!$F$7811&lt;&gt;""),'Data'!$F$7811,"")</f>
        <v/>
      </c>
      <c r="Z7810" t="n">
        <v>1</v>
      </c>
      <c r="AA7810">
        <f>IF(ISNUMBER('IN-CLASS_Lab Part C'!$J$7810),'IN-CLASS_Lab Part C'!$J$7810,NA())</f>
        <v/>
      </c>
    </row>
    <row r="7811">
      <c r="J7811">
        <f>IF(AND(ISNUMBER('Data'!$F$7812),'Data'!$F$7812&lt;&gt;999,'Data'!$F$7812&lt;&gt;""),'Data'!$F$7812,"")</f>
        <v/>
      </c>
      <c r="Z7811" t="n">
        <v>1</v>
      </c>
      <c r="AA7811">
        <f>IF(ISNUMBER('IN-CLASS_Lab Part C'!$J$7811),'IN-CLASS_Lab Part C'!$J$7811,NA())</f>
        <v/>
      </c>
    </row>
    <row r="7812">
      <c r="J7812">
        <f>IF(AND(ISNUMBER('Data'!$F$7813),'Data'!$F$7813&lt;&gt;999,'Data'!$F$7813&lt;&gt;""),'Data'!$F$7813,"")</f>
        <v/>
      </c>
      <c r="Z7812" t="n">
        <v>1</v>
      </c>
      <c r="AA7812">
        <f>IF(ISNUMBER('IN-CLASS_Lab Part C'!$J$7812),'IN-CLASS_Lab Part C'!$J$7812,NA())</f>
        <v/>
      </c>
    </row>
    <row r="7813">
      <c r="J7813">
        <f>IF(AND(ISNUMBER('Data'!$F$7814),'Data'!$F$7814&lt;&gt;999,'Data'!$F$7814&lt;&gt;""),'Data'!$F$7814,"")</f>
        <v/>
      </c>
      <c r="Z7813" t="n">
        <v>1</v>
      </c>
      <c r="AA7813">
        <f>IF(ISNUMBER('IN-CLASS_Lab Part C'!$J$7813),'IN-CLASS_Lab Part C'!$J$7813,NA())</f>
        <v/>
      </c>
    </row>
    <row r="7814">
      <c r="J7814">
        <f>IF(AND(ISNUMBER('Data'!$F$7815),'Data'!$F$7815&lt;&gt;999,'Data'!$F$7815&lt;&gt;""),'Data'!$F$7815,"")</f>
        <v/>
      </c>
      <c r="Z7814" t="n">
        <v>1</v>
      </c>
      <c r="AA7814">
        <f>IF(ISNUMBER('IN-CLASS_Lab Part C'!$J$7814),'IN-CLASS_Lab Part C'!$J$7814,NA())</f>
        <v/>
      </c>
    </row>
    <row r="7815">
      <c r="J7815">
        <f>IF(AND(ISNUMBER('Data'!$F$7816),'Data'!$F$7816&lt;&gt;999,'Data'!$F$7816&lt;&gt;""),'Data'!$F$7816,"")</f>
        <v/>
      </c>
      <c r="Z7815" t="n">
        <v>1</v>
      </c>
      <c r="AA7815">
        <f>IF(ISNUMBER('IN-CLASS_Lab Part C'!$J$7815),'IN-CLASS_Lab Part C'!$J$7815,NA())</f>
        <v/>
      </c>
    </row>
    <row r="7816">
      <c r="J7816">
        <f>IF(AND(ISNUMBER('Data'!$F$7817),'Data'!$F$7817&lt;&gt;999,'Data'!$F$7817&lt;&gt;""),'Data'!$F$7817,"")</f>
        <v/>
      </c>
      <c r="Z7816" t="n">
        <v>1</v>
      </c>
      <c r="AA7816">
        <f>IF(ISNUMBER('IN-CLASS_Lab Part C'!$J$7816),'IN-CLASS_Lab Part C'!$J$7816,NA())</f>
        <v/>
      </c>
    </row>
    <row r="7817">
      <c r="J7817">
        <f>IF(AND(ISNUMBER('Data'!$F$7818),'Data'!$F$7818&lt;&gt;999,'Data'!$F$7818&lt;&gt;""),'Data'!$F$7818,"")</f>
        <v/>
      </c>
      <c r="Z7817" t="n">
        <v>1</v>
      </c>
      <c r="AA7817">
        <f>IF(ISNUMBER('IN-CLASS_Lab Part C'!$J$7817),'IN-CLASS_Lab Part C'!$J$7817,NA())</f>
        <v/>
      </c>
    </row>
    <row r="7818">
      <c r="J7818">
        <f>IF(AND(ISNUMBER('Data'!$F$7819),'Data'!$F$7819&lt;&gt;999,'Data'!$F$7819&lt;&gt;""),'Data'!$F$7819,"")</f>
        <v/>
      </c>
      <c r="Z7818" t="n">
        <v>1</v>
      </c>
      <c r="AA7818">
        <f>IF(ISNUMBER('IN-CLASS_Lab Part C'!$J$7818),'IN-CLASS_Lab Part C'!$J$7818,NA())</f>
        <v/>
      </c>
    </row>
    <row r="7819">
      <c r="J7819">
        <f>IF(AND(ISNUMBER('Data'!$F$7820),'Data'!$F$7820&lt;&gt;999,'Data'!$F$7820&lt;&gt;""),'Data'!$F$7820,"")</f>
        <v/>
      </c>
      <c r="Z7819" t="n">
        <v>1</v>
      </c>
      <c r="AA7819">
        <f>IF(ISNUMBER('IN-CLASS_Lab Part C'!$J$7819),'IN-CLASS_Lab Part C'!$J$7819,NA())</f>
        <v/>
      </c>
    </row>
    <row r="7820">
      <c r="J7820">
        <f>IF(AND(ISNUMBER('Data'!$F$7821),'Data'!$F$7821&lt;&gt;999,'Data'!$F$7821&lt;&gt;""),'Data'!$F$7821,"")</f>
        <v/>
      </c>
      <c r="Z7820" t="n">
        <v>1</v>
      </c>
      <c r="AA7820">
        <f>IF(ISNUMBER('IN-CLASS_Lab Part C'!$J$7820),'IN-CLASS_Lab Part C'!$J$7820,NA())</f>
        <v/>
      </c>
    </row>
    <row r="7821">
      <c r="J7821">
        <f>IF(AND(ISNUMBER('Data'!$F$7822),'Data'!$F$7822&lt;&gt;999,'Data'!$F$7822&lt;&gt;""),'Data'!$F$7822,"")</f>
        <v/>
      </c>
      <c r="Z7821" t="n">
        <v>1</v>
      </c>
      <c r="AA7821">
        <f>IF(ISNUMBER('IN-CLASS_Lab Part C'!$J$7821),'IN-CLASS_Lab Part C'!$J$7821,NA())</f>
        <v/>
      </c>
    </row>
    <row r="7822">
      <c r="J7822">
        <f>IF(AND(ISNUMBER('Data'!$F$7823),'Data'!$F$7823&lt;&gt;999,'Data'!$F$7823&lt;&gt;""),'Data'!$F$7823,"")</f>
        <v/>
      </c>
      <c r="Z7822" t="n">
        <v>1</v>
      </c>
      <c r="AA7822">
        <f>IF(ISNUMBER('IN-CLASS_Lab Part C'!$J$7822),'IN-CLASS_Lab Part C'!$J$7822,NA())</f>
        <v/>
      </c>
    </row>
    <row r="7823">
      <c r="J7823">
        <f>IF(AND(ISNUMBER('Data'!$F$7824),'Data'!$F$7824&lt;&gt;999,'Data'!$F$7824&lt;&gt;""),'Data'!$F$7824,"")</f>
        <v/>
      </c>
      <c r="Z7823" t="n">
        <v>1</v>
      </c>
      <c r="AA7823">
        <f>IF(ISNUMBER('IN-CLASS_Lab Part C'!$J$7823),'IN-CLASS_Lab Part C'!$J$7823,NA())</f>
        <v/>
      </c>
    </row>
    <row r="7824">
      <c r="J7824">
        <f>IF(AND(ISNUMBER('Data'!$F$7825),'Data'!$F$7825&lt;&gt;999,'Data'!$F$7825&lt;&gt;""),'Data'!$F$7825,"")</f>
        <v/>
      </c>
      <c r="Z7824" t="n">
        <v>1</v>
      </c>
      <c r="AA7824">
        <f>IF(ISNUMBER('IN-CLASS_Lab Part C'!$J$7824),'IN-CLASS_Lab Part C'!$J$7824,NA())</f>
        <v/>
      </c>
    </row>
    <row r="7825">
      <c r="J7825">
        <f>IF(AND(ISNUMBER('Data'!$F$7826),'Data'!$F$7826&lt;&gt;999,'Data'!$F$7826&lt;&gt;""),'Data'!$F$7826,"")</f>
        <v/>
      </c>
      <c r="Z7825" t="n">
        <v>1</v>
      </c>
      <c r="AA7825">
        <f>IF(ISNUMBER('IN-CLASS_Lab Part C'!$J$7825),'IN-CLASS_Lab Part C'!$J$7825,NA())</f>
        <v/>
      </c>
    </row>
    <row r="7826">
      <c r="J7826">
        <f>IF(AND(ISNUMBER('Data'!$F$7827),'Data'!$F$7827&lt;&gt;999,'Data'!$F$7827&lt;&gt;""),'Data'!$F$7827,"")</f>
        <v/>
      </c>
      <c r="Z7826" t="n">
        <v>1</v>
      </c>
      <c r="AA7826">
        <f>IF(ISNUMBER('IN-CLASS_Lab Part C'!$J$7826),'IN-CLASS_Lab Part C'!$J$7826,NA())</f>
        <v/>
      </c>
    </row>
    <row r="7827">
      <c r="J7827">
        <f>IF(AND(ISNUMBER('Data'!$F$7828),'Data'!$F$7828&lt;&gt;999,'Data'!$F$7828&lt;&gt;""),'Data'!$F$7828,"")</f>
        <v/>
      </c>
      <c r="Z7827" t="n">
        <v>1</v>
      </c>
      <c r="AA7827">
        <f>IF(ISNUMBER('IN-CLASS_Lab Part C'!$J$7827),'IN-CLASS_Lab Part C'!$J$7827,NA())</f>
        <v/>
      </c>
    </row>
    <row r="7828">
      <c r="J7828">
        <f>IF(AND(ISNUMBER('Data'!$F$7829),'Data'!$F$7829&lt;&gt;999,'Data'!$F$7829&lt;&gt;""),'Data'!$F$7829,"")</f>
        <v/>
      </c>
      <c r="Z7828" t="n">
        <v>1</v>
      </c>
      <c r="AA7828">
        <f>IF(ISNUMBER('IN-CLASS_Lab Part C'!$J$7828),'IN-CLASS_Lab Part C'!$J$7828,NA())</f>
        <v/>
      </c>
    </row>
    <row r="7829">
      <c r="J7829">
        <f>IF(AND(ISNUMBER('Data'!$F$7830),'Data'!$F$7830&lt;&gt;999,'Data'!$F$7830&lt;&gt;""),'Data'!$F$7830,"")</f>
        <v/>
      </c>
      <c r="Z7829" t="n">
        <v>1</v>
      </c>
      <c r="AA7829">
        <f>IF(ISNUMBER('IN-CLASS_Lab Part C'!$J$7829),'IN-CLASS_Lab Part C'!$J$7829,NA())</f>
        <v/>
      </c>
    </row>
    <row r="7830">
      <c r="J7830">
        <f>IF(AND(ISNUMBER('Data'!$F$7831),'Data'!$F$7831&lt;&gt;999,'Data'!$F$7831&lt;&gt;""),'Data'!$F$7831,"")</f>
        <v/>
      </c>
      <c r="Z7830" t="n">
        <v>1</v>
      </c>
      <c r="AA7830">
        <f>IF(ISNUMBER('IN-CLASS_Lab Part C'!$J$7830),'IN-CLASS_Lab Part C'!$J$7830,NA())</f>
        <v/>
      </c>
    </row>
    <row r="7831">
      <c r="J7831">
        <f>IF(AND(ISNUMBER('Data'!$F$7832),'Data'!$F$7832&lt;&gt;999,'Data'!$F$7832&lt;&gt;""),'Data'!$F$7832,"")</f>
        <v/>
      </c>
      <c r="Z7831" t="n">
        <v>1</v>
      </c>
      <c r="AA7831">
        <f>IF(ISNUMBER('IN-CLASS_Lab Part C'!$J$7831),'IN-CLASS_Lab Part C'!$J$7831,NA())</f>
        <v/>
      </c>
    </row>
    <row r="7832">
      <c r="J7832">
        <f>IF(AND(ISNUMBER('Data'!$F$7833),'Data'!$F$7833&lt;&gt;999,'Data'!$F$7833&lt;&gt;""),'Data'!$F$7833,"")</f>
        <v/>
      </c>
      <c r="Z7832" t="n">
        <v>1</v>
      </c>
      <c r="AA7832">
        <f>IF(ISNUMBER('IN-CLASS_Lab Part C'!$J$7832),'IN-CLASS_Lab Part C'!$J$7832,NA())</f>
        <v/>
      </c>
    </row>
    <row r="7833">
      <c r="J7833">
        <f>IF(AND(ISNUMBER('Data'!$F$7834),'Data'!$F$7834&lt;&gt;999,'Data'!$F$7834&lt;&gt;""),'Data'!$F$7834,"")</f>
        <v/>
      </c>
      <c r="Z7833" t="n">
        <v>1</v>
      </c>
      <c r="AA7833">
        <f>IF(ISNUMBER('IN-CLASS_Lab Part C'!$J$7833),'IN-CLASS_Lab Part C'!$J$7833,NA())</f>
        <v/>
      </c>
    </row>
    <row r="7834">
      <c r="J7834">
        <f>IF(AND(ISNUMBER('Data'!$F$7835),'Data'!$F$7835&lt;&gt;999,'Data'!$F$7835&lt;&gt;""),'Data'!$F$7835,"")</f>
        <v/>
      </c>
      <c r="Z7834" t="n">
        <v>1</v>
      </c>
      <c r="AA7834">
        <f>IF(ISNUMBER('IN-CLASS_Lab Part C'!$J$7834),'IN-CLASS_Lab Part C'!$J$7834,NA())</f>
        <v/>
      </c>
    </row>
    <row r="7835">
      <c r="J7835">
        <f>IF(AND(ISNUMBER('Data'!$F$7836),'Data'!$F$7836&lt;&gt;999,'Data'!$F$7836&lt;&gt;""),'Data'!$F$7836,"")</f>
        <v/>
      </c>
      <c r="Z7835" t="n">
        <v>1</v>
      </c>
      <c r="AA7835">
        <f>IF(ISNUMBER('IN-CLASS_Lab Part C'!$J$7835),'IN-CLASS_Lab Part C'!$J$7835,NA())</f>
        <v/>
      </c>
    </row>
    <row r="7836">
      <c r="J7836">
        <f>IF(AND(ISNUMBER('Data'!$F$7837),'Data'!$F$7837&lt;&gt;999,'Data'!$F$7837&lt;&gt;""),'Data'!$F$7837,"")</f>
        <v/>
      </c>
      <c r="Z7836" t="n">
        <v>1</v>
      </c>
      <c r="AA7836">
        <f>IF(ISNUMBER('IN-CLASS_Lab Part C'!$J$7836),'IN-CLASS_Lab Part C'!$J$7836,NA())</f>
        <v/>
      </c>
    </row>
    <row r="7837">
      <c r="J7837">
        <f>IF(AND(ISNUMBER('Data'!$F$7838),'Data'!$F$7838&lt;&gt;999,'Data'!$F$7838&lt;&gt;""),'Data'!$F$7838,"")</f>
        <v/>
      </c>
      <c r="Z7837" t="n">
        <v>1</v>
      </c>
      <c r="AA7837">
        <f>IF(ISNUMBER('IN-CLASS_Lab Part C'!$J$7837),'IN-CLASS_Lab Part C'!$J$7837,NA())</f>
        <v/>
      </c>
    </row>
    <row r="7838">
      <c r="J7838">
        <f>IF(AND(ISNUMBER('Data'!$F$7839),'Data'!$F$7839&lt;&gt;999,'Data'!$F$7839&lt;&gt;""),'Data'!$F$7839,"")</f>
        <v/>
      </c>
      <c r="Z7838" t="n">
        <v>1</v>
      </c>
      <c r="AA7838">
        <f>IF(ISNUMBER('IN-CLASS_Lab Part C'!$J$7838),'IN-CLASS_Lab Part C'!$J$7838,NA())</f>
        <v/>
      </c>
    </row>
    <row r="7839">
      <c r="J7839">
        <f>IF(AND(ISNUMBER('Data'!$F$7840),'Data'!$F$7840&lt;&gt;999,'Data'!$F$7840&lt;&gt;""),'Data'!$F$7840,"")</f>
        <v/>
      </c>
      <c r="Z7839" t="n">
        <v>1</v>
      </c>
      <c r="AA7839">
        <f>IF(ISNUMBER('IN-CLASS_Lab Part C'!$J$7839),'IN-CLASS_Lab Part C'!$J$7839,NA())</f>
        <v/>
      </c>
    </row>
    <row r="7840">
      <c r="J7840">
        <f>IF(AND(ISNUMBER('Data'!$F$7841),'Data'!$F$7841&lt;&gt;999,'Data'!$F$7841&lt;&gt;""),'Data'!$F$7841,"")</f>
        <v/>
      </c>
      <c r="Z7840" t="n">
        <v>1</v>
      </c>
      <c r="AA7840">
        <f>IF(ISNUMBER('IN-CLASS_Lab Part C'!$J$7840),'IN-CLASS_Lab Part C'!$J$7840,NA())</f>
        <v/>
      </c>
    </row>
    <row r="7841">
      <c r="J7841">
        <f>IF(AND(ISNUMBER('Data'!$F$7842),'Data'!$F$7842&lt;&gt;999,'Data'!$F$7842&lt;&gt;""),'Data'!$F$7842,"")</f>
        <v/>
      </c>
      <c r="Z7841" t="n">
        <v>1</v>
      </c>
      <c r="AA7841">
        <f>IF(ISNUMBER('IN-CLASS_Lab Part C'!$J$7841),'IN-CLASS_Lab Part C'!$J$7841,NA())</f>
        <v/>
      </c>
    </row>
    <row r="7842">
      <c r="J7842">
        <f>IF(AND(ISNUMBER('Data'!$F$7843),'Data'!$F$7843&lt;&gt;999,'Data'!$F$7843&lt;&gt;""),'Data'!$F$7843,"")</f>
        <v/>
      </c>
      <c r="Z7842" t="n">
        <v>1</v>
      </c>
      <c r="AA7842">
        <f>IF(ISNUMBER('IN-CLASS_Lab Part C'!$J$7842),'IN-CLASS_Lab Part C'!$J$7842,NA())</f>
        <v/>
      </c>
    </row>
    <row r="7843">
      <c r="J7843">
        <f>IF(AND(ISNUMBER('Data'!$F$7844),'Data'!$F$7844&lt;&gt;999,'Data'!$F$7844&lt;&gt;""),'Data'!$F$7844,"")</f>
        <v/>
      </c>
      <c r="Z7843" t="n">
        <v>1</v>
      </c>
      <c r="AA7843">
        <f>IF(ISNUMBER('IN-CLASS_Lab Part C'!$J$7843),'IN-CLASS_Lab Part C'!$J$7843,NA())</f>
        <v/>
      </c>
    </row>
    <row r="7844">
      <c r="J7844">
        <f>IF(AND(ISNUMBER('Data'!$F$7845),'Data'!$F$7845&lt;&gt;999,'Data'!$F$7845&lt;&gt;""),'Data'!$F$7845,"")</f>
        <v/>
      </c>
      <c r="Z7844" t="n">
        <v>1</v>
      </c>
      <c r="AA7844">
        <f>IF(ISNUMBER('IN-CLASS_Lab Part C'!$J$7844),'IN-CLASS_Lab Part C'!$J$7844,NA())</f>
        <v/>
      </c>
    </row>
    <row r="7845">
      <c r="J7845">
        <f>IF(AND(ISNUMBER('Data'!$F$7846),'Data'!$F$7846&lt;&gt;999,'Data'!$F$7846&lt;&gt;""),'Data'!$F$7846,"")</f>
        <v/>
      </c>
      <c r="Z7845" t="n">
        <v>1</v>
      </c>
      <c r="AA7845">
        <f>IF(ISNUMBER('IN-CLASS_Lab Part C'!$J$7845),'IN-CLASS_Lab Part C'!$J$7845,NA())</f>
        <v/>
      </c>
    </row>
    <row r="7846">
      <c r="J7846">
        <f>IF(AND(ISNUMBER('Data'!$F$7847),'Data'!$F$7847&lt;&gt;999,'Data'!$F$7847&lt;&gt;""),'Data'!$F$7847,"")</f>
        <v/>
      </c>
      <c r="Z7846" t="n">
        <v>1</v>
      </c>
      <c r="AA7846">
        <f>IF(ISNUMBER('IN-CLASS_Lab Part C'!$J$7846),'IN-CLASS_Lab Part C'!$J$7846,NA())</f>
        <v/>
      </c>
    </row>
    <row r="7847">
      <c r="J7847">
        <f>IF(AND(ISNUMBER('Data'!$F$7848),'Data'!$F$7848&lt;&gt;999,'Data'!$F$7848&lt;&gt;""),'Data'!$F$7848,"")</f>
        <v/>
      </c>
      <c r="Z7847" t="n">
        <v>1</v>
      </c>
      <c r="AA7847">
        <f>IF(ISNUMBER('IN-CLASS_Lab Part C'!$J$7847),'IN-CLASS_Lab Part C'!$J$7847,NA())</f>
        <v/>
      </c>
    </row>
    <row r="7848">
      <c r="J7848">
        <f>IF(AND(ISNUMBER('Data'!$F$7849),'Data'!$F$7849&lt;&gt;999,'Data'!$F$7849&lt;&gt;""),'Data'!$F$7849,"")</f>
        <v/>
      </c>
      <c r="Z7848" t="n">
        <v>1</v>
      </c>
      <c r="AA7848">
        <f>IF(ISNUMBER('IN-CLASS_Lab Part C'!$J$7848),'IN-CLASS_Lab Part C'!$J$7848,NA())</f>
        <v/>
      </c>
    </row>
    <row r="7849">
      <c r="J7849">
        <f>IF(AND(ISNUMBER('Data'!$F$7850),'Data'!$F$7850&lt;&gt;999,'Data'!$F$7850&lt;&gt;""),'Data'!$F$7850,"")</f>
        <v/>
      </c>
      <c r="Z7849" t="n">
        <v>1</v>
      </c>
      <c r="AA7849">
        <f>IF(ISNUMBER('IN-CLASS_Lab Part C'!$J$7849),'IN-CLASS_Lab Part C'!$J$7849,NA())</f>
        <v/>
      </c>
    </row>
    <row r="7850">
      <c r="J7850">
        <f>IF(AND(ISNUMBER('Data'!$F$7851),'Data'!$F$7851&lt;&gt;999,'Data'!$F$7851&lt;&gt;""),'Data'!$F$7851,"")</f>
        <v/>
      </c>
      <c r="Z7850" t="n">
        <v>1</v>
      </c>
      <c r="AA7850">
        <f>IF(ISNUMBER('IN-CLASS_Lab Part C'!$J$7850),'IN-CLASS_Lab Part C'!$J$7850,NA())</f>
        <v/>
      </c>
    </row>
    <row r="7851">
      <c r="J7851">
        <f>IF(AND(ISNUMBER('Data'!$F$7852),'Data'!$F$7852&lt;&gt;999,'Data'!$F$7852&lt;&gt;""),'Data'!$F$7852,"")</f>
        <v/>
      </c>
      <c r="Z7851" t="n">
        <v>1</v>
      </c>
      <c r="AA7851">
        <f>IF(ISNUMBER('IN-CLASS_Lab Part C'!$J$7851),'IN-CLASS_Lab Part C'!$J$7851,NA())</f>
        <v/>
      </c>
    </row>
    <row r="7852">
      <c r="J7852">
        <f>IF(AND(ISNUMBER('Data'!$F$7853),'Data'!$F$7853&lt;&gt;999,'Data'!$F$7853&lt;&gt;""),'Data'!$F$7853,"")</f>
        <v/>
      </c>
      <c r="Z7852" t="n">
        <v>1</v>
      </c>
      <c r="AA7852">
        <f>IF(ISNUMBER('IN-CLASS_Lab Part C'!$J$7852),'IN-CLASS_Lab Part C'!$J$7852,NA())</f>
        <v/>
      </c>
    </row>
    <row r="7853">
      <c r="J7853">
        <f>IF(AND(ISNUMBER('Data'!$F$7854),'Data'!$F$7854&lt;&gt;999,'Data'!$F$7854&lt;&gt;""),'Data'!$F$7854,"")</f>
        <v/>
      </c>
      <c r="Z7853" t="n">
        <v>1</v>
      </c>
      <c r="AA7853">
        <f>IF(ISNUMBER('IN-CLASS_Lab Part C'!$J$7853),'IN-CLASS_Lab Part C'!$J$7853,NA())</f>
        <v/>
      </c>
    </row>
    <row r="7854">
      <c r="J7854">
        <f>IF(AND(ISNUMBER('Data'!$F$7855),'Data'!$F$7855&lt;&gt;999,'Data'!$F$7855&lt;&gt;""),'Data'!$F$7855,"")</f>
        <v/>
      </c>
      <c r="Z7854" t="n">
        <v>1</v>
      </c>
      <c r="AA7854">
        <f>IF(ISNUMBER('IN-CLASS_Lab Part C'!$J$7854),'IN-CLASS_Lab Part C'!$J$7854,NA())</f>
        <v/>
      </c>
    </row>
    <row r="7855">
      <c r="J7855">
        <f>IF(AND(ISNUMBER('Data'!$F$7856),'Data'!$F$7856&lt;&gt;999,'Data'!$F$7856&lt;&gt;""),'Data'!$F$7856,"")</f>
        <v/>
      </c>
      <c r="Z7855" t="n">
        <v>1</v>
      </c>
      <c r="AA7855">
        <f>IF(ISNUMBER('IN-CLASS_Lab Part C'!$J$7855),'IN-CLASS_Lab Part C'!$J$7855,NA())</f>
        <v/>
      </c>
    </row>
    <row r="7856">
      <c r="J7856">
        <f>IF(AND(ISNUMBER('Data'!$F$7857),'Data'!$F$7857&lt;&gt;999,'Data'!$F$7857&lt;&gt;""),'Data'!$F$7857,"")</f>
        <v/>
      </c>
      <c r="Z7856" t="n">
        <v>1</v>
      </c>
      <c r="AA7856">
        <f>IF(ISNUMBER('IN-CLASS_Lab Part C'!$J$7856),'IN-CLASS_Lab Part C'!$J$7856,NA())</f>
        <v/>
      </c>
    </row>
    <row r="7857">
      <c r="J7857">
        <f>IF(AND(ISNUMBER('Data'!$F$7858),'Data'!$F$7858&lt;&gt;999,'Data'!$F$7858&lt;&gt;""),'Data'!$F$7858,"")</f>
        <v/>
      </c>
      <c r="Z7857" t="n">
        <v>1</v>
      </c>
      <c r="AA7857">
        <f>IF(ISNUMBER('IN-CLASS_Lab Part C'!$J$7857),'IN-CLASS_Lab Part C'!$J$7857,NA())</f>
        <v/>
      </c>
    </row>
    <row r="7858">
      <c r="J7858">
        <f>IF(AND(ISNUMBER('Data'!$F$7859),'Data'!$F$7859&lt;&gt;999,'Data'!$F$7859&lt;&gt;""),'Data'!$F$7859,"")</f>
        <v/>
      </c>
      <c r="Z7858" t="n">
        <v>1</v>
      </c>
      <c r="AA7858">
        <f>IF(ISNUMBER('IN-CLASS_Lab Part C'!$J$7858),'IN-CLASS_Lab Part C'!$J$7858,NA())</f>
        <v/>
      </c>
    </row>
    <row r="7859">
      <c r="J7859">
        <f>IF(AND(ISNUMBER('Data'!$F$7860),'Data'!$F$7860&lt;&gt;999,'Data'!$F$7860&lt;&gt;""),'Data'!$F$7860,"")</f>
        <v/>
      </c>
      <c r="Z7859" t="n">
        <v>1</v>
      </c>
      <c r="AA7859">
        <f>IF(ISNUMBER('IN-CLASS_Lab Part C'!$J$7859),'IN-CLASS_Lab Part C'!$J$7859,NA())</f>
        <v/>
      </c>
    </row>
    <row r="7860">
      <c r="J7860">
        <f>IF(AND(ISNUMBER('Data'!$F$7861),'Data'!$F$7861&lt;&gt;999,'Data'!$F$7861&lt;&gt;""),'Data'!$F$7861,"")</f>
        <v/>
      </c>
      <c r="Z7860" t="n">
        <v>1</v>
      </c>
      <c r="AA7860">
        <f>IF(ISNUMBER('IN-CLASS_Lab Part C'!$J$7860),'IN-CLASS_Lab Part C'!$J$7860,NA())</f>
        <v/>
      </c>
    </row>
    <row r="7861">
      <c r="J7861">
        <f>IF(AND(ISNUMBER('Data'!$F$7862),'Data'!$F$7862&lt;&gt;999,'Data'!$F$7862&lt;&gt;""),'Data'!$F$7862,"")</f>
        <v/>
      </c>
      <c r="Z7861" t="n">
        <v>1</v>
      </c>
      <c r="AA7861">
        <f>IF(ISNUMBER('IN-CLASS_Lab Part C'!$J$7861),'IN-CLASS_Lab Part C'!$J$7861,NA())</f>
        <v/>
      </c>
    </row>
    <row r="7862">
      <c r="J7862">
        <f>IF(AND(ISNUMBER('Data'!$F$7863),'Data'!$F$7863&lt;&gt;999,'Data'!$F$7863&lt;&gt;""),'Data'!$F$7863,"")</f>
        <v/>
      </c>
      <c r="Z7862" t="n">
        <v>1</v>
      </c>
      <c r="AA7862">
        <f>IF(ISNUMBER('IN-CLASS_Lab Part C'!$J$7862),'IN-CLASS_Lab Part C'!$J$7862,NA())</f>
        <v/>
      </c>
    </row>
    <row r="7863">
      <c r="J7863">
        <f>IF(AND(ISNUMBER('Data'!$F$7864),'Data'!$F$7864&lt;&gt;999,'Data'!$F$7864&lt;&gt;""),'Data'!$F$7864,"")</f>
        <v/>
      </c>
      <c r="Z7863" t="n">
        <v>1</v>
      </c>
      <c r="AA7863">
        <f>IF(ISNUMBER('IN-CLASS_Lab Part C'!$J$7863),'IN-CLASS_Lab Part C'!$J$7863,NA())</f>
        <v/>
      </c>
    </row>
    <row r="7864">
      <c r="J7864">
        <f>IF(AND(ISNUMBER('Data'!$F$7865),'Data'!$F$7865&lt;&gt;999,'Data'!$F$7865&lt;&gt;""),'Data'!$F$7865,"")</f>
        <v/>
      </c>
      <c r="Z7864" t="n">
        <v>1</v>
      </c>
      <c r="AA7864">
        <f>IF(ISNUMBER('IN-CLASS_Lab Part C'!$J$7864),'IN-CLASS_Lab Part C'!$J$7864,NA())</f>
        <v/>
      </c>
    </row>
    <row r="7865">
      <c r="J7865">
        <f>IF(AND(ISNUMBER('Data'!$F$7866),'Data'!$F$7866&lt;&gt;999,'Data'!$F$7866&lt;&gt;""),'Data'!$F$7866,"")</f>
        <v/>
      </c>
      <c r="Z7865" t="n">
        <v>1</v>
      </c>
      <c r="AA7865">
        <f>IF(ISNUMBER('IN-CLASS_Lab Part C'!$J$7865),'IN-CLASS_Lab Part C'!$J$7865,NA())</f>
        <v/>
      </c>
    </row>
    <row r="7866">
      <c r="J7866">
        <f>IF(AND(ISNUMBER('Data'!$F$7867),'Data'!$F$7867&lt;&gt;999,'Data'!$F$7867&lt;&gt;""),'Data'!$F$7867,"")</f>
        <v/>
      </c>
      <c r="Z7866" t="n">
        <v>1</v>
      </c>
      <c r="AA7866">
        <f>IF(ISNUMBER('IN-CLASS_Lab Part C'!$J$7866),'IN-CLASS_Lab Part C'!$J$7866,NA())</f>
        <v/>
      </c>
    </row>
    <row r="7867">
      <c r="J7867">
        <f>IF(AND(ISNUMBER('Data'!$F$7868),'Data'!$F$7868&lt;&gt;999,'Data'!$F$7868&lt;&gt;""),'Data'!$F$7868,"")</f>
        <v/>
      </c>
      <c r="Z7867" t="n">
        <v>1</v>
      </c>
      <c r="AA7867">
        <f>IF(ISNUMBER('IN-CLASS_Lab Part C'!$J$7867),'IN-CLASS_Lab Part C'!$J$7867,NA())</f>
        <v/>
      </c>
    </row>
    <row r="7868">
      <c r="J7868">
        <f>IF(AND(ISNUMBER('Data'!$F$7869),'Data'!$F$7869&lt;&gt;999,'Data'!$F$7869&lt;&gt;""),'Data'!$F$7869,"")</f>
        <v/>
      </c>
      <c r="Z7868" t="n">
        <v>1</v>
      </c>
      <c r="AA7868">
        <f>IF(ISNUMBER('IN-CLASS_Lab Part C'!$J$7868),'IN-CLASS_Lab Part C'!$J$7868,NA())</f>
        <v/>
      </c>
    </row>
    <row r="7869">
      <c r="J7869">
        <f>IF(AND(ISNUMBER('Data'!$F$7870),'Data'!$F$7870&lt;&gt;999,'Data'!$F$7870&lt;&gt;""),'Data'!$F$7870,"")</f>
        <v/>
      </c>
      <c r="Z7869" t="n">
        <v>1</v>
      </c>
      <c r="AA7869">
        <f>IF(ISNUMBER('IN-CLASS_Lab Part C'!$J$7869),'IN-CLASS_Lab Part C'!$J$7869,NA())</f>
        <v/>
      </c>
    </row>
    <row r="7870">
      <c r="J7870">
        <f>IF(AND(ISNUMBER('Data'!$F$7871),'Data'!$F$7871&lt;&gt;999,'Data'!$F$7871&lt;&gt;""),'Data'!$F$7871,"")</f>
        <v/>
      </c>
      <c r="Z7870" t="n">
        <v>1</v>
      </c>
      <c r="AA7870">
        <f>IF(ISNUMBER('IN-CLASS_Lab Part C'!$J$7870),'IN-CLASS_Lab Part C'!$J$7870,NA())</f>
        <v/>
      </c>
    </row>
    <row r="7871">
      <c r="J7871">
        <f>IF(AND(ISNUMBER('Data'!$F$7872),'Data'!$F$7872&lt;&gt;999,'Data'!$F$7872&lt;&gt;""),'Data'!$F$7872,"")</f>
        <v/>
      </c>
      <c r="Z7871" t="n">
        <v>1</v>
      </c>
      <c r="AA7871">
        <f>IF(ISNUMBER('IN-CLASS_Lab Part C'!$J$7871),'IN-CLASS_Lab Part C'!$J$7871,NA())</f>
        <v/>
      </c>
    </row>
    <row r="7872">
      <c r="J7872">
        <f>IF(AND(ISNUMBER('Data'!$F$7873),'Data'!$F$7873&lt;&gt;999,'Data'!$F$7873&lt;&gt;""),'Data'!$F$7873,"")</f>
        <v/>
      </c>
      <c r="Z7872" t="n">
        <v>1</v>
      </c>
      <c r="AA7872">
        <f>IF(ISNUMBER('IN-CLASS_Lab Part C'!$J$7872),'IN-CLASS_Lab Part C'!$J$7872,NA())</f>
        <v/>
      </c>
    </row>
    <row r="7873">
      <c r="J7873">
        <f>IF(AND(ISNUMBER('Data'!$F$7874),'Data'!$F$7874&lt;&gt;999,'Data'!$F$7874&lt;&gt;""),'Data'!$F$7874,"")</f>
        <v/>
      </c>
      <c r="Z7873" t="n">
        <v>1</v>
      </c>
      <c r="AA7873">
        <f>IF(ISNUMBER('IN-CLASS_Lab Part C'!$J$7873),'IN-CLASS_Lab Part C'!$J$7873,NA())</f>
        <v/>
      </c>
    </row>
    <row r="7874">
      <c r="J7874">
        <f>IF(AND(ISNUMBER('Data'!$F$7875),'Data'!$F$7875&lt;&gt;999,'Data'!$F$7875&lt;&gt;""),'Data'!$F$7875,"")</f>
        <v/>
      </c>
      <c r="Z7874" t="n">
        <v>1</v>
      </c>
      <c r="AA7874">
        <f>IF(ISNUMBER('IN-CLASS_Lab Part C'!$J$7874),'IN-CLASS_Lab Part C'!$J$7874,NA())</f>
        <v/>
      </c>
    </row>
    <row r="7875">
      <c r="J7875">
        <f>IF(AND(ISNUMBER('Data'!$F$7876),'Data'!$F$7876&lt;&gt;999,'Data'!$F$7876&lt;&gt;""),'Data'!$F$7876,"")</f>
        <v/>
      </c>
      <c r="Z7875" t="n">
        <v>1</v>
      </c>
      <c r="AA7875">
        <f>IF(ISNUMBER('IN-CLASS_Lab Part C'!$J$7875),'IN-CLASS_Lab Part C'!$J$7875,NA())</f>
        <v/>
      </c>
    </row>
    <row r="7876">
      <c r="J7876">
        <f>IF(AND(ISNUMBER('Data'!$F$7877),'Data'!$F$7877&lt;&gt;999,'Data'!$F$7877&lt;&gt;""),'Data'!$F$7877,"")</f>
        <v/>
      </c>
      <c r="Z7876" t="n">
        <v>1</v>
      </c>
      <c r="AA7876">
        <f>IF(ISNUMBER('IN-CLASS_Lab Part C'!$J$7876),'IN-CLASS_Lab Part C'!$J$7876,NA())</f>
        <v/>
      </c>
    </row>
    <row r="7877">
      <c r="J7877">
        <f>IF(AND(ISNUMBER('Data'!$F$7878),'Data'!$F$7878&lt;&gt;999,'Data'!$F$7878&lt;&gt;""),'Data'!$F$7878,"")</f>
        <v/>
      </c>
      <c r="Z7877" t="n">
        <v>1</v>
      </c>
      <c r="AA7877">
        <f>IF(ISNUMBER('IN-CLASS_Lab Part C'!$J$7877),'IN-CLASS_Lab Part C'!$J$7877,NA())</f>
        <v/>
      </c>
    </row>
    <row r="7878">
      <c r="J7878">
        <f>IF(AND(ISNUMBER('Data'!$F$7879),'Data'!$F$7879&lt;&gt;999,'Data'!$F$7879&lt;&gt;""),'Data'!$F$7879,"")</f>
        <v/>
      </c>
      <c r="Z7878" t="n">
        <v>1</v>
      </c>
      <c r="AA7878">
        <f>IF(ISNUMBER('IN-CLASS_Lab Part C'!$J$7878),'IN-CLASS_Lab Part C'!$J$7878,NA())</f>
        <v/>
      </c>
    </row>
    <row r="7879">
      <c r="J7879">
        <f>IF(AND(ISNUMBER('Data'!$F$7880),'Data'!$F$7880&lt;&gt;999,'Data'!$F$7880&lt;&gt;""),'Data'!$F$7880,"")</f>
        <v/>
      </c>
      <c r="Z7879" t="n">
        <v>1</v>
      </c>
      <c r="AA7879">
        <f>IF(ISNUMBER('IN-CLASS_Lab Part C'!$J$7879),'IN-CLASS_Lab Part C'!$J$7879,NA())</f>
        <v/>
      </c>
    </row>
    <row r="7880">
      <c r="J7880">
        <f>IF(AND(ISNUMBER('Data'!$F$7881),'Data'!$F$7881&lt;&gt;999,'Data'!$F$7881&lt;&gt;""),'Data'!$F$7881,"")</f>
        <v/>
      </c>
      <c r="Z7880" t="n">
        <v>1</v>
      </c>
      <c r="AA7880">
        <f>IF(ISNUMBER('IN-CLASS_Lab Part C'!$J$7880),'IN-CLASS_Lab Part C'!$J$7880,NA())</f>
        <v/>
      </c>
    </row>
    <row r="7881">
      <c r="J7881">
        <f>IF(AND(ISNUMBER('Data'!$F$7882),'Data'!$F$7882&lt;&gt;999,'Data'!$F$7882&lt;&gt;""),'Data'!$F$7882,"")</f>
        <v/>
      </c>
      <c r="Z7881" t="n">
        <v>1</v>
      </c>
      <c r="AA7881">
        <f>IF(ISNUMBER('IN-CLASS_Lab Part C'!$J$7881),'IN-CLASS_Lab Part C'!$J$7881,NA())</f>
        <v/>
      </c>
    </row>
    <row r="7882">
      <c r="J7882">
        <f>IF(AND(ISNUMBER('Data'!$F$7883),'Data'!$F$7883&lt;&gt;999,'Data'!$F$7883&lt;&gt;""),'Data'!$F$7883,"")</f>
        <v/>
      </c>
      <c r="Z7882" t="n">
        <v>1</v>
      </c>
      <c r="AA7882">
        <f>IF(ISNUMBER('IN-CLASS_Lab Part C'!$J$7882),'IN-CLASS_Lab Part C'!$J$7882,NA())</f>
        <v/>
      </c>
    </row>
    <row r="7883">
      <c r="J7883">
        <f>IF(AND(ISNUMBER('Data'!$F$7884),'Data'!$F$7884&lt;&gt;999,'Data'!$F$7884&lt;&gt;""),'Data'!$F$7884,"")</f>
        <v/>
      </c>
      <c r="Z7883" t="n">
        <v>1</v>
      </c>
      <c r="AA7883">
        <f>IF(ISNUMBER('IN-CLASS_Lab Part C'!$J$7883),'IN-CLASS_Lab Part C'!$J$7883,NA())</f>
        <v/>
      </c>
    </row>
    <row r="7884">
      <c r="J7884">
        <f>IF(AND(ISNUMBER('Data'!$F$7885),'Data'!$F$7885&lt;&gt;999,'Data'!$F$7885&lt;&gt;""),'Data'!$F$7885,"")</f>
        <v/>
      </c>
      <c r="Z7884" t="n">
        <v>1</v>
      </c>
      <c r="AA7884">
        <f>IF(ISNUMBER('IN-CLASS_Lab Part C'!$J$7884),'IN-CLASS_Lab Part C'!$J$7884,NA())</f>
        <v/>
      </c>
    </row>
    <row r="7885">
      <c r="J7885">
        <f>IF(AND(ISNUMBER('Data'!$F$7886),'Data'!$F$7886&lt;&gt;999,'Data'!$F$7886&lt;&gt;""),'Data'!$F$7886,"")</f>
        <v/>
      </c>
      <c r="Z7885" t="n">
        <v>1</v>
      </c>
      <c r="AA7885">
        <f>IF(ISNUMBER('IN-CLASS_Lab Part C'!$J$7885),'IN-CLASS_Lab Part C'!$J$7885,NA())</f>
        <v/>
      </c>
    </row>
    <row r="7886">
      <c r="J7886">
        <f>IF(AND(ISNUMBER('Data'!$F$7887),'Data'!$F$7887&lt;&gt;999,'Data'!$F$7887&lt;&gt;""),'Data'!$F$7887,"")</f>
        <v/>
      </c>
      <c r="Z7886" t="n">
        <v>1</v>
      </c>
      <c r="AA7886">
        <f>IF(ISNUMBER('IN-CLASS_Lab Part C'!$J$7886),'IN-CLASS_Lab Part C'!$J$7886,NA())</f>
        <v/>
      </c>
    </row>
    <row r="7887">
      <c r="J7887">
        <f>IF(AND(ISNUMBER('Data'!$F$7888),'Data'!$F$7888&lt;&gt;999,'Data'!$F$7888&lt;&gt;""),'Data'!$F$7888,"")</f>
        <v/>
      </c>
      <c r="Z7887" t="n">
        <v>1</v>
      </c>
      <c r="AA7887">
        <f>IF(ISNUMBER('IN-CLASS_Lab Part C'!$J$7887),'IN-CLASS_Lab Part C'!$J$7887,NA())</f>
        <v/>
      </c>
    </row>
    <row r="7888">
      <c r="J7888">
        <f>IF(AND(ISNUMBER('Data'!$F$7889),'Data'!$F$7889&lt;&gt;999,'Data'!$F$7889&lt;&gt;""),'Data'!$F$7889,"")</f>
        <v/>
      </c>
      <c r="Z7888" t="n">
        <v>1</v>
      </c>
      <c r="AA7888">
        <f>IF(ISNUMBER('IN-CLASS_Lab Part C'!$J$7888),'IN-CLASS_Lab Part C'!$J$7888,NA())</f>
        <v/>
      </c>
    </row>
    <row r="7889">
      <c r="J7889">
        <f>IF(AND(ISNUMBER('Data'!$F$7890),'Data'!$F$7890&lt;&gt;999,'Data'!$F$7890&lt;&gt;""),'Data'!$F$7890,"")</f>
        <v/>
      </c>
      <c r="Z7889" t="n">
        <v>1</v>
      </c>
      <c r="AA7889">
        <f>IF(ISNUMBER('IN-CLASS_Lab Part C'!$J$7889),'IN-CLASS_Lab Part C'!$J$7889,NA())</f>
        <v/>
      </c>
    </row>
    <row r="7890">
      <c r="J7890">
        <f>IF(AND(ISNUMBER('Data'!$F$7891),'Data'!$F$7891&lt;&gt;999,'Data'!$F$7891&lt;&gt;""),'Data'!$F$7891,"")</f>
        <v/>
      </c>
      <c r="Z7890" t="n">
        <v>1</v>
      </c>
      <c r="AA7890">
        <f>IF(ISNUMBER('IN-CLASS_Lab Part C'!$J$7890),'IN-CLASS_Lab Part C'!$J$7890,NA())</f>
        <v/>
      </c>
    </row>
    <row r="7891">
      <c r="J7891">
        <f>IF(AND(ISNUMBER('Data'!$F$7892),'Data'!$F$7892&lt;&gt;999,'Data'!$F$7892&lt;&gt;""),'Data'!$F$7892,"")</f>
        <v/>
      </c>
      <c r="Z7891" t="n">
        <v>1</v>
      </c>
      <c r="AA7891">
        <f>IF(ISNUMBER('IN-CLASS_Lab Part C'!$J$7891),'IN-CLASS_Lab Part C'!$J$7891,NA())</f>
        <v/>
      </c>
    </row>
    <row r="7892">
      <c r="J7892">
        <f>IF(AND(ISNUMBER('Data'!$F$7893),'Data'!$F$7893&lt;&gt;999,'Data'!$F$7893&lt;&gt;""),'Data'!$F$7893,"")</f>
        <v/>
      </c>
      <c r="Z7892" t="n">
        <v>1</v>
      </c>
      <c r="AA7892">
        <f>IF(ISNUMBER('IN-CLASS_Lab Part C'!$J$7892),'IN-CLASS_Lab Part C'!$J$7892,NA())</f>
        <v/>
      </c>
    </row>
    <row r="7893">
      <c r="J7893">
        <f>IF(AND(ISNUMBER('Data'!$F$7894),'Data'!$F$7894&lt;&gt;999,'Data'!$F$7894&lt;&gt;""),'Data'!$F$7894,"")</f>
        <v/>
      </c>
      <c r="Z7893" t="n">
        <v>1</v>
      </c>
      <c r="AA7893">
        <f>IF(ISNUMBER('IN-CLASS_Lab Part C'!$J$7893),'IN-CLASS_Lab Part C'!$J$7893,NA())</f>
        <v/>
      </c>
    </row>
    <row r="7894">
      <c r="J7894">
        <f>IF(AND(ISNUMBER('Data'!$F$7895),'Data'!$F$7895&lt;&gt;999,'Data'!$F$7895&lt;&gt;""),'Data'!$F$7895,"")</f>
        <v/>
      </c>
      <c r="Z7894" t="n">
        <v>1</v>
      </c>
      <c r="AA7894">
        <f>IF(ISNUMBER('IN-CLASS_Lab Part C'!$J$7894),'IN-CLASS_Lab Part C'!$J$7894,NA())</f>
        <v/>
      </c>
    </row>
    <row r="7895">
      <c r="J7895">
        <f>IF(AND(ISNUMBER('Data'!$F$7896),'Data'!$F$7896&lt;&gt;999,'Data'!$F$7896&lt;&gt;""),'Data'!$F$7896,"")</f>
        <v/>
      </c>
      <c r="Z7895" t="n">
        <v>1</v>
      </c>
      <c r="AA7895">
        <f>IF(ISNUMBER('IN-CLASS_Lab Part C'!$J$7895),'IN-CLASS_Lab Part C'!$J$7895,NA())</f>
        <v/>
      </c>
    </row>
    <row r="7896">
      <c r="J7896">
        <f>IF(AND(ISNUMBER('Data'!$F$7897),'Data'!$F$7897&lt;&gt;999,'Data'!$F$7897&lt;&gt;""),'Data'!$F$7897,"")</f>
        <v/>
      </c>
      <c r="Z7896" t="n">
        <v>1</v>
      </c>
      <c r="AA7896">
        <f>IF(ISNUMBER('IN-CLASS_Lab Part C'!$J$7896),'IN-CLASS_Lab Part C'!$J$7896,NA())</f>
        <v/>
      </c>
    </row>
    <row r="7897">
      <c r="J7897">
        <f>IF(AND(ISNUMBER('Data'!$F$7898),'Data'!$F$7898&lt;&gt;999,'Data'!$F$7898&lt;&gt;""),'Data'!$F$7898,"")</f>
        <v/>
      </c>
      <c r="Z7897" t="n">
        <v>1</v>
      </c>
      <c r="AA7897">
        <f>IF(ISNUMBER('IN-CLASS_Lab Part C'!$J$7897),'IN-CLASS_Lab Part C'!$J$7897,NA())</f>
        <v/>
      </c>
    </row>
    <row r="7898">
      <c r="J7898">
        <f>IF(AND(ISNUMBER('Data'!$F$7899),'Data'!$F$7899&lt;&gt;999,'Data'!$F$7899&lt;&gt;""),'Data'!$F$7899,"")</f>
        <v/>
      </c>
      <c r="Z7898" t="n">
        <v>1</v>
      </c>
      <c r="AA7898">
        <f>IF(ISNUMBER('IN-CLASS_Lab Part C'!$J$7898),'IN-CLASS_Lab Part C'!$J$7898,NA())</f>
        <v/>
      </c>
    </row>
    <row r="7899">
      <c r="J7899">
        <f>IF(AND(ISNUMBER('Data'!$F$7900),'Data'!$F$7900&lt;&gt;999,'Data'!$F$7900&lt;&gt;""),'Data'!$F$7900,"")</f>
        <v/>
      </c>
      <c r="Z7899" t="n">
        <v>1</v>
      </c>
      <c r="AA7899">
        <f>IF(ISNUMBER('IN-CLASS_Lab Part C'!$J$7899),'IN-CLASS_Lab Part C'!$J$7899,NA())</f>
        <v/>
      </c>
    </row>
    <row r="7900">
      <c r="J7900">
        <f>IF(AND(ISNUMBER('Data'!$F$7901),'Data'!$F$7901&lt;&gt;999,'Data'!$F$7901&lt;&gt;""),'Data'!$F$7901,"")</f>
        <v/>
      </c>
      <c r="Z7900" t="n">
        <v>1</v>
      </c>
      <c r="AA7900">
        <f>IF(ISNUMBER('IN-CLASS_Lab Part C'!$J$7900),'IN-CLASS_Lab Part C'!$J$7900,NA())</f>
        <v/>
      </c>
    </row>
    <row r="7901">
      <c r="J7901">
        <f>IF(AND(ISNUMBER('Data'!$F$7902),'Data'!$F$7902&lt;&gt;999,'Data'!$F$7902&lt;&gt;""),'Data'!$F$7902,"")</f>
        <v/>
      </c>
      <c r="Z7901" t="n">
        <v>1</v>
      </c>
      <c r="AA7901">
        <f>IF(ISNUMBER('IN-CLASS_Lab Part C'!$J$7901),'IN-CLASS_Lab Part C'!$J$7901,NA())</f>
        <v/>
      </c>
    </row>
    <row r="7902">
      <c r="J7902">
        <f>IF(AND(ISNUMBER('Data'!$F$7903),'Data'!$F$7903&lt;&gt;999,'Data'!$F$7903&lt;&gt;""),'Data'!$F$7903,"")</f>
        <v/>
      </c>
      <c r="Z7902" t="n">
        <v>1</v>
      </c>
      <c r="AA7902">
        <f>IF(ISNUMBER('IN-CLASS_Lab Part C'!$J$7902),'IN-CLASS_Lab Part C'!$J$7902,NA())</f>
        <v/>
      </c>
    </row>
    <row r="7903">
      <c r="J7903">
        <f>IF(AND(ISNUMBER('Data'!$F$7904),'Data'!$F$7904&lt;&gt;999,'Data'!$F$7904&lt;&gt;""),'Data'!$F$7904,"")</f>
        <v/>
      </c>
      <c r="Z7903" t="n">
        <v>1</v>
      </c>
      <c r="AA7903">
        <f>IF(ISNUMBER('IN-CLASS_Lab Part C'!$J$7903),'IN-CLASS_Lab Part C'!$J$7903,NA())</f>
        <v/>
      </c>
    </row>
    <row r="7904">
      <c r="J7904">
        <f>IF(AND(ISNUMBER('Data'!$F$7905),'Data'!$F$7905&lt;&gt;999,'Data'!$F$7905&lt;&gt;""),'Data'!$F$7905,"")</f>
        <v/>
      </c>
      <c r="Z7904" t="n">
        <v>1</v>
      </c>
      <c r="AA7904">
        <f>IF(ISNUMBER('IN-CLASS_Lab Part C'!$J$7904),'IN-CLASS_Lab Part C'!$J$7904,NA())</f>
        <v/>
      </c>
    </row>
    <row r="7905">
      <c r="J7905">
        <f>IF(AND(ISNUMBER('Data'!$F$7906),'Data'!$F$7906&lt;&gt;999,'Data'!$F$7906&lt;&gt;""),'Data'!$F$7906,"")</f>
        <v/>
      </c>
      <c r="Z7905" t="n">
        <v>1</v>
      </c>
      <c r="AA7905">
        <f>IF(ISNUMBER('IN-CLASS_Lab Part C'!$J$7905),'IN-CLASS_Lab Part C'!$J$7905,NA())</f>
        <v/>
      </c>
    </row>
    <row r="7906">
      <c r="J7906">
        <f>IF(AND(ISNUMBER('Data'!$F$7907),'Data'!$F$7907&lt;&gt;999,'Data'!$F$7907&lt;&gt;""),'Data'!$F$7907,"")</f>
        <v/>
      </c>
      <c r="Z7906" t="n">
        <v>1</v>
      </c>
      <c r="AA7906">
        <f>IF(ISNUMBER('IN-CLASS_Lab Part C'!$J$7906),'IN-CLASS_Lab Part C'!$J$7906,NA())</f>
        <v/>
      </c>
    </row>
    <row r="7907">
      <c r="J7907">
        <f>IF(AND(ISNUMBER('Data'!$F$7908),'Data'!$F$7908&lt;&gt;999,'Data'!$F$7908&lt;&gt;""),'Data'!$F$7908,"")</f>
        <v/>
      </c>
      <c r="Z7907" t="n">
        <v>1</v>
      </c>
      <c r="AA7907">
        <f>IF(ISNUMBER('IN-CLASS_Lab Part C'!$J$7907),'IN-CLASS_Lab Part C'!$J$7907,NA())</f>
        <v/>
      </c>
    </row>
    <row r="7908">
      <c r="J7908">
        <f>IF(AND(ISNUMBER('Data'!$F$7909),'Data'!$F$7909&lt;&gt;999,'Data'!$F$7909&lt;&gt;""),'Data'!$F$7909,"")</f>
        <v/>
      </c>
      <c r="Z7908" t="n">
        <v>1</v>
      </c>
      <c r="AA7908">
        <f>IF(ISNUMBER('IN-CLASS_Lab Part C'!$J$7908),'IN-CLASS_Lab Part C'!$J$7908,NA())</f>
        <v/>
      </c>
    </row>
    <row r="7909">
      <c r="J7909">
        <f>IF(AND(ISNUMBER('Data'!$F$7910),'Data'!$F$7910&lt;&gt;999,'Data'!$F$7910&lt;&gt;""),'Data'!$F$7910,"")</f>
        <v/>
      </c>
      <c r="Z7909" t="n">
        <v>1</v>
      </c>
      <c r="AA7909">
        <f>IF(ISNUMBER('IN-CLASS_Lab Part C'!$J$7909),'IN-CLASS_Lab Part C'!$J$7909,NA())</f>
        <v/>
      </c>
    </row>
    <row r="7910">
      <c r="J7910">
        <f>IF(AND(ISNUMBER('Data'!$F$7911),'Data'!$F$7911&lt;&gt;999,'Data'!$F$7911&lt;&gt;""),'Data'!$F$7911,"")</f>
        <v/>
      </c>
      <c r="Z7910" t="n">
        <v>1</v>
      </c>
      <c r="AA7910">
        <f>IF(ISNUMBER('IN-CLASS_Lab Part C'!$J$7910),'IN-CLASS_Lab Part C'!$J$7910,NA())</f>
        <v/>
      </c>
    </row>
    <row r="7911">
      <c r="J7911">
        <f>IF(AND(ISNUMBER('Data'!$F$7912),'Data'!$F$7912&lt;&gt;999,'Data'!$F$7912&lt;&gt;""),'Data'!$F$7912,"")</f>
        <v/>
      </c>
      <c r="Z7911" t="n">
        <v>1</v>
      </c>
      <c r="AA7911">
        <f>IF(ISNUMBER('IN-CLASS_Lab Part C'!$J$7911),'IN-CLASS_Lab Part C'!$J$7911,NA())</f>
        <v/>
      </c>
    </row>
    <row r="7912">
      <c r="J7912">
        <f>IF(AND(ISNUMBER('Data'!$F$7913),'Data'!$F$7913&lt;&gt;999,'Data'!$F$7913&lt;&gt;""),'Data'!$F$7913,"")</f>
        <v/>
      </c>
      <c r="Z7912" t="n">
        <v>1</v>
      </c>
      <c r="AA7912">
        <f>IF(ISNUMBER('IN-CLASS_Lab Part C'!$J$7912),'IN-CLASS_Lab Part C'!$J$7912,NA())</f>
        <v/>
      </c>
    </row>
    <row r="7913">
      <c r="J7913">
        <f>IF(AND(ISNUMBER('Data'!$F$7914),'Data'!$F$7914&lt;&gt;999,'Data'!$F$7914&lt;&gt;""),'Data'!$F$7914,"")</f>
        <v/>
      </c>
      <c r="Z7913" t="n">
        <v>1</v>
      </c>
      <c r="AA7913">
        <f>IF(ISNUMBER('IN-CLASS_Lab Part C'!$J$7913),'IN-CLASS_Lab Part C'!$J$7913,NA())</f>
        <v/>
      </c>
    </row>
    <row r="7914">
      <c r="J7914">
        <f>IF(AND(ISNUMBER('Data'!$F$7915),'Data'!$F$7915&lt;&gt;999,'Data'!$F$7915&lt;&gt;""),'Data'!$F$7915,"")</f>
        <v/>
      </c>
      <c r="Z7914" t="n">
        <v>1</v>
      </c>
      <c r="AA7914">
        <f>IF(ISNUMBER('IN-CLASS_Lab Part C'!$J$7914),'IN-CLASS_Lab Part C'!$J$7914,NA())</f>
        <v/>
      </c>
    </row>
    <row r="7915">
      <c r="J7915">
        <f>IF(AND(ISNUMBER('Data'!$F$7916),'Data'!$F$7916&lt;&gt;999,'Data'!$F$7916&lt;&gt;""),'Data'!$F$7916,"")</f>
        <v/>
      </c>
      <c r="Z7915" t="n">
        <v>1</v>
      </c>
      <c r="AA7915">
        <f>IF(ISNUMBER('IN-CLASS_Lab Part C'!$J$7915),'IN-CLASS_Lab Part C'!$J$7915,NA())</f>
        <v/>
      </c>
    </row>
    <row r="7916">
      <c r="J7916">
        <f>IF(AND(ISNUMBER('Data'!$F$7917),'Data'!$F$7917&lt;&gt;999,'Data'!$F$7917&lt;&gt;""),'Data'!$F$7917,"")</f>
        <v/>
      </c>
      <c r="Z7916" t="n">
        <v>1</v>
      </c>
      <c r="AA7916">
        <f>IF(ISNUMBER('IN-CLASS_Lab Part C'!$J$7916),'IN-CLASS_Lab Part C'!$J$7916,NA())</f>
        <v/>
      </c>
    </row>
    <row r="7917">
      <c r="J7917">
        <f>IF(AND(ISNUMBER('Data'!$F$7918),'Data'!$F$7918&lt;&gt;999,'Data'!$F$7918&lt;&gt;""),'Data'!$F$7918,"")</f>
        <v/>
      </c>
      <c r="Z7917" t="n">
        <v>1</v>
      </c>
      <c r="AA7917">
        <f>IF(ISNUMBER('IN-CLASS_Lab Part C'!$J$7917),'IN-CLASS_Lab Part C'!$J$7917,NA())</f>
        <v/>
      </c>
    </row>
    <row r="7918">
      <c r="J7918">
        <f>IF(AND(ISNUMBER('Data'!$F$7919),'Data'!$F$7919&lt;&gt;999,'Data'!$F$7919&lt;&gt;""),'Data'!$F$7919,"")</f>
        <v/>
      </c>
      <c r="Z7918" t="n">
        <v>1</v>
      </c>
      <c r="AA7918">
        <f>IF(ISNUMBER('IN-CLASS_Lab Part C'!$J$7918),'IN-CLASS_Lab Part C'!$J$7918,NA())</f>
        <v/>
      </c>
    </row>
    <row r="7919">
      <c r="J7919">
        <f>IF(AND(ISNUMBER('Data'!$F$7920),'Data'!$F$7920&lt;&gt;999,'Data'!$F$7920&lt;&gt;""),'Data'!$F$7920,"")</f>
        <v/>
      </c>
      <c r="Z7919" t="n">
        <v>1</v>
      </c>
      <c r="AA7919">
        <f>IF(ISNUMBER('IN-CLASS_Lab Part C'!$J$7919),'IN-CLASS_Lab Part C'!$J$7919,NA())</f>
        <v/>
      </c>
    </row>
    <row r="7920">
      <c r="J7920">
        <f>IF(AND(ISNUMBER('Data'!$F$7921),'Data'!$F$7921&lt;&gt;999,'Data'!$F$7921&lt;&gt;""),'Data'!$F$7921,"")</f>
        <v/>
      </c>
      <c r="Z7920" t="n">
        <v>1</v>
      </c>
      <c r="AA7920">
        <f>IF(ISNUMBER('IN-CLASS_Lab Part C'!$J$7920),'IN-CLASS_Lab Part C'!$J$7920,NA())</f>
        <v/>
      </c>
    </row>
    <row r="7921">
      <c r="J7921">
        <f>IF(AND(ISNUMBER('Data'!$F$7922),'Data'!$F$7922&lt;&gt;999,'Data'!$F$7922&lt;&gt;""),'Data'!$F$7922,"")</f>
        <v/>
      </c>
      <c r="Z7921" t="n">
        <v>1</v>
      </c>
      <c r="AA7921">
        <f>IF(ISNUMBER('IN-CLASS_Lab Part C'!$J$7921),'IN-CLASS_Lab Part C'!$J$7921,NA())</f>
        <v/>
      </c>
    </row>
    <row r="7922">
      <c r="J7922">
        <f>IF(AND(ISNUMBER('Data'!$F$7923),'Data'!$F$7923&lt;&gt;999,'Data'!$F$7923&lt;&gt;""),'Data'!$F$7923,"")</f>
        <v/>
      </c>
      <c r="Z7922" t="n">
        <v>1</v>
      </c>
      <c r="AA7922">
        <f>IF(ISNUMBER('IN-CLASS_Lab Part C'!$J$7922),'IN-CLASS_Lab Part C'!$J$7922,NA())</f>
        <v/>
      </c>
    </row>
    <row r="7923">
      <c r="J7923">
        <f>IF(AND(ISNUMBER('Data'!$F$7924),'Data'!$F$7924&lt;&gt;999,'Data'!$F$7924&lt;&gt;""),'Data'!$F$7924,"")</f>
        <v/>
      </c>
      <c r="Z7923" t="n">
        <v>1</v>
      </c>
      <c r="AA7923">
        <f>IF(ISNUMBER('IN-CLASS_Lab Part C'!$J$7923),'IN-CLASS_Lab Part C'!$J$7923,NA())</f>
        <v/>
      </c>
    </row>
    <row r="7924">
      <c r="J7924">
        <f>IF(AND(ISNUMBER('Data'!$F$7925),'Data'!$F$7925&lt;&gt;999,'Data'!$F$7925&lt;&gt;""),'Data'!$F$7925,"")</f>
        <v/>
      </c>
      <c r="Z7924" t="n">
        <v>1</v>
      </c>
      <c r="AA7924">
        <f>IF(ISNUMBER('IN-CLASS_Lab Part C'!$J$7924),'IN-CLASS_Lab Part C'!$J$7924,NA())</f>
        <v/>
      </c>
    </row>
    <row r="7925">
      <c r="J7925">
        <f>IF(AND(ISNUMBER('Data'!$F$7926),'Data'!$F$7926&lt;&gt;999,'Data'!$F$7926&lt;&gt;""),'Data'!$F$7926,"")</f>
        <v/>
      </c>
      <c r="Z7925" t="n">
        <v>1</v>
      </c>
      <c r="AA7925">
        <f>IF(ISNUMBER('IN-CLASS_Lab Part C'!$J$7925),'IN-CLASS_Lab Part C'!$J$7925,NA())</f>
        <v/>
      </c>
    </row>
    <row r="7926">
      <c r="J7926">
        <f>IF(AND(ISNUMBER('Data'!$F$7927),'Data'!$F$7927&lt;&gt;999,'Data'!$F$7927&lt;&gt;""),'Data'!$F$7927,"")</f>
        <v/>
      </c>
      <c r="Z7926" t="n">
        <v>1</v>
      </c>
      <c r="AA7926">
        <f>IF(ISNUMBER('IN-CLASS_Lab Part C'!$J$7926),'IN-CLASS_Lab Part C'!$J$7926,NA())</f>
        <v/>
      </c>
    </row>
    <row r="7927">
      <c r="J7927">
        <f>IF(AND(ISNUMBER('Data'!$F$7928),'Data'!$F$7928&lt;&gt;999,'Data'!$F$7928&lt;&gt;""),'Data'!$F$7928,"")</f>
        <v/>
      </c>
      <c r="Z7927" t="n">
        <v>1</v>
      </c>
      <c r="AA7927">
        <f>IF(ISNUMBER('IN-CLASS_Lab Part C'!$J$7927),'IN-CLASS_Lab Part C'!$J$7927,NA())</f>
        <v/>
      </c>
    </row>
    <row r="7928">
      <c r="J7928">
        <f>IF(AND(ISNUMBER('Data'!$F$7929),'Data'!$F$7929&lt;&gt;999,'Data'!$F$7929&lt;&gt;""),'Data'!$F$7929,"")</f>
        <v/>
      </c>
      <c r="Z7928" t="n">
        <v>1</v>
      </c>
      <c r="AA7928">
        <f>IF(ISNUMBER('IN-CLASS_Lab Part C'!$J$7928),'IN-CLASS_Lab Part C'!$J$7928,NA())</f>
        <v/>
      </c>
    </row>
    <row r="7929">
      <c r="J7929">
        <f>IF(AND(ISNUMBER('Data'!$F$7930),'Data'!$F$7930&lt;&gt;999,'Data'!$F$7930&lt;&gt;""),'Data'!$F$7930,"")</f>
        <v/>
      </c>
      <c r="Z7929" t="n">
        <v>1</v>
      </c>
      <c r="AA7929">
        <f>IF(ISNUMBER('IN-CLASS_Lab Part C'!$J$7929),'IN-CLASS_Lab Part C'!$J$7929,NA())</f>
        <v/>
      </c>
    </row>
    <row r="7930">
      <c r="J7930">
        <f>IF(AND(ISNUMBER('Data'!$F$7931),'Data'!$F$7931&lt;&gt;999,'Data'!$F$7931&lt;&gt;""),'Data'!$F$7931,"")</f>
        <v/>
      </c>
      <c r="Z7930" t="n">
        <v>1</v>
      </c>
      <c r="AA7930">
        <f>IF(ISNUMBER('IN-CLASS_Lab Part C'!$J$7930),'IN-CLASS_Lab Part C'!$J$7930,NA())</f>
        <v/>
      </c>
    </row>
    <row r="7931">
      <c r="J7931">
        <f>IF(AND(ISNUMBER('Data'!$F$7932),'Data'!$F$7932&lt;&gt;999,'Data'!$F$7932&lt;&gt;""),'Data'!$F$7932,"")</f>
        <v/>
      </c>
      <c r="Z7931" t="n">
        <v>1</v>
      </c>
      <c r="AA7931">
        <f>IF(ISNUMBER('IN-CLASS_Lab Part C'!$J$7931),'IN-CLASS_Lab Part C'!$J$7931,NA())</f>
        <v/>
      </c>
    </row>
    <row r="7932">
      <c r="J7932">
        <f>IF(AND(ISNUMBER('Data'!$F$7933),'Data'!$F$7933&lt;&gt;999,'Data'!$F$7933&lt;&gt;""),'Data'!$F$7933,"")</f>
        <v/>
      </c>
      <c r="Z7932" t="n">
        <v>1</v>
      </c>
      <c r="AA7932">
        <f>IF(ISNUMBER('IN-CLASS_Lab Part C'!$J$7932),'IN-CLASS_Lab Part C'!$J$7932,NA())</f>
        <v/>
      </c>
    </row>
    <row r="7933">
      <c r="J7933">
        <f>IF(AND(ISNUMBER('Data'!$F$7934),'Data'!$F$7934&lt;&gt;999,'Data'!$F$7934&lt;&gt;""),'Data'!$F$7934,"")</f>
        <v/>
      </c>
      <c r="Z7933" t="n">
        <v>1</v>
      </c>
      <c r="AA7933">
        <f>IF(ISNUMBER('IN-CLASS_Lab Part C'!$J$7933),'IN-CLASS_Lab Part C'!$J$7933,NA())</f>
        <v/>
      </c>
    </row>
    <row r="7934">
      <c r="J7934">
        <f>IF(AND(ISNUMBER('Data'!$F$7935),'Data'!$F$7935&lt;&gt;999,'Data'!$F$7935&lt;&gt;""),'Data'!$F$7935,"")</f>
        <v/>
      </c>
      <c r="Z7934" t="n">
        <v>1</v>
      </c>
      <c r="AA7934">
        <f>IF(ISNUMBER('IN-CLASS_Lab Part C'!$J$7934),'IN-CLASS_Lab Part C'!$J$7934,NA())</f>
        <v/>
      </c>
    </row>
    <row r="7935">
      <c r="J7935">
        <f>IF(AND(ISNUMBER('Data'!$F$7936),'Data'!$F$7936&lt;&gt;999,'Data'!$F$7936&lt;&gt;""),'Data'!$F$7936,"")</f>
        <v/>
      </c>
      <c r="Z7935" t="n">
        <v>1</v>
      </c>
      <c r="AA7935">
        <f>IF(ISNUMBER('IN-CLASS_Lab Part C'!$J$7935),'IN-CLASS_Lab Part C'!$J$7935,NA())</f>
        <v/>
      </c>
    </row>
    <row r="7936">
      <c r="J7936">
        <f>IF(AND(ISNUMBER('Data'!$F$7937),'Data'!$F$7937&lt;&gt;999,'Data'!$F$7937&lt;&gt;""),'Data'!$F$7937,"")</f>
        <v/>
      </c>
      <c r="Z7936" t="n">
        <v>1</v>
      </c>
      <c r="AA7936">
        <f>IF(ISNUMBER('IN-CLASS_Lab Part C'!$J$7936),'IN-CLASS_Lab Part C'!$J$7936,NA())</f>
        <v/>
      </c>
    </row>
    <row r="7937">
      <c r="J7937">
        <f>IF(AND(ISNUMBER('Data'!$F$7938),'Data'!$F$7938&lt;&gt;999,'Data'!$F$7938&lt;&gt;""),'Data'!$F$7938,"")</f>
        <v/>
      </c>
      <c r="Z7937" t="n">
        <v>1</v>
      </c>
      <c r="AA7937">
        <f>IF(ISNUMBER('IN-CLASS_Lab Part C'!$J$7937),'IN-CLASS_Lab Part C'!$J$7937,NA())</f>
        <v/>
      </c>
    </row>
    <row r="7938">
      <c r="J7938">
        <f>IF(AND(ISNUMBER('Data'!$F$7939),'Data'!$F$7939&lt;&gt;999,'Data'!$F$7939&lt;&gt;""),'Data'!$F$7939,"")</f>
        <v/>
      </c>
      <c r="Z7938" t="n">
        <v>1</v>
      </c>
      <c r="AA7938">
        <f>IF(ISNUMBER('IN-CLASS_Lab Part C'!$J$7938),'IN-CLASS_Lab Part C'!$J$7938,NA())</f>
        <v/>
      </c>
    </row>
    <row r="7939">
      <c r="J7939">
        <f>IF(AND(ISNUMBER('Data'!$F$7940),'Data'!$F$7940&lt;&gt;999,'Data'!$F$7940&lt;&gt;""),'Data'!$F$7940,"")</f>
        <v/>
      </c>
      <c r="Z7939" t="n">
        <v>1</v>
      </c>
      <c r="AA7939">
        <f>IF(ISNUMBER('IN-CLASS_Lab Part C'!$J$7939),'IN-CLASS_Lab Part C'!$J$7939,NA())</f>
        <v/>
      </c>
    </row>
    <row r="7940">
      <c r="J7940">
        <f>IF(AND(ISNUMBER('Data'!$F$7941),'Data'!$F$7941&lt;&gt;999,'Data'!$F$7941&lt;&gt;""),'Data'!$F$7941,"")</f>
        <v/>
      </c>
      <c r="Z7940" t="n">
        <v>1</v>
      </c>
      <c r="AA7940">
        <f>IF(ISNUMBER('IN-CLASS_Lab Part C'!$J$7940),'IN-CLASS_Lab Part C'!$J$7940,NA())</f>
        <v/>
      </c>
    </row>
    <row r="7941">
      <c r="J7941">
        <f>IF(AND(ISNUMBER('Data'!$F$7942),'Data'!$F$7942&lt;&gt;999,'Data'!$F$7942&lt;&gt;""),'Data'!$F$7942,"")</f>
        <v/>
      </c>
      <c r="Z7941" t="n">
        <v>1</v>
      </c>
      <c r="AA7941">
        <f>IF(ISNUMBER('IN-CLASS_Lab Part C'!$J$7941),'IN-CLASS_Lab Part C'!$J$7941,NA())</f>
        <v/>
      </c>
    </row>
    <row r="7942">
      <c r="J7942">
        <f>IF(AND(ISNUMBER('Data'!$F$7943),'Data'!$F$7943&lt;&gt;999,'Data'!$F$7943&lt;&gt;""),'Data'!$F$7943,"")</f>
        <v/>
      </c>
      <c r="Z7942" t="n">
        <v>1</v>
      </c>
      <c r="AA7942">
        <f>IF(ISNUMBER('IN-CLASS_Lab Part C'!$J$7942),'IN-CLASS_Lab Part C'!$J$7942,NA())</f>
        <v/>
      </c>
    </row>
    <row r="7943">
      <c r="J7943">
        <f>IF(AND(ISNUMBER('Data'!$F$7944),'Data'!$F$7944&lt;&gt;999,'Data'!$F$7944&lt;&gt;""),'Data'!$F$7944,"")</f>
        <v/>
      </c>
      <c r="Z7943" t="n">
        <v>1</v>
      </c>
      <c r="AA7943">
        <f>IF(ISNUMBER('IN-CLASS_Lab Part C'!$J$7943),'IN-CLASS_Lab Part C'!$J$7943,NA())</f>
        <v/>
      </c>
    </row>
    <row r="7944">
      <c r="J7944">
        <f>IF(AND(ISNUMBER('Data'!$F$7945),'Data'!$F$7945&lt;&gt;999,'Data'!$F$7945&lt;&gt;""),'Data'!$F$7945,"")</f>
        <v/>
      </c>
      <c r="Z7944" t="n">
        <v>1</v>
      </c>
      <c r="AA7944">
        <f>IF(ISNUMBER('IN-CLASS_Lab Part C'!$J$7944),'IN-CLASS_Lab Part C'!$J$7944,NA())</f>
        <v/>
      </c>
    </row>
    <row r="7945">
      <c r="J7945">
        <f>IF(AND(ISNUMBER('Data'!$F$7946),'Data'!$F$7946&lt;&gt;999,'Data'!$F$7946&lt;&gt;""),'Data'!$F$7946,"")</f>
        <v/>
      </c>
      <c r="Z7945" t="n">
        <v>1</v>
      </c>
      <c r="AA7945">
        <f>IF(ISNUMBER('IN-CLASS_Lab Part C'!$J$7945),'IN-CLASS_Lab Part C'!$J$7945,NA())</f>
        <v/>
      </c>
    </row>
    <row r="7946">
      <c r="J7946">
        <f>IF(AND(ISNUMBER('Data'!$F$7947),'Data'!$F$7947&lt;&gt;999,'Data'!$F$7947&lt;&gt;""),'Data'!$F$7947,"")</f>
        <v/>
      </c>
      <c r="Z7946" t="n">
        <v>1</v>
      </c>
      <c r="AA7946">
        <f>IF(ISNUMBER('IN-CLASS_Lab Part C'!$J$7946),'IN-CLASS_Lab Part C'!$J$7946,NA())</f>
        <v/>
      </c>
    </row>
    <row r="7947">
      <c r="J7947">
        <f>IF(AND(ISNUMBER('Data'!$F$7948),'Data'!$F$7948&lt;&gt;999,'Data'!$F$7948&lt;&gt;""),'Data'!$F$7948,"")</f>
        <v/>
      </c>
      <c r="Z7947" t="n">
        <v>1</v>
      </c>
      <c r="AA7947">
        <f>IF(ISNUMBER('IN-CLASS_Lab Part C'!$J$7947),'IN-CLASS_Lab Part C'!$J$7947,NA())</f>
        <v/>
      </c>
    </row>
    <row r="7948">
      <c r="J7948">
        <f>IF(AND(ISNUMBER('Data'!$F$7949),'Data'!$F$7949&lt;&gt;999,'Data'!$F$7949&lt;&gt;""),'Data'!$F$7949,"")</f>
        <v/>
      </c>
      <c r="Z7948" t="n">
        <v>1</v>
      </c>
      <c r="AA7948">
        <f>IF(ISNUMBER('IN-CLASS_Lab Part C'!$J$7948),'IN-CLASS_Lab Part C'!$J$7948,NA())</f>
        <v/>
      </c>
    </row>
    <row r="7949">
      <c r="J7949">
        <f>IF(AND(ISNUMBER('Data'!$F$7950),'Data'!$F$7950&lt;&gt;999,'Data'!$F$7950&lt;&gt;""),'Data'!$F$7950,"")</f>
        <v/>
      </c>
      <c r="Z7949" t="n">
        <v>1</v>
      </c>
      <c r="AA7949">
        <f>IF(ISNUMBER('IN-CLASS_Lab Part C'!$J$7949),'IN-CLASS_Lab Part C'!$J$7949,NA())</f>
        <v/>
      </c>
    </row>
    <row r="7950">
      <c r="J7950">
        <f>IF(AND(ISNUMBER('Data'!$F$7951),'Data'!$F$7951&lt;&gt;999,'Data'!$F$7951&lt;&gt;""),'Data'!$F$7951,"")</f>
        <v/>
      </c>
      <c r="Z7950" t="n">
        <v>1</v>
      </c>
      <c r="AA7950">
        <f>IF(ISNUMBER('IN-CLASS_Lab Part C'!$J$7950),'IN-CLASS_Lab Part C'!$J$7950,NA())</f>
        <v/>
      </c>
    </row>
    <row r="7951">
      <c r="J7951">
        <f>IF(AND(ISNUMBER('Data'!$F$7952),'Data'!$F$7952&lt;&gt;999,'Data'!$F$7952&lt;&gt;""),'Data'!$F$7952,"")</f>
        <v/>
      </c>
      <c r="Z7951" t="n">
        <v>1</v>
      </c>
      <c r="AA7951">
        <f>IF(ISNUMBER('IN-CLASS_Lab Part C'!$J$7951),'IN-CLASS_Lab Part C'!$J$7951,NA())</f>
        <v/>
      </c>
    </row>
    <row r="7952">
      <c r="J7952">
        <f>IF(AND(ISNUMBER('Data'!$F$7953),'Data'!$F$7953&lt;&gt;999,'Data'!$F$7953&lt;&gt;""),'Data'!$F$7953,"")</f>
        <v/>
      </c>
      <c r="Z7952" t="n">
        <v>1</v>
      </c>
      <c r="AA7952">
        <f>IF(ISNUMBER('IN-CLASS_Lab Part C'!$J$7952),'IN-CLASS_Lab Part C'!$J$7952,NA())</f>
        <v/>
      </c>
    </row>
    <row r="7953">
      <c r="J7953">
        <f>IF(AND(ISNUMBER('Data'!$F$7954),'Data'!$F$7954&lt;&gt;999,'Data'!$F$7954&lt;&gt;""),'Data'!$F$7954,"")</f>
        <v/>
      </c>
      <c r="Z7953" t="n">
        <v>1</v>
      </c>
      <c r="AA7953">
        <f>IF(ISNUMBER('IN-CLASS_Lab Part C'!$J$7953),'IN-CLASS_Lab Part C'!$J$7953,NA())</f>
        <v/>
      </c>
    </row>
    <row r="7954">
      <c r="J7954">
        <f>IF(AND(ISNUMBER('Data'!$F$7955),'Data'!$F$7955&lt;&gt;999,'Data'!$F$7955&lt;&gt;""),'Data'!$F$7955,"")</f>
        <v/>
      </c>
      <c r="Z7954" t="n">
        <v>1</v>
      </c>
      <c r="AA7954">
        <f>IF(ISNUMBER('IN-CLASS_Lab Part C'!$J$7954),'IN-CLASS_Lab Part C'!$J$7954,NA())</f>
        <v/>
      </c>
    </row>
    <row r="7955">
      <c r="J7955">
        <f>IF(AND(ISNUMBER('Data'!$F$7956),'Data'!$F$7956&lt;&gt;999,'Data'!$F$7956&lt;&gt;""),'Data'!$F$7956,"")</f>
        <v/>
      </c>
      <c r="Z7955" t="n">
        <v>1</v>
      </c>
      <c r="AA7955">
        <f>IF(ISNUMBER('IN-CLASS_Lab Part C'!$J$7955),'IN-CLASS_Lab Part C'!$J$7955,NA())</f>
        <v/>
      </c>
    </row>
    <row r="7956">
      <c r="J7956">
        <f>IF(AND(ISNUMBER('Data'!$F$7957),'Data'!$F$7957&lt;&gt;999,'Data'!$F$7957&lt;&gt;""),'Data'!$F$7957,"")</f>
        <v/>
      </c>
      <c r="Z7956" t="n">
        <v>1</v>
      </c>
      <c r="AA7956">
        <f>IF(ISNUMBER('IN-CLASS_Lab Part C'!$J$7956),'IN-CLASS_Lab Part C'!$J$7956,NA())</f>
        <v/>
      </c>
    </row>
    <row r="7957">
      <c r="J7957">
        <f>IF(AND(ISNUMBER('Data'!$F$7958),'Data'!$F$7958&lt;&gt;999,'Data'!$F$7958&lt;&gt;""),'Data'!$F$7958,"")</f>
        <v/>
      </c>
      <c r="Z7957" t="n">
        <v>1</v>
      </c>
      <c r="AA7957">
        <f>IF(ISNUMBER('IN-CLASS_Lab Part C'!$J$7957),'IN-CLASS_Lab Part C'!$J$7957,NA())</f>
        <v/>
      </c>
    </row>
    <row r="7958">
      <c r="J7958">
        <f>IF(AND(ISNUMBER('Data'!$F$7959),'Data'!$F$7959&lt;&gt;999,'Data'!$F$7959&lt;&gt;""),'Data'!$F$7959,"")</f>
        <v/>
      </c>
      <c r="Z7958" t="n">
        <v>1</v>
      </c>
      <c r="AA7958">
        <f>IF(ISNUMBER('IN-CLASS_Lab Part C'!$J$7958),'IN-CLASS_Lab Part C'!$J$7958,NA())</f>
        <v/>
      </c>
    </row>
    <row r="7959">
      <c r="J7959">
        <f>IF(AND(ISNUMBER('Data'!$F$7960),'Data'!$F$7960&lt;&gt;999,'Data'!$F$7960&lt;&gt;""),'Data'!$F$7960,"")</f>
        <v/>
      </c>
      <c r="Z7959" t="n">
        <v>1</v>
      </c>
      <c r="AA7959">
        <f>IF(ISNUMBER('IN-CLASS_Lab Part C'!$J$7959),'IN-CLASS_Lab Part C'!$J$7959,NA())</f>
        <v/>
      </c>
    </row>
    <row r="7960">
      <c r="J7960">
        <f>IF(AND(ISNUMBER('Data'!$F$7961),'Data'!$F$7961&lt;&gt;999,'Data'!$F$7961&lt;&gt;""),'Data'!$F$7961,"")</f>
        <v/>
      </c>
      <c r="Z7960" t="n">
        <v>1</v>
      </c>
      <c r="AA7960">
        <f>IF(ISNUMBER('IN-CLASS_Lab Part C'!$J$7960),'IN-CLASS_Lab Part C'!$J$7960,NA())</f>
        <v/>
      </c>
    </row>
    <row r="7961">
      <c r="J7961">
        <f>IF(AND(ISNUMBER('Data'!$F$7962),'Data'!$F$7962&lt;&gt;999,'Data'!$F$7962&lt;&gt;""),'Data'!$F$7962,"")</f>
        <v/>
      </c>
      <c r="Z7961" t="n">
        <v>1</v>
      </c>
      <c r="AA7961">
        <f>IF(ISNUMBER('IN-CLASS_Lab Part C'!$J$7961),'IN-CLASS_Lab Part C'!$J$7961,NA())</f>
        <v/>
      </c>
    </row>
    <row r="7962">
      <c r="J7962">
        <f>IF(AND(ISNUMBER('Data'!$F$7963),'Data'!$F$7963&lt;&gt;999,'Data'!$F$7963&lt;&gt;""),'Data'!$F$7963,"")</f>
        <v/>
      </c>
      <c r="Z7962" t="n">
        <v>1</v>
      </c>
      <c r="AA7962">
        <f>IF(ISNUMBER('IN-CLASS_Lab Part C'!$J$7962),'IN-CLASS_Lab Part C'!$J$7962,NA())</f>
        <v/>
      </c>
    </row>
    <row r="7963">
      <c r="J7963">
        <f>IF(AND(ISNUMBER('Data'!$F$7964),'Data'!$F$7964&lt;&gt;999,'Data'!$F$7964&lt;&gt;""),'Data'!$F$7964,"")</f>
        <v/>
      </c>
      <c r="Z7963" t="n">
        <v>1</v>
      </c>
      <c r="AA7963">
        <f>IF(ISNUMBER('IN-CLASS_Lab Part C'!$J$7963),'IN-CLASS_Lab Part C'!$J$7963,NA())</f>
        <v/>
      </c>
    </row>
    <row r="7964">
      <c r="J7964">
        <f>IF(AND(ISNUMBER('Data'!$F$7965),'Data'!$F$7965&lt;&gt;999,'Data'!$F$7965&lt;&gt;""),'Data'!$F$7965,"")</f>
        <v/>
      </c>
      <c r="Z7964" t="n">
        <v>1</v>
      </c>
      <c r="AA7964">
        <f>IF(ISNUMBER('IN-CLASS_Lab Part C'!$J$7964),'IN-CLASS_Lab Part C'!$J$7964,NA())</f>
        <v/>
      </c>
    </row>
    <row r="7965">
      <c r="J7965">
        <f>IF(AND(ISNUMBER('Data'!$F$7966),'Data'!$F$7966&lt;&gt;999,'Data'!$F$7966&lt;&gt;""),'Data'!$F$7966,"")</f>
        <v/>
      </c>
      <c r="Z7965" t="n">
        <v>1</v>
      </c>
      <c r="AA7965">
        <f>IF(ISNUMBER('IN-CLASS_Lab Part C'!$J$7965),'IN-CLASS_Lab Part C'!$J$7965,NA())</f>
        <v/>
      </c>
    </row>
    <row r="7966">
      <c r="J7966">
        <f>IF(AND(ISNUMBER('Data'!$F$7967),'Data'!$F$7967&lt;&gt;999,'Data'!$F$7967&lt;&gt;""),'Data'!$F$7967,"")</f>
        <v/>
      </c>
      <c r="Z7966" t="n">
        <v>1</v>
      </c>
      <c r="AA7966">
        <f>IF(ISNUMBER('IN-CLASS_Lab Part C'!$J$7966),'IN-CLASS_Lab Part C'!$J$7966,NA())</f>
        <v/>
      </c>
    </row>
    <row r="7967">
      <c r="J7967">
        <f>IF(AND(ISNUMBER('Data'!$F$7968),'Data'!$F$7968&lt;&gt;999,'Data'!$F$7968&lt;&gt;""),'Data'!$F$7968,"")</f>
        <v/>
      </c>
      <c r="Z7967" t="n">
        <v>1</v>
      </c>
      <c r="AA7967">
        <f>IF(ISNUMBER('IN-CLASS_Lab Part C'!$J$7967),'IN-CLASS_Lab Part C'!$J$7967,NA())</f>
        <v/>
      </c>
    </row>
    <row r="7968">
      <c r="J7968">
        <f>IF(AND(ISNUMBER('Data'!$F$7969),'Data'!$F$7969&lt;&gt;999,'Data'!$F$7969&lt;&gt;""),'Data'!$F$7969,"")</f>
        <v/>
      </c>
      <c r="Z7968" t="n">
        <v>1</v>
      </c>
      <c r="AA7968">
        <f>IF(ISNUMBER('IN-CLASS_Lab Part C'!$J$7968),'IN-CLASS_Lab Part C'!$J$7968,NA())</f>
        <v/>
      </c>
    </row>
    <row r="7969">
      <c r="J7969">
        <f>IF(AND(ISNUMBER('Data'!$F$7970),'Data'!$F$7970&lt;&gt;999,'Data'!$F$7970&lt;&gt;""),'Data'!$F$7970,"")</f>
        <v/>
      </c>
      <c r="Z7969" t="n">
        <v>1</v>
      </c>
      <c r="AA7969">
        <f>IF(ISNUMBER('IN-CLASS_Lab Part C'!$J$7969),'IN-CLASS_Lab Part C'!$J$7969,NA())</f>
        <v/>
      </c>
    </row>
    <row r="7970">
      <c r="J7970">
        <f>IF(AND(ISNUMBER('Data'!$F$7971),'Data'!$F$7971&lt;&gt;999,'Data'!$F$7971&lt;&gt;""),'Data'!$F$7971,"")</f>
        <v/>
      </c>
      <c r="Z7970" t="n">
        <v>1</v>
      </c>
      <c r="AA7970">
        <f>IF(ISNUMBER('IN-CLASS_Lab Part C'!$J$7970),'IN-CLASS_Lab Part C'!$J$7970,NA())</f>
        <v/>
      </c>
    </row>
    <row r="7971">
      <c r="J7971">
        <f>IF(AND(ISNUMBER('Data'!$F$7972),'Data'!$F$7972&lt;&gt;999,'Data'!$F$7972&lt;&gt;""),'Data'!$F$7972,"")</f>
        <v/>
      </c>
      <c r="Z7971" t="n">
        <v>1</v>
      </c>
      <c r="AA7971">
        <f>IF(ISNUMBER('IN-CLASS_Lab Part C'!$J$7971),'IN-CLASS_Lab Part C'!$J$7971,NA())</f>
        <v/>
      </c>
    </row>
    <row r="7972">
      <c r="J7972">
        <f>IF(AND(ISNUMBER('Data'!$F$7973),'Data'!$F$7973&lt;&gt;999,'Data'!$F$7973&lt;&gt;""),'Data'!$F$7973,"")</f>
        <v/>
      </c>
      <c r="Z7972" t="n">
        <v>1</v>
      </c>
      <c r="AA7972">
        <f>IF(ISNUMBER('IN-CLASS_Lab Part C'!$J$7972),'IN-CLASS_Lab Part C'!$J$7972,NA())</f>
        <v/>
      </c>
    </row>
    <row r="7973">
      <c r="J7973">
        <f>IF(AND(ISNUMBER('Data'!$F$7974),'Data'!$F$7974&lt;&gt;999,'Data'!$F$7974&lt;&gt;""),'Data'!$F$7974,"")</f>
        <v/>
      </c>
      <c r="Z7973" t="n">
        <v>1</v>
      </c>
      <c r="AA7973">
        <f>IF(ISNUMBER('IN-CLASS_Lab Part C'!$J$7973),'IN-CLASS_Lab Part C'!$J$7973,NA())</f>
        <v/>
      </c>
    </row>
    <row r="7974">
      <c r="J7974">
        <f>IF(AND(ISNUMBER('Data'!$F$7975),'Data'!$F$7975&lt;&gt;999,'Data'!$F$7975&lt;&gt;""),'Data'!$F$7975,"")</f>
        <v/>
      </c>
      <c r="Z7974" t="n">
        <v>1</v>
      </c>
      <c r="AA7974">
        <f>IF(ISNUMBER('IN-CLASS_Lab Part C'!$J$7974),'IN-CLASS_Lab Part C'!$J$7974,NA())</f>
        <v/>
      </c>
    </row>
    <row r="7975">
      <c r="J7975">
        <f>IF(AND(ISNUMBER('Data'!$F$7976),'Data'!$F$7976&lt;&gt;999,'Data'!$F$7976&lt;&gt;""),'Data'!$F$7976,"")</f>
        <v/>
      </c>
      <c r="Z7975" t="n">
        <v>1</v>
      </c>
      <c r="AA7975">
        <f>IF(ISNUMBER('IN-CLASS_Lab Part C'!$J$7975),'IN-CLASS_Lab Part C'!$J$7975,NA())</f>
        <v/>
      </c>
    </row>
    <row r="7976">
      <c r="J7976">
        <f>IF(AND(ISNUMBER('Data'!$F$7977),'Data'!$F$7977&lt;&gt;999,'Data'!$F$7977&lt;&gt;""),'Data'!$F$7977,"")</f>
        <v/>
      </c>
      <c r="Z7976" t="n">
        <v>1</v>
      </c>
      <c r="AA7976">
        <f>IF(ISNUMBER('IN-CLASS_Lab Part C'!$J$7976),'IN-CLASS_Lab Part C'!$J$7976,NA())</f>
        <v/>
      </c>
    </row>
    <row r="7977">
      <c r="J7977">
        <f>IF(AND(ISNUMBER('Data'!$F$7978),'Data'!$F$7978&lt;&gt;999,'Data'!$F$7978&lt;&gt;""),'Data'!$F$7978,"")</f>
        <v/>
      </c>
      <c r="Z7977" t="n">
        <v>1</v>
      </c>
      <c r="AA7977">
        <f>IF(ISNUMBER('IN-CLASS_Lab Part C'!$J$7977),'IN-CLASS_Lab Part C'!$J$7977,NA())</f>
        <v/>
      </c>
    </row>
    <row r="7978">
      <c r="J7978">
        <f>IF(AND(ISNUMBER('Data'!$F$7979),'Data'!$F$7979&lt;&gt;999,'Data'!$F$7979&lt;&gt;""),'Data'!$F$7979,"")</f>
        <v/>
      </c>
      <c r="Z7978" t="n">
        <v>1</v>
      </c>
      <c r="AA7978">
        <f>IF(ISNUMBER('IN-CLASS_Lab Part C'!$J$7978),'IN-CLASS_Lab Part C'!$J$7978,NA())</f>
        <v/>
      </c>
    </row>
    <row r="7979">
      <c r="J7979">
        <f>IF(AND(ISNUMBER('Data'!$F$7980),'Data'!$F$7980&lt;&gt;999,'Data'!$F$7980&lt;&gt;""),'Data'!$F$7980,"")</f>
        <v/>
      </c>
      <c r="Z7979" t="n">
        <v>1</v>
      </c>
      <c r="AA7979">
        <f>IF(ISNUMBER('IN-CLASS_Lab Part C'!$J$7979),'IN-CLASS_Lab Part C'!$J$7979,NA())</f>
        <v/>
      </c>
    </row>
    <row r="7980">
      <c r="J7980">
        <f>IF(AND(ISNUMBER('Data'!$F$7981),'Data'!$F$7981&lt;&gt;999,'Data'!$F$7981&lt;&gt;""),'Data'!$F$7981,"")</f>
        <v/>
      </c>
      <c r="Z7980" t="n">
        <v>1</v>
      </c>
      <c r="AA7980">
        <f>IF(ISNUMBER('IN-CLASS_Lab Part C'!$J$7980),'IN-CLASS_Lab Part C'!$J$7980,NA())</f>
        <v/>
      </c>
    </row>
    <row r="7981">
      <c r="J7981">
        <f>IF(AND(ISNUMBER('Data'!$F$7982),'Data'!$F$7982&lt;&gt;999,'Data'!$F$7982&lt;&gt;""),'Data'!$F$7982,"")</f>
        <v/>
      </c>
      <c r="Z7981" t="n">
        <v>1</v>
      </c>
      <c r="AA7981">
        <f>IF(ISNUMBER('IN-CLASS_Lab Part C'!$J$7981),'IN-CLASS_Lab Part C'!$J$7981,NA())</f>
        <v/>
      </c>
    </row>
    <row r="7982">
      <c r="J7982">
        <f>IF(AND(ISNUMBER('Data'!$F$7983),'Data'!$F$7983&lt;&gt;999,'Data'!$F$7983&lt;&gt;""),'Data'!$F$7983,"")</f>
        <v/>
      </c>
      <c r="Z7982" t="n">
        <v>1</v>
      </c>
      <c r="AA7982">
        <f>IF(ISNUMBER('IN-CLASS_Lab Part C'!$J$7982),'IN-CLASS_Lab Part C'!$J$7982,NA())</f>
        <v/>
      </c>
    </row>
    <row r="7983">
      <c r="J7983">
        <f>IF(AND(ISNUMBER('Data'!$F$7984),'Data'!$F$7984&lt;&gt;999,'Data'!$F$7984&lt;&gt;""),'Data'!$F$7984,"")</f>
        <v/>
      </c>
      <c r="Z7983" t="n">
        <v>1</v>
      </c>
      <c r="AA7983">
        <f>IF(ISNUMBER('IN-CLASS_Lab Part C'!$J$7983),'IN-CLASS_Lab Part C'!$J$7983,NA())</f>
        <v/>
      </c>
    </row>
    <row r="7984">
      <c r="J7984">
        <f>IF(AND(ISNUMBER('Data'!$F$7985),'Data'!$F$7985&lt;&gt;999,'Data'!$F$7985&lt;&gt;""),'Data'!$F$7985,"")</f>
        <v/>
      </c>
      <c r="Z7984" t="n">
        <v>1</v>
      </c>
      <c r="AA7984">
        <f>IF(ISNUMBER('IN-CLASS_Lab Part C'!$J$7984),'IN-CLASS_Lab Part C'!$J$7984,NA())</f>
        <v/>
      </c>
    </row>
    <row r="7985">
      <c r="J7985">
        <f>IF(AND(ISNUMBER('Data'!$F$7986),'Data'!$F$7986&lt;&gt;999,'Data'!$F$7986&lt;&gt;""),'Data'!$F$7986,"")</f>
        <v/>
      </c>
      <c r="Z7985" t="n">
        <v>1</v>
      </c>
      <c r="AA7985">
        <f>IF(ISNUMBER('IN-CLASS_Lab Part C'!$J$7985),'IN-CLASS_Lab Part C'!$J$7985,NA())</f>
        <v/>
      </c>
    </row>
    <row r="7986">
      <c r="J7986">
        <f>IF(AND(ISNUMBER('Data'!$F$7987),'Data'!$F$7987&lt;&gt;999,'Data'!$F$7987&lt;&gt;""),'Data'!$F$7987,"")</f>
        <v/>
      </c>
      <c r="Z7986" t="n">
        <v>1</v>
      </c>
      <c r="AA7986">
        <f>IF(ISNUMBER('IN-CLASS_Lab Part C'!$J$7986),'IN-CLASS_Lab Part C'!$J$7986,NA())</f>
        <v/>
      </c>
    </row>
    <row r="7987">
      <c r="J7987">
        <f>IF(AND(ISNUMBER('Data'!$F$7988),'Data'!$F$7988&lt;&gt;999,'Data'!$F$7988&lt;&gt;""),'Data'!$F$7988,"")</f>
        <v/>
      </c>
      <c r="Z7987" t="n">
        <v>1</v>
      </c>
      <c r="AA7987">
        <f>IF(ISNUMBER('IN-CLASS_Lab Part C'!$J$7987),'IN-CLASS_Lab Part C'!$J$7987,NA())</f>
        <v/>
      </c>
    </row>
    <row r="7988">
      <c r="J7988">
        <f>IF(AND(ISNUMBER('Data'!$F$7989),'Data'!$F$7989&lt;&gt;999,'Data'!$F$7989&lt;&gt;""),'Data'!$F$7989,"")</f>
        <v/>
      </c>
      <c r="Z7988" t="n">
        <v>1</v>
      </c>
      <c r="AA7988">
        <f>IF(ISNUMBER('IN-CLASS_Lab Part C'!$J$7988),'IN-CLASS_Lab Part C'!$J$7988,NA())</f>
        <v/>
      </c>
    </row>
    <row r="7989">
      <c r="J7989">
        <f>IF(AND(ISNUMBER('Data'!$F$7990),'Data'!$F$7990&lt;&gt;999,'Data'!$F$7990&lt;&gt;""),'Data'!$F$7990,"")</f>
        <v/>
      </c>
      <c r="Z7989" t="n">
        <v>1</v>
      </c>
      <c r="AA7989">
        <f>IF(ISNUMBER('IN-CLASS_Lab Part C'!$J$7989),'IN-CLASS_Lab Part C'!$J$7989,NA())</f>
        <v/>
      </c>
    </row>
    <row r="7990">
      <c r="J7990">
        <f>IF(AND(ISNUMBER('Data'!$F$7991),'Data'!$F$7991&lt;&gt;999,'Data'!$F$7991&lt;&gt;""),'Data'!$F$7991,"")</f>
        <v/>
      </c>
      <c r="Z7990" t="n">
        <v>1</v>
      </c>
      <c r="AA7990">
        <f>IF(ISNUMBER('IN-CLASS_Lab Part C'!$J$7990),'IN-CLASS_Lab Part C'!$J$7990,NA())</f>
        <v/>
      </c>
    </row>
    <row r="7991">
      <c r="J7991">
        <f>IF(AND(ISNUMBER('Data'!$F$7992),'Data'!$F$7992&lt;&gt;999,'Data'!$F$7992&lt;&gt;""),'Data'!$F$7992,"")</f>
        <v/>
      </c>
      <c r="Z7991" t="n">
        <v>1</v>
      </c>
      <c r="AA7991">
        <f>IF(ISNUMBER('IN-CLASS_Lab Part C'!$J$7991),'IN-CLASS_Lab Part C'!$J$7991,NA())</f>
        <v/>
      </c>
    </row>
    <row r="7992">
      <c r="J7992">
        <f>IF(AND(ISNUMBER('Data'!$F$7993),'Data'!$F$7993&lt;&gt;999,'Data'!$F$7993&lt;&gt;""),'Data'!$F$7993,"")</f>
        <v/>
      </c>
      <c r="Z7992" t="n">
        <v>1</v>
      </c>
      <c r="AA7992">
        <f>IF(ISNUMBER('IN-CLASS_Lab Part C'!$J$7992),'IN-CLASS_Lab Part C'!$J$7992,NA())</f>
        <v/>
      </c>
    </row>
    <row r="7993">
      <c r="J7993">
        <f>IF(AND(ISNUMBER('Data'!$F$7994),'Data'!$F$7994&lt;&gt;999,'Data'!$F$7994&lt;&gt;""),'Data'!$F$7994,"")</f>
        <v/>
      </c>
      <c r="Z7993" t="n">
        <v>1</v>
      </c>
      <c r="AA7993">
        <f>IF(ISNUMBER('IN-CLASS_Lab Part C'!$J$7993),'IN-CLASS_Lab Part C'!$J$7993,NA())</f>
        <v/>
      </c>
    </row>
    <row r="7994">
      <c r="J7994">
        <f>IF(AND(ISNUMBER('Data'!$F$7995),'Data'!$F$7995&lt;&gt;999,'Data'!$F$7995&lt;&gt;""),'Data'!$F$7995,"")</f>
        <v/>
      </c>
      <c r="Z7994" t="n">
        <v>1</v>
      </c>
      <c r="AA7994">
        <f>IF(ISNUMBER('IN-CLASS_Lab Part C'!$J$7994),'IN-CLASS_Lab Part C'!$J$7994,NA())</f>
        <v/>
      </c>
    </row>
    <row r="7995">
      <c r="J7995">
        <f>IF(AND(ISNUMBER('Data'!$F$7996),'Data'!$F$7996&lt;&gt;999,'Data'!$F$7996&lt;&gt;""),'Data'!$F$7996,"")</f>
        <v/>
      </c>
      <c r="Z7995" t="n">
        <v>1</v>
      </c>
      <c r="AA7995">
        <f>IF(ISNUMBER('IN-CLASS_Lab Part C'!$J$7995),'IN-CLASS_Lab Part C'!$J$7995,NA())</f>
        <v/>
      </c>
    </row>
    <row r="7996">
      <c r="J7996">
        <f>IF(AND(ISNUMBER('Data'!$F$7997),'Data'!$F$7997&lt;&gt;999,'Data'!$F$7997&lt;&gt;""),'Data'!$F$7997,"")</f>
        <v/>
      </c>
      <c r="Z7996" t="n">
        <v>1</v>
      </c>
      <c r="AA7996">
        <f>IF(ISNUMBER('IN-CLASS_Lab Part C'!$J$7996),'IN-CLASS_Lab Part C'!$J$7996,NA())</f>
        <v/>
      </c>
    </row>
    <row r="7997">
      <c r="J7997">
        <f>IF(AND(ISNUMBER('Data'!$F$7998),'Data'!$F$7998&lt;&gt;999,'Data'!$F$7998&lt;&gt;""),'Data'!$F$7998,"")</f>
        <v/>
      </c>
      <c r="Z7997" t="n">
        <v>1</v>
      </c>
      <c r="AA7997">
        <f>IF(ISNUMBER('IN-CLASS_Lab Part C'!$J$7997),'IN-CLASS_Lab Part C'!$J$7997,NA())</f>
        <v/>
      </c>
    </row>
    <row r="7998">
      <c r="J7998">
        <f>IF(AND(ISNUMBER('Data'!$F$7999),'Data'!$F$7999&lt;&gt;999,'Data'!$F$7999&lt;&gt;""),'Data'!$F$7999,"")</f>
        <v/>
      </c>
      <c r="Z7998" t="n">
        <v>1</v>
      </c>
      <c r="AA7998">
        <f>IF(ISNUMBER('IN-CLASS_Lab Part C'!$J$7998),'IN-CLASS_Lab Part C'!$J$7998,NA())</f>
        <v/>
      </c>
    </row>
    <row r="7999">
      <c r="J7999">
        <f>IF(AND(ISNUMBER('Data'!$F$8000),'Data'!$F$8000&lt;&gt;999,'Data'!$F$8000&lt;&gt;""),'Data'!$F$8000,"")</f>
        <v/>
      </c>
      <c r="Z7999" t="n">
        <v>1</v>
      </c>
      <c r="AA7999">
        <f>IF(ISNUMBER('IN-CLASS_Lab Part C'!$J$7999),'IN-CLASS_Lab Part C'!$J$7999,NA())</f>
        <v/>
      </c>
    </row>
    <row r="8000">
      <c r="J8000">
        <f>IF(AND(ISNUMBER('Data'!$F$8001),'Data'!$F$8001&lt;&gt;999,'Data'!$F$8001&lt;&gt;""),'Data'!$F$8001,"")</f>
        <v/>
      </c>
      <c r="Z8000" t="n">
        <v>1</v>
      </c>
      <c r="AA8000">
        <f>IF(ISNUMBER('IN-CLASS_Lab Part C'!$J$8000),'IN-CLASS_Lab Part C'!$J$8000,NA())</f>
        <v/>
      </c>
    </row>
    <row r="8001">
      <c r="J8001">
        <f>IF(AND(ISNUMBER('Data'!$F$8002),'Data'!$F$8002&lt;&gt;999,'Data'!$F$8002&lt;&gt;""),'Data'!$F$8002,"")</f>
        <v/>
      </c>
      <c r="Z8001" t="n">
        <v>1</v>
      </c>
      <c r="AA8001">
        <f>IF(ISNUMBER('IN-CLASS_Lab Part C'!$J$8001),'IN-CLASS_Lab Part C'!$J$8001,NA())</f>
        <v/>
      </c>
    </row>
    <row r="8002">
      <c r="J8002">
        <f>IF(AND(ISNUMBER('Data'!$F$8003),'Data'!$F$8003&lt;&gt;999,'Data'!$F$8003&lt;&gt;""),'Data'!$F$8003,"")</f>
        <v/>
      </c>
      <c r="Z8002" t="n">
        <v>1</v>
      </c>
      <c r="AA8002">
        <f>IF(ISNUMBER('IN-CLASS_Lab Part C'!$J$8002),'IN-CLASS_Lab Part C'!$J$8002,NA())</f>
        <v/>
      </c>
    </row>
    <row r="8003">
      <c r="J8003">
        <f>IF(AND(ISNUMBER('Data'!$F$8004),'Data'!$F$8004&lt;&gt;999,'Data'!$F$8004&lt;&gt;""),'Data'!$F$8004,"")</f>
        <v/>
      </c>
      <c r="Z8003" t="n">
        <v>1</v>
      </c>
      <c r="AA8003">
        <f>IF(ISNUMBER('IN-CLASS_Lab Part C'!$J$8003),'IN-CLASS_Lab Part C'!$J$8003,NA())</f>
        <v/>
      </c>
    </row>
    <row r="8004">
      <c r="J8004">
        <f>IF(AND(ISNUMBER('Data'!$F$8005),'Data'!$F$8005&lt;&gt;999,'Data'!$F$8005&lt;&gt;""),'Data'!$F$8005,"")</f>
        <v/>
      </c>
      <c r="Z8004" t="n">
        <v>1</v>
      </c>
      <c r="AA8004">
        <f>IF(ISNUMBER('IN-CLASS_Lab Part C'!$J$8004),'IN-CLASS_Lab Part C'!$J$8004,NA())</f>
        <v/>
      </c>
    </row>
    <row r="8005">
      <c r="J8005">
        <f>IF(AND(ISNUMBER('Data'!$F$8006),'Data'!$F$8006&lt;&gt;999,'Data'!$F$8006&lt;&gt;""),'Data'!$F$8006,"")</f>
        <v/>
      </c>
      <c r="Z8005" t="n">
        <v>1</v>
      </c>
      <c r="AA8005">
        <f>IF(ISNUMBER('IN-CLASS_Lab Part C'!$J$8005),'IN-CLASS_Lab Part C'!$J$8005,NA())</f>
        <v/>
      </c>
    </row>
    <row r="8006">
      <c r="J8006">
        <f>IF(AND(ISNUMBER('Data'!$F$8007),'Data'!$F$8007&lt;&gt;999,'Data'!$F$8007&lt;&gt;""),'Data'!$F$8007,"")</f>
        <v/>
      </c>
      <c r="Z8006" t="n">
        <v>1</v>
      </c>
      <c r="AA8006">
        <f>IF(ISNUMBER('IN-CLASS_Lab Part C'!$J$8006),'IN-CLASS_Lab Part C'!$J$8006,NA())</f>
        <v/>
      </c>
    </row>
    <row r="8007">
      <c r="J8007">
        <f>IF(AND(ISNUMBER('Data'!$F$8008),'Data'!$F$8008&lt;&gt;999,'Data'!$F$8008&lt;&gt;""),'Data'!$F$8008,"")</f>
        <v/>
      </c>
      <c r="Z8007" t="n">
        <v>1</v>
      </c>
      <c r="AA8007">
        <f>IF(ISNUMBER('IN-CLASS_Lab Part C'!$J$8007),'IN-CLASS_Lab Part C'!$J$8007,NA())</f>
        <v/>
      </c>
    </row>
    <row r="8008">
      <c r="J8008">
        <f>IF(AND(ISNUMBER('Data'!$F$8009),'Data'!$F$8009&lt;&gt;999,'Data'!$F$8009&lt;&gt;""),'Data'!$F$8009,"")</f>
        <v/>
      </c>
      <c r="Z8008" t="n">
        <v>1</v>
      </c>
      <c r="AA8008">
        <f>IF(ISNUMBER('IN-CLASS_Lab Part C'!$J$8008),'IN-CLASS_Lab Part C'!$J$8008,NA())</f>
        <v/>
      </c>
    </row>
    <row r="8009">
      <c r="J8009">
        <f>IF(AND(ISNUMBER('Data'!$F$8010),'Data'!$F$8010&lt;&gt;999,'Data'!$F$8010&lt;&gt;""),'Data'!$F$8010,"")</f>
        <v/>
      </c>
      <c r="Z8009" t="n">
        <v>1</v>
      </c>
      <c r="AA8009">
        <f>IF(ISNUMBER('IN-CLASS_Lab Part C'!$J$8009),'IN-CLASS_Lab Part C'!$J$8009,NA())</f>
        <v/>
      </c>
    </row>
    <row r="8010">
      <c r="J8010">
        <f>IF(AND(ISNUMBER('Data'!$F$8011),'Data'!$F$8011&lt;&gt;999,'Data'!$F$8011&lt;&gt;""),'Data'!$F$8011,"")</f>
        <v/>
      </c>
      <c r="Z8010" t="n">
        <v>1</v>
      </c>
      <c r="AA8010">
        <f>IF(ISNUMBER('IN-CLASS_Lab Part C'!$J$8010),'IN-CLASS_Lab Part C'!$J$8010,NA())</f>
        <v/>
      </c>
    </row>
    <row r="8011">
      <c r="J8011">
        <f>IF(AND(ISNUMBER('Data'!$F$8012),'Data'!$F$8012&lt;&gt;999,'Data'!$F$8012&lt;&gt;""),'Data'!$F$8012,"")</f>
        <v/>
      </c>
      <c r="Z8011" t="n">
        <v>1</v>
      </c>
      <c r="AA8011">
        <f>IF(ISNUMBER('IN-CLASS_Lab Part C'!$J$8011),'IN-CLASS_Lab Part C'!$J$8011,NA())</f>
        <v/>
      </c>
    </row>
    <row r="8012">
      <c r="J8012">
        <f>IF(AND(ISNUMBER('Data'!$F$8013),'Data'!$F$8013&lt;&gt;999,'Data'!$F$8013&lt;&gt;""),'Data'!$F$8013,"")</f>
        <v/>
      </c>
      <c r="Z8012" t="n">
        <v>1</v>
      </c>
      <c r="AA8012">
        <f>IF(ISNUMBER('IN-CLASS_Lab Part C'!$J$8012),'IN-CLASS_Lab Part C'!$J$8012,NA())</f>
        <v/>
      </c>
    </row>
    <row r="8013">
      <c r="J8013">
        <f>IF(AND(ISNUMBER('Data'!$F$8014),'Data'!$F$8014&lt;&gt;999,'Data'!$F$8014&lt;&gt;""),'Data'!$F$8014,"")</f>
        <v/>
      </c>
      <c r="Z8013" t="n">
        <v>1</v>
      </c>
      <c r="AA8013">
        <f>IF(ISNUMBER('IN-CLASS_Lab Part C'!$J$8013),'IN-CLASS_Lab Part C'!$J$8013,NA())</f>
        <v/>
      </c>
    </row>
    <row r="8014">
      <c r="J8014">
        <f>IF(AND(ISNUMBER('Data'!$F$8015),'Data'!$F$8015&lt;&gt;999,'Data'!$F$8015&lt;&gt;""),'Data'!$F$8015,"")</f>
        <v/>
      </c>
      <c r="Z8014" t="n">
        <v>1</v>
      </c>
      <c r="AA8014">
        <f>IF(ISNUMBER('IN-CLASS_Lab Part C'!$J$8014),'IN-CLASS_Lab Part C'!$J$8014,NA())</f>
        <v/>
      </c>
    </row>
    <row r="8015">
      <c r="J8015">
        <f>IF(AND(ISNUMBER('Data'!$F$8016),'Data'!$F$8016&lt;&gt;999,'Data'!$F$8016&lt;&gt;""),'Data'!$F$8016,"")</f>
        <v/>
      </c>
      <c r="Z8015" t="n">
        <v>1</v>
      </c>
      <c r="AA8015">
        <f>IF(ISNUMBER('IN-CLASS_Lab Part C'!$J$8015),'IN-CLASS_Lab Part C'!$J$8015,NA())</f>
        <v/>
      </c>
    </row>
    <row r="8016">
      <c r="J8016">
        <f>IF(AND(ISNUMBER('Data'!$F$8017),'Data'!$F$8017&lt;&gt;999,'Data'!$F$8017&lt;&gt;""),'Data'!$F$8017,"")</f>
        <v/>
      </c>
      <c r="Z8016" t="n">
        <v>1</v>
      </c>
      <c r="AA8016">
        <f>IF(ISNUMBER('IN-CLASS_Lab Part C'!$J$8016),'IN-CLASS_Lab Part C'!$J$8016,NA())</f>
        <v/>
      </c>
    </row>
    <row r="8017">
      <c r="J8017">
        <f>IF(AND(ISNUMBER('Data'!$F$8018),'Data'!$F$8018&lt;&gt;999,'Data'!$F$8018&lt;&gt;""),'Data'!$F$8018,"")</f>
        <v/>
      </c>
      <c r="Z8017" t="n">
        <v>1</v>
      </c>
      <c r="AA8017">
        <f>IF(ISNUMBER('IN-CLASS_Lab Part C'!$J$8017),'IN-CLASS_Lab Part C'!$J$8017,NA())</f>
        <v/>
      </c>
    </row>
    <row r="8018">
      <c r="J8018">
        <f>IF(AND(ISNUMBER('Data'!$F$8019),'Data'!$F$8019&lt;&gt;999,'Data'!$F$8019&lt;&gt;""),'Data'!$F$8019,"")</f>
        <v/>
      </c>
      <c r="Z8018" t="n">
        <v>1</v>
      </c>
      <c r="AA8018">
        <f>IF(ISNUMBER('IN-CLASS_Lab Part C'!$J$8018),'IN-CLASS_Lab Part C'!$J$8018,NA())</f>
        <v/>
      </c>
    </row>
    <row r="8019">
      <c r="J8019">
        <f>IF(AND(ISNUMBER('Data'!$F$8020),'Data'!$F$8020&lt;&gt;999,'Data'!$F$8020&lt;&gt;""),'Data'!$F$8020,"")</f>
        <v/>
      </c>
      <c r="Z8019" t="n">
        <v>1</v>
      </c>
      <c r="AA8019">
        <f>IF(ISNUMBER('IN-CLASS_Lab Part C'!$J$8019),'IN-CLASS_Lab Part C'!$J$8019,NA())</f>
        <v/>
      </c>
    </row>
    <row r="8020">
      <c r="J8020">
        <f>IF(AND(ISNUMBER('Data'!$F$8021),'Data'!$F$8021&lt;&gt;999,'Data'!$F$8021&lt;&gt;""),'Data'!$F$8021,"")</f>
        <v/>
      </c>
      <c r="Z8020" t="n">
        <v>1</v>
      </c>
      <c r="AA8020">
        <f>IF(ISNUMBER('IN-CLASS_Lab Part C'!$J$8020),'IN-CLASS_Lab Part C'!$J$8020,NA())</f>
        <v/>
      </c>
    </row>
    <row r="8021">
      <c r="J8021">
        <f>IF(AND(ISNUMBER('Data'!$F$8022),'Data'!$F$8022&lt;&gt;999,'Data'!$F$8022&lt;&gt;""),'Data'!$F$8022,"")</f>
        <v/>
      </c>
      <c r="Z8021" t="n">
        <v>1</v>
      </c>
      <c r="AA8021">
        <f>IF(ISNUMBER('IN-CLASS_Lab Part C'!$J$8021),'IN-CLASS_Lab Part C'!$J$8021,NA())</f>
        <v/>
      </c>
    </row>
    <row r="8022">
      <c r="J8022">
        <f>IF(AND(ISNUMBER('Data'!$F$8023),'Data'!$F$8023&lt;&gt;999,'Data'!$F$8023&lt;&gt;""),'Data'!$F$8023,"")</f>
        <v/>
      </c>
      <c r="Z8022" t="n">
        <v>1</v>
      </c>
      <c r="AA8022">
        <f>IF(ISNUMBER('IN-CLASS_Lab Part C'!$J$8022),'IN-CLASS_Lab Part C'!$J$8022,NA())</f>
        <v/>
      </c>
    </row>
    <row r="8023">
      <c r="J8023">
        <f>IF(AND(ISNUMBER('Data'!$F$8024),'Data'!$F$8024&lt;&gt;999,'Data'!$F$8024&lt;&gt;""),'Data'!$F$8024,"")</f>
        <v/>
      </c>
      <c r="Z8023" t="n">
        <v>1</v>
      </c>
      <c r="AA8023">
        <f>IF(ISNUMBER('IN-CLASS_Lab Part C'!$J$8023),'IN-CLASS_Lab Part C'!$J$8023,NA())</f>
        <v/>
      </c>
    </row>
    <row r="8024">
      <c r="J8024">
        <f>IF(AND(ISNUMBER('Data'!$F$8025),'Data'!$F$8025&lt;&gt;999,'Data'!$F$8025&lt;&gt;""),'Data'!$F$8025,"")</f>
        <v/>
      </c>
      <c r="Z8024" t="n">
        <v>1</v>
      </c>
      <c r="AA8024">
        <f>IF(ISNUMBER('IN-CLASS_Lab Part C'!$J$8024),'IN-CLASS_Lab Part C'!$J$8024,NA())</f>
        <v/>
      </c>
    </row>
    <row r="8025">
      <c r="J8025">
        <f>IF(AND(ISNUMBER('Data'!$F$8026),'Data'!$F$8026&lt;&gt;999,'Data'!$F$8026&lt;&gt;""),'Data'!$F$8026,"")</f>
        <v/>
      </c>
      <c r="Z8025" t="n">
        <v>1</v>
      </c>
      <c r="AA8025">
        <f>IF(ISNUMBER('IN-CLASS_Lab Part C'!$J$8025),'IN-CLASS_Lab Part C'!$J$8025,NA())</f>
        <v/>
      </c>
    </row>
    <row r="8026">
      <c r="J8026">
        <f>IF(AND(ISNUMBER('Data'!$F$8027),'Data'!$F$8027&lt;&gt;999,'Data'!$F$8027&lt;&gt;""),'Data'!$F$8027,"")</f>
        <v/>
      </c>
      <c r="Z8026" t="n">
        <v>1</v>
      </c>
      <c r="AA8026">
        <f>IF(ISNUMBER('IN-CLASS_Lab Part C'!$J$8026),'IN-CLASS_Lab Part C'!$J$8026,NA())</f>
        <v/>
      </c>
    </row>
    <row r="8027">
      <c r="J8027">
        <f>IF(AND(ISNUMBER('Data'!$F$8028),'Data'!$F$8028&lt;&gt;999,'Data'!$F$8028&lt;&gt;""),'Data'!$F$8028,"")</f>
        <v/>
      </c>
      <c r="Z8027" t="n">
        <v>1</v>
      </c>
      <c r="AA8027">
        <f>IF(ISNUMBER('IN-CLASS_Lab Part C'!$J$8027),'IN-CLASS_Lab Part C'!$J$8027,NA())</f>
        <v/>
      </c>
    </row>
    <row r="8028">
      <c r="J8028">
        <f>IF(AND(ISNUMBER('Data'!$F$8029),'Data'!$F$8029&lt;&gt;999,'Data'!$F$8029&lt;&gt;""),'Data'!$F$8029,"")</f>
        <v/>
      </c>
      <c r="Z8028" t="n">
        <v>1</v>
      </c>
      <c r="AA8028">
        <f>IF(ISNUMBER('IN-CLASS_Lab Part C'!$J$8028),'IN-CLASS_Lab Part C'!$J$8028,NA())</f>
        <v/>
      </c>
    </row>
    <row r="8029">
      <c r="J8029">
        <f>IF(AND(ISNUMBER('Data'!$F$8030),'Data'!$F$8030&lt;&gt;999,'Data'!$F$8030&lt;&gt;""),'Data'!$F$8030,"")</f>
        <v/>
      </c>
      <c r="Z8029" t="n">
        <v>1</v>
      </c>
      <c r="AA8029">
        <f>IF(ISNUMBER('IN-CLASS_Lab Part C'!$J$8029),'IN-CLASS_Lab Part C'!$J$8029,NA())</f>
        <v/>
      </c>
    </row>
    <row r="8030">
      <c r="J8030">
        <f>IF(AND(ISNUMBER('Data'!$F$8031),'Data'!$F$8031&lt;&gt;999,'Data'!$F$8031&lt;&gt;""),'Data'!$F$8031,"")</f>
        <v/>
      </c>
      <c r="Z8030" t="n">
        <v>1</v>
      </c>
      <c r="AA8030">
        <f>IF(ISNUMBER('IN-CLASS_Lab Part C'!$J$8030),'IN-CLASS_Lab Part C'!$J$8030,NA())</f>
        <v/>
      </c>
    </row>
    <row r="8031">
      <c r="J8031">
        <f>IF(AND(ISNUMBER('Data'!$F$8032),'Data'!$F$8032&lt;&gt;999,'Data'!$F$8032&lt;&gt;""),'Data'!$F$8032,"")</f>
        <v/>
      </c>
      <c r="Z8031" t="n">
        <v>1</v>
      </c>
      <c r="AA8031">
        <f>IF(ISNUMBER('IN-CLASS_Lab Part C'!$J$8031),'IN-CLASS_Lab Part C'!$J$8031,NA())</f>
        <v/>
      </c>
    </row>
    <row r="8032">
      <c r="J8032">
        <f>IF(AND(ISNUMBER('Data'!$F$8033),'Data'!$F$8033&lt;&gt;999,'Data'!$F$8033&lt;&gt;""),'Data'!$F$8033,"")</f>
        <v/>
      </c>
      <c r="Z8032" t="n">
        <v>1</v>
      </c>
      <c r="AA8032">
        <f>IF(ISNUMBER('IN-CLASS_Lab Part C'!$J$8032),'IN-CLASS_Lab Part C'!$J$8032,NA())</f>
        <v/>
      </c>
    </row>
    <row r="8033">
      <c r="J8033">
        <f>IF(AND(ISNUMBER('Data'!$F$8034),'Data'!$F$8034&lt;&gt;999,'Data'!$F$8034&lt;&gt;""),'Data'!$F$8034,"")</f>
        <v/>
      </c>
      <c r="Z8033" t="n">
        <v>1</v>
      </c>
      <c r="AA8033">
        <f>IF(ISNUMBER('IN-CLASS_Lab Part C'!$J$8033),'IN-CLASS_Lab Part C'!$J$8033,NA())</f>
        <v/>
      </c>
    </row>
    <row r="8034">
      <c r="J8034">
        <f>IF(AND(ISNUMBER('Data'!$F$8035),'Data'!$F$8035&lt;&gt;999,'Data'!$F$8035&lt;&gt;""),'Data'!$F$8035,"")</f>
        <v/>
      </c>
      <c r="Z8034" t="n">
        <v>1</v>
      </c>
      <c r="AA8034">
        <f>IF(ISNUMBER('IN-CLASS_Lab Part C'!$J$8034),'IN-CLASS_Lab Part C'!$J$8034,NA())</f>
        <v/>
      </c>
    </row>
    <row r="8035">
      <c r="J8035">
        <f>IF(AND(ISNUMBER('Data'!$F$8036),'Data'!$F$8036&lt;&gt;999,'Data'!$F$8036&lt;&gt;""),'Data'!$F$8036,"")</f>
        <v/>
      </c>
      <c r="Z8035" t="n">
        <v>1</v>
      </c>
      <c r="AA8035">
        <f>IF(ISNUMBER('IN-CLASS_Lab Part C'!$J$8035),'IN-CLASS_Lab Part C'!$J$8035,NA())</f>
        <v/>
      </c>
    </row>
    <row r="8036">
      <c r="J8036">
        <f>IF(AND(ISNUMBER('Data'!$F$8037),'Data'!$F$8037&lt;&gt;999,'Data'!$F$8037&lt;&gt;""),'Data'!$F$8037,"")</f>
        <v/>
      </c>
      <c r="Z8036" t="n">
        <v>1</v>
      </c>
      <c r="AA8036">
        <f>IF(ISNUMBER('IN-CLASS_Lab Part C'!$J$8036),'IN-CLASS_Lab Part C'!$J$8036,NA())</f>
        <v/>
      </c>
    </row>
    <row r="8037">
      <c r="J8037">
        <f>IF(AND(ISNUMBER('Data'!$F$8038),'Data'!$F$8038&lt;&gt;999,'Data'!$F$8038&lt;&gt;""),'Data'!$F$8038,"")</f>
        <v/>
      </c>
      <c r="Z8037" t="n">
        <v>1</v>
      </c>
      <c r="AA8037">
        <f>IF(ISNUMBER('IN-CLASS_Lab Part C'!$J$8037),'IN-CLASS_Lab Part C'!$J$8037,NA())</f>
        <v/>
      </c>
    </row>
    <row r="8038">
      <c r="J8038">
        <f>IF(AND(ISNUMBER('Data'!$F$8039),'Data'!$F$8039&lt;&gt;999,'Data'!$F$8039&lt;&gt;""),'Data'!$F$8039,"")</f>
        <v/>
      </c>
      <c r="Z8038" t="n">
        <v>1</v>
      </c>
      <c r="AA8038">
        <f>IF(ISNUMBER('IN-CLASS_Lab Part C'!$J$8038),'IN-CLASS_Lab Part C'!$J$8038,NA())</f>
        <v/>
      </c>
    </row>
    <row r="8039">
      <c r="J8039">
        <f>IF(AND(ISNUMBER('Data'!$F$8040),'Data'!$F$8040&lt;&gt;999,'Data'!$F$8040&lt;&gt;""),'Data'!$F$8040,"")</f>
        <v/>
      </c>
      <c r="Z8039" t="n">
        <v>1</v>
      </c>
      <c r="AA8039">
        <f>IF(ISNUMBER('IN-CLASS_Lab Part C'!$J$8039),'IN-CLASS_Lab Part C'!$J$8039,NA())</f>
        <v/>
      </c>
    </row>
    <row r="8040">
      <c r="J8040">
        <f>IF(AND(ISNUMBER('Data'!$F$8041),'Data'!$F$8041&lt;&gt;999,'Data'!$F$8041&lt;&gt;""),'Data'!$F$8041,"")</f>
        <v/>
      </c>
      <c r="Z8040" t="n">
        <v>1</v>
      </c>
      <c r="AA8040">
        <f>IF(ISNUMBER('IN-CLASS_Lab Part C'!$J$8040),'IN-CLASS_Lab Part C'!$J$8040,NA())</f>
        <v/>
      </c>
    </row>
    <row r="8041">
      <c r="J8041">
        <f>IF(AND(ISNUMBER('Data'!$F$8042),'Data'!$F$8042&lt;&gt;999,'Data'!$F$8042&lt;&gt;""),'Data'!$F$8042,"")</f>
        <v/>
      </c>
      <c r="Z8041" t="n">
        <v>1</v>
      </c>
      <c r="AA8041">
        <f>IF(ISNUMBER('IN-CLASS_Lab Part C'!$J$8041),'IN-CLASS_Lab Part C'!$J$8041,NA())</f>
        <v/>
      </c>
    </row>
    <row r="8042">
      <c r="J8042">
        <f>IF(AND(ISNUMBER('Data'!$F$8043),'Data'!$F$8043&lt;&gt;999,'Data'!$F$8043&lt;&gt;""),'Data'!$F$8043,"")</f>
        <v/>
      </c>
      <c r="Z8042" t="n">
        <v>1</v>
      </c>
      <c r="AA8042">
        <f>IF(ISNUMBER('IN-CLASS_Lab Part C'!$J$8042),'IN-CLASS_Lab Part C'!$J$8042,NA())</f>
        <v/>
      </c>
    </row>
    <row r="8043">
      <c r="J8043">
        <f>IF(AND(ISNUMBER('Data'!$F$8044),'Data'!$F$8044&lt;&gt;999,'Data'!$F$8044&lt;&gt;""),'Data'!$F$8044,"")</f>
        <v/>
      </c>
      <c r="Z8043" t="n">
        <v>1</v>
      </c>
      <c r="AA8043">
        <f>IF(ISNUMBER('IN-CLASS_Lab Part C'!$J$8043),'IN-CLASS_Lab Part C'!$J$8043,NA())</f>
        <v/>
      </c>
    </row>
    <row r="8044">
      <c r="J8044">
        <f>IF(AND(ISNUMBER('Data'!$F$8045),'Data'!$F$8045&lt;&gt;999,'Data'!$F$8045&lt;&gt;""),'Data'!$F$8045,"")</f>
        <v/>
      </c>
      <c r="Z8044" t="n">
        <v>1</v>
      </c>
      <c r="AA8044">
        <f>IF(ISNUMBER('IN-CLASS_Lab Part C'!$J$8044),'IN-CLASS_Lab Part C'!$J$8044,NA())</f>
        <v/>
      </c>
    </row>
    <row r="8045">
      <c r="J8045">
        <f>IF(AND(ISNUMBER('Data'!$F$8046),'Data'!$F$8046&lt;&gt;999,'Data'!$F$8046&lt;&gt;""),'Data'!$F$8046,"")</f>
        <v/>
      </c>
      <c r="Z8045" t="n">
        <v>1</v>
      </c>
      <c r="AA8045">
        <f>IF(ISNUMBER('IN-CLASS_Lab Part C'!$J$8045),'IN-CLASS_Lab Part C'!$J$8045,NA())</f>
        <v/>
      </c>
    </row>
    <row r="8046">
      <c r="J8046">
        <f>IF(AND(ISNUMBER('Data'!$F$8047),'Data'!$F$8047&lt;&gt;999,'Data'!$F$8047&lt;&gt;""),'Data'!$F$8047,"")</f>
        <v/>
      </c>
      <c r="Z8046" t="n">
        <v>1</v>
      </c>
      <c r="AA8046">
        <f>IF(ISNUMBER('IN-CLASS_Lab Part C'!$J$8046),'IN-CLASS_Lab Part C'!$J$8046,NA())</f>
        <v/>
      </c>
    </row>
    <row r="8047">
      <c r="J8047">
        <f>IF(AND(ISNUMBER('Data'!$F$8048),'Data'!$F$8048&lt;&gt;999,'Data'!$F$8048&lt;&gt;""),'Data'!$F$8048,"")</f>
        <v/>
      </c>
      <c r="Z8047" t="n">
        <v>1</v>
      </c>
      <c r="AA8047">
        <f>IF(ISNUMBER('IN-CLASS_Lab Part C'!$J$8047),'IN-CLASS_Lab Part C'!$J$8047,NA())</f>
        <v/>
      </c>
    </row>
    <row r="8048">
      <c r="J8048">
        <f>IF(AND(ISNUMBER('Data'!$F$8049),'Data'!$F$8049&lt;&gt;999,'Data'!$F$8049&lt;&gt;""),'Data'!$F$8049,"")</f>
        <v/>
      </c>
      <c r="Z8048" t="n">
        <v>1</v>
      </c>
      <c r="AA8048">
        <f>IF(ISNUMBER('IN-CLASS_Lab Part C'!$J$8048),'IN-CLASS_Lab Part C'!$J$8048,NA())</f>
        <v/>
      </c>
    </row>
    <row r="8049">
      <c r="J8049">
        <f>IF(AND(ISNUMBER('Data'!$F$8050),'Data'!$F$8050&lt;&gt;999,'Data'!$F$8050&lt;&gt;""),'Data'!$F$8050,"")</f>
        <v/>
      </c>
      <c r="Z8049" t="n">
        <v>1</v>
      </c>
      <c r="AA8049">
        <f>IF(ISNUMBER('IN-CLASS_Lab Part C'!$J$8049),'IN-CLASS_Lab Part C'!$J$8049,NA())</f>
        <v/>
      </c>
    </row>
    <row r="8050">
      <c r="J8050">
        <f>IF(AND(ISNUMBER('Data'!$F$8051),'Data'!$F$8051&lt;&gt;999,'Data'!$F$8051&lt;&gt;""),'Data'!$F$8051,"")</f>
        <v/>
      </c>
      <c r="Z8050" t="n">
        <v>1</v>
      </c>
      <c r="AA8050">
        <f>IF(ISNUMBER('IN-CLASS_Lab Part C'!$J$8050),'IN-CLASS_Lab Part C'!$J$8050,NA())</f>
        <v/>
      </c>
    </row>
    <row r="8051">
      <c r="J8051">
        <f>IF(AND(ISNUMBER('Data'!$F$8052),'Data'!$F$8052&lt;&gt;999,'Data'!$F$8052&lt;&gt;""),'Data'!$F$8052,"")</f>
        <v/>
      </c>
      <c r="Z8051" t="n">
        <v>1</v>
      </c>
      <c r="AA8051">
        <f>IF(ISNUMBER('IN-CLASS_Lab Part C'!$J$8051),'IN-CLASS_Lab Part C'!$J$8051,NA())</f>
        <v/>
      </c>
    </row>
    <row r="8052">
      <c r="J8052">
        <f>IF(AND(ISNUMBER('Data'!$F$8053),'Data'!$F$8053&lt;&gt;999,'Data'!$F$8053&lt;&gt;""),'Data'!$F$8053,"")</f>
        <v/>
      </c>
      <c r="Z8052" t="n">
        <v>1</v>
      </c>
      <c r="AA8052">
        <f>IF(ISNUMBER('IN-CLASS_Lab Part C'!$J$8052),'IN-CLASS_Lab Part C'!$J$8052,NA())</f>
        <v/>
      </c>
    </row>
    <row r="8053">
      <c r="J8053">
        <f>IF(AND(ISNUMBER('Data'!$F$8054),'Data'!$F$8054&lt;&gt;999,'Data'!$F$8054&lt;&gt;""),'Data'!$F$8054,"")</f>
        <v/>
      </c>
      <c r="Z8053" t="n">
        <v>1</v>
      </c>
      <c r="AA8053">
        <f>IF(ISNUMBER('IN-CLASS_Lab Part C'!$J$8053),'IN-CLASS_Lab Part C'!$J$8053,NA())</f>
        <v/>
      </c>
    </row>
    <row r="8054">
      <c r="J8054">
        <f>IF(AND(ISNUMBER('Data'!$F$8055),'Data'!$F$8055&lt;&gt;999,'Data'!$F$8055&lt;&gt;""),'Data'!$F$8055,"")</f>
        <v/>
      </c>
      <c r="Z8054" t="n">
        <v>1</v>
      </c>
      <c r="AA8054">
        <f>IF(ISNUMBER('IN-CLASS_Lab Part C'!$J$8054),'IN-CLASS_Lab Part C'!$J$8054,NA())</f>
        <v/>
      </c>
    </row>
    <row r="8055">
      <c r="J8055">
        <f>IF(AND(ISNUMBER('Data'!$F$8056),'Data'!$F$8056&lt;&gt;999,'Data'!$F$8056&lt;&gt;""),'Data'!$F$8056,"")</f>
        <v/>
      </c>
      <c r="Z8055" t="n">
        <v>1</v>
      </c>
      <c r="AA8055">
        <f>IF(ISNUMBER('IN-CLASS_Lab Part C'!$J$8055),'IN-CLASS_Lab Part C'!$J$8055,NA())</f>
        <v/>
      </c>
    </row>
    <row r="8056">
      <c r="J8056">
        <f>IF(AND(ISNUMBER('Data'!$F$8057),'Data'!$F$8057&lt;&gt;999,'Data'!$F$8057&lt;&gt;""),'Data'!$F$8057,"")</f>
        <v/>
      </c>
      <c r="Z8056" t="n">
        <v>1</v>
      </c>
      <c r="AA8056">
        <f>IF(ISNUMBER('IN-CLASS_Lab Part C'!$J$8056),'IN-CLASS_Lab Part C'!$J$8056,NA())</f>
        <v/>
      </c>
    </row>
    <row r="8057">
      <c r="J8057">
        <f>IF(AND(ISNUMBER('Data'!$F$8058),'Data'!$F$8058&lt;&gt;999,'Data'!$F$8058&lt;&gt;""),'Data'!$F$8058,"")</f>
        <v/>
      </c>
      <c r="Z8057" t="n">
        <v>1</v>
      </c>
      <c r="AA8057">
        <f>IF(ISNUMBER('IN-CLASS_Lab Part C'!$J$8057),'IN-CLASS_Lab Part C'!$J$8057,NA())</f>
        <v/>
      </c>
    </row>
    <row r="8058">
      <c r="J8058">
        <f>IF(AND(ISNUMBER('Data'!$F$8059),'Data'!$F$8059&lt;&gt;999,'Data'!$F$8059&lt;&gt;""),'Data'!$F$8059,"")</f>
        <v/>
      </c>
      <c r="Z8058" t="n">
        <v>1</v>
      </c>
      <c r="AA8058">
        <f>IF(ISNUMBER('IN-CLASS_Lab Part C'!$J$8058),'IN-CLASS_Lab Part C'!$J$8058,NA())</f>
        <v/>
      </c>
    </row>
    <row r="8059">
      <c r="J8059">
        <f>IF(AND(ISNUMBER('Data'!$F$8060),'Data'!$F$8060&lt;&gt;999,'Data'!$F$8060&lt;&gt;""),'Data'!$F$8060,"")</f>
        <v/>
      </c>
      <c r="Z8059" t="n">
        <v>1</v>
      </c>
      <c r="AA8059">
        <f>IF(ISNUMBER('IN-CLASS_Lab Part C'!$J$8059),'IN-CLASS_Lab Part C'!$J$8059,NA())</f>
        <v/>
      </c>
    </row>
    <row r="8060">
      <c r="J8060">
        <f>IF(AND(ISNUMBER('Data'!$F$8061),'Data'!$F$8061&lt;&gt;999,'Data'!$F$8061&lt;&gt;""),'Data'!$F$8061,"")</f>
        <v/>
      </c>
      <c r="Z8060" t="n">
        <v>1</v>
      </c>
      <c r="AA8060">
        <f>IF(ISNUMBER('IN-CLASS_Lab Part C'!$J$8060),'IN-CLASS_Lab Part C'!$J$8060,NA())</f>
        <v/>
      </c>
    </row>
    <row r="8061">
      <c r="J8061">
        <f>IF(AND(ISNUMBER('Data'!$F$8062),'Data'!$F$8062&lt;&gt;999,'Data'!$F$8062&lt;&gt;""),'Data'!$F$8062,"")</f>
        <v/>
      </c>
      <c r="Z8061" t="n">
        <v>1</v>
      </c>
      <c r="AA8061">
        <f>IF(ISNUMBER('IN-CLASS_Lab Part C'!$J$8061),'IN-CLASS_Lab Part C'!$J$8061,NA())</f>
        <v/>
      </c>
    </row>
    <row r="8062">
      <c r="J8062">
        <f>IF(AND(ISNUMBER('Data'!$F$8063),'Data'!$F$8063&lt;&gt;999,'Data'!$F$8063&lt;&gt;""),'Data'!$F$8063,"")</f>
        <v/>
      </c>
      <c r="Z8062" t="n">
        <v>1</v>
      </c>
      <c r="AA8062">
        <f>IF(ISNUMBER('IN-CLASS_Lab Part C'!$J$8062),'IN-CLASS_Lab Part C'!$J$8062,NA())</f>
        <v/>
      </c>
    </row>
    <row r="8063">
      <c r="J8063">
        <f>IF(AND(ISNUMBER('Data'!$F$8064),'Data'!$F$8064&lt;&gt;999,'Data'!$F$8064&lt;&gt;""),'Data'!$F$8064,"")</f>
        <v/>
      </c>
      <c r="Z8063" t="n">
        <v>1</v>
      </c>
      <c r="AA8063">
        <f>IF(ISNUMBER('IN-CLASS_Lab Part C'!$J$8063),'IN-CLASS_Lab Part C'!$J$8063,NA())</f>
        <v/>
      </c>
    </row>
    <row r="8064">
      <c r="J8064">
        <f>IF(AND(ISNUMBER('Data'!$F$8065),'Data'!$F$8065&lt;&gt;999,'Data'!$F$8065&lt;&gt;""),'Data'!$F$8065,"")</f>
        <v/>
      </c>
      <c r="Z8064" t="n">
        <v>1</v>
      </c>
      <c r="AA8064">
        <f>IF(ISNUMBER('IN-CLASS_Lab Part C'!$J$8064),'IN-CLASS_Lab Part C'!$J$8064,NA())</f>
        <v/>
      </c>
    </row>
    <row r="8065">
      <c r="J8065">
        <f>IF(AND(ISNUMBER('Data'!$F$8066),'Data'!$F$8066&lt;&gt;999,'Data'!$F$8066&lt;&gt;""),'Data'!$F$8066,"")</f>
        <v/>
      </c>
      <c r="Z8065" t="n">
        <v>1</v>
      </c>
      <c r="AA8065">
        <f>IF(ISNUMBER('IN-CLASS_Lab Part C'!$J$8065),'IN-CLASS_Lab Part C'!$J$8065,NA())</f>
        <v/>
      </c>
    </row>
    <row r="8066">
      <c r="J8066">
        <f>IF(AND(ISNUMBER('Data'!$F$8067),'Data'!$F$8067&lt;&gt;999,'Data'!$F$8067&lt;&gt;""),'Data'!$F$8067,"")</f>
        <v/>
      </c>
      <c r="Z8066" t="n">
        <v>1</v>
      </c>
      <c r="AA8066">
        <f>IF(ISNUMBER('IN-CLASS_Lab Part C'!$J$8066),'IN-CLASS_Lab Part C'!$J$8066,NA())</f>
        <v/>
      </c>
    </row>
    <row r="8067">
      <c r="J8067">
        <f>IF(AND(ISNUMBER('Data'!$F$8068),'Data'!$F$8068&lt;&gt;999,'Data'!$F$8068&lt;&gt;""),'Data'!$F$8068,"")</f>
        <v/>
      </c>
      <c r="Z8067" t="n">
        <v>1</v>
      </c>
      <c r="AA8067">
        <f>IF(ISNUMBER('IN-CLASS_Lab Part C'!$J$8067),'IN-CLASS_Lab Part C'!$J$8067,NA())</f>
        <v/>
      </c>
    </row>
    <row r="8068">
      <c r="J8068">
        <f>IF(AND(ISNUMBER('Data'!$F$8069),'Data'!$F$8069&lt;&gt;999,'Data'!$F$8069&lt;&gt;""),'Data'!$F$8069,"")</f>
        <v/>
      </c>
      <c r="Z8068" t="n">
        <v>1</v>
      </c>
      <c r="AA8068">
        <f>IF(ISNUMBER('IN-CLASS_Lab Part C'!$J$8068),'IN-CLASS_Lab Part C'!$J$8068,NA())</f>
        <v/>
      </c>
    </row>
    <row r="8069">
      <c r="J8069">
        <f>IF(AND(ISNUMBER('Data'!$F$8070),'Data'!$F$8070&lt;&gt;999,'Data'!$F$8070&lt;&gt;""),'Data'!$F$8070,"")</f>
        <v/>
      </c>
      <c r="Z8069" t="n">
        <v>1</v>
      </c>
      <c r="AA8069">
        <f>IF(ISNUMBER('IN-CLASS_Lab Part C'!$J$8069),'IN-CLASS_Lab Part C'!$J$8069,NA())</f>
        <v/>
      </c>
    </row>
    <row r="8070">
      <c r="J8070">
        <f>IF(AND(ISNUMBER('Data'!$F$8071),'Data'!$F$8071&lt;&gt;999,'Data'!$F$8071&lt;&gt;""),'Data'!$F$8071,"")</f>
        <v/>
      </c>
      <c r="Z8070" t="n">
        <v>1</v>
      </c>
      <c r="AA8070">
        <f>IF(ISNUMBER('IN-CLASS_Lab Part C'!$J$8070),'IN-CLASS_Lab Part C'!$J$8070,NA())</f>
        <v/>
      </c>
    </row>
    <row r="8071">
      <c r="J8071">
        <f>IF(AND(ISNUMBER('Data'!$F$8072),'Data'!$F$8072&lt;&gt;999,'Data'!$F$8072&lt;&gt;""),'Data'!$F$8072,"")</f>
        <v/>
      </c>
      <c r="Z8071" t="n">
        <v>1</v>
      </c>
      <c r="AA8071">
        <f>IF(ISNUMBER('IN-CLASS_Lab Part C'!$J$8071),'IN-CLASS_Lab Part C'!$J$8071,NA())</f>
        <v/>
      </c>
    </row>
    <row r="8072">
      <c r="J8072">
        <f>IF(AND(ISNUMBER('Data'!$F$8073),'Data'!$F$8073&lt;&gt;999,'Data'!$F$8073&lt;&gt;""),'Data'!$F$8073,"")</f>
        <v/>
      </c>
      <c r="Z8072" t="n">
        <v>1</v>
      </c>
      <c r="AA8072">
        <f>IF(ISNUMBER('IN-CLASS_Lab Part C'!$J$8072),'IN-CLASS_Lab Part C'!$J$8072,NA())</f>
        <v/>
      </c>
    </row>
    <row r="8073">
      <c r="J8073">
        <f>IF(AND(ISNUMBER('Data'!$F$8074),'Data'!$F$8074&lt;&gt;999,'Data'!$F$8074&lt;&gt;""),'Data'!$F$8074,"")</f>
        <v/>
      </c>
      <c r="Z8073" t="n">
        <v>1</v>
      </c>
      <c r="AA8073">
        <f>IF(ISNUMBER('IN-CLASS_Lab Part C'!$J$8073),'IN-CLASS_Lab Part C'!$J$8073,NA())</f>
        <v/>
      </c>
    </row>
    <row r="8074">
      <c r="J8074">
        <f>IF(AND(ISNUMBER('Data'!$F$8075),'Data'!$F$8075&lt;&gt;999,'Data'!$F$8075&lt;&gt;""),'Data'!$F$8075,"")</f>
        <v/>
      </c>
      <c r="Z8074" t="n">
        <v>1</v>
      </c>
      <c r="AA8074">
        <f>IF(ISNUMBER('IN-CLASS_Lab Part C'!$J$8074),'IN-CLASS_Lab Part C'!$J$8074,NA())</f>
        <v/>
      </c>
    </row>
    <row r="8075">
      <c r="J8075">
        <f>IF(AND(ISNUMBER('Data'!$F$8076),'Data'!$F$8076&lt;&gt;999,'Data'!$F$8076&lt;&gt;""),'Data'!$F$8076,"")</f>
        <v/>
      </c>
      <c r="Z8075" t="n">
        <v>1</v>
      </c>
      <c r="AA8075">
        <f>IF(ISNUMBER('IN-CLASS_Lab Part C'!$J$8075),'IN-CLASS_Lab Part C'!$J$8075,NA())</f>
        <v/>
      </c>
    </row>
    <row r="8076">
      <c r="J8076">
        <f>IF(AND(ISNUMBER('Data'!$F$8077),'Data'!$F$8077&lt;&gt;999,'Data'!$F$8077&lt;&gt;""),'Data'!$F$8077,"")</f>
        <v/>
      </c>
      <c r="Z8076" t="n">
        <v>1</v>
      </c>
      <c r="AA8076">
        <f>IF(ISNUMBER('IN-CLASS_Lab Part C'!$J$8076),'IN-CLASS_Lab Part C'!$J$8076,NA())</f>
        <v/>
      </c>
    </row>
    <row r="8077">
      <c r="J8077">
        <f>IF(AND(ISNUMBER('Data'!$F$8078),'Data'!$F$8078&lt;&gt;999,'Data'!$F$8078&lt;&gt;""),'Data'!$F$8078,"")</f>
        <v/>
      </c>
      <c r="Z8077" t="n">
        <v>1</v>
      </c>
      <c r="AA8077">
        <f>IF(ISNUMBER('IN-CLASS_Lab Part C'!$J$8077),'IN-CLASS_Lab Part C'!$J$8077,NA())</f>
        <v/>
      </c>
    </row>
    <row r="8078">
      <c r="J8078">
        <f>IF(AND(ISNUMBER('Data'!$F$8079),'Data'!$F$8079&lt;&gt;999,'Data'!$F$8079&lt;&gt;""),'Data'!$F$8079,"")</f>
        <v/>
      </c>
      <c r="Z8078" t="n">
        <v>1</v>
      </c>
      <c r="AA8078">
        <f>IF(ISNUMBER('IN-CLASS_Lab Part C'!$J$8078),'IN-CLASS_Lab Part C'!$J$8078,NA())</f>
        <v/>
      </c>
    </row>
    <row r="8079">
      <c r="J8079">
        <f>IF(AND(ISNUMBER('Data'!$F$8080),'Data'!$F$8080&lt;&gt;999,'Data'!$F$8080&lt;&gt;""),'Data'!$F$8080,"")</f>
        <v/>
      </c>
      <c r="Z8079" t="n">
        <v>1</v>
      </c>
      <c r="AA8079">
        <f>IF(ISNUMBER('IN-CLASS_Lab Part C'!$J$8079),'IN-CLASS_Lab Part C'!$J$8079,NA())</f>
        <v/>
      </c>
    </row>
    <row r="8080">
      <c r="J8080">
        <f>IF(AND(ISNUMBER('Data'!$F$8081),'Data'!$F$8081&lt;&gt;999,'Data'!$F$8081&lt;&gt;""),'Data'!$F$8081,"")</f>
        <v/>
      </c>
      <c r="Z8080" t="n">
        <v>1</v>
      </c>
      <c r="AA8080">
        <f>IF(ISNUMBER('IN-CLASS_Lab Part C'!$J$8080),'IN-CLASS_Lab Part C'!$J$8080,NA())</f>
        <v/>
      </c>
    </row>
    <row r="8081">
      <c r="J8081">
        <f>IF(AND(ISNUMBER('Data'!$F$8082),'Data'!$F$8082&lt;&gt;999,'Data'!$F$8082&lt;&gt;""),'Data'!$F$8082,"")</f>
        <v/>
      </c>
      <c r="Z8081" t="n">
        <v>1</v>
      </c>
      <c r="AA8081">
        <f>IF(ISNUMBER('IN-CLASS_Lab Part C'!$J$8081),'IN-CLASS_Lab Part C'!$J$8081,NA())</f>
        <v/>
      </c>
    </row>
    <row r="8082">
      <c r="J8082">
        <f>IF(AND(ISNUMBER('Data'!$F$8083),'Data'!$F$8083&lt;&gt;999,'Data'!$F$8083&lt;&gt;""),'Data'!$F$8083,"")</f>
        <v/>
      </c>
      <c r="Z8082" t="n">
        <v>1</v>
      </c>
      <c r="AA8082">
        <f>IF(ISNUMBER('IN-CLASS_Lab Part C'!$J$8082),'IN-CLASS_Lab Part C'!$J$8082,NA())</f>
        <v/>
      </c>
    </row>
    <row r="8083">
      <c r="J8083">
        <f>IF(AND(ISNUMBER('Data'!$F$8084),'Data'!$F$8084&lt;&gt;999,'Data'!$F$8084&lt;&gt;""),'Data'!$F$8084,"")</f>
        <v/>
      </c>
      <c r="Z8083" t="n">
        <v>1</v>
      </c>
      <c r="AA8083">
        <f>IF(ISNUMBER('IN-CLASS_Lab Part C'!$J$8083),'IN-CLASS_Lab Part C'!$J$8083,NA())</f>
        <v/>
      </c>
    </row>
    <row r="8084">
      <c r="J8084">
        <f>IF(AND(ISNUMBER('Data'!$F$8085),'Data'!$F$8085&lt;&gt;999,'Data'!$F$8085&lt;&gt;""),'Data'!$F$8085,"")</f>
        <v/>
      </c>
      <c r="Z8084" t="n">
        <v>1</v>
      </c>
      <c r="AA8084">
        <f>IF(ISNUMBER('IN-CLASS_Lab Part C'!$J$8084),'IN-CLASS_Lab Part C'!$J$8084,NA())</f>
        <v/>
      </c>
    </row>
    <row r="8085">
      <c r="J8085">
        <f>IF(AND(ISNUMBER('Data'!$F$8086),'Data'!$F$8086&lt;&gt;999,'Data'!$F$8086&lt;&gt;""),'Data'!$F$8086,"")</f>
        <v/>
      </c>
      <c r="Z8085" t="n">
        <v>1</v>
      </c>
      <c r="AA8085">
        <f>IF(ISNUMBER('IN-CLASS_Lab Part C'!$J$8085),'IN-CLASS_Lab Part C'!$J$8085,NA())</f>
        <v/>
      </c>
    </row>
    <row r="8086">
      <c r="J8086">
        <f>IF(AND(ISNUMBER('Data'!$F$8087),'Data'!$F$8087&lt;&gt;999,'Data'!$F$8087&lt;&gt;""),'Data'!$F$8087,"")</f>
        <v/>
      </c>
      <c r="Z8086" t="n">
        <v>1</v>
      </c>
      <c r="AA8086">
        <f>IF(ISNUMBER('IN-CLASS_Lab Part C'!$J$8086),'IN-CLASS_Lab Part C'!$J$8086,NA())</f>
        <v/>
      </c>
    </row>
    <row r="8087">
      <c r="J8087">
        <f>IF(AND(ISNUMBER('Data'!$F$8088),'Data'!$F$8088&lt;&gt;999,'Data'!$F$8088&lt;&gt;""),'Data'!$F$8088,"")</f>
        <v/>
      </c>
      <c r="Z8087" t="n">
        <v>1</v>
      </c>
      <c r="AA8087">
        <f>IF(ISNUMBER('IN-CLASS_Lab Part C'!$J$8087),'IN-CLASS_Lab Part C'!$J$8087,NA())</f>
        <v/>
      </c>
    </row>
    <row r="8088">
      <c r="J8088">
        <f>IF(AND(ISNUMBER('Data'!$F$8089),'Data'!$F$8089&lt;&gt;999,'Data'!$F$8089&lt;&gt;""),'Data'!$F$8089,"")</f>
        <v/>
      </c>
      <c r="Z8088" t="n">
        <v>1</v>
      </c>
      <c r="AA8088">
        <f>IF(ISNUMBER('IN-CLASS_Lab Part C'!$J$8088),'IN-CLASS_Lab Part C'!$J$8088,NA())</f>
        <v/>
      </c>
    </row>
    <row r="8089">
      <c r="J8089">
        <f>IF(AND(ISNUMBER('Data'!$F$8090),'Data'!$F$8090&lt;&gt;999,'Data'!$F$8090&lt;&gt;""),'Data'!$F$8090,"")</f>
        <v/>
      </c>
      <c r="Z8089" t="n">
        <v>1</v>
      </c>
      <c r="AA8089">
        <f>IF(ISNUMBER('IN-CLASS_Lab Part C'!$J$8089),'IN-CLASS_Lab Part C'!$J$8089,NA())</f>
        <v/>
      </c>
    </row>
    <row r="8090">
      <c r="J8090">
        <f>IF(AND(ISNUMBER('Data'!$F$8091),'Data'!$F$8091&lt;&gt;999,'Data'!$F$8091&lt;&gt;""),'Data'!$F$8091,"")</f>
        <v/>
      </c>
      <c r="Z8090" t="n">
        <v>1</v>
      </c>
      <c r="AA8090">
        <f>IF(ISNUMBER('IN-CLASS_Lab Part C'!$J$8090),'IN-CLASS_Lab Part C'!$J$8090,NA())</f>
        <v/>
      </c>
    </row>
    <row r="8091">
      <c r="J8091">
        <f>IF(AND(ISNUMBER('Data'!$F$8092),'Data'!$F$8092&lt;&gt;999,'Data'!$F$8092&lt;&gt;""),'Data'!$F$8092,"")</f>
        <v/>
      </c>
      <c r="Z8091" t="n">
        <v>1</v>
      </c>
      <c r="AA8091">
        <f>IF(ISNUMBER('IN-CLASS_Lab Part C'!$J$8091),'IN-CLASS_Lab Part C'!$J$8091,NA())</f>
        <v/>
      </c>
    </row>
    <row r="8092">
      <c r="J8092">
        <f>IF(AND(ISNUMBER('Data'!$F$8093),'Data'!$F$8093&lt;&gt;999,'Data'!$F$8093&lt;&gt;""),'Data'!$F$8093,"")</f>
        <v/>
      </c>
      <c r="Z8092" t="n">
        <v>1</v>
      </c>
      <c r="AA8092">
        <f>IF(ISNUMBER('IN-CLASS_Lab Part C'!$J$8092),'IN-CLASS_Lab Part C'!$J$8092,NA())</f>
        <v/>
      </c>
    </row>
    <row r="8093">
      <c r="J8093">
        <f>IF(AND(ISNUMBER('Data'!$F$8094),'Data'!$F$8094&lt;&gt;999,'Data'!$F$8094&lt;&gt;""),'Data'!$F$8094,"")</f>
        <v/>
      </c>
      <c r="Z8093" t="n">
        <v>1</v>
      </c>
      <c r="AA8093">
        <f>IF(ISNUMBER('IN-CLASS_Lab Part C'!$J$8093),'IN-CLASS_Lab Part C'!$J$8093,NA())</f>
        <v/>
      </c>
    </row>
    <row r="8094">
      <c r="J8094">
        <f>IF(AND(ISNUMBER('Data'!$F$8095),'Data'!$F$8095&lt;&gt;999,'Data'!$F$8095&lt;&gt;""),'Data'!$F$8095,"")</f>
        <v/>
      </c>
      <c r="Z8094" t="n">
        <v>1</v>
      </c>
      <c r="AA8094">
        <f>IF(ISNUMBER('IN-CLASS_Lab Part C'!$J$8094),'IN-CLASS_Lab Part C'!$J$8094,NA())</f>
        <v/>
      </c>
    </row>
    <row r="8095">
      <c r="J8095">
        <f>IF(AND(ISNUMBER('Data'!$F$8096),'Data'!$F$8096&lt;&gt;999,'Data'!$F$8096&lt;&gt;""),'Data'!$F$8096,"")</f>
        <v/>
      </c>
      <c r="Z8095" t="n">
        <v>1</v>
      </c>
      <c r="AA8095">
        <f>IF(ISNUMBER('IN-CLASS_Lab Part C'!$J$8095),'IN-CLASS_Lab Part C'!$J$8095,NA())</f>
        <v/>
      </c>
    </row>
    <row r="8096">
      <c r="J8096">
        <f>IF(AND(ISNUMBER('Data'!$F$8097),'Data'!$F$8097&lt;&gt;999,'Data'!$F$8097&lt;&gt;""),'Data'!$F$8097,"")</f>
        <v/>
      </c>
      <c r="Z8096" t="n">
        <v>1</v>
      </c>
      <c r="AA8096">
        <f>IF(ISNUMBER('IN-CLASS_Lab Part C'!$J$8096),'IN-CLASS_Lab Part C'!$J$8096,NA())</f>
        <v/>
      </c>
    </row>
    <row r="8097">
      <c r="J8097">
        <f>IF(AND(ISNUMBER('Data'!$F$8098),'Data'!$F$8098&lt;&gt;999,'Data'!$F$8098&lt;&gt;""),'Data'!$F$8098,"")</f>
        <v/>
      </c>
      <c r="Z8097" t="n">
        <v>1</v>
      </c>
      <c r="AA8097">
        <f>IF(ISNUMBER('IN-CLASS_Lab Part C'!$J$8097),'IN-CLASS_Lab Part C'!$J$8097,NA())</f>
        <v/>
      </c>
    </row>
    <row r="8098">
      <c r="J8098">
        <f>IF(AND(ISNUMBER('Data'!$F$8099),'Data'!$F$8099&lt;&gt;999,'Data'!$F$8099&lt;&gt;""),'Data'!$F$8099,"")</f>
        <v/>
      </c>
      <c r="Z8098" t="n">
        <v>1</v>
      </c>
      <c r="AA8098">
        <f>IF(ISNUMBER('IN-CLASS_Lab Part C'!$J$8098),'IN-CLASS_Lab Part C'!$J$8098,NA())</f>
        <v/>
      </c>
    </row>
    <row r="8099">
      <c r="J8099">
        <f>IF(AND(ISNUMBER('Data'!$F$8100),'Data'!$F$8100&lt;&gt;999,'Data'!$F$8100&lt;&gt;""),'Data'!$F$8100,"")</f>
        <v/>
      </c>
      <c r="Z8099" t="n">
        <v>1</v>
      </c>
      <c r="AA8099">
        <f>IF(ISNUMBER('IN-CLASS_Lab Part C'!$J$8099),'IN-CLASS_Lab Part C'!$J$8099,NA())</f>
        <v/>
      </c>
    </row>
    <row r="8100">
      <c r="J8100">
        <f>IF(AND(ISNUMBER('Data'!$F$8101),'Data'!$F$8101&lt;&gt;999,'Data'!$F$8101&lt;&gt;""),'Data'!$F$8101,"")</f>
        <v/>
      </c>
      <c r="Z8100" t="n">
        <v>1</v>
      </c>
      <c r="AA8100">
        <f>IF(ISNUMBER('IN-CLASS_Lab Part C'!$J$8100),'IN-CLASS_Lab Part C'!$J$8100,NA())</f>
        <v/>
      </c>
    </row>
    <row r="8101">
      <c r="J8101">
        <f>IF(AND(ISNUMBER('Data'!$F$8102),'Data'!$F$8102&lt;&gt;999,'Data'!$F$8102&lt;&gt;""),'Data'!$F$8102,"")</f>
        <v/>
      </c>
      <c r="Z8101" t="n">
        <v>1</v>
      </c>
      <c r="AA8101">
        <f>IF(ISNUMBER('IN-CLASS_Lab Part C'!$J$8101),'IN-CLASS_Lab Part C'!$J$8101,NA())</f>
        <v/>
      </c>
    </row>
    <row r="8102">
      <c r="J8102">
        <f>IF(AND(ISNUMBER('Data'!$F$8103),'Data'!$F$8103&lt;&gt;999,'Data'!$F$8103&lt;&gt;""),'Data'!$F$8103,"")</f>
        <v/>
      </c>
      <c r="Z8102" t="n">
        <v>1</v>
      </c>
      <c r="AA8102">
        <f>IF(ISNUMBER('IN-CLASS_Lab Part C'!$J$8102),'IN-CLASS_Lab Part C'!$J$8102,NA())</f>
        <v/>
      </c>
    </row>
    <row r="8103">
      <c r="J8103">
        <f>IF(AND(ISNUMBER('Data'!$F$8104),'Data'!$F$8104&lt;&gt;999,'Data'!$F$8104&lt;&gt;""),'Data'!$F$8104,"")</f>
        <v/>
      </c>
      <c r="Z8103" t="n">
        <v>1</v>
      </c>
      <c r="AA8103">
        <f>IF(ISNUMBER('IN-CLASS_Lab Part C'!$J$8103),'IN-CLASS_Lab Part C'!$J$8103,NA())</f>
        <v/>
      </c>
    </row>
    <row r="8104">
      <c r="J8104">
        <f>IF(AND(ISNUMBER('Data'!$F$8105),'Data'!$F$8105&lt;&gt;999,'Data'!$F$8105&lt;&gt;""),'Data'!$F$8105,"")</f>
        <v/>
      </c>
      <c r="Z8104" t="n">
        <v>1</v>
      </c>
      <c r="AA8104">
        <f>IF(ISNUMBER('IN-CLASS_Lab Part C'!$J$8104),'IN-CLASS_Lab Part C'!$J$8104,NA())</f>
        <v/>
      </c>
    </row>
    <row r="8105">
      <c r="J8105">
        <f>IF(AND(ISNUMBER('Data'!$F$8106),'Data'!$F$8106&lt;&gt;999,'Data'!$F$8106&lt;&gt;""),'Data'!$F$8106,"")</f>
        <v/>
      </c>
      <c r="Z8105" t="n">
        <v>1</v>
      </c>
      <c r="AA8105">
        <f>IF(ISNUMBER('IN-CLASS_Lab Part C'!$J$8105),'IN-CLASS_Lab Part C'!$J$8105,NA())</f>
        <v/>
      </c>
    </row>
    <row r="8106">
      <c r="J8106">
        <f>IF(AND(ISNUMBER('Data'!$F$8107),'Data'!$F$8107&lt;&gt;999,'Data'!$F$8107&lt;&gt;""),'Data'!$F$8107,"")</f>
        <v/>
      </c>
      <c r="Z8106" t="n">
        <v>1</v>
      </c>
      <c r="AA8106">
        <f>IF(ISNUMBER('IN-CLASS_Lab Part C'!$J$8106),'IN-CLASS_Lab Part C'!$J$8106,NA())</f>
        <v/>
      </c>
    </row>
    <row r="8107">
      <c r="J8107">
        <f>IF(AND(ISNUMBER('Data'!$F$8108),'Data'!$F$8108&lt;&gt;999,'Data'!$F$8108&lt;&gt;""),'Data'!$F$8108,"")</f>
        <v/>
      </c>
      <c r="Z8107" t="n">
        <v>1</v>
      </c>
      <c r="AA8107">
        <f>IF(ISNUMBER('IN-CLASS_Lab Part C'!$J$8107),'IN-CLASS_Lab Part C'!$J$8107,NA())</f>
        <v/>
      </c>
    </row>
    <row r="8108">
      <c r="J8108">
        <f>IF(AND(ISNUMBER('Data'!$F$8109),'Data'!$F$8109&lt;&gt;999,'Data'!$F$8109&lt;&gt;""),'Data'!$F$8109,"")</f>
        <v/>
      </c>
      <c r="Z8108" t="n">
        <v>1</v>
      </c>
      <c r="AA8108">
        <f>IF(ISNUMBER('IN-CLASS_Lab Part C'!$J$8108),'IN-CLASS_Lab Part C'!$J$8108,NA())</f>
        <v/>
      </c>
    </row>
    <row r="8109">
      <c r="J8109">
        <f>IF(AND(ISNUMBER('Data'!$F$8110),'Data'!$F$8110&lt;&gt;999,'Data'!$F$8110&lt;&gt;""),'Data'!$F$8110,"")</f>
        <v/>
      </c>
      <c r="Z8109" t="n">
        <v>1</v>
      </c>
      <c r="AA8109">
        <f>IF(ISNUMBER('IN-CLASS_Lab Part C'!$J$8109),'IN-CLASS_Lab Part C'!$J$8109,NA())</f>
        <v/>
      </c>
    </row>
    <row r="8110">
      <c r="J8110">
        <f>IF(AND(ISNUMBER('Data'!$F$8111),'Data'!$F$8111&lt;&gt;999,'Data'!$F$8111&lt;&gt;""),'Data'!$F$8111,"")</f>
        <v/>
      </c>
      <c r="Z8110" t="n">
        <v>1</v>
      </c>
      <c r="AA8110">
        <f>IF(ISNUMBER('IN-CLASS_Lab Part C'!$J$8110),'IN-CLASS_Lab Part C'!$J$8110,NA())</f>
        <v/>
      </c>
    </row>
    <row r="8111">
      <c r="J8111">
        <f>IF(AND(ISNUMBER('Data'!$F$8112),'Data'!$F$8112&lt;&gt;999,'Data'!$F$8112&lt;&gt;""),'Data'!$F$8112,"")</f>
        <v/>
      </c>
      <c r="Z8111" t="n">
        <v>1</v>
      </c>
      <c r="AA8111">
        <f>IF(ISNUMBER('IN-CLASS_Lab Part C'!$J$8111),'IN-CLASS_Lab Part C'!$J$8111,NA())</f>
        <v/>
      </c>
    </row>
    <row r="8112">
      <c r="J8112">
        <f>IF(AND(ISNUMBER('Data'!$F$8113),'Data'!$F$8113&lt;&gt;999,'Data'!$F$8113&lt;&gt;""),'Data'!$F$8113,"")</f>
        <v/>
      </c>
      <c r="Z8112" t="n">
        <v>1</v>
      </c>
      <c r="AA8112">
        <f>IF(ISNUMBER('IN-CLASS_Lab Part C'!$J$8112),'IN-CLASS_Lab Part C'!$J$8112,NA())</f>
        <v/>
      </c>
    </row>
    <row r="8113">
      <c r="J8113">
        <f>IF(AND(ISNUMBER('Data'!$F$8114),'Data'!$F$8114&lt;&gt;999,'Data'!$F$8114&lt;&gt;""),'Data'!$F$8114,"")</f>
        <v/>
      </c>
      <c r="Z8113" t="n">
        <v>1</v>
      </c>
      <c r="AA8113">
        <f>IF(ISNUMBER('IN-CLASS_Lab Part C'!$J$8113),'IN-CLASS_Lab Part C'!$J$8113,NA())</f>
        <v/>
      </c>
    </row>
    <row r="8114">
      <c r="J8114">
        <f>IF(AND(ISNUMBER('Data'!$F$8115),'Data'!$F$8115&lt;&gt;999,'Data'!$F$8115&lt;&gt;""),'Data'!$F$8115,"")</f>
        <v/>
      </c>
      <c r="Z8114" t="n">
        <v>1</v>
      </c>
      <c r="AA8114">
        <f>IF(ISNUMBER('IN-CLASS_Lab Part C'!$J$8114),'IN-CLASS_Lab Part C'!$J$8114,NA())</f>
        <v/>
      </c>
    </row>
    <row r="8115">
      <c r="J8115">
        <f>IF(AND(ISNUMBER('Data'!$F$8116),'Data'!$F$8116&lt;&gt;999,'Data'!$F$8116&lt;&gt;""),'Data'!$F$8116,"")</f>
        <v/>
      </c>
      <c r="Z8115" t="n">
        <v>1</v>
      </c>
      <c r="AA8115">
        <f>IF(ISNUMBER('IN-CLASS_Lab Part C'!$J$8115),'IN-CLASS_Lab Part C'!$J$8115,NA())</f>
        <v/>
      </c>
    </row>
    <row r="8116">
      <c r="J8116">
        <f>IF(AND(ISNUMBER('Data'!$F$8117),'Data'!$F$8117&lt;&gt;999,'Data'!$F$8117&lt;&gt;""),'Data'!$F$8117,"")</f>
        <v/>
      </c>
      <c r="Z8116" t="n">
        <v>1</v>
      </c>
      <c r="AA8116">
        <f>IF(ISNUMBER('IN-CLASS_Lab Part C'!$J$8116),'IN-CLASS_Lab Part C'!$J$8116,NA())</f>
        <v/>
      </c>
    </row>
    <row r="8117">
      <c r="J8117">
        <f>IF(AND(ISNUMBER('Data'!$F$8118),'Data'!$F$8118&lt;&gt;999,'Data'!$F$8118&lt;&gt;""),'Data'!$F$8118,"")</f>
        <v/>
      </c>
      <c r="Z8117" t="n">
        <v>1</v>
      </c>
      <c r="AA8117">
        <f>IF(ISNUMBER('IN-CLASS_Lab Part C'!$J$8117),'IN-CLASS_Lab Part C'!$J$8117,NA())</f>
        <v/>
      </c>
    </row>
    <row r="8118">
      <c r="J8118">
        <f>IF(AND(ISNUMBER('Data'!$F$8119),'Data'!$F$8119&lt;&gt;999,'Data'!$F$8119&lt;&gt;""),'Data'!$F$8119,"")</f>
        <v/>
      </c>
      <c r="Z8118" t="n">
        <v>1</v>
      </c>
      <c r="AA8118">
        <f>IF(ISNUMBER('IN-CLASS_Lab Part C'!$J$8118),'IN-CLASS_Lab Part C'!$J$8118,NA())</f>
        <v/>
      </c>
    </row>
    <row r="8119">
      <c r="J8119">
        <f>IF(AND(ISNUMBER('Data'!$F$8120),'Data'!$F$8120&lt;&gt;999,'Data'!$F$8120&lt;&gt;""),'Data'!$F$8120,"")</f>
        <v/>
      </c>
      <c r="Z8119" t="n">
        <v>1</v>
      </c>
      <c r="AA8119">
        <f>IF(ISNUMBER('IN-CLASS_Lab Part C'!$J$8119),'IN-CLASS_Lab Part C'!$J$8119,NA())</f>
        <v/>
      </c>
    </row>
    <row r="8120">
      <c r="J8120">
        <f>IF(AND(ISNUMBER('Data'!$F$8121),'Data'!$F$8121&lt;&gt;999,'Data'!$F$8121&lt;&gt;""),'Data'!$F$8121,"")</f>
        <v/>
      </c>
      <c r="Z8120" t="n">
        <v>1</v>
      </c>
      <c r="AA8120">
        <f>IF(ISNUMBER('IN-CLASS_Lab Part C'!$J$8120),'IN-CLASS_Lab Part C'!$J$8120,NA())</f>
        <v/>
      </c>
    </row>
    <row r="8121">
      <c r="J8121">
        <f>IF(AND(ISNUMBER('Data'!$F$8122),'Data'!$F$8122&lt;&gt;999,'Data'!$F$8122&lt;&gt;""),'Data'!$F$8122,"")</f>
        <v/>
      </c>
      <c r="Z8121" t="n">
        <v>1</v>
      </c>
      <c r="AA8121">
        <f>IF(ISNUMBER('IN-CLASS_Lab Part C'!$J$8121),'IN-CLASS_Lab Part C'!$J$8121,NA())</f>
        <v/>
      </c>
    </row>
    <row r="8122">
      <c r="J8122">
        <f>IF(AND(ISNUMBER('Data'!$F$8123),'Data'!$F$8123&lt;&gt;999,'Data'!$F$8123&lt;&gt;""),'Data'!$F$8123,"")</f>
        <v/>
      </c>
      <c r="Z8122" t="n">
        <v>1</v>
      </c>
      <c r="AA8122">
        <f>IF(ISNUMBER('IN-CLASS_Lab Part C'!$J$8122),'IN-CLASS_Lab Part C'!$J$8122,NA())</f>
        <v/>
      </c>
    </row>
    <row r="8123">
      <c r="J8123">
        <f>IF(AND(ISNUMBER('Data'!$F$8124),'Data'!$F$8124&lt;&gt;999,'Data'!$F$8124&lt;&gt;""),'Data'!$F$8124,"")</f>
        <v/>
      </c>
      <c r="Z8123" t="n">
        <v>1</v>
      </c>
      <c r="AA8123">
        <f>IF(ISNUMBER('IN-CLASS_Lab Part C'!$J$8123),'IN-CLASS_Lab Part C'!$J$8123,NA())</f>
        <v/>
      </c>
    </row>
    <row r="8124">
      <c r="J8124">
        <f>IF(AND(ISNUMBER('Data'!$F$8125),'Data'!$F$8125&lt;&gt;999,'Data'!$F$8125&lt;&gt;""),'Data'!$F$8125,"")</f>
        <v/>
      </c>
      <c r="Z8124" t="n">
        <v>1</v>
      </c>
      <c r="AA8124">
        <f>IF(ISNUMBER('IN-CLASS_Lab Part C'!$J$8124),'IN-CLASS_Lab Part C'!$J$8124,NA())</f>
        <v/>
      </c>
    </row>
    <row r="8125">
      <c r="J8125">
        <f>IF(AND(ISNUMBER('Data'!$F$8126),'Data'!$F$8126&lt;&gt;999,'Data'!$F$8126&lt;&gt;""),'Data'!$F$8126,"")</f>
        <v/>
      </c>
      <c r="Z8125" t="n">
        <v>1</v>
      </c>
      <c r="AA8125">
        <f>IF(ISNUMBER('IN-CLASS_Lab Part C'!$J$8125),'IN-CLASS_Lab Part C'!$J$8125,NA())</f>
        <v/>
      </c>
    </row>
    <row r="8126">
      <c r="J8126">
        <f>IF(AND(ISNUMBER('Data'!$F$8127),'Data'!$F$8127&lt;&gt;999,'Data'!$F$8127&lt;&gt;""),'Data'!$F$8127,"")</f>
        <v/>
      </c>
      <c r="Z8126" t="n">
        <v>1</v>
      </c>
      <c r="AA8126">
        <f>IF(ISNUMBER('IN-CLASS_Lab Part C'!$J$8126),'IN-CLASS_Lab Part C'!$J$8126,NA())</f>
        <v/>
      </c>
    </row>
    <row r="8127">
      <c r="J8127">
        <f>IF(AND(ISNUMBER('Data'!$F$8128),'Data'!$F$8128&lt;&gt;999,'Data'!$F$8128&lt;&gt;""),'Data'!$F$8128,"")</f>
        <v/>
      </c>
      <c r="Z8127" t="n">
        <v>1</v>
      </c>
      <c r="AA8127">
        <f>IF(ISNUMBER('IN-CLASS_Lab Part C'!$J$8127),'IN-CLASS_Lab Part C'!$J$8127,NA())</f>
        <v/>
      </c>
    </row>
    <row r="8128">
      <c r="J8128">
        <f>IF(AND(ISNUMBER('Data'!$F$8129),'Data'!$F$8129&lt;&gt;999,'Data'!$F$8129&lt;&gt;""),'Data'!$F$8129,"")</f>
        <v/>
      </c>
      <c r="Z8128" t="n">
        <v>1</v>
      </c>
      <c r="AA8128">
        <f>IF(ISNUMBER('IN-CLASS_Lab Part C'!$J$8128),'IN-CLASS_Lab Part C'!$J$8128,NA())</f>
        <v/>
      </c>
    </row>
    <row r="8129">
      <c r="J8129">
        <f>IF(AND(ISNUMBER('Data'!$F$8130),'Data'!$F$8130&lt;&gt;999,'Data'!$F$8130&lt;&gt;""),'Data'!$F$8130,"")</f>
        <v/>
      </c>
      <c r="Z8129" t="n">
        <v>1</v>
      </c>
      <c r="AA8129">
        <f>IF(ISNUMBER('IN-CLASS_Lab Part C'!$J$8129),'IN-CLASS_Lab Part C'!$J$8129,NA())</f>
        <v/>
      </c>
    </row>
    <row r="8130">
      <c r="J8130">
        <f>IF(AND(ISNUMBER('Data'!$F$8131),'Data'!$F$8131&lt;&gt;999,'Data'!$F$8131&lt;&gt;""),'Data'!$F$8131,"")</f>
        <v/>
      </c>
      <c r="Z8130" t="n">
        <v>1</v>
      </c>
      <c r="AA8130">
        <f>IF(ISNUMBER('IN-CLASS_Lab Part C'!$J$8130),'IN-CLASS_Lab Part C'!$J$8130,NA())</f>
        <v/>
      </c>
    </row>
    <row r="8131">
      <c r="J8131">
        <f>IF(AND(ISNUMBER('Data'!$F$8132),'Data'!$F$8132&lt;&gt;999,'Data'!$F$8132&lt;&gt;""),'Data'!$F$8132,"")</f>
        <v/>
      </c>
      <c r="Z8131" t="n">
        <v>1</v>
      </c>
      <c r="AA8131">
        <f>IF(ISNUMBER('IN-CLASS_Lab Part C'!$J$8131),'IN-CLASS_Lab Part C'!$J$8131,NA())</f>
        <v/>
      </c>
    </row>
    <row r="8132">
      <c r="J8132">
        <f>IF(AND(ISNUMBER('Data'!$F$8133),'Data'!$F$8133&lt;&gt;999,'Data'!$F$8133&lt;&gt;""),'Data'!$F$8133,"")</f>
        <v/>
      </c>
      <c r="Z8132" t="n">
        <v>1</v>
      </c>
      <c r="AA8132">
        <f>IF(ISNUMBER('IN-CLASS_Lab Part C'!$J$8132),'IN-CLASS_Lab Part C'!$J$8132,NA())</f>
        <v/>
      </c>
    </row>
    <row r="8133">
      <c r="J8133">
        <f>IF(AND(ISNUMBER('Data'!$F$8134),'Data'!$F$8134&lt;&gt;999,'Data'!$F$8134&lt;&gt;""),'Data'!$F$8134,"")</f>
        <v/>
      </c>
      <c r="Z8133" t="n">
        <v>1</v>
      </c>
      <c r="AA8133">
        <f>IF(ISNUMBER('IN-CLASS_Lab Part C'!$J$8133),'IN-CLASS_Lab Part C'!$J$8133,NA())</f>
        <v/>
      </c>
    </row>
    <row r="8134">
      <c r="J8134">
        <f>IF(AND(ISNUMBER('Data'!$F$8135),'Data'!$F$8135&lt;&gt;999,'Data'!$F$8135&lt;&gt;""),'Data'!$F$8135,"")</f>
        <v/>
      </c>
      <c r="Z8134" t="n">
        <v>1</v>
      </c>
      <c r="AA8134">
        <f>IF(ISNUMBER('IN-CLASS_Lab Part C'!$J$8134),'IN-CLASS_Lab Part C'!$J$8134,NA())</f>
        <v/>
      </c>
    </row>
    <row r="8135">
      <c r="J8135">
        <f>IF(AND(ISNUMBER('Data'!$F$8136),'Data'!$F$8136&lt;&gt;999,'Data'!$F$8136&lt;&gt;""),'Data'!$F$8136,"")</f>
        <v/>
      </c>
      <c r="Z8135" t="n">
        <v>1</v>
      </c>
      <c r="AA8135">
        <f>IF(ISNUMBER('IN-CLASS_Lab Part C'!$J$8135),'IN-CLASS_Lab Part C'!$J$8135,NA())</f>
        <v/>
      </c>
    </row>
    <row r="8136">
      <c r="J8136">
        <f>IF(AND(ISNUMBER('Data'!$F$8137),'Data'!$F$8137&lt;&gt;999,'Data'!$F$8137&lt;&gt;""),'Data'!$F$8137,"")</f>
        <v/>
      </c>
      <c r="Z8136" t="n">
        <v>1</v>
      </c>
      <c r="AA8136">
        <f>IF(ISNUMBER('IN-CLASS_Lab Part C'!$J$8136),'IN-CLASS_Lab Part C'!$J$8136,NA())</f>
        <v/>
      </c>
    </row>
    <row r="8137">
      <c r="J8137">
        <f>IF(AND(ISNUMBER('Data'!$F$8138),'Data'!$F$8138&lt;&gt;999,'Data'!$F$8138&lt;&gt;""),'Data'!$F$8138,"")</f>
        <v/>
      </c>
      <c r="Z8137" t="n">
        <v>1</v>
      </c>
      <c r="AA8137">
        <f>IF(ISNUMBER('IN-CLASS_Lab Part C'!$J$8137),'IN-CLASS_Lab Part C'!$J$8137,NA())</f>
        <v/>
      </c>
    </row>
    <row r="8138">
      <c r="J8138">
        <f>IF(AND(ISNUMBER('Data'!$F$8139),'Data'!$F$8139&lt;&gt;999,'Data'!$F$8139&lt;&gt;""),'Data'!$F$8139,"")</f>
        <v/>
      </c>
      <c r="Z8138" t="n">
        <v>1</v>
      </c>
      <c r="AA8138">
        <f>IF(ISNUMBER('IN-CLASS_Lab Part C'!$J$8138),'IN-CLASS_Lab Part C'!$J$8138,NA())</f>
        <v/>
      </c>
    </row>
    <row r="8139">
      <c r="J8139">
        <f>IF(AND(ISNUMBER('Data'!$F$8140),'Data'!$F$8140&lt;&gt;999,'Data'!$F$8140&lt;&gt;""),'Data'!$F$8140,"")</f>
        <v/>
      </c>
      <c r="Z8139" t="n">
        <v>1</v>
      </c>
      <c r="AA8139">
        <f>IF(ISNUMBER('IN-CLASS_Lab Part C'!$J$8139),'IN-CLASS_Lab Part C'!$J$8139,NA())</f>
        <v/>
      </c>
    </row>
    <row r="8140">
      <c r="J8140">
        <f>IF(AND(ISNUMBER('Data'!$F$8141),'Data'!$F$8141&lt;&gt;999,'Data'!$F$8141&lt;&gt;""),'Data'!$F$8141,"")</f>
        <v/>
      </c>
      <c r="Z8140" t="n">
        <v>1</v>
      </c>
      <c r="AA8140">
        <f>IF(ISNUMBER('IN-CLASS_Lab Part C'!$J$8140),'IN-CLASS_Lab Part C'!$J$8140,NA())</f>
        <v/>
      </c>
    </row>
    <row r="8141">
      <c r="J8141">
        <f>IF(AND(ISNUMBER('Data'!$F$8142),'Data'!$F$8142&lt;&gt;999,'Data'!$F$8142&lt;&gt;""),'Data'!$F$8142,"")</f>
        <v/>
      </c>
      <c r="Z8141" t="n">
        <v>1</v>
      </c>
      <c r="AA8141">
        <f>IF(ISNUMBER('IN-CLASS_Lab Part C'!$J$8141),'IN-CLASS_Lab Part C'!$J$8141,NA())</f>
        <v/>
      </c>
    </row>
    <row r="8142">
      <c r="J8142">
        <f>IF(AND(ISNUMBER('Data'!$F$8143),'Data'!$F$8143&lt;&gt;999,'Data'!$F$8143&lt;&gt;""),'Data'!$F$8143,"")</f>
        <v/>
      </c>
      <c r="Z8142" t="n">
        <v>1</v>
      </c>
      <c r="AA8142">
        <f>IF(ISNUMBER('IN-CLASS_Lab Part C'!$J$8142),'IN-CLASS_Lab Part C'!$J$8142,NA())</f>
        <v/>
      </c>
    </row>
    <row r="8143">
      <c r="J8143">
        <f>IF(AND(ISNUMBER('Data'!$F$8144),'Data'!$F$8144&lt;&gt;999,'Data'!$F$8144&lt;&gt;""),'Data'!$F$8144,"")</f>
        <v/>
      </c>
      <c r="Z8143" t="n">
        <v>1</v>
      </c>
      <c r="AA8143">
        <f>IF(ISNUMBER('IN-CLASS_Lab Part C'!$J$8143),'IN-CLASS_Lab Part C'!$J$8143,NA())</f>
        <v/>
      </c>
    </row>
    <row r="8144">
      <c r="J8144">
        <f>IF(AND(ISNUMBER('Data'!$F$8145),'Data'!$F$8145&lt;&gt;999,'Data'!$F$8145&lt;&gt;""),'Data'!$F$8145,"")</f>
        <v/>
      </c>
      <c r="Z8144" t="n">
        <v>1</v>
      </c>
      <c r="AA8144">
        <f>IF(ISNUMBER('IN-CLASS_Lab Part C'!$J$8144),'IN-CLASS_Lab Part C'!$J$8144,NA())</f>
        <v/>
      </c>
    </row>
    <row r="8145">
      <c r="J8145">
        <f>IF(AND(ISNUMBER('Data'!$F$8146),'Data'!$F$8146&lt;&gt;999,'Data'!$F$8146&lt;&gt;""),'Data'!$F$8146,"")</f>
        <v/>
      </c>
      <c r="Z8145" t="n">
        <v>1</v>
      </c>
      <c r="AA8145">
        <f>IF(ISNUMBER('IN-CLASS_Lab Part C'!$J$8145),'IN-CLASS_Lab Part C'!$J$8145,NA())</f>
        <v/>
      </c>
    </row>
    <row r="8146">
      <c r="J8146">
        <f>IF(AND(ISNUMBER('Data'!$F$8147),'Data'!$F$8147&lt;&gt;999,'Data'!$F$8147&lt;&gt;""),'Data'!$F$8147,"")</f>
        <v/>
      </c>
      <c r="Z8146" t="n">
        <v>1</v>
      </c>
      <c r="AA8146">
        <f>IF(ISNUMBER('IN-CLASS_Lab Part C'!$J$8146),'IN-CLASS_Lab Part C'!$J$8146,NA())</f>
        <v/>
      </c>
    </row>
    <row r="8147">
      <c r="J8147">
        <f>IF(AND(ISNUMBER('Data'!$F$8148),'Data'!$F$8148&lt;&gt;999,'Data'!$F$8148&lt;&gt;""),'Data'!$F$8148,"")</f>
        <v/>
      </c>
      <c r="Z8147" t="n">
        <v>1</v>
      </c>
      <c r="AA8147">
        <f>IF(ISNUMBER('IN-CLASS_Lab Part C'!$J$8147),'IN-CLASS_Lab Part C'!$J$8147,NA())</f>
        <v/>
      </c>
    </row>
    <row r="8148">
      <c r="J8148">
        <f>IF(AND(ISNUMBER('Data'!$F$8149),'Data'!$F$8149&lt;&gt;999,'Data'!$F$8149&lt;&gt;""),'Data'!$F$8149,"")</f>
        <v/>
      </c>
      <c r="Z8148" t="n">
        <v>1</v>
      </c>
      <c r="AA8148">
        <f>IF(ISNUMBER('IN-CLASS_Lab Part C'!$J$8148),'IN-CLASS_Lab Part C'!$J$8148,NA())</f>
        <v/>
      </c>
    </row>
    <row r="8149">
      <c r="J8149">
        <f>IF(AND(ISNUMBER('Data'!$F$8150),'Data'!$F$8150&lt;&gt;999,'Data'!$F$8150&lt;&gt;""),'Data'!$F$8150,"")</f>
        <v/>
      </c>
      <c r="Z8149" t="n">
        <v>1</v>
      </c>
      <c r="AA8149">
        <f>IF(ISNUMBER('IN-CLASS_Lab Part C'!$J$8149),'IN-CLASS_Lab Part C'!$J$8149,NA())</f>
        <v/>
      </c>
    </row>
    <row r="8150">
      <c r="J8150">
        <f>IF(AND(ISNUMBER('Data'!$F$8151),'Data'!$F$8151&lt;&gt;999,'Data'!$F$8151&lt;&gt;""),'Data'!$F$8151,"")</f>
        <v/>
      </c>
      <c r="Z8150" t="n">
        <v>1</v>
      </c>
      <c r="AA8150">
        <f>IF(ISNUMBER('IN-CLASS_Lab Part C'!$J$8150),'IN-CLASS_Lab Part C'!$J$8150,NA())</f>
        <v/>
      </c>
    </row>
    <row r="8151">
      <c r="J8151">
        <f>IF(AND(ISNUMBER('Data'!$F$8152),'Data'!$F$8152&lt;&gt;999,'Data'!$F$8152&lt;&gt;""),'Data'!$F$8152,"")</f>
        <v/>
      </c>
      <c r="Z8151" t="n">
        <v>1</v>
      </c>
      <c r="AA8151">
        <f>IF(ISNUMBER('IN-CLASS_Lab Part C'!$J$8151),'IN-CLASS_Lab Part C'!$J$8151,NA())</f>
        <v/>
      </c>
    </row>
    <row r="8152">
      <c r="J8152">
        <f>IF(AND(ISNUMBER('Data'!$F$8153),'Data'!$F$8153&lt;&gt;999,'Data'!$F$8153&lt;&gt;""),'Data'!$F$8153,"")</f>
        <v/>
      </c>
      <c r="Z8152" t="n">
        <v>1</v>
      </c>
      <c r="AA8152">
        <f>IF(ISNUMBER('IN-CLASS_Lab Part C'!$J$8152),'IN-CLASS_Lab Part C'!$J$8152,NA())</f>
        <v/>
      </c>
    </row>
    <row r="8153">
      <c r="J8153">
        <f>IF(AND(ISNUMBER('Data'!$F$8154),'Data'!$F$8154&lt;&gt;999,'Data'!$F$8154&lt;&gt;""),'Data'!$F$8154,"")</f>
        <v/>
      </c>
      <c r="Z8153" t="n">
        <v>1</v>
      </c>
      <c r="AA8153">
        <f>IF(ISNUMBER('IN-CLASS_Lab Part C'!$J$8153),'IN-CLASS_Lab Part C'!$J$8153,NA())</f>
        <v/>
      </c>
    </row>
    <row r="8154">
      <c r="J8154">
        <f>IF(AND(ISNUMBER('Data'!$F$8155),'Data'!$F$8155&lt;&gt;999,'Data'!$F$8155&lt;&gt;""),'Data'!$F$8155,"")</f>
        <v/>
      </c>
      <c r="Z8154" t="n">
        <v>1</v>
      </c>
      <c r="AA8154">
        <f>IF(ISNUMBER('IN-CLASS_Lab Part C'!$J$8154),'IN-CLASS_Lab Part C'!$J$8154,NA())</f>
        <v/>
      </c>
    </row>
    <row r="8155">
      <c r="J8155">
        <f>IF(AND(ISNUMBER('Data'!$F$8156),'Data'!$F$8156&lt;&gt;999,'Data'!$F$8156&lt;&gt;""),'Data'!$F$8156,"")</f>
        <v/>
      </c>
      <c r="Z8155" t="n">
        <v>1</v>
      </c>
      <c r="AA8155">
        <f>IF(ISNUMBER('IN-CLASS_Lab Part C'!$J$8155),'IN-CLASS_Lab Part C'!$J$8155,NA())</f>
        <v/>
      </c>
    </row>
    <row r="8156">
      <c r="J8156">
        <f>IF(AND(ISNUMBER('Data'!$F$8157),'Data'!$F$8157&lt;&gt;999,'Data'!$F$8157&lt;&gt;""),'Data'!$F$8157,"")</f>
        <v/>
      </c>
      <c r="Z8156" t="n">
        <v>1</v>
      </c>
      <c r="AA8156">
        <f>IF(ISNUMBER('IN-CLASS_Lab Part C'!$J$8156),'IN-CLASS_Lab Part C'!$J$8156,NA())</f>
        <v/>
      </c>
    </row>
    <row r="8157">
      <c r="J8157">
        <f>IF(AND(ISNUMBER('Data'!$F$8158),'Data'!$F$8158&lt;&gt;999,'Data'!$F$8158&lt;&gt;""),'Data'!$F$8158,"")</f>
        <v/>
      </c>
      <c r="Z8157" t="n">
        <v>1</v>
      </c>
      <c r="AA8157">
        <f>IF(ISNUMBER('IN-CLASS_Lab Part C'!$J$8157),'IN-CLASS_Lab Part C'!$J$8157,NA())</f>
        <v/>
      </c>
    </row>
    <row r="8158">
      <c r="J8158">
        <f>IF(AND(ISNUMBER('Data'!$F$8159),'Data'!$F$8159&lt;&gt;999,'Data'!$F$8159&lt;&gt;""),'Data'!$F$8159,"")</f>
        <v/>
      </c>
      <c r="Z8158" t="n">
        <v>1</v>
      </c>
      <c r="AA8158">
        <f>IF(ISNUMBER('IN-CLASS_Lab Part C'!$J$8158),'IN-CLASS_Lab Part C'!$J$8158,NA())</f>
        <v/>
      </c>
    </row>
    <row r="8159">
      <c r="J8159">
        <f>IF(AND(ISNUMBER('Data'!$F$8160),'Data'!$F$8160&lt;&gt;999,'Data'!$F$8160&lt;&gt;""),'Data'!$F$8160,"")</f>
        <v/>
      </c>
      <c r="Z8159" t="n">
        <v>1</v>
      </c>
      <c r="AA8159">
        <f>IF(ISNUMBER('IN-CLASS_Lab Part C'!$J$8159),'IN-CLASS_Lab Part C'!$J$8159,NA())</f>
        <v/>
      </c>
    </row>
    <row r="8160">
      <c r="J8160">
        <f>IF(AND(ISNUMBER('Data'!$F$8161),'Data'!$F$8161&lt;&gt;999,'Data'!$F$8161&lt;&gt;""),'Data'!$F$8161,"")</f>
        <v/>
      </c>
      <c r="Z8160" t="n">
        <v>1</v>
      </c>
      <c r="AA8160">
        <f>IF(ISNUMBER('IN-CLASS_Lab Part C'!$J$8160),'IN-CLASS_Lab Part C'!$J$8160,NA())</f>
        <v/>
      </c>
    </row>
    <row r="8161">
      <c r="J8161">
        <f>IF(AND(ISNUMBER('Data'!$F$8162),'Data'!$F$8162&lt;&gt;999,'Data'!$F$8162&lt;&gt;""),'Data'!$F$8162,"")</f>
        <v/>
      </c>
      <c r="Z8161" t="n">
        <v>1</v>
      </c>
      <c r="AA8161">
        <f>IF(ISNUMBER('IN-CLASS_Lab Part C'!$J$8161),'IN-CLASS_Lab Part C'!$J$8161,NA())</f>
        <v/>
      </c>
    </row>
    <row r="8162">
      <c r="J8162">
        <f>IF(AND(ISNUMBER('Data'!$F$8163),'Data'!$F$8163&lt;&gt;999,'Data'!$F$8163&lt;&gt;""),'Data'!$F$8163,"")</f>
        <v/>
      </c>
      <c r="Z8162" t="n">
        <v>1</v>
      </c>
      <c r="AA8162">
        <f>IF(ISNUMBER('IN-CLASS_Lab Part C'!$J$8162),'IN-CLASS_Lab Part C'!$J$8162,NA())</f>
        <v/>
      </c>
    </row>
    <row r="8163">
      <c r="J8163">
        <f>IF(AND(ISNUMBER('Data'!$F$8164),'Data'!$F$8164&lt;&gt;999,'Data'!$F$8164&lt;&gt;""),'Data'!$F$8164,"")</f>
        <v/>
      </c>
      <c r="Z8163" t="n">
        <v>1</v>
      </c>
      <c r="AA8163">
        <f>IF(ISNUMBER('IN-CLASS_Lab Part C'!$J$8163),'IN-CLASS_Lab Part C'!$J$8163,NA())</f>
        <v/>
      </c>
    </row>
    <row r="8164">
      <c r="J8164">
        <f>IF(AND(ISNUMBER('Data'!$F$8165),'Data'!$F$8165&lt;&gt;999,'Data'!$F$8165&lt;&gt;""),'Data'!$F$8165,"")</f>
        <v/>
      </c>
      <c r="Z8164" t="n">
        <v>1</v>
      </c>
      <c r="AA8164">
        <f>IF(ISNUMBER('IN-CLASS_Lab Part C'!$J$8164),'IN-CLASS_Lab Part C'!$J$8164,NA())</f>
        <v/>
      </c>
    </row>
    <row r="8165">
      <c r="J8165">
        <f>IF(AND(ISNUMBER('Data'!$F$8166),'Data'!$F$8166&lt;&gt;999,'Data'!$F$8166&lt;&gt;""),'Data'!$F$8166,"")</f>
        <v/>
      </c>
      <c r="Z8165" t="n">
        <v>1</v>
      </c>
      <c r="AA8165">
        <f>IF(ISNUMBER('IN-CLASS_Lab Part C'!$J$8165),'IN-CLASS_Lab Part C'!$J$8165,NA())</f>
        <v/>
      </c>
    </row>
    <row r="8166">
      <c r="J8166">
        <f>IF(AND(ISNUMBER('Data'!$F$8167),'Data'!$F$8167&lt;&gt;999,'Data'!$F$8167&lt;&gt;""),'Data'!$F$8167,"")</f>
        <v/>
      </c>
      <c r="Z8166" t="n">
        <v>1</v>
      </c>
      <c r="AA8166">
        <f>IF(ISNUMBER('IN-CLASS_Lab Part C'!$J$8166),'IN-CLASS_Lab Part C'!$J$8166,NA())</f>
        <v/>
      </c>
    </row>
    <row r="8167">
      <c r="J8167">
        <f>IF(AND(ISNUMBER('Data'!$F$8168),'Data'!$F$8168&lt;&gt;999,'Data'!$F$8168&lt;&gt;""),'Data'!$F$8168,"")</f>
        <v/>
      </c>
      <c r="Z8167" t="n">
        <v>1</v>
      </c>
      <c r="AA8167">
        <f>IF(ISNUMBER('IN-CLASS_Lab Part C'!$J$8167),'IN-CLASS_Lab Part C'!$J$8167,NA())</f>
        <v/>
      </c>
    </row>
    <row r="8168">
      <c r="J8168">
        <f>IF(AND(ISNUMBER('Data'!$F$8169),'Data'!$F$8169&lt;&gt;999,'Data'!$F$8169&lt;&gt;""),'Data'!$F$8169,"")</f>
        <v/>
      </c>
      <c r="Z8168" t="n">
        <v>1</v>
      </c>
      <c r="AA8168">
        <f>IF(ISNUMBER('IN-CLASS_Lab Part C'!$J$8168),'IN-CLASS_Lab Part C'!$J$8168,NA())</f>
        <v/>
      </c>
    </row>
    <row r="8169">
      <c r="J8169">
        <f>IF(AND(ISNUMBER('Data'!$F$8170),'Data'!$F$8170&lt;&gt;999,'Data'!$F$8170&lt;&gt;""),'Data'!$F$8170,"")</f>
        <v/>
      </c>
      <c r="Z8169" t="n">
        <v>1</v>
      </c>
      <c r="AA8169">
        <f>IF(ISNUMBER('IN-CLASS_Lab Part C'!$J$8169),'IN-CLASS_Lab Part C'!$J$8169,NA())</f>
        <v/>
      </c>
    </row>
    <row r="8170">
      <c r="J8170">
        <f>IF(AND(ISNUMBER('Data'!$F$8171),'Data'!$F$8171&lt;&gt;999,'Data'!$F$8171&lt;&gt;""),'Data'!$F$8171,"")</f>
        <v/>
      </c>
      <c r="Z8170" t="n">
        <v>1</v>
      </c>
      <c r="AA8170">
        <f>IF(ISNUMBER('IN-CLASS_Lab Part C'!$J$8170),'IN-CLASS_Lab Part C'!$J$8170,NA())</f>
        <v/>
      </c>
    </row>
    <row r="8171">
      <c r="J8171">
        <f>IF(AND(ISNUMBER('Data'!$F$8172),'Data'!$F$8172&lt;&gt;999,'Data'!$F$8172&lt;&gt;""),'Data'!$F$8172,"")</f>
        <v/>
      </c>
      <c r="Z8171" t="n">
        <v>1</v>
      </c>
      <c r="AA8171">
        <f>IF(ISNUMBER('IN-CLASS_Lab Part C'!$J$8171),'IN-CLASS_Lab Part C'!$J$8171,NA())</f>
        <v/>
      </c>
    </row>
    <row r="8172">
      <c r="J8172">
        <f>IF(AND(ISNUMBER('Data'!$F$8173),'Data'!$F$8173&lt;&gt;999,'Data'!$F$8173&lt;&gt;""),'Data'!$F$8173,"")</f>
        <v/>
      </c>
      <c r="Z8172" t="n">
        <v>1</v>
      </c>
      <c r="AA8172">
        <f>IF(ISNUMBER('IN-CLASS_Lab Part C'!$J$8172),'IN-CLASS_Lab Part C'!$J$8172,NA())</f>
        <v/>
      </c>
    </row>
    <row r="8173">
      <c r="J8173">
        <f>IF(AND(ISNUMBER('Data'!$F$8174),'Data'!$F$8174&lt;&gt;999,'Data'!$F$8174&lt;&gt;""),'Data'!$F$8174,"")</f>
        <v/>
      </c>
      <c r="Z8173" t="n">
        <v>1</v>
      </c>
      <c r="AA8173">
        <f>IF(ISNUMBER('IN-CLASS_Lab Part C'!$J$8173),'IN-CLASS_Lab Part C'!$J$8173,NA())</f>
        <v/>
      </c>
    </row>
    <row r="8174">
      <c r="J8174">
        <f>IF(AND(ISNUMBER('Data'!$F$8175),'Data'!$F$8175&lt;&gt;999,'Data'!$F$8175&lt;&gt;""),'Data'!$F$8175,"")</f>
        <v/>
      </c>
      <c r="Z8174" t="n">
        <v>1</v>
      </c>
      <c r="AA8174">
        <f>IF(ISNUMBER('IN-CLASS_Lab Part C'!$J$8174),'IN-CLASS_Lab Part C'!$J$8174,NA())</f>
        <v/>
      </c>
    </row>
    <row r="8175">
      <c r="J8175">
        <f>IF(AND(ISNUMBER('Data'!$F$8176),'Data'!$F$8176&lt;&gt;999,'Data'!$F$8176&lt;&gt;""),'Data'!$F$8176,"")</f>
        <v/>
      </c>
      <c r="Z8175" t="n">
        <v>1</v>
      </c>
      <c r="AA8175">
        <f>IF(ISNUMBER('IN-CLASS_Lab Part C'!$J$8175),'IN-CLASS_Lab Part C'!$J$8175,NA())</f>
        <v/>
      </c>
    </row>
    <row r="8176">
      <c r="J8176">
        <f>IF(AND(ISNUMBER('Data'!$F$8177),'Data'!$F$8177&lt;&gt;999,'Data'!$F$8177&lt;&gt;""),'Data'!$F$8177,"")</f>
        <v/>
      </c>
      <c r="Z8176" t="n">
        <v>1</v>
      </c>
      <c r="AA8176">
        <f>IF(ISNUMBER('IN-CLASS_Lab Part C'!$J$8176),'IN-CLASS_Lab Part C'!$J$8176,NA())</f>
        <v/>
      </c>
    </row>
    <row r="8177">
      <c r="J8177">
        <f>IF(AND(ISNUMBER('Data'!$F$8178),'Data'!$F$8178&lt;&gt;999,'Data'!$F$8178&lt;&gt;""),'Data'!$F$8178,"")</f>
        <v/>
      </c>
      <c r="Z8177" t="n">
        <v>1</v>
      </c>
      <c r="AA8177">
        <f>IF(ISNUMBER('IN-CLASS_Lab Part C'!$J$8177),'IN-CLASS_Lab Part C'!$J$8177,NA())</f>
        <v/>
      </c>
    </row>
    <row r="8178">
      <c r="J8178">
        <f>IF(AND(ISNUMBER('Data'!$F$8179),'Data'!$F$8179&lt;&gt;999,'Data'!$F$8179&lt;&gt;""),'Data'!$F$8179,"")</f>
        <v/>
      </c>
      <c r="Z8178" t="n">
        <v>1</v>
      </c>
      <c r="AA8178">
        <f>IF(ISNUMBER('IN-CLASS_Lab Part C'!$J$8178),'IN-CLASS_Lab Part C'!$J$8178,NA())</f>
        <v/>
      </c>
    </row>
    <row r="8179">
      <c r="J8179">
        <f>IF(AND(ISNUMBER('Data'!$F$8180),'Data'!$F$8180&lt;&gt;999,'Data'!$F$8180&lt;&gt;""),'Data'!$F$8180,"")</f>
        <v/>
      </c>
      <c r="Z8179" t="n">
        <v>1</v>
      </c>
      <c r="AA8179">
        <f>IF(ISNUMBER('IN-CLASS_Lab Part C'!$J$8179),'IN-CLASS_Lab Part C'!$J$8179,NA())</f>
        <v/>
      </c>
    </row>
    <row r="8180">
      <c r="J8180">
        <f>IF(AND(ISNUMBER('Data'!$F$8181),'Data'!$F$8181&lt;&gt;999,'Data'!$F$8181&lt;&gt;""),'Data'!$F$8181,"")</f>
        <v/>
      </c>
      <c r="Z8180" t="n">
        <v>1</v>
      </c>
      <c r="AA8180">
        <f>IF(ISNUMBER('IN-CLASS_Lab Part C'!$J$8180),'IN-CLASS_Lab Part C'!$J$8180,NA())</f>
        <v/>
      </c>
    </row>
    <row r="8181">
      <c r="J8181">
        <f>IF(AND(ISNUMBER('Data'!$F$8182),'Data'!$F$8182&lt;&gt;999,'Data'!$F$8182&lt;&gt;""),'Data'!$F$8182,"")</f>
        <v/>
      </c>
      <c r="Z8181" t="n">
        <v>1</v>
      </c>
      <c r="AA8181">
        <f>IF(ISNUMBER('IN-CLASS_Lab Part C'!$J$8181),'IN-CLASS_Lab Part C'!$J$8181,NA())</f>
        <v/>
      </c>
    </row>
    <row r="8182">
      <c r="J8182">
        <f>IF(AND(ISNUMBER('Data'!$F$8183),'Data'!$F$8183&lt;&gt;999,'Data'!$F$8183&lt;&gt;""),'Data'!$F$8183,"")</f>
        <v/>
      </c>
      <c r="Z8182" t="n">
        <v>1</v>
      </c>
      <c r="AA8182">
        <f>IF(ISNUMBER('IN-CLASS_Lab Part C'!$J$8182),'IN-CLASS_Lab Part C'!$J$8182,NA())</f>
        <v/>
      </c>
    </row>
    <row r="8183">
      <c r="J8183">
        <f>IF(AND(ISNUMBER('Data'!$F$8184),'Data'!$F$8184&lt;&gt;999,'Data'!$F$8184&lt;&gt;""),'Data'!$F$8184,"")</f>
        <v/>
      </c>
      <c r="Z8183" t="n">
        <v>1</v>
      </c>
      <c r="AA8183">
        <f>IF(ISNUMBER('IN-CLASS_Lab Part C'!$J$8183),'IN-CLASS_Lab Part C'!$J$8183,NA())</f>
        <v/>
      </c>
    </row>
    <row r="8184">
      <c r="J8184">
        <f>IF(AND(ISNUMBER('Data'!$F$8185),'Data'!$F$8185&lt;&gt;999,'Data'!$F$8185&lt;&gt;""),'Data'!$F$8185,"")</f>
        <v/>
      </c>
      <c r="Z8184" t="n">
        <v>1</v>
      </c>
      <c r="AA8184">
        <f>IF(ISNUMBER('IN-CLASS_Lab Part C'!$J$8184),'IN-CLASS_Lab Part C'!$J$8184,NA())</f>
        <v/>
      </c>
    </row>
    <row r="8185">
      <c r="J8185">
        <f>IF(AND(ISNUMBER('Data'!$F$8186),'Data'!$F$8186&lt;&gt;999,'Data'!$F$8186&lt;&gt;""),'Data'!$F$8186,"")</f>
        <v/>
      </c>
      <c r="Z8185" t="n">
        <v>1</v>
      </c>
      <c r="AA8185">
        <f>IF(ISNUMBER('IN-CLASS_Lab Part C'!$J$8185),'IN-CLASS_Lab Part C'!$J$8185,NA())</f>
        <v/>
      </c>
    </row>
    <row r="8186">
      <c r="J8186">
        <f>IF(AND(ISNUMBER('Data'!$F$8187),'Data'!$F$8187&lt;&gt;999,'Data'!$F$8187&lt;&gt;""),'Data'!$F$8187,"")</f>
        <v/>
      </c>
      <c r="Z8186" t="n">
        <v>1</v>
      </c>
      <c r="AA8186">
        <f>IF(ISNUMBER('IN-CLASS_Lab Part C'!$J$8186),'IN-CLASS_Lab Part C'!$J$8186,NA())</f>
        <v/>
      </c>
    </row>
    <row r="8187">
      <c r="J8187">
        <f>IF(AND(ISNUMBER('Data'!$F$8188),'Data'!$F$8188&lt;&gt;999,'Data'!$F$8188&lt;&gt;""),'Data'!$F$8188,"")</f>
        <v/>
      </c>
      <c r="Z8187" t="n">
        <v>1</v>
      </c>
      <c r="AA8187">
        <f>IF(ISNUMBER('IN-CLASS_Lab Part C'!$J$8187),'IN-CLASS_Lab Part C'!$J$8187,NA())</f>
        <v/>
      </c>
    </row>
    <row r="8188">
      <c r="J8188">
        <f>IF(AND(ISNUMBER('Data'!$F$8189),'Data'!$F$8189&lt;&gt;999,'Data'!$F$8189&lt;&gt;""),'Data'!$F$8189,"")</f>
        <v/>
      </c>
      <c r="Z8188" t="n">
        <v>1</v>
      </c>
      <c r="AA8188">
        <f>IF(ISNUMBER('IN-CLASS_Lab Part C'!$J$8188),'IN-CLASS_Lab Part C'!$J$8188,NA())</f>
        <v/>
      </c>
    </row>
    <row r="8189">
      <c r="J8189">
        <f>IF(AND(ISNUMBER('Data'!$F$8190),'Data'!$F$8190&lt;&gt;999,'Data'!$F$8190&lt;&gt;""),'Data'!$F$8190,"")</f>
        <v/>
      </c>
      <c r="Z8189" t="n">
        <v>1</v>
      </c>
      <c r="AA8189">
        <f>IF(ISNUMBER('IN-CLASS_Lab Part C'!$J$8189),'IN-CLASS_Lab Part C'!$J$8189,NA())</f>
        <v/>
      </c>
    </row>
    <row r="8190">
      <c r="J8190">
        <f>IF(AND(ISNUMBER('Data'!$F$8191),'Data'!$F$8191&lt;&gt;999,'Data'!$F$8191&lt;&gt;""),'Data'!$F$8191,"")</f>
        <v/>
      </c>
      <c r="Z8190" t="n">
        <v>1</v>
      </c>
      <c r="AA8190">
        <f>IF(ISNUMBER('IN-CLASS_Lab Part C'!$J$8190),'IN-CLASS_Lab Part C'!$J$8190,NA())</f>
        <v/>
      </c>
    </row>
    <row r="8191">
      <c r="J8191">
        <f>IF(AND(ISNUMBER('Data'!$F$8192),'Data'!$F$8192&lt;&gt;999,'Data'!$F$8192&lt;&gt;""),'Data'!$F$8192,"")</f>
        <v/>
      </c>
      <c r="Z8191" t="n">
        <v>1</v>
      </c>
      <c r="AA8191">
        <f>IF(ISNUMBER('IN-CLASS_Lab Part C'!$J$8191),'IN-CLASS_Lab Part C'!$J$8191,NA())</f>
        <v/>
      </c>
    </row>
    <row r="8192">
      <c r="J8192">
        <f>IF(AND(ISNUMBER('Data'!$F$8193),'Data'!$F$8193&lt;&gt;999,'Data'!$F$8193&lt;&gt;""),'Data'!$F$8193,"")</f>
        <v/>
      </c>
      <c r="Z8192" t="n">
        <v>1</v>
      </c>
      <c r="AA8192">
        <f>IF(ISNUMBER('IN-CLASS_Lab Part C'!$J$8192),'IN-CLASS_Lab Part C'!$J$8192,NA())</f>
        <v/>
      </c>
    </row>
    <row r="8193">
      <c r="J8193">
        <f>IF(AND(ISNUMBER('Data'!$F$8194),'Data'!$F$8194&lt;&gt;999,'Data'!$F$8194&lt;&gt;""),'Data'!$F$8194,"")</f>
        <v/>
      </c>
      <c r="Z8193" t="n">
        <v>1</v>
      </c>
      <c r="AA8193">
        <f>IF(ISNUMBER('IN-CLASS_Lab Part C'!$J$8193),'IN-CLASS_Lab Part C'!$J$8193,NA())</f>
        <v/>
      </c>
    </row>
    <row r="8194">
      <c r="J8194">
        <f>IF(AND(ISNUMBER('Data'!$F$8195),'Data'!$F$8195&lt;&gt;999,'Data'!$F$8195&lt;&gt;""),'Data'!$F$8195,"")</f>
        <v/>
      </c>
      <c r="Z8194" t="n">
        <v>1</v>
      </c>
      <c r="AA8194">
        <f>IF(ISNUMBER('IN-CLASS_Lab Part C'!$J$8194),'IN-CLASS_Lab Part C'!$J$8194,NA())</f>
        <v/>
      </c>
    </row>
    <row r="8195">
      <c r="J8195">
        <f>IF(AND(ISNUMBER('Data'!$F$8196),'Data'!$F$8196&lt;&gt;999,'Data'!$F$8196&lt;&gt;""),'Data'!$F$8196,"")</f>
        <v/>
      </c>
      <c r="Z8195" t="n">
        <v>1</v>
      </c>
      <c r="AA8195">
        <f>IF(ISNUMBER('IN-CLASS_Lab Part C'!$J$8195),'IN-CLASS_Lab Part C'!$J$8195,NA())</f>
        <v/>
      </c>
    </row>
    <row r="8196">
      <c r="J8196">
        <f>IF(AND(ISNUMBER('Data'!$F$8197),'Data'!$F$8197&lt;&gt;999,'Data'!$F$8197&lt;&gt;""),'Data'!$F$8197,"")</f>
        <v/>
      </c>
      <c r="Z8196" t="n">
        <v>1</v>
      </c>
      <c r="AA8196">
        <f>IF(ISNUMBER('IN-CLASS_Lab Part C'!$J$8196),'IN-CLASS_Lab Part C'!$J$8196,NA())</f>
        <v/>
      </c>
    </row>
    <row r="8197">
      <c r="J8197">
        <f>IF(AND(ISNUMBER('Data'!$F$8198),'Data'!$F$8198&lt;&gt;999,'Data'!$F$8198&lt;&gt;""),'Data'!$F$8198,"")</f>
        <v/>
      </c>
      <c r="Z8197" t="n">
        <v>1</v>
      </c>
      <c r="AA8197">
        <f>IF(ISNUMBER('IN-CLASS_Lab Part C'!$J$8197),'IN-CLASS_Lab Part C'!$J$8197,NA())</f>
        <v/>
      </c>
    </row>
    <row r="8198">
      <c r="J8198">
        <f>IF(AND(ISNUMBER('Data'!$F$8199),'Data'!$F$8199&lt;&gt;999,'Data'!$F$8199&lt;&gt;""),'Data'!$F$8199,"")</f>
        <v/>
      </c>
      <c r="Z8198" t="n">
        <v>1</v>
      </c>
      <c r="AA8198">
        <f>IF(ISNUMBER('IN-CLASS_Lab Part C'!$J$8198),'IN-CLASS_Lab Part C'!$J$8198,NA())</f>
        <v/>
      </c>
    </row>
    <row r="8199">
      <c r="J8199">
        <f>IF(AND(ISNUMBER('Data'!$F$8200),'Data'!$F$8200&lt;&gt;999,'Data'!$F$8200&lt;&gt;""),'Data'!$F$8200,"")</f>
        <v/>
      </c>
      <c r="Z8199" t="n">
        <v>1</v>
      </c>
      <c r="AA8199">
        <f>IF(ISNUMBER('IN-CLASS_Lab Part C'!$J$8199),'IN-CLASS_Lab Part C'!$J$8199,NA())</f>
        <v/>
      </c>
    </row>
    <row r="8200">
      <c r="J8200">
        <f>IF(AND(ISNUMBER('Data'!$F$8201),'Data'!$F$8201&lt;&gt;999,'Data'!$F$8201&lt;&gt;""),'Data'!$F$8201,"")</f>
        <v/>
      </c>
      <c r="Z8200" t="n">
        <v>1</v>
      </c>
      <c r="AA8200">
        <f>IF(ISNUMBER('IN-CLASS_Lab Part C'!$J$8200),'IN-CLASS_Lab Part C'!$J$8200,NA())</f>
        <v/>
      </c>
    </row>
    <row r="8201">
      <c r="J8201">
        <f>IF(AND(ISNUMBER('Data'!$F$8202),'Data'!$F$8202&lt;&gt;999,'Data'!$F$8202&lt;&gt;""),'Data'!$F$8202,"")</f>
        <v/>
      </c>
      <c r="Z8201" t="n">
        <v>1</v>
      </c>
      <c r="AA8201">
        <f>IF(ISNUMBER('IN-CLASS_Lab Part C'!$J$8201),'IN-CLASS_Lab Part C'!$J$8201,NA())</f>
        <v/>
      </c>
    </row>
    <row r="8202">
      <c r="J8202">
        <f>IF(AND(ISNUMBER('Data'!$F$8203),'Data'!$F$8203&lt;&gt;999,'Data'!$F$8203&lt;&gt;""),'Data'!$F$8203,"")</f>
        <v/>
      </c>
      <c r="Z8202" t="n">
        <v>1</v>
      </c>
      <c r="AA8202">
        <f>IF(ISNUMBER('IN-CLASS_Lab Part C'!$J$8202),'IN-CLASS_Lab Part C'!$J$8202,NA())</f>
        <v/>
      </c>
    </row>
    <row r="8203">
      <c r="J8203">
        <f>IF(AND(ISNUMBER('Data'!$F$8204),'Data'!$F$8204&lt;&gt;999,'Data'!$F$8204&lt;&gt;""),'Data'!$F$8204,"")</f>
        <v/>
      </c>
      <c r="Z8203" t="n">
        <v>1</v>
      </c>
      <c r="AA8203">
        <f>IF(ISNUMBER('IN-CLASS_Lab Part C'!$J$8203),'IN-CLASS_Lab Part C'!$J$8203,NA())</f>
        <v/>
      </c>
    </row>
    <row r="8204">
      <c r="J8204">
        <f>IF(AND(ISNUMBER('Data'!$F$8205),'Data'!$F$8205&lt;&gt;999,'Data'!$F$8205&lt;&gt;""),'Data'!$F$8205,"")</f>
        <v/>
      </c>
      <c r="Z8204" t="n">
        <v>1</v>
      </c>
      <c r="AA8204">
        <f>IF(ISNUMBER('IN-CLASS_Lab Part C'!$J$8204),'IN-CLASS_Lab Part C'!$J$8204,NA())</f>
        <v/>
      </c>
    </row>
    <row r="8205">
      <c r="J8205">
        <f>IF(AND(ISNUMBER('Data'!$F$8206),'Data'!$F$8206&lt;&gt;999,'Data'!$F$8206&lt;&gt;""),'Data'!$F$8206,"")</f>
        <v/>
      </c>
      <c r="Z8205" t="n">
        <v>1</v>
      </c>
      <c r="AA8205">
        <f>IF(ISNUMBER('IN-CLASS_Lab Part C'!$J$8205),'IN-CLASS_Lab Part C'!$J$8205,NA())</f>
        <v/>
      </c>
    </row>
    <row r="8206">
      <c r="J8206">
        <f>IF(AND(ISNUMBER('Data'!$F$8207),'Data'!$F$8207&lt;&gt;999,'Data'!$F$8207&lt;&gt;""),'Data'!$F$8207,"")</f>
        <v/>
      </c>
      <c r="Z8206" t="n">
        <v>1</v>
      </c>
      <c r="AA8206">
        <f>IF(ISNUMBER('IN-CLASS_Lab Part C'!$J$8206),'IN-CLASS_Lab Part C'!$J$8206,NA())</f>
        <v/>
      </c>
    </row>
    <row r="8207">
      <c r="J8207">
        <f>IF(AND(ISNUMBER('Data'!$F$8208),'Data'!$F$8208&lt;&gt;999,'Data'!$F$8208&lt;&gt;""),'Data'!$F$8208,"")</f>
        <v/>
      </c>
      <c r="Z8207" t="n">
        <v>1</v>
      </c>
      <c r="AA8207">
        <f>IF(ISNUMBER('IN-CLASS_Lab Part C'!$J$8207),'IN-CLASS_Lab Part C'!$J$8207,NA())</f>
        <v/>
      </c>
    </row>
    <row r="8208">
      <c r="J8208">
        <f>IF(AND(ISNUMBER('Data'!$F$8209),'Data'!$F$8209&lt;&gt;999,'Data'!$F$8209&lt;&gt;""),'Data'!$F$8209,"")</f>
        <v/>
      </c>
      <c r="Z8208" t="n">
        <v>1</v>
      </c>
      <c r="AA8208">
        <f>IF(ISNUMBER('IN-CLASS_Lab Part C'!$J$8208),'IN-CLASS_Lab Part C'!$J$8208,NA())</f>
        <v/>
      </c>
    </row>
    <row r="8209">
      <c r="J8209">
        <f>IF(AND(ISNUMBER('Data'!$F$8210),'Data'!$F$8210&lt;&gt;999,'Data'!$F$8210&lt;&gt;""),'Data'!$F$8210,"")</f>
        <v/>
      </c>
      <c r="Z8209" t="n">
        <v>1</v>
      </c>
      <c r="AA8209">
        <f>IF(ISNUMBER('IN-CLASS_Lab Part C'!$J$8209),'IN-CLASS_Lab Part C'!$J$8209,NA())</f>
        <v/>
      </c>
    </row>
    <row r="8210">
      <c r="J8210">
        <f>IF(AND(ISNUMBER('Data'!$F$8211),'Data'!$F$8211&lt;&gt;999,'Data'!$F$8211&lt;&gt;""),'Data'!$F$8211,"")</f>
        <v/>
      </c>
      <c r="Z8210" t="n">
        <v>1</v>
      </c>
      <c r="AA8210">
        <f>IF(ISNUMBER('IN-CLASS_Lab Part C'!$J$8210),'IN-CLASS_Lab Part C'!$J$8210,NA())</f>
        <v/>
      </c>
    </row>
    <row r="8211">
      <c r="J8211">
        <f>IF(AND(ISNUMBER('Data'!$F$8212),'Data'!$F$8212&lt;&gt;999,'Data'!$F$8212&lt;&gt;""),'Data'!$F$8212,"")</f>
        <v/>
      </c>
      <c r="Z8211" t="n">
        <v>1</v>
      </c>
      <c r="AA8211">
        <f>IF(ISNUMBER('IN-CLASS_Lab Part C'!$J$8211),'IN-CLASS_Lab Part C'!$J$8211,NA())</f>
        <v/>
      </c>
    </row>
    <row r="8212">
      <c r="J8212">
        <f>IF(AND(ISNUMBER('Data'!$F$8213),'Data'!$F$8213&lt;&gt;999,'Data'!$F$8213&lt;&gt;""),'Data'!$F$8213,"")</f>
        <v/>
      </c>
      <c r="Z8212" t="n">
        <v>1</v>
      </c>
      <c r="AA8212">
        <f>IF(ISNUMBER('IN-CLASS_Lab Part C'!$J$8212),'IN-CLASS_Lab Part C'!$J$8212,NA())</f>
        <v/>
      </c>
    </row>
    <row r="8213">
      <c r="J8213">
        <f>IF(AND(ISNUMBER('Data'!$F$8214),'Data'!$F$8214&lt;&gt;999,'Data'!$F$8214&lt;&gt;""),'Data'!$F$8214,"")</f>
        <v/>
      </c>
      <c r="Z8213" t="n">
        <v>1</v>
      </c>
      <c r="AA8213">
        <f>IF(ISNUMBER('IN-CLASS_Lab Part C'!$J$8213),'IN-CLASS_Lab Part C'!$J$8213,NA())</f>
        <v/>
      </c>
    </row>
    <row r="8214">
      <c r="J8214">
        <f>IF(AND(ISNUMBER('Data'!$F$8215),'Data'!$F$8215&lt;&gt;999,'Data'!$F$8215&lt;&gt;""),'Data'!$F$8215,"")</f>
        <v/>
      </c>
      <c r="Z8214" t="n">
        <v>1</v>
      </c>
      <c r="AA8214">
        <f>IF(ISNUMBER('IN-CLASS_Lab Part C'!$J$8214),'IN-CLASS_Lab Part C'!$J$8214,NA())</f>
        <v/>
      </c>
    </row>
    <row r="8215">
      <c r="J8215">
        <f>IF(AND(ISNUMBER('Data'!$F$8216),'Data'!$F$8216&lt;&gt;999,'Data'!$F$8216&lt;&gt;""),'Data'!$F$8216,"")</f>
        <v/>
      </c>
      <c r="Z8215" t="n">
        <v>1</v>
      </c>
      <c r="AA8215">
        <f>IF(ISNUMBER('IN-CLASS_Lab Part C'!$J$8215),'IN-CLASS_Lab Part C'!$J$8215,NA())</f>
        <v/>
      </c>
    </row>
    <row r="8216">
      <c r="J8216">
        <f>IF(AND(ISNUMBER('Data'!$F$8217),'Data'!$F$8217&lt;&gt;999,'Data'!$F$8217&lt;&gt;""),'Data'!$F$8217,"")</f>
        <v/>
      </c>
      <c r="Z8216" t="n">
        <v>1</v>
      </c>
      <c r="AA8216">
        <f>IF(ISNUMBER('IN-CLASS_Lab Part C'!$J$8216),'IN-CLASS_Lab Part C'!$J$8216,NA())</f>
        <v/>
      </c>
    </row>
    <row r="8217">
      <c r="J8217">
        <f>IF(AND(ISNUMBER('Data'!$F$8218),'Data'!$F$8218&lt;&gt;999,'Data'!$F$8218&lt;&gt;""),'Data'!$F$8218,"")</f>
        <v/>
      </c>
      <c r="Z8217" t="n">
        <v>1</v>
      </c>
      <c r="AA8217">
        <f>IF(ISNUMBER('IN-CLASS_Lab Part C'!$J$8217),'IN-CLASS_Lab Part C'!$J$8217,NA())</f>
        <v/>
      </c>
    </row>
    <row r="8218">
      <c r="J8218">
        <f>IF(AND(ISNUMBER('Data'!$F$8219),'Data'!$F$8219&lt;&gt;999,'Data'!$F$8219&lt;&gt;""),'Data'!$F$8219,"")</f>
        <v/>
      </c>
      <c r="Z8218" t="n">
        <v>1</v>
      </c>
      <c r="AA8218">
        <f>IF(ISNUMBER('IN-CLASS_Lab Part C'!$J$8218),'IN-CLASS_Lab Part C'!$J$8218,NA())</f>
        <v/>
      </c>
    </row>
    <row r="8219">
      <c r="J8219">
        <f>IF(AND(ISNUMBER('Data'!$F$8220),'Data'!$F$8220&lt;&gt;999,'Data'!$F$8220&lt;&gt;""),'Data'!$F$8220,"")</f>
        <v/>
      </c>
      <c r="Z8219" t="n">
        <v>1</v>
      </c>
      <c r="AA8219">
        <f>IF(ISNUMBER('IN-CLASS_Lab Part C'!$J$8219),'IN-CLASS_Lab Part C'!$J$8219,NA())</f>
        <v/>
      </c>
    </row>
    <row r="8220">
      <c r="J8220">
        <f>IF(AND(ISNUMBER('Data'!$F$8221),'Data'!$F$8221&lt;&gt;999,'Data'!$F$8221&lt;&gt;""),'Data'!$F$8221,"")</f>
        <v/>
      </c>
      <c r="Z8220" t="n">
        <v>1</v>
      </c>
      <c r="AA8220">
        <f>IF(ISNUMBER('IN-CLASS_Lab Part C'!$J$8220),'IN-CLASS_Lab Part C'!$J$8220,NA())</f>
        <v/>
      </c>
    </row>
    <row r="8221">
      <c r="J8221">
        <f>IF(AND(ISNUMBER('Data'!$F$8222),'Data'!$F$8222&lt;&gt;999,'Data'!$F$8222&lt;&gt;""),'Data'!$F$8222,"")</f>
        <v/>
      </c>
      <c r="Z8221" t="n">
        <v>1</v>
      </c>
      <c r="AA8221">
        <f>IF(ISNUMBER('IN-CLASS_Lab Part C'!$J$8221),'IN-CLASS_Lab Part C'!$J$8221,NA())</f>
        <v/>
      </c>
    </row>
    <row r="8222">
      <c r="J8222">
        <f>IF(AND(ISNUMBER('Data'!$F$8223),'Data'!$F$8223&lt;&gt;999,'Data'!$F$8223&lt;&gt;""),'Data'!$F$8223,"")</f>
        <v/>
      </c>
      <c r="Z8222" t="n">
        <v>1</v>
      </c>
      <c r="AA8222">
        <f>IF(ISNUMBER('IN-CLASS_Lab Part C'!$J$8222),'IN-CLASS_Lab Part C'!$J$8222,NA())</f>
        <v/>
      </c>
    </row>
    <row r="8223">
      <c r="J8223">
        <f>IF(AND(ISNUMBER('Data'!$F$8224),'Data'!$F$8224&lt;&gt;999,'Data'!$F$8224&lt;&gt;""),'Data'!$F$8224,"")</f>
        <v/>
      </c>
      <c r="Z8223" t="n">
        <v>1</v>
      </c>
      <c r="AA8223">
        <f>IF(ISNUMBER('IN-CLASS_Lab Part C'!$J$8223),'IN-CLASS_Lab Part C'!$J$8223,NA())</f>
        <v/>
      </c>
    </row>
    <row r="8224">
      <c r="J8224">
        <f>IF(AND(ISNUMBER('Data'!$F$8225),'Data'!$F$8225&lt;&gt;999,'Data'!$F$8225&lt;&gt;""),'Data'!$F$8225,"")</f>
        <v/>
      </c>
      <c r="Z8224" t="n">
        <v>1</v>
      </c>
      <c r="AA8224">
        <f>IF(ISNUMBER('IN-CLASS_Lab Part C'!$J$8224),'IN-CLASS_Lab Part C'!$J$8224,NA())</f>
        <v/>
      </c>
    </row>
    <row r="8225">
      <c r="J8225">
        <f>IF(AND(ISNUMBER('Data'!$F$8226),'Data'!$F$8226&lt;&gt;999,'Data'!$F$8226&lt;&gt;""),'Data'!$F$8226,"")</f>
        <v/>
      </c>
      <c r="Z8225" t="n">
        <v>1</v>
      </c>
      <c r="AA8225">
        <f>IF(ISNUMBER('IN-CLASS_Lab Part C'!$J$8225),'IN-CLASS_Lab Part C'!$J$8225,NA())</f>
        <v/>
      </c>
    </row>
    <row r="8226">
      <c r="J8226">
        <f>IF(AND(ISNUMBER('Data'!$F$8227),'Data'!$F$8227&lt;&gt;999,'Data'!$F$8227&lt;&gt;""),'Data'!$F$8227,"")</f>
        <v/>
      </c>
      <c r="Z8226" t="n">
        <v>1</v>
      </c>
      <c r="AA8226">
        <f>IF(ISNUMBER('IN-CLASS_Lab Part C'!$J$8226),'IN-CLASS_Lab Part C'!$J$8226,NA())</f>
        <v/>
      </c>
    </row>
    <row r="8227">
      <c r="J8227">
        <f>IF(AND(ISNUMBER('Data'!$F$8228),'Data'!$F$8228&lt;&gt;999,'Data'!$F$8228&lt;&gt;""),'Data'!$F$8228,"")</f>
        <v/>
      </c>
      <c r="Z8227" t="n">
        <v>1</v>
      </c>
      <c r="AA8227">
        <f>IF(ISNUMBER('IN-CLASS_Lab Part C'!$J$8227),'IN-CLASS_Lab Part C'!$J$8227,NA())</f>
        <v/>
      </c>
    </row>
    <row r="8228">
      <c r="J8228">
        <f>IF(AND(ISNUMBER('Data'!$F$8229),'Data'!$F$8229&lt;&gt;999,'Data'!$F$8229&lt;&gt;""),'Data'!$F$8229,"")</f>
        <v/>
      </c>
      <c r="Z8228" t="n">
        <v>1</v>
      </c>
      <c r="AA8228">
        <f>IF(ISNUMBER('IN-CLASS_Lab Part C'!$J$8228),'IN-CLASS_Lab Part C'!$J$8228,NA())</f>
        <v/>
      </c>
    </row>
    <row r="8229">
      <c r="J8229">
        <f>IF(AND(ISNUMBER('Data'!$F$8230),'Data'!$F$8230&lt;&gt;999,'Data'!$F$8230&lt;&gt;""),'Data'!$F$8230,"")</f>
        <v/>
      </c>
      <c r="Z8229" t="n">
        <v>1</v>
      </c>
      <c r="AA8229">
        <f>IF(ISNUMBER('IN-CLASS_Lab Part C'!$J$8229),'IN-CLASS_Lab Part C'!$J$8229,NA())</f>
        <v/>
      </c>
    </row>
    <row r="8230">
      <c r="J8230">
        <f>IF(AND(ISNUMBER('Data'!$F$8231),'Data'!$F$8231&lt;&gt;999,'Data'!$F$8231&lt;&gt;""),'Data'!$F$8231,"")</f>
        <v/>
      </c>
      <c r="Z8230" t="n">
        <v>1</v>
      </c>
      <c r="AA8230">
        <f>IF(ISNUMBER('IN-CLASS_Lab Part C'!$J$8230),'IN-CLASS_Lab Part C'!$J$8230,NA())</f>
        <v/>
      </c>
    </row>
    <row r="8231">
      <c r="J8231">
        <f>IF(AND(ISNUMBER('Data'!$F$8232),'Data'!$F$8232&lt;&gt;999,'Data'!$F$8232&lt;&gt;""),'Data'!$F$8232,"")</f>
        <v/>
      </c>
      <c r="Z8231" t="n">
        <v>1</v>
      </c>
      <c r="AA8231">
        <f>IF(ISNUMBER('IN-CLASS_Lab Part C'!$J$8231),'IN-CLASS_Lab Part C'!$J$8231,NA())</f>
        <v/>
      </c>
    </row>
    <row r="8232">
      <c r="J8232">
        <f>IF(AND(ISNUMBER('Data'!$F$8233),'Data'!$F$8233&lt;&gt;999,'Data'!$F$8233&lt;&gt;""),'Data'!$F$8233,"")</f>
        <v/>
      </c>
      <c r="Z8232" t="n">
        <v>1</v>
      </c>
      <c r="AA8232">
        <f>IF(ISNUMBER('IN-CLASS_Lab Part C'!$J$8232),'IN-CLASS_Lab Part C'!$J$8232,NA())</f>
        <v/>
      </c>
    </row>
    <row r="8233">
      <c r="J8233">
        <f>IF(AND(ISNUMBER('Data'!$F$8234),'Data'!$F$8234&lt;&gt;999,'Data'!$F$8234&lt;&gt;""),'Data'!$F$8234,"")</f>
        <v/>
      </c>
      <c r="Z8233" t="n">
        <v>1</v>
      </c>
      <c r="AA8233">
        <f>IF(ISNUMBER('IN-CLASS_Lab Part C'!$J$8233),'IN-CLASS_Lab Part C'!$J$8233,NA())</f>
        <v/>
      </c>
    </row>
    <row r="8234">
      <c r="J8234">
        <f>IF(AND(ISNUMBER('Data'!$F$8235),'Data'!$F$8235&lt;&gt;999,'Data'!$F$8235&lt;&gt;""),'Data'!$F$8235,"")</f>
        <v/>
      </c>
      <c r="Z8234" t="n">
        <v>1</v>
      </c>
      <c r="AA8234">
        <f>IF(ISNUMBER('IN-CLASS_Lab Part C'!$J$8234),'IN-CLASS_Lab Part C'!$J$8234,NA())</f>
        <v/>
      </c>
    </row>
    <row r="8235">
      <c r="J8235">
        <f>IF(AND(ISNUMBER('Data'!$F$8236),'Data'!$F$8236&lt;&gt;999,'Data'!$F$8236&lt;&gt;""),'Data'!$F$8236,"")</f>
        <v/>
      </c>
      <c r="Z8235" t="n">
        <v>1</v>
      </c>
      <c r="AA8235">
        <f>IF(ISNUMBER('IN-CLASS_Lab Part C'!$J$8235),'IN-CLASS_Lab Part C'!$J$8235,NA())</f>
        <v/>
      </c>
    </row>
    <row r="8236">
      <c r="J8236">
        <f>IF(AND(ISNUMBER('Data'!$F$8237),'Data'!$F$8237&lt;&gt;999,'Data'!$F$8237&lt;&gt;""),'Data'!$F$8237,"")</f>
        <v/>
      </c>
      <c r="Z8236" t="n">
        <v>1</v>
      </c>
      <c r="AA8236">
        <f>IF(ISNUMBER('IN-CLASS_Lab Part C'!$J$8236),'IN-CLASS_Lab Part C'!$J$8236,NA())</f>
        <v/>
      </c>
    </row>
    <row r="8237">
      <c r="J8237">
        <f>IF(AND(ISNUMBER('Data'!$F$8238),'Data'!$F$8238&lt;&gt;999,'Data'!$F$8238&lt;&gt;""),'Data'!$F$8238,"")</f>
        <v/>
      </c>
      <c r="Z8237" t="n">
        <v>1</v>
      </c>
      <c r="AA8237">
        <f>IF(ISNUMBER('IN-CLASS_Lab Part C'!$J$8237),'IN-CLASS_Lab Part C'!$J$8237,NA())</f>
        <v/>
      </c>
    </row>
    <row r="8238">
      <c r="J8238">
        <f>IF(AND(ISNUMBER('Data'!$F$8239),'Data'!$F$8239&lt;&gt;999,'Data'!$F$8239&lt;&gt;""),'Data'!$F$8239,"")</f>
        <v/>
      </c>
      <c r="Z8238" t="n">
        <v>1</v>
      </c>
      <c r="AA8238">
        <f>IF(ISNUMBER('IN-CLASS_Lab Part C'!$J$8238),'IN-CLASS_Lab Part C'!$J$8238,NA())</f>
        <v/>
      </c>
    </row>
    <row r="8239">
      <c r="J8239">
        <f>IF(AND(ISNUMBER('Data'!$F$8240),'Data'!$F$8240&lt;&gt;999,'Data'!$F$8240&lt;&gt;""),'Data'!$F$8240,"")</f>
        <v/>
      </c>
      <c r="Z8239" t="n">
        <v>1</v>
      </c>
      <c r="AA8239">
        <f>IF(ISNUMBER('IN-CLASS_Lab Part C'!$J$8239),'IN-CLASS_Lab Part C'!$J$8239,NA())</f>
        <v/>
      </c>
    </row>
    <row r="8240">
      <c r="J8240">
        <f>IF(AND(ISNUMBER('Data'!$F$8241),'Data'!$F$8241&lt;&gt;999,'Data'!$F$8241&lt;&gt;""),'Data'!$F$8241,"")</f>
        <v/>
      </c>
      <c r="Z8240" t="n">
        <v>1</v>
      </c>
      <c r="AA8240">
        <f>IF(ISNUMBER('IN-CLASS_Lab Part C'!$J$8240),'IN-CLASS_Lab Part C'!$J$8240,NA())</f>
        <v/>
      </c>
    </row>
    <row r="8241">
      <c r="J8241">
        <f>IF(AND(ISNUMBER('Data'!$F$8242),'Data'!$F$8242&lt;&gt;999,'Data'!$F$8242&lt;&gt;""),'Data'!$F$8242,"")</f>
        <v/>
      </c>
      <c r="Z8241" t="n">
        <v>1</v>
      </c>
      <c r="AA8241">
        <f>IF(ISNUMBER('IN-CLASS_Lab Part C'!$J$8241),'IN-CLASS_Lab Part C'!$J$8241,NA())</f>
        <v/>
      </c>
    </row>
    <row r="8242">
      <c r="J8242">
        <f>IF(AND(ISNUMBER('Data'!$F$8243),'Data'!$F$8243&lt;&gt;999,'Data'!$F$8243&lt;&gt;""),'Data'!$F$8243,"")</f>
        <v/>
      </c>
      <c r="Z8242" t="n">
        <v>1</v>
      </c>
      <c r="AA8242">
        <f>IF(ISNUMBER('IN-CLASS_Lab Part C'!$J$8242),'IN-CLASS_Lab Part C'!$J$8242,NA())</f>
        <v/>
      </c>
    </row>
    <row r="8243">
      <c r="J8243">
        <f>IF(AND(ISNUMBER('Data'!$F$8244),'Data'!$F$8244&lt;&gt;999,'Data'!$F$8244&lt;&gt;""),'Data'!$F$8244,"")</f>
        <v/>
      </c>
      <c r="Z8243" t="n">
        <v>1</v>
      </c>
      <c r="AA8243">
        <f>IF(ISNUMBER('IN-CLASS_Lab Part C'!$J$8243),'IN-CLASS_Lab Part C'!$J$8243,NA())</f>
        <v/>
      </c>
    </row>
    <row r="8244">
      <c r="J8244">
        <f>IF(AND(ISNUMBER('Data'!$F$8245),'Data'!$F$8245&lt;&gt;999,'Data'!$F$8245&lt;&gt;""),'Data'!$F$8245,"")</f>
        <v/>
      </c>
      <c r="Z8244" t="n">
        <v>1</v>
      </c>
      <c r="AA8244">
        <f>IF(ISNUMBER('IN-CLASS_Lab Part C'!$J$8244),'IN-CLASS_Lab Part C'!$J$8244,NA())</f>
        <v/>
      </c>
    </row>
    <row r="8245">
      <c r="J8245">
        <f>IF(AND(ISNUMBER('Data'!$F$8246),'Data'!$F$8246&lt;&gt;999,'Data'!$F$8246&lt;&gt;""),'Data'!$F$8246,"")</f>
        <v/>
      </c>
      <c r="Z8245" t="n">
        <v>1</v>
      </c>
      <c r="AA8245">
        <f>IF(ISNUMBER('IN-CLASS_Lab Part C'!$J$8245),'IN-CLASS_Lab Part C'!$J$8245,NA())</f>
        <v/>
      </c>
    </row>
    <row r="8246">
      <c r="J8246">
        <f>IF(AND(ISNUMBER('Data'!$F$8247),'Data'!$F$8247&lt;&gt;999,'Data'!$F$8247&lt;&gt;""),'Data'!$F$8247,"")</f>
        <v/>
      </c>
      <c r="Z8246" t="n">
        <v>1</v>
      </c>
      <c r="AA8246">
        <f>IF(ISNUMBER('IN-CLASS_Lab Part C'!$J$8246),'IN-CLASS_Lab Part C'!$J$8246,NA())</f>
        <v/>
      </c>
    </row>
    <row r="8247">
      <c r="J8247">
        <f>IF(AND(ISNUMBER('Data'!$F$8248),'Data'!$F$8248&lt;&gt;999,'Data'!$F$8248&lt;&gt;""),'Data'!$F$8248,"")</f>
        <v/>
      </c>
      <c r="Z8247" t="n">
        <v>1</v>
      </c>
      <c r="AA8247">
        <f>IF(ISNUMBER('IN-CLASS_Lab Part C'!$J$8247),'IN-CLASS_Lab Part C'!$J$8247,NA())</f>
        <v/>
      </c>
    </row>
    <row r="8248">
      <c r="J8248">
        <f>IF(AND(ISNUMBER('Data'!$F$8249),'Data'!$F$8249&lt;&gt;999,'Data'!$F$8249&lt;&gt;""),'Data'!$F$8249,"")</f>
        <v/>
      </c>
      <c r="Z8248" t="n">
        <v>1</v>
      </c>
      <c r="AA8248">
        <f>IF(ISNUMBER('IN-CLASS_Lab Part C'!$J$8248),'IN-CLASS_Lab Part C'!$J$8248,NA())</f>
        <v/>
      </c>
    </row>
    <row r="8249">
      <c r="J8249">
        <f>IF(AND(ISNUMBER('Data'!$F$8250),'Data'!$F$8250&lt;&gt;999,'Data'!$F$8250&lt;&gt;""),'Data'!$F$8250,"")</f>
        <v/>
      </c>
      <c r="Z8249" t="n">
        <v>1</v>
      </c>
      <c r="AA8249">
        <f>IF(ISNUMBER('IN-CLASS_Lab Part C'!$J$8249),'IN-CLASS_Lab Part C'!$J$8249,NA())</f>
        <v/>
      </c>
    </row>
    <row r="8250">
      <c r="J8250">
        <f>IF(AND(ISNUMBER('Data'!$F$8251),'Data'!$F$8251&lt;&gt;999,'Data'!$F$8251&lt;&gt;""),'Data'!$F$8251,"")</f>
        <v/>
      </c>
      <c r="Z8250" t="n">
        <v>1</v>
      </c>
      <c r="AA8250">
        <f>IF(ISNUMBER('IN-CLASS_Lab Part C'!$J$8250),'IN-CLASS_Lab Part C'!$J$8250,NA())</f>
        <v/>
      </c>
    </row>
    <row r="8251">
      <c r="J8251">
        <f>IF(AND(ISNUMBER('Data'!$F$8252),'Data'!$F$8252&lt;&gt;999,'Data'!$F$8252&lt;&gt;""),'Data'!$F$8252,"")</f>
        <v/>
      </c>
      <c r="Z8251" t="n">
        <v>1</v>
      </c>
      <c r="AA8251">
        <f>IF(ISNUMBER('IN-CLASS_Lab Part C'!$J$8251),'IN-CLASS_Lab Part C'!$J$8251,NA())</f>
        <v/>
      </c>
    </row>
    <row r="8252">
      <c r="J8252">
        <f>IF(AND(ISNUMBER('Data'!$F$8253),'Data'!$F$8253&lt;&gt;999,'Data'!$F$8253&lt;&gt;""),'Data'!$F$8253,"")</f>
        <v/>
      </c>
      <c r="Z8252" t="n">
        <v>1</v>
      </c>
      <c r="AA8252">
        <f>IF(ISNUMBER('IN-CLASS_Lab Part C'!$J$8252),'IN-CLASS_Lab Part C'!$J$8252,NA())</f>
        <v/>
      </c>
    </row>
    <row r="8253">
      <c r="J8253">
        <f>IF(AND(ISNUMBER('Data'!$F$8254),'Data'!$F$8254&lt;&gt;999,'Data'!$F$8254&lt;&gt;""),'Data'!$F$8254,"")</f>
        <v/>
      </c>
      <c r="Z8253" t="n">
        <v>1</v>
      </c>
      <c r="AA8253">
        <f>IF(ISNUMBER('IN-CLASS_Lab Part C'!$J$8253),'IN-CLASS_Lab Part C'!$J$8253,NA())</f>
        <v/>
      </c>
    </row>
    <row r="8254">
      <c r="J8254">
        <f>IF(AND(ISNUMBER('Data'!$F$8255),'Data'!$F$8255&lt;&gt;999,'Data'!$F$8255&lt;&gt;""),'Data'!$F$8255,"")</f>
        <v/>
      </c>
      <c r="Z8254" t="n">
        <v>1</v>
      </c>
      <c r="AA8254">
        <f>IF(ISNUMBER('IN-CLASS_Lab Part C'!$J$8254),'IN-CLASS_Lab Part C'!$J$8254,NA())</f>
        <v/>
      </c>
    </row>
    <row r="8255">
      <c r="J8255">
        <f>IF(AND(ISNUMBER('Data'!$F$8256),'Data'!$F$8256&lt;&gt;999,'Data'!$F$8256&lt;&gt;""),'Data'!$F$8256,"")</f>
        <v/>
      </c>
      <c r="Z8255" t="n">
        <v>1</v>
      </c>
      <c r="AA8255">
        <f>IF(ISNUMBER('IN-CLASS_Lab Part C'!$J$8255),'IN-CLASS_Lab Part C'!$J$8255,NA())</f>
        <v/>
      </c>
    </row>
    <row r="8256">
      <c r="J8256">
        <f>IF(AND(ISNUMBER('Data'!$F$8257),'Data'!$F$8257&lt;&gt;999,'Data'!$F$8257&lt;&gt;""),'Data'!$F$8257,"")</f>
        <v/>
      </c>
      <c r="Z8256" t="n">
        <v>1</v>
      </c>
      <c r="AA8256">
        <f>IF(ISNUMBER('IN-CLASS_Lab Part C'!$J$8256),'IN-CLASS_Lab Part C'!$J$8256,NA())</f>
        <v/>
      </c>
    </row>
    <row r="8257">
      <c r="J8257">
        <f>IF(AND(ISNUMBER('Data'!$F$8258),'Data'!$F$8258&lt;&gt;999,'Data'!$F$8258&lt;&gt;""),'Data'!$F$8258,"")</f>
        <v/>
      </c>
      <c r="Z8257" t="n">
        <v>1</v>
      </c>
      <c r="AA8257">
        <f>IF(ISNUMBER('IN-CLASS_Lab Part C'!$J$8257),'IN-CLASS_Lab Part C'!$J$8257,NA())</f>
        <v/>
      </c>
    </row>
    <row r="8258">
      <c r="J8258">
        <f>IF(AND(ISNUMBER('Data'!$F$8259),'Data'!$F$8259&lt;&gt;999,'Data'!$F$8259&lt;&gt;""),'Data'!$F$8259,"")</f>
        <v/>
      </c>
      <c r="Z8258" t="n">
        <v>1</v>
      </c>
      <c r="AA8258">
        <f>IF(ISNUMBER('IN-CLASS_Lab Part C'!$J$8258),'IN-CLASS_Lab Part C'!$J$8258,NA())</f>
        <v/>
      </c>
    </row>
    <row r="8259">
      <c r="J8259">
        <f>IF(AND(ISNUMBER('Data'!$F$8260),'Data'!$F$8260&lt;&gt;999,'Data'!$F$8260&lt;&gt;""),'Data'!$F$8260,"")</f>
        <v/>
      </c>
      <c r="Z8259" t="n">
        <v>1</v>
      </c>
      <c r="AA8259">
        <f>IF(ISNUMBER('IN-CLASS_Lab Part C'!$J$8259),'IN-CLASS_Lab Part C'!$J$8259,NA())</f>
        <v/>
      </c>
    </row>
    <row r="8260">
      <c r="J8260">
        <f>IF(AND(ISNUMBER('Data'!$F$8261),'Data'!$F$8261&lt;&gt;999,'Data'!$F$8261&lt;&gt;""),'Data'!$F$8261,"")</f>
        <v/>
      </c>
      <c r="Z8260" t="n">
        <v>1</v>
      </c>
      <c r="AA8260">
        <f>IF(ISNUMBER('IN-CLASS_Lab Part C'!$J$8260),'IN-CLASS_Lab Part C'!$J$8260,NA())</f>
        <v/>
      </c>
    </row>
    <row r="8261">
      <c r="J8261">
        <f>IF(AND(ISNUMBER('Data'!$F$8262),'Data'!$F$8262&lt;&gt;999,'Data'!$F$8262&lt;&gt;""),'Data'!$F$8262,"")</f>
        <v/>
      </c>
      <c r="Z8261" t="n">
        <v>1</v>
      </c>
      <c r="AA8261">
        <f>IF(ISNUMBER('IN-CLASS_Lab Part C'!$J$8261),'IN-CLASS_Lab Part C'!$J$8261,NA())</f>
        <v/>
      </c>
    </row>
    <row r="8262">
      <c r="J8262">
        <f>IF(AND(ISNUMBER('Data'!$F$8263),'Data'!$F$8263&lt;&gt;999,'Data'!$F$8263&lt;&gt;""),'Data'!$F$8263,"")</f>
        <v/>
      </c>
      <c r="Z8262" t="n">
        <v>1</v>
      </c>
      <c r="AA8262">
        <f>IF(ISNUMBER('IN-CLASS_Lab Part C'!$J$8262),'IN-CLASS_Lab Part C'!$J$8262,NA())</f>
        <v/>
      </c>
    </row>
    <row r="8263">
      <c r="J8263">
        <f>IF(AND(ISNUMBER('Data'!$F$8264),'Data'!$F$8264&lt;&gt;999,'Data'!$F$8264&lt;&gt;""),'Data'!$F$8264,"")</f>
        <v/>
      </c>
      <c r="Z8263" t="n">
        <v>1</v>
      </c>
      <c r="AA8263">
        <f>IF(ISNUMBER('IN-CLASS_Lab Part C'!$J$8263),'IN-CLASS_Lab Part C'!$J$8263,NA())</f>
        <v/>
      </c>
    </row>
    <row r="8264">
      <c r="J8264">
        <f>IF(AND(ISNUMBER('Data'!$F$8265),'Data'!$F$8265&lt;&gt;999,'Data'!$F$8265&lt;&gt;""),'Data'!$F$8265,"")</f>
        <v/>
      </c>
      <c r="Z8264" t="n">
        <v>1</v>
      </c>
      <c r="AA8264">
        <f>IF(ISNUMBER('IN-CLASS_Lab Part C'!$J$8264),'IN-CLASS_Lab Part C'!$J$8264,NA())</f>
        <v/>
      </c>
    </row>
    <row r="8265">
      <c r="J8265">
        <f>IF(AND(ISNUMBER('Data'!$F$8266),'Data'!$F$8266&lt;&gt;999,'Data'!$F$8266&lt;&gt;""),'Data'!$F$8266,"")</f>
        <v/>
      </c>
      <c r="Z8265" t="n">
        <v>1</v>
      </c>
      <c r="AA8265">
        <f>IF(ISNUMBER('IN-CLASS_Lab Part C'!$J$8265),'IN-CLASS_Lab Part C'!$J$8265,NA())</f>
        <v/>
      </c>
    </row>
    <row r="8266">
      <c r="J8266">
        <f>IF(AND(ISNUMBER('Data'!$F$8267),'Data'!$F$8267&lt;&gt;999,'Data'!$F$8267&lt;&gt;""),'Data'!$F$8267,"")</f>
        <v/>
      </c>
      <c r="Z8266" t="n">
        <v>1</v>
      </c>
      <c r="AA8266">
        <f>IF(ISNUMBER('IN-CLASS_Lab Part C'!$J$8266),'IN-CLASS_Lab Part C'!$J$8266,NA())</f>
        <v/>
      </c>
    </row>
    <row r="8267">
      <c r="J8267">
        <f>IF(AND(ISNUMBER('Data'!$F$8268),'Data'!$F$8268&lt;&gt;999,'Data'!$F$8268&lt;&gt;""),'Data'!$F$8268,"")</f>
        <v/>
      </c>
      <c r="Z8267" t="n">
        <v>1</v>
      </c>
      <c r="AA8267">
        <f>IF(ISNUMBER('IN-CLASS_Lab Part C'!$J$8267),'IN-CLASS_Lab Part C'!$J$8267,NA())</f>
        <v/>
      </c>
    </row>
    <row r="8268">
      <c r="J8268">
        <f>IF(AND(ISNUMBER('Data'!$F$8269),'Data'!$F$8269&lt;&gt;999,'Data'!$F$8269&lt;&gt;""),'Data'!$F$8269,"")</f>
        <v/>
      </c>
      <c r="Z8268" t="n">
        <v>1</v>
      </c>
      <c r="AA8268">
        <f>IF(ISNUMBER('IN-CLASS_Lab Part C'!$J$8268),'IN-CLASS_Lab Part C'!$J$8268,NA())</f>
        <v/>
      </c>
    </row>
    <row r="8269">
      <c r="J8269">
        <f>IF(AND(ISNUMBER('Data'!$F$8270),'Data'!$F$8270&lt;&gt;999,'Data'!$F$8270&lt;&gt;""),'Data'!$F$8270,"")</f>
        <v/>
      </c>
      <c r="Z8269" t="n">
        <v>1</v>
      </c>
      <c r="AA8269">
        <f>IF(ISNUMBER('IN-CLASS_Lab Part C'!$J$8269),'IN-CLASS_Lab Part C'!$J$8269,NA())</f>
        <v/>
      </c>
    </row>
    <row r="8270">
      <c r="J8270">
        <f>IF(AND(ISNUMBER('Data'!$F$8271),'Data'!$F$8271&lt;&gt;999,'Data'!$F$8271&lt;&gt;""),'Data'!$F$8271,"")</f>
        <v/>
      </c>
      <c r="Z8270" t="n">
        <v>1</v>
      </c>
      <c r="AA8270">
        <f>IF(ISNUMBER('IN-CLASS_Lab Part C'!$J$8270),'IN-CLASS_Lab Part C'!$J$8270,NA())</f>
        <v/>
      </c>
    </row>
    <row r="8271">
      <c r="J8271">
        <f>IF(AND(ISNUMBER('Data'!$F$8272),'Data'!$F$8272&lt;&gt;999,'Data'!$F$8272&lt;&gt;""),'Data'!$F$8272,"")</f>
        <v/>
      </c>
      <c r="Z8271" t="n">
        <v>1</v>
      </c>
      <c r="AA8271">
        <f>IF(ISNUMBER('IN-CLASS_Lab Part C'!$J$8271),'IN-CLASS_Lab Part C'!$J$8271,NA())</f>
        <v/>
      </c>
    </row>
    <row r="8272">
      <c r="J8272">
        <f>IF(AND(ISNUMBER('Data'!$F$8273),'Data'!$F$8273&lt;&gt;999,'Data'!$F$8273&lt;&gt;""),'Data'!$F$8273,"")</f>
        <v/>
      </c>
      <c r="Z8272" t="n">
        <v>1</v>
      </c>
      <c r="AA8272">
        <f>IF(ISNUMBER('IN-CLASS_Lab Part C'!$J$8272),'IN-CLASS_Lab Part C'!$J$8272,NA())</f>
        <v/>
      </c>
    </row>
    <row r="8273">
      <c r="J8273">
        <f>IF(AND(ISNUMBER('Data'!$F$8274),'Data'!$F$8274&lt;&gt;999,'Data'!$F$8274&lt;&gt;""),'Data'!$F$8274,"")</f>
        <v/>
      </c>
      <c r="Z8273" t="n">
        <v>1</v>
      </c>
      <c r="AA8273">
        <f>IF(ISNUMBER('IN-CLASS_Lab Part C'!$J$8273),'IN-CLASS_Lab Part C'!$J$8273,NA())</f>
        <v/>
      </c>
    </row>
    <row r="8274">
      <c r="J8274">
        <f>IF(AND(ISNUMBER('Data'!$F$8275),'Data'!$F$8275&lt;&gt;999,'Data'!$F$8275&lt;&gt;""),'Data'!$F$8275,"")</f>
        <v/>
      </c>
      <c r="Z8274" t="n">
        <v>1</v>
      </c>
      <c r="AA8274">
        <f>IF(ISNUMBER('IN-CLASS_Lab Part C'!$J$8274),'IN-CLASS_Lab Part C'!$J$8274,NA())</f>
        <v/>
      </c>
    </row>
    <row r="8275">
      <c r="J8275">
        <f>IF(AND(ISNUMBER('Data'!$F$8276),'Data'!$F$8276&lt;&gt;999,'Data'!$F$8276&lt;&gt;""),'Data'!$F$8276,"")</f>
        <v/>
      </c>
      <c r="Z8275" t="n">
        <v>1</v>
      </c>
      <c r="AA8275">
        <f>IF(ISNUMBER('IN-CLASS_Lab Part C'!$J$8275),'IN-CLASS_Lab Part C'!$J$8275,NA())</f>
        <v/>
      </c>
    </row>
    <row r="8276">
      <c r="J8276">
        <f>IF(AND(ISNUMBER('Data'!$F$8277),'Data'!$F$8277&lt;&gt;999,'Data'!$F$8277&lt;&gt;""),'Data'!$F$8277,"")</f>
        <v/>
      </c>
      <c r="Z8276" t="n">
        <v>1</v>
      </c>
      <c r="AA8276">
        <f>IF(ISNUMBER('IN-CLASS_Lab Part C'!$J$8276),'IN-CLASS_Lab Part C'!$J$8276,NA())</f>
        <v/>
      </c>
    </row>
    <row r="8277">
      <c r="J8277">
        <f>IF(AND(ISNUMBER('Data'!$F$8278),'Data'!$F$8278&lt;&gt;999,'Data'!$F$8278&lt;&gt;""),'Data'!$F$8278,"")</f>
        <v/>
      </c>
      <c r="Z8277" t="n">
        <v>1</v>
      </c>
      <c r="AA8277">
        <f>IF(ISNUMBER('IN-CLASS_Lab Part C'!$J$8277),'IN-CLASS_Lab Part C'!$J$8277,NA())</f>
        <v/>
      </c>
    </row>
    <row r="8278">
      <c r="J8278">
        <f>IF(AND(ISNUMBER('Data'!$F$8279),'Data'!$F$8279&lt;&gt;999,'Data'!$F$8279&lt;&gt;""),'Data'!$F$8279,"")</f>
        <v/>
      </c>
      <c r="Z8278" t="n">
        <v>1</v>
      </c>
      <c r="AA8278">
        <f>IF(ISNUMBER('IN-CLASS_Lab Part C'!$J$8278),'IN-CLASS_Lab Part C'!$J$8278,NA())</f>
        <v/>
      </c>
    </row>
    <row r="8279">
      <c r="J8279">
        <f>IF(AND(ISNUMBER('Data'!$F$8280),'Data'!$F$8280&lt;&gt;999,'Data'!$F$8280&lt;&gt;""),'Data'!$F$8280,"")</f>
        <v/>
      </c>
      <c r="Z8279" t="n">
        <v>1</v>
      </c>
      <c r="AA8279">
        <f>IF(ISNUMBER('IN-CLASS_Lab Part C'!$J$8279),'IN-CLASS_Lab Part C'!$J$8279,NA())</f>
        <v/>
      </c>
    </row>
    <row r="8280">
      <c r="J8280">
        <f>IF(AND(ISNUMBER('Data'!$F$8281),'Data'!$F$8281&lt;&gt;999,'Data'!$F$8281&lt;&gt;""),'Data'!$F$8281,"")</f>
        <v/>
      </c>
      <c r="Z8280" t="n">
        <v>1</v>
      </c>
      <c r="AA8280">
        <f>IF(ISNUMBER('IN-CLASS_Lab Part C'!$J$8280),'IN-CLASS_Lab Part C'!$J$8280,NA())</f>
        <v/>
      </c>
    </row>
    <row r="8281">
      <c r="J8281">
        <f>IF(AND(ISNUMBER('Data'!$F$8282),'Data'!$F$8282&lt;&gt;999,'Data'!$F$8282&lt;&gt;""),'Data'!$F$8282,"")</f>
        <v/>
      </c>
      <c r="Z8281" t="n">
        <v>1</v>
      </c>
      <c r="AA8281">
        <f>IF(ISNUMBER('IN-CLASS_Lab Part C'!$J$8281),'IN-CLASS_Lab Part C'!$J$8281,NA())</f>
        <v/>
      </c>
    </row>
    <row r="8282">
      <c r="J8282">
        <f>IF(AND(ISNUMBER('Data'!$F$8283),'Data'!$F$8283&lt;&gt;999,'Data'!$F$8283&lt;&gt;""),'Data'!$F$8283,"")</f>
        <v/>
      </c>
      <c r="Z8282" t="n">
        <v>1</v>
      </c>
      <c r="AA8282">
        <f>IF(ISNUMBER('IN-CLASS_Lab Part C'!$J$8282),'IN-CLASS_Lab Part C'!$J$8282,NA())</f>
        <v/>
      </c>
    </row>
    <row r="8283">
      <c r="J8283">
        <f>IF(AND(ISNUMBER('Data'!$F$8284),'Data'!$F$8284&lt;&gt;999,'Data'!$F$8284&lt;&gt;""),'Data'!$F$8284,"")</f>
        <v/>
      </c>
      <c r="Z8283" t="n">
        <v>1</v>
      </c>
      <c r="AA8283">
        <f>IF(ISNUMBER('IN-CLASS_Lab Part C'!$J$8283),'IN-CLASS_Lab Part C'!$J$8283,NA())</f>
        <v/>
      </c>
    </row>
    <row r="8284">
      <c r="J8284">
        <f>IF(AND(ISNUMBER('Data'!$F$8285),'Data'!$F$8285&lt;&gt;999,'Data'!$F$8285&lt;&gt;""),'Data'!$F$8285,"")</f>
        <v/>
      </c>
      <c r="Z8284" t="n">
        <v>1</v>
      </c>
      <c r="AA8284">
        <f>IF(ISNUMBER('IN-CLASS_Lab Part C'!$J$8284),'IN-CLASS_Lab Part C'!$J$8284,NA())</f>
        <v/>
      </c>
    </row>
    <row r="8285">
      <c r="J8285">
        <f>IF(AND(ISNUMBER('Data'!$F$8286),'Data'!$F$8286&lt;&gt;999,'Data'!$F$8286&lt;&gt;""),'Data'!$F$8286,"")</f>
        <v/>
      </c>
      <c r="Z8285" t="n">
        <v>1</v>
      </c>
      <c r="AA8285">
        <f>IF(ISNUMBER('IN-CLASS_Lab Part C'!$J$8285),'IN-CLASS_Lab Part C'!$J$8285,NA())</f>
        <v/>
      </c>
    </row>
    <row r="8286">
      <c r="J8286">
        <f>IF(AND(ISNUMBER('Data'!$F$8287),'Data'!$F$8287&lt;&gt;999,'Data'!$F$8287&lt;&gt;""),'Data'!$F$8287,"")</f>
        <v/>
      </c>
      <c r="Z8286" t="n">
        <v>1</v>
      </c>
      <c r="AA8286">
        <f>IF(ISNUMBER('IN-CLASS_Lab Part C'!$J$8286),'IN-CLASS_Lab Part C'!$J$8286,NA())</f>
        <v/>
      </c>
    </row>
    <row r="8287">
      <c r="J8287">
        <f>IF(AND(ISNUMBER('Data'!$F$8288),'Data'!$F$8288&lt;&gt;999,'Data'!$F$8288&lt;&gt;""),'Data'!$F$8288,"")</f>
        <v/>
      </c>
      <c r="Z8287" t="n">
        <v>1</v>
      </c>
      <c r="AA8287">
        <f>IF(ISNUMBER('IN-CLASS_Lab Part C'!$J$8287),'IN-CLASS_Lab Part C'!$J$8287,NA())</f>
        <v/>
      </c>
    </row>
    <row r="8288">
      <c r="J8288">
        <f>IF(AND(ISNUMBER('Data'!$F$8289),'Data'!$F$8289&lt;&gt;999,'Data'!$F$8289&lt;&gt;""),'Data'!$F$8289,"")</f>
        <v/>
      </c>
      <c r="Z8288" t="n">
        <v>1</v>
      </c>
      <c r="AA8288">
        <f>IF(ISNUMBER('IN-CLASS_Lab Part C'!$J$8288),'IN-CLASS_Lab Part C'!$J$8288,NA())</f>
        <v/>
      </c>
    </row>
    <row r="8289">
      <c r="J8289">
        <f>IF(AND(ISNUMBER('Data'!$F$8290),'Data'!$F$8290&lt;&gt;999,'Data'!$F$8290&lt;&gt;""),'Data'!$F$8290,"")</f>
        <v/>
      </c>
      <c r="Z8289" t="n">
        <v>1</v>
      </c>
      <c r="AA8289">
        <f>IF(ISNUMBER('IN-CLASS_Lab Part C'!$J$8289),'IN-CLASS_Lab Part C'!$J$8289,NA())</f>
        <v/>
      </c>
    </row>
    <row r="8290">
      <c r="J8290">
        <f>IF(AND(ISNUMBER('Data'!$F$8291),'Data'!$F$8291&lt;&gt;999,'Data'!$F$8291&lt;&gt;""),'Data'!$F$8291,"")</f>
        <v/>
      </c>
      <c r="Z8290" t="n">
        <v>1</v>
      </c>
      <c r="AA8290">
        <f>IF(ISNUMBER('IN-CLASS_Lab Part C'!$J$8290),'IN-CLASS_Lab Part C'!$J$8290,NA())</f>
        <v/>
      </c>
    </row>
    <row r="8291">
      <c r="J8291">
        <f>IF(AND(ISNUMBER('Data'!$F$8292),'Data'!$F$8292&lt;&gt;999,'Data'!$F$8292&lt;&gt;""),'Data'!$F$8292,"")</f>
        <v/>
      </c>
      <c r="Z8291" t="n">
        <v>1</v>
      </c>
      <c r="AA8291">
        <f>IF(ISNUMBER('IN-CLASS_Lab Part C'!$J$8291),'IN-CLASS_Lab Part C'!$J$8291,NA())</f>
        <v/>
      </c>
    </row>
    <row r="8292">
      <c r="J8292">
        <f>IF(AND(ISNUMBER('Data'!$F$8293),'Data'!$F$8293&lt;&gt;999,'Data'!$F$8293&lt;&gt;""),'Data'!$F$8293,"")</f>
        <v/>
      </c>
      <c r="Z8292" t="n">
        <v>1</v>
      </c>
      <c r="AA8292">
        <f>IF(ISNUMBER('IN-CLASS_Lab Part C'!$J$8292),'IN-CLASS_Lab Part C'!$J$8292,NA())</f>
        <v/>
      </c>
    </row>
    <row r="8293">
      <c r="J8293">
        <f>IF(AND(ISNUMBER('Data'!$F$8294),'Data'!$F$8294&lt;&gt;999,'Data'!$F$8294&lt;&gt;""),'Data'!$F$8294,"")</f>
        <v/>
      </c>
      <c r="Z8293" t="n">
        <v>1</v>
      </c>
      <c r="AA8293">
        <f>IF(ISNUMBER('IN-CLASS_Lab Part C'!$J$8293),'IN-CLASS_Lab Part C'!$J$8293,NA())</f>
        <v/>
      </c>
    </row>
    <row r="8294">
      <c r="J8294">
        <f>IF(AND(ISNUMBER('Data'!$F$8295),'Data'!$F$8295&lt;&gt;999,'Data'!$F$8295&lt;&gt;""),'Data'!$F$8295,"")</f>
        <v/>
      </c>
      <c r="Z8294" t="n">
        <v>1</v>
      </c>
      <c r="AA8294">
        <f>IF(ISNUMBER('IN-CLASS_Lab Part C'!$J$8294),'IN-CLASS_Lab Part C'!$J$8294,NA())</f>
        <v/>
      </c>
    </row>
    <row r="8295">
      <c r="J8295">
        <f>IF(AND(ISNUMBER('Data'!$F$8296),'Data'!$F$8296&lt;&gt;999,'Data'!$F$8296&lt;&gt;""),'Data'!$F$8296,"")</f>
        <v/>
      </c>
      <c r="Z8295" t="n">
        <v>1</v>
      </c>
      <c r="AA8295">
        <f>IF(ISNUMBER('IN-CLASS_Lab Part C'!$J$8295),'IN-CLASS_Lab Part C'!$J$8295,NA())</f>
        <v/>
      </c>
    </row>
    <row r="8296">
      <c r="J8296">
        <f>IF(AND(ISNUMBER('Data'!$F$8297),'Data'!$F$8297&lt;&gt;999,'Data'!$F$8297&lt;&gt;""),'Data'!$F$8297,"")</f>
        <v/>
      </c>
      <c r="Z8296" t="n">
        <v>1</v>
      </c>
      <c r="AA8296">
        <f>IF(ISNUMBER('IN-CLASS_Lab Part C'!$J$8296),'IN-CLASS_Lab Part C'!$J$8296,NA())</f>
        <v/>
      </c>
    </row>
    <row r="8297">
      <c r="J8297">
        <f>IF(AND(ISNUMBER('Data'!$F$8298),'Data'!$F$8298&lt;&gt;999,'Data'!$F$8298&lt;&gt;""),'Data'!$F$8298,"")</f>
        <v/>
      </c>
      <c r="Z8297" t="n">
        <v>1</v>
      </c>
      <c r="AA8297">
        <f>IF(ISNUMBER('IN-CLASS_Lab Part C'!$J$8297),'IN-CLASS_Lab Part C'!$J$8297,NA())</f>
        <v/>
      </c>
    </row>
    <row r="8298">
      <c r="J8298">
        <f>IF(AND(ISNUMBER('Data'!$F$8299),'Data'!$F$8299&lt;&gt;999,'Data'!$F$8299&lt;&gt;""),'Data'!$F$8299,"")</f>
        <v/>
      </c>
      <c r="Z8298" t="n">
        <v>1</v>
      </c>
      <c r="AA8298">
        <f>IF(ISNUMBER('IN-CLASS_Lab Part C'!$J$8298),'IN-CLASS_Lab Part C'!$J$8298,NA())</f>
        <v/>
      </c>
    </row>
    <row r="8299">
      <c r="J8299">
        <f>IF(AND(ISNUMBER('Data'!$F$8300),'Data'!$F$8300&lt;&gt;999,'Data'!$F$8300&lt;&gt;""),'Data'!$F$8300,"")</f>
        <v/>
      </c>
      <c r="Z8299" t="n">
        <v>1</v>
      </c>
      <c r="AA8299">
        <f>IF(ISNUMBER('IN-CLASS_Lab Part C'!$J$8299),'IN-CLASS_Lab Part C'!$J$8299,NA())</f>
        <v/>
      </c>
    </row>
    <row r="8300">
      <c r="J8300">
        <f>IF(AND(ISNUMBER('Data'!$F$8301),'Data'!$F$8301&lt;&gt;999,'Data'!$F$8301&lt;&gt;""),'Data'!$F$8301,"")</f>
        <v/>
      </c>
      <c r="Z8300" t="n">
        <v>1</v>
      </c>
      <c r="AA8300">
        <f>IF(ISNUMBER('IN-CLASS_Lab Part C'!$J$8300),'IN-CLASS_Lab Part C'!$J$8300,NA())</f>
        <v/>
      </c>
    </row>
    <row r="8301">
      <c r="J8301">
        <f>IF(AND(ISNUMBER('Data'!$F$8302),'Data'!$F$8302&lt;&gt;999,'Data'!$F$8302&lt;&gt;""),'Data'!$F$8302,"")</f>
        <v/>
      </c>
      <c r="Z8301" t="n">
        <v>1</v>
      </c>
      <c r="AA8301">
        <f>IF(ISNUMBER('IN-CLASS_Lab Part C'!$J$8301),'IN-CLASS_Lab Part C'!$J$8301,NA())</f>
        <v/>
      </c>
    </row>
    <row r="8302">
      <c r="J8302">
        <f>IF(AND(ISNUMBER('Data'!$F$8303),'Data'!$F$8303&lt;&gt;999,'Data'!$F$8303&lt;&gt;""),'Data'!$F$8303,"")</f>
        <v/>
      </c>
      <c r="Z8302" t="n">
        <v>1</v>
      </c>
      <c r="AA8302">
        <f>IF(ISNUMBER('IN-CLASS_Lab Part C'!$J$8302),'IN-CLASS_Lab Part C'!$J$8302,NA())</f>
        <v/>
      </c>
    </row>
    <row r="8303">
      <c r="J8303">
        <f>IF(AND(ISNUMBER('Data'!$F$8304),'Data'!$F$8304&lt;&gt;999,'Data'!$F$8304&lt;&gt;""),'Data'!$F$8304,"")</f>
        <v/>
      </c>
      <c r="Z8303" t="n">
        <v>1</v>
      </c>
      <c r="AA8303">
        <f>IF(ISNUMBER('IN-CLASS_Lab Part C'!$J$8303),'IN-CLASS_Lab Part C'!$J$8303,NA())</f>
        <v/>
      </c>
    </row>
    <row r="8304">
      <c r="J8304">
        <f>IF(AND(ISNUMBER('Data'!$F$8305),'Data'!$F$8305&lt;&gt;999,'Data'!$F$8305&lt;&gt;""),'Data'!$F$8305,"")</f>
        <v/>
      </c>
      <c r="Z8304" t="n">
        <v>1</v>
      </c>
      <c r="AA8304">
        <f>IF(ISNUMBER('IN-CLASS_Lab Part C'!$J$8304),'IN-CLASS_Lab Part C'!$J$8304,NA())</f>
        <v/>
      </c>
    </row>
    <row r="8305">
      <c r="J8305">
        <f>IF(AND(ISNUMBER('Data'!$F$8306),'Data'!$F$8306&lt;&gt;999,'Data'!$F$8306&lt;&gt;""),'Data'!$F$8306,"")</f>
        <v/>
      </c>
      <c r="Z8305" t="n">
        <v>1</v>
      </c>
      <c r="AA8305">
        <f>IF(ISNUMBER('IN-CLASS_Lab Part C'!$J$8305),'IN-CLASS_Lab Part C'!$J$8305,NA())</f>
        <v/>
      </c>
    </row>
    <row r="8306">
      <c r="J8306">
        <f>IF(AND(ISNUMBER('Data'!$F$8307),'Data'!$F$8307&lt;&gt;999,'Data'!$F$8307&lt;&gt;""),'Data'!$F$8307,"")</f>
        <v/>
      </c>
      <c r="Z8306" t="n">
        <v>1</v>
      </c>
      <c r="AA8306">
        <f>IF(ISNUMBER('IN-CLASS_Lab Part C'!$J$8306),'IN-CLASS_Lab Part C'!$J$8306,NA())</f>
        <v/>
      </c>
    </row>
    <row r="8307">
      <c r="J8307">
        <f>IF(AND(ISNUMBER('Data'!$F$8308),'Data'!$F$8308&lt;&gt;999,'Data'!$F$8308&lt;&gt;""),'Data'!$F$8308,"")</f>
        <v/>
      </c>
      <c r="Z8307" t="n">
        <v>1</v>
      </c>
      <c r="AA8307">
        <f>IF(ISNUMBER('IN-CLASS_Lab Part C'!$J$8307),'IN-CLASS_Lab Part C'!$J$8307,NA())</f>
        <v/>
      </c>
    </row>
    <row r="8308">
      <c r="J8308">
        <f>IF(AND(ISNUMBER('Data'!$F$8309),'Data'!$F$8309&lt;&gt;999,'Data'!$F$8309&lt;&gt;""),'Data'!$F$8309,"")</f>
        <v/>
      </c>
      <c r="Z8308" t="n">
        <v>1</v>
      </c>
      <c r="AA8308">
        <f>IF(ISNUMBER('IN-CLASS_Lab Part C'!$J$8308),'IN-CLASS_Lab Part C'!$J$8308,NA())</f>
        <v/>
      </c>
    </row>
    <row r="8309">
      <c r="J8309">
        <f>IF(AND(ISNUMBER('Data'!$F$8310),'Data'!$F$8310&lt;&gt;999,'Data'!$F$8310&lt;&gt;""),'Data'!$F$8310,"")</f>
        <v/>
      </c>
      <c r="Z8309" t="n">
        <v>1</v>
      </c>
      <c r="AA8309">
        <f>IF(ISNUMBER('IN-CLASS_Lab Part C'!$J$8309),'IN-CLASS_Lab Part C'!$J$8309,NA())</f>
        <v/>
      </c>
    </row>
    <row r="8310">
      <c r="J8310">
        <f>IF(AND(ISNUMBER('Data'!$F$8311),'Data'!$F$8311&lt;&gt;999,'Data'!$F$8311&lt;&gt;""),'Data'!$F$8311,"")</f>
        <v/>
      </c>
      <c r="Z8310" t="n">
        <v>1</v>
      </c>
      <c r="AA8310">
        <f>IF(ISNUMBER('IN-CLASS_Lab Part C'!$J$8310),'IN-CLASS_Lab Part C'!$J$8310,NA())</f>
        <v/>
      </c>
    </row>
    <row r="8311">
      <c r="J8311">
        <f>IF(AND(ISNUMBER('Data'!$F$8312),'Data'!$F$8312&lt;&gt;999,'Data'!$F$8312&lt;&gt;""),'Data'!$F$8312,"")</f>
        <v/>
      </c>
      <c r="Z8311" t="n">
        <v>1</v>
      </c>
      <c r="AA8311">
        <f>IF(ISNUMBER('IN-CLASS_Lab Part C'!$J$8311),'IN-CLASS_Lab Part C'!$J$8311,NA())</f>
        <v/>
      </c>
    </row>
    <row r="8312">
      <c r="J8312">
        <f>IF(AND(ISNUMBER('Data'!$F$8313),'Data'!$F$8313&lt;&gt;999,'Data'!$F$8313&lt;&gt;""),'Data'!$F$8313,"")</f>
        <v/>
      </c>
      <c r="Z8312" t="n">
        <v>1</v>
      </c>
      <c r="AA8312">
        <f>IF(ISNUMBER('IN-CLASS_Lab Part C'!$J$8312),'IN-CLASS_Lab Part C'!$J$8312,NA())</f>
        <v/>
      </c>
    </row>
    <row r="8313">
      <c r="J8313">
        <f>IF(AND(ISNUMBER('Data'!$F$8314),'Data'!$F$8314&lt;&gt;999,'Data'!$F$8314&lt;&gt;""),'Data'!$F$8314,"")</f>
        <v/>
      </c>
      <c r="Z8313" t="n">
        <v>1</v>
      </c>
      <c r="AA8313">
        <f>IF(ISNUMBER('IN-CLASS_Lab Part C'!$J$8313),'IN-CLASS_Lab Part C'!$J$8313,NA())</f>
        <v/>
      </c>
    </row>
    <row r="8314">
      <c r="J8314">
        <f>IF(AND(ISNUMBER('Data'!$F$8315),'Data'!$F$8315&lt;&gt;999,'Data'!$F$8315&lt;&gt;""),'Data'!$F$8315,"")</f>
        <v/>
      </c>
      <c r="Z8314" t="n">
        <v>1</v>
      </c>
      <c r="AA8314">
        <f>IF(ISNUMBER('IN-CLASS_Lab Part C'!$J$8314),'IN-CLASS_Lab Part C'!$J$8314,NA())</f>
        <v/>
      </c>
    </row>
    <row r="8315">
      <c r="J8315">
        <f>IF(AND(ISNUMBER('Data'!$F$8316),'Data'!$F$8316&lt;&gt;999,'Data'!$F$8316&lt;&gt;""),'Data'!$F$8316,"")</f>
        <v/>
      </c>
      <c r="Z8315" t="n">
        <v>1</v>
      </c>
      <c r="AA8315">
        <f>IF(ISNUMBER('IN-CLASS_Lab Part C'!$J$8315),'IN-CLASS_Lab Part C'!$J$8315,NA())</f>
        <v/>
      </c>
    </row>
    <row r="8316">
      <c r="J8316">
        <f>IF(AND(ISNUMBER('Data'!$F$8317),'Data'!$F$8317&lt;&gt;999,'Data'!$F$8317&lt;&gt;""),'Data'!$F$8317,"")</f>
        <v/>
      </c>
      <c r="Z8316" t="n">
        <v>1</v>
      </c>
      <c r="AA8316">
        <f>IF(ISNUMBER('IN-CLASS_Lab Part C'!$J$8316),'IN-CLASS_Lab Part C'!$J$8316,NA())</f>
        <v/>
      </c>
    </row>
    <row r="8317">
      <c r="J8317">
        <f>IF(AND(ISNUMBER('Data'!$F$8318),'Data'!$F$8318&lt;&gt;999,'Data'!$F$8318&lt;&gt;""),'Data'!$F$8318,"")</f>
        <v/>
      </c>
      <c r="Z8317" t="n">
        <v>1</v>
      </c>
      <c r="AA8317">
        <f>IF(ISNUMBER('IN-CLASS_Lab Part C'!$J$8317),'IN-CLASS_Lab Part C'!$J$8317,NA())</f>
        <v/>
      </c>
    </row>
    <row r="8318">
      <c r="J8318">
        <f>IF(AND(ISNUMBER('Data'!$F$8319),'Data'!$F$8319&lt;&gt;999,'Data'!$F$8319&lt;&gt;""),'Data'!$F$8319,"")</f>
        <v/>
      </c>
      <c r="Z8318" t="n">
        <v>1</v>
      </c>
      <c r="AA8318">
        <f>IF(ISNUMBER('IN-CLASS_Lab Part C'!$J$8318),'IN-CLASS_Lab Part C'!$J$8318,NA())</f>
        <v/>
      </c>
    </row>
    <row r="8319">
      <c r="J8319">
        <f>IF(AND(ISNUMBER('Data'!$F$8320),'Data'!$F$8320&lt;&gt;999,'Data'!$F$8320&lt;&gt;""),'Data'!$F$8320,"")</f>
        <v/>
      </c>
      <c r="Z8319" t="n">
        <v>1</v>
      </c>
      <c r="AA8319">
        <f>IF(ISNUMBER('IN-CLASS_Lab Part C'!$J$8319),'IN-CLASS_Lab Part C'!$J$8319,NA())</f>
        <v/>
      </c>
    </row>
    <row r="8320">
      <c r="J8320">
        <f>IF(AND(ISNUMBER('Data'!$F$8321),'Data'!$F$8321&lt;&gt;999,'Data'!$F$8321&lt;&gt;""),'Data'!$F$8321,"")</f>
        <v/>
      </c>
      <c r="Z8320" t="n">
        <v>1</v>
      </c>
      <c r="AA8320">
        <f>IF(ISNUMBER('IN-CLASS_Lab Part C'!$J$8320),'IN-CLASS_Lab Part C'!$J$8320,NA())</f>
        <v/>
      </c>
    </row>
    <row r="8321">
      <c r="J8321">
        <f>IF(AND(ISNUMBER('Data'!$F$8322),'Data'!$F$8322&lt;&gt;999,'Data'!$F$8322&lt;&gt;""),'Data'!$F$8322,"")</f>
        <v/>
      </c>
      <c r="Z8321" t="n">
        <v>1</v>
      </c>
      <c r="AA8321">
        <f>IF(ISNUMBER('IN-CLASS_Lab Part C'!$J$8321),'IN-CLASS_Lab Part C'!$J$8321,NA())</f>
        <v/>
      </c>
    </row>
    <row r="8322">
      <c r="J8322">
        <f>IF(AND(ISNUMBER('Data'!$F$8323),'Data'!$F$8323&lt;&gt;999,'Data'!$F$8323&lt;&gt;""),'Data'!$F$8323,"")</f>
        <v/>
      </c>
      <c r="Z8322" t="n">
        <v>1</v>
      </c>
      <c r="AA8322">
        <f>IF(ISNUMBER('IN-CLASS_Lab Part C'!$J$8322),'IN-CLASS_Lab Part C'!$J$8322,NA())</f>
        <v/>
      </c>
    </row>
    <row r="8323">
      <c r="J8323">
        <f>IF(AND(ISNUMBER('Data'!$F$8324),'Data'!$F$8324&lt;&gt;999,'Data'!$F$8324&lt;&gt;""),'Data'!$F$8324,"")</f>
        <v/>
      </c>
      <c r="Z8323" t="n">
        <v>1</v>
      </c>
      <c r="AA8323">
        <f>IF(ISNUMBER('IN-CLASS_Lab Part C'!$J$8323),'IN-CLASS_Lab Part C'!$J$8323,NA())</f>
        <v/>
      </c>
    </row>
    <row r="8324">
      <c r="J8324">
        <f>IF(AND(ISNUMBER('Data'!$F$8325),'Data'!$F$8325&lt;&gt;999,'Data'!$F$8325&lt;&gt;""),'Data'!$F$8325,"")</f>
        <v/>
      </c>
      <c r="Z8324" t="n">
        <v>1</v>
      </c>
      <c r="AA8324">
        <f>IF(ISNUMBER('IN-CLASS_Lab Part C'!$J$8324),'IN-CLASS_Lab Part C'!$J$8324,NA())</f>
        <v/>
      </c>
    </row>
    <row r="8325">
      <c r="J8325">
        <f>IF(AND(ISNUMBER('Data'!$F$8326),'Data'!$F$8326&lt;&gt;999,'Data'!$F$8326&lt;&gt;""),'Data'!$F$8326,"")</f>
        <v/>
      </c>
      <c r="Z8325" t="n">
        <v>1</v>
      </c>
      <c r="AA8325">
        <f>IF(ISNUMBER('IN-CLASS_Lab Part C'!$J$8325),'IN-CLASS_Lab Part C'!$J$8325,NA())</f>
        <v/>
      </c>
    </row>
    <row r="8326">
      <c r="J8326">
        <f>IF(AND(ISNUMBER('Data'!$F$8327),'Data'!$F$8327&lt;&gt;999,'Data'!$F$8327&lt;&gt;""),'Data'!$F$8327,"")</f>
        <v/>
      </c>
      <c r="Z8326" t="n">
        <v>1</v>
      </c>
      <c r="AA8326">
        <f>IF(ISNUMBER('IN-CLASS_Lab Part C'!$J$8326),'IN-CLASS_Lab Part C'!$J$8326,NA())</f>
        <v/>
      </c>
    </row>
    <row r="8327">
      <c r="J8327">
        <f>IF(AND(ISNUMBER('Data'!$F$8328),'Data'!$F$8328&lt;&gt;999,'Data'!$F$8328&lt;&gt;""),'Data'!$F$8328,"")</f>
        <v/>
      </c>
      <c r="Z8327" t="n">
        <v>1</v>
      </c>
      <c r="AA8327">
        <f>IF(ISNUMBER('IN-CLASS_Lab Part C'!$J$8327),'IN-CLASS_Lab Part C'!$J$8327,NA())</f>
        <v/>
      </c>
    </row>
    <row r="8328">
      <c r="J8328">
        <f>IF(AND(ISNUMBER('Data'!$F$8329),'Data'!$F$8329&lt;&gt;999,'Data'!$F$8329&lt;&gt;""),'Data'!$F$8329,"")</f>
        <v/>
      </c>
      <c r="Z8328" t="n">
        <v>1</v>
      </c>
      <c r="AA8328">
        <f>IF(ISNUMBER('IN-CLASS_Lab Part C'!$J$8328),'IN-CLASS_Lab Part C'!$J$8328,NA())</f>
        <v/>
      </c>
    </row>
    <row r="8329">
      <c r="J8329">
        <f>IF(AND(ISNUMBER('Data'!$F$8330),'Data'!$F$8330&lt;&gt;999,'Data'!$F$8330&lt;&gt;""),'Data'!$F$8330,"")</f>
        <v/>
      </c>
      <c r="Z8329" t="n">
        <v>1</v>
      </c>
      <c r="AA8329">
        <f>IF(ISNUMBER('IN-CLASS_Lab Part C'!$J$8329),'IN-CLASS_Lab Part C'!$J$8329,NA())</f>
        <v/>
      </c>
    </row>
    <row r="8330">
      <c r="J8330">
        <f>IF(AND(ISNUMBER('Data'!$F$8331),'Data'!$F$8331&lt;&gt;999,'Data'!$F$8331&lt;&gt;""),'Data'!$F$8331,"")</f>
        <v/>
      </c>
      <c r="Z8330" t="n">
        <v>1</v>
      </c>
      <c r="AA8330">
        <f>IF(ISNUMBER('IN-CLASS_Lab Part C'!$J$8330),'IN-CLASS_Lab Part C'!$J$8330,NA())</f>
        <v/>
      </c>
    </row>
    <row r="8331">
      <c r="J8331">
        <f>IF(AND(ISNUMBER('Data'!$F$8332),'Data'!$F$8332&lt;&gt;999,'Data'!$F$8332&lt;&gt;""),'Data'!$F$8332,"")</f>
        <v/>
      </c>
      <c r="Z8331" t="n">
        <v>1</v>
      </c>
      <c r="AA8331">
        <f>IF(ISNUMBER('IN-CLASS_Lab Part C'!$J$8331),'IN-CLASS_Lab Part C'!$J$8331,NA())</f>
        <v/>
      </c>
    </row>
    <row r="8332">
      <c r="J8332">
        <f>IF(AND(ISNUMBER('Data'!$F$8333),'Data'!$F$8333&lt;&gt;999,'Data'!$F$8333&lt;&gt;""),'Data'!$F$8333,"")</f>
        <v/>
      </c>
      <c r="Z8332" t="n">
        <v>1</v>
      </c>
      <c r="AA8332">
        <f>IF(ISNUMBER('IN-CLASS_Lab Part C'!$J$8332),'IN-CLASS_Lab Part C'!$J$8332,NA())</f>
        <v/>
      </c>
    </row>
    <row r="8333">
      <c r="J8333">
        <f>IF(AND(ISNUMBER('Data'!$F$8334),'Data'!$F$8334&lt;&gt;999,'Data'!$F$8334&lt;&gt;""),'Data'!$F$8334,"")</f>
        <v/>
      </c>
      <c r="Z8333" t="n">
        <v>1</v>
      </c>
      <c r="AA8333">
        <f>IF(ISNUMBER('IN-CLASS_Lab Part C'!$J$8333),'IN-CLASS_Lab Part C'!$J$8333,NA())</f>
        <v/>
      </c>
    </row>
    <row r="8334">
      <c r="J8334">
        <f>IF(AND(ISNUMBER('Data'!$F$8335),'Data'!$F$8335&lt;&gt;999,'Data'!$F$8335&lt;&gt;""),'Data'!$F$8335,"")</f>
        <v/>
      </c>
      <c r="Z8334" t="n">
        <v>1</v>
      </c>
      <c r="AA8334">
        <f>IF(ISNUMBER('IN-CLASS_Lab Part C'!$J$8334),'IN-CLASS_Lab Part C'!$J$8334,NA())</f>
        <v/>
      </c>
    </row>
    <row r="8335">
      <c r="J8335">
        <f>IF(AND(ISNUMBER('Data'!$F$8336),'Data'!$F$8336&lt;&gt;999,'Data'!$F$8336&lt;&gt;""),'Data'!$F$8336,"")</f>
        <v/>
      </c>
      <c r="Z8335" t="n">
        <v>1</v>
      </c>
      <c r="AA8335">
        <f>IF(ISNUMBER('IN-CLASS_Lab Part C'!$J$8335),'IN-CLASS_Lab Part C'!$J$8335,NA())</f>
        <v/>
      </c>
    </row>
    <row r="8336">
      <c r="J8336">
        <f>IF(AND(ISNUMBER('Data'!$F$8337),'Data'!$F$8337&lt;&gt;999,'Data'!$F$8337&lt;&gt;""),'Data'!$F$8337,"")</f>
        <v/>
      </c>
      <c r="Z8336" t="n">
        <v>1</v>
      </c>
      <c r="AA8336">
        <f>IF(ISNUMBER('IN-CLASS_Lab Part C'!$J$8336),'IN-CLASS_Lab Part C'!$J$8336,NA())</f>
        <v/>
      </c>
    </row>
    <row r="8337">
      <c r="J8337">
        <f>IF(AND(ISNUMBER('Data'!$F$8338),'Data'!$F$8338&lt;&gt;999,'Data'!$F$8338&lt;&gt;""),'Data'!$F$8338,"")</f>
        <v/>
      </c>
      <c r="Z8337" t="n">
        <v>1</v>
      </c>
      <c r="AA8337">
        <f>IF(ISNUMBER('IN-CLASS_Lab Part C'!$J$8337),'IN-CLASS_Lab Part C'!$J$8337,NA())</f>
        <v/>
      </c>
    </row>
    <row r="8338">
      <c r="J8338">
        <f>IF(AND(ISNUMBER('Data'!$F$8339),'Data'!$F$8339&lt;&gt;999,'Data'!$F$8339&lt;&gt;""),'Data'!$F$8339,"")</f>
        <v/>
      </c>
      <c r="Z8338" t="n">
        <v>1</v>
      </c>
      <c r="AA8338">
        <f>IF(ISNUMBER('IN-CLASS_Lab Part C'!$J$8338),'IN-CLASS_Lab Part C'!$J$8338,NA())</f>
        <v/>
      </c>
    </row>
    <row r="8339">
      <c r="J8339">
        <f>IF(AND(ISNUMBER('Data'!$F$8340),'Data'!$F$8340&lt;&gt;999,'Data'!$F$8340&lt;&gt;""),'Data'!$F$8340,"")</f>
        <v/>
      </c>
      <c r="Z8339" t="n">
        <v>1</v>
      </c>
      <c r="AA8339">
        <f>IF(ISNUMBER('IN-CLASS_Lab Part C'!$J$8339),'IN-CLASS_Lab Part C'!$J$8339,NA())</f>
        <v/>
      </c>
    </row>
    <row r="8340">
      <c r="J8340">
        <f>IF(AND(ISNUMBER('Data'!$F$8341),'Data'!$F$8341&lt;&gt;999,'Data'!$F$8341&lt;&gt;""),'Data'!$F$8341,"")</f>
        <v/>
      </c>
      <c r="Z8340" t="n">
        <v>1</v>
      </c>
      <c r="AA8340">
        <f>IF(ISNUMBER('IN-CLASS_Lab Part C'!$J$8340),'IN-CLASS_Lab Part C'!$J$8340,NA())</f>
        <v/>
      </c>
    </row>
    <row r="8341">
      <c r="J8341">
        <f>IF(AND(ISNUMBER('Data'!$F$8342),'Data'!$F$8342&lt;&gt;999,'Data'!$F$8342&lt;&gt;""),'Data'!$F$8342,"")</f>
        <v/>
      </c>
      <c r="Z8341" t="n">
        <v>1</v>
      </c>
      <c r="AA8341">
        <f>IF(ISNUMBER('IN-CLASS_Lab Part C'!$J$8341),'IN-CLASS_Lab Part C'!$J$8341,NA())</f>
        <v/>
      </c>
    </row>
    <row r="8342">
      <c r="J8342">
        <f>IF(AND(ISNUMBER('Data'!$F$8343),'Data'!$F$8343&lt;&gt;999,'Data'!$F$8343&lt;&gt;""),'Data'!$F$8343,"")</f>
        <v/>
      </c>
      <c r="Z8342" t="n">
        <v>1</v>
      </c>
      <c r="AA8342">
        <f>IF(ISNUMBER('IN-CLASS_Lab Part C'!$J$8342),'IN-CLASS_Lab Part C'!$J$8342,NA())</f>
        <v/>
      </c>
    </row>
    <row r="8343">
      <c r="J8343">
        <f>IF(AND(ISNUMBER('Data'!$F$8344),'Data'!$F$8344&lt;&gt;999,'Data'!$F$8344&lt;&gt;""),'Data'!$F$8344,"")</f>
        <v/>
      </c>
      <c r="Z8343" t="n">
        <v>1</v>
      </c>
      <c r="AA8343">
        <f>IF(ISNUMBER('IN-CLASS_Lab Part C'!$J$8343),'IN-CLASS_Lab Part C'!$J$8343,NA())</f>
        <v/>
      </c>
    </row>
    <row r="8344">
      <c r="J8344">
        <f>IF(AND(ISNUMBER('Data'!$F$8345),'Data'!$F$8345&lt;&gt;999,'Data'!$F$8345&lt;&gt;""),'Data'!$F$8345,"")</f>
        <v/>
      </c>
      <c r="Z8344" t="n">
        <v>1</v>
      </c>
      <c r="AA8344">
        <f>IF(ISNUMBER('IN-CLASS_Lab Part C'!$J$8344),'IN-CLASS_Lab Part C'!$J$8344,NA())</f>
        <v/>
      </c>
    </row>
    <row r="8345">
      <c r="J8345">
        <f>IF(AND(ISNUMBER('Data'!$F$8346),'Data'!$F$8346&lt;&gt;999,'Data'!$F$8346&lt;&gt;""),'Data'!$F$8346,"")</f>
        <v/>
      </c>
      <c r="Z8345" t="n">
        <v>1</v>
      </c>
      <c r="AA8345">
        <f>IF(ISNUMBER('IN-CLASS_Lab Part C'!$J$8345),'IN-CLASS_Lab Part C'!$J$8345,NA())</f>
        <v/>
      </c>
    </row>
    <row r="8346">
      <c r="J8346">
        <f>IF(AND(ISNUMBER('Data'!$F$8347),'Data'!$F$8347&lt;&gt;999,'Data'!$F$8347&lt;&gt;""),'Data'!$F$8347,"")</f>
        <v/>
      </c>
      <c r="Z8346" t="n">
        <v>1</v>
      </c>
      <c r="AA8346">
        <f>IF(ISNUMBER('IN-CLASS_Lab Part C'!$J$8346),'IN-CLASS_Lab Part C'!$J$8346,NA())</f>
        <v/>
      </c>
    </row>
    <row r="8347">
      <c r="J8347">
        <f>IF(AND(ISNUMBER('Data'!$F$8348),'Data'!$F$8348&lt;&gt;999,'Data'!$F$8348&lt;&gt;""),'Data'!$F$8348,"")</f>
        <v/>
      </c>
      <c r="Z8347" t="n">
        <v>1</v>
      </c>
      <c r="AA8347">
        <f>IF(ISNUMBER('IN-CLASS_Lab Part C'!$J$8347),'IN-CLASS_Lab Part C'!$J$8347,NA())</f>
        <v/>
      </c>
    </row>
    <row r="8348">
      <c r="J8348">
        <f>IF(AND(ISNUMBER('Data'!$F$8349),'Data'!$F$8349&lt;&gt;999,'Data'!$F$8349&lt;&gt;""),'Data'!$F$8349,"")</f>
        <v/>
      </c>
      <c r="Z8348" t="n">
        <v>1</v>
      </c>
      <c r="AA8348">
        <f>IF(ISNUMBER('IN-CLASS_Lab Part C'!$J$8348),'IN-CLASS_Lab Part C'!$J$8348,NA())</f>
        <v/>
      </c>
    </row>
    <row r="8349">
      <c r="J8349">
        <f>IF(AND(ISNUMBER('Data'!$F$8350),'Data'!$F$8350&lt;&gt;999,'Data'!$F$8350&lt;&gt;""),'Data'!$F$8350,"")</f>
        <v/>
      </c>
      <c r="Z8349" t="n">
        <v>1</v>
      </c>
      <c r="AA8349">
        <f>IF(ISNUMBER('IN-CLASS_Lab Part C'!$J$8349),'IN-CLASS_Lab Part C'!$J$8349,NA())</f>
        <v/>
      </c>
    </row>
    <row r="8350">
      <c r="J8350">
        <f>IF(AND(ISNUMBER('Data'!$F$8351),'Data'!$F$8351&lt;&gt;999,'Data'!$F$8351&lt;&gt;""),'Data'!$F$8351,"")</f>
        <v/>
      </c>
      <c r="Z8350" t="n">
        <v>1</v>
      </c>
      <c r="AA8350">
        <f>IF(ISNUMBER('IN-CLASS_Lab Part C'!$J$8350),'IN-CLASS_Lab Part C'!$J$8350,NA())</f>
        <v/>
      </c>
    </row>
    <row r="8351">
      <c r="J8351">
        <f>IF(AND(ISNUMBER('Data'!$F$8352),'Data'!$F$8352&lt;&gt;999,'Data'!$F$8352&lt;&gt;""),'Data'!$F$8352,"")</f>
        <v/>
      </c>
      <c r="Z8351" t="n">
        <v>1</v>
      </c>
      <c r="AA8351">
        <f>IF(ISNUMBER('IN-CLASS_Lab Part C'!$J$8351),'IN-CLASS_Lab Part C'!$J$8351,NA())</f>
        <v/>
      </c>
    </row>
    <row r="8352">
      <c r="J8352">
        <f>IF(AND(ISNUMBER('Data'!$F$8353),'Data'!$F$8353&lt;&gt;999,'Data'!$F$8353&lt;&gt;""),'Data'!$F$8353,"")</f>
        <v/>
      </c>
      <c r="Z8352" t="n">
        <v>1</v>
      </c>
      <c r="AA8352">
        <f>IF(ISNUMBER('IN-CLASS_Lab Part C'!$J$8352),'IN-CLASS_Lab Part C'!$J$8352,NA())</f>
        <v/>
      </c>
    </row>
    <row r="8353">
      <c r="J8353">
        <f>IF(AND(ISNUMBER('Data'!$F$8354),'Data'!$F$8354&lt;&gt;999,'Data'!$F$8354&lt;&gt;""),'Data'!$F$8354,"")</f>
        <v/>
      </c>
      <c r="Z8353" t="n">
        <v>1</v>
      </c>
      <c r="AA8353">
        <f>IF(ISNUMBER('IN-CLASS_Lab Part C'!$J$8353),'IN-CLASS_Lab Part C'!$J$8353,NA())</f>
        <v/>
      </c>
    </row>
    <row r="8354">
      <c r="J8354">
        <f>IF(AND(ISNUMBER('Data'!$F$8355),'Data'!$F$8355&lt;&gt;999,'Data'!$F$8355&lt;&gt;""),'Data'!$F$8355,"")</f>
        <v/>
      </c>
      <c r="Z8354" t="n">
        <v>1</v>
      </c>
      <c r="AA8354">
        <f>IF(ISNUMBER('IN-CLASS_Lab Part C'!$J$8354),'IN-CLASS_Lab Part C'!$J$8354,NA())</f>
        <v/>
      </c>
    </row>
    <row r="8355">
      <c r="J8355">
        <f>IF(AND(ISNUMBER('Data'!$F$8356),'Data'!$F$8356&lt;&gt;999,'Data'!$F$8356&lt;&gt;""),'Data'!$F$8356,"")</f>
        <v/>
      </c>
      <c r="Z8355" t="n">
        <v>1</v>
      </c>
      <c r="AA8355">
        <f>IF(ISNUMBER('IN-CLASS_Lab Part C'!$J$8355),'IN-CLASS_Lab Part C'!$J$8355,NA())</f>
        <v/>
      </c>
    </row>
    <row r="8356">
      <c r="J8356">
        <f>IF(AND(ISNUMBER('Data'!$F$8357),'Data'!$F$8357&lt;&gt;999,'Data'!$F$8357&lt;&gt;""),'Data'!$F$8357,"")</f>
        <v/>
      </c>
      <c r="Z8356" t="n">
        <v>1</v>
      </c>
      <c r="AA8356">
        <f>IF(ISNUMBER('IN-CLASS_Lab Part C'!$J$8356),'IN-CLASS_Lab Part C'!$J$8356,NA())</f>
        <v/>
      </c>
    </row>
    <row r="8357">
      <c r="J8357">
        <f>IF(AND(ISNUMBER('Data'!$F$8358),'Data'!$F$8358&lt;&gt;999,'Data'!$F$8358&lt;&gt;""),'Data'!$F$8358,"")</f>
        <v/>
      </c>
      <c r="Z8357" t="n">
        <v>1</v>
      </c>
      <c r="AA8357">
        <f>IF(ISNUMBER('IN-CLASS_Lab Part C'!$J$8357),'IN-CLASS_Lab Part C'!$J$8357,NA())</f>
        <v/>
      </c>
    </row>
    <row r="8358">
      <c r="J8358">
        <f>IF(AND(ISNUMBER('Data'!$F$8359),'Data'!$F$8359&lt;&gt;999,'Data'!$F$8359&lt;&gt;""),'Data'!$F$8359,"")</f>
        <v/>
      </c>
      <c r="Z8358" t="n">
        <v>1</v>
      </c>
      <c r="AA8358">
        <f>IF(ISNUMBER('IN-CLASS_Lab Part C'!$J$8358),'IN-CLASS_Lab Part C'!$J$8358,NA())</f>
        <v/>
      </c>
    </row>
    <row r="8359">
      <c r="J8359">
        <f>IF(AND(ISNUMBER('Data'!$F$8360),'Data'!$F$8360&lt;&gt;999,'Data'!$F$8360&lt;&gt;""),'Data'!$F$8360,"")</f>
        <v/>
      </c>
      <c r="Z8359" t="n">
        <v>1</v>
      </c>
      <c r="AA8359">
        <f>IF(ISNUMBER('IN-CLASS_Lab Part C'!$J$8359),'IN-CLASS_Lab Part C'!$J$8359,NA())</f>
        <v/>
      </c>
    </row>
    <row r="8360">
      <c r="J8360">
        <f>IF(AND(ISNUMBER('Data'!$F$8361),'Data'!$F$8361&lt;&gt;999,'Data'!$F$8361&lt;&gt;""),'Data'!$F$8361,"")</f>
        <v/>
      </c>
      <c r="Z8360" t="n">
        <v>1</v>
      </c>
      <c r="AA8360">
        <f>IF(ISNUMBER('IN-CLASS_Lab Part C'!$J$8360),'IN-CLASS_Lab Part C'!$J$8360,NA())</f>
        <v/>
      </c>
    </row>
    <row r="8361">
      <c r="J8361">
        <f>IF(AND(ISNUMBER('Data'!$F$8362),'Data'!$F$8362&lt;&gt;999,'Data'!$F$8362&lt;&gt;""),'Data'!$F$8362,"")</f>
        <v/>
      </c>
      <c r="Z8361" t="n">
        <v>1</v>
      </c>
      <c r="AA8361">
        <f>IF(ISNUMBER('IN-CLASS_Lab Part C'!$J$8361),'IN-CLASS_Lab Part C'!$J$8361,NA())</f>
        <v/>
      </c>
    </row>
    <row r="8362">
      <c r="J8362">
        <f>IF(AND(ISNUMBER('Data'!$F$8363),'Data'!$F$8363&lt;&gt;999,'Data'!$F$8363&lt;&gt;""),'Data'!$F$8363,"")</f>
        <v/>
      </c>
      <c r="Z8362" t="n">
        <v>1</v>
      </c>
      <c r="AA8362">
        <f>IF(ISNUMBER('IN-CLASS_Lab Part C'!$J$8362),'IN-CLASS_Lab Part C'!$J$8362,NA())</f>
        <v/>
      </c>
    </row>
    <row r="8363">
      <c r="J8363">
        <f>IF(AND(ISNUMBER('Data'!$F$8364),'Data'!$F$8364&lt;&gt;999,'Data'!$F$8364&lt;&gt;""),'Data'!$F$8364,"")</f>
        <v/>
      </c>
      <c r="Z8363" t="n">
        <v>1</v>
      </c>
      <c r="AA8363">
        <f>IF(ISNUMBER('IN-CLASS_Lab Part C'!$J$8363),'IN-CLASS_Lab Part C'!$J$8363,NA())</f>
        <v/>
      </c>
    </row>
    <row r="8364">
      <c r="J8364">
        <f>IF(AND(ISNUMBER('Data'!$F$8365),'Data'!$F$8365&lt;&gt;999,'Data'!$F$8365&lt;&gt;""),'Data'!$F$8365,"")</f>
        <v/>
      </c>
      <c r="Z8364" t="n">
        <v>1</v>
      </c>
      <c r="AA8364">
        <f>IF(ISNUMBER('IN-CLASS_Lab Part C'!$J$8364),'IN-CLASS_Lab Part C'!$J$8364,NA())</f>
        <v/>
      </c>
    </row>
    <row r="8365">
      <c r="J8365">
        <f>IF(AND(ISNUMBER('Data'!$F$8366),'Data'!$F$8366&lt;&gt;999,'Data'!$F$8366&lt;&gt;""),'Data'!$F$8366,"")</f>
        <v/>
      </c>
      <c r="Z8365" t="n">
        <v>1</v>
      </c>
      <c r="AA8365">
        <f>IF(ISNUMBER('IN-CLASS_Lab Part C'!$J$8365),'IN-CLASS_Lab Part C'!$J$8365,NA())</f>
        <v/>
      </c>
    </row>
    <row r="8366">
      <c r="J8366">
        <f>IF(AND(ISNUMBER('Data'!$F$8367),'Data'!$F$8367&lt;&gt;999,'Data'!$F$8367&lt;&gt;""),'Data'!$F$8367,"")</f>
        <v/>
      </c>
      <c r="Z8366" t="n">
        <v>1</v>
      </c>
      <c r="AA8366">
        <f>IF(ISNUMBER('IN-CLASS_Lab Part C'!$J$8366),'IN-CLASS_Lab Part C'!$J$8366,NA())</f>
        <v/>
      </c>
    </row>
    <row r="8367">
      <c r="J8367">
        <f>IF(AND(ISNUMBER('Data'!$F$8368),'Data'!$F$8368&lt;&gt;999,'Data'!$F$8368&lt;&gt;""),'Data'!$F$8368,"")</f>
        <v/>
      </c>
      <c r="Z8367" t="n">
        <v>1</v>
      </c>
      <c r="AA8367">
        <f>IF(ISNUMBER('IN-CLASS_Lab Part C'!$J$8367),'IN-CLASS_Lab Part C'!$J$8367,NA())</f>
        <v/>
      </c>
    </row>
    <row r="8368">
      <c r="J8368">
        <f>IF(AND(ISNUMBER('Data'!$F$8369),'Data'!$F$8369&lt;&gt;999,'Data'!$F$8369&lt;&gt;""),'Data'!$F$8369,"")</f>
        <v/>
      </c>
      <c r="Z8368" t="n">
        <v>1</v>
      </c>
      <c r="AA8368">
        <f>IF(ISNUMBER('IN-CLASS_Lab Part C'!$J$8368),'IN-CLASS_Lab Part C'!$J$8368,NA())</f>
        <v/>
      </c>
    </row>
    <row r="8369">
      <c r="J8369">
        <f>IF(AND(ISNUMBER('Data'!$F$8370),'Data'!$F$8370&lt;&gt;999,'Data'!$F$8370&lt;&gt;""),'Data'!$F$8370,"")</f>
        <v/>
      </c>
      <c r="Z8369" t="n">
        <v>1</v>
      </c>
      <c r="AA8369">
        <f>IF(ISNUMBER('IN-CLASS_Lab Part C'!$J$8369),'IN-CLASS_Lab Part C'!$J$8369,NA())</f>
        <v/>
      </c>
    </row>
    <row r="8370">
      <c r="J8370">
        <f>IF(AND(ISNUMBER('Data'!$F$8371),'Data'!$F$8371&lt;&gt;999,'Data'!$F$8371&lt;&gt;""),'Data'!$F$8371,"")</f>
        <v/>
      </c>
      <c r="Z8370" t="n">
        <v>1</v>
      </c>
      <c r="AA8370">
        <f>IF(ISNUMBER('IN-CLASS_Lab Part C'!$J$8370),'IN-CLASS_Lab Part C'!$J$8370,NA())</f>
        <v/>
      </c>
    </row>
    <row r="8371">
      <c r="J8371">
        <f>IF(AND(ISNUMBER('Data'!$F$8372),'Data'!$F$8372&lt;&gt;999,'Data'!$F$8372&lt;&gt;""),'Data'!$F$8372,"")</f>
        <v/>
      </c>
      <c r="Z8371" t="n">
        <v>1</v>
      </c>
      <c r="AA8371">
        <f>IF(ISNUMBER('IN-CLASS_Lab Part C'!$J$8371),'IN-CLASS_Lab Part C'!$J$8371,NA())</f>
        <v/>
      </c>
    </row>
    <row r="8372">
      <c r="J8372">
        <f>IF(AND(ISNUMBER('Data'!$F$8373),'Data'!$F$8373&lt;&gt;999,'Data'!$F$8373&lt;&gt;""),'Data'!$F$8373,"")</f>
        <v/>
      </c>
      <c r="Z8372" t="n">
        <v>1</v>
      </c>
      <c r="AA8372">
        <f>IF(ISNUMBER('IN-CLASS_Lab Part C'!$J$8372),'IN-CLASS_Lab Part C'!$J$8372,NA())</f>
        <v/>
      </c>
    </row>
    <row r="8373">
      <c r="J8373">
        <f>IF(AND(ISNUMBER('Data'!$F$8374),'Data'!$F$8374&lt;&gt;999,'Data'!$F$8374&lt;&gt;""),'Data'!$F$8374,"")</f>
        <v/>
      </c>
      <c r="Z8373" t="n">
        <v>1</v>
      </c>
      <c r="AA8373">
        <f>IF(ISNUMBER('IN-CLASS_Lab Part C'!$J$8373),'IN-CLASS_Lab Part C'!$J$8373,NA())</f>
        <v/>
      </c>
    </row>
    <row r="8374">
      <c r="J8374">
        <f>IF(AND(ISNUMBER('Data'!$F$8375),'Data'!$F$8375&lt;&gt;999,'Data'!$F$8375&lt;&gt;""),'Data'!$F$8375,"")</f>
        <v/>
      </c>
      <c r="Z8374" t="n">
        <v>1</v>
      </c>
      <c r="AA8374">
        <f>IF(ISNUMBER('IN-CLASS_Lab Part C'!$J$8374),'IN-CLASS_Lab Part C'!$J$8374,NA())</f>
        <v/>
      </c>
    </row>
    <row r="8375">
      <c r="J8375">
        <f>IF(AND(ISNUMBER('Data'!$F$8376),'Data'!$F$8376&lt;&gt;999,'Data'!$F$8376&lt;&gt;""),'Data'!$F$8376,"")</f>
        <v/>
      </c>
      <c r="Z8375" t="n">
        <v>1</v>
      </c>
      <c r="AA8375">
        <f>IF(ISNUMBER('IN-CLASS_Lab Part C'!$J$8375),'IN-CLASS_Lab Part C'!$J$8375,NA())</f>
        <v/>
      </c>
    </row>
    <row r="8376">
      <c r="J8376">
        <f>IF(AND(ISNUMBER('Data'!$F$8377),'Data'!$F$8377&lt;&gt;999,'Data'!$F$8377&lt;&gt;""),'Data'!$F$8377,"")</f>
        <v/>
      </c>
      <c r="Z8376" t="n">
        <v>1</v>
      </c>
      <c r="AA8376">
        <f>IF(ISNUMBER('IN-CLASS_Lab Part C'!$J$8376),'IN-CLASS_Lab Part C'!$J$8376,NA())</f>
        <v/>
      </c>
    </row>
    <row r="8377">
      <c r="J8377">
        <f>IF(AND(ISNUMBER('Data'!$F$8378),'Data'!$F$8378&lt;&gt;999,'Data'!$F$8378&lt;&gt;""),'Data'!$F$8378,"")</f>
        <v/>
      </c>
      <c r="Z8377" t="n">
        <v>1</v>
      </c>
      <c r="AA8377">
        <f>IF(ISNUMBER('IN-CLASS_Lab Part C'!$J$8377),'IN-CLASS_Lab Part C'!$J$8377,NA())</f>
        <v/>
      </c>
    </row>
    <row r="8378">
      <c r="J8378">
        <f>IF(AND(ISNUMBER('Data'!$F$8379),'Data'!$F$8379&lt;&gt;999,'Data'!$F$8379&lt;&gt;""),'Data'!$F$8379,"")</f>
        <v/>
      </c>
      <c r="Z8378" t="n">
        <v>1</v>
      </c>
      <c r="AA8378">
        <f>IF(ISNUMBER('IN-CLASS_Lab Part C'!$J$8378),'IN-CLASS_Lab Part C'!$J$8378,NA())</f>
        <v/>
      </c>
    </row>
    <row r="8379">
      <c r="J8379">
        <f>IF(AND(ISNUMBER('Data'!$F$8380),'Data'!$F$8380&lt;&gt;999,'Data'!$F$8380&lt;&gt;""),'Data'!$F$8380,"")</f>
        <v/>
      </c>
      <c r="Z8379" t="n">
        <v>1</v>
      </c>
      <c r="AA8379">
        <f>IF(ISNUMBER('IN-CLASS_Lab Part C'!$J$8379),'IN-CLASS_Lab Part C'!$J$8379,NA())</f>
        <v/>
      </c>
    </row>
    <row r="8380">
      <c r="J8380">
        <f>IF(AND(ISNUMBER('Data'!$F$8381),'Data'!$F$8381&lt;&gt;999,'Data'!$F$8381&lt;&gt;""),'Data'!$F$8381,"")</f>
        <v/>
      </c>
      <c r="Z8380" t="n">
        <v>1</v>
      </c>
      <c r="AA8380">
        <f>IF(ISNUMBER('IN-CLASS_Lab Part C'!$J$8380),'IN-CLASS_Lab Part C'!$J$8380,NA())</f>
        <v/>
      </c>
    </row>
    <row r="8381">
      <c r="J8381">
        <f>IF(AND(ISNUMBER('Data'!$F$8382),'Data'!$F$8382&lt;&gt;999,'Data'!$F$8382&lt;&gt;""),'Data'!$F$8382,"")</f>
        <v/>
      </c>
      <c r="Z8381" t="n">
        <v>1</v>
      </c>
      <c r="AA8381">
        <f>IF(ISNUMBER('IN-CLASS_Lab Part C'!$J$8381),'IN-CLASS_Lab Part C'!$J$8381,NA())</f>
        <v/>
      </c>
    </row>
    <row r="8382">
      <c r="J8382">
        <f>IF(AND(ISNUMBER('Data'!$F$8383),'Data'!$F$8383&lt;&gt;999,'Data'!$F$8383&lt;&gt;""),'Data'!$F$8383,"")</f>
        <v/>
      </c>
      <c r="Z8382" t="n">
        <v>1</v>
      </c>
      <c r="AA8382">
        <f>IF(ISNUMBER('IN-CLASS_Lab Part C'!$J$8382),'IN-CLASS_Lab Part C'!$J$8382,NA())</f>
        <v/>
      </c>
    </row>
    <row r="8383">
      <c r="J8383">
        <f>IF(AND(ISNUMBER('Data'!$F$8384),'Data'!$F$8384&lt;&gt;999,'Data'!$F$8384&lt;&gt;""),'Data'!$F$8384,"")</f>
        <v/>
      </c>
      <c r="Z8383" t="n">
        <v>1</v>
      </c>
      <c r="AA8383">
        <f>IF(ISNUMBER('IN-CLASS_Lab Part C'!$J$8383),'IN-CLASS_Lab Part C'!$J$8383,NA())</f>
        <v/>
      </c>
    </row>
    <row r="8384">
      <c r="J8384">
        <f>IF(AND(ISNUMBER('Data'!$F$8385),'Data'!$F$8385&lt;&gt;999,'Data'!$F$8385&lt;&gt;""),'Data'!$F$8385,"")</f>
        <v/>
      </c>
      <c r="Z8384" t="n">
        <v>1</v>
      </c>
      <c r="AA8384">
        <f>IF(ISNUMBER('IN-CLASS_Lab Part C'!$J$8384),'IN-CLASS_Lab Part C'!$J$8384,NA())</f>
        <v/>
      </c>
    </row>
    <row r="8385">
      <c r="J8385">
        <f>IF(AND(ISNUMBER('Data'!$F$8386),'Data'!$F$8386&lt;&gt;999,'Data'!$F$8386&lt;&gt;""),'Data'!$F$8386,"")</f>
        <v/>
      </c>
      <c r="Z8385" t="n">
        <v>1</v>
      </c>
      <c r="AA8385">
        <f>IF(ISNUMBER('IN-CLASS_Lab Part C'!$J$8385),'IN-CLASS_Lab Part C'!$J$8385,NA())</f>
        <v/>
      </c>
    </row>
    <row r="8386">
      <c r="J8386">
        <f>IF(AND(ISNUMBER('Data'!$F$8387),'Data'!$F$8387&lt;&gt;999,'Data'!$F$8387&lt;&gt;""),'Data'!$F$8387,"")</f>
        <v/>
      </c>
      <c r="Z8386" t="n">
        <v>1</v>
      </c>
      <c r="AA8386">
        <f>IF(ISNUMBER('IN-CLASS_Lab Part C'!$J$8386),'IN-CLASS_Lab Part C'!$J$8386,NA())</f>
        <v/>
      </c>
    </row>
    <row r="8387">
      <c r="J8387">
        <f>IF(AND(ISNUMBER('Data'!$F$8388),'Data'!$F$8388&lt;&gt;999,'Data'!$F$8388&lt;&gt;""),'Data'!$F$8388,"")</f>
        <v/>
      </c>
      <c r="Z8387" t="n">
        <v>1</v>
      </c>
      <c r="AA8387">
        <f>IF(ISNUMBER('IN-CLASS_Lab Part C'!$J$8387),'IN-CLASS_Lab Part C'!$J$8387,NA())</f>
        <v/>
      </c>
    </row>
    <row r="8388">
      <c r="J8388">
        <f>IF(AND(ISNUMBER('Data'!$F$8389),'Data'!$F$8389&lt;&gt;999,'Data'!$F$8389&lt;&gt;""),'Data'!$F$8389,"")</f>
        <v/>
      </c>
      <c r="Z8388" t="n">
        <v>1</v>
      </c>
      <c r="AA8388">
        <f>IF(ISNUMBER('IN-CLASS_Lab Part C'!$J$8388),'IN-CLASS_Lab Part C'!$J$8388,NA())</f>
        <v/>
      </c>
    </row>
    <row r="8389">
      <c r="J8389">
        <f>IF(AND(ISNUMBER('Data'!$F$8390),'Data'!$F$8390&lt;&gt;999,'Data'!$F$8390&lt;&gt;""),'Data'!$F$8390,"")</f>
        <v/>
      </c>
      <c r="Z8389" t="n">
        <v>1</v>
      </c>
      <c r="AA8389">
        <f>IF(ISNUMBER('IN-CLASS_Lab Part C'!$J$8389),'IN-CLASS_Lab Part C'!$J$8389,NA())</f>
        <v/>
      </c>
    </row>
    <row r="8390">
      <c r="J8390">
        <f>IF(AND(ISNUMBER('Data'!$F$8391),'Data'!$F$8391&lt;&gt;999,'Data'!$F$8391&lt;&gt;""),'Data'!$F$8391,"")</f>
        <v/>
      </c>
      <c r="Z8390" t="n">
        <v>1</v>
      </c>
      <c r="AA8390">
        <f>IF(ISNUMBER('IN-CLASS_Lab Part C'!$J$8390),'IN-CLASS_Lab Part C'!$J$8390,NA())</f>
        <v/>
      </c>
    </row>
    <row r="8391">
      <c r="J8391">
        <f>IF(AND(ISNUMBER('Data'!$F$8392),'Data'!$F$8392&lt;&gt;999,'Data'!$F$8392&lt;&gt;""),'Data'!$F$8392,"")</f>
        <v/>
      </c>
      <c r="Z8391" t="n">
        <v>1</v>
      </c>
      <c r="AA8391">
        <f>IF(ISNUMBER('IN-CLASS_Lab Part C'!$J$8391),'IN-CLASS_Lab Part C'!$J$8391,NA())</f>
        <v/>
      </c>
    </row>
    <row r="8392">
      <c r="J8392">
        <f>IF(AND(ISNUMBER('Data'!$F$8393),'Data'!$F$8393&lt;&gt;999,'Data'!$F$8393&lt;&gt;""),'Data'!$F$8393,"")</f>
        <v/>
      </c>
      <c r="Z8392" t="n">
        <v>1</v>
      </c>
      <c r="AA8392">
        <f>IF(ISNUMBER('IN-CLASS_Lab Part C'!$J$8392),'IN-CLASS_Lab Part C'!$J$8392,NA())</f>
        <v/>
      </c>
    </row>
    <row r="8393">
      <c r="J8393">
        <f>IF(AND(ISNUMBER('Data'!$F$8394),'Data'!$F$8394&lt;&gt;999,'Data'!$F$8394&lt;&gt;""),'Data'!$F$8394,"")</f>
        <v/>
      </c>
      <c r="Z8393" t="n">
        <v>1</v>
      </c>
      <c r="AA8393">
        <f>IF(ISNUMBER('IN-CLASS_Lab Part C'!$J$8393),'IN-CLASS_Lab Part C'!$J$8393,NA())</f>
        <v/>
      </c>
    </row>
    <row r="8394">
      <c r="J8394">
        <f>IF(AND(ISNUMBER('Data'!$F$8395),'Data'!$F$8395&lt;&gt;999,'Data'!$F$8395&lt;&gt;""),'Data'!$F$8395,"")</f>
        <v/>
      </c>
      <c r="Z8394" t="n">
        <v>1</v>
      </c>
      <c r="AA8394">
        <f>IF(ISNUMBER('IN-CLASS_Lab Part C'!$J$8394),'IN-CLASS_Lab Part C'!$J$8394,NA())</f>
        <v/>
      </c>
    </row>
    <row r="8395">
      <c r="J8395">
        <f>IF(AND(ISNUMBER('Data'!$F$8396),'Data'!$F$8396&lt;&gt;999,'Data'!$F$8396&lt;&gt;""),'Data'!$F$8396,"")</f>
        <v/>
      </c>
      <c r="Z8395" t="n">
        <v>1</v>
      </c>
      <c r="AA8395">
        <f>IF(ISNUMBER('IN-CLASS_Lab Part C'!$J$8395),'IN-CLASS_Lab Part C'!$J$8395,NA())</f>
        <v/>
      </c>
    </row>
    <row r="8396">
      <c r="J8396">
        <f>IF(AND(ISNUMBER('Data'!$F$8397),'Data'!$F$8397&lt;&gt;999,'Data'!$F$8397&lt;&gt;""),'Data'!$F$8397,"")</f>
        <v/>
      </c>
      <c r="Z8396" t="n">
        <v>1</v>
      </c>
      <c r="AA8396">
        <f>IF(ISNUMBER('IN-CLASS_Lab Part C'!$J$8396),'IN-CLASS_Lab Part C'!$J$8396,NA())</f>
        <v/>
      </c>
    </row>
    <row r="8397">
      <c r="J8397">
        <f>IF(AND(ISNUMBER('Data'!$F$8398),'Data'!$F$8398&lt;&gt;999,'Data'!$F$8398&lt;&gt;""),'Data'!$F$8398,"")</f>
        <v/>
      </c>
      <c r="Z8397" t="n">
        <v>1</v>
      </c>
      <c r="AA8397">
        <f>IF(ISNUMBER('IN-CLASS_Lab Part C'!$J$8397),'IN-CLASS_Lab Part C'!$J$8397,NA())</f>
        <v/>
      </c>
    </row>
    <row r="8398">
      <c r="J8398">
        <f>IF(AND(ISNUMBER('Data'!$F$8399),'Data'!$F$8399&lt;&gt;999,'Data'!$F$8399&lt;&gt;""),'Data'!$F$8399,"")</f>
        <v/>
      </c>
      <c r="Z8398" t="n">
        <v>1</v>
      </c>
      <c r="AA8398">
        <f>IF(ISNUMBER('IN-CLASS_Lab Part C'!$J$8398),'IN-CLASS_Lab Part C'!$J$8398,NA())</f>
        <v/>
      </c>
    </row>
    <row r="8399">
      <c r="J8399">
        <f>IF(AND(ISNUMBER('Data'!$F$8400),'Data'!$F$8400&lt;&gt;999,'Data'!$F$8400&lt;&gt;""),'Data'!$F$8400,"")</f>
        <v/>
      </c>
      <c r="Z8399" t="n">
        <v>1</v>
      </c>
      <c r="AA8399">
        <f>IF(ISNUMBER('IN-CLASS_Lab Part C'!$J$8399),'IN-CLASS_Lab Part C'!$J$8399,NA())</f>
        <v/>
      </c>
    </row>
    <row r="8400">
      <c r="J8400">
        <f>IF(AND(ISNUMBER('Data'!$F$8401),'Data'!$F$8401&lt;&gt;999,'Data'!$F$8401&lt;&gt;""),'Data'!$F$8401,"")</f>
        <v/>
      </c>
      <c r="Z8400" t="n">
        <v>1</v>
      </c>
      <c r="AA8400">
        <f>IF(ISNUMBER('IN-CLASS_Lab Part C'!$J$8400),'IN-CLASS_Lab Part C'!$J$8400,NA())</f>
        <v/>
      </c>
    </row>
    <row r="8401">
      <c r="J8401">
        <f>IF(AND(ISNUMBER('Data'!$F$8402),'Data'!$F$8402&lt;&gt;999,'Data'!$F$8402&lt;&gt;""),'Data'!$F$8402,"")</f>
        <v/>
      </c>
      <c r="Z8401" t="n">
        <v>1</v>
      </c>
      <c r="AA8401">
        <f>IF(ISNUMBER('IN-CLASS_Lab Part C'!$J$8401),'IN-CLASS_Lab Part C'!$J$8401,NA())</f>
        <v/>
      </c>
    </row>
    <row r="8402">
      <c r="J8402">
        <f>IF(AND(ISNUMBER('Data'!$F$8403),'Data'!$F$8403&lt;&gt;999,'Data'!$F$8403&lt;&gt;""),'Data'!$F$8403,"")</f>
        <v/>
      </c>
      <c r="Z8402" t="n">
        <v>1</v>
      </c>
      <c r="AA8402">
        <f>IF(ISNUMBER('IN-CLASS_Lab Part C'!$J$8402),'IN-CLASS_Lab Part C'!$J$8402,NA())</f>
        <v/>
      </c>
    </row>
    <row r="8403">
      <c r="J8403">
        <f>IF(AND(ISNUMBER('Data'!$F$8404),'Data'!$F$8404&lt;&gt;999,'Data'!$F$8404&lt;&gt;""),'Data'!$F$8404,"")</f>
        <v/>
      </c>
      <c r="Z8403" t="n">
        <v>1</v>
      </c>
      <c r="AA8403">
        <f>IF(ISNUMBER('IN-CLASS_Lab Part C'!$J$8403),'IN-CLASS_Lab Part C'!$J$8403,NA())</f>
        <v/>
      </c>
    </row>
    <row r="8404">
      <c r="J8404">
        <f>IF(AND(ISNUMBER('Data'!$F$8405),'Data'!$F$8405&lt;&gt;999,'Data'!$F$8405&lt;&gt;""),'Data'!$F$8405,"")</f>
        <v/>
      </c>
      <c r="Z8404" t="n">
        <v>1</v>
      </c>
      <c r="AA8404">
        <f>IF(ISNUMBER('IN-CLASS_Lab Part C'!$J$8404),'IN-CLASS_Lab Part C'!$J$8404,NA())</f>
        <v/>
      </c>
    </row>
    <row r="8405">
      <c r="J8405">
        <f>IF(AND(ISNUMBER('Data'!$F$8406),'Data'!$F$8406&lt;&gt;999,'Data'!$F$8406&lt;&gt;""),'Data'!$F$8406,"")</f>
        <v/>
      </c>
      <c r="Z8405" t="n">
        <v>1</v>
      </c>
      <c r="AA8405">
        <f>IF(ISNUMBER('IN-CLASS_Lab Part C'!$J$8405),'IN-CLASS_Lab Part C'!$J$8405,NA())</f>
        <v/>
      </c>
    </row>
    <row r="8406">
      <c r="J8406">
        <f>IF(AND(ISNUMBER('Data'!$F$8407),'Data'!$F$8407&lt;&gt;999,'Data'!$F$8407&lt;&gt;""),'Data'!$F$8407,"")</f>
        <v/>
      </c>
      <c r="Z8406" t="n">
        <v>1</v>
      </c>
      <c r="AA8406">
        <f>IF(ISNUMBER('IN-CLASS_Lab Part C'!$J$8406),'IN-CLASS_Lab Part C'!$J$8406,NA())</f>
        <v/>
      </c>
    </row>
    <row r="8407">
      <c r="J8407">
        <f>IF(AND(ISNUMBER('Data'!$F$8408),'Data'!$F$8408&lt;&gt;999,'Data'!$F$8408&lt;&gt;""),'Data'!$F$8408,"")</f>
        <v/>
      </c>
      <c r="Z8407" t="n">
        <v>1</v>
      </c>
      <c r="AA8407">
        <f>IF(ISNUMBER('IN-CLASS_Lab Part C'!$J$8407),'IN-CLASS_Lab Part C'!$J$8407,NA())</f>
        <v/>
      </c>
    </row>
    <row r="8408">
      <c r="J8408">
        <f>IF(AND(ISNUMBER('Data'!$F$8409),'Data'!$F$8409&lt;&gt;999,'Data'!$F$8409&lt;&gt;""),'Data'!$F$8409,"")</f>
        <v/>
      </c>
      <c r="Z8408" t="n">
        <v>1</v>
      </c>
      <c r="AA8408">
        <f>IF(ISNUMBER('IN-CLASS_Lab Part C'!$J$8408),'IN-CLASS_Lab Part C'!$J$8408,NA())</f>
        <v/>
      </c>
    </row>
    <row r="8409">
      <c r="J8409">
        <f>IF(AND(ISNUMBER('Data'!$F$8410),'Data'!$F$8410&lt;&gt;999,'Data'!$F$8410&lt;&gt;""),'Data'!$F$8410,"")</f>
        <v/>
      </c>
      <c r="Z8409" t="n">
        <v>1</v>
      </c>
      <c r="AA8409">
        <f>IF(ISNUMBER('IN-CLASS_Lab Part C'!$J$8409),'IN-CLASS_Lab Part C'!$J$8409,NA())</f>
        <v/>
      </c>
    </row>
    <row r="8410">
      <c r="J8410">
        <f>IF(AND(ISNUMBER('Data'!$F$8411),'Data'!$F$8411&lt;&gt;999,'Data'!$F$8411&lt;&gt;""),'Data'!$F$8411,"")</f>
        <v/>
      </c>
      <c r="Z8410" t="n">
        <v>1</v>
      </c>
      <c r="AA8410">
        <f>IF(ISNUMBER('IN-CLASS_Lab Part C'!$J$8410),'IN-CLASS_Lab Part C'!$J$8410,NA())</f>
        <v/>
      </c>
    </row>
    <row r="8411">
      <c r="J8411">
        <f>IF(AND(ISNUMBER('Data'!$F$8412),'Data'!$F$8412&lt;&gt;999,'Data'!$F$8412&lt;&gt;""),'Data'!$F$8412,"")</f>
        <v/>
      </c>
      <c r="Z8411" t="n">
        <v>1</v>
      </c>
      <c r="AA8411">
        <f>IF(ISNUMBER('IN-CLASS_Lab Part C'!$J$8411),'IN-CLASS_Lab Part C'!$J$8411,NA())</f>
        <v/>
      </c>
    </row>
    <row r="8412">
      <c r="J8412">
        <f>IF(AND(ISNUMBER('Data'!$F$8413),'Data'!$F$8413&lt;&gt;999,'Data'!$F$8413&lt;&gt;""),'Data'!$F$8413,"")</f>
        <v/>
      </c>
      <c r="Z8412" t="n">
        <v>1</v>
      </c>
      <c r="AA8412">
        <f>IF(ISNUMBER('IN-CLASS_Lab Part C'!$J$8412),'IN-CLASS_Lab Part C'!$J$8412,NA())</f>
        <v/>
      </c>
    </row>
    <row r="8413">
      <c r="J8413">
        <f>IF(AND(ISNUMBER('Data'!$F$8414),'Data'!$F$8414&lt;&gt;999,'Data'!$F$8414&lt;&gt;""),'Data'!$F$8414,"")</f>
        <v/>
      </c>
      <c r="Z8413" t="n">
        <v>1</v>
      </c>
      <c r="AA8413">
        <f>IF(ISNUMBER('IN-CLASS_Lab Part C'!$J$8413),'IN-CLASS_Lab Part C'!$J$8413,NA())</f>
        <v/>
      </c>
    </row>
    <row r="8414">
      <c r="J8414">
        <f>IF(AND(ISNUMBER('Data'!$F$8415),'Data'!$F$8415&lt;&gt;999,'Data'!$F$8415&lt;&gt;""),'Data'!$F$8415,"")</f>
        <v/>
      </c>
      <c r="Z8414" t="n">
        <v>1</v>
      </c>
      <c r="AA8414">
        <f>IF(ISNUMBER('IN-CLASS_Lab Part C'!$J$8414),'IN-CLASS_Lab Part C'!$J$8414,NA())</f>
        <v/>
      </c>
    </row>
    <row r="8415">
      <c r="J8415">
        <f>IF(AND(ISNUMBER('Data'!$F$8416),'Data'!$F$8416&lt;&gt;999,'Data'!$F$8416&lt;&gt;""),'Data'!$F$8416,"")</f>
        <v/>
      </c>
      <c r="Z8415" t="n">
        <v>1</v>
      </c>
      <c r="AA8415">
        <f>IF(ISNUMBER('IN-CLASS_Lab Part C'!$J$8415),'IN-CLASS_Lab Part C'!$J$8415,NA())</f>
        <v/>
      </c>
    </row>
    <row r="8416">
      <c r="J8416">
        <f>IF(AND(ISNUMBER('Data'!$F$8417),'Data'!$F$8417&lt;&gt;999,'Data'!$F$8417&lt;&gt;""),'Data'!$F$8417,"")</f>
        <v/>
      </c>
      <c r="Z8416" t="n">
        <v>1</v>
      </c>
      <c r="AA8416">
        <f>IF(ISNUMBER('IN-CLASS_Lab Part C'!$J$8416),'IN-CLASS_Lab Part C'!$J$8416,NA())</f>
        <v/>
      </c>
    </row>
    <row r="8417">
      <c r="J8417">
        <f>IF(AND(ISNUMBER('Data'!$F$8418),'Data'!$F$8418&lt;&gt;999,'Data'!$F$8418&lt;&gt;""),'Data'!$F$8418,"")</f>
        <v/>
      </c>
      <c r="Z8417" t="n">
        <v>1</v>
      </c>
      <c r="AA8417">
        <f>IF(ISNUMBER('IN-CLASS_Lab Part C'!$J$8417),'IN-CLASS_Lab Part C'!$J$8417,NA())</f>
        <v/>
      </c>
    </row>
    <row r="8418">
      <c r="J8418">
        <f>IF(AND(ISNUMBER('Data'!$F$8419),'Data'!$F$8419&lt;&gt;999,'Data'!$F$8419&lt;&gt;""),'Data'!$F$8419,"")</f>
        <v/>
      </c>
      <c r="Z8418" t="n">
        <v>1</v>
      </c>
      <c r="AA8418">
        <f>IF(ISNUMBER('IN-CLASS_Lab Part C'!$J$8418),'IN-CLASS_Lab Part C'!$J$8418,NA())</f>
        <v/>
      </c>
    </row>
    <row r="8419">
      <c r="J8419">
        <f>IF(AND(ISNUMBER('Data'!$F$8420),'Data'!$F$8420&lt;&gt;999,'Data'!$F$8420&lt;&gt;""),'Data'!$F$8420,"")</f>
        <v/>
      </c>
      <c r="Z8419" t="n">
        <v>1</v>
      </c>
      <c r="AA8419">
        <f>IF(ISNUMBER('IN-CLASS_Lab Part C'!$J$8419),'IN-CLASS_Lab Part C'!$J$8419,NA())</f>
        <v/>
      </c>
    </row>
    <row r="8420">
      <c r="J8420">
        <f>IF(AND(ISNUMBER('Data'!$F$8421),'Data'!$F$8421&lt;&gt;999,'Data'!$F$8421&lt;&gt;""),'Data'!$F$8421,"")</f>
        <v/>
      </c>
      <c r="Z8420" t="n">
        <v>1</v>
      </c>
      <c r="AA8420">
        <f>IF(ISNUMBER('IN-CLASS_Lab Part C'!$J$8420),'IN-CLASS_Lab Part C'!$J$8420,NA())</f>
        <v/>
      </c>
    </row>
    <row r="8421">
      <c r="J8421">
        <f>IF(AND(ISNUMBER('Data'!$F$8422),'Data'!$F$8422&lt;&gt;999,'Data'!$F$8422&lt;&gt;""),'Data'!$F$8422,"")</f>
        <v/>
      </c>
      <c r="Z8421" t="n">
        <v>1</v>
      </c>
      <c r="AA8421">
        <f>IF(ISNUMBER('IN-CLASS_Lab Part C'!$J$8421),'IN-CLASS_Lab Part C'!$J$8421,NA())</f>
        <v/>
      </c>
    </row>
    <row r="8422">
      <c r="J8422">
        <f>IF(AND(ISNUMBER('Data'!$F$8423),'Data'!$F$8423&lt;&gt;999,'Data'!$F$8423&lt;&gt;""),'Data'!$F$8423,"")</f>
        <v/>
      </c>
      <c r="Z8422" t="n">
        <v>1</v>
      </c>
      <c r="AA8422">
        <f>IF(ISNUMBER('IN-CLASS_Lab Part C'!$J$8422),'IN-CLASS_Lab Part C'!$J$8422,NA())</f>
        <v/>
      </c>
    </row>
    <row r="8423">
      <c r="J8423">
        <f>IF(AND(ISNUMBER('Data'!$F$8424),'Data'!$F$8424&lt;&gt;999,'Data'!$F$8424&lt;&gt;""),'Data'!$F$8424,"")</f>
        <v/>
      </c>
      <c r="Z8423" t="n">
        <v>1</v>
      </c>
      <c r="AA8423">
        <f>IF(ISNUMBER('IN-CLASS_Lab Part C'!$J$8423),'IN-CLASS_Lab Part C'!$J$8423,NA())</f>
        <v/>
      </c>
    </row>
    <row r="8424">
      <c r="J8424">
        <f>IF(AND(ISNUMBER('Data'!$F$8425),'Data'!$F$8425&lt;&gt;999,'Data'!$F$8425&lt;&gt;""),'Data'!$F$8425,"")</f>
        <v/>
      </c>
      <c r="Z8424" t="n">
        <v>1</v>
      </c>
      <c r="AA8424">
        <f>IF(ISNUMBER('IN-CLASS_Lab Part C'!$J$8424),'IN-CLASS_Lab Part C'!$J$8424,NA())</f>
        <v/>
      </c>
    </row>
    <row r="8425">
      <c r="J8425">
        <f>IF(AND(ISNUMBER('Data'!$F$8426),'Data'!$F$8426&lt;&gt;999,'Data'!$F$8426&lt;&gt;""),'Data'!$F$8426,"")</f>
        <v/>
      </c>
      <c r="Z8425" t="n">
        <v>1</v>
      </c>
      <c r="AA8425">
        <f>IF(ISNUMBER('IN-CLASS_Lab Part C'!$J$8425),'IN-CLASS_Lab Part C'!$J$8425,NA())</f>
        <v/>
      </c>
    </row>
    <row r="8426">
      <c r="J8426">
        <f>IF(AND(ISNUMBER('Data'!$F$8427),'Data'!$F$8427&lt;&gt;999,'Data'!$F$8427&lt;&gt;""),'Data'!$F$8427,"")</f>
        <v/>
      </c>
      <c r="Z8426" t="n">
        <v>1</v>
      </c>
      <c r="AA8426">
        <f>IF(ISNUMBER('IN-CLASS_Lab Part C'!$J$8426),'IN-CLASS_Lab Part C'!$J$8426,NA())</f>
        <v/>
      </c>
    </row>
    <row r="8427">
      <c r="J8427">
        <f>IF(AND(ISNUMBER('Data'!$F$8428),'Data'!$F$8428&lt;&gt;999,'Data'!$F$8428&lt;&gt;""),'Data'!$F$8428,"")</f>
        <v/>
      </c>
      <c r="Z8427" t="n">
        <v>1</v>
      </c>
      <c r="AA8427">
        <f>IF(ISNUMBER('IN-CLASS_Lab Part C'!$J$8427),'IN-CLASS_Lab Part C'!$J$8427,NA())</f>
        <v/>
      </c>
    </row>
    <row r="8428">
      <c r="J8428">
        <f>IF(AND(ISNUMBER('Data'!$F$8429),'Data'!$F$8429&lt;&gt;999,'Data'!$F$8429&lt;&gt;""),'Data'!$F$8429,"")</f>
        <v/>
      </c>
      <c r="Z8428" t="n">
        <v>1</v>
      </c>
      <c r="AA8428">
        <f>IF(ISNUMBER('IN-CLASS_Lab Part C'!$J$8428),'IN-CLASS_Lab Part C'!$J$8428,NA())</f>
        <v/>
      </c>
    </row>
    <row r="8429">
      <c r="J8429">
        <f>IF(AND(ISNUMBER('Data'!$F$8430),'Data'!$F$8430&lt;&gt;999,'Data'!$F$8430&lt;&gt;""),'Data'!$F$8430,"")</f>
        <v/>
      </c>
      <c r="Z8429" t="n">
        <v>1</v>
      </c>
      <c r="AA8429">
        <f>IF(ISNUMBER('IN-CLASS_Lab Part C'!$J$8429),'IN-CLASS_Lab Part C'!$J$8429,NA())</f>
        <v/>
      </c>
    </row>
    <row r="8430">
      <c r="J8430">
        <f>IF(AND(ISNUMBER('Data'!$F$8431),'Data'!$F$8431&lt;&gt;999,'Data'!$F$8431&lt;&gt;""),'Data'!$F$8431,"")</f>
        <v/>
      </c>
      <c r="Z8430" t="n">
        <v>1</v>
      </c>
      <c r="AA8430">
        <f>IF(ISNUMBER('IN-CLASS_Lab Part C'!$J$8430),'IN-CLASS_Lab Part C'!$J$8430,NA())</f>
        <v/>
      </c>
    </row>
    <row r="8431">
      <c r="J8431">
        <f>IF(AND(ISNUMBER('Data'!$F$8432),'Data'!$F$8432&lt;&gt;999,'Data'!$F$8432&lt;&gt;""),'Data'!$F$8432,"")</f>
        <v/>
      </c>
      <c r="Z8431" t="n">
        <v>1</v>
      </c>
      <c r="AA8431">
        <f>IF(ISNUMBER('IN-CLASS_Lab Part C'!$J$8431),'IN-CLASS_Lab Part C'!$J$8431,NA())</f>
        <v/>
      </c>
    </row>
    <row r="8432">
      <c r="J8432">
        <f>IF(AND(ISNUMBER('Data'!$F$8433),'Data'!$F$8433&lt;&gt;999,'Data'!$F$8433&lt;&gt;""),'Data'!$F$8433,"")</f>
        <v/>
      </c>
      <c r="Z8432" t="n">
        <v>1</v>
      </c>
      <c r="AA8432">
        <f>IF(ISNUMBER('IN-CLASS_Lab Part C'!$J$8432),'IN-CLASS_Lab Part C'!$J$8432,NA())</f>
        <v/>
      </c>
    </row>
    <row r="8433">
      <c r="J8433">
        <f>IF(AND(ISNUMBER('Data'!$F$8434),'Data'!$F$8434&lt;&gt;999,'Data'!$F$8434&lt;&gt;""),'Data'!$F$8434,"")</f>
        <v/>
      </c>
      <c r="Z8433" t="n">
        <v>1</v>
      </c>
      <c r="AA8433">
        <f>IF(ISNUMBER('IN-CLASS_Lab Part C'!$J$8433),'IN-CLASS_Lab Part C'!$J$8433,NA())</f>
        <v/>
      </c>
    </row>
    <row r="8434">
      <c r="J8434">
        <f>IF(AND(ISNUMBER('Data'!$F$8435),'Data'!$F$8435&lt;&gt;999,'Data'!$F$8435&lt;&gt;""),'Data'!$F$8435,"")</f>
        <v/>
      </c>
      <c r="Z8434" t="n">
        <v>1</v>
      </c>
      <c r="AA8434">
        <f>IF(ISNUMBER('IN-CLASS_Lab Part C'!$J$8434),'IN-CLASS_Lab Part C'!$J$8434,NA())</f>
        <v/>
      </c>
    </row>
    <row r="8435">
      <c r="J8435">
        <f>IF(AND(ISNUMBER('Data'!$F$8436),'Data'!$F$8436&lt;&gt;999,'Data'!$F$8436&lt;&gt;""),'Data'!$F$8436,"")</f>
        <v/>
      </c>
      <c r="Z8435" t="n">
        <v>1</v>
      </c>
      <c r="AA8435">
        <f>IF(ISNUMBER('IN-CLASS_Lab Part C'!$J$8435),'IN-CLASS_Lab Part C'!$J$8435,NA())</f>
        <v/>
      </c>
    </row>
    <row r="8436">
      <c r="J8436">
        <f>IF(AND(ISNUMBER('Data'!$F$8437),'Data'!$F$8437&lt;&gt;999,'Data'!$F$8437&lt;&gt;""),'Data'!$F$8437,"")</f>
        <v/>
      </c>
      <c r="Z8436" t="n">
        <v>1</v>
      </c>
      <c r="AA8436">
        <f>IF(ISNUMBER('IN-CLASS_Lab Part C'!$J$8436),'IN-CLASS_Lab Part C'!$J$8436,NA())</f>
        <v/>
      </c>
    </row>
    <row r="8437">
      <c r="J8437">
        <f>IF(AND(ISNUMBER('Data'!$F$8438),'Data'!$F$8438&lt;&gt;999,'Data'!$F$8438&lt;&gt;""),'Data'!$F$8438,"")</f>
        <v/>
      </c>
      <c r="Z8437" t="n">
        <v>1</v>
      </c>
      <c r="AA8437">
        <f>IF(ISNUMBER('IN-CLASS_Lab Part C'!$J$8437),'IN-CLASS_Lab Part C'!$J$8437,NA())</f>
        <v/>
      </c>
    </row>
    <row r="8438">
      <c r="J8438">
        <f>IF(AND(ISNUMBER('Data'!$F$8439),'Data'!$F$8439&lt;&gt;999,'Data'!$F$8439&lt;&gt;""),'Data'!$F$8439,"")</f>
        <v/>
      </c>
      <c r="Z8438" t="n">
        <v>1</v>
      </c>
      <c r="AA8438">
        <f>IF(ISNUMBER('IN-CLASS_Lab Part C'!$J$8438),'IN-CLASS_Lab Part C'!$J$8438,NA())</f>
        <v/>
      </c>
    </row>
    <row r="8439">
      <c r="J8439">
        <f>IF(AND(ISNUMBER('Data'!$F$8440),'Data'!$F$8440&lt;&gt;999,'Data'!$F$8440&lt;&gt;""),'Data'!$F$8440,"")</f>
        <v/>
      </c>
      <c r="Z8439" t="n">
        <v>1</v>
      </c>
      <c r="AA8439">
        <f>IF(ISNUMBER('IN-CLASS_Lab Part C'!$J$8439),'IN-CLASS_Lab Part C'!$J$8439,NA())</f>
        <v/>
      </c>
    </row>
    <row r="8440">
      <c r="J8440">
        <f>IF(AND(ISNUMBER('Data'!$F$8441),'Data'!$F$8441&lt;&gt;999,'Data'!$F$8441&lt;&gt;""),'Data'!$F$8441,"")</f>
        <v/>
      </c>
      <c r="Z8440" t="n">
        <v>1</v>
      </c>
      <c r="AA8440">
        <f>IF(ISNUMBER('IN-CLASS_Lab Part C'!$J$8440),'IN-CLASS_Lab Part C'!$J$8440,NA())</f>
        <v/>
      </c>
    </row>
    <row r="8441">
      <c r="J8441">
        <f>IF(AND(ISNUMBER('Data'!$F$8442),'Data'!$F$8442&lt;&gt;999,'Data'!$F$8442&lt;&gt;""),'Data'!$F$8442,"")</f>
        <v/>
      </c>
      <c r="Z8441" t="n">
        <v>1</v>
      </c>
      <c r="AA8441">
        <f>IF(ISNUMBER('IN-CLASS_Lab Part C'!$J$8441),'IN-CLASS_Lab Part C'!$J$8441,NA())</f>
        <v/>
      </c>
    </row>
    <row r="8442">
      <c r="J8442">
        <f>IF(AND(ISNUMBER('Data'!$F$8443),'Data'!$F$8443&lt;&gt;999,'Data'!$F$8443&lt;&gt;""),'Data'!$F$8443,"")</f>
        <v/>
      </c>
      <c r="Z8442" t="n">
        <v>1</v>
      </c>
      <c r="AA8442">
        <f>IF(ISNUMBER('IN-CLASS_Lab Part C'!$J$8442),'IN-CLASS_Lab Part C'!$J$8442,NA())</f>
        <v/>
      </c>
    </row>
    <row r="8443">
      <c r="J8443">
        <f>IF(AND(ISNUMBER('Data'!$F$8444),'Data'!$F$8444&lt;&gt;999,'Data'!$F$8444&lt;&gt;""),'Data'!$F$8444,"")</f>
        <v/>
      </c>
      <c r="Z8443" t="n">
        <v>1</v>
      </c>
      <c r="AA8443">
        <f>IF(ISNUMBER('IN-CLASS_Lab Part C'!$J$8443),'IN-CLASS_Lab Part C'!$J$8443,NA())</f>
        <v/>
      </c>
    </row>
    <row r="8444">
      <c r="J8444">
        <f>IF(AND(ISNUMBER('Data'!$F$8445),'Data'!$F$8445&lt;&gt;999,'Data'!$F$8445&lt;&gt;""),'Data'!$F$8445,"")</f>
        <v/>
      </c>
      <c r="Z8444" t="n">
        <v>1</v>
      </c>
      <c r="AA8444">
        <f>IF(ISNUMBER('IN-CLASS_Lab Part C'!$J$8444),'IN-CLASS_Lab Part C'!$J$8444,NA())</f>
        <v/>
      </c>
    </row>
    <row r="8445">
      <c r="J8445">
        <f>IF(AND(ISNUMBER('Data'!$F$8446),'Data'!$F$8446&lt;&gt;999,'Data'!$F$8446&lt;&gt;""),'Data'!$F$8446,"")</f>
        <v/>
      </c>
      <c r="Z8445" t="n">
        <v>1</v>
      </c>
      <c r="AA8445">
        <f>IF(ISNUMBER('IN-CLASS_Lab Part C'!$J$8445),'IN-CLASS_Lab Part C'!$J$8445,NA())</f>
        <v/>
      </c>
    </row>
    <row r="8446">
      <c r="J8446">
        <f>IF(AND(ISNUMBER('Data'!$F$8447),'Data'!$F$8447&lt;&gt;999,'Data'!$F$8447&lt;&gt;""),'Data'!$F$8447,"")</f>
        <v/>
      </c>
      <c r="Z8446" t="n">
        <v>1</v>
      </c>
      <c r="AA8446">
        <f>IF(ISNUMBER('IN-CLASS_Lab Part C'!$J$8446),'IN-CLASS_Lab Part C'!$J$8446,NA())</f>
        <v/>
      </c>
    </row>
    <row r="8447">
      <c r="J8447">
        <f>IF(AND(ISNUMBER('Data'!$F$8448),'Data'!$F$8448&lt;&gt;999,'Data'!$F$8448&lt;&gt;""),'Data'!$F$8448,"")</f>
        <v/>
      </c>
      <c r="Z8447" t="n">
        <v>1</v>
      </c>
      <c r="AA8447">
        <f>IF(ISNUMBER('IN-CLASS_Lab Part C'!$J$8447),'IN-CLASS_Lab Part C'!$J$8447,NA())</f>
        <v/>
      </c>
    </row>
    <row r="8448">
      <c r="J8448">
        <f>IF(AND(ISNUMBER('Data'!$F$8449),'Data'!$F$8449&lt;&gt;999,'Data'!$F$8449&lt;&gt;""),'Data'!$F$8449,"")</f>
        <v/>
      </c>
      <c r="Z8448" t="n">
        <v>1</v>
      </c>
      <c r="AA8448">
        <f>IF(ISNUMBER('IN-CLASS_Lab Part C'!$J$8448),'IN-CLASS_Lab Part C'!$J$8448,NA())</f>
        <v/>
      </c>
    </row>
    <row r="8449">
      <c r="J8449">
        <f>IF(AND(ISNUMBER('Data'!$F$8450),'Data'!$F$8450&lt;&gt;999,'Data'!$F$8450&lt;&gt;""),'Data'!$F$8450,"")</f>
        <v/>
      </c>
      <c r="Z8449" t="n">
        <v>1</v>
      </c>
      <c r="AA8449">
        <f>IF(ISNUMBER('IN-CLASS_Lab Part C'!$J$8449),'IN-CLASS_Lab Part C'!$J$8449,NA())</f>
        <v/>
      </c>
    </row>
    <row r="8450">
      <c r="J8450">
        <f>IF(AND(ISNUMBER('Data'!$F$8451),'Data'!$F$8451&lt;&gt;999,'Data'!$F$8451&lt;&gt;""),'Data'!$F$8451,"")</f>
        <v/>
      </c>
      <c r="Z8450" t="n">
        <v>1</v>
      </c>
      <c r="AA8450">
        <f>IF(ISNUMBER('IN-CLASS_Lab Part C'!$J$8450),'IN-CLASS_Lab Part C'!$J$8450,NA())</f>
        <v/>
      </c>
    </row>
    <row r="8451">
      <c r="J8451">
        <f>IF(AND(ISNUMBER('Data'!$F$8452),'Data'!$F$8452&lt;&gt;999,'Data'!$F$8452&lt;&gt;""),'Data'!$F$8452,"")</f>
        <v/>
      </c>
      <c r="Z8451" t="n">
        <v>1</v>
      </c>
      <c r="AA8451">
        <f>IF(ISNUMBER('IN-CLASS_Lab Part C'!$J$8451),'IN-CLASS_Lab Part C'!$J$8451,NA())</f>
        <v/>
      </c>
    </row>
    <row r="8452">
      <c r="J8452">
        <f>IF(AND(ISNUMBER('Data'!$F$8453),'Data'!$F$8453&lt;&gt;999,'Data'!$F$8453&lt;&gt;""),'Data'!$F$8453,"")</f>
        <v/>
      </c>
      <c r="Z8452" t="n">
        <v>1</v>
      </c>
      <c r="AA8452">
        <f>IF(ISNUMBER('IN-CLASS_Lab Part C'!$J$8452),'IN-CLASS_Lab Part C'!$J$8452,NA())</f>
        <v/>
      </c>
    </row>
    <row r="8453">
      <c r="J8453">
        <f>IF(AND(ISNUMBER('Data'!$F$8454),'Data'!$F$8454&lt;&gt;999,'Data'!$F$8454&lt;&gt;""),'Data'!$F$8454,"")</f>
        <v/>
      </c>
      <c r="Z8453" t="n">
        <v>1</v>
      </c>
      <c r="AA8453">
        <f>IF(ISNUMBER('IN-CLASS_Lab Part C'!$J$8453),'IN-CLASS_Lab Part C'!$J$8453,NA())</f>
        <v/>
      </c>
    </row>
    <row r="8454">
      <c r="J8454">
        <f>IF(AND(ISNUMBER('Data'!$F$8455),'Data'!$F$8455&lt;&gt;999,'Data'!$F$8455&lt;&gt;""),'Data'!$F$8455,"")</f>
        <v/>
      </c>
      <c r="Z8454" t="n">
        <v>1</v>
      </c>
      <c r="AA8454">
        <f>IF(ISNUMBER('IN-CLASS_Lab Part C'!$J$8454),'IN-CLASS_Lab Part C'!$J$8454,NA())</f>
        <v/>
      </c>
    </row>
    <row r="8455">
      <c r="J8455">
        <f>IF(AND(ISNUMBER('Data'!$F$8456),'Data'!$F$8456&lt;&gt;999,'Data'!$F$8456&lt;&gt;""),'Data'!$F$8456,"")</f>
        <v/>
      </c>
      <c r="Z8455" t="n">
        <v>1</v>
      </c>
      <c r="AA8455">
        <f>IF(ISNUMBER('IN-CLASS_Lab Part C'!$J$8455),'IN-CLASS_Lab Part C'!$J$8455,NA())</f>
        <v/>
      </c>
    </row>
    <row r="8456">
      <c r="J8456">
        <f>IF(AND(ISNUMBER('Data'!$F$8457),'Data'!$F$8457&lt;&gt;999,'Data'!$F$8457&lt;&gt;""),'Data'!$F$8457,"")</f>
        <v/>
      </c>
      <c r="Z8456" t="n">
        <v>1</v>
      </c>
      <c r="AA8456">
        <f>IF(ISNUMBER('IN-CLASS_Lab Part C'!$J$8456),'IN-CLASS_Lab Part C'!$J$8456,NA())</f>
        <v/>
      </c>
    </row>
    <row r="8457">
      <c r="J8457">
        <f>IF(AND(ISNUMBER('Data'!$F$8458),'Data'!$F$8458&lt;&gt;999,'Data'!$F$8458&lt;&gt;""),'Data'!$F$8458,"")</f>
        <v/>
      </c>
      <c r="Z8457" t="n">
        <v>1</v>
      </c>
      <c r="AA8457">
        <f>IF(ISNUMBER('IN-CLASS_Lab Part C'!$J$8457),'IN-CLASS_Lab Part C'!$J$8457,NA())</f>
        <v/>
      </c>
    </row>
    <row r="8458">
      <c r="J8458">
        <f>IF(AND(ISNUMBER('Data'!$F$8459),'Data'!$F$8459&lt;&gt;999,'Data'!$F$8459&lt;&gt;""),'Data'!$F$8459,"")</f>
        <v/>
      </c>
      <c r="Z8458" t="n">
        <v>1</v>
      </c>
      <c r="AA8458">
        <f>IF(ISNUMBER('IN-CLASS_Lab Part C'!$J$8458),'IN-CLASS_Lab Part C'!$J$8458,NA())</f>
        <v/>
      </c>
    </row>
    <row r="8459">
      <c r="J8459">
        <f>IF(AND(ISNUMBER('Data'!$F$8460),'Data'!$F$8460&lt;&gt;999,'Data'!$F$8460&lt;&gt;""),'Data'!$F$8460,"")</f>
        <v/>
      </c>
      <c r="Z8459" t="n">
        <v>1</v>
      </c>
      <c r="AA8459">
        <f>IF(ISNUMBER('IN-CLASS_Lab Part C'!$J$8459),'IN-CLASS_Lab Part C'!$J$8459,NA())</f>
        <v/>
      </c>
    </row>
    <row r="8460">
      <c r="J8460">
        <f>IF(AND(ISNUMBER('Data'!$F$8461),'Data'!$F$8461&lt;&gt;999,'Data'!$F$8461&lt;&gt;""),'Data'!$F$8461,"")</f>
        <v/>
      </c>
      <c r="Z8460" t="n">
        <v>1</v>
      </c>
      <c r="AA8460">
        <f>IF(ISNUMBER('IN-CLASS_Lab Part C'!$J$8460),'IN-CLASS_Lab Part C'!$J$8460,NA())</f>
        <v/>
      </c>
    </row>
    <row r="8461">
      <c r="J8461">
        <f>IF(AND(ISNUMBER('Data'!$F$8462),'Data'!$F$8462&lt;&gt;999,'Data'!$F$8462&lt;&gt;""),'Data'!$F$8462,"")</f>
        <v/>
      </c>
      <c r="Z8461" t="n">
        <v>1</v>
      </c>
      <c r="AA8461">
        <f>IF(ISNUMBER('IN-CLASS_Lab Part C'!$J$8461),'IN-CLASS_Lab Part C'!$J$8461,NA())</f>
        <v/>
      </c>
    </row>
    <row r="8462">
      <c r="J8462">
        <f>IF(AND(ISNUMBER('Data'!$F$8463),'Data'!$F$8463&lt;&gt;999,'Data'!$F$8463&lt;&gt;""),'Data'!$F$8463,"")</f>
        <v/>
      </c>
      <c r="Z8462" t="n">
        <v>1</v>
      </c>
      <c r="AA8462">
        <f>IF(ISNUMBER('IN-CLASS_Lab Part C'!$J$8462),'IN-CLASS_Lab Part C'!$J$8462,NA())</f>
        <v/>
      </c>
    </row>
    <row r="8463">
      <c r="J8463">
        <f>IF(AND(ISNUMBER('Data'!$F$8464),'Data'!$F$8464&lt;&gt;999,'Data'!$F$8464&lt;&gt;""),'Data'!$F$8464,"")</f>
        <v/>
      </c>
      <c r="Z8463" t="n">
        <v>1</v>
      </c>
      <c r="AA8463">
        <f>IF(ISNUMBER('IN-CLASS_Lab Part C'!$J$8463),'IN-CLASS_Lab Part C'!$J$8463,NA())</f>
        <v/>
      </c>
    </row>
    <row r="8464">
      <c r="J8464">
        <f>IF(AND(ISNUMBER('Data'!$F$8465),'Data'!$F$8465&lt;&gt;999,'Data'!$F$8465&lt;&gt;""),'Data'!$F$8465,"")</f>
        <v/>
      </c>
      <c r="Z8464" t="n">
        <v>1</v>
      </c>
      <c r="AA8464">
        <f>IF(ISNUMBER('IN-CLASS_Lab Part C'!$J$8464),'IN-CLASS_Lab Part C'!$J$8464,NA())</f>
        <v/>
      </c>
    </row>
    <row r="8465">
      <c r="J8465">
        <f>IF(AND(ISNUMBER('Data'!$F$8466),'Data'!$F$8466&lt;&gt;999,'Data'!$F$8466&lt;&gt;""),'Data'!$F$8466,"")</f>
        <v/>
      </c>
      <c r="Z8465" t="n">
        <v>1</v>
      </c>
      <c r="AA8465">
        <f>IF(ISNUMBER('IN-CLASS_Lab Part C'!$J$8465),'IN-CLASS_Lab Part C'!$J$8465,NA())</f>
        <v/>
      </c>
    </row>
    <row r="8466">
      <c r="J8466">
        <f>IF(AND(ISNUMBER('Data'!$F$8467),'Data'!$F$8467&lt;&gt;999,'Data'!$F$8467&lt;&gt;""),'Data'!$F$8467,"")</f>
        <v/>
      </c>
      <c r="Z8466" t="n">
        <v>1</v>
      </c>
      <c r="AA8466">
        <f>IF(ISNUMBER('IN-CLASS_Lab Part C'!$J$8466),'IN-CLASS_Lab Part C'!$J$8466,NA())</f>
        <v/>
      </c>
    </row>
    <row r="8467">
      <c r="J8467">
        <f>IF(AND(ISNUMBER('Data'!$F$8468),'Data'!$F$8468&lt;&gt;999,'Data'!$F$8468&lt;&gt;""),'Data'!$F$8468,"")</f>
        <v/>
      </c>
      <c r="Z8467" t="n">
        <v>1</v>
      </c>
      <c r="AA8467">
        <f>IF(ISNUMBER('IN-CLASS_Lab Part C'!$J$8467),'IN-CLASS_Lab Part C'!$J$8467,NA())</f>
        <v/>
      </c>
    </row>
    <row r="8468">
      <c r="J8468">
        <f>IF(AND(ISNUMBER('Data'!$F$8469),'Data'!$F$8469&lt;&gt;999,'Data'!$F$8469&lt;&gt;""),'Data'!$F$8469,"")</f>
        <v/>
      </c>
      <c r="Z8468" t="n">
        <v>1</v>
      </c>
      <c r="AA8468">
        <f>IF(ISNUMBER('IN-CLASS_Lab Part C'!$J$8468),'IN-CLASS_Lab Part C'!$J$8468,NA())</f>
        <v/>
      </c>
    </row>
    <row r="8469">
      <c r="J8469">
        <f>IF(AND(ISNUMBER('Data'!$F$8470),'Data'!$F$8470&lt;&gt;999,'Data'!$F$8470&lt;&gt;""),'Data'!$F$8470,"")</f>
        <v/>
      </c>
      <c r="Z8469" t="n">
        <v>1</v>
      </c>
      <c r="AA8469">
        <f>IF(ISNUMBER('IN-CLASS_Lab Part C'!$J$8469),'IN-CLASS_Lab Part C'!$J$8469,NA())</f>
        <v/>
      </c>
    </row>
    <row r="8470">
      <c r="J8470">
        <f>IF(AND(ISNUMBER('Data'!$F$8471),'Data'!$F$8471&lt;&gt;999,'Data'!$F$8471&lt;&gt;""),'Data'!$F$8471,"")</f>
        <v/>
      </c>
      <c r="Z8470" t="n">
        <v>1</v>
      </c>
      <c r="AA8470">
        <f>IF(ISNUMBER('IN-CLASS_Lab Part C'!$J$8470),'IN-CLASS_Lab Part C'!$J$8470,NA())</f>
        <v/>
      </c>
    </row>
    <row r="8471">
      <c r="J8471">
        <f>IF(AND(ISNUMBER('Data'!$F$8472),'Data'!$F$8472&lt;&gt;999,'Data'!$F$8472&lt;&gt;""),'Data'!$F$8472,"")</f>
        <v/>
      </c>
      <c r="Z8471" t="n">
        <v>1</v>
      </c>
      <c r="AA8471">
        <f>IF(ISNUMBER('IN-CLASS_Lab Part C'!$J$8471),'IN-CLASS_Lab Part C'!$J$8471,NA())</f>
        <v/>
      </c>
    </row>
    <row r="8472">
      <c r="J8472">
        <f>IF(AND(ISNUMBER('Data'!$F$8473),'Data'!$F$8473&lt;&gt;999,'Data'!$F$8473&lt;&gt;""),'Data'!$F$8473,"")</f>
        <v/>
      </c>
      <c r="Z8472" t="n">
        <v>1</v>
      </c>
      <c r="AA8472">
        <f>IF(ISNUMBER('IN-CLASS_Lab Part C'!$J$8472),'IN-CLASS_Lab Part C'!$J$8472,NA())</f>
        <v/>
      </c>
    </row>
    <row r="8473">
      <c r="J8473">
        <f>IF(AND(ISNUMBER('Data'!$F$8474),'Data'!$F$8474&lt;&gt;999,'Data'!$F$8474&lt;&gt;""),'Data'!$F$8474,"")</f>
        <v/>
      </c>
      <c r="Z8473" t="n">
        <v>1</v>
      </c>
      <c r="AA8473">
        <f>IF(ISNUMBER('IN-CLASS_Lab Part C'!$J$8473),'IN-CLASS_Lab Part C'!$J$8473,NA())</f>
        <v/>
      </c>
    </row>
    <row r="8474">
      <c r="J8474">
        <f>IF(AND(ISNUMBER('Data'!$F$8475),'Data'!$F$8475&lt;&gt;999,'Data'!$F$8475&lt;&gt;""),'Data'!$F$8475,"")</f>
        <v/>
      </c>
      <c r="Z8474" t="n">
        <v>1</v>
      </c>
      <c r="AA8474">
        <f>IF(ISNUMBER('IN-CLASS_Lab Part C'!$J$8474),'IN-CLASS_Lab Part C'!$J$8474,NA())</f>
        <v/>
      </c>
    </row>
    <row r="8475">
      <c r="J8475">
        <f>IF(AND(ISNUMBER('Data'!$F$8476),'Data'!$F$8476&lt;&gt;999,'Data'!$F$8476&lt;&gt;""),'Data'!$F$8476,"")</f>
        <v/>
      </c>
      <c r="Z8475" t="n">
        <v>1</v>
      </c>
      <c r="AA8475">
        <f>IF(ISNUMBER('IN-CLASS_Lab Part C'!$J$8475),'IN-CLASS_Lab Part C'!$J$8475,NA())</f>
        <v/>
      </c>
    </row>
    <row r="8476">
      <c r="J8476">
        <f>IF(AND(ISNUMBER('Data'!$F$8477),'Data'!$F$8477&lt;&gt;999,'Data'!$F$8477&lt;&gt;""),'Data'!$F$8477,"")</f>
        <v/>
      </c>
      <c r="Z8476" t="n">
        <v>1</v>
      </c>
      <c r="AA8476">
        <f>IF(ISNUMBER('IN-CLASS_Lab Part C'!$J$8476),'IN-CLASS_Lab Part C'!$J$8476,NA())</f>
        <v/>
      </c>
    </row>
    <row r="8477">
      <c r="J8477">
        <f>IF(AND(ISNUMBER('Data'!$F$8478),'Data'!$F$8478&lt;&gt;999,'Data'!$F$8478&lt;&gt;""),'Data'!$F$8478,"")</f>
        <v/>
      </c>
      <c r="Z8477" t="n">
        <v>1</v>
      </c>
      <c r="AA8477">
        <f>IF(ISNUMBER('IN-CLASS_Lab Part C'!$J$8477),'IN-CLASS_Lab Part C'!$J$8477,NA())</f>
        <v/>
      </c>
    </row>
    <row r="8478">
      <c r="J8478">
        <f>IF(AND(ISNUMBER('Data'!$F$8479),'Data'!$F$8479&lt;&gt;999,'Data'!$F$8479&lt;&gt;""),'Data'!$F$8479,"")</f>
        <v/>
      </c>
      <c r="Z8478" t="n">
        <v>1</v>
      </c>
      <c r="AA8478">
        <f>IF(ISNUMBER('IN-CLASS_Lab Part C'!$J$8478),'IN-CLASS_Lab Part C'!$J$8478,NA())</f>
        <v/>
      </c>
    </row>
    <row r="8479">
      <c r="J8479">
        <f>IF(AND(ISNUMBER('Data'!$F$8480),'Data'!$F$8480&lt;&gt;999,'Data'!$F$8480&lt;&gt;""),'Data'!$F$8480,"")</f>
        <v/>
      </c>
      <c r="Z8479" t="n">
        <v>1</v>
      </c>
      <c r="AA8479">
        <f>IF(ISNUMBER('IN-CLASS_Lab Part C'!$J$8479),'IN-CLASS_Lab Part C'!$J$8479,NA())</f>
        <v/>
      </c>
    </row>
    <row r="8480">
      <c r="J8480">
        <f>IF(AND(ISNUMBER('Data'!$F$8481),'Data'!$F$8481&lt;&gt;999,'Data'!$F$8481&lt;&gt;""),'Data'!$F$8481,"")</f>
        <v/>
      </c>
      <c r="Z8480" t="n">
        <v>1</v>
      </c>
      <c r="AA8480">
        <f>IF(ISNUMBER('IN-CLASS_Lab Part C'!$J$8480),'IN-CLASS_Lab Part C'!$J$8480,NA())</f>
        <v/>
      </c>
    </row>
    <row r="8481">
      <c r="J8481">
        <f>IF(AND(ISNUMBER('Data'!$F$8482),'Data'!$F$8482&lt;&gt;999,'Data'!$F$8482&lt;&gt;""),'Data'!$F$8482,"")</f>
        <v/>
      </c>
      <c r="Z8481" t="n">
        <v>1</v>
      </c>
      <c r="AA8481">
        <f>IF(ISNUMBER('IN-CLASS_Lab Part C'!$J$8481),'IN-CLASS_Lab Part C'!$J$8481,NA())</f>
        <v/>
      </c>
    </row>
    <row r="8482">
      <c r="J8482">
        <f>IF(AND(ISNUMBER('Data'!$F$8483),'Data'!$F$8483&lt;&gt;999,'Data'!$F$8483&lt;&gt;""),'Data'!$F$8483,"")</f>
        <v/>
      </c>
      <c r="Z8482" t="n">
        <v>1</v>
      </c>
      <c r="AA8482">
        <f>IF(ISNUMBER('IN-CLASS_Lab Part C'!$J$8482),'IN-CLASS_Lab Part C'!$J$8482,NA())</f>
        <v/>
      </c>
    </row>
    <row r="8483">
      <c r="J8483">
        <f>IF(AND(ISNUMBER('Data'!$F$8484),'Data'!$F$8484&lt;&gt;999,'Data'!$F$8484&lt;&gt;""),'Data'!$F$8484,"")</f>
        <v/>
      </c>
      <c r="Z8483" t="n">
        <v>1</v>
      </c>
      <c r="AA8483">
        <f>IF(ISNUMBER('IN-CLASS_Lab Part C'!$J$8483),'IN-CLASS_Lab Part C'!$J$8483,NA())</f>
        <v/>
      </c>
    </row>
    <row r="8484">
      <c r="J8484">
        <f>IF(AND(ISNUMBER('Data'!$F$8485),'Data'!$F$8485&lt;&gt;999,'Data'!$F$8485&lt;&gt;""),'Data'!$F$8485,"")</f>
        <v/>
      </c>
      <c r="Z8484" t="n">
        <v>1</v>
      </c>
      <c r="AA8484">
        <f>IF(ISNUMBER('IN-CLASS_Lab Part C'!$J$8484),'IN-CLASS_Lab Part C'!$J$8484,NA())</f>
        <v/>
      </c>
    </row>
    <row r="8485">
      <c r="J8485">
        <f>IF(AND(ISNUMBER('Data'!$F$8486),'Data'!$F$8486&lt;&gt;999,'Data'!$F$8486&lt;&gt;""),'Data'!$F$8486,"")</f>
        <v/>
      </c>
      <c r="Z8485" t="n">
        <v>1</v>
      </c>
      <c r="AA8485">
        <f>IF(ISNUMBER('IN-CLASS_Lab Part C'!$J$8485),'IN-CLASS_Lab Part C'!$J$8485,NA())</f>
        <v/>
      </c>
    </row>
    <row r="8486">
      <c r="J8486">
        <f>IF(AND(ISNUMBER('Data'!$F$8487),'Data'!$F$8487&lt;&gt;999,'Data'!$F$8487&lt;&gt;""),'Data'!$F$8487,"")</f>
        <v/>
      </c>
      <c r="Z8486" t="n">
        <v>1</v>
      </c>
      <c r="AA8486">
        <f>IF(ISNUMBER('IN-CLASS_Lab Part C'!$J$8486),'IN-CLASS_Lab Part C'!$J$8486,NA())</f>
        <v/>
      </c>
    </row>
    <row r="8487">
      <c r="J8487">
        <f>IF(AND(ISNUMBER('Data'!$F$8488),'Data'!$F$8488&lt;&gt;999,'Data'!$F$8488&lt;&gt;""),'Data'!$F$8488,"")</f>
        <v/>
      </c>
      <c r="Z8487" t="n">
        <v>1</v>
      </c>
      <c r="AA8487">
        <f>IF(ISNUMBER('IN-CLASS_Lab Part C'!$J$8487),'IN-CLASS_Lab Part C'!$J$8487,NA())</f>
        <v/>
      </c>
    </row>
    <row r="8488">
      <c r="J8488">
        <f>IF(AND(ISNUMBER('Data'!$F$8489),'Data'!$F$8489&lt;&gt;999,'Data'!$F$8489&lt;&gt;""),'Data'!$F$8489,"")</f>
        <v/>
      </c>
      <c r="Z8488" t="n">
        <v>1</v>
      </c>
      <c r="AA8488">
        <f>IF(ISNUMBER('IN-CLASS_Lab Part C'!$J$8488),'IN-CLASS_Lab Part C'!$J$8488,NA())</f>
        <v/>
      </c>
    </row>
    <row r="8489">
      <c r="J8489">
        <f>IF(AND(ISNUMBER('Data'!$F$8490),'Data'!$F$8490&lt;&gt;999,'Data'!$F$8490&lt;&gt;""),'Data'!$F$8490,"")</f>
        <v/>
      </c>
      <c r="Z8489" t="n">
        <v>1</v>
      </c>
      <c r="AA8489">
        <f>IF(ISNUMBER('IN-CLASS_Lab Part C'!$J$8489),'IN-CLASS_Lab Part C'!$J$8489,NA())</f>
        <v/>
      </c>
    </row>
    <row r="8490">
      <c r="J8490">
        <f>IF(AND(ISNUMBER('Data'!$F$8491),'Data'!$F$8491&lt;&gt;999,'Data'!$F$8491&lt;&gt;""),'Data'!$F$8491,"")</f>
        <v/>
      </c>
      <c r="Z8490" t="n">
        <v>1</v>
      </c>
      <c r="AA8490">
        <f>IF(ISNUMBER('IN-CLASS_Lab Part C'!$J$8490),'IN-CLASS_Lab Part C'!$J$8490,NA())</f>
        <v/>
      </c>
    </row>
    <row r="8491">
      <c r="J8491">
        <f>IF(AND(ISNUMBER('Data'!$F$8492),'Data'!$F$8492&lt;&gt;999,'Data'!$F$8492&lt;&gt;""),'Data'!$F$8492,"")</f>
        <v/>
      </c>
      <c r="Z8491" t="n">
        <v>1</v>
      </c>
      <c r="AA8491">
        <f>IF(ISNUMBER('IN-CLASS_Lab Part C'!$J$8491),'IN-CLASS_Lab Part C'!$J$8491,NA())</f>
        <v/>
      </c>
    </row>
    <row r="8492">
      <c r="J8492">
        <f>IF(AND(ISNUMBER('Data'!$F$8493),'Data'!$F$8493&lt;&gt;999,'Data'!$F$8493&lt;&gt;""),'Data'!$F$8493,"")</f>
        <v/>
      </c>
      <c r="Z8492" t="n">
        <v>1</v>
      </c>
      <c r="AA8492">
        <f>IF(ISNUMBER('IN-CLASS_Lab Part C'!$J$8492),'IN-CLASS_Lab Part C'!$J$8492,NA())</f>
        <v/>
      </c>
    </row>
    <row r="8493">
      <c r="J8493">
        <f>IF(AND(ISNUMBER('Data'!$F$8494),'Data'!$F$8494&lt;&gt;999,'Data'!$F$8494&lt;&gt;""),'Data'!$F$8494,"")</f>
        <v/>
      </c>
      <c r="Z8493" t="n">
        <v>1</v>
      </c>
      <c r="AA8493">
        <f>IF(ISNUMBER('IN-CLASS_Lab Part C'!$J$8493),'IN-CLASS_Lab Part C'!$J$8493,NA())</f>
        <v/>
      </c>
    </row>
    <row r="8494">
      <c r="J8494">
        <f>IF(AND(ISNUMBER('Data'!$F$8495),'Data'!$F$8495&lt;&gt;999,'Data'!$F$8495&lt;&gt;""),'Data'!$F$8495,"")</f>
        <v/>
      </c>
      <c r="Z8494" t="n">
        <v>1</v>
      </c>
      <c r="AA8494">
        <f>IF(ISNUMBER('IN-CLASS_Lab Part C'!$J$8494),'IN-CLASS_Lab Part C'!$J$8494,NA())</f>
        <v/>
      </c>
    </row>
    <row r="8495">
      <c r="J8495">
        <f>IF(AND(ISNUMBER('Data'!$F$8496),'Data'!$F$8496&lt;&gt;999,'Data'!$F$8496&lt;&gt;""),'Data'!$F$8496,"")</f>
        <v/>
      </c>
      <c r="Z8495" t="n">
        <v>1</v>
      </c>
      <c r="AA8495">
        <f>IF(ISNUMBER('IN-CLASS_Lab Part C'!$J$8495),'IN-CLASS_Lab Part C'!$J$8495,NA())</f>
        <v/>
      </c>
    </row>
    <row r="8496">
      <c r="J8496">
        <f>IF(AND(ISNUMBER('Data'!$F$8497),'Data'!$F$8497&lt;&gt;999,'Data'!$F$8497&lt;&gt;""),'Data'!$F$8497,"")</f>
        <v/>
      </c>
      <c r="Z8496" t="n">
        <v>1</v>
      </c>
      <c r="AA8496">
        <f>IF(ISNUMBER('IN-CLASS_Lab Part C'!$J$8496),'IN-CLASS_Lab Part C'!$J$8496,NA())</f>
        <v/>
      </c>
    </row>
    <row r="8497">
      <c r="J8497">
        <f>IF(AND(ISNUMBER('Data'!$F$8498),'Data'!$F$8498&lt;&gt;999,'Data'!$F$8498&lt;&gt;""),'Data'!$F$8498,"")</f>
        <v/>
      </c>
      <c r="Z8497" t="n">
        <v>1</v>
      </c>
      <c r="AA8497">
        <f>IF(ISNUMBER('IN-CLASS_Lab Part C'!$J$8497),'IN-CLASS_Lab Part C'!$J$8497,NA())</f>
        <v/>
      </c>
    </row>
    <row r="8498">
      <c r="J8498">
        <f>IF(AND(ISNUMBER('Data'!$F$8499),'Data'!$F$8499&lt;&gt;999,'Data'!$F$8499&lt;&gt;""),'Data'!$F$8499,"")</f>
        <v/>
      </c>
      <c r="Z8498" t="n">
        <v>1</v>
      </c>
      <c r="AA8498">
        <f>IF(ISNUMBER('IN-CLASS_Lab Part C'!$J$8498),'IN-CLASS_Lab Part C'!$J$8498,NA())</f>
        <v/>
      </c>
    </row>
    <row r="8499">
      <c r="J8499">
        <f>IF(AND(ISNUMBER('Data'!$F$8500),'Data'!$F$8500&lt;&gt;999,'Data'!$F$8500&lt;&gt;""),'Data'!$F$8500,"")</f>
        <v/>
      </c>
      <c r="Z8499" t="n">
        <v>1</v>
      </c>
      <c r="AA8499">
        <f>IF(ISNUMBER('IN-CLASS_Lab Part C'!$J$8499),'IN-CLASS_Lab Part C'!$J$8499,NA())</f>
        <v/>
      </c>
    </row>
    <row r="8500">
      <c r="J8500">
        <f>IF(AND(ISNUMBER('Data'!$F$8501),'Data'!$F$8501&lt;&gt;999,'Data'!$F$8501&lt;&gt;""),'Data'!$F$8501,"")</f>
        <v/>
      </c>
      <c r="Z8500" t="n">
        <v>1</v>
      </c>
      <c r="AA8500">
        <f>IF(ISNUMBER('IN-CLASS_Lab Part C'!$J$8500),'IN-CLASS_Lab Part C'!$J$8500,NA())</f>
        <v/>
      </c>
    </row>
    <row r="8501">
      <c r="J8501">
        <f>IF(AND(ISNUMBER('Data'!$F$8502),'Data'!$F$8502&lt;&gt;999,'Data'!$F$8502&lt;&gt;""),'Data'!$F$8502,"")</f>
        <v/>
      </c>
      <c r="Z8501" t="n">
        <v>1</v>
      </c>
      <c r="AA8501">
        <f>IF(ISNUMBER('IN-CLASS_Lab Part C'!$J$8501),'IN-CLASS_Lab Part C'!$J$8501,NA())</f>
        <v/>
      </c>
    </row>
    <row r="8502">
      <c r="J8502">
        <f>IF(AND(ISNUMBER('Data'!$F$8503),'Data'!$F$8503&lt;&gt;999,'Data'!$F$8503&lt;&gt;""),'Data'!$F$8503,"")</f>
        <v/>
      </c>
      <c r="Z8502" t="n">
        <v>1</v>
      </c>
      <c r="AA8502">
        <f>IF(ISNUMBER('IN-CLASS_Lab Part C'!$J$8502),'IN-CLASS_Lab Part C'!$J$8502,NA())</f>
        <v/>
      </c>
    </row>
    <row r="8503">
      <c r="J8503">
        <f>IF(AND(ISNUMBER('Data'!$F$8504),'Data'!$F$8504&lt;&gt;999,'Data'!$F$8504&lt;&gt;""),'Data'!$F$8504,"")</f>
        <v/>
      </c>
      <c r="Z8503" t="n">
        <v>1</v>
      </c>
      <c r="AA8503">
        <f>IF(ISNUMBER('IN-CLASS_Lab Part C'!$J$8503),'IN-CLASS_Lab Part C'!$J$8503,NA())</f>
        <v/>
      </c>
    </row>
    <row r="8504">
      <c r="J8504">
        <f>IF(AND(ISNUMBER('Data'!$F$8505),'Data'!$F$8505&lt;&gt;999,'Data'!$F$8505&lt;&gt;""),'Data'!$F$8505,"")</f>
        <v/>
      </c>
      <c r="Z8504" t="n">
        <v>1</v>
      </c>
      <c r="AA8504">
        <f>IF(ISNUMBER('IN-CLASS_Lab Part C'!$J$8504),'IN-CLASS_Lab Part C'!$J$8504,NA())</f>
        <v/>
      </c>
    </row>
    <row r="8505">
      <c r="J8505">
        <f>IF(AND(ISNUMBER('Data'!$F$8506),'Data'!$F$8506&lt;&gt;999,'Data'!$F$8506&lt;&gt;""),'Data'!$F$8506,"")</f>
        <v/>
      </c>
      <c r="Z8505" t="n">
        <v>1</v>
      </c>
      <c r="AA8505">
        <f>IF(ISNUMBER('IN-CLASS_Lab Part C'!$J$8505),'IN-CLASS_Lab Part C'!$J$8505,NA())</f>
        <v/>
      </c>
    </row>
    <row r="8506">
      <c r="J8506">
        <f>IF(AND(ISNUMBER('Data'!$F$8507),'Data'!$F$8507&lt;&gt;999,'Data'!$F$8507&lt;&gt;""),'Data'!$F$8507,"")</f>
        <v/>
      </c>
      <c r="Z8506" t="n">
        <v>1</v>
      </c>
      <c r="AA8506">
        <f>IF(ISNUMBER('IN-CLASS_Lab Part C'!$J$8506),'IN-CLASS_Lab Part C'!$J$8506,NA())</f>
        <v/>
      </c>
    </row>
    <row r="8507">
      <c r="J8507">
        <f>IF(AND(ISNUMBER('Data'!$F$8508),'Data'!$F$8508&lt;&gt;999,'Data'!$F$8508&lt;&gt;""),'Data'!$F$8508,"")</f>
        <v/>
      </c>
      <c r="Z8507" t="n">
        <v>1</v>
      </c>
      <c r="AA8507">
        <f>IF(ISNUMBER('IN-CLASS_Lab Part C'!$J$8507),'IN-CLASS_Lab Part C'!$J$8507,NA())</f>
        <v/>
      </c>
    </row>
    <row r="8508">
      <c r="J8508">
        <f>IF(AND(ISNUMBER('Data'!$F$8509),'Data'!$F$8509&lt;&gt;999,'Data'!$F$8509&lt;&gt;""),'Data'!$F$8509,"")</f>
        <v/>
      </c>
      <c r="Z8508" t="n">
        <v>1</v>
      </c>
      <c r="AA8508">
        <f>IF(ISNUMBER('IN-CLASS_Lab Part C'!$J$8508),'IN-CLASS_Lab Part C'!$J$8508,NA())</f>
        <v/>
      </c>
    </row>
    <row r="8509">
      <c r="J8509">
        <f>IF(AND(ISNUMBER('Data'!$F$8510),'Data'!$F$8510&lt;&gt;999,'Data'!$F$8510&lt;&gt;""),'Data'!$F$8510,"")</f>
        <v/>
      </c>
      <c r="Z8509" t="n">
        <v>1</v>
      </c>
      <c r="AA8509">
        <f>IF(ISNUMBER('IN-CLASS_Lab Part C'!$J$8509),'IN-CLASS_Lab Part C'!$J$8509,NA())</f>
        <v/>
      </c>
    </row>
    <row r="8510">
      <c r="J8510">
        <f>IF(AND(ISNUMBER('Data'!$F$8511),'Data'!$F$8511&lt;&gt;999,'Data'!$F$8511&lt;&gt;""),'Data'!$F$8511,"")</f>
        <v/>
      </c>
      <c r="Z8510" t="n">
        <v>1</v>
      </c>
      <c r="AA8510">
        <f>IF(ISNUMBER('IN-CLASS_Lab Part C'!$J$8510),'IN-CLASS_Lab Part C'!$J$8510,NA())</f>
        <v/>
      </c>
    </row>
    <row r="8511">
      <c r="J8511">
        <f>IF(AND(ISNUMBER('Data'!$F$8512),'Data'!$F$8512&lt;&gt;999,'Data'!$F$8512&lt;&gt;""),'Data'!$F$8512,"")</f>
        <v/>
      </c>
      <c r="Z8511" t="n">
        <v>1</v>
      </c>
      <c r="AA8511">
        <f>IF(ISNUMBER('IN-CLASS_Lab Part C'!$J$8511),'IN-CLASS_Lab Part C'!$J$8511,NA())</f>
        <v/>
      </c>
    </row>
    <row r="8512">
      <c r="J8512">
        <f>IF(AND(ISNUMBER('Data'!$F$8513),'Data'!$F$8513&lt;&gt;999,'Data'!$F$8513&lt;&gt;""),'Data'!$F$8513,"")</f>
        <v/>
      </c>
      <c r="Z8512" t="n">
        <v>1</v>
      </c>
      <c r="AA8512">
        <f>IF(ISNUMBER('IN-CLASS_Lab Part C'!$J$8512),'IN-CLASS_Lab Part C'!$J$8512,NA())</f>
        <v/>
      </c>
    </row>
    <row r="8513">
      <c r="J8513">
        <f>IF(AND(ISNUMBER('Data'!$F$8514),'Data'!$F$8514&lt;&gt;999,'Data'!$F$8514&lt;&gt;""),'Data'!$F$8514,"")</f>
        <v/>
      </c>
      <c r="Z8513" t="n">
        <v>1</v>
      </c>
      <c r="AA8513">
        <f>IF(ISNUMBER('IN-CLASS_Lab Part C'!$J$8513),'IN-CLASS_Lab Part C'!$J$8513,NA())</f>
        <v/>
      </c>
    </row>
    <row r="8514">
      <c r="J8514">
        <f>IF(AND(ISNUMBER('Data'!$F$8515),'Data'!$F$8515&lt;&gt;999,'Data'!$F$8515&lt;&gt;""),'Data'!$F$8515,"")</f>
        <v/>
      </c>
      <c r="Z8514" t="n">
        <v>1</v>
      </c>
      <c r="AA8514">
        <f>IF(ISNUMBER('IN-CLASS_Lab Part C'!$J$8514),'IN-CLASS_Lab Part C'!$J$8514,NA())</f>
        <v/>
      </c>
    </row>
    <row r="8515">
      <c r="J8515">
        <f>IF(AND(ISNUMBER('Data'!$F$8516),'Data'!$F$8516&lt;&gt;999,'Data'!$F$8516&lt;&gt;""),'Data'!$F$8516,"")</f>
        <v/>
      </c>
      <c r="Z8515" t="n">
        <v>1</v>
      </c>
      <c r="AA8515">
        <f>IF(ISNUMBER('IN-CLASS_Lab Part C'!$J$8515),'IN-CLASS_Lab Part C'!$J$8515,NA())</f>
        <v/>
      </c>
    </row>
    <row r="8516">
      <c r="J8516">
        <f>IF(AND(ISNUMBER('Data'!$F$8517),'Data'!$F$8517&lt;&gt;999,'Data'!$F$8517&lt;&gt;""),'Data'!$F$8517,"")</f>
        <v/>
      </c>
      <c r="Z8516" t="n">
        <v>1</v>
      </c>
      <c r="AA8516">
        <f>IF(ISNUMBER('IN-CLASS_Lab Part C'!$J$8516),'IN-CLASS_Lab Part C'!$J$8516,NA())</f>
        <v/>
      </c>
    </row>
    <row r="8517">
      <c r="J8517">
        <f>IF(AND(ISNUMBER('Data'!$F$8518),'Data'!$F$8518&lt;&gt;999,'Data'!$F$8518&lt;&gt;""),'Data'!$F$8518,"")</f>
        <v/>
      </c>
      <c r="Z8517" t="n">
        <v>1</v>
      </c>
      <c r="AA8517">
        <f>IF(ISNUMBER('IN-CLASS_Lab Part C'!$J$8517),'IN-CLASS_Lab Part C'!$J$8517,NA())</f>
        <v/>
      </c>
    </row>
    <row r="8518">
      <c r="J8518">
        <f>IF(AND(ISNUMBER('Data'!$F$8519),'Data'!$F$8519&lt;&gt;999,'Data'!$F$8519&lt;&gt;""),'Data'!$F$8519,"")</f>
        <v/>
      </c>
      <c r="Z8518" t="n">
        <v>1</v>
      </c>
      <c r="AA8518">
        <f>IF(ISNUMBER('IN-CLASS_Lab Part C'!$J$8518),'IN-CLASS_Lab Part C'!$J$8518,NA())</f>
        <v/>
      </c>
    </row>
    <row r="8519">
      <c r="J8519">
        <f>IF(AND(ISNUMBER('Data'!$F$8520),'Data'!$F$8520&lt;&gt;999,'Data'!$F$8520&lt;&gt;""),'Data'!$F$8520,"")</f>
        <v/>
      </c>
      <c r="Z8519" t="n">
        <v>1</v>
      </c>
      <c r="AA8519">
        <f>IF(ISNUMBER('IN-CLASS_Lab Part C'!$J$8519),'IN-CLASS_Lab Part C'!$J$8519,NA())</f>
        <v/>
      </c>
    </row>
    <row r="8520">
      <c r="J8520">
        <f>IF(AND(ISNUMBER('Data'!$F$8521),'Data'!$F$8521&lt;&gt;999,'Data'!$F$8521&lt;&gt;""),'Data'!$F$8521,"")</f>
        <v/>
      </c>
      <c r="Z8520" t="n">
        <v>1</v>
      </c>
      <c r="AA8520">
        <f>IF(ISNUMBER('IN-CLASS_Lab Part C'!$J$8520),'IN-CLASS_Lab Part C'!$J$8520,NA())</f>
        <v/>
      </c>
    </row>
    <row r="8521">
      <c r="J8521">
        <f>IF(AND(ISNUMBER('Data'!$F$8522),'Data'!$F$8522&lt;&gt;999,'Data'!$F$8522&lt;&gt;""),'Data'!$F$8522,"")</f>
        <v/>
      </c>
      <c r="Z8521" t="n">
        <v>1</v>
      </c>
      <c r="AA8521">
        <f>IF(ISNUMBER('IN-CLASS_Lab Part C'!$J$8521),'IN-CLASS_Lab Part C'!$J$8521,NA())</f>
        <v/>
      </c>
    </row>
    <row r="8522">
      <c r="J8522">
        <f>IF(AND(ISNUMBER('Data'!$F$8523),'Data'!$F$8523&lt;&gt;999,'Data'!$F$8523&lt;&gt;""),'Data'!$F$8523,"")</f>
        <v/>
      </c>
      <c r="Z8522" t="n">
        <v>1</v>
      </c>
      <c r="AA8522">
        <f>IF(ISNUMBER('IN-CLASS_Lab Part C'!$J$8522),'IN-CLASS_Lab Part C'!$J$8522,NA())</f>
        <v/>
      </c>
    </row>
    <row r="8523">
      <c r="J8523">
        <f>IF(AND(ISNUMBER('Data'!$F$8524),'Data'!$F$8524&lt;&gt;999,'Data'!$F$8524&lt;&gt;""),'Data'!$F$8524,"")</f>
        <v/>
      </c>
      <c r="Z8523" t="n">
        <v>1</v>
      </c>
      <c r="AA8523">
        <f>IF(ISNUMBER('IN-CLASS_Lab Part C'!$J$8523),'IN-CLASS_Lab Part C'!$J$8523,NA())</f>
        <v/>
      </c>
    </row>
    <row r="8524">
      <c r="J8524">
        <f>IF(AND(ISNUMBER('Data'!$F$8525),'Data'!$F$8525&lt;&gt;999,'Data'!$F$8525&lt;&gt;""),'Data'!$F$8525,"")</f>
        <v/>
      </c>
      <c r="Z8524" t="n">
        <v>1</v>
      </c>
      <c r="AA8524">
        <f>IF(ISNUMBER('IN-CLASS_Lab Part C'!$J$8524),'IN-CLASS_Lab Part C'!$J$8524,NA())</f>
        <v/>
      </c>
    </row>
    <row r="8525">
      <c r="J8525">
        <f>IF(AND(ISNUMBER('Data'!$F$8526),'Data'!$F$8526&lt;&gt;999,'Data'!$F$8526&lt;&gt;""),'Data'!$F$8526,"")</f>
        <v/>
      </c>
      <c r="Z8525" t="n">
        <v>1</v>
      </c>
      <c r="AA8525">
        <f>IF(ISNUMBER('IN-CLASS_Lab Part C'!$J$8525),'IN-CLASS_Lab Part C'!$J$8525,NA())</f>
        <v/>
      </c>
    </row>
    <row r="8526">
      <c r="J8526">
        <f>IF(AND(ISNUMBER('Data'!$F$8527),'Data'!$F$8527&lt;&gt;999,'Data'!$F$8527&lt;&gt;""),'Data'!$F$8527,"")</f>
        <v/>
      </c>
      <c r="Z8526" t="n">
        <v>1</v>
      </c>
      <c r="AA8526">
        <f>IF(ISNUMBER('IN-CLASS_Lab Part C'!$J$8526),'IN-CLASS_Lab Part C'!$J$8526,NA())</f>
        <v/>
      </c>
    </row>
    <row r="8527">
      <c r="J8527">
        <f>IF(AND(ISNUMBER('Data'!$F$8528),'Data'!$F$8528&lt;&gt;999,'Data'!$F$8528&lt;&gt;""),'Data'!$F$8528,"")</f>
        <v/>
      </c>
      <c r="Z8527" t="n">
        <v>1</v>
      </c>
      <c r="AA8527">
        <f>IF(ISNUMBER('IN-CLASS_Lab Part C'!$J$8527),'IN-CLASS_Lab Part C'!$J$8527,NA())</f>
        <v/>
      </c>
    </row>
    <row r="8528">
      <c r="J8528">
        <f>IF(AND(ISNUMBER('Data'!$F$8529),'Data'!$F$8529&lt;&gt;999,'Data'!$F$8529&lt;&gt;""),'Data'!$F$8529,"")</f>
        <v/>
      </c>
      <c r="Z8528" t="n">
        <v>1</v>
      </c>
      <c r="AA8528">
        <f>IF(ISNUMBER('IN-CLASS_Lab Part C'!$J$8528),'IN-CLASS_Lab Part C'!$J$8528,NA())</f>
        <v/>
      </c>
    </row>
    <row r="8529">
      <c r="J8529">
        <f>IF(AND(ISNUMBER('Data'!$F$8530),'Data'!$F$8530&lt;&gt;999,'Data'!$F$8530&lt;&gt;""),'Data'!$F$8530,"")</f>
        <v/>
      </c>
      <c r="Z8529" t="n">
        <v>1</v>
      </c>
      <c r="AA8529">
        <f>IF(ISNUMBER('IN-CLASS_Lab Part C'!$J$8529),'IN-CLASS_Lab Part C'!$J$8529,NA())</f>
        <v/>
      </c>
    </row>
    <row r="8530">
      <c r="J8530">
        <f>IF(AND(ISNUMBER('Data'!$F$8531),'Data'!$F$8531&lt;&gt;999,'Data'!$F$8531&lt;&gt;""),'Data'!$F$8531,"")</f>
        <v/>
      </c>
      <c r="Z8530" t="n">
        <v>1</v>
      </c>
      <c r="AA8530">
        <f>IF(ISNUMBER('IN-CLASS_Lab Part C'!$J$8530),'IN-CLASS_Lab Part C'!$J$8530,NA())</f>
        <v/>
      </c>
    </row>
    <row r="8531">
      <c r="J8531">
        <f>IF(AND(ISNUMBER('Data'!$F$8532),'Data'!$F$8532&lt;&gt;999,'Data'!$F$8532&lt;&gt;""),'Data'!$F$8532,"")</f>
        <v/>
      </c>
      <c r="Z8531" t="n">
        <v>1</v>
      </c>
      <c r="AA8531">
        <f>IF(ISNUMBER('IN-CLASS_Lab Part C'!$J$8531),'IN-CLASS_Lab Part C'!$J$8531,NA())</f>
        <v/>
      </c>
    </row>
    <row r="8532">
      <c r="J8532">
        <f>IF(AND(ISNUMBER('Data'!$F$8533),'Data'!$F$8533&lt;&gt;999,'Data'!$F$8533&lt;&gt;""),'Data'!$F$8533,"")</f>
        <v/>
      </c>
      <c r="Z8532" t="n">
        <v>1</v>
      </c>
      <c r="AA8532">
        <f>IF(ISNUMBER('IN-CLASS_Lab Part C'!$J$8532),'IN-CLASS_Lab Part C'!$J$8532,NA())</f>
        <v/>
      </c>
    </row>
    <row r="8533">
      <c r="J8533">
        <f>IF(AND(ISNUMBER('Data'!$F$8534),'Data'!$F$8534&lt;&gt;999,'Data'!$F$8534&lt;&gt;""),'Data'!$F$8534,"")</f>
        <v/>
      </c>
      <c r="Z8533" t="n">
        <v>1</v>
      </c>
      <c r="AA8533">
        <f>IF(ISNUMBER('IN-CLASS_Lab Part C'!$J$8533),'IN-CLASS_Lab Part C'!$J$8533,NA())</f>
        <v/>
      </c>
    </row>
    <row r="8534">
      <c r="J8534">
        <f>IF(AND(ISNUMBER('Data'!$F$8535),'Data'!$F$8535&lt;&gt;999,'Data'!$F$8535&lt;&gt;""),'Data'!$F$8535,"")</f>
        <v/>
      </c>
      <c r="Z8534" t="n">
        <v>1</v>
      </c>
      <c r="AA8534">
        <f>IF(ISNUMBER('IN-CLASS_Lab Part C'!$J$8534),'IN-CLASS_Lab Part C'!$J$8534,NA())</f>
        <v/>
      </c>
    </row>
    <row r="8535">
      <c r="J8535">
        <f>IF(AND(ISNUMBER('Data'!$F$8536),'Data'!$F$8536&lt;&gt;999,'Data'!$F$8536&lt;&gt;""),'Data'!$F$8536,"")</f>
        <v/>
      </c>
      <c r="Z8535" t="n">
        <v>1</v>
      </c>
      <c r="AA8535">
        <f>IF(ISNUMBER('IN-CLASS_Lab Part C'!$J$8535),'IN-CLASS_Lab Part C'!$J$8535,NA())</f>
        <v/>
      </c>
    </row>
    <row r="8536">
      <c r="J8536">
        <f>IF(AND(ISNUMBER('Data'!$F$8537),'Data'!$F$8537&lt;&gt;999,'Data'!$F$8537&lt;&gt;""),'Data'!$F$8537,"")</f>
        <v/>
      </c>
      <c r="Z8536" t="n">
        <v>1</v>
      </c>
      <c r="AA8536">
        <f>IF(ISNUMBER('IN-CLASS_Lab Part C'!$J$8536),'IN-CLASS_Lab Part C'!$J$8536,NA())</f>
        <v/>
      </c>
    </row>
    <row r="8537">
      <c r="J8537">
        <f>IF(AND(ISNUMBER('Data'!$F$8538),'Data'!$F$8538&lt;&gt;999,'Data'!$F$8538&lt;&gt;""),'Data'!$F$8538,"")</f>
        <v/>
      </c>
      <c r="Z8537" t="n">
        <v>1</v>
      </c>
      <c r="AA8537">
        <f>IF(ISNUMBER('IN-CLASS_Lab Part C'!$J$8537),'IN-CLASS_Lab Part C'!$J$8537,NA())</f>
        <v/>
      </c>
    </row>
    <row r="8538">
      <c r="J8538">
        <f>IF(AND(ISNUMBER('Data'!$F$8539),'Data'!$F$8539&lt;&gt;999,'Data'!$F$8539&lt;&gt;""),'Data'!$F$8539,"")</f>
        <v/>
      </c>
      <c r="Z8538" t="n">
        <v>1</v>
      </c>
      <c r="AA8538">
        <f>IF(ISNUMBER('IN-CLASS_Lab Part C'!$J$8538),'IN-CLASS_Lab Part C'!$J$8538,NA())</f>
        <v/>
      </c>
    </row>
    <row r="8539">
      <c r="J8539">
        <f>IF(AND(ISNUMBER('Data'!$F$8540),'Data'!$F$8540&lt;&gt;999,'Data'!$F$8540&lt;&gt;""),'Data'!$F$8540,"")</f>
        <v/>
      </c>
      <c r="Z8539" t="n">
        <v>1</v>
      </c>
      <c r="AA8539">
        <f>IF(ISNUMBER('IN-CLASS_Lab Part C'!$J$8539),'IN-CLASS_Lab Part C'!$J$8539,NA())</f>
        <v/>
      </c>
    </row>
    <row r="8540">
      <c r="J8540">
        <f>IF(AND(ISNUMBER('Data'!$F$8541),'Data'!$F$8541&lt;&gt;999,'Data'!$F$8541&lt;&gt;""),'Data'!$F$8541,"")</f>
        <v/>
      </c>
      <c r="Z8540" t="n">
        <v>1</v>
      </c>
      <c r="AA8540">
        <f>IF(ISNUMBER('IN-CLASS_Lab Part C'!$J$8540),'IN-CLASS_Lab Part C'!$J$8540,NA())</f>
        <v/>
      </c>
    </row>
    <row r="8541">
      <c r="J8541">
        <f>IF(AND(ISNUMBER('Data'!$F$8542),'Data'!$F$8542&lt;&gt;999,'Data'!$F$8542&lt;&gt;""),'Data'!$F$8542,"")</f>
        <v/>
      </c>
      <c r="Z8541" t="n">
        <v>1</v>
      </c>
      <c r="AA8541">
        <f>IF(ISNUMBER('IN-CLASS_Lab Part C'!$J$8541),'IN-CLASS_Lab Part C'!$J$8541,NA())</f>
        <v/>
      </c>
    </row>
    <row r="8542">
      <c r="J8542">
        <f>IF(AND(ISNUMBER('Data'!$F$8543),'Data'!$F$8543&lt;&gt;999,'Data'!$F$8543&lt;&gt;""),'Data'!$F$8543,"")</f>
        <v/>
      </c>
      <c r="Z8542" t="n">
        <v>1</v>
      </c>
      <c r="AA8542">
        <f>IF(ISNUMBER('IN-CLASS_Lab Part C'!$J$8542),'IN-CLASS_Lab Part C'!$J$8542,NA())</f>
        <v/>
      </c>
    </row>
    <row r="8543">
      <c r="J8543">
        <f>IF(AND(ISNUMBER('Data'!$F$8544),'Data'!$F$8544&lt;&gt;999,'Data'!$F$8544&lt;&gt;""),'Data'!$F$8544,"")</f>
        <v/>
      </c>
      <c r="Z8543" t="n">
        <v>1</v>
      </c>
      <c r="AA8543">
        <f>IF(ISNUMBER('IN-CLASS_Lab Part C'!$J$8543),'IN-CLASS_Lab Part C'!$J$8543,NA())</f>
        <v/>
      </c>
    </row>
    <row r="8544">
      <c r="J8544">
        <f>IF(AND(ISNUMBER('Data'!$F$8545),'Data'!$F$8545&lt;&gt;999,'Data'!$F$8545&lt;&gt;""),'Data'!$F$8545,"")</f>
        <v/>
      </c>
      <c r="Z8544" t="n">
        <v>1</v>
      </c>
      <c r="AA8544">
        <f>IF(ISNUMBER('IN-CLASS_Lab Part C'!$J$8544),'IN-CLASS_Lab Part C'!$J$8544,NA())</f>
        <v/>
      </c>
    </row>
    <row r="8545">
      <c r="J8545">
        <f>IF(AND(ISNUMBER('Data'!$F$8546),'Data'!$F$8546&lt;&gt;999,'Data'!$F$8546&lt;&gt;""),'Data'!$F$8546,"")</f>
        <v/>
      </c>
      <c r="Z8545" t="n">
        <v>1</v>
      </c>
      <c r="AA8545">
        <f>IF(ISNUMBER('IN-CLASS_Lab Part C'!$J$8545),'IN-CLASS_Lab Part C'!$J$8545,NA())</f>
        <v/>
      </c>
    </row>
    <row r="8546">
      <c r="J8546">
        <f>IF(AND(ISNUMBER('Data'!$F$8547),'Data'!$F$8547&lt;&gt;999,'Data'!$F$8547&lt;&gt;""),'Data'!$F$8547,"")</f>
        <v/>
      </c>
      <c r="Z8546" t="n">
        <v>1</v>
      </c>
      <c r="AA8546">
        <f>IF(ISNUMBER('IN-CLASS_Lab Part C'!$J$8546),'IN-CLASS_Lab Part C'!$J$8546,NA())</f>
        <v/>
      </c>
    </row>
    <row r="8547">
      <c r="J8547">
        <f>IF(AND(ISNUMBER('Data'!$F$8548),'Data'!$F$8548&lt;&gt;999,'Data'!$F$8548&lt;&gt;""),'Data'!$F$8548,"")</f>
        <v/>
      </c>
      <c r="Z8547" t="n">
        <v>1</v>
      </c>
      <c r="AA8547">
        <f>IF(ISNUMBER('IN-CLASS_Lab Part C'!$J$8547),'IN-CLASS_Lab Part C'!$J$8547,NA())</f>
        <v/>
      </c>
    </row>
    <row r="8548">
      <c r="J8548">
        <f>IF(AND(ISNUMBER('Data'!$F$8549),'Data'!$F$8549&lt;&gt;999,'Data'!$F$8549&lt;&gt;""),'Data'!$F$8549,"")</f>
        <v/>
      </c>
      <c r="Z8548" t="n">
        <v>1</v>
      </c>
      <c r="AA8548">
        <f>IF(ISNUMBER('IN-CLASS_Lab Part C'!$J$8548),'IN-CLASS_Lab Part C'!$J$8548,NA())</f>
        <v/>
      </c>
    </row>
    <row r="8549">
      <c r="J8549">
        <f>IF(AND(ISNUMBER('Data'!$F$8550),'Data'!$F$8550&lt;&gt;999,'Data'!$F$8550&lt;&gt;""),'Data'!$F$8550,"")</f>
        <v/>
      </c>
      <c r="Z8549" t="n">
        <v>1</v>
      </c>
      <c r="AA8549">
        <f>IF(ISNUMBER('IN-CLASS_Lab Part C'!$J$8549),'IN-CLASS_Lab Part C'!$J$8549,NA())</f>
        <v/>
      </c>
    </row>
    <row r="8550">
      <c r="J8550">
        <f>IF(AND(ISNUMBER('Data'!$F$8551),'Data'!$F$8551&lt;&gt;999,'Data'!$F$8551&lt;&gt;""),'Data'!$F$8551,"")</f>
        <v/>
      </c>
      <c r="Z8550" t="n">
        <v>1</v>
      </c>
      <c r="AA8550">
        <f>IF(ISNUMBER('IN-CLASS_Lab Part C'!$J$8550),'IN-CLASS_Lab Part C'!$J$8550,NA())</f>
        <v/>
      </c>
    </row>
    <row r="8551">
      <c r="J8551">
        <f>IF(AND(ISNUMBER('Data'!$F$8552),'Data'!$F$8552&lt;&gt;999,'Data'!$F$8552&lt;&gt;""),'Data'!$F$8552,"")</f>
        <v/>
      </c>
      <c r="Z8551" t="n">
        <v>1</v>
      </c>
      <c r="AA8551">
        <f>IF(ISNUMBER('IN-CLASS_Lab Part C'!$J$8551),'IN-CLASS_Lab Part C'!$J$8551,NA())</f>
        <v/>
      </c>
    </row>
    <row r="8552">
      <c r="J8552">
        <f>IF(AND(ISNUMBER('Data'!$F$8553),'Data'!$F$8553&lt;&gt;999,'Data'!$F$8553&lt;&gt;""),'Data'!$F$8553,"")</f>
        <v/>
      </c>
      <c r="Z8552" t="n">
        <v>1</v>
      </c>
      <c r="AA8552">
        <f>IF(ISNUMBER('IN-CLASS_Lab Part C'!$J$8552),'IN-CLASS_Lab Part C'!$J$8552,NA())</f>
        <v/>
      </c>
    </row>
    <row r="8553">
      <c r="J8553">
        <f>IF(AND(ISNUMBER('Data'!$F$8554),'Data'!$F$8554&lt;&gt;999,'Data'!$F$8554&lt;&gt;""),'Data'!$F$8554,"")</f>
        <v/>
      </c>
      <c r="Z8553" t="n">
        <v>1</v>
      </c>
      <c r="AA8553">
        <f>IF(ISNUMBER('IN-CLASS_Lab Part C'!$J$8553),'IN-CLASS_Lab Part C'!$J$8553,NA())</f>
        <v/>
      </c>
    </row>
    <row r="8554">
      <c r="J8554">
        <f>IF(AND(ISNUMBER('Data'!$F$8555),'Data'!$F$8555&lt;&gt;999,'Data'!$F$8555&lt;&gt;""),'Data'!$F$8555,"")</f>
        <v/>
      </c>
      <c r="Z8554" t="n">
        <v>1</v>
      </c>
      <c r="AA8554">
        <f>IF(ISNUMBER('IN-CLASS_Lab Part C'!$J$8554),'IN-CLASS_Lab Part C'!$J$8554,NA())</f>
        <v/>
      </c>
    </row>
    <row r="8555">
      <c r="J8555">
        <f>IF(AND(ISNUMBER('Data'!$F$8556),'Data'!$F$8556&lt;&gt;999,'Data'!$F$8556&lt;&gt;""),'Data'!$F$8556,"")</f>
        <v/>
      </c>
      <c r="Z8555" t="n">
        <v>1</v>
      </c>
      <c r="AA8555">
        <f>IF(ISNUMBER('IN-CLASS_Lab Part C'!$J$8555),'IN-CLASS_Lab Part C'!$J$8555,NA())</f>
        <v/>
      </c>
    </row>
    <row r="8556">
      <c r="J8556">
        <f>IF(AND(ISNUMBER('Data'!$F$8557),'Data'!$F$8557&lt;&gt;999,'Data'!$F$8557&lt;&gt;""),'Data'!$F$8557,"")</f>
        <v/>
      </c>
      <c r="Z8556" t="n">
        <v>1</v>
      </c>
      <c r="AA8556">
        <f>IF(ISNUMBER('IN-CLASS_Lab Part C'!$J$8556),'IN-CLASS_Lab Part C'!$J$8556,NA())</f>
        <v/>
      </c>
    </row>
    <row r="8557">
      <c r="J8557">
        <f>IF(AND(ISNUMBER('Data'!$F$8558),'Data'!$F$8558&lt;&gt;999,'Data'!$F$8558&lt;&gt;""),'Data'!$F$8558,"")</f>
        <v/>
      </c>
      <c r="Z8557" t="n">
        <v>1</v>
      </c>
      <c r="AA8557">
        <f>IF(ISNUMBER('IN-CLASS_Lab Part C'!$J$8557),'IN-CLASS_Lab Part C'!$J$8557,NA())</f>
        <v/>
      </c>
    </row>
    <row r="8558">
      <c r="J8558">
        <f>IF(AND(ISNUMBER('Data'!$F$8559),'Data'!$F$8559&lt;&gt;999,'Data'!$F$8559&lt;&gt;""),'Data'!$F$8559,"")</f>
        <v/>
      </c>
      <c r="Z8558" t="n">
        <v>1</v>
      </c>
      <c r="AA8558">
        <f>IF(ISNUMBER('IN-CLASS_Lab Part C'!$J$8558),'IN-CLASS_Lab Part C'!$J$8558,NA())</f>
        <v/>
      </c>
    </row>
    <row r="8559">
      <c r="J8559">
        <f>IF(AND(ISNUMBER('Data'!$F$8560),'Data'!$F$8560&lt;&gt;999,'Data'!$F$8560&lt;&gt;""),'Data'!$F$8560,"")</f>
        <v/>
      </c>
      <c r="Z8559" t="n">
        <v>1</v>
      </c>
      <c r="AA8559">
        <f>IF(ISNUMBER('IN-CLASS_Lab Part C'!$J$8559),'IN-CLASS_Lab Part C'!$J$8559,NA())</f>
        <v/>
      </c>
    </row>
    <row r="8560">
      <c r="J8560">
        <f>IF(AND(ISNUMBER('Data'!$F$8561),'Data'!$F$8561&lt;&gt;999,'Data'!$F$8561&lt;&gt;""),'Data'!$F$8561,"")</f>
        <v/>
      </c>
      <c r="Z8560" t="n">
        <v>1</v>
      </c>
      <c r="AA8560">
        <f>IF(ISNUMBER('IN-CLASS_Lab Part C'!$J$8560),'IN-CLASS_Lab Part C'!$J$8560,NA())</f>
        <v/>
      </c>
    </row>
    <row r="8561">
      <c r="J8561">
        <f>IF(AND(ISNUMBER('Data'!$F$8562),'Data'!$F$8562&lt;&gt;999,'Data'!$F$8562&lt;&gt;""),'Data'!$F$8562,"")</f>
        <v/>
      </c>
      <c r="Z8561" t="n">
        <v>1</v>
      </c>
      <c r="AA8561">
        <f>IF(ISNUMBER('IN-CLASS_Lab Part C'!$J$8561),'IN-CLASS_Lab Part C'!$J$8561,NA())</f>
        <v/>
      </c>
    </row>
    <row r="8562">
      <c r="J8562">
        <f>IF(AND(ISNUMBER('Data'!$F$8563),'Data'!$F$8563&lt;&gt;999,'Data'!$F$8563&lt;&gt;""),'Data'!$F$8563,"")</f>
        <v/>
      </c>
      <c r="Z8562" t="n">
        <v>1</v>
      </c>
      <c r="AA8562">
        <f>IF(ISNUMBER('IN-CLASS_Lab Part C'!$J$8562),'IN-CLASS_Lab Part C'!$J$8562,NA())</f>
        <v/>
      </c>
    </row>
    <row r="8563">
      <c r="J8563">
        <f>IF(AND(ISNUMBER('Data'!$F$8564),'Data'!$F$8564&lt;&gt;999,'Data'!$F$8564&lt;&gt;""),'Data'!$F$8564,"")</f>
        <v/>
      </c>
      <c r="Z8563" t="n">
        <v>1</v>
      </c>
      <c r="AA8563">
        <f>IF(ISNUMBER('IN-CLASS_Lab Part C'!$J$8563),'IN-CLASS_Lab Part C'!$J$8563,NA())</f>
        <v/>
      </c>
    </row>
    <row r="8564">
      <c r="J8564">
        <f>IF(AND(ISNUMBER('Data'!$F$8565),'Data'!$F$8565&lt;&gt;999,'Data'!$F$8565&lt;&gt;""),'Data'!$F$8565,"")</f>
        <v/>
      </c>
      <c r="Z8564" t="n">
        <v>1</v>
      </c>
      <c r="AA8564">
        <f>IF(ISNUMBER('IN-CLASS_Lab Part C'!$J$8564),'IN-CLASS_Lab Part C'!$J$8564,NA())</f>
        <v/>
      </c>
    </row>
    <row r="8565">
      <c r="J8565">
        <f>IF(AND(ISNUMBER('Data'!$F$8566),'Data'!$F$8566&lt;&gt;999,'Data'!$F$8566&lt;&gt;""),'Data'!$F$8566,"")</f>
        <v/>
      </c>
      <c r="Z8565" t="n">
        <v>1</v>
      </c>
      <c r="AA8565">
        <f>IF(ISNUMBER('IN-CLASS_Lab Part C'!$J$8565),'IN-CLASS_Lab Part C'!$J$8565,NA())</f>
        <v/>
      </c>
    </row>
    <row r="8566">
      <c r="J8566">
        <f>IF(AND(ISNUMBER('Data'!$F$8567),'Data'!$F$8567&lt;&gt;999,'Data'!$F$8567&lt;&gt;""),'Data'!$F$8567,"")</f>
        <v/>
      </c>
      <c r="Z8566" t="n">
        <v>1</v>
      </c>
      <c r="AA8566">
        <f>IF(ISNUMBER('IN-CLASS_Lab Part C'!$J$8566),'IN-CLASS_Lab Part C'!$J$8566,NA())</f>
        <v/>
      </c>
    </row>
    <row r="8567">
      <c r="J8567">
        <f>IF(AND(ISNUMBER('Data'!$F$8568),'Data'!$F$8568&lt;&gt;999,'Data'!$F$8568&lt;&gt;""),'Data'!$F$8568,"")</f>
        <v/>
      </c>
      <c r="Z8567" t="n">
        <v>1</v>
      </c>
      <c r="AA8567">
        <f>IF(ISNUMBER('IN-CLASS_Lab Part C'!$J$8567),'IN-CLASS_Lab Part C'!$J$8567,NA())</f>
        <v/>
      </c>
    </row>
    <row r="8568">
      <c r="J8568">
        <f>IF(AND(ISNUMBER('Data'!$F$8569),'Data'!$F$8569&lt;&gt;999,'Data'!$F$8569&lt;&gt;""),'Data'!$F$8569,"")</f>
        <v/>
      </c>
      <c r="Z8568" t="n">
        <v>1</v>
      </c>
      <c r="AA8568">
        <f>IF(ISNUMBER('IN-CLASS_Lab Part C'!$J$8568),'IN-CLASS_Lab Part C'!$J$8568,NA())</f>
        <v/>
      </c>
    </row>
    <row r="8569">
      <c r="J8569">
        <f>IF(AND(ISNUMBER('Data'!$F$8570),'Data'!$F$8570&lt;&gt;999,'Data'!$F$8570&lt;&gt;""),'Data'!$F$8570,"")</f>
        <v/>
      </c>
      <c r="Z8569" t="n">
        <v>1</v>
      </c>
      <c r="AA8569">
        <f>IF(ISNUMBER('IN-CLASS_Lab Part C'!$J$8569),'IN-CLASS_Lab Part C'!$J$8569,NA())</f>
        <v/>
      </c>
    </row>
    <row r="8570">
      <c r="J8570">
        <f>IF(AND(ISNUMBER('Data'!$F$8571),'Data'!$F$8571&lt;&gt;999,'Data'!$F$8571&lt;&gt;""),'Data'!$F$8571,"")</f>
        <v/>
      </c>
      <c r="Z8570" t="n">
        <v>1</v>
      </c>
      <c r="AA8570">
        <f>IF(ISNUMBER('IN-CLASS_Lab Part C'!$J$8570),'IN-CLASS_Lab Part C'!$J$8570,NA())</f>
        <v/>
      </c>
    </row>
    <row r="8571">
      <c r="J8571">
        <f>IF(AND(ISNUMBER('Data'!$F$8572),'Data'!$F$8572&lt;&gt;999,'Data'!$F$8572&lt;&gt;""),'Data'!$F$8572,"")</f>
        <v/>
      </c>
      <c r="Z8571" t="n">
        <v>1</v>
      </c>
      <c r="AA8571">
        <f>IF(ISNUMBER('IN-CLASS_Lab Part C'!$J$8571),'IN-CLASS_Lab Part C'!$J$8571,NA())</f>
        <v/>
      </c>
    </row>
    <row r="8572">
      <c r="J8572">
        <f>IF(AND(ISNUMBER('Data'!$F$8573),'Data'!$F$8573&lt;&gt;999,'Data'!$F$8573&lt;&gt;""),'Data'!$F$8573,"")</f>
        <v/>
      </c>
      <c r="Z8572" t="n">
        <v>1</v>
      </c>
      <c r="AA8572">
        <f>IF(ISNUMBER('IN-CLASS_Lab Part C'!$J$8572),'IN-CLASS_Lab Part C'!$J$8572,NA())</f>
        <v/>
      </c>
    </row>
    <row r="8573">
      <c r="J8573">
        <f>IF(AND(ISNUMBER('Data'!$F$8574),'Data'!$F$8574&lt;&gt;999,'Data'!$F$8574&lt;&gt;""),'Data'!$F$8574,"")</f>
        <v/>
      </c>
      <c r="Z8573" t="n">
        <v>1</v>
      </c>
      <c r="AA8573">
        <f>IF(ISNUMBER('IN-CLASS_Lab Part C'!$J$8573),'IN-CLASS_Lab Part C'!$J$8573,NA())</f>
        <v/>
      </c>
    </row>
    <row r="8574">
      <c r="J8574">
        <f>IF(AND(ISNUMBER('Data'!$F$8575),'Data'!$F$8575&lt;&gt;999,'Data'!$F$8575&lt;&gt;""),'Data'!$F$8575,"")</f>
        <v/>
      </c>
      <c r="Z8574" t="n">
        <v>1</v>
      </c>
      <c r="AA8574">
        <f>IF(ISNUMBER('IN-CLASS_Lab Part C'!$J$8574),'IN-CLASS_Lab Part C'!$J$8574,NA())</f>
        <v/>
      </c>
    </row>
    <row r="8575">
      <c r="J8575">
        <f>IF(AND(ISNUMBER('Data'!$F$8576),'Data'!$F$8576&lt;&gt;999,'Data'!$F$8576&lt;&gt;""),'Data'!$F$8576,"")</f>
        <v/>
      </c>
      <c r="Z8575" t="n">
        <v>1</v>
      </c>
      <c r="AA8575">
        <f>IF(ISNUMBER('IN-CLASS_Lab Part C'!$J$8575),'IN-CLASS_Lab Part C'!$J$8575,NA())</f>
        <v/>
      </c>
    </row>
    <row r="8576">
      <c r="J8576">
        <f>IF(AND(ISNUMBER('Data'!$F$8577),'Data'!$F$8577&lt;&gt;999,'Data'!$F$8577&lt;&gt;""),'Data'!$F$8577,"")</f>
        <v/>
      </c>
      <c r="Z8576" t="n">
        <v>1</v>
      </c>
      <c r="AA8576">
        <f>IF(ISNUMBER('IN-CLASS_Lab Part C'!$J$8576),'IN-CLASS_Lab Part C'!$J$8576,NA())</f>
        <v/>
      </c>
    </row>
    <row r="8577">
      <c r="J8577">
        <f>IF(AND(ISNUMBER('Data'!$F$8578),'Data'!$F$8578&lt;&gt;999,'Data'!$F$8578&lt;&gt;""),'Data'!$F$8578,"")</f>
        <v/>
      </c>
      <c r="Z8577" t="n">
        <v>1</v>
      </c>
      <c r="AA8577">
        <f>IF(ISNUMBER('IN-CLASS_Lab Part C'!$J$8577),'IN-CLASS_Lab Part C'!$J$8577,NA())</f>
        <v/>
      </c>
    </row>
    <row r="8578">
      <c r="J8578">
        <f>IF(AND(ISNUMBER('Data'!$F$8579),'Data'!$F$8579&lt;&gt;999,'Data'!$F$8579&lt;&gt;""),'Data'!$F$8579,"")</f>
        <v/>
      </c>
      <c r="Z8578" t="n">
        <v>1</v>
      </c>
      <c r="AA8578">
        <f>IF(ISNUMBER('IN-CLASS_Lab Part C'!$J$8578),'IN-CLASS_Lab Part C'!$J$8578,NA())</f>
        <v/>
      </c>
    </row>
    <row r="8579">
      <c r="J8579">
        <f>IF(AND(ISNUMBER('Data'!$F$8580),'Data'!$F$8580&lt;&gt;999,'Data'!$F$8580&lt;&gt;""),'Data'!$F$8580,"")</f>
        <v/>
      </c>
      <c r="Z8579" t="n">
        <v>1</v>
      </c>
      <c r="AA8579">
        <f>IF(ISNUMBER('IN-CLASS_Lab Part C'!$J$8579),'IN-CLASS_Lab Part C'!$J$8579,NA())</f>
        <v/>
      </c>
    </row>
    <row r="8580">
      <c r="J8580">
        <f>IF(AND(ISNUMBER('Data'!$F$8581),'Data'!$F$8581&lt;&gt;999,'Data'!$F$8581&lt;&gt;""),'Data'!$F$8581,"")</f>
        <v/>
      </c>
      <c r="Z8580" t="n">
        <v>1</v>
      </c>
      <c r="AA8580">
        <f>IF(ISNUMBER('IN-CLASS_Lab Part C'!$J$8580),'IN-CLASS_Lab Part C'!$J$8580,NA())</f>
        <v/>
      </c>
    </row>
    <row r="8581">
      <c r="J8581">
        <f>IF(AND(ISNUMBER('Data'!$F$8582),'Data'!$F$8582&lt;&gt;999,'Data'!$F$8582&lt;&gt;""),'Data'!$F$8582,"")</f>
        <v/>
      </c>
      <c r="Z8581" t="n">
        <v>1</v>
      </c>
      <c r="AA8581">
        <f>IF(ISNUMBER('IN-CLASS_Lab Part C'!$J$8581),'IN-CLASS_Lab Part C'!$J$8581,NA())</f>
        <v/>
      </c>
    </row>
    <row r="8582">
      <c r="J8582">
        <f>IF(AND(ISNUMBER('Data'!$F$8583),'Data'!$F$8583&lt;&gt;999,'Data'!$F$8583&lt;&gt;""),'Data'!$F$8583,"")</f>
        <v/>
      </c>
      <c r="Z8582" t="n">
        <v>1</v>
      </c>
      <c r="AA8582">
        <f>IF(ISNUMBER('IN-CLASS_Lab Part C'!$J$8582),'IN-CLASS_Lab Part C'!$J$8582,NA())</f>
        <v/>
      </c>
    </row>
    <row r="8583">
      <c r="J8583">
        <f>IF(AND(ISNUMBER('Data'!$F$8584),'Data'!$F$8584&lt;&gt;999,'Data'!$F$8584&lt;&gt;""),'Data'!$F$8584,"")</f>
        <v/>
      </c>
      <c r="Z8583" t="n">
        <v>1</v>
      </c>
      <c r="AA8583">
        <f>IF(ISNUMBER('IN-CLASS_Lab Part C'!$J$8583),'IN-CLASS_Lab Part C'!$J$8583,NA())</f>
        <v/>
      </c>
    </row>
    <row r="8584">
      <c r="J8584">
        <f>IF(AND(ISNUMBER('Data'!$F$8585),'Data'!$F$8585&lt;&gt;999,'Data'!$F$8585&lt;&gt;""),'Data'!$F$8585,"")</f>
        <v/>
      </c>
      <c r="Z8584" t="n">
        <v>1</v>
      </c>
      <c r="AA8584">
        <f>IF(ISNUMBER('IN-CLASS_Lab Part C'!$J$8584),'IN-CLASS_Lab Part C'!$J$8584,NA())</f>
        <v/>
      </c>
    </row>
    <row r="8585">
      <c r="J8585">
        <f>IF(AND(ISNUMBER('Data'!$F$8586),'Data'!$F$8586&lt;&gt;999,'Data'!$F$8586&lt;&gt;""),'Data'!$F$8586,"")</f>
        <v/>
      </c>
      <c r="Z8585" t="n">
        <v>1</v>
      </c>
      <c r="AA8585">
        <f>IF(ISNUMBER('IN-CLASS_Lab Part C'!$J$8585),'IN-CLASS_Lab Part C'!$J$8585,NA())</f>
        <v/>
      </c>
    </row>
    <row r="8586">
      <c r="J8586">
        <f>IF(AND(ISNUMBER('Data'!$F$8587),'Data'!$F$8587&lt;&gt;999,'Data'!$F$8587&lt;&gt;""),'Data'!$F$8587,"")</f>
        <v/>
      </c>
      <c r="Z8586" t="n">
        <v>1</v>
      </c>
      <c r="AA8586">
        <f>IF(ISNUMBER('IN-CLASS_Lab Part C'!$J$8586),'IN-CLASS_Lab Part C'!$J$8586,NA())</f>
        <v/>
      </c>
    </row>
    <row r="8587">
      <c r="J8587">
        <f>IF(AND(ISNUMBER('Data'!$F$8588),'Data'!$F$8588&lt;&gt;999,'Data'!$F$8588&lt;&gt;""),'Data'!$F$8588,"")</f>
        <v/>
      </c>
      <c r="Z8587" t="n">
        <v>1</v>
      </c>
      <c r="AA8587">
        <f>IF(ISNUMBER('IN-CLASS_Lab Part C'!$J$8587),'IN-CLASS_Lab Part C'!$J$8587,NA())</f>
        <v/>
      </c>
    </row>
    <row r="8588">
      <c r="J8588">
        <f>IF(AND(ISNUMBER('Data'!$F$8589),'Data'!$F$8589&lt;&gt;999,'Data'!$F$8589&lt;&gt;""),'Data'!$F$8589,"")</f>
        <v/>
      </c>
      <c r="Z8588" t="n">
        <v>1</v>
      </c>
      <c r="AA8588">
        <f>IF(ISNUMBER('IN-CLASS_Lab Part C'!$J$8588),'IN-CLASS_Lab Part C'!$J$8588,NA())</f>
        <v/>
      </c>
    </row>
    <row r="8589">
      <c r="J8589">
        <f>IF(AND(ISNUMBER('Data'!$F$8590),'Data'!$F$8590&lt;&gt;999,'Data'!$F$8590&lt;&gt;""),'Data'!$F$8590,"")</f>
        <v/>
      </c>
      <c r="Z8589" t="n">
        <v>1</v>
      </c>
      <c r="AA8589">
        <f>IF(ISNUMBER('IN-CLASS_Lab Part C'!$J$8589),'IN-CLASS_Lab Part C'!$J$8589,NA())</f>
        <v/>
      </c>
    </row>
    <row r="8590">
      <c r="J8590">
        <f>IF(AND(ISNUMBER('Data'!$F$8591),'Data'!$F$8591&lt;&gt;999,'Data'!$F$8591&lt;&gt;""),'Data'!$F$8591,"")</f>
        <v/>
      </c>
      <c r="Z8590" t="n">
        <v>1</v>
      </c>
      <c r="AA8590">
        <f>IF(ISNUMBER('IN-CLASS_Lab Part C'!$J$8590),'IN-CLASS_Lab Part C'!$J$8590,NA())</f>
        <v/>
      </c>
    </row>
    <row r="8591">
      <c r="J8591">
        <f>IF(AND(ISNUMBER('Data'!$F$8592),'Data'!$F$8592&lt;&gt;999,'Data'!$F$8592&lt;&gt;""),'Data'!$F$8592,"")</f>
        <v/>
      </c>
      <c r="Z8591" t="n">
        <v>1</v>
      </c>
      <c r="AA8591">
        <f>IF(ISNUMBER('IN-CLASS_Lab Part C'!$J$8591),'IN-CLASS_Lab Part C'!$J$8591,NA())</f>
        <v/>
      </c>
    </row>
    <row r="8592">
      <c r="J8592">
        <f>IF(AND(ISNUMBER('Data'!$F$8593),'Data'!$F$8593&lt;&gt;999,'Data'!$F$8593&lt;&gt;""),'Data'!$F$8593,"")</f>
        <v/>
      </c>
      <c r="Z8592" t="n">
        <v>1</v>
      </c>
      <c r="AA8592">
        <f>IF(ISNUMBER('IN-CLASS_Lab Part C'!$J$8592),'IN-CLASS_Lab Part C'!$J$8592,NA())</f>
        <v/>
      </c>
    </row>
    <row r="8593">
      <c r="J8593">
        <f>IF(AND(ISNUMBER('Data'!$F$8594),'Data'!$F$8594&lt;&gt;999,'Data'!$F$8594&lt;&gt;""),'Data'!$F$8594,"")</f>
        <v/>
      </c>
      <c r="Z8593" t="n">
        <v>1</v>
      </c>
      <c r="AA8593">
        <f>IF(ISNUMBER('IN-CLASS_Lab Part C'!$J$8593),'IN-CLASS_Lab Part C'!$J$8593,NA())</f>
        <v/>
      </c>
    </row>
    <row r="8594">
      <c r="J8594">
        <f>IF(AND(ISNUMBER('Data'!$F$8595),'Data'!$F$8595&lt;&gt;999,'Data'!$F$8595&lt;&gt;""),'Data'!$F$8595,"")</f>
        <v/>
      </c>
      <c r="Z8594" t="n">
        <v>1</v>
      </c>
      <c r="AA8594">
        <f>IF(ISNUMBER('IN-CLASS_Lab Part C'!$J$8594),'IN-CLASS_Lab Part C'!$J$8594,NA())</f>
        <v/>
      </c>
    </row>
    <row r="8595">
      <c r="J8595">
        <f>IF(AND(ISNUMBER('Data'!$F$8596),'Data'!$F$8596&lt;&gt;999,'Data'!$F$8596&lt;&gt;""),'Data'!$F$8596,"")</f>
        <v/>
      </c>
      <c r="Z8595" t="n">
        <v>1</v>
      </c>
      <c r="AA8595">
        <f>IF(ISNUMBER('IN-CLASS_Lab Part C'!$J$8595),'IN-CLASS_Lab Part C'!$J$8595,NA())</f>
        <v/>
      </c>
    </row>
    <row r="8596">
      <c r="J8596">
        <f>IF(AND(ISNUMBER('Data'!$F$8597),'Data'!$F$8597&lt;&gt;999,'Data'!$F$8597&lt;&gt;""),'Data'!$F$8597,"")</f>
        <v/>
      </c>
      <c r="Z8596" t="n">
        <v>1</v>
      </c>
      <c r="AA8596">
        <f>IF(ISNUMBER('IN-CLASS_Lab Part C'!$J$8596),'IN-CLASS_Lab Part C'!$J$8596,NA())</f>
        <v/>
      </c>
    </row>
    <row r="8597">
      <c r="J8597">
        <f>IF(AND(ISNUMBER('Data'!$F$8598),'Data'!$F$8598&lt;&gt;999,'Data'!$F$8598&lt;&gt;""),'Data'!$F$8598,"")</f>
        <v/>
      </c>
      <c r="Z8597" t="n">
        <v>1</v>
      </c>
      <c r="AA8597">
        <f>IF(ISNUMBER('IN-CLASS_Lab Part C'!$J$8597),'IN-CLASS_Lab Part C'!$J$8597,NA())</f>
        <v/>
      </c>
    </row>
    <row r="8598">
      <c r="J8598">
        <f>IF(AND(ISNUMBER('Data'!$F$8599),'Data'!$F$8599&lt;&gt;999,'Data'!$F$8599&lt;&gt;""),'Data'!$F$8599,"")</f>
        <v/>
      </c>
      <c r="Z8598" t="n">
        <v>1</v>
      </c>
      <c r="AA8598">
        <f>IF(ISNUMBER('IN-CLASS_Lab Part C'!$J$8598),'IN-CLASS_Lab Part C'!$J$8598,NA())</f>
        <v/>
      </c>
    </row>
    <row r="8599">
      <c r="J8599">
        <f>IF(AND(ISNUMBER('Data'!$F$8600),'Data'!$F$8600&lt;&gt;999,'Data'!$F$8600&lt;&gt;""),'Data'!$F$8600,"")</f>
        <v/>
      </c>
      <c r="Z8599" t="n">
        <v>1</v>
      </c>
      <c r="AA8599">
        <f>IF(ISNUMBER('IN-CLASS_Lab Part C'!$J$8599),'IN-CLASS_Lab Part C'!$J$8599,NA())</f>
        <v/>
      </c>
    </row>
    <row r="8600">
      <c r="J8600">
        <f>IF(AND(ISNUMBER('Data'!$F$8601),'Data'!$F$8601&lt;&gt;999,'Data'!$F$8601&lt;&gt;""),'Data'!$F$8601,"")</f>
        <v/>
      </c>
      <c r="Z8600" t="n">
        <v>1</v>
      </c>
      <c r="AA8600">
        <f>IF(ISNUMBER('IN-CLASS_Lab Part C'!$J$8600),'IN-CLASS_Lab Part C'!$J$8600,NA())</f>
        <v/>
      </c>
    </row>
    <row r="8601">
      <c r="J8601">
        <f>IF(AND(ISNUMBER('Data'!$F$8602),'Data'!$F$8602&lt;&gt;999,'Data'!$F$8602&lt;&gt;""),'Data'!$F$8602,"")</f>
        <v/>
      </c>
      <c r="Z8601" t="n">
        <v>1</v>
      </c>
      <c r="AA8601">
        <f>IF(ISNUMBER('IN-CLASS_Lab Part C'!$J$8601),'IN-CLASS_Lab Part C'!$J$8601,NA())</f>
        <v/>
      </c>
    </row>
    <row r="8602">
      <c r="J8602">
        <f>IF(AND(ISNUMBER('Data'!$F$8603),'Data'!$F$8603&lt;&gt;999,'Data'!$F$8603&lt;&gt;""),'Data'!$F$8603,"")</f>
        <v/>
      </c>
      <c r="Z8602" t="n">
        <v>1</v>
      </c>
      <c r="AA8602">
        <f>IF(ISNUMBER('IN-CLASS_Lab Part C'!$J$8602),'IN-CLASS_Lab Part C'!$J$8602,NA())</f>
        <v/>
      </c>
    </row>
    <row r="8603">
      <c r="J8603">
        <f>IF(AND(ISNUMBER('Data'!$F$8604),'Data'!$F$8604&lt;&gt;999,'Data'!$F$8604&lt;&gt;""),'Data'!$F$8604,"")</f>
        <v/>
      </c>
      <c r="Z8603" t="n">
        <v>1</v>
      </c>
      <c r="AA8603">
        <f>IF(ISNUMBER('IN-CLASS_Lab Part C'!$J$8603),'IN-CLASS_Lab Part C'!$J$8603,NA())</f>
        <v/>
      </c>
    </row>
    <row r="8604">
      <c r="J8604">
        <f>IF(AND(ISNUMBER('Data'!$F$8605),'Data'!$F$8605&lt;&gt;999,'Data'!$F$8605&lt;&gt;""),'Data'!$F$8605,"")</f>
        <v/>
      </c>
      <c r="Z8604" t="n">
        <v>1</v>
      </c>
      <c r="AA8604">
        <f>IF(ISNUMBER('IN-CLASS_Lab Part C'!$J$8604),'IN-CLASS_Lab Part C'!$J$8604,NA())</f>
        <v/>
      </c>
    </row>
    <row r="8605">
      <c r="J8605">
        <f>IF(AND(ISNUMBER('Data'!$F$8606),'Data'!$F$8606&lt;&gt;999,'Data'!$F$8606&lt;&gt;""),'Data'!$F$8606,"")</f>
        <v/>
      </c>
      <c r="Z8605" t="n">
        <v>1</v>
      </c>
      <c r="AA8605">
        <f>IF(ISNUMBER('IN-CLASS_Lab Part C'!$J$8605),'IN-CLASS_Lab Part C'!$J$8605,NA())</f>
        <v/>
      </c>
    </row>
    <row r="8606">
      <c r="J8606">
        <f>IF(AND(ISNUMBER('Data'!$F$8607),'Data'!$F$8607&lt;&gt;999,'Data'!$F$8607&lt;&gt;""),'Data'!$F$8607,"")</f>
        <v/>
      </c>
      <c r="Z8606" t="n">
        <v>1</v>
      </c>
      <c r="AA8606">
        <f>IF(ISNUMBER('IN-CLASS_Lab Part C'!$J$8606),'IN-CLASS_Lab Part C'!$J$8606,NA())</f>
        <v/>
      </c>
    </row>
    <row r="8607">
      <c r="J8607">
        <f>IF(AND(ISNUMBER('Data'!$F$8608),'Data'!$F$8608&lt;&gt;999,'Data'!$F$8608&lt;&gt;""),'Data'!$F$8608,"")</f>
        <v/>
      </c>
      <c r="Z8607" t="n">
        <v>1</v>
      </c>
      <c r="AA8607">
        <f>IF(ISNUMBER('IN-CLASS_Lab Part C'!$J$8607),'IN-CLASS_Lab Part C'!$J$8607,NA())</f>
        <v/>
      </c>
    </row>
    <row r="8608">
      <c r="J8608">
        <f>IF(AND(ISNUMBER('Data'!$F$8609),'Data'!$F$8609&lt;&gt;999,'Data'!$F$8609&lt;&gt;""),'Data'!$F$8609,"")</f>
        <v/>
      </c>
      <c r="Z8608" t="n">
        <v>1</v>
      </c>
      <c r="AA8608">
        <f>IF(ISNUMBER('IN-CLASS_Lab Part C'!$J$8608),'IN-CLASS_Lab Part C'!$J$8608,NA())</f>
        <v/>
      </c>
    </row>
    <row r="8609">
      <c r="J8609">
        <f>IF(AND(ISNUMBER('Data'!$F$8610),'Data'!$F$8610&lt;&gt;999,'Data'!$F$8610&lt;&gt;""),'Data'!$F$8610,"")</f>
        <v/>
      </c>
      <c r="Z8609" t="n">
        <v>1</v>
      </c>
      <c r="AA8609">
        <f>IF(ISNUMBER('IN-CLASS_Lab Part C'!$J$8609),'IN-CLASS_Lab Part C'!$J$8609,NA())</f>
        <v/>
      </c>
    </row>
    <row r="8610">
      <c r="J8610">
        <f>IF(AND(ISNUMBER('Data'!$F$8611),'Data'!$F$8611&lt;&gt;999,'Data'!$F$8611&lt;&gt;""),'Data'!$F$8611,"")</f>
        <v/>
      </c>
      <c r="Z8610" t="n">
        <v>1</v>
      </c>
      <c r="AA8610">
        <f>IF(ISNUMBER('IN-CLASS_Lab Part C'!$J$8610),'IN-CLASS_Lab Part C'!$J$8610,NA())</f>
        <v/>
      </c>
    </row>
    <row r="8611">
      <c r="J8611">
        <f>IF(AND(ISNUMBER('Data'!$F$8612),'Data'!$F$8612&lt;&gt;999,'Data'!$F$8612&lt;&gt;""),'Data'!$F$8612,"")</f>
        <v/>
      </c>
      <c r="Z8611" t="n">
        <v>1</v>
      </c>
      <c r="AA8611">
        <f>IF(ISNUMBER('IN-CLASS_Lab Part C'!$J$8611),'IN-CLASS_Lab Part C'!$J$8611,NA())</f>
        <v/>
      </c>
    </row>
    <row r="8612">
      <c r="J8612">
        <f>IF(AND(ISNUMBER('Data'!$F$8613),'Data'!$F$8613&lt;&gt;999,'Data'!$F$8613&lt;&gt;""),'Data'!$F$8613,"")</f>
        <v/>
      </c>
      <c r="Z8612" t="n">
        <v>1</v>
      </c>
      <c r="AA8612">
        <f>IF(ISNUMBER('IN-CLASS_Lab Part C'!$J$8612),'IN-CLASS_Lab Part C'!$J$8612,NA())</f>
        <v/>
      </c>
    </row>
    <row r="8613">
      <c r="J8613">
        <f>IF(AND(ISNUMBER('Data'!$F$8614),'Data'!$F$8614&lt;&gt;999,'Data'!$F$8614&lt;&gt;""),'Data'!$F$8614,"")</f>
        <v/>
      </c>
      <c r="Z8613" t="n">
        <v>1</v>
      </c>
      <c r="AA8613">
        <f>IF(ISNUMBER('IN-CLASS_Lab Part C'!$J$8613),'IN-CLASS_Lab Part C'!$J$8613,NA())</f>
        <v/>
      </c>
    </row>
    <row r="8614">
      <c r="J8614">
        <f>IF(AND(ISNUMBER('Data'!$F$8615),'Data'!$F$8615&lt;&gt;999,'Data'!$F$8615&lt;&gt;""),'Data'!$F$8615,"")</f>
        <v/>
      </c>
      <c r="Z8614" t="n">
        <v>1</v>
      </c>
      <c r="AA8614">
        <f>IF(ISNUMBER('IN-CLASS_Lab Part C'!$J$8614),'IN-CLASS_Lab Part C'!$J$8614,NA())</f>
        <v/>
      </c>
    </row>
    <row r="8615">
      <c r="J8615">
        <f>IF(AND(ISNUMBER('Data'!$F$8616),'Data'!$F$8616&lt;&gt;999,'Data'!$F$8616&lt;&gt;""),'Data'!$F$8616,"")</f>
        <v/>
      </c>
      <c r="Z8615" t="n">
        <v>1</v>
      </c>
      <c r="AA8615">
        <f>IF(ISNUMBER('IN-CLASS_Lab Part C'!$J$8615),'IN-CLASS_Lab Part C'!$J$8615,NA())</f>
        <v/>
      </c>
    </row>
    <row r="8616">
      <c r="J8616">
        <f>IF(AND(ISNUMBER('Data'!$F$8617),'Data'!$F$8617&lt;&gt;999,'Data'!$F$8617&lt;&gt;""),'Data'!$F$8617,"")</f>
        <v/>
      </c>
      <c r="Z8616" t="n">
        <v>1</v>
      </c>
      <c r="AA8616">
        <f>IF(ISNUMBER('IN-CLASS_Lab Part C'!$J$8616),'IN-CLASS_Lab Part C'!$J$8616,NA())</f>
        <v/>
      </c>
    </row>
    <row r="8617">
      <c r="J8617">
        <f>IF(AND(ISNUMBER('Data'!$F$8618),'Data'!$F$8618&lt;&gt;999,'Data'!$F$8618&lt;&gt;""),'Data'!$F$8618,"")</f>
        <v/>
      </c>
      <c r="Z8617" t="n">
        <v>1</v>
      </c>
      <c r="AA8617">
        <f>IF(ISNUMBER('IN-CLASS_Lab Part C'!$J$8617),'IN-CLASS_Lab Part C'!$J$8617,NA())</f>
        <v/>
      </c>
    </row>
    <row r="8618">
      <c r="J8618">
        <f>IF(AND(ISNUMBER('Data'!$F$8619),'Data'!$F$8619&lt;&gt;999,'Data'!$F$8619&lt;&gt;""),'Data'!$F$8619,"")</f>
        <v/>
      </c>
      <c r="Z8618" t="n">
        <v>1</v>
      </c>
      <c r="AA8618">
        <f>IF(ISNUMBER('IN-CLASS_Lab Part C'!$J$8618),'IN-CLASS_Lab Part C'!$J$8618,NA())</f>
        <v/>
      </c>
    </row>
    <row r="8619">
      <c r="J8619">
        <f>IF(AND(ISNUMBER('Data'!$F$8620),'Data'!$F$8620&lt;&gt;999,'Data'!$F$8620&lt;&gt;""),'Data'!$F$8620,"")</f>
        <v/>
      </c>
      <c r="Z8619" t="n">
        <v>1</v>
      </c>
      <c r="AA8619">
        <f>IF(ISNUMBER('IN-CLASS_Lab Part C'!$J$8619),'IN-CLASS_Lab Part C'!$J$8619,NA())</f>
        <v/>
      </c>
    </row>
    <row r="8620">
      <c r="J8620">
        <f>IF(AND(ISNUMBER('Data'!$F$8621),'Data'!$F$8621&lt;&gt;999,'Data'!$F$8621&lt;&gt;""),'Data'!$F$8621,"")</f>
        <v/>
      </c>
      <c r="Z8620" t="n">
        <v>1</v>
      </c>
      <c r="AA8620">
        <f>IF(ISNUMBER('IN-CLASS_Lab Part C'!$J$8620),'IN-CLASS_Lab Part C'!$J$8620,NA())</f>
        <v/>
      </c>
    </row>
    <row r="8621">
      <c r="J8621">
        <f>IF(AND(ISNUMBER('Data'!$F$8622),'Data'!$F$8622&lt;&gt;999,'Data'!$F$8622&lt;&gt;""),'Data'!$F$8622,"")</f>
        <v/>
      </c>
      <c r="Z8621" t="n">
        <v>1</v>
      </c>
      <c r="AA8621">
        <f>IF(ISNUMBER('IN-CLASS_Lab Part C'!$J$8621),'IN-CLASS_Lab Part C'!$J$8621,NA())</f>
        <v/>
      </c>
    </row>
    <row r="8622">
      <c r="J8622">
        <f>IF(AND(ISNUMBER('Data'!$F$8623),'Data'!$F$8623&lt;&gt;999,'Data'!$F$8623&lt;&gt;""),'Data'!$F$8623,"")</f>
        <v/>
      </c>
      <c r="Z8622" t="n">
        <v>1</v>
      </c>
      <c r="AA8622">
        <f>IF(ISNUMBER('IN-CLASS_Lab Part C'!$J$8622),'IN-CLASS_Lab Part C'!$J$8622,NA())</f>
        <v/>
      </c>
    </row>
    <row r="8623">
      <c r="J8623">
        <f>IF(AND(ISNUMBER('Data'!$F$8624),'Data'!$F$8624&lt;&gt;999,'Data'!$F$8624&lt;&gt;""),'Data'!$F$8624,"")</f>
        <v/>
      </c>
      <c r="Z8623" t="n">
        <v>1</v>
      </c>
      <c r="AA8623">
        <f>IF(ISNUMBER('IN-CLASS_Lab Part C'!$J$8623),'IN-CLASS_Lab Part C'!$J$8623,NA())</f>
        <v/>
      </c>
    </row>
    <row r="8624">
      <c r="J8624">
        <f>IF(AND(ISNUMBER('Data'!$F$8625),'Data'!$F$8625&lt;&gt;999,'Data'!$F$8625&lt;&gt;""),'Data'!$F$8625,"")</f>
        <v/>
      </c>
      <c r="Z8624" t="n">
        <v>1</v>
      </c>
      <c r="AA8624">
        <f>IF(ISNUMBER('IN-CLASS_Lab Part C'!$J$8624),'IN-CLASS_Lab Part C'!$J$8624,NA())</f>
        <v/>
      </c>
    </row>
    <row r="8625">
      <c r="J8625">
        <f>IF(AND(ISNUMBER('Data'!$F$8626),'Data'!$F$8626&lt;&gt;999,'Data'!$F$8626&lt;&gt;""),'Data'!$F$8626,"")</f>
        <v/>
      </c>
      <c r="Z8625" t="n">
        <v>1</v>
      </c>
      <c r="AA8625">
        <f>IF(ISNUMBER('IN-CLASS_Lab Part C'!$J$8625),'IN-CLASS_Lab Part C'!$J$8625,NA())</f>
        <v/>
      </c>
    </row>
    <row r="8626">
      <c r="J8626">
        <f>IF(AND(ISNUMBER('Data'!$F$8627),'Data'!$F$8627&lt;&gt;999,'Data'!$F$8627&lt;&gt;""),'Data'!$F$8627,"")</f>
        <v/>
      </c>
      <c r="Z8626" t="n">
        <v>1</v>
      </c>
      <c r="AA8626">
        <f>IF(ISNUMBER('IN-CLASS_Lab Part C'!$J$8626),'IN-CLASS_Lab Part C'!$J$8626,NA())</f>
        <v/>
      </c>
    </row>
    <row r="8627">
      <c r="J8627">
        <f>IF(AND(ISNUMBER('Data'!$F$8628),'Data'!$F$8628&lt;&gt;999,'Data'!$F$8628&lt;&gt;""),'Data'!$F$8628,"")</f>
        <v/>
      </c>
      <c r="Z8627" t="n">
        <v>1</v>
      </c>
      <c r="AA8627">
        <f>IF(ISNUMBER('IN-CLASS_Lab Part C'!$J$8627),'IN-CLASS_Lab Part C'!$J$8627,NA())</f>
        <v/>
      </c>
    </row>
    <row r="8628">
      <c r="J8628">
        <f>IF(AND(ISNUMBER('Data'!$F$8629),'Data'!$F$8629&lt;&gt;999,'Data'!$F$8629&lt;&gt;""),'Data'!$F$8629,"")</f>
        <v/>
      </c>
      <c r="Z8628" t="n">
        <v>1</v>
      </c>
      <c r="AA8628">
        <f>IF(ISNUMBER('IN-CLASS_Lab Part C'!$J$8628),'IN-CLASS_Lab Part C'!$J$8628,NA())</f>
        <v/>
      </c>
    </row>
    <row r="8629">
      <c r="J8629">
        <f>IF(AND(ISNUMBER('Data'!$F$8630),'Data'!$F$8630&lt;&gt;999,'Data'!$F$8630&lt;&gt;""),'Data'!$F$8630,"")</f>
        <v/>
      </c>
      <c r="Z8629" t="n">
        <v>1</v>
      </c>
      <c r="AA8629">
        <f>IF(ISNUMBER('IN-CLASS_Lab Part C'!$J$8629),'IN-CLASS_Lab Part C'!$J$8629,NA())</f>
        <v/>
      </c>
    </row>
    <row r="8630">
      <c r="J8630">
        <f>IF(AND(ISNUMBER('Data'!$F$8631),'Data'!$F$8631&lt;&gt;999,'Data'!$F$8631&lt;&gt;""),'Data'!$F$8631,"")</f>
        <v/>
      </c>
      <c r="Z8630" t="n">
        <v>1</v>
      </c>
      <c r="AA8630">
        <f>IF(ISNUMBER('IN-CLASS_Lab Part C'!$J$8630),'IN-CLASS_Lab Part C'!$J$8630,NA())</f>
        <v/>
      </c>
    </row>
    <row r="8631">
      <c r="J8631">
        <f>IF(AND(ISNUMBER('Data'!$F$8632),'Data'!$F$8632&lt;&gt;999,'Data'!$F$8632&lt;&gt;""),'Data'!$F$8632,"")</f>
        <v/>
      </c>
      <c r="Z8631" t="n">
        <v>1</v>
      </c>
      <c r="AA8631">
        <f>IF(ISNUMBER('IN-CLASS_Lab Part C'!$J$8631),'IN-CLASS_Lab Part C'!$J$8631,NA())</f>
        <v/>
      </c>
    </row>
    <row r="8632">
      <c r="J8632">
        <f>IF(AND(ISNUMBER('Data'!$F$8633),'Data'!$F$8633&lt;&gt;999,'Data'!$F$8633&lt;&gt;""),'Data'!$F$8633,"")</f>
        <v/>
      </c>
      <c r="Z8632" t="n">
        <v>1</v>
      </c>
      <c r="AA8632">
        <f>IF(ISNUMBER('IN-CLASS_Lab Part C'!$J$8632),'IN-CLASS_Lab Part C'!$J$8632,NA())</f>
        <v/>
      </c>
    </row>
    <row r="8633">
      <c r="J8633">
        <f>IF(AND(ISNUMBER('Data'!$F$8634),'Data'!$F$8634&lt;&gt;999,'Data'!$F$8634&lt;&gt;""),'Data'!$F$8634,"")</f>
        <v/>
      </c>
      <c r="Z8633" t="n">
        <v>1</v>
      </c>
      <c r="AA8633">
        <f>IF(ISNUMBER('IN-CLASS_Lab Part C'!$J$8633),'IN-CLASS_Lab Part C'!$J$8633,NA())</f>
        <v/>
      </c>
    </row>
    <row r="8634">
      <c r="J8634">
        <f>IF(AND(ISNUMBER('Data'!$F$8635),'Data'!$F$8635&lt;&gt;999,'Data'!$F$8635&lt;&gt;""),'Data'!$F$8635,"")</f>
        <v/>
      </c>
      <c r="Z8634" t="n">
        <v>1</v>
      </c>
      <c r="AA8634">
        <f>IF(ISNUMBER('IN-CLASS_Lab Part C'!$J$8634),'IN-CLASS_Lab Part C'!$J$8634,NA())</f>
        <v/>
      </c>
    </row>
    <row r="8635">
      <c r="J8635">
        <f>IF(AND(ISNUMBER('Data'!$F$8636),'Data'!$F$8636&lt;&gt;999,'Data'!$F$8636&lt;&gt;""),'Data'!$F$8636,"")</f>
        <v/>
      </c>
      <c r="Z8635" t="n">
        <v>1</v>
      </c>
      <c r="AA8635">
        <f>IF(ISNUMBER('IN-CLASS_Lab Part C'!$J$8635),'IN-CLASS_Lab Part C'!$J$8635,NA())</f>
        <v/>
      </c>
    </row>
    <row r="8636">
      <c r="J8636">
        <f>IF(AND(ISNUMBER('Data'!$F$8637),'Data'!$F$8637&lt;&gt;999,'Data'!$F$8637&lt;&gt;""),'Data'!$F$8637,"")</f>
        <v/>
      </c>
      <c r="Z8636" t="n">
        <v>1</v>
      </c>
      <c r="AA8636">
        <f>IF(ISNUMBER('IN-CLASS_Lab Part C'!$J$8636),'IN-CLASS_Lab Part C'!$J$8636,NA())</f>
        <v/>
      </c>
    </row>
    <row r="8637">
      <c r="J8637">
        <f>IF(AND(ISNUMBER('Data'!$F$8638),'Data'!$F$8638&lt;&gt;999,'Data'!$F$8638&lt;&gt;""),'Data'!$F$8638,"")</f>
        <v/>
      </c>
      <c r="Z8637" t="n">
        <v>1</v>
      </c>
      <c r="AA8637">
        <f>IF(ISNUMBER('IN-CLASS_Lab Part C'!$J$8637),'IN-CLASS_Lab Part C'!$J$8637,NA())</f>
        <v/>
      </c>
    </row>
    <row r="8638">
      <c r="J8638">
        <f>IF(AND(ISNUMBER('Data'!$F$8639),'Data'!$F$8639&lt;&gt;999,'Data'!$F$8639&lt;&gt;""),'Data'!$F$8639,"")</f>
        <v/>
      </c>
      <c r="Z8638" t="n">
        <v>1</v>
      </c>
      <c r="AA8638">
        <f>IF(ISNUMBER('IN-CLASS_Lab Part C'!$J$8638),'IN-CLASS_Lab Part C'!$J$8638,NA())</f>
        <v/>
      </c>
    </row>
    <row r="8639">
      <c r="J8639">
        <f>IF(AND(ISNUMBER('Data'!$F$8640),'Data'!$F$8640&lt;&gt;999,'Data'!$F$8640&lt;&gt;""),'Data'!$F$8640,"")</f>
        <v/>
      </c>
      <c r="Z8639" t="n">
        <v>1</v>
      </c>
      <c r="AA8639">
        <f>IF(ISNUMBER('IN-CLASS_Lab Part C'!$J$8639),'IN-CLASS_Lab Part C'!$J$8639,NA())</f>
        <v/>
      </c>
    </row>
    <row r="8640">
      <c r="J8640">
        <f>IF(AND(ISNUMBER('Data'!$F$8641),'Data'!$F$8641&lt;&gt;999,'Data'!$F$8641&lt;&gt;""),'Data'!$F$8641,"")</f>
        <v/>
      </c>
      <c r="Z8640" t="n">
        <v>1</v>
      </c>
      <c r="AA8640">
        <f>IF(ISNUMBER('IN-CLASS_Lab Part C'!$J$8640),'IN-CLASS_Lab Part C'!$J$8640,NA())</f>
        <v/>
      </c>
    </row>
    <row r="8641">
      <c r="J8641">
        <f>IF(AND(ISNUMBER('Data'!$F$8642),'Data'!$F$8642&lt;&gt;999,'Data'!$F$8642&lt;&gt;""),'Data'!$F$8642,"")</f>
        <v/>
      </c>
      <c r="Z8641" t="n">
        <v>1</v>
      </c>
      <c r="AA8641">
        <f>IF(ISNUMBER('IN-CLASS_Lab Part C'!$J$8641),'IN-CLASS_Lab Part C'!$J$8641,NA())</f>
        <v/>
      </c>
    </row>
    <row r="8642">
      <c r="J8642">
        <f>IF(AND(ISNUMBER('Data'!$F$8643),'Data'!$F$8643&lt;&gt;999,'Data'!$F$8643&lt;&gt;""),'Data'!$F$8643,"")</f>
        <v/>
      </c>
      <c r="Z8642" t="n">
        <v>1</v>
      </c>
      <c r="AA8642">
        <f>IF(ISNUMBER('IN-CLASS_Lab Part C'!$J$8642),'IN-CLASS_Lab Part C'!$J$8642,NA())</f>
        <v/>
      </c>
    </row>
    <row r="8643">
      <c r="J8643">
        <f>IF(AND(ISNUMBER('Data'!$F$8644),'Data'!$F$8644&lt;&gt;999,'Data'!$F$8644&lt;&gt;""),'Data'!$F$8644,"")</f>
        <v/>
      </c>
      <c r="Z8643" t="n">
        <v>1</v>
      </c>
      <c r="AA8643">
        <f>IF(ISNUMBER('IN-CLASS_Lab Part C'!$J$8643),'IN-CLASS_Lab Part C'!$J$8643,NA())</f>
        <v/>
      </c>
    </row>
    <row r="8644">
      <c r="J8644">
        <f>IF(AND(ISNUMBER('Data'!$F$8645),'Data'!$F$8645&lt;&gt;999,'Data'!$F$8645&lt;&gt;""),'Data'!$F$8645,"")</f>
        <v/>
      </c>
      <c r="Z8644" t="n">
        <v>1</v>
      </c>
      <c r="AA8644">
        <f>IF(ISNUMBER('IN-CLASS_Lab Part C'!$J$8644),'IN-CLASS_Lab Part C'!$J$8644,NA())</f>
        <v/>
      </c>
    </row>
    <row r="8645">
      <c r="J8645">
        <f>IF(AND(ISNUMBER('Data'!$F$8646),'Data'!$F$8646&lt;&gt;999,'Data'!$F$8646&lt;&gt;""),'Data'!$F$8646,"")</f>
        <v/>
      </c>
      <c r="Z8645" t="n">
        <v>1</v>
      </c>
      <c r="AA8645">
        <f>IF(ISNUMBER('IN-CLASS_Lab Part C'!$J$8645),'IN-CLASS_Lab Part C'!$J$8645,NA())</f>
        <v/>
      </c>
    </row>
    <row r="8646">
      <c r="J8646">
        <f>IF(AND(ISNUMBER('Data'!$F$8647),'Data'!$F$8647&lt;&gt;999,'Data'!$F$8647&lt;&gt;""),'Data'!$F$8647,"")</f>
        <v/>
      </c>
      <c r="Z8646" t="n">
        <v>1</v>
      </c>
      <c r="AA8646">
        <f>IF(ISNUMBER('IN-CLASS_Lab Part C'!$J$8646),'IN-CLASS_Lab Part C'!$J$8646,NA())</f>
        <v/>
      </c>
    </row>
    <row r="8647">
      <c r="J8647">
        <f>IF(AND(ISNUMBER('Data'!$F$8648),'Data'!$F$8648&lt;&gt;999,'Data'!$F$8648&lt;&gt;""),'Data'!$F$8648,"")</f>
        <v/>
      </c>
      <c r="Z8647" t="n">
        <v>1</v>
      </c>
      <c r="AA8647">
        <f>IF(ISNUMBER('IN-CLASS_Lab Part C'!$J$8647),'IN-CLASS_Lab Part C'!$J$8647,NA())</f>
        <v/>
      </c>
    </row>
    <row r="8648">
      <c r="J8648">
        <f>IF(AND(ISNUMBER('Data'!$F$8649),'Data'!$F$8649&lt;&gt;999,'Data'!$F$8649&lt;&gt;""),'Data'!$F$8649,"")</f>
        <v/>
      </c>
      <c r="Z8648" t="n">
        <v>1</v>
      </c>
      <c r="AA8648">
        <f>IF(ISNUMBER('IN-CLASS_Lab Part C'!$J$8648),'IN-CLASS_Lab Part C'!$J$8648,NA())</f>
        <v/>
      </c>
    </row>
    <row r="8649">
      <c r="J8649">
        <f>IF(AND(ISNUMBER('Data'!$F$8650),'Data'!$F$8650&lt;&gt;999,'Data'!$F$8650&lt;&gt;""),'Data'!$F$8650,"")</f>
        <v/>
      </c>
      <c r="Z8649" t="n">
        <v>1</v>
      </c>
      <c r="AA8649">
        <f>IF(ISNUMBER('IN-CLASS_Lab Part C'!$J$8649),'IN-CLASS_Lab Part C'!$J$8649,NA())</f>
        <v/>
      </c>
    </row>
    <row r="8650">
      <c r="J8650">
        <f>IF(AND(ISNUMBER('Data'!$F$8651),'Data'!$F$8651&lt;&gt;999,'Data'!$F$8651&lt;&gt;""),'Data'!$F$8651,"")</f>
        <v/>
      </c>
      <c r="Z8650" t="n">
        <v>1</v>
      </c>
      <c r="AA8650">
        <f>IF(ISNUMBER('IN-CLASS_Lab Part C'!$J$8650),'IN-CLASS_Lab Part C'!$J$8650,NA())</f>
        <v/>
      </c>
    </row>
    <row r="8651">
      <c r="J8651">
        <f>IF(AND(ISNUMBER('Data'!$F$8652),'Data'!$F$8652&lt;&gt;999,'Data'!$F$8652&lt;&gt;""),'Data'!$F$8652,"")</f>
        <v/>
      </c>
      <c r="Z8651" t="n">
        <v>1</v>
      </c>
      <c r="AA8651">
        <f>IF(ISNUMBER('IN-CLASS_Lab Part C'!$J$8651),'IN-CLASS_Lab Part C'!$J$8651,NA())</f>
        <v/>
      </c>
    </row>
    <row r="8652">
      <c r="J8652">
        <f>IF(AND(ISNUMBER('Data'!$F$8653),'Data'!$F$8653&lt;&gt;999,'Data'!$F$8653&lt;&gt;""),'Data'!$F$8653,"")</f>
        <v/>
      </c>
      <c r="Z8652" t="n">
        <v>1</v>
      </c>
      <c r="AA8652">
        <f>IF(ISNUMBER('IN-CLASS_Lab Part C'!$J$8652),'IN-CLASS_Lab Part C'!$J$8652,NA())</f>
        <v/>
      </c>
    </row>
    <row r="8653">
      <c r="J8653">
        <f>IF(AND(ISNUMBER('Data'!$F$8654),'Data'!$F$8654&lt;&gt;999,'Data'!$F$8654&lt;&gt;""),'Data'!$F$8654,"")</f>
        <v/>
      </c>
      <c r="Z8653" t="n">
        <v>1</v>
      </c>
      <c r="AA8653">
        <f>IF(ISNUMBER('IN-CLASS_Lab Part C'!$J$8653),'IN-CLASS_Lab Part C'!$J$8653,NA())</f>
        <v/>
      </c>
    </row>
    <row r="8654">
      <c r="J8654">
        <f>IF(AND(ISNUMBER('Data'!$F$8655),'Data'!$F$8655&lt;&gt;999,'Data'!$F$8655&lt;&gt;""),'Data'!$F$8655,"")</f>
        <v/>
      </c>
      <c r="Z8654" t="n">
        <v>1</v>
      </c>
      <c r="AA8654">
        <f>IF(ISNUMBER('IN-CLASS_Lab Part C'!$J$8654),'IN-CLASS_Lab Part C'!$J$8654,NA())</f>
        <v/>
      </c>
    </row>
    <row r="8655">
      <c r="J8655">
        <f>IF(AND(ISNUMBER('Data'!$F$8656),'Data'!$F$8656&lt;&gt;999,'Data'!$F$8656&lt;&gt;""),'Data'!$F$8656,"")</f>
        <v/>
      </c>
      <c r="Z8655" t="n">
        <v>1</v>
      </c>
      <c r="AA8655">
        <f>IF(ISNUMBER('IN-CLASS_Lab Part C'!$J$8655),'IN-CLASS_Lab Part C'!$J$8655,NA())</f>
        <v/>
      </c>
    </row>
    <row r="8656">
      <c r="J8656">
        <f>IF(AND(ISNUMBER('Data'!$F$8657),'Data'!$F$8657&lt;&gt;999,'Data'!$F$8657&lt;&gt;""),'Data'!$F$8657,"")</f>
        <v/>
      </c>
      <c r="Z8656" t="n">
        <v>1</v>
      </c>
      <c r="AA8656">
        <f>IF(ISNUMBER('IN-CLASS_Lab Part C'!$J$8656),'IN-CLASS_Lab Part C'!$J$8656,NA())</f>
        <v/>
      </c>
    </row>
    <row r="8657">
      <c r="J8657">
        <f>IF(AND(ISNUMBER('Data'!$F$8658),'Data'!$F$8658&lt;&gt;999,'Data'!$F$8658&lt;&gt;""),'Data'!$F$8658,"")</f>
        <v/>
      </c>
      <c r="Z8657" t="n">
        <v>1</v>
      </c>
      <c r="AA8657">
        <f>IF(ISNUMBER('IN-CLASS_Lab Part C'!$J$8657),'IN-CLASS_Lab Part C'!$J$8657,NA())</f>
        <v/>
      </c>
    </row>
    <row r="8658">
      <c r="J8658">
        <f>IF(AND(ISNUMBER('Data'!$F$8659),'Data'!$F$8659&lt;&gt;999,'Data'!$F$8659&lt;&gt;""),'Data'!$F$8659,"")</f>
        <v/>
      </c>
      <c r="Z8658" t="n">
        <v>1</v>
      </c>
      <c r="AA8658">
        <f>IF(ISNUMBER('IN-CLASS_Lab Part C'!$J$8658),'IN-CLASS_Lab Part C'!$J$8658,NA())</f>
        <v/>
      </c>
    </row>
    <row r="8659">
      <c r="J8659">
        <f>IF(AND(ISNUMBER('Data'!$F$8660),'Data'!$F$8660&lt;&gt;999,'Data'!$F$8660&lt;&gt;""),'Data'!$F$8660,"")</f>
        <v/>
      </c>
      <c r="Z8659" t="n">
        <v>1</v>
      </c>
      <c r="AA8659">
        <f>IF(ISNUMBER('IN-CLASS_Lab Part C'!$J$8659),'IN-CLASS_Lab Part C'!$J$8659,NA())</f>
        <v/>
      </c>
    </row>
    <row r="8660">
      <c r="J8660">
        <f>IF(AND(ISNUMBER('Data'!$F$8661),'Data'!$F$8661&lt;&gt;999,'Data'!$F$8661&lt;&gt;""),'Data'!$F$8661,"")</f>
        <v/>
      </c>
      <c r="Z8660" t="n">
        <v>1</v>
      </c>
      <c r="AA8660">
        <f>IF(ISNUMBER('IN-CLASS_Lab Part C'!$J$8660),'IN-CLASS_Lab Part C'!$J$8660,NA())</f>
        <v/>
      </c>
    </row>
    <row r="8661">
      <c r="J8661">
        <f>IF(AND(ISNUMBER('Data'!$F$8662),'Data'!$F$8662&lt;&gt;999,'Data'!$F$8662&lt;&gt;""),'Data'!$F$8662,"")</f>
        <v/>
      </c>
      <c r="Z8661" t="n">
        <v>1</v>
      </c>
      <c r="AA8661">
        <f>IF(ISNUMBER('IN-CLASS_Lab Part C'!$J$8661),'IN-CLASS_Lab Part C'!$J$8661,NA())</f>
        <v/>
      </c>
    </row>
    <row r="8662">
      <c r="J8662">
        <f>IF(AND(ISNUMBER('Data'!$F$8663),'Data'!$F$8663&lt;&gt;999,'Data'!$F$8663&lt;&gt;""),'Data'!$F$8663,"")</f>
        <v/>
      </c>
      <c r="Z8662" t="n">
        <v>1</v>
      </c>
      <c r="AA8662">
        <f>IF(ISNUMBER('IN-CLASS_Lab Part C'!$J$8662),'IN-CLASS_Lab Part C'!$J$8662,NA())</f>
        <v/>
      </c>
    </row>
    <row r="8663">
      <c r="J8663">
        <f>IF(AND(ISNUMBER('Data'!$F$8664),'Data'!$F$8664&lt;&gt;999,'Data'!$F$8664&lt;&gt;""),'Data'!$F$8664,"")</f>
        <v/>
      </c>
      <c r="Z8663" t="n">
        <v>1</v>
      </c>
      <c r="AA8663">
        <f>IF(ISNUMBER('IN-CLASS_Lab Part C'!$J$8663),'IN-CLASS_Lab Part C'!$J$8663,NA())</f>
        <v/>
      </c>
    </row>
    <row r="8664">
      <c r="J8664">
        <f>IF(AND(ISNUMBER('Data'!$F$8665),'Data'!$F$8665&lt;&gt;999,'Data'!$F$8665&lt;&gt;""),'Data'!$F$8665,"")</f>
        <v/>
      </c>
      <c r="Z8664" t="n">
        <v>1</v>
      </c>
      <c r="AA8664">
        <f>IF(ISNUMBER('IN-CLASS_Lab Part C'!$J$8664),'IN-CLASS_Lab Part C'!$J$8664,NA())</f>
        <v/>
      </c>
    </row>
    <row r="8665">
      <c r="J8665">
        <f>IF(AND(ISNUMBER('Data'!$F$8666),'Data'!$F$8666&lt;&gt;999,'Data'!$F$8666&lt;&gt;""),'Data'!$F$8666,"")</f>
        <v/>
      </c>
      <c r="Z8665" t="n">
        <v>1</v>
      </c>
      <c r="AA8665">
        <f>IF(ISNUMBER('IN-CLASS_Lab Part C'!$J$8665),'IN-CLASS_Lab Part C'!$J$8665,NA())</f>
        <v/>
      </c>
    </row>
    <row r="8666">
      <c r="J8666">
        <f>IF(AND(ISNUMBER('Data'!$F$8667),'Data'!$F$8667&lt;&gt;999,'Data'!$F$8667&lt;&gt;""),'Data'!$F$8667,"")</f>
        <v/>
      </c>
      <c r="Z8666" t="n">
        <v>1</v>
      </c>
      <c r="AA8666">
        <f>IF(ISNUMBER('IN-CLASS_Lab Part C'!$J$8666),'IN-CLASS_Lab Part C'!$J$8666,NA())</f>
        <v/>
      </c>
    </row>
    <row r="8667">
      <c r="J8667">
        <f>IF(AND(ISNUMBER('Data'!$F$8668),'Data'!$F$8668&lt;&gt;999,'Data'!$F$8668&lt;&gt;""),'Data'!$F$8668,"")</f>
        <v/>
      </c>
      <c r="Z8667" t="n">
        <v>1</v>
      </c>
      <c r="AA8667">
        <f>IF(ISNUMBER('IN-CLASS_Lab Part C'!$J$8667),'IN-CLASS_Lab Part C'!$J$8667,NA())</f>
        <v/>
      </c>
    </row>
    <row r="8668">
      <c r="J8668">
        <f>IF(AND(ISNUMBER('Data'!$F$8669),'Data'!$F$8669&lt;&gt;999,'Data'!$F$8669&lt;&gt;""),'Data'!$F$8669,"")</f>
        <v/>
      </c>
      <c r="Z8668" t="n">
        <v>1</v>
      </c>
      <c r="AA8668">
        <f>IF(ISNUMBER('IN-CLASS_Lab Part C'!$J$8668),'IN-CLASS_Lab Part C'!$J$8668,NA())</f>
        <v/>
      </c>
    </row>
    <row r="8669">
      <c r="J8669">
        <f>IF(AND(ISNUMBER('Data'!$F$8670),'Data'!$F$8670&lt;&gt;999,'Data'!$F$8670&lt;&gt;""),'Data'!$F$8670,"")</f>
        <v/>
      </c>
      <c r="Z8669" t="n">
        <v>1</v>
      </c>
      <c r="AA8669">
        <f>IF(ISNUMBER('IN-CLASS_Lab Part C'!$J$8669),'IN-CLASS_Lab Part C'!$J$8669,NA())</f>
        <v/>
      </c>
    </row>
    <row r="8670">
      <c r="J8670">
        <f>IF(AND(ISNUMBER('Data'!$F$8671),'Data'!$F$8671&lt;&gt;999,'Data'!$F$8671&lt;&gt;""),'Data'!$F$8671,"")</f>
        <v/>
      </c>
      <c r="Z8670" t="n">
        <v>1</v>
      </c>
      <c r="AA8670">
        <f>IF(ISNUMBER('IN-CLASS_Lab Part C'!$J$8670),'IN-CLASS_Lab Part C'!$J$8670,NA())</f>
        <v/>
      </c>
    </row>
    <row r="8671">
      <c r="J8671">
        <f>IF(AND(ISNUMBER('Data'!$F$8672),'Data'!$F$8672&lt;&gt;999,'Data'!$F$8672&lt;&gt;""),'Data'!$F$8672,"")</f>
        <v/>
      </c>
      <c r="Z8671" t="n">
        <v>1</v>
      </c>
      <c r="AA8671">
        <f>IF(ISNUMBER('IN-CLASS_Lab Part C'!$J$8671),'IN-CLASS_Lab Part C'!$J$8671,NA())</f>
        <v/>
      </c>
    </row>
    <row r="8672">
      <c r="J8672">
        <f>IF(AND(ISNUMBER('Data'!$F$8673),'Data'!$F$8673&lt;&gt;999,'Data'!$F$8673&lt;&gt;""),'Data'!$F$8673,"")</f>
        <v/>
      </c>
      <c r="Z8672" t="n">
        <v>1</v>
      </c>
      <c r="AA8672">
        <f>IF(ISNUMBER('IN-CLASS_Lab Part C'!$J$8672),'IN-CLASS_Lab Part C'!$J$8672,NA())</f>
        <v/>
      </c>
    </row>
    <row r="8673">
      <c r="J8673">
        <f>IF(AND(ISNUMBER('Data'!$F$8674),'Data'!$F$8674&lt;&gt;999,'Data'!$F$8674&lt;&gt;""),'Data'!$F$8674,"")</f>
        <v/>
      </c>
      <c r="Z8673" t="n">
        <v>1</v>
      </c>
      <c r="AA8673">
        <f>IF(ISNUMBER('IN-CLASS_Lab Part C'!$J$8673),'IN-CLASS_Lab Part C'!$J$8673,NA())</f>
        <v/>
      </c>
    </row>
    <row r="8674">
      <c r="J8674">
        <f>IF(AND(ISNUMBER('Data'!$F$8675),'Data'!$F$8675&lt;&gt;999,'Data'!$F$8675&lt;&gt;""),'Data'!$F$8675,"")</f>
        <v/>
      </c>
      <c r="Z8674" t="n">
        <v>1</v>
      </c>
      <c r="AA8674">
        <f>IF(ISNUMBER('IN-CLASS_Lab Part C'!$J$8674),'IN-CLASS_Lab Part C'!$J$8674,NA())</f>
        <v/>
      </c>
    </row>
    <row r="8675">
      <c r="J8675">
        <f>IF(AND(ISNUMBER('Data'!$F$8676),'Data'!$F$8676&lt;&gt;999,'Data'!$F$8676&lt;&gt;""),'Data'!$F$8676,"")</f>
        <v/>
      </c>
      <c r="Z8675" t="n">
        <v>1</v>
      </c>
      <c r="AA8675">
        <f>IF(ISNUMBER('IN-CLASS_Lab Part C'!$J$8675),'IN-CLASS_Lab Part C'!$J$8675,NA())</f>
        <v/>
      </c>
    </row>
    <row r="8676">
      <c r="J8676">
        <f>IF(AND(ISNUMBER('Data'!$F$8677),'Data'!$F$8677&lt;&gt;999,'Data'!$F$8677&lt;&gt;""),'Data'!$F$8677,"")</f>
        <v/>
      </c>
      <c r="Z8676" t="n">
        <v>1</v>
      </c>
      <c r="AA8676">
        <f>IF(ISNUMBER('IN-CLASS_Lab Part C'!$J$8676),'IN-CLASS_Lab Part C'!$J$8676,NA())</f>
        <v/>
      </c>
    </row>
    <row r="8677">
      <c r="J8677">
        <f>IF(AND(ISNUMBER('Data'!$F$8678),'Data'!$F$8678&lt;&gt;999,'Data'!$F$8678&lt;&gt;""),'Data'!$F$8678,"")</f>
        <v/>
      </c>
      <c r="Z8677" t="n">
        <v>1</v>
      </c>
      <c r="AA8677">
        <f>IF(ISNUMBER('IN-CLASS_Lab Part C'!$J$8677),'IN-CLASS_Lab Part C'!$J$8677,NA())</f>
        <v/>
      </c>
    </row>
    <row r="8678">
      <c r="J8678">
        <f>IF(AND(ISNUMBER('Data'!$F$8679),'Data'!$F$8679&lt;&gt;999,'Data'!$F$8679&lt;&gt;""),'Data'!$F$8679,"")</f>
        <v/>
      </c>
      <c r="Z8678" t="n">
        <v>1</v>
      </c>
      <c r="AA8678">
        <f>IF(ISNUMBER('IN-CLASS_Lab Part C'!$J$8678),'IN-CLASS_Lab Part C'!$J$8678,NA())</f>
        <v/>
      </c>
    </row>
    <row r="8679">
      <c r="J8679">
        <f>IF(AND(ISNUMBER('Data'!$F$8680),'Data'!$F$8680&lt;&gt;999,'Data'!$F$8680&lt;&gt;""),'Data'!$F$8680,"")</f>
        <v/>
      </c>
      <c r="Z8679" t="n">
        <v>1</v>
      </c>
      <c r="AA8679">
        <f>IF(ISNUMBER('IN-CLASS_Lab Part C'!$J$8679),'IN-CLASS_Lab Part C'!$J$8679,NA())</f>
        <v/>
      </c>
    </row>
    <row r="8680">
      <c r="J8680">
        <f>IF(AND(ISNUMBER('Data'!$F$8681),'Data'!$F$8681&lt;&gt;999,'Data'!$F$8681&lt;&gt;""),'Data'!$F$8681,"")</f>
        <v/>
      </c>
      <c r="Z8680" t="n">
        <v>1</v>
      </c>
      <c r="AA8680">
        <f>IF(ISNUMBER('IN-CLASS_Lab Part C'!$J$8680),'IN-CLASS_Lab Part C'!$J$8680,NA())</f>
        <v/>
      </c>
    </row>
    <row r="8681">
      <c r="J8681">
        <f>IF(AND(ISNUMBER('Data'!$F$8682),'Data'!$F$8682&lt;&gt;999,'Data'!$F$8682&lt;&gt;""),'Data'!$F$8682,"")</f>
        <v/>
      </c>
      <c r="Z8681" t="n">
        <v>1</v>
      </c>
      <c r="AA8681">
        <f>IF(ISNUMBER('IN-CLASS_Lab Part C'!$J$8681),'IN-CLASS_Lab Part C'!$J$8681,NA())</f>
        <v/>
      </c>
    </row>
    <row r="8682">
      <c r="J8682">
        <f>IF(AND(ISNUMBER('Data'!$F$8683),'Data'!$F$8683&lt;&gt;999,'Data'!$F$8683&lt;&gt;""),'Data'!$F$8683,"")</f>
        <v/>
      </c>
      <c r="Z8682" t="n">
        <v>1</v>
      </c>
      <c r="AA8682">
        <f>IF(ISNUMBER('IN-CLASS_Lab Part C'!$J$8682),'IN-CLASS_Lab Part C'!$J$8682,NA())</f>
        <v/>
      </c>
    </row>
    <row r="8683">
      <c r="J8683">
        <f>IF(AND(ISNUMBER('Data'!$F$8684),'Data'!$F$8684&lt;&gt;999,'Data'!$F$8684&lt;&gt;""),'Data'!$F$8684,"")</f>
        <v/>
      </c>
      <c r="Z8683" t="n">
        <v>1</v>
      </c>
      <c r="AA8683">
        <f>IF(ISNUMBER('IN-CLASS_Lab Part C'!$J$8683),'IN-CLASS_Lab Part C'!$J$8683,NA())</f>
        <v/>
      </c>
    </row>
    <row r="8684">
      <c r="J8684">
        <f>IF(AND(ISNUMBER('Data'!$F$8685),'Data'!$F$8685&lt;&gt;999,'Data'!$F$8685&lt;&gt;""),'Data'!$F$8685,"")</f>
        <v/>
      </c>
      <c r="Z8684" t="n">
        <v>1</v>
      </c>
      <c r="AA8684">
        <f>IF(ISNUMBER('IN-CLASS_Lab Part C'!$J$8684),'IN-CLASS_Lab Part C'!$J$8684,NA())</f>
        <v/>
      </c>
    </row>
    <row r="8685">
      <c r="J8685">
        <f>IF(AND(ISNUMBER('Data'!$F$8686),'Data'!$F$8686&lt;&gt;999,'Data'!$F$8686&lt;&gt;""),'Data'!$F$8686,"")</f>
        <v/>
      </c>
      <c r="Z8685" t="n">
        <v>1</v>
      </c>
      <c r="AA8685">
        <f>IF(ISNUMBER('IN-CLASS_Lab Part C'!$J$8685),'IN-CLASS_Lab Part C'!$J$8685,NA())</f>
        <v/>
      </c>
    </row>
    <row r="8686">
      <c r="J8686">
        <f>IF(AND(ISNUMBER('Data'!$F$8687),'Data'!$F$8687&lt;&gt;999,'Data'!$F$8687&lt;&gt;""),'Data'!$F$8687,"")</f>
        <v/>
      </c>
      <c r="Z8686" t="n">
        <v>1</v>
      </c>
      <c r="AA8686">
        <f>IF(ISNUMBER('IN-CLASS_Lab Part C'!$J$8686),'IN-CLASS_Lab Part C'!$J$8686,NA())</f>
        <v/>
      </c>
    </row>
    <row r="8687">
      <c r="J8687">
        <f>IF(AND(ISNUMBER('Data'!$F$8688),'Data'!$F$8688&lt;&gt;999,'Data'!$F$8688&lt;&gt;""),'Data'!$F$8688,"")</f>
        <v/>
      </c>
      <c r="Z8687" t="n">
        <v>1</v>
      </c>
      <c r="AA8687">
        <f>IF(ISNUMBER('IN-CLASS_Lab Part C'!$J$8687),'IN-CLASS_Lab Part C'!$J$8687,NA())</f>
        <v/>
      </c>
    </row>
    <row r="8688">
      <c r="J8688">
        <f>IF(AND(ISNUMBER('Data'!$F$8689),'Data'!$F$8689&lt;&gt;999,'Data'!$F$8689&lt;&gt;""),'Data'!$F$8689,"")</f>
        <v/>
      </c>
      <c r="Z8688" t="n">
        <v>1</v>
      </c>
      <c r="AA8688">
        <f>IF(ISNUMBER('IN-CLASS_Lab Part C'!$J$8688),'IN-CLASS_Lab Part C'!$J$8688,NA())</f>
        <v/>
      </c>
    </row>
    <row r="8689">
      <c r="J8689">
        <f>IF(AND(ISNUMBER('Data'!$F$8690),'Data'!$F$8690&lt;&gt;999,'Data'!$F$8690&lt;&gt;""),'Data'!$F$8690,"")</f>
        <v/>
      </c>
      <c r="Z8689" t="n">
        <v>1</v>
      </c>
      <c r="AA8689">
        <f>IF(ISNUMBER('IN-CLASS_Lab Part C'!$J$8689),'IN-CLASS_Lab Part C'!$J$8689,NA())</f>
        <v/>
      </c>
    </row>
    <row r="8690">
      <c r="J8690">
        <f>IF(AND(ISNUMBER('Data'!$F$8691),'Data'!$F$8691&lt;&gt;999,'Data'!$F$8691&lt;&gt;""),'Data'!$F$8691,"")</f>
        <v/>
      </c>
      <c r="Z8690" t="n">
        <v>1</v>
      </c>
      <c r="AA8690">
        <f>IF(ISNUMBER('IN-CLASS_Lab Part C'!$J$8690),'IN-CLASS_Lab Part C'!$J$8690,NA())</f>
        <v/>
      </c>
    </row>
    <row r="8691">
      <c r="J8691">
        <f>IF(AND(ISNUMBER('Data'!$F$8692),'Data'!$F$8692&lt;&gt;999,'Data'!$F$8692&lt;&gt;""),'Data'!$F$8692,"")</f>
        <v/>
      </c>
      <c r="Z8691" t="n">
        <v>1</v>
      </c>
      <c r="AA8691">
        <f>IF(ISNUMBER('IN-CLASS_Lab Part C'!$J$8691),'IN-CLASS_Lab Part C'!$J$8691,NA())</f>
        <v/>
      </c>
    </row>
    <row r="8692">
      <c r="J8692">
        <f>IF(AND(ISNUMBER('Data'!$F$8693),'Data'!$F$8693&lt;&gt;999,'Data'!$F$8693&lt;&gt;""),'Data'!$F$8693,"")</f>
        <v/>
      </c>
      <c r="Z8692" t="n">
        <v>1</v>
      </c>
      <c r="AA8692">
        <f>IF(ISNUMBER('IN-CLASS_Lab Part C'!$J$8692),'IN-CLASS_Lab Part C'!$J$8692,NA())</f>
        <v/>
      </c>
    </row>
    <row r="8693">
      <c r="J8693">
        <f>IF(AND(ISNUMBER('Data'!$F$8694),'Data'!$F$8694&lt;&gt;999,'Data'!$F$8694&lt;&gt;""),'Data'!$F$8694,"")</f>
        <v/>
      </c>
      <c r="Z8693" t="n">
        <v>1</v>
      </c>
      <c r="AA8693">
        <f>IF(ISNUMBER('IN-CLASS_Lab Part C'!$J$8693),'IN-CLASS_Lab Part C'!$J$8693,NA())</f>
        <v/>
      </c>
    </row>
    <row r="8694">
      <c r="J8694">
        <f>IF(AND(ISNUMBER('Data'!$F$8695),'Data'!$F$8695&lt;&gt;999,'Data'!$F$8695&lt;&gt;""),'Data'!$F$8695,"")</f>
        <v/>
      </c>
      <c r="Z8694" t="n">
        <v>1</v>
      </c>
      <c r="AA8694">
        <f>IF(ISNUMBER('IN-CLASS_Lab Part C'!$J$8694),'IN-CLASS_Lab Part C'!$J$8694,NA())</f>
        <v/>
      </c>
    </row>
    <row r="8695">
      <c r="J8695">
        <f>IF(AND(ISNUMBER('Data'!$F$8696),'Data'!$F$8696&lt;&gt;999,'Data'!$F$8696&lt;&gt;""),'Data'!$F$8696,"")</f>
        <v/>
      </c>
      <c r="Z8695" t="n">
        <v>1</v>
      </c>
      <c r="AA8695">
        <f>IF(ISNUMBER('IN-CLASS_Lab Part C'!$J$8695),'IN-CLASS_Lab Part C'!$J$8695,NA())</f>
        <v/>
      </c>
    </row>
    <row r="8696">
      <c r="J8696">
        <f>IF(AND(ISNUMBER('Data'!$F$8697),'Data'!$F$8697&lt;&gt;999,'Data'!$F$8697&lt;&gt;""),'Data'!$F$8697,"")</f>
        <v/>
      </c>
      <c r="Z8696" t="n">
        <v>1</v>
      </c>
      <c r="AA8696">
        <f>IF(ISNUMBER('IN-CLASS_Lab Part C'!$J$8696),'IN-CLASS_Lab Part C'!$J$8696,NA())</f>
        <v/>
      </c>
    </row>
    <row r="8697">
      <c r="J8697">
        <f>IF(AND(ISNUMBER('Data'!$F$8698),'Data'!$F$8698&lt;&gt;999,'Data'!$F$8698&lt;&gt;""),'Data'!$F$8698,"")</f>
        <v/>
      </c>
      <c r="Z8697" t="n">
        <v>1</v>
      </c>
      <c r="AA8697">
        <f>IF(ISNUMBER('IN-CLASS_Lab Part C'!$J$8697),'IN-CLASS_Lab Part C'!$J$8697,NA())</f>
        <v/>
      </c>
    </row>
    <row r="8698">
      <c r="J8698">
        <f>IF(AND(ISNUMBER('Data'!$F$8699),'Data'!$F$8699&lt;&gt;999,'Data'!$F$8699&lt;&gt;""),'Data'!$F$8699,"")</f>
        <v/>
      </c>
      <c r="Z8698" t="n">
        <v>1</v>
      </c>
      <c r="AA8698">
        <f>IF(ISNUMBER('IN-CLASS_Lab Part C'!$J$8698),'IN-CLASS_Lab Part C'!$J$8698,NA())</f>
        <v/>
      </c>
    </row>
    <row r="8699">
      <c r="J8699">
        <f>IF(AND(ISNUMBER('Data'!$F$8700),'Data'!$F$8700&lt;&gt;999,'Data'!$F$8700&lt;&gt;""),'Data'!$F$8700,"")</f>
        <v/>
      </c>
      <c r="Z8699" t="n">
        <v>1</v>
      </c>
      <c r="AA8699">
        <f>IF(ISNUMBER('IN-CLASS_Lab Part C'!$J$8699),'IN-CLASS_Lab Part C'!$J$8699,NA())</f>
        <v/>
      </c>
    </row>
    <row r="8700">
      <c r="J8700">
        <f>IF(AND(ISNUMBER('Data'!$F$8701),'Data'!$F$8701&lt;&gt;999,'Data'!$F$8701&lt;&gt;""),'Data'!$F$8701,"")</f>
        <v/>
      </c>
      <c r="Z8700" t="n">
        <v>1</v>
      </c>
      <c r="AA8700">
        <f>IF(ISNUMBER('IN-CLASS_Lab Part C'!$J$8700),'IN-CLASS_Lab Part C'!$J$8700,NA())</f>
        <v/>
      </c>
    </row>
    <row r="8701">
      <c r="J8701">
        <f>IF(AND(ISNUMBER('Data'!$F$8702),'Data'!$F$8702&lt;&gt;999,'Data'!$F$8702&lt;&gt;""),'Data'!$F$8702,"")</f>
        <v/>
      </c>
      <c r="Z8701" t="n">
        <v>1</v>
      </c>
      <c r="AA8701">
        <f>IF(ISNUMBER('IN-CLASS_Lab Part C'!$J$8701),'IN-CLASS_Lab Part C'!$J$8701,NA())</f>
        <v/>
      </c>
    </row>
    <row r="8702">
      <c r="J8702">
        <f>IF(AND(ISNUMBER('Data'!$F$8703),'Data'!$F$8703&lt;&gt;999,'Data'!$F$8703&lt;&gt;""),'Data'!$F$8703,"")</f>
        <v/>
      </c>
      <c r="Z8702" t="n">
        <v>1</v>
      </c>
      <c r="AA8702">
        <f>IF(ISNUMBER('IN-CLASS_Lab Part C'!$J$8702),'IN-CLASS_Lab Part C'!$J$8702,NA())</f>
        <v/>
      </c>
    </row>
    <row r="8703">
      <c r="J8703">
        <f>IF(AND(ISNUMBER('Data'!$F$8704),'Data'!$F$8704&lt;&gt;999,'Data'!$F$8704&lt;&gt;""),'Data'!$F$8704,"")</f>
        <v/>
      </c>
      <c r="Z8703" t="n">
        <v>1</v>
      </c>
      <c r="AA8703">
        <f>IF(ISNUMBER('IN-CLASS_Lab Part C'!$J$8703),'IN-CLASS_Lab Part C'!$J$8703,NA())</f>
        <v/>
      </c>
    </row>
    <row r="8704">
      <c r="J8704">
        <f>IF(AND(ISNUMBER('Data'!$F$8705),'Data'!$F$8705&lt;&gt;999,'Data'!$F$8705&lt;&gt;""),'Data'!$F$8705,"")</f>
        <v/>
      </c>
      <c r="Z8704" t="n">
        <v>1</v>
      </c>
      <c r="AA8704">
        <f>IF(ISNUMBER('IN-CLASS_Lab Part C'!$J$8704),'IN-CLASS_Lab Part C'!$J$8704,NA())</f>
        <v/>
      </c>
    </row>
    <row r="8705">
      <c r="J8705">
        <f>IF(AND(ISNUMBER('Data'!$F$8706),'Data'!$F$8706&lt;&gt;999,'Data'!$F$8706&lt;&gt;""),'Data'!$F$8706,"")</f>
        <v/>
      </c>
      <c r="Z8705" t="n">
        <v>1</v>
      </c>
      <c r="AA8705">
        <f>IF(ISNUMBER('IN-CLASS_Lab Part C'!$J$8705),'IN-CLASS_Lab Part C'!$J$8705,NA())</f>
        <v/>
      </c>
    </row>
    <row r="8706">
      <c r="J8706">
        <f>IF(AND(ISNUMBER('Data'!$F$8707),'Data'!$F$8707&lt;&gt;999,'Data'!$F$8707&lt;&gt;""),'Data'!$F$8707,"")</f>
        <v/>
      </c>
      <c r="Z8706" t="n">
        <v>1</v>
      </c>
      <c r="AA8706">
        <f>IF(ISNUMBER('IN-CLASS_Lab Part C'!$J$8706),'IN-CLASS_Lab Part C'!$J$8706,NA())</f>
        <v/>
      </c>
    </row>
    <row r="8707">
      <c r="J8707">
        <f>IF(AND(ISNUMBER('Data'!$F$8708),'Data'!$F$8708&lt;&gt;999,'Data'!$F$8708&lt;&gt;""),'Data'!$F$8708,"")</f>
        <v/>
      </c>
      <c r="Z8707" t="n">
        <v>1</v>
      </c>
      <c r="AA8707">
        <f>IF(ISNUMBER('IN-CLASS_Lab Part C'!$J$8707),'IN-CLASS_Lab Part C'!$J$8707,NA())</f>
        <v/>
      </c>
    </row>
    <row r="8708">
      <c r="J8708">
        <f>IF(AND(ISNUMBER('Data'!$F$8709),'Data'!$F$8709&lt;&gt;999,'Data'!$F$8709&lt;&gt;""),'Data'!$F$8709,"")</f>
        <v/>
      </c>
      <c r="Z8708" t="n">
        <v>1</v>
      </c>
      <c r="AA8708">
        <f>IF(ISNUMBER('IN-CLASS_Lab Part C'!$J$8708),'IN-CLASS_Lab Part C'!$J$8708,NA())</f>
        <v/>
      </c>
    </row>
    <row r="8709">
      <c r="J8709">
        <f>IF(AND(ISNUMBER('Data'!$F$8710),'Data'!$F$8710&lt;&gt;999,'Data'!$F$8710&lt;&gt;""),'Data'!$F$8710,"")</f>
        <v/>
      </c>
      <c r="Z8709" t="n">
        <v>1</v>
      </c>
      <c r="AA8709">
        <f>IF(ISNUMBER('IN-CLASS_Lab Part C'!$J$8709),'IN-CLASS_Lab Part C'!$J$8709,NA())</f>
        <v/>
      </c>
    </row>
    <row r="8710">
      <c r="J8710">
        <f>IF(AND(ISNUMBER('Data'!$F$8711),'Data'!$F$8711&lt;&gt;999,'Data'!$F$8711&lt;&gt;""),'Data'!$F$8711,"")</f>
        <v/>
      </c>
      <c r="Z8710" t="n">
        <v>1</v>
      </c>
      <c r="AA8710">
        <f>IF(ISNUMBER('IN-CLASS_Lab Part C'!$J$8710),'IN-CLASS_Lab Part C'!$J$8710,NA())</f>
        <v/>
      </c>
    </row>
    <row r="8711">
      <c r="J8711">
        <f>IF(AND(ISNUMBER('Data'!$F$8712),'Data'!$F$8712&lt;&gt;999,'Data'!$F$8712&lt;&gt;""),'Data'!$F$8712,"")</f>
        <v/>
      </c>
      <c r="Z8711" t="n">
        <v>1</v>
      </c>
      <c r="AA8711">
        <f>IF(ISNUMBER('IN-CLASS_Lab Part C'!$J$8711),'IN-CLASS_Lab Part C'!$J$8711,NA())</f>
        <v/>
      </c>
    </row>
    <row r="8712">
      <c r="J8712">
        <f>IF(AND(ISNUMBER('Data'!$F$8713),'Data'!$F$8713&lt;&gt;999,'Data'!$F$8713&lt;&gt;""),'Data'!$F$8713,"")</f>
        <v/>
      </c>
      <c r="Z8712" t="n">
        <v>1</v>
      </c>
      <c r="AA8712">
        <f>IF(ISNUMBER('IN-CLASS_Lab Part C'!$J$8712),'IN-CLASS_Lab Part C'!$J$8712,NA())</f>
        <v/>
      </c>
    </row>
    <row r="8713">
      <c r="J8713">
        <f>IF(AND(ISNUMBER('Data'!$F$8714),'Data'!$F$8714&lt;&gt;999,'Data'!$F$8714&lt;&gt;""),'Data'!$F$8714,"")</f>
        <v/>
      </c>
      <c r="Z8713" t="n">
        <v>1</v>
      </c>
      <c r="AA8713">
        <f>IF(ISNUMBER('IN-CLASS_Lab Part C'!$J$8713),'IN-CLASS_Lab Part C'!$J$8713,NA())</f>
        <v/>
      </c>
    </row>
    <row r="8714">
      <c r="J8714">
        <f>IF(AND(ISNUMBER('Data'!$F$8715),'Data'!$F$8715&lt;&gt;999,'Data'!$F$8715&lt;&gt;""),'Data'!$F$8715,"")</f>
        <v/>
      </c>
      <c r="Z8714" t="n">
        <v>1</v>
      </c>
      <c r="AA8714">
        <f>IF(ISNUMBER('IN-CLASS_Lab Part C'!$J$8714),'IN-CLASS_Lab Part C'!$J$8714,NA())</f>
        <v/>
      </c>
    </row>
    <row r="8715">
      <c r="J8715">
        <f>IF(AND(ISNUMBER('Data'!$F$8716),'Data'!$F$8716&lt;&gt;999,'Data'!$F$8716&lt;&gt;""),'Data'!$F$8716,"")</f>
        <v/>
      </c>
      <c r="Z8715" t="n">
        <v>1</v>
      </c>
      <c r="AA8715">
        <f>IF(ISNUMBER('IN-CLASS_Lab Part C'!$J$8715),'IN-CLASS_Lab Part C'!$J$8715,NA())</f>
        <v/>
      </c>
    </row>
    <row r="8716">
      <c r="J8716">
        <f>IF(AND(ISNUMBER('Data'!$F$8717),'Data'!$F$8717&lt;&gt;999,'Data'!$F$8717&lt;&gt;""),'Data'!$F$8717,"")</f>
        <v/>
      </c>
      <c r="Z8716" t="n">
        <v>1</v>
      </c>
      <c r="AA8716">
        <f>IF(ISNUMBER('IN-CLASS_Lab Part C'!$J$8716),'IN-CLASS_Lab Part C'!$J$8716,NA())</f>
        <v/>
      </c>
    </row>
    <row r="8717">
      <c r="J8717">
        <f>IF(AND(ISNUMBER('Data'!$F$8718),'Data'!$F$8718&lt;&gt;999,'Data'!$F$8718&lt;&gt;""),'Data'!$F$8718,"")</f>
        <v/>
      </c>
      <c r="Z8717" t="n">
        <v>1</v>
      </c>
      <c r="AA8717">
        <f>IF(ISNUMBER('IN-CLASS_Lab Part C'!$J$8717),'IN-CLASS_Lab Part C'!$J$8717,NA())</f>
        <v/>
      </c>
    </row>
    <row r="8718">
      <c r="J8718">
        <f>IF(AND(ISNUMBER('Data'!$F$8719),'Data'!$F$8719&lt;&gt;999,'Data'!$F$8719&lt;&gt;""),'Data'!$F$8719,"")</f>
        <v/>
      </c>
      <c r="Z8718" t="n">
        <v>1</v>
      </c>
      <c r="AA8718">
        <f>IF(ISNUMBER('IN-CLASS_Lab Part C'!$J$8718),'IN-CLASS_Lab Part C'!$J$8718,NA())</f>
        <v/>
      </c>
    </row>
    <row r="8719">
      <c r="J8719">
        <f>IF(AND(ISNUMBER('Data'!$F$8720),'Data'!$F$8720&lt;&gt;999,'Data'!$F$8720&lt;&gt;""),'Data'!$F$8720,"")</f>
        <v/>
      </c>
      <c r="Z8719" t="n">
        <v>1</v>
      </c>
      <c r="AA8719">
        <f>IF(ISNUMBER('IN-CLASS_Lab Part C'!$J$8719),'IN-CLASS_Lab Part C'!$J$8719,NA())</f>
        <v/>
      </c>
    </row>
    <row r="8720">
      <c r="J8720">
        <f>IF(AND(ISNUMBER('Data'!$F$8721),'Data'!$F$8721&lt;&gt;999,'Data'!$F$8721&lt;&gt;""),'Data'!$F$8721,"")</f>
        <v/>
      </c>
      <c r="Z8720" t="n">
        <v>1</v>
      </c>
      <c r="AA8720">
        <f>IF(ISNUMBER('IN-CLASS_Lab Part C'!$J$8720),'IN-CLASS_Lab Part C'!$J$8720,NA())</f>
        <v/>
      </c>
    </row>
    <row r="8721">
      <c r="J8721">
        <f>IF(AND(ISNUMBER('Data'!$F$8722),'Data'!$F$8722&lt;&gt;999,'Data'!$F$8722&lt;&gt;""),'Data'!$F$8722,"")</f>
        <v/>
      </c>
      <c r="Z8721" t="n">
        <v>1</v>
      </c>
      <c r="AA8721">
        <f>IF(ISNUMBER('IN-CLASS_Lab Part C'!$J$8721),'IN-CLASS_Lab Part C'!$J$8721,NA())</f>
        <v/>
      </c>
    </row>
    <row r="8722">
      <c r="J8722">
        <f>IF(AND(ISNUMBER('Data'!$F$8723),'Data'!$F$8723&lt;&gt;999,'Data'!$F$8723&lt;&gt;""),'Data'!$F$8723,"")</f>
        <v/>
      </c>
      <c r="Z8722" t="n">
        <v>1</v>
      </c>
      <c r="AA8722">
        <f>IF(ISNUMBER('IN-CLASS_Lab Part C'!$J$8722),'IN-CLASS_Lab Part C'!$J$8722,NA())</f>
        <v/>
      </c>
    </row>
    <row r="8723">
      <c r="J8723">
        <f>IF(AND(ISNUMBER('Data'!$F$8724),'Data'!$F$8724&lt;&gt;999,'Data'!$F$8724&lt;&gt;""),'Data'!$F$8724,"")</f>
        <v/>
      </c>
      <c r="Z8723" t="n">
        <v>1</v>
      </c>
      <c r="AA8723">
        <f>IF(ISNUMBER('IN-CLASS_Lab Part C'!$J$8723),'IN-CLASS_Lab Part C'!$J$8723,NA())</f>
        <v/>
      </c>
    </row>
    <row r="8724">
      <c r="J8724">
        <f>IF(AND(ISNUMBER('Data'!$F$8725),'Data'!$F$8725&lt;&gt;999,'Data'!$F$8725&lt;&gt;""),'Data'!$F$8725,"")</f>
        <v/>
      </c>
      <c r="Z8724" t="n">
        <v>1</v>
      </c>
      <c r="AA8724">
        <f>IF(ISNUMBER('IN-CLASS_Lab Part C'!$J$8724),'IN-CLASS_Lab Part C'!$J$8724,NA())</f>
        <v/>
      </c>
    </row>
    <row r="8725">
      <c r="J8725">
        <f>IF(AND(ISNUMBER('Data'!$F$8726),'Data'!$F$8726&lt;&gt;999,'Data'!$F$8726&lt;&gt;""),'Data'!$F$8726,"")</f>
        <v/>
      </c>
      <c r="Z8725" t="n">
        <v>1</v>
      </c>
      <c r="AA8725">
        <f>IF(ISNUMBER('IN-CLASS_Lab Part C'!$J$8725),'IN-CLASS_Lab Part C'!$J$8725,NA())</f>
        <v/>
      </c>
    </row>
    <row r="8726">
      <c r="J8726">
        <f>IF(AND(ISNUMBER('Data'!$F$8727),'Data'!$F$8727&lt;&gt;999,'Data'!$F$8727&lt;&gt;""),'Data'!$F$8727,"")</f>
        <v/>
      </c>
      <c r="Z8726" t="n">
        <v>1</v>
      </c>
      <c r="AA8726">
        <f>IF(ISNUMBER('IN-CLASS_Lab Part C'!$J$8726),'IN-CLASS_Lab Part C'!$J$8726,NA())</f>
        <v/>
      </c>
    </row>
    <row r="8727">
      <c r="J8727">
        <f>IF(AND(ISNUMBER('Data'!$F$8728),'Data'!$F$8728&lt;&gt;999,'Data'!$F$8728&lt;&gt;""),'Data'!$F$8728,"")</f>
        <v/>
      </c>
      <c r="Z8727" t="n">
        <v>1</v>
      </c>
      <c r="AA8727">
        <f>IF(ISNUMBER('IN-CLASS_Lab Part C'!$J$8727),'IN-CLASS_Lab Part C'!$J$8727,NA())</f>
        <v/>
      </c>
    </row>
    <row r="8728">
      <c r="J8728">
        <f>IF(AND(ISNUMBER('Data'!$F$8729),'Data'!$F$8729&lt;&gt;999,'Data'!$F$8729&lt;&gt;""),'Data'!$F$8729,"")</f>
        <v/>
      </c>
      <c r="Z8728" t="n">
        <v>1</v>
      </c>
      <c r="AA8728">
        <f>IF(ISNUMBER('IN-CLASS_Lab Part C'!$J$8728),'IN-CLASS_Lab Part C'!$J$8728,NA())</f>
        <v/>
      </c>
    </row>
    <row r="8729">
      <c r="J8729">
        <f>IF(AND(ISNUMBER('Data'!$F$8730),'Data'!$F$8730&lt;&gt;999,'Data'!$F$8730&lt;&gt;""),'Data'!$F$8730,"")</f>
        <v/>
      </c>
      <c r="Z8729" t="n">
        <v>1</v>
      </c>
      <c r="AA8729">
        <f>IF(ISNUMBER('IN-CLASS_Lab Part C'!$J$8729),'IN-CLASS_Lab Part C'!$J$8729,NA())</f>
        <v/>
      </c>
    </row>
    <row r="8730">
      <c r="J8730">
        <f>IF(AND(ISNUMBER('Data'!$F$8731),'Data'!$F$8731&lt;&gt;999,'Data'!$F$8731&lt;&gt;""),'Data'!$F$8731,"")</f>
        <v/>
      </c>
      <c r="Z8730" t="n">
        <v>1</v>
      </c>
      <c r="AA8730">
        <f>IF(ISNUMBER('IN-CLASS_Lab Part C'!$J$8730),'IN-CLASS_Lab Part C'!$J$8730,NA())</f>
        <v/>
      </c>
    </row>
    <row r="8731">
      <c r="J8731">
        <f>IF(AND(ISNUMBER('Data'!$F$8732),'Data'!$F$8732&lt;&gt;999,'Data'!$F$8732&lt;&gt;""),'Data'!$F$8732,"")</f>
        <v/>
      </c>
      <c r="Z8731" t="n">
        <v>1</v>
      </c>
      <c r="AA8731">
        <f>IF(ISNUMBER('IN-CLASS_Lab Part C'!$J$8731),'IN-CLASS_Lab Part C'!$J$8731,NA())</f>
        <v/>
      </c>
    </row>
    <row r="8732">
      <c r="J8732">
        <f>IF(AND(ISNUMBER('Data'!$F$8733),'Data'!$F$8733&lt;&gt;999,'Data'!$F$8733&lt;&gt;""),'Data'!$F$8733,"")</f>
        <v/>
      </c>
      <c r="Z8732" t="n">
        <v>1</v>
      </c>
      <c r="AA8732">
        <f>IF(ISNUMBER('IN-CLASS_Lab Part C'!$J$8732),'IN-CLASS_Lab Part C'!$J$8732,NA())</f>
        <v/>
      </c>
    </row>
    <row r="8733">
      <c r="J8733">
        <f>IF(AND(ISNUMBER('Data'!$F$8734),'Data'!$F$8734&lt;&gt;999,'Data'!$F$8734&lt;&gt;""),'Data'!$F$8734,"")</f>
        <v/>
      </c>
      <c r="Z8733" t="n">
        <v>1</v>
      </c>
      <c r="AA8733">
        <f>IF(ISNUMBER('IN-CLASS_Lab Part C'!$J$8733),'IN-CLASS_Lab Part C'!$J$8733,NA())</f>
        <v/>
      </c>
    </row>
    <row r="8734">
      <c r="J8734">
        <f>IF(AND(ISNUMBER('Data'!$F$8735),'Data'!$F$8735&lt;&gt;999,'Data'!$F$8735&lt;&gt;""),'Data'!$F$8735,"")</f>
        <v/>
      </c>
      <c r="Z8734" t="n">
        <v>1</v>
      </c>
      <c r="AA8734">
        <f>IF(ISNUMBER('IN-CLASS_Lab Part C'!$J$8734),'IN-CLASS_Lab Part C'!$J$8734,NA())</f>
        <v/>
      </c>
    </row>
    <row r="8735">
      <c r="J8735">
        <f>IF(AND(ISNUMBER('Data'!$F$8736),'Data'!$F$8736&lt;&gt;999,'Data'!$F$8736&lt;&gt;""),'Data'!$F$8736,"")</f>
        <v/>
      </c>
      <c r="Z8735" t="n">
        <v>1</v>
      </c>
      <c r="AA8735">
        <f>IF(ISNUMBER('IN-CLASS_Lab Part C'!$J$8735),'IN-CLASS_Lab Part C'!$J$8735,NA())</f>
        <v/>
      </c>
    </row>
    <row r="8736">
      <c r="J8736">
        <f>IF(AND(ISNUMBER('Data'!$F$8737),'Data'!$F$8737&lt;&gt;999,'Data'!$F$8737&lt;&gt;""),'Data'!$F$8737,"")</f>
        <v/>
      </c>
      <c r="Z8736" t="n">
        <v>1</v>
      </c>
      <c r="AA8736">
        <f>IF(ISNUMBER('IN-CLASS_Lab Part C'!$J$8736),'IN-CLASS_Lab Part C'!$J$8736,NA())</f>
        <v/>
      </c>
    </row>
    <row r="8737">
      <c r="J8737">
        <f>IF(AND(ISNUMBER('Data'!$F$8738),'Data'!$F$8738&lt;&gt;999,'Data'!$F$8738&lt;&gt;""),'Data'!$F$8738,"")</f>
        <v/>
      </c>
      <c r="Z8737" t="n">
        <v>1</v>
      </c>
      <c r="AA8737">
        <f>IF(ISNUMBER('IN-CLASS_Lab Part C'!$J$8737),'IN-CLASS_Lab Part C'!$J$8737,NA())</f>
        <v/>
      </c>
    </row>
    <row r="8738">
      <c r="J8738">
        <f>IF(AND(ISNUMBER('Data'!$F$8739),'Data'!$F$8739&lt;&gt;999,'Data'!$F$8739&lt;&gt;""),'Data'!$F$8739,"")</f>
        <v/>
      </c>
      <c r="Z8738" t="n">
        <v>1</v>
      </c>
      <c r="AA8738">
        <f>IF(ISNUMBER('IN-CLASS_Lab Part C'!$J$8738),'IN-CLASS_Lab Part C'!$J$8738,NA())</f>
        <v/>
      </c>
    </row>
    <row r="8739">
      <c r="J8739">
        <f>IF(AND(ISNUMBER('Data'!$F$8740),'Data'!$F$8740&lt;&gt;999,'Data'!$F$8740&lt;&gt;""),'Data'!$F$8740,"")</f>
        <v/>
      </c>
      <c r="Z8739" t="n">
        <v>1</v>
      </c>
      <c r="AA8739">
        <f>IF(ISNUMBER('IN-CLASS_Lab Part C'!$J$8739),'IN-CLASS_Lab Part C'!$J$8739,NA())</f>
        <v/>
      </c>
    </row>
    <row r="8740">
      <c r="J8740">
        <f>IF(AND(ISNUMBER('Data'!$F$8741),'Data'!$F$8741&lt;&gt;999,'Data'!$F$8741&lt;&gt;""),'Data'!$F$8741,"")</f>
        <v/>
      </c>
      <c r="Z8740" t="n">
        <v>1</v>
      </c>
      <c r="AA8740">
        <f>IF(ISNUMBER('IN-CLASS_Lab Part C'!$J$8740),'IN-CLASS_Lab Part C'!$J$8740,NA())</f>
        <v/>
      </c>
    </row>
    <row r="8741">
      <c r="J8741">
        <f>IF(AND(ISNUMBER('Data'!$F$8742),'Data'!$F$8742&lt;&gt;999,'Data'!$F$8742&lt;&gt;""),'Data'!$F$8742,"")</f>
        <v/>
      </c>
      <c r="Z8741" t="n">
        <v>1</v>
      </c>
      <c r="AA8741">
        <f>IF(ISNUMBER('IN-CLASS_Lab Part C'!$J$8741),'IN-CLASS_Lab Part C'!$J$8741,NA())</f>
        <v/>
      </c>
    </row>
    <row r="8742">
      <c r="J8742">
        <f>IF(AND(ISNUMBER('Data'!$F$8743),'Data'!$F$8743&lt;&gt;999,'Data'!$F$8743&lt;&gt;""),'Data'!$F$8743,"")</f>
        <v/>
      </c>
      <c r="Z8742" t="n">
        <v>1</v>
      </c>
      <c r="AA8742">
        <f>IF(ISNUMBER('IN-CLASS_Lab Part C'!$J$8742),'IN-CLASS_Lab Part C'!$J$8742,NA())</f>
        <v/>
      </c>
    </row>
    <row r="8743">
      <c r="J8743">
        <f>IF(AND(ISNUMBER('Data'!$F$8744),'Data'!$F$8744&lt;&gt;999,'Data'!$F$8744&lt;&gt;""),'Data'!$F$8744,"")</f>
        <v/>
      </c>
      <c r="Z8743" t="n">
        <v>1</v>
      </c>
      <c r="AA8743">
        <f>IF(ISNUMBER('IN-CLASS_Lab Part C'!$J$8743),'IN-CLASS_Lab Part C'!$J$8743,NA())</f>
        <v/>
      </c>
    </row>
    <row r="8744">
      <c r="J8744">
        <f>IF(AND(ISNUMBER('Data'!$F$8745),'Data'!$F$8745&lt;&gt;999,'Data'!$F$8745&lt;&gt;""),'Data'!$F$8745,"")</f>
        <v/>
      </c>
      <c r="Z8744" t="n">
        <v>1</v>
      </c>
      <c r="AA8744">
        <f>IF(ISNUMBER('IN-CLASS_Lab Part C'!$J$8744),'IN-CLASS_Lab Part C'!$J$8744,NA())</f>
        <v/>
      </c>
    </row>
    <row r="8745">
      <c r="J8745">
        <f>IF(AND(ISNUMBER('Data'!$F$8746),'Data'!$F$8746&lt;&gt;999,'Data'!$F$8746&lt;&gt;""),'Data'!$F$8746,"")</f>
        <v/>
      </c>
      <c r="Z8745" t="n">
        <v>1</v>
      </c>
      <c r="AA8745">
        <f>IF(ISNUMBER('IN-CLASS_Lab Part C'!$J$8745),'IN-CLASS_Lab Part C'!$J$8745,NA())</f>
        <v/>
      </c>
    </row>
    <row r="8746">
      <c r="J8746">
        <f>IF(AND(ISNUMBER('Data'!$F$8747),'Data'!$F$8747&lt;&gt;999,'Data'!$F$8747&lt;&gt;""),'Data'!$F$8747,"")</f>
        <v/>
      </c>
      <c r="Z8746" t="n">
        <v>1</v>
      </c>
      <c r="AA8746">
        <f>IF(ISNUMBER('IN-CLASS_Lab Part C'!$J$8746),'IN-CLASS_Lab Part C'!$J$8746,NA())</f>
        <v/>
      </c>
    </row>
    <row r="8747">
      <c r="J8747">
        <f>IF(AND(ISNUMBER('Data'!$F$8748),'Data'!$F$8748&lt;&gt;999,'Data'!$F$8748&lt;&gt;""),'Data'!$F$8748,"")</f>
        <v/>
      </c>
      <c r="Z8747" t="n">
        <v>1</v>
      </c>
      <c r="AA8747">
        <f>IF(ISNUMBER('IN-CLASS_Lab Part C'!$J$8747),'IN-CLASS_Lab Part C'!$J$8747,NA())</f>
        <v/>
      </c>
    </row>
    <row r="8748">
      <c r="J8748">
        <f>IF(AND(ISNUMBER('Data'!$F$8749),'Data'!$F$8749&lt;&gt;999,'Data'!$F$8749&lt;&gt;""),'Data'!$F$8749,"")</f>
        <v/>
      </c>
      <c r="Z8748" t="n">
        <v>1</v>
      </c>
      <c r="AA8748">
        <f>IF(ISNUMBER('IN-CLASS_Lab Part C'!$J$8748),'IN-CLASS_Lab Part C'!$J$8748,NA())</f>
        <v/>
      </c>
    </row>
    <row r="8749">
      <c r="J8749">
        <f>IF(AND(ISNUMBER('Data'!$F$8750),'Data'!$F$8750&lt;&gt;999,'Data'!$F$8750&lt;&gt;""),'Data'!$F$8750,"")</f>
        <v/>
      </c>
      <c r="Z8749" t="n">
        <v>1</v>
      </c>
      <c r="AA8749">
        <f>IF(ISNUMBER('IN-CLASS_Lab Part C'!$J$8749),'IN-CLASS_Lab Part C'!$J$8749,NA())</f>
        <v/>
      </c>
    </row>
    <row r="8750">
      <c r="J8750">
        <f>IF(AND(ISNUMBER('Data'!$F$8751),'Data'!$F$8751&lt;&gt;999,'Data'!$F$8751&lt;&gt;""),'Data'!$F$8751,"")</f>
        <v/>
      </c>
      <c r="Z8750" t="n">
        <v>1</v>
      </c>
      <c r="AA8750">
        <f>IF(ISNUMBER('IN-CLASS_Lab Part C'!$J$8750),'IN-CLASS_Lab Part C'!$J$8750,NA())</f>
        <v/>
      </c>
    </row>
    <row r="8751">
      <c r="J8751">
        <f>IF(AND(ISNUMBER('Data'!$F$8752),'Data'!$F$8752&lt;&gt;999,'Data'!$F$8752&lt;&gt;""),'Data'!$F$8752,"")</f>
        <v/>
      </c>
      <c r="Z8751" t="n">
        <v>1</v>
      </c>
      <c r="AA8751">
        <f>IF(ISNUMBER('IN-CLASS_Lab Part C'!$J$8751),'IN-CLASS_Lab Part C'!$J$8751,NA())</f>
        <v/>
      </c>
    </row>
    <row r="8752">
      <c r="J8752">
        <f>IF(AND(ISNUMBER('Data'!$F$8753),'Data'!$F$8753&lt;&gt;999,'Data'!$F$8753&lt;&gt;""),'Data'!$F$8753,"")</f>
        <v/>
      </c>
      <c r="Z8752" t="n">
        <v>1</v>
      </c>
      <c r="AA8752">
        <f>IF(ISNUMBER('IN-CLASS_Lab Part C'!$J$8752),'IN-CLASS_Lab Part C'!$J$8752,NA())</f>
        <v/>
      </c>
    </row>
    <row r="8753">
      <c r="J8753">
        <f>IF(AND(ISNUMBER('Data'!$F$8754),'Data'!$F$8754&lt;&gt;999,'Data'!$F$8754&lt;&gt;""),'Data'!$F$8754,"")</f>
        <v/>
      </c>
      <c r="Z8753" t="n">
        <v>1</v>
      </c>
      <c r="AA8753">
        <f>IF(ISNUMBER('IN-CLASS_Lab Part C'!$J$8753),'IN-CLASS_Lab Part C'!$J$8753,NA())</f>
        <v/>
      </c>
    </row>
    <row r="8754">
      <c r="J8754">
        <f>IF(AND(ISNUMBER('Data'!$F$8755),'Data'!$F$8755&lt;&gt;999,'Data'!$F$8755&lt;&gt;""),'Data'!$F$8755,"")</f>
        <v/>
      </c>
      <c r="Z8754" t="n">
        <v>1</v>
      </c>
      <c r="AA8754">
        <f>IF(ISNUMBER('IN-CLASS_Lab Part C'!$J$8754),'IN-CLASS_Lab Part C'!$J$8754,NA())</f>
        <v/>
      </c>
    </row>
    <row r="8755">
      <c r="J8755">
        <f>IF(AND(ISNUMBER('Data'!$F$8756),'Data'!$F$8756&lt;&gt;999,'Data'!$F$8756&lt;&gt;""),'Data'!$F$8756,"")</f>
        <v/>
      </c>
      <c r="Z8755" t="n">
        <v>1</v>
      </c>
      <c r="AA8755">
        <f>IF(ISNUMBER('IN-CLASS_Lab Part C'!$J$8755),'IN-CLASS_Lab Part C'!$J$8755,NA())</f>
        <v/>
      </c>
    </row>
    <row r="8756">
      <c r="J8756">
        <f>IF(AND(ISNUMBER('Data'!$F$8757),'Data'!$F$8757&lt;&gt;999,'Data'!$F$8757&lt;&gt;""),'Data'!$F$8757,"")</f>
        <v/>
      </c>
      <c r="Z8756" t="n">
        <v>1</v>
      </c>
      <c r="AA8756">
        <f>IF(ISNUMBER('IN-CLASS_Lab Part C'!$J$8756),'IN-CLASS_Lab Part C'!$J$8756,NA())</f>
        <v/>
      </c>
    </row>
    <row r="8757">
      <c r="J8757">
        <f>IF(AND(ISNUMBER('Data'!$F$8758),'Data'!$F$8758&lt;&gt;999,'Data'!$F$8758&lt;&gt;""),'Data'!$F$8758,"")</f>
        <v/>
      </c>
      <c r="Z8757" t="n">
        <v>1</v>
      </c>
      <c r="AA8757">
        <f>IF(ISNUMBER('IN-CLASS_Lab Part C'!$J$8757),'IN-CLASS_Lab Part C'!$J$8757,NA())</f>
        <v/>
      </c>
    </row>
    <row r="8758">
      <c r="J8758">
        <f>IF(AND(ISNUMBER('Data'!$F$8759),'Data'!$F$8759&lt;&gt;999,'Data'!$F$8759&lt;&gt;""),'Data'!$F$8759,"")</f>
        <v/>
      </c>
      <c r="Z8758" t="n">
        <v>1</v>
      </c>
      <c r="AA8758">
        <f>IF(ISNUMBER('IN-CLASS_Lab Part C'!$J$8758),'IN-CLASS_Lab Part C'!$J$8758,NA())</f>
        <v/>
      </c>
    </row>
    <row r="8759">
      <c r="J8759">
        <f>IF(AND(ISNUMBER('Data'!$F$8760),'Data'!$F$8760&lt;&gt;999,'Data'!$F$8760&lt;&gt;""),'Data'!$F$8760,"")</f>
        <v/>
      </c>
      <c r="Z8759" t="n">
        <v>1</v>
      </c>
      <c r="AA8759">
        <f>IF(ISNUMBER('IN-CLASS_Lab Part C'!$J$8759),'IN-CLASS_Lab Part C'!$J$8759,NA())</f>
        <v/>
      </c>
    </row>
    <row r="8760">
      <c r="J8760">
        <f>IF(AND(ISNUMBER('Data'!$F$8761),'Data'!$F$8761&lt;&gt;999,'Data'!$F$8761&lt;&gt;""),'Data'!$F$8761,"")</f>
        <v/>
      </c>
      <c r="Z8760" t="n">
        <v>1</v>
      </c>
      <c r="AA8760">
        <f>IF(ISNUMBER('IN-CLASS_Lab Part C'!$J$8760),'IN-CLASS_Lab Part C'!$J$8760,NA())</f>
        <v/>
      </c>
    </row>
    <row r="8761">
      <c r="J8761">
        <f>IF(AND(ISNUMBER('Data'!$F$8762),'Data'!$F$8762&lt;&gt;999,'Data'!$F$8762&lt;&gt;""),'Data'!$F$8762,"")</f>
        <v/>
      </c>
      <c r="Z8761" t="n">
        <v>1</v>
      </c>
      <c r="AA8761">
        <f>IF(ISNUMBER('IN-CLASS_Lab Part C'!$J$8761),'IN-CLASS_Lab Part C'!$J$8761,NA())</f>
        <v/>
      </c>
    </row>
    <row r="8762">
      <c r="J8762">
        <f>IF(AND(ISNUMBER('Data'!$F$8763),'Data'!$F$8763&lt;&gt;999,'Data'!$F$8763&lt;&gt;""),'Data'!$F$8763,"")</f>
        <v/>
      </c>
      <c r="Z8762" t="n">
        <v>1</v>
      </c>
      <c r="AA8762">
        <f>IF(ISNUMBER('IN-CLASS_Lab Part C'!$J$8762),'IN-CLASS_Lab Part C'!$J$8762,NA())</f>
        <v/>
      </c>
    </row>
    <row r="8763">
      <c r="J8763">
        <f>IF(AND(ISNUMBER('Data'!$F$8764),'Data'!$F$8764&lt;&gt;999,'Data'!$F$8764&lt;&gt;""),'Data'!$F$8764,"")</f>
        <v/>
      </c>
      <c r="Z8763" t="n">
        <v>1</v>
      </c>
      <c r="AA8763">
        <f>IF(ISNUMBER('IN-CLASS_Lab Part C'!$J$8763),'IN-CLASS_Lab Part C'!$J$8763,NA())</f>
        <v/>
      </c>
    </row>
    <row r="8764">
      <c r="J8764">
        <f>IF(AND(ISNUMBER('Data'!$F$8765),'Data'!$F$8765&lt;&gt;999,'Data'!$F$8765&lt;&gt;""),'Data'!$F$8765,"")</f>
        <v/>
      </c>
      <c r="Z8764" t="n">
        <v>1</v>
      </c>
      <c r="AA8764">
        <f>IF(ISNUMBER('IN-CLASS_Lab Part C'!$J$8764),'IN-CLASS_Lab Part C'!$J$8764,NA())</f>
        <v/>
      </c>
    </row>
    <row r="8765">
      <c r="J8765">
        <f>IF(AND(ISNUMBER('Data'!$F$8766),'Data'!$F$8766&lt;&gt;999,'Data'!$F$8766&lt;&gt;""),'Data'!$F$8766,"")</f>
        <v/>
      </c>
      <c r="Z8765" t="n">
        <v>1</v>
      </c>
      <c r="AA8765">
        <f>IF(ISNUMBER('IN-CLASS_Lab Part C'!$J$8765),'IN-CLASS_Lab Part C'!$J$8765,NA())</f>
        <v/>
      </c>
    </row>
    <row r="8766">
      <c r="J8766">
        <f>IF(AND(ISNUMBER('Data'!$F$8767),'Data'!$F$8767&lt;&gt;999,'Data'!$F$8767&lt;&gt;""),'Data'!$F$8767,"")</f>
        <v/>
      </c>
      <c r="Z8766" t="n">
        <v>1</v>
      </c>
      <c r="AA8766">
        <f>IF(ISNUMBER('IN-CLASS_Lab Part C'!$J$8766),'IN-CLASS_Lab Part C'!$J$8766,NA())</f>
        <v/>
      </c>
    </row>
    <row r="8767">
      <c r="J8767">
        <f>IF(AND(ISNUMBER('Data'!$F$8768),'Data'!$F$8768&lt;&gt;999,'Data'!$F$8768&lt;&gt;""),'Data'!$F$8768,"")</f>
        <v/>
      </c>
      <c r="Z8767" t="n">
        <v>1</v>
      </c>
      <c r="AA8767">
        <f>IF(ISNUMBER('IN-CLASS_Lab Part C'!$J$8767),'IN-CLASS_Lab Part C'!$J$8767,NA())</f>
        <v/>
      </c>
    </row>
    <row r="8768">
      <c r="J8768">
        <f>IF(AND(ISNUMBER('Data'!$F$8769),'Data'!$F$8769&lt;&gt;999,'Data'!$F$8769&lt;&gt;""),'Data'!$F$8769,"")</f>
        <v/>
      </c>
      <c r="Z8768" t="n">
        <v>1</v>
      </c>
      <c r="AA8768">
        <f>IF(ISNUMBER('IN-CLASS_Lab Part C'!$J$8768),'IN-CLASS_Lab Part C'!$J$8768,NA())</f>
        <v/>
      </c>
    </row>
    <row r="8769">
      <c r="J8769">
        <f>IF(AND(ISNUMBER('Data'!$F$8770),'Data'!$F$8770&lt;&gt;999,'Data'!$F$8770&lt;&gt;""),'Data'!$F$8770,"")</f>
        <v/>
      </c>
      <c r="Z8769" t="n">
        <v>1</v>
      </c>
      <c r="AA8769">
        <f>IF(ISNUMBER('IN-CLASS_Lab Part C'!$J$8769),'IN-CLASS_Lab Part C'!$J$8769,NA())</f>
        <v/>
      </c>
    </row>
    <row r="8770">
      <c r="J8770">
        <f>IF(AND(ISNUMBER('Data'!$F$8771),'Data'!$F$8771&lt;&gt;999,'Data'!$F$8771&lt;&gt;""),'Data'!$F$8771,"")</f>
        <v/>
      </c>
      <c r="Z8770" t="n">
        <v>1</v>
      </c>
      <c r="AA8770">
        <f>IF(ISNUMBER('IN-CLASS_Lab Part C'!$J$8770),'IN-CLASS_Lab Part C'!$J$8770,NA())</f>
        <v/>
      </c>
    </row>
    <row r="8771">
      <c r="J8771">
        <f>IF(AND(ISNUMBER('Data'!$F$8772),'Data'!$F$8772&lt;&gt;999,'Data'!$F$8772&lt;&gt;""),'Data'!$F$8772,"")</f>
        <v/>
      </c>
      <c r="Z8771" t="n">
        <v>1</v>
      </c>
      <c r="AA8771">
        <f>IF(ISNUMBER('IN-CLASS_Lab Part C'!$J$8771),'IN-CLASS_Lab Part C'!$J$8771,NA())</f>
        <v/>
      </c>
    </row>
    <row r="8772">
      <c r="J8772">
        <f>IF(AND(ISNUMBER('Data'!$F$8773),'Data'!$F$8773&lt;&gt;999,'Data'!$F$8773&lt;&gt;""),'Data'!$F$8773,"")</f>
        <v/>
      </c>
      <c r="Z8772" t="n">
        <v>1</v>
      </c>
      <c r="AA8772">
        <f>IF(ISNUMBER('IN-CLASS_Lab Part C'!$J$8772),'IN-CLASS_Lab Part C'!$J$8772,NA())</f>
        <v/>
      </c>
    </row>
    <row r="8773">
      <c r="J8773">
        <f>IF(AND(ISNUMBER('Data'!$F$8774),'Data'!$F$8774&lt;&gt;999,'Data'!$F$8774&lt;&gt;""),'Data'!$F$8774,"")</f>
        <v/>
      </c>
      <c r="Z8773" t="n">
        <v>1</v>
      </c>
      <c r="AA8773">
        <f>IF(ISNUMBER('IN-CLASS_Lab Part C'!$J$8773),'IN-CLASS_Lab Part C'!$J$8773,NA())</f>
        <v/>
      </c>
    </row>
    <row r="8774">
      <c r="J8774">
        <f>IF(AND(ISNUMBER('Data'!$F$8775),'Data'!$F$8775&lt;&gt;999,'Data'!$F$8775&lt;&gt;""),'Data'!$F$8775,"")</f>
        <v/>
      </c>
      <c r="Z8774" t="n">
        <v>1</v>
      </c>
      <c r="AA8774">
        <f>IF(ISNUMBER('IN-CLASS_Lab Part C'!$J$8774),'IN-CLASS_Lab Part C'!$J$8774,NA())</f>
        <v/>
      </c>
    </row>
    <row r="8775">
      <c r="J8775">
        <f>IF(AND(ISNUMBER('Data'!$F$8776),'Data'!$F$8776&lt;&gt;999,'Data'!$F$8776&lt;&gt;""),'Data'!$F$8776,"")</f>
        <v/>
      </c>
      <c r="Z8775" t="n">
        <v>1</v>
      </c>
      <c r="AA8775">
        <f>IF(ISNUMBER('IN-CLASS_Lab Part C'!$J$8775),'IN-CLASS_Lab Part C'!$J$8775,NA())</f>
        <v/>
      </c>
    </row>
    <row r="8776">
      <c r="J8776">
        <f>IF(AND(ISNUMBER('Data'!$F$8777),'Data'!$F$8777&lt;&gt;999,'Data'!$F$8777&lt;&gt;""),'Data'!$F$8777,"")</f>
        <v/>
      </c>
      <c r="Z8776" t="n">
        <v>1</v>
      </c>
      <c r="AA8776">
        <f>IF(ISNUMBER('IN-CLASS_Lab Part C'!$J$8776),'IN-CLASS_Lab Part C'!$J$8776,NA())</f>
        <v/>
      </c>
    </row>
    <row r="8777">
      <c r="J8777">
        <f>IF(AND(ISNUMBER('Data'!$F$8778),'Data'!$F$8778&lt;&gt;999,'Data'!$F$8778&lt;&gt;""),'Data'!$F$8778,"")</f>
        <v/>
      </c>
      <c r="Z8777" t="n">
        <v>1</v>
      </c>
      <c r="AA8777">
        <f>IF(ISNUMBER('IN-CLASS_Lab Part C'!$J$8777),'IN-CLASS_Lab Part C'!$J$8777,NA())</f>
        <v/>
      </c>
    </row>
    <row r="8778">
      <c r="J8778">
        <f>IF(AND(ISNUMBER('Data'!$F$8779),'Data'!$F$8779&lt;&gt;999,'Data'!$F$8779&lt;&gt;""),'Data'!$F$8779,"")</f>
        <v/>
      </c>
      <c r="Z8778" t="n">
        <v>1</v>
      </c>
      <c r="AA8778">
        <f>IF(ISNUMBER('IN-CLASS_Lab Part C'!$J$8778),'IN-CLASS_Lab Part C'!$J$8778,NA())</f>
        <v/>
      </c>
    </row>
    <row r="8779">
      <c r="J8779">
        <f>IF(AND(ISNUMBER('Data'!$F$8780),'Data'!$F$8780&lt;&gt;999,'Data'!$F$8780&lt;&gt;""),'Data'!$F$8780,"")</f>
        <v/>
      </c>
      <c r="Z8779" t="n">
        <v>1</v>
      </c>
      <c r="AA8779">
        <f>IF(ISNUMBER('IN-CLASS_Lab Part C'!$J$8779),'IN-CLASS_Lab Part C'!$J$8779,NA())</f>
        <v/>
      </c>
    </row>
    <row r="8780">
      <c r="J8780">
        <f>IF(AND(ISNUMBER('Data'!$F$8781),'Data'!$F$8781&lt;&gt;999,'Data'!$F$8781&lt;&gt;""),'Data'!$F$8781,"")</f>
        <v/>
      </c>
      <c r="Z8780" t="n">
        <v>1</v>
      </c>
      <c r="AA8780">
        <f>IF(ISNUMBER('IN-CLASS_Lab Part C'!$J$8780),'IN-CLASS_Lab Part C'!$J$8780,NA())</f>
        <v/>
      </c>
    </row>
    <row r="8781">
      <c r="J8781">
        <f>IF(AND(ISNUMBER('Data'!$F$8782),'Data'!$F$8782&lt;&gt;999,'Data'!$F$8782&lt;&gt;""),'Data'!$F$8782,"")</f>
        <v/>
      </c>
      <c r="Z8781" t="n">
        <v>1</v>
      </c>
      <c r="AA8781">
        <f>IF(ISNUMBER('IN-CLASS_Lab Part C'!$J$8781),'IN-CLASS_Lab Part C'!$J$8781,NA())</f>
        <v/>
      </c>
    </row>
    <row r="8782">
      <c r="J8782">
        <f>IF(AND(ISNUMBER('Data'!$F$8783),'Data'!$F$8783&lt;&gt;999,'Data'!$F$8783&lt;&gt;""),'Data'!$F$8783,"")</f>
        <v/>
      </c>
      <c r="Z8782" t="n">
        <v>1</v>
      </c>
      <c r="AA8782">
        <f>IF(ISNUMBER('IN-CLASS_Lab Part C'!$J$8782),'IN-CLASS_Lab Part C'!$J$8782,NA())</f>
        <v/>
      </c>
    </row>
    <row r="8783">
      <c r="J8783">
        <f>IF(AND(ISNUMBER('Data'!$F$8784),'Data'!$F$8784&lt;&gt;999,'Data'!$F$8784&lt;&gt;""),'Data'!$F$8784,"")</f>
        <v/>
      </c>
      <c r="Z8783" t="n">
        <v>1</v>
      </c>
      <c r="AA8783">
        <f>IF(ISNUMBER('IN-CLASS_Lab Part C'!$J$8783),'IN-CLASS_Lab Part C'!$J$8783,NA())</f>
        <v/>
      </c>
    </row>
    <row r="8784">
      <c r="J8784">
        <f>IF(AND(ISNUMBER('Data'!$F$8785),'Data'!$F$8785&lt;&gt;999,'Data'!$F$8785&lt;&gt;""),'Data'!$F$8785,"")</f>
        <v/>
      </c>
      <c r="Z8784" t="n">
        <v>1</v>
      </c>
      <c r="AA8784">
        <f>IF(ISNUMBER('IN-CLASS_Lab Part C'!$J$8784),'IN-CLASS_Lab Part C'!$J$8784,NA())</f>
        <v/>
      </c>
    </row>
    <row r="8785">
      <c r="J8785">
        <f>IF(AND(ISNUMBER('Data'!$F$8786),'Data'!$F$8786&lt;&gt;999,'Data'!$F$8786&lt;&gt;""),'Data'!$F$8786,"")</f>
        <v/>
      </c>
      <c r="Z8785" t="n">
        <v>1</v>
      </c>
      <c r="AA8785">
        <f>IF(ISNUMBER('IN-CLASS_Lab Part C'!$J$8785),'IN-CLASS_Lab Part C'!$J$8785,NA())</f>
        <v/>
      </c>
    </row>
    <row r="8786">
      <c r="J8786">
        <f>IF(AND(ISNUMBER('Data'!$F$8787),'Data'!$F$8787&lt;&gt;999,'Data'!$F$8787&lt;&gt;""),'Data'!$F$8787,"")</f>
        <v/>
      </c>
      <c r="Z8786" t="n">
        <v>1</v>
      </c>
      <c r="AA8786">
        <f>IF(ISNUMBER('IN-CLASS_Lab Part C'!$J$8786),'IN-CLASS_Lab Part C'!$J$8786,NA())</f>
        <v/>
      </c>
    </row>
    <row r="8787">
      <c r="J8787">
        <f>IF(AND(ISNUMBER('Data'!$F$8788),'Data'!$F$8788&lt;&gt;999,'Data'!$F$8788&lt;&gt;""),'Data'!$F$8788,"")</f>
        <v/>
      </c>
      <c r="Z8787" t="n">
        <v>1</v>
      </c>
      <c r="AA8787">
        <f>IF(ISNUMBER('IN-CLASS_Lab Part C'!$J$8787),'IN-CLASS_Lab Part C'!$J$8787,NA())</f>
        <v/>
      </c>
    </row>
    <row r="8788">
      <c r="J8788">
        <f>IF(AND(ISNUMBER('Data'!$F$8789),'Data'!$F$8789&lt;&gt;999,'Data'!$F$8789&lt;&gt;""),'Data'!$F$8789,"")</f>
        <v/>
      </c>
      <c r="Z8788" t="n">
        <v>1</v>
      </c>
      <c r="AA8788">
        <f>IF(ISNUMBER('IN-CLASS_Lab Part C'!$J$8788),'IN-CLASS_Lab Part C'!$J$8788,NA())</f>
        <v/>
      </c>
    </row>
    <row r="8789">
      <c r="J8789">
        <f>IF(AND(ISNUMBER('Data'!$F$8790),'Data'!$F$8790&lt;&gt;999,'Data'!$F$8790&lt;&gt;""),'Data'!$F$8790,"")</f>
        <v/>
      </c>
      <c r="Z8789" t="n">
        <v>1</v>
      </c>
      <c r="AA8789">
        <f>IF(ISNUMBER('IN-CLASS_Lab Part C'!$J$8789),'IN-CLASS_Lab Part C'!$J$8789,NA())</f>
        <v/>
      </c>
    </row>
    <row r="8790">
      <c r="J8790">
        <f>IF(AND(ISNUMBER('Data'!$F$8791),'Data'!$F$8791&lt;&gt;999,'Data'!$F$8791&lt;&gt;""),'Data'!$F$8791,"")</f>
        <v/>
      </c>
      <c r="Z8790" t="n">
        <v>1</v>
      </c>
      <c r="AA8790">
        <f>IF(ISNUMBER('IN-CLASS_Lab Part C'!$J$8790),'IN-CLASS_Lab Part C'!$J$8790,NA())</f>
        <v/>
      </c>
    </row>
    <row r="8791">
      <c r="J8791">
        <f>IF(AND(ISNUMBER('Data'!$F$8792),'Data'!$F$8792&lt;&gt;999,'Data'!$F$8792&lt;&gt;""),'Data'!$F$8792,"")</f>
        <v/>
      </c>
      <c r="Z8791" t="n">
        <v>1</v>
      </c>
      <c r="AA8791">
        <f>IF(ISNUMBER('IN-CLASS_Lab Part C'!$J$8791),'IN-CLASS_Lab Part C'!$J$8791,NA())</f>
        <v/>
      </c>
    </row>
    <row r="8792">
      <c r="J8792">
        <f>IF(AND(ISNUMBER('Data'!$F$8793),'Data'!$F$8793&lt;&gt;999,'Data'!$F$8793&lt;&gt;""),'Data'!$F$8793,"")</f>
        <v/>
      </c>
      <c r="Z8792" t="n">
        <v>1</v>
      </c>
      <c r="AA8792">
        <f>IF(ISNUMBER('IN-CLASS_Lab Part C'!$J$8792),'IN-CLASS_Lab Part C'!$J$8792,NA())</f>
        <v/>
      </c>
    </row>
    <row r="8793">
      <c r="J8793">
        <f>IF(AND(ISNUMBER('Data'!$F$8794),'Data'!$F$8794&lt;&gt;999,'Data'!$F$8794&lt;&gt;""),'Data'!$F$8794,"")</f>
        <v/>
      </c>
      <c r="Z8793" t="n">
        <v>1</v>
      </c>
      <c r="AA8793">
        <f>IF(ISNUMBER('IN-CLASS_Lab Part C'!$J$8793),'IN-CLASS_Lab Part C'!$J$8793,NA())</f>
        <v/>
      </c>
    </row>
    <row r="8794">
      <c r="J8794">
        <f>IF(AND(ISNUMBER('Data'!$F$8795),'Data'!$F$8795&lt;&gt;999,'Data'!$F$8795&lt;&gt;""),'Data'!$F$8795,"")</f>
        <v/>
      </c>
      <c r="Z8794" t="n">
        <v>1</v>
      </c>
      <c r="AA8794">
        <f>IF(ISNUMBER('IN-CLASS_Lab Part C'!$J$8794),'IN-CLASS_Lab Part C'!$J$8794,NA())</f>
        <v/>
      </c>
    </row>
    <row r="8795">
      <c r="J8795">
        <f>IF(AND(ISNUMBER('Data'!$F$8796),'Data'!$F$8796&lt;&gt;999,'Data'!$F$8796&lt;&gt;""),'Data'!$F$8796,"")</f>
        <v/>
      </c>
      <c r="Z8795" t="n">
        <v>1</v>
      </c>
      <c r="AA8795">
        <f>IF(ISNUMBER('IN-CLASS_Lab Part C'!$J$8795),'IN-CLASS_Lab Part C'!$J$8795,NA())</f>
        <v/>
      </c>
    </row>
    <row r="8796">
      <c r="J8796">
        <f>IF(AND(ISNUMBER('Data'!$F$8797),'Data'!$F$8797&lt;&gt;999,'Data'!$F$8797&lt;&gt;""),'Data'!$F$8797,"")</f>
        <v/>
      </c>
      <c r="Z8796" t="n">
        <v>1</v>
      </c>
      <c r="AA8796">
        <f>IF(ISNUMBER('IN-CLASS_Lab Part C'!$J$8796),'IN-CLASS_Lab Part C'!$J$8796,NA())</f>
        <v/>
      </c>
    </row>
    <row r="8797">
      <c r="J8797">
        <f>IF(AND(ISNUMBER('Data'!$F$8798),'Data'!$F$8798&lt;&gt;999,'Data'!$F$8798&lt;&gt;""),'Data'!$F$8798,"")</f>
        <v/>
      </c>
      <c r="Z8797" t="n">
        <v>1</v>
      </c>
      <c r="AA8797">
        <f>IF(ISNUMBER('IN-CLASS_Lab Part C'!$J$8797),'IN-CLASS_Lab Part C'!$J$8797,NA())</f>
        <v/>
      </c>
    </row>
    <row r="8798">
      <c r="J8798">
        <f>IF(AND(ISNUMBER('Data'!$F$8799),'Data'!$F$8799&lt;&gt;999,'Data'!$F$8799&lt;&gt;""),'Data'!$F$8799,"")</f>
        <v/>
      </c>
      <c r="Z8798" t="n">
        <v>1</v>
      </c>
      <c r="AA8798">
        <f>IF(ISNUMBER('IN-CLASS_Lab Part C'!$J$8798),'IN-CLASS_Lab Part C'!$J$8798,NA())</f>
        <v/>
      </c>
    </row>
    <row r="8799">
      <c r="J8799">
        <f>IF(AND(ISNUMBER('Data'!$F$8800),'Data'!$F$8800&lt;&gt;999,'Data'!$F$8800&lt;&gt;""),'Data'!$F$8800,"")</f>
        <v/>
      </c>
      <c r="Z8799" t="n">
        <v>1</v>
      </c>
      <c r="AA8799">
        <f>IF(ISNUMBER('IN-CLASS_Lab Part C'!$J$8799),'IN-CLASS_Lab Part C'!$J$8799,NA())</f>
        <v/>
      </c>
    </row>
    <row r="8800">
      <c r="J8800">
        <f>IF(AND(ISNUMBER('Data'!$F$8801),'Data'!$F$8801&lt;&gt;999,'Data'!$F$8801&lt;&gt;""),'Data'!$F$8801,"")</f>
        <v/>
      </c>
      <c r="Z8800" t="n">
        <v>1</v>
      </c>
      <c r="AA8800">
        <f>IF(ISNUMBER('IN-CLASS_Lab Part C'!$J$8800),'IN-CLASS_Lab Part C'!$J$8800,NA())</f>
        <v/>
      </c>
    </row>
    <row r="8801">
      <c r="J8801">
        <f>IF(AND(ISNUMBER('Data'!$F$8802),'Data'!$F$8802&lt;&gt;999,'Data'!$F$8802&lt;&gt;""),'Data'!$F$8802,"")</f>
        <v/>
      </c>
      <c r="Z8801" t="n">
        <v>1</v>
      </c>
      <c r="AA8801">
        <f>IF(ISNUMBER('IN-CLASS_Lab Part C'!$J$8801),'IN-CLASS_Lab Part C'!$J$8801,NA())</f>
        <v/>
      </c>
    </row>
    <row r="8802">
      <c r="J8802">
        <f>IF(AND(ISNUMBER('Data'!$F$8803),'Data'!$F$8803&lt;&gt;999,'Data'!$F$8803&lt;&gt;""),'Data'!$F$8803,"")</f>
        <v/>
      </c>
      <c r="Z8802" t="n">
        <v>1</v>
      </c>
      <c r="AA8802">
        <f>IF(ISNUMBER('IN-CLASS_Lab Part C'!$J$8802),'IN-CLASS_Lab Part C'!$J$8802,NA())</f>
        <v/>
      </c>
    </row>
    <row r="8803">
      <c r="J8803">
        <f>IF(AND(ISNUMBER('Data'!$F$8804),'Data'!$F$8804&lt;&gt;999,'Data'!$F$8804&lt;&gt;""),'Data'!$F$8804,"")</f>
        <v/>
      </c>
      <c r="Z8803" t="n">
        <v>1</v>
      </c>
      <c r="AA8803">
        <f>IF(ISNUMBER('IN-CLASS_Lab Part C'!$J$8803),'IN-CLASS_Lab Part C'!$J$8803,NA())</f>
        <v/>
      </c>
    </row>
    <row r="8804">
      <c r="J8804">
        <f>IF(AND(ISNUMBER('Data'!$F$8805),'Data'!$F$8805&lt;&gt;999,'Data'!$F$8805&lt;&gt;""),'Data'!$F$8805,"")</f>
        <v/>
      </c>
      <c r="Z8804" t="n">
        <v>1</v>
      </c>
      <c r="AA8804">
        <f>IF(ISNUMBER('IN-CLASS_Lab Part C'!$J$8804),'IN-CLASS_Lab Part C'!$J$8804,NA())</f>
        <v/>
      </c>
    </row>
    <row r="8805">
      <c r="J8805">
        <f>IF(AND(ISNUMBER('Data'!$F$8806),'Data'!$F$8806&lt;&gt;999,'Data'!$F$8806&lt;&gt;""),'Data'!$F$8806,"")</f>
        <v/>
      </c>
      <c r="Z8805" t="n">
        <v>1</v>
      </c>
      <c r="AA8805">
        <f>IF(ISNUMBER('IN-CLASS_Lab Part C'!$J$8805),'IN-CLASS_Lab Part C'!$J$8805,NA())</f>
        <v/>
      </c>
    </row>
    <row r="8806">
      <c r="J8806">
        <f>IF(AND(ISNUMBER('Data'!$F$8807),'Data'!$F$8807&lt;&gt;999,'Data'!$F$8807&lt;&gt;""),'Data'!$F$8807,"")</f>
        <v/>
      </c>
      <c r="Z8806" t="n">
        <v>1</v>
      </c>
      <c r="AA8806">
        <f>IF(ISNUMBER('IN-CLASS_Lab Part C'!$J$8806),'IN-CLASS_Lab Part C'!$J$8806,NA())</f>
        <v/>
      </c>
    </row>
    <row r="8807">
      <c r="J8807">
        <f>IF(AND(ISNUMBER('Data'!$F$8808),'Data'!$F$8808&lt;&gt;999,'Data'!$F$8808&lt;&gt;""),'Data'!$F$8808,"")</f>
        <v/>
      </c>
      <c r="Z8807" t="n">
        <v>1</v>
      </c>
      <c r="AA8807">
        <f>IF(ISNUMBER('IN-CLASS_Lab Part C'!$J$8807),'IN-CLASS_Lab Part C'!$J$8807,NA())</f>
        <v/>
      </c>
    </row>
    <row r="8808">
      <c r="J8808">
        <f>IF(AND(ISNUMBER('Data'!$F$8809),'Data'!$F$8809&lt;&gt;999,'Data'!$F$8809&lt;&gt;""),'Data'!$F$8809,"")</f>
        <v/>
      </c>
      <c r="Z8808" t="n">
        <v>1</v>
      </c>
      <c r="AA8808">
        <f>IF(ISNUMBER('IN-CLASS_Lab Part C'!$J$8808),'IN-CLASS_Lab Part C'!$J$8808,NA())</f>
        <v/>
      </c>
    </row>
    <row r="8809">
      <c r="J8809">
        <f>IF(AND(ISNUMBER('Data'!$F$8810),'Data'!$F$8810&lt;&gt;999,'Data'!$F$8810&lt;&gt;""),'Data'!$F$8810,"")</f>
        <v/>
      </c>
      <c r="Z8809" t="n">
        <v>1</v>
      </c>
      <c r="AA8809">
        <f>IF(ISNUMBER('IN-CLASS_Lab Part C'!$J$8809),'IN-CLASS_Lab Part C'!$J$8809,NA())</f>
        <v/>
      </c>
    </row>
    <row r="8810">
      <c r="J8810">
        <f>IF(AND(ISNUMBER('Data'!$F$8811),'Data'!$F$8811&lt;&gt;999,'Data'!$F$8811&lt;&gt;""),'Data'!$F$8811,"")</f>
        <v/>
      </c>
      <c r="Z8810" t="n">
        <v>1</v>
      </c>
      <c r="AA8810">
        <f>IF(ISNUMBER('IN-CLASS_Lab Part C'!$J$8810),'IN-CLASS_Lab Part C'!$J$8810,NA())</f>
        <v/>
      </c>
    </row>
    <row r="8811">
      <c r="J8811">
        <f>IF(AND(ISNUMBER('Data'!$F$8812),'Data'!$F$8812&lt;&gt;999,'Data'!$F$8812&lt;&gt;""),'Data'!$F$8812,"")</f>
        <v/>
      </c>
      <c r="Z8811" t="n">
        <v>1</v>
      </c>
      <c r="AA8811">
        <f>IF(ISNUMBER('IN-CLASS_Lab Part C'!$J$8811),'IN-CLASS_Lab Part C'!$J$8811,NA())</f>
        <v/>
      </c>
    </row>
    <row r="8812">
      <c r="J8812">
        <f>IF(AND(ISNUMBER('Data'!$F$8813),'Data'!$F$8813&lt;&gt;999,'Data'!$F$8813&lt;&gt;""),'Data'!$F$8813,"")</f>
        <v/>
      </c>
      <c r="Z8812" t="n">
        <v>1</v>
      </c>
      <c r="AA8812">
        <f>IF(ISNUMBER('IN-CLASS_Lab Part C'!$J$8812),'IN-CLASS_Lab Part C'!$J$8812,NA())</f>
        <v/>
      </c>
    </row>
    <row r="8813">
      <c r="J8813">
        <f>IF(AND(ISNUMBER('Data'!$F$8814),'Data'!$F$8814&lt;&gt;999,'Data'!$F$8814&lt;&gt;""),'Data'!$F$8814,"")</f>
        <v/>
      </c>
      <c r="Z8813" t="n">
        <v>1</v>
      </c>
      <c r="AA8813">
        <f>IF(ISNUMBER('IN-CLASS_Lab Part C'!$J$8813),'IN-CLASS_Lab Part C'!$J$8813,NA())</f>
        <v/>
      </c>
    </row>
    <row r="8814">
      <c r="J8814">
        <f>IF(AND(ISNUMBER('Data'!$F$8815),'Data'!$F$8815&lt;&gt;999,'Data'!$F$8815&lt;&gt;""),'Data'!$F$8815,"")</f>
        <v/>
      </c>
      <c r="Z8814" t="n">
        <v>1</v>
      </c>
      <c r="AA8814">
        <f>IF(ISNUMBER('IN-CLASS_Lab Part C'!$J$8814),'IN-CLASS_Lab Part C'!$J$8814,NA())</f>
        <v/>
      </c>
    </row>
    <row r="8815">
      <c r="J8815">
        <f>IF(AND(ISNUMBER('Data'!$F$8816),'Data'!$F$8816&lt;&gt;999,'Data'!$F$8816&lt;&gt;""),'Data'!$F$8816,"")</f>
        <v/>
      </c>
      <c r="Z8815" t="n">
        <v>1</v>
      </c>
      <c r="AA8815">
        <f>IF(ISNUMBER('IN-CLASS_Lab Part C'!$J$8815),'IN-CLASS_Lab Part C'!$J$8815,NA())</f>
        <v/>
      </c>
    </row>
    <row r="8816">
      <c r="J8816">
        <f>IF(AND(ISNUMBER('Data'!$F$8817),'Data'!$F$8817&lt;&gt;999,'Data'!$F$8817&lt;&gt;""),'Data'!$F$8817,"")</f>
        <v/>
      </c>
      <c r="Z8816" t="n">
        <v>1</v>
      </c>
      <c r="AA8816">
        <f>IF(ISNUMBER('IN-CLASS_Lab Part C'!$J$8816),'IN-CLASS_Lab Part C'!$J$8816,NA())</f>
        <v/>
      </c>
    </row>
    <row r="8817">
      <c r="J8817">
        <f>IF(AND(ISNUMBER('Data'!$F$8818),'Data'!$F$8818&lt;&gt;999,'Data'!$F$8818&lt;&gt;""),'Data'!$F$8818,"")</f>
        <v/>
      </c>
      <c r="Z8817" t="n">
        <v>1</v>
      </c>
      <c r="AA8817">
        <f>IF(ISNUMBER('IN-CLASS_Lab Part C'!$J$8817),'IN-CLASS_Lab Part C'!$J$8817,NA())</f>
        <v/>
      </c>
    </row>
    <row r="8818">
      <c r="J8818">
        <f>IF(AND(ISNUMBER('Data'!$F$8819),'Data'!$F$8819&lt;&gt;999,'Data'!$F$8819&lt;&gt;""),'Data'!$F$8819,"")</f>
        <v/>
      </c>
      <c r="Z8818" t="n">
        <v>1</v>
      </c>
      <c r="AA8818">
        <f>IF(ISNUMBER('IN-CLASS_Lab Part C'!$J$8818),'IN-CLASS_Lab Part C'!$J$8818,NA())</f>
        <v/>
      </c>
    </row>
    <row r="8819">
      <c r="J8819">
        <f>IF(AND(ISNUMBER('Data'!$F$8820),'Data'!$F$8820&lt;&gt;999,'Data'!$F$8820&lt;&gt;""),'Data'!$F$8820,"")</f>
        <v/>
      </c>
      <c r="Z8819" t="n">
        <v>1</v>
      </c>
      <c r="AA8819">
        <f>IF(ISNUMBER('IN-CLASS_Lab Part C'!$J$8819),'IN-CLASS_Lab Part C'!$J$8819,NA())</f>
        <v/>
      </c>
    </row>
    <row r="8820">
      <c r="J8820">
        <f>IF(AND(ISNUMBER('Data'!$F$8821),'Data'!$F$8821&lt;&gt;999,'Data'!$F$8821&lt;&gt;""),'Data'!$F$8821,"")</f>
        <v/>
      </c>
      <c r="Z8820" t="n">
        <v>1</v>
      </c>
      <c r="AA8820">
        <f>IF(ISNUMBER('IN-CLASS_Lab Part C'!$J$8820),'IN-CLASS_Lab Part C'!$J$8820,NA())</f>
        <v/>
      </c>
    </row>
    <row r="8821">
      <c r="J8821">
        <f>IF(AND(ISNUMBER('Data'!$F$8822),'Data'!$F$8822&lt;&gt;999,'Data'!$F$8822&lt;&gt;""),'Data'!$F$8822,"")</f>
        <v/>
      </c>
      <c r="Z8821" t="n">
        <v>1</v>
      </c>
      <c r="AA8821">
        <f>IF(ISNUMBER('IN-CLASS_Lab Part C'!$J$8821),'IN-CLASS_Lab Part C'!$J$8821,NA())</f>
        <v/>
      </c>
    </row>
    <row r="8822">
      <c r="J8822">
        <f>IF(AND(ISNUMBER('Data'!$F$8823),'Data'!$F$8823&lt;&gt;999,'Data'!$F$8823&lt;&gt;""),'Data'!$F$8823,"")</f>
        <v/>
      </c>
      <c r="Z8822" t="n">
        <v>1</v>
      </c>
      <c r="AA8822">
        <f>IF(ISNUMBER('IN-CLASS_Lab Part C'!$J$8822),'IN-CLASS_Lab Part C'!$J$8822,NA())</f>
        <v/>
      </c>
    </row>
    <row r="8823">
      <c r="J8823">
        <f>IF(AND(ISNUMBER('Data'!$F$8824),'Data'!$F$8824&lt;&gt;999,'Data'!$F$8824&lt;&gt;""),'Data'!$F$8824,"")</f>
        <v/>
      </c>
      <c r="Z8823" t="n">
        <v>1</v>
      </c>
      <c r="AA8823">
        <f>IF(ISNUMBER('IN-CLASS_Lab Part C'!$J$8823),'IN-CLASS_Lab Part C'!$J$8823,NA())</f>
        <v/>
      </c>
    </row>
    <row r="8824">
      <c r="J8824">
        <f>IF(AND(ISNUMBER('Data'!$F$8825),'Data'!$F$8825&lt;&gt;999,'Data'!$F$8825&lt;&gt;""),'Data'!$F$8825,"")</f>
        <v/>
      </c>
      <c r="Z8824" t="n">
        <v>1</v>
      </c>
      <c r="AA8824">
        <f>IF(ISNUMBER('IN-CLASS_Lab Part C'!$J$8824),'IN-CLASS_Lab Part C'!$J$8824,NA())</f>
        <v/>
      </c>
    </row>
    <row r="8825">
      <c r="J8825">
        <f>IF(AND(ISNUMBER('Data'!$F$8826),'Data'!$F$8826&lt;&gt;999,'Data'!$F$8826&lt;&gt;""),'Data'!$F$8826,"")</f>
        <v/>
      </c>
      <c r="Z8825" t="n">
        <v>1</v>
      </c>
      <c r="AA8825">
        <f>IF(ISNUMBER('IN-CLASS_Lab Part C'!$J$8825),'IN-CLASS_Lab Part C'!$J$8825,NA())</f>
        <v/>
      </c>
    </row>
    <row r="8826">
      <c r="J8826">
        <f>IF(AND(ISNUMBER('Data'!$F$8827),'Data'!$F$8827&lt;&gt;999,'Data'!$F$8827&lt;&gt;""),'Data'!$F$8827,"")</f>
        <v/>
      </c>
      <c r="Z8826" t="n">
        <v>1</v>
      </c>
      <c r="AA8826">
        <f>IF(ISNUMBER('IN-CLASS_Lab Part C'!$J$8826),'IN-CLASS_Lab Part C'!$J$8826,NA())</f>
        <v/>
      </c>
    </row>
    <row r="8827">
      <c r="J8827">
        <f>IF(AND(ISNUMBER('Data'!$F$8828),'Data'!$F$8828&lt;&gt;999,'Data'!$F$8828&lt;&gt;""),'Data'!$F$8828,"")</f>
        <v/>
      </c>
      <c r="Z8827" t="n">
        <v>1</v>
      </c>
      <c r="AA8827">
        <f>IF(ISNUMBER('IN-CLASS_Lab Part C'!$J$8827),'IN-CLASS_Lab Part C'!$J$8827,NA())</f>
        <v/>
      </c>
    </row>
    <row r="8828">
      <c r="J8828">
        <f>IF(AND(ISNUMBER('Data'!$F$8829),'Data'!$F$8829&lt;&gt;999,'Data'!$F$8829&lt;&gt;""),'Data'!$F$8829,"")</f>
        <v/>
      </c>
      <c r="Z8828" t="n">
        <v>1</v>
      </c>
      <c r="AA8828">
        <f>IF(ISNUMBER('IN-CLASS_Lab Part C'!$J$8828),'IN-CLASS_Lab Part C'!$J$8828,NA())</f>
        <v/>
      </c>
    </row>
    <row r="8829">
      <c r="J8829">
        <f>IF(AND(ISNUMBER('Data'!$F$8830),'Data'!$F$8830&lt;&gt;999,'Data'!$F$8830&lt;&gt;""),'Data'!$F$8830,"")</f>
        <v/>
      </c>
      <c r="Z8829" t="n">
        <v>1</v>
      </c>
      <c r="AA8829">
        <f>IF(ISNUMBER('IN-CLASS_Lab Part C'!$J$8829),'IN-CLASS_Lab Part C'!$J$8829,NA())</f>
        <v/>
      </c>
    </row>
    <row r="8830">
      <c r="J8830">
        <f>IF(AND(ISNUMBER('Data'!$F$8831),'Data'!$F$8831&lt;&gt;999,'Data'!$F$8831&lt;&gt;""),'Data'!$F$8831,"")</f>
        <v/>
      </c>
      <c r="Z8830" t="n">
        <v>1</v>
      </c>
      <c r="AA8830">
        <f>IF(ISNUMBER('IN-CLASS_Lab Part C'!$J$8830),'IN-CLASS_Lab Part C'!$J$8830,NA())</f>
        <v/>
      </c>
    </row>
    <row r="8831">
      <c r="J8831">
        <f>IF(AND(ISNUMBER('Data'!$F$8832),'Data'!$F$8832&lt;&gt;999,'Data'!$F$8832&lt;&gt;""),'Data'!$F$8832,"")</f>
        <v/>
      </c>
      <c r="Z8831" t="n">
        <v>1</v>
      </c>
      <c r="AA8831">
        <f>IF(ISNUMBER('IN-CLASS_Lab Part C'!$J$8831),'IN-CLASS_Lab Part C'!$J$8831,NA())</f>
        <v/>
      </c>
    </row>
    <row r="8832">
      <c r="J8832">
        <f>IF(AND(ISNUMBER('Data'!$F$8833),'Data'!$F$8833&lt;&gt;999,'Data'!$F$8833&lt;&gt;""),'Data'!$F$8833,"")</f>
        <v/>
      </c>
      <c r="Z8832" t="n">
        <v>1</v>
      </c>
      <c r="AA8832">
        <f>IF(ISNUMBER('IN-CLASS_Lab Part C'!$J$8832),'IN-CLASS_Lab Part C'!$J$8832,NA())</f>
        <v/>
      </c>
    </row>
    <row r="8833">
      <c r="J8833">
        <f>IF(AND(ISNUMBER('Data'!$F$8834),'Data'!$F$8834&lt;&gt;999,'Data'!$F$8834&lt;&gt;""),'Data'!$F$8834,"")</f>
        <v/>
      </c>
      <c r="Z8833" t="n">
        <v>1</v>
      </c>
      <c r="AA8833">
        <f>IF(ISNUMBER('IN-CLASS_Lab Part C'!$J$8833),'IN-CLASS_Lab Part C'!$J$8833,NA())</f>
        <v/>
      </c>
    </row>
    <row r="8834">
      <c r="J8834">
        <f>IF(AND(ISNUMBER('Data'!$F$8835),'Data'!$F$8835&lt;&gt;999,'Data'!$F$8835&lt;&gt;""),'Data'!$F$8835,"")</f>
        <v/>
      </c>
      <c r="Z8834" t="n">
        <v>1</v>
      </c>
      <c r="AA8834">
        <f>IF(ISNUMBER('IN-CLASS_Lab Part C'!$J$8834),'IN-CLASS_Lab Part C'!$J$8834,NA())</f>
        <v/>
      </c>
    </row>
    <row r="8835">
      <c r="J8835">
        <f>IF(AND(ISNUMBER('Data'!$F$8836),'Data'!$F$8836&lt;&gt;999,'Data'!$F$8836&lt;&gt;""),'Data'!$F$8836,"")</f>
        <v/>
      </c>
      <c r="Z8835" t="n">
        <v>1</v>
      </c>
      <c r="AA8835">
        <f>IF(ISNUMBER('IN-CLASS_Lab Part C'!$J$8835),'IN-CLASS_Lab Part C'!$J$8835,NA())</f>
        <v/>
      </c>
    </row>
    <row r="8836">
      <c r="J8836">
        <f>IF(AND(ISNUMBER('Data'!$F$8837),'Data'!$F$8837&lt;&gt;999,'Data'!$F$8837&lt;&gt;""),'Data'!$F$8837,"")</f>
        <v/>
      </c>
      <c r="Z8836" t="n">
        <v>1</v>
      </c>
      <c r="AA8836">
        <f>IF(ISNUMBER('IN-CLASS_Lab Part C'!$J$8836),'IN-CLASS_Lab Part C'!$J$8836,NA())</f>
        <v/>
      </c>
    </row>
    <row r="8837">
      <c r="J8837">
        <f>IF(AND(ISNUMBER('Data'!$F$8838),'Data'!$F$8838&lt;&gt;999,'Data'!$F$8838&lt;&gt;""),'Data'!$F$8838,"")</f>
        <v/>
      </c>
      <c r="Z8837" t="n">
        <v>1</v>
      </c>
      <c r="AA8837">
        <f>IF(ISNUMBER('IN-CLASS_Lab Part C'!$J$8837),'IN-CLASS_Lab Part C'!$J$8837,NA())</f>
        <v/>
      </c>
    </row>
    <row r="8838">
      <c r="J8838">
        <f>IF(AND(ISNUMBER('Data'!$F$8839),'Data'!$F$8839&lt;&gt;999,'Data'!$F$8839&lt;&gt;""),'Data'!$F$8839,"")</f>
        <v/>
      </c>
      <c r="Z8838" t="n">
        <v>1</v>
      </c>
      <c r="AA8838">
        <f>IF(ISNUMBER('IN-CLASS_Lab Part C'!$J$8838),'IN-CLASS_Lab Part C'!$J$8838,NA())</f>
        <v/>
      </c>
    </row>
    <row r="8839">
      <c r="J8839">
        <f>IF(AND(ISNUMBER('Data'!$F$8840),'Data'!$F$8840&lt;&gt;999,'Data'!$F$8840&lt;&gt;""),'Data'!$F$8840,"")</f>
        <v/>
      </c>
      <c r="Z8839" t="n">
        <v>1</v>
      </c>
      <c r="AA8839">
        <f>IF(ISNUMBER('IN-CLASS_Lab Part C'!$J$8839),'IN-CLASS_Lab Part C'!$J$8839,NA())</f>
        <v/>
      </c>
    </row>
    <row r="8840">
      <c r="J8840">
        <f>IF(AND(ISNUMBER('Data'!$F$8841),'Data'!$F$8841&lt;&gt;999,'Data'!$F$8841&lt;&gt;""),'Data'!$F$8841,"")</f>
        <v/>
      </c>
      <c r="Z8840" t="n">
        <v>1</v>
      </c>
      <c r="AA8840">
        <f>IF(ISNUMBER('IN-CLASS_Lab Part C'!$J$8840),'IN-CLASS_Lab Part C'!$J$8840,NA())</f>
        <v/>
      </c>
    </row>
    <row r="8841">
      <c r="J8841">
        <f>IF(AND(ISNUMBER('Data'!$F$8842),'Data'!$F$8842&lt;&gt;999,'Data'!$F$8842&lt;&gt;""),'Data'!$F$8842,"")</f>
        <v/>
      </c>
      <c r="Z8841" t="n">
        <v>1</v>
      </c>
      <c r="AA8841">
        <f>IF(ISNUMBER('IN-CLASS_Lab Part C'!$J$8841),'IN-CLASS_Lab Part C'!$J$8841,NA())</f>
        <v/>
      </c>
    </row>
    <row r="8842">
      <c r="J8842">
        <f>IF(AND(ISNUMBER('Data'!$F$8843),'Data'!$F$8843&lt;&gt;999,'Data'!$F$8843&lt;&gt;""),'Data'!$F$8843,"")</f>
        <v/>
      </c>
      <c r="Z8842" t="n">
        <v>1</v>
      </c>
      <c r="AA8842">
        <f>IF(ISNUMBER('IN-CLASS_Lab Part C'!$J$8842),'IN-CLASS_Lab Part C'!$J$8842,NA())</f>
        <v/>
      </c>
    </row>
    <row r="8843">
      <c r="J8843">
        <f>IF(AND(ISNUMBER('Data'!$F$8844),'Data'!$F$8844&lt;&gt;999,'Data'!$F$8844&lt;&gt;""),'Data'!$F$8844,"")</f>
        <v/>
      </c>
      <c r="Z8843" t="n">
        <v>1</v>
      </c>
      <c r="AA8843">
        <f>IF(ISNUMBER('IN-CLASS_Lab Part C'!$J$8843),'IN-CLASS_Lab Part C'!$J$8843,NA())</f>
        <v/>
      </c>
    </row>
    <row r="8844">
      <c r="J8844">
        <f>IF(AND(ISNUMBER('Data'!$F$8845),'Data'!$F$8845&lt;&gt;999,'Data'!$F$8845&lt;&gt;""),'Data'!$F$8845,"")</f>
        <v/>
      </c>
      <c r="Z8844" t="n">
        <v>1</v>
      </c>
      <c r="AA8844">
        <f>IF(ISNUMBER('IN-CLASS_Lab Part C'!$J$8844),'IN-CLASS_Lab Part C'!$J$8844,NA())</f>
        <v/>
      </c>
    </row>
    <row r="8845">
      <c r="J8845">
        <f>IF(AND(ISNUMBER('Data'!$F$8846),'Data'!$F$8846&lt;&gt;999,'Data'!$F$8846&lt;&gt;""),'Data'!$F$8846,"")</f>
        <v/>
      </c>
      <c r="Z8845" t="n">
        <v>1</v>
      </c>
      <c r="AA8845">
        <f>IF(ISNUMBER('IN-CLASS_Lab Part C'!$J$8845),'IN-CLASS_Lab Part C'!$J$8845,NA())</f>
        <v/>
      </c>
    </row>
    <row r="8846">
      <c r="J8846">
        <f>IF(AND(ISNUMBER('Data'!$F$8847),'Data'!$F$8847&lt;&gt;999,'Data'!$F$8847&lt;&gt;""),'Data'!$F$8847,"")</f>
        <v/>
      </c>
      <c r="Z8846" t="n">
        <v>1</v>
      </c>
      <c r="AA8846">
        <f>IF(ISNUMBER('IN-CLASS_Lab Part C'!$J$8846),'IN-CLASS_Lab Part C'!$J$8846,NA())</f>
        <v/>
      </c>
    </row>
    <row r="8847">
      <c r="J8847">
        <f>IF(AND(ISNUMBER('Data'!$F$8848),'Data'!$F$8848&lt;&gt;999,'Data'!$F$8848&lt;&gt;""),'Data'!$F$8848,"")</f>
        <v/>
      </c>
      <c r="Z8847" t="n">
        <v>1</v>
      </c>
      <c r="AA8847">
        <f>IF(ISNUMBER('IN-CLASS_Lab Part C'!$J$8847),'IN-CLASS_Lab Part C'!$J$8847,NA())</f>
        <v/>
      </c>
    </row>
    <row r="8848">
      <c r="J8848">
        <f>IF(AND(ISNUMBER('Data'!$F$8849),'Data'!$F$8849&lt;&gt;999,'Data'!$F$8849&lt;&gt;""),'Data'!$F$8849,"")</f>
        <v/>
      </c>
      <c r="Z8848" t="n">
        <v>1</v>
      </c>
      <c r="AA8848">
        <f>IF(ISNUMBER('IN-CLASS_Lab Part C'!$J$8848),'IN-CLASS_Lab Part C'!$J$8848,NA())</f>
        <v/>
      </c>
    </row>
    <row r="8849">
      <c r="J8849">
        <f>IF(AND(ISNUMBER('Data'!$F$8850),'Data'!$F$8850&lt;&gt;999,'Data'!$F$8850&lt;&gt;""),'Data'!$F$8850,"")</f>
        <v/>
      </c>
      <c r="Z8849" t="n">
        <v>1</v>
      </c>
      <c r="AA8849">
        <f>IF(ISNUMBER('IN-CLASS_Lab Part C'!$J$8849),'IN-CLASS_Lab Part C'!$J$8849,NA())</f>
        <v/>
      </c>
    </row>
    <row r="8850">
      <c r="J8850">
        <f>IF(AND(ISNUMBER('Data'!$F$8851),'Data'!$F$8851&lt;&gt;999,'Data'!$F$8851&lt;&gt;""),'Data'!$F$8851,"")</f>
        <v/>
      </c>
      <c r="Z8850" t="n">
        <v>1</v>
      </c>
      <c r="AA8850">
        <f>IF(ISNUMBER('IN-CLASS_Lab Part C'!$J$8850),'IN-CLASS_Lab Part C'!$J$8850,NA())</f>
        <v/>
      </c>
    </row>
    <row r="8851">
      <c r="J8851">
        <f>IF(AND(ISNUMBER('Data'!$F$8852),'Data'!$F$8852&lt;&gt;999,'Data'!$F$8852&lt;&gt;""),'Data'!$F$8852,"")</f>
        <v/>
      </c>
      <c r="Z8851" t="n">
        <v>1</v>
      </c>
      <c r="AA8851">
        <f>IF(ISNUMBER('IN-CLASS_Lab Part C'!$J$8851),'IN-CLASS_Lab Part C'!$J$8851,NA())</f>
        <v/>
      </c>
    </row>
    <row r="8852">
      <c r="J8852">
        <f>IF(AND(ISNUMBER('Data'!$F$8853),'Data'!$F$8853&lt;&gt;999,'Data'!$F$8853&lt;&gt;""),'Data'!$F$8853,"")</f>
        <v/>
      </c>
      <c r="Z8852" t="n">
        <v>1</v>
      </c>
      <c r="AA8852">
        <f>IF(ISNUMBER('IN-CLASS_Lab Part C'!$J$8852),'IN-CLASS_Lab Part C'!$J$8852,NA())</f>
        <v/>
      </c>
    </row>
    <row r="8853">
      <c r="J8853">
        <f>IF(AND(ISNUMBER('Data'!$F$8854),'Data'!$F$8854&lt;&gt;999,'Data'!$F$8854&lt;&gt;""),'Data'!$F$8854,"")</f>
        <v/>
      </c>
      <c r="Z8853" t="n">
        <v>1</v>
      </c>
      <c r="AA8853">
        <f>IF(ISNUMBER('IN-CLASS_Lab Part C'!$J$8853),'IN-CLASS_Lab Part C'!$J$8853,NA())</f>
        <v/>
      </c>
    </row>
    <row r="8854">
      <c r="J8854">
        <f>IF(AND(ISNUMBER('Data'!$F$8855),'Data'!$F$8855&lt;&gt;999,'Data'!$F$8855&lt;&gt;""),'Data'!$F$8855,"")</f>
        <v/>
      </c>
      <c r="Z8854" t="n">
        <v>1</v>
      </c>
      <c r="AA8854">
        <f>IF(ISNUMBER('IN-CLASS_Lab Part C'!$J$8854),'IN-CLASS_Lab Part C'!$J$8854,NA())</f>
        <v/>
      </c>
    </row>
    <row r="8855">
      <c r="J8855">
        <f>IF(AND(ISNUMBER('Data'!$F$8856),'Data'!$F$8856&lt;&gt;999,'Data'!$F$8856&lt;&gt;""),'Data'!$F$8856,"")</f>
        <v/>
      </c>
      <c r="Z8855" t="n">
        <v>1</v>
      </c>
      <c r="AA8855">
        <f>IF(ISNUMBER('IN-CLASS_Lab Part C'!$J$8855),'IN-CLASS_Lab Part C'!$J$8855,NA())</f>
        <v/>
      </c>
    </row>
    <row r="8856">
      <c r="J8856">
        <f>IF(AND(ISNUMBER('Data'!$F$8857),'Data'!$F$8857&lt;&gt;999,'Data'!$F$8857&lt;&gt;""),'Data'!$F$8857,"")</f>
        <v/>
      </c>
      <c r="Z8856" t="n">
        <v>1</v>
      </c>
      <c r="AA8856">
        <f>IF(ISNUMBER('IN-CLASS_Lab Part C'!$J$8856),'IN-CLASS_Lab Part C'!$J$8856,NA())</f>
        <v/>
      </c>
    </row>
    <row r="8857">
      <c r="J8857">
        <f>IF(AND(ISNUMBER('Data'!$F$8858),'Data'!$F$8858&lt;&gt;999,'Data'!$F$8858&lt;&gt;""),'Data'!$F$8858,"")</f>
        <v/>
      </c>
      <c r="Z8857" t="n">
        <v>1</v>
      </c>
      <c r="AA8857">
        <f>IF(ISNUMBER('IN-CLASS_Lab Part C'!$J$8857),'IN-CLASS_Lab Part C'!$J$8857,NA())</f>
        <v/>
      </c>
    </row>
    <row r="8858">
      <c r="J8858">
        <f>IF(AND(ISNUMBER('Data'!$F$8859),'Data'!$F$8859&lt;&gt;999,'Data'!$F$8859&lt;&gt;""),'Data'!$F$8859,"")</f>
        <v/>
      </c>
      <c r="Z8858" t="n">
        <v>1</v>
      </c>
      <c r="AA8858">
        <f>IF(ISNUMBER('IN-CLASS_Lab Part C'!$J$8858),'IN-CLASS_Lab Part C'!$J$8858,NA())</f>
        <v/>
      </c>
    </row>
    <row r="8859">
      <c r="J8859">
        <f>IF(AND(ISNUMBER('Data'!$F$8860),'Data'!$F$8860&lt;&gt;999,'Data'!$F$8860&lt;&gt;""),'Data'!$F$8860,"")</f>
        <v/>
      </c>
      <c r="Z8859" t="n">
        <v>1</v>
      </c>
      <c r="AA8859">
        <f>IF(ISNUMBER('IN-CLASS_Lab Part C'!$J$8859),'IN-CLASS_Lab Part C'!$J$8859,NA())</f>
        <v/>
      </c>
    </row>
    <row r="8860">
      <c r="J8860">
        <f>IF(AND(ISNUMBER('Data'!$F$8861),'Data'!$F$8861&lt;&gt;999,'Data'!$F$8861&lt;&gt;""),'Data'!$F$8861,"")</f>
        <v/>
      </c>
      <c r="Z8860" t="n">
        <v>1</v>
      </c>
      <c r="AA8860">
        <f>IF(ISNUMBER('IN-CLASS_Lab Part C'!$J$8860),'IN-CLASS_Lab Part C'!$J$8860,NA())</f>
        <v/>
      </c>
    </row>
    <row r="8861">
      <c r="J8861">
        <f>IF(AND(ISNUMBER('Data'!$F$8862),'Data'!$F$8862&lt;&gt;999,'Data'!$F$8862&lt;&gt;""),'Data'!$F$8862,"")</f>
        <v/>
      </c>
      <c r="Z8861" t="n">
        <v>1</v>
      </c>
      <c r="AA8861">
        <f>IF(ISNUMBER('IN-CLASS_Lab Part C'!$J$8861),'IN-CLASS_Lab Part C'!$J$8861,NA())</f>
        <v/>
      </c>
    </row>
    <row r="8862">
      <c r="J8862">
        <f>IF(AND(ISNUMBER('Data'!$F$8863),'Data'!$F$8863&lt;&gt;999,'Data'!$F$8863&lt;&gt;""),'Data'!$F$8863,"")</f>
        <v/>
      </c>
      <c r="Z8862" t="n">
        <v>1</v>
      </c>
      <c r="AA8862">
        <f>IF(ISNUMBER('IN-CLASS_Lab Part C'!$J$8862),'IN-CLASS_Lab Part C'!$J$8862,NA())</f>
        <v/>
      </c>
    </row>
    <row r="8863">
      <c r="J8863">
        <f>IF(AND(ISNUMBER('Data'!$F$8864),'Data'!$F$8864&lt;&gt;999,'Data'!$F$8864&lt;&gt;""),'Data'!$F$8864,"")</f>
        <v/>
      </c>
      <c r="Z8863" t="n">
        <v>1</v>
      </c>
      <c r="AA8863">
        <f>IF(ISNUMBER('IN-CLASS_Lab Part C'!$J$8863),'IN-CLASS_Lab Part C'!$J$8863,NA())</f>
        <v/>
      </c>
    </row>
    <row r="8864">
      <c r="J8864">
        <f>IF(AND(ISNUMBER('Data'!$F$8865),'Data'!$F$8865&lt;&gt;999,'Data'!$F$8865&lt;&gt;""),'Data'!$F$8865,"")</f>
        <v/>
      </c>
      <c r="Z8864" t="n">
        <v>1</v>
      </c>
      <c r="AA8864">
        <f>IF(ISNUMBER('IN-CLASS_Lab Part C'!$J$8864),'IN-CLASS_Lab Part C'!$J$8864,NA())</f>
        <v/>
      </c>
    </row>
    <row r="8865">
      <c r="J8865">
        <f>IF(AND(ISNUMBER('Data'!$F$8866),'Data'!$F$8866&lt;&gt;999,'Data'!$F$8866&lt;&gt;""),'Data'!$F$8866,"")</f>
        <v/>
      </c>
      <c r="Z8865" t="n">
        <v>1</v>
      </c>
      <c r="AA8865">
        <f>IF(ISNUMBER('IN-CLASS_Lab Part C'!$J$8865),'IN-CLASS_Lab Part C'!$J$8865,NA())</f>
        <v/>
      </c>
    </row>
    <row r="8866">
      <c r="J8866">
        <f>IF(AND(ISNUMBER('Data'!$F$8867),'Data'!$F$8867&lt;&gt;999,'Data'!$F$8867&lt;&gt;""),'Data'!$F$8867,"")</f>
        <v/>
      </c>
      <c r="Z8866" t="n">
        <v>1</v>
      </c>
      <c r="AA8866">
        <f>IF(ISNUMBER('IN-CLASS_Lab Part C'!$J$8866),'IN-CLASS_Lab Part C'!$J$8866,NA())</f>
        <v/>
      </c>
    </row>
    <row r="8867">
      <c r="J8867">
        <f>IF(AND(ISNUMBER('Data'!$F$8868),'Data'!$F$8868&lt;&gt;999,'Data'!$F$8868&lt;&gt;""),'Data'!$F$8868,"")</f>
        <v/>
      </c>
      <c r="Z8867" t="n">
        <v>1</v>
      </c>
      <c r="AA8867">
        <f>IF(ISNUMBER('IN-CLASS_Lab Part C'!$J$8867),'IN-CLASS_Lab Part C'!$J$8867,NA())</f>
        <v/>
      </c>
    </row>
    <row r="8868">
      <c r="J8868">
        <f>IF(AND(ISNUMBER('Data'!$F$8869),'Data'!$F$8869&lt;&gt;999,'Data'!$F$8869&lt;&gt;""),'Data'!$F$8869,"")</f>
        <v/>
      </c>
      <c r="Z8868" t="n">
        <v>1</v>
      </c>
      <c r="AA8868">
        <f>IF(ISNUMBER('IN-CLASS_Lab Part C'!$J$8868),'IN-CLASS_Lab Part C'!$J$8868,NA())</f>
        <v/>
      </c>
    </row>
    <row r="8869">
      <c r="J8869">
        <f>IF(AND(ISNUMBER('Data'!$F$8870),'Data'!$F$8870&lt;&gt;999,'Data'!$F$8870&lt;&gt;""),'Data'!$F$8870,"")</f>
        <v/>
      </c>
      <c r="Z8869" t="n">
        <v>1</v>
      </c>
      <c r="AA8869">
        <f>IF(ISNUMBER('IN-CLASS_Lab Part C'!$J$8869),'IN-CLASS_Lab Part C'!$J$8869,NA())</f>
        <v/>
      </c>
    </row>
    <row r="8870">
      <c r="J8870">
        <f>IF(AND(ISNUMBER('Data'!$F$8871),'Data'!$F$8871&lt;&gt;999,'Data'!$F$8871&lt;&gt;""),'Data'!$F$8871,"")</f>
        <v/>
      </c>
      <c r="Z8870" t="n">
        <v>1</v>
      </c>
      <c r="AA8870">
        <f>IF(ISNUMBER('IN-CLASS_Lab Part C'!$J$8870),'IN-CLASS_Lab Part C'!$J$8870,NA())</f>
        <v/>
      </c>
    </row>
    <row r="8871">
      <c r="J8871">
        <f>IF(AND(ISNUMBER('Data'!$F$8872),'Data'!$F$8872&lt;&gt;999,'Data'!$F$8872&lt;&gt;""),'Data'!$F$8872,"")</f>
        <v/>
      </c>
      <c r="Z8871" t="n">
        <v>1</v>
      </c>
      <c r="AA8871">
        <f>IF(ISNUMBER('IN-CLASS_Lab Part C'!$J$8871),'IN-CLASS_Lab Part C'!$J$8871,NA())</f>
        <v/>
      </c>
    </row>
    <row r="8872">
      <c r="J8872">
        <f>IF(AND(ISNUMBER('Data'!$F$8873),'Data'!$F$8873&lt;&gt;999,'Data'!$F$8873&lt;&gt;""),'Data'!$F$8873,"")</f>
        <v/>
      </c>
      <c r="Z8872" t="n">
        <v>1</v>
      </c>
      <c r="AA8872">
        <f>IF(ISNUMBER('IN-CLASS_Lab Part C'!$J$8872),'IN-CLASS_Lab Part C'!$J$8872,NA())</f>
        <v/>
      </c>
    </row>
    <row r="8873">
      <c r="J8873">
        <f>IF(AND(ISNUMBER('Data'!$F$8874),'Data'!$F$8874&lt;&gt;999,'Data'!$F$8874&lt;&gt;""),'Data'!$F$8874,"")</f>
        <v/>
      </c>
      <c r="Z8873" t="n">
        <v>1</v>
      </c>
      <c r="AA8873">
        <f>IF(ISNUMBER('IN-CLASS_Lab Part C'!$J$8873),'IN-CLASS_Lab Part C'!$J$8873,NA())</f>
        <v/>
      </c>
    </row>
    <row r="8874">
      <c r="J8874">
        <f>IF(AND(ISNUMBER('Data'!$F$8875),'Data'!$F$8875&lt;&gt;999,'Data'!$F$8875&lt;&gt;""),'Data'!$F$8875,"")</f>
        <v/>
      </c>
      <c r="Z8874" t="n">
        <v>1</v>
      </c>
      <c r="AA8874">
        <f>IF(ISNUMBER('IN-CLASS_Lab Part C'!$J$8874),'IN-CLASS_Lab Part C'!$J$8874,NA())</f>
        <v/>
      </c>
    </row>
    <row r="8875">
      <c r="J8875">
        <f>IF(AND(ISNUMBER('Data'!$F$8876),'Data'!$F$8876&lt;&gt;999,'Data'!$F$8876&lt;&gt;""),'Data'!$F$8876,"")</f>
        <v/>
      </c>
      <c r="Z8875" t="n">
        <v>1</v>
      </c>
      <c r="AA8875">
        <f>IF(ISNUMBER('IN-CLASS_Lab Part C'!$J$8875),'IN-CLASS_Lab Part C'!$J$8875,NA())</f>
        <v/>
      </c>
    </row>
    <row r="8876">
      <c r="J8876">
        <f>IF(AND(ISNUMBER('Data'!$F$8877),'Data'!$F$8877&lt;&gt;999,'Data'!$F$8877&lt;&gt;""),'Data'!$F$8877,"")</f>
        <v/>
      </c>
      <c r="Z8876" t="n">
        <v>1</v>
      </c>
      <c r="AA8876">
        <f>IF(ISNUMBER('IN-CLASS_Lab Part C'!$J$8876),'IN-CLASS_Lab Part C'!$J$8876,NA())</f>
        <v/>
      </c>
    </row>
    <row r="8877">
      <c r="J8877">
        <f>IF(AND(ISNUMBER('Data'!$F$8878),'Data'!$F$8878&lt;&gt;999,'Data'!$F$8878&lt;&gt;""),'Data'!$F$8878,"")</f>
        <v/>
      </c>
      <c r="Z8877" t="n">
        <v>1</v>
      </c>
      <c r="AA8877">
        <f>IF(ISNUMBER('IN-CLASS_Lab Part C'!$J$8877),'IN-CLASS_Lab Part C'!$J$8877,NA())</f>
        <v/>
      </c>
    </row>
    <row r="8878">
      <c r="J8878">
        <f>IF(AND(ISNUMBER('Data'!$F$8879),'Data'!$F$8879&lt;&gt;999,'Data'!$F$8879&lt;&gt;""),'Data'!$F$8879,"")</f>
        <v/>
      </c>
      <c r="Z8878" t="n">
        <v>1</v>
      </c>
      <c r="AA8878">
        <f>IF(ISNUMBER('IN-CLASS_Lab Part C'!$J$8878),'IN-CLASS_Lab Part C'!$J$8878,NA())</f>
        <v/>
      </c>
    </row>
    <row r="8879">
      <c r="J8879">
        <f>IF(AND(ISNUMBER('Data'!$F$8880),'Data'!$F$8880&lt;&gt;999,'Data'!$F$8880&lt;&gt;""),'Data'!$F$8880,"")</f>
        <v/>
      </c>
      <c r="Z8879" t="n">
        <v>1</v>
      </c>
      <c r="AA8879">
        <f>IF(ISNUMBER('IN-CLASS_Lab Part C'!$J$8879),'IN-CLASS_Lab Part C'!$J$8879,NA())</f>
        <v/>
      </c>
    </row>
    <row r="8880">
      <c r="J8880">
        <f>IF(AND(ISNUMBER('Data'!$F$8881),'Data'!$F$8881&lt;&gt;999,'Data'!$F$8881&lt;&gt;""),'Data'!$F$8881,"")</f>
        <v/>
      </c>
      <c r="Z8880" t="n">
        <v>1</v>
      </c>
      <c r="AA8880">
        <f>IF(ISNUMBER('IN-CLASS_Lab Part C'!$J$8880),'IN-CLASS_Lab Part C'!$J$8880,NA())</f>
        <v/>
      </c>
    </row>
    <row r="8881">
      <c r="J8881">
        <f>IF(AND(ISNUMBER('Data'!$F$8882),'Data'!$F$8882&lt;&gt;999,'Data'!$F$8882&lt;&gt;""),'Data'!$F$8882,"")</f>
        <v/>
      </c>
      <c r="Z8881" t="n">
        <v>1</v>
      </c>
      <c r="AA8881">
        <f>IF(ISNUMBER('IN-CLASS_Lab Part C'!$J$8881),'IN-CLASS_Lab Part C'!$J$8881,NA())</f>
        <v/>
      </c>
    </row>
    <row r="8882">
      <c r="J8882">
        <f>IF(AND(ISNUMBER('Data'!$F$8883),'Data'!$F$8883&lt;&gt;999,'Data'!$F$8883&lt;&gt;""),'Data'!$F$8883,"")</f>
        <v/>
      </c>
      <c r="Z8882" t="n">
        <v>1</v>
      </c>
      <c r="AA8882">
        <f>IF(ISNUMBER('IN-CLASS_Lab Part C'!$J$8882),'IN-CLASS_Lab Part C'!$J$8882,NA())</f>
        <v/>
      </c>
    </row>
    <row r="8883">
      <c r="J8883">
        <f>IF(AND(ISNUMBER('Data'!$F$8884),'Data'!$F$8884&lt;&gt;999,'Data'!$F$8884&lt;&gt;""),'Data'!$F$8884,"")</f>
        <v/>
      </c>
      <c r="Z8883" t="n">
        <v>1</v>
      </c>
      <c r="AA8883">
        <f>IF(ISNUMBER('IN-CLASS_Lab Part C'!$J$8883),'IN-CLASS_Lab Part C'!$J$8883,NA())</f>
        <v/>
      </c>
    </row>
    <row r="8884">
      <c r="J8884">
        <f>IF(AND(ISNUMBER('Data'!$F$8885),'Data'!$F$8885&lt;&gt;999,'Data'!$F$8885&lt;&gt;""),'Data'!$F$8885,"")</f>
        <v/>
      </c>
      <c r="Z8884" t="n">
        <v>1</v>
      </c>
      <c r="AA8884">
        <f>IF(ISNUMBER('IN-CLASS_Lab Part C'!$J$8884),'IN-CLASS_Lab Part C'!$J$8884,NA())</f>
        <v/>
      </c>
    </row>
    <row r="8885">
      <c r="J8885">
        <f>IF(AND(ISNUMBER('Data'!$F$8886),'Data'!$F$8886&lt;&gt;999,'Data'!$F$8886&lt;&gt;""),'Data'!$F$8886,"")</f>
        <v/>
      </c>
      <c r="Z8885" t="n">
        <v>1</v>
      </c>
      <c r="AA8885">
        <f>IF(ISNUMBER('IN-CLASS_Lab Part C'!$J$8885),'IN-CLASS_Lab Part C'!$J$8885,NA())</f>
        <v/>
      </c>
    </row>
    <row r="8886">
      <c r="J8886">
        <f>IF(AND(ISNUMBER('Data'!$F$8887),'Data'!$F$8887&lt;&gt;999,'Data'!$F$8887&lt;&gt;""),'Data'!$F$8887,"")</f>
        <v/>
      </c>
      <c r="Z8886" t="n">
        <v>1</v>
      </c>
      <c r="AA8886">
        <f>IF(ISNUMBER('IN-CLASS_Lab Part C'!$J$8886),'IN-CLASS_Lab Part C'!$J$8886,NA())</f>
        <v/>
      </c>
    </row>
    <row r="8887">
      <c r="J8887">
        <f>IF(AND(ISNUMBER('Data'!$F$8888),'Data'!$F$8888&lt;&gt;999,'Data'!$F$8888&lt;&gt;""),'Data'!$F$8888,"")</f>
        <v/>
      </c>
      <c r="Z8887" t="n">
        <v>1</v>
      </c>
      <c r="AA8887">
        <f>IF(ISNUMBER('IN-CLASS_Lab Part C'!$J$8887),'IN-CLASS_Lab Part C'!$J$8887,NA())</f>
        <v/>
      </c>
    </row>
    <row r="8888">
      <c r="J8888">
        <f>IF(AND(ISNUMBER('Data'!$F$8889),'Data'!$F$8889&lt;&gt;999,'Data'!$F$8889&lt;&gt;""),'Data'!$F$8889,"")</f>
        <v/>
      </c>
      <c r="Z8888" t="n">
        <v>1</v>
      </c>
      <c r="AA8888">
        <f>IF(ISNUMBER('IN-CLASS_Lab Part C'!$J$8888),'IN-CLASS_Lab Part C'!$J$8888,NA())</f>
        <v/>
      </c>
    </row>
    <row r="8889">
      <c r="J8889">
        <f>IF(AND(ISNUMBER('Data'!$F$8890),'Data'!$F$8890&lt;&gt;999,'Data'!$F$8890&lt;&gt;""),'Data'!$F$8890,"")</f>
        <v/>
      </c>
      <c r="Z8889" t="n">
        <v>1</v>
      </c>
      <c r="AA8889">
        <f>IF(ISNUMBER('IN-CLASS_Lab Part C'!$J$8889),'IN-CLASS_Lab Part C'!$J$8889,NA())</f>
        <v/>
      </c>
    </row>
    <row r="8890">
      <c r="J8890">
        <f>IF(AND(ISNUMBER('Data'!$F$8891),'Data'!$F$8891&lt;&gt;999,'Data'!$F$8891&lt;&gt;""),'Data'!$F$8891,"")</f>
        <v/>
      </c>
      <c r="Z8890" t="n">
        <v>1</v>
      </c>
      <c r="AA8890">
        <f>IF(ISNUMBER('IN-CLASS_Lab Part C'!$J$8890),'IN-CLASS_Lab Part C'!$J$8890,NA())</f>
        <v/>
      </c>
    </row>
    <row r="8891">
      <c r="J8891">
        <f>IF(AND(ISNUMBER('Data'!$F$8892),'Data'!$F$8892&lt;&gt;999,'Data'!$F$8892&lt;&gt;""),'Data'!$F$8892,"")</f>
        <v/>
      </c>
      <c r="Z8891" t="n">
        <v>1</v>
      </c>
      <c r="AA8891">
        <f>IF(ISNUMBER('IN-CLASS_Lab Part C'!$J$8891),'IN-CLASS_Lab Part C'!$J$8891,NA())</f>
        <v/>
      </c>
    </row>
    <row r="8892">
      <c r="J8892">
        <f>IF(AND(ISNUMBER('Data'!$F$8893),'Data'!$F$8893&lt;&gt;999,'Data'!$F$8893&lt;&gt;""),'Data'!$F$8893,"")</f>
        <v/>
      </c>
      <c r="Z8892" t="n">
        <v>1</v>
      </c>
      <c r="AA8892">
        <f>IF(ISNUMBER('IN-CLASS_Lab Part C'!$J$8892),'IN-CLASS_Lab Part C'!$J$8892,NA())</f>
        <v/>
      </c>
    </row>
    <row r="8893">
      <c r="J8893">
        <f>IF(AND(ISNUMBER('Data'!$F$8894),'Data'!$F$8894&lt;&gt;999,'Data'!$F$8894&lt;&gt;""),'Data'!$F$8894,"")</f>
        <v/>
      </c>
      <c r="Z8893" t="n">
        <v>1</v>
      </c>
      <c r="AA8893">
        <f>IF(ISNUMBER('IN-CLASS_Lab Part C'!$J$8893),'IN-CLASS_Lab Part C'!$J$8893,NA())</f>
        <v/>
      </c>
    </row>
    <row r="8894">
      <c r="J8894">
        <f>IF(AND(ISNUMBER('Data'!$F$8895),'Data'!$F$8895&lt;&gt;999,'Data'!$F$8895&lt;&gt;""),'Data'!$F$8895,"")</f>
        <v/>
      </c>
      <c r="Z8894" t="n">
        <v>1</v>
      </c>
      <c r="AA8894">
        <f>IF(ISNUMBER('IN-CLASS_Lab Part C'!$J$8894),'IN-CLASS_Lab Part C'!$J$8894,NA())</f>
        <v/>
      </c>
    </row>
    <row r="8895">
      <c r="J8895">
        <f>IF(AND(ISNUMBER('Data'!$F$8896),'Data'!$F$8896&lt;&gt;999,'Data'!$F$8896&lt;&gt;""),'Data'!$F$8896,"")</f>
        <v/>
      </c>
      <c r="Z8895" t="n">
        <v>1</v>
      </c>
      <c r="AA8895">
        <f>IF(ISNUMBER('IN-CLASS_Lab Part C'!$J$8895),'IN-CLASS_Lab Part C'!$J$8895,NA())</f>
        <v/>
      </c>
    </row>
    <row r="8896">
      <c r="J8896">
        <f>IF(AND(ISNUMBER('Data'!$F$8897),'Data'!$F$8897&lt;&gt;999,'Data'!$F$8897&lt;&gt;""),'Data'!$F$8897,"")</f>
        <v/>
      </c>
      <c r="Z8896" t="n">
        <v>1</v>
      </c>
      <c r="AA8896">
        <f>IF(ISNUMBER('IN-CLASS_Lab Part C'!$J$8896),'IN-CLASS_Lab Part C'!$J$8896,NA())</f>
        <v/>
      </c>
    </row>
    <row r="8897">
      <c r="J8897">
        <f>IF(AND(ISNUMBER('Data'!$F$8898),'Data'!$F$8898&lt;&gt;999,'Data'!$F$8898&lt;&gt;""),'Data'!$F$8898,"")</f>
        <v/>
      </c>
      <c r="Z8897" t="n">
        <v>1</v>
      </c>
      <c r="AA8897">
        <f>IF(ISNUMBER('IN-CLASS_Lab Part C'!$J$8897),'IN-CLASS_Lab Part C'!$J$8897,NA())</f>
        <v/>
      </c>
    </row>
    <row r="8898">
      <c r="J8898">
        <f>IF(AND(ISNUMBER('Data'!$F$8899),'Data'!$F$8899&lt;&gt;999,'Data'!$F$8899&lt;&gt;""),'Data'!$F$8899,"")</f>
        <v/>
      </c>
      <c r="Z8898" t="n">
        <v>1</v>
      </c>
      <c r="AA8898">
        <f>IF(ISNUMBER('IN-CLASS_Lab Part C'!$J$8898),'IN-CLASS_Lab Part C'!$J$8898,NA())</f>
        <v/>
      </c>
    </row>
    <row r="8899">
      <c r="J8899">
        <f>IF(AND(ISNUMBER('Data'!$F$8900),'Data'!$F$8900&lt;&gt;999,'Data'!$F$8900&lt;&gt;""),'Data'!$F$8900,"")</f>
        <v/>
      </c>
      <c r="Z8899" t="n">
        <v>1</v>
      </c>
      <c r="AA8899">
        <f>IF(ISNUMBER('IN-CLASS_Lab Part C'!$J$8899),'IN-CLASS_Lab Part C'!$J$8899,NA())</f>
        <v/>
      </c>
    </row>
    <row r="8900">
      <c r="J8900">
        <f>IF(AND(ISNUMBER('Data'!$F$8901),'Data'!$F$8901&lt;&gt;999,'Data'!$F$8901&lt;&gt;""),'Data'!$F$8901,"")</f>
        <v/>
      </c>
      <c r="Z8900" t="n">
        <v>1</v>
      </c>
      <c r="AA8900">
        <f>IF(ISNUMBER('IN-CLASS_Lab Part C'!$J$8900),'IN-CLASS_Lab Part C'!$J$8900,NA())</f>
        <v/>
      </c>
    </row>
    <row r="8901">
      <c r="J8901">
        <f>IF(AND(ISNUMBER('Data'!$F$8902),'Data'!$F$8902&lt;&gt;999,'Data'!$F$8902&lt;&gt;""),'Data'!$F$8902,"")</f>
        <v/>
      </c>
      <c r="Z8901" t="n">
        <v>1</v>
      </c>
      <c r="AA8901">
        <f>IF(ISNUMBER('IN-CLASS_Lab Part C'!$J$8901),'IN-CLASS_Lab Part C'!$J$8901,NA())</f>
        <v/>
      </c>
    </row>
    <row r="8902">
      <c r="J8902">
        <f>IF(AND(ISNUMBER('Data'!$F$8903),'Data'!$F$8903&lt;&gt;999,'Data'!$F$8903&lt;&gt;""),'Data'!$F$8903,"")</f>
        <v/>
      </c>
      <c r="Z8902" t="n">
        <v>1</v>
      </c>
      <c r="AA8902">
        <f>IF(ISNUMBER('IN-CLASS_Lab Part C'!$J$8902),'IN-CLASS_Lab Part C'!$J$8902,NA())</f>
        <v/>
      </c>
    </row>
    <row r="8903">
      <c r="J8903">
        <f>IF(AND(ISNUMBER('Data'!$F$8904),'Data'!$F$8904&lt;&gt;999,'Data'!$F$8904&lt;&gt;""),'Data'!$F$8904,"")</f>
        <v/>
      </c>
      <c r="Z8903" t="n">
        <v>1</v>
      </c>
      <c r="AA8903">
        <f>IF(ISNUMBER('IN-CLASS_Lab Part C'!$J$8903),'IN-CLASS_Lab Part C'!$J$8903,NA())</f>
        <v/>
      </c>
    </row>
    <row r="8904">
      <c r="J8904">
        <f>IF(AND(ISNUMBER('Data'!$F$8905),'Data'!$F$8905&lt;&gt;999,'Data'!$F$8905&lt;&gt;""),'Data'!$F$8905,"")</f>
        <v/>
      </c>
      <c r="Z8904" t="n">
        <v>1</v>
      </c>
      <c r="AA8904">
        <f>IF(ISNUMBER('IN-CLASS_Lab Part C'!$J$8904),'IN-CLASS_Lab Part C'!$J$8904,NA())</f>
        <v/>
      </c>
    </row>
    <row r="8905">
      <c r="J8905">
        <f>IF(AND(ISNUMBER('Data'!$F$8906),'Data'!$F$8906&lt;&gt;999,'Data'!$F$8906&lt;&gt;""),'Data'!$F$8906,"")</f>
        <v/>
      </c>
      <c r="Z8905" t="n">
        <v>1</v>
      </c>
      <c r="AA8905">
        <f>IF(ISNUMBER('IN-CLASS_Lab Part C'!$J$8905),'IN-CLASS_Lab Part C'!$J$8905,NA())</f>
        <v/>
      </c>
    </row>
    <row r="8906">
      <c r="J8906">
        <f>IF(AND(ISNUMBER('Data'!$F$8907),'Data'!$F$8907&lt;&gt;999,'Data'!$F$8907&lt;&gt;""),'Data'!$F$8907,"")</f>
        <v/>
      </c>
      <c r="Z8906" t="n">
        <v>1</v>
      </c>
      <c r="AA8906">
        <f>IF(ISNUMBER('IN-CLASS_Lab Part C'!$J$8906),'IN-CLASS_Lab Part C'!$J$8906,NA())</f>
        <v/>
      </c>
    </row>
    <row r="8907">
      <c r="J8907">
        <f>IF(AND(ISNUMBER('Data'!$F$8908),'Data'!$F$8908&lt;&gt;999,'Data'!$F$8908&lt;&gt;""),'Data'!$F$8908,"")</f>
        <v/>
      </c>
      <c r="Z8907" t="n">
        <v>1</v>
      </c>
      <c r="AA8907">
        <f>IF(ISNUMBER('IN-CLASS_Lab Part C'!$J$8907),'IN-CLASS_Lab Part C'!$J$8907,NA())</f>
        <v/>
      </c>
    </row>
    <row r="8908">
      <c r="J8908">
        <f>IF(AND(ISNUMBER('Data'!$F$8909),'Data'!$F$8909&lt;&gt;999,'Data'!$F$8909&lt;&gt;""),'Data'!$F$8909,"")</f>
        <v/>
      </c>
      <c r="Z8908" t="n">
        <v>1</v>
      </c>
      <c r="AA8908">
        <f>IF(ISNUMBER('IN-CLASS_Lab Part C'!$J$8908),'IN-CLASS_Lab Part C'!$J$8908,NA())</f>
        <v/>
      </c>
    </row>
    <row r="8909">
      <c r="J8909">
        <f>IF(AND(ISNUMBER('Data'!$F$8910),'Data'!$F$8910&lt;&gt;999,'Data'!$F$8910&lt;&gt;""),'Data'!$F$8910,"")</f>
        <v/>
      </c>
      <c r="Z8909" t="n">
        <v>1</v>
      </c>
      <c r="AA8909">
        <f>IF(ISNUMBER('IN-CLASS_Lab Part C'!$J$8909),'IN-CLASS_Lab Part C'!$J$8909,NA())</f>
        <v/>
      </c>
    </row>
    <row r="8910">
      <c r="J8910">
        <f>IF(AND(ISNUMBER('Data'!$F$8911),'Data'!$F$8911&lt;&gt;999,'Data'!$F$8911&lt;&gt;""),'Data'!$F$8911,"")</f>
        <v/>
      </c>
      <c r="Z8910" t="n">
        <v>1</v>
      </c>
      <c r="AA8910">
        <f>IF(ISNUMBER('IN-CLASS_Lab Part C'!$J$8910),'IN-CLASS_Lab Part C'!$J$8910,NA())</f>
        <v/>
      </c>
    </row>
    <row r="8911">
      <c r="J8911">
        <f>IF(AND(ISNUMBER('Data'!$F$8912),'Data'!$F$8912&lt;&gt;999,'Data'!$F$8912&lt;&gt;""),'Data'!$F$8912,"")</f>
        <v/>
      </c>
      <c r="Z8911" t="n">
        <v>1</v>
      </c>
      <c r="AA8911">
        <f>IF(ISNUMBER('IN-CLASS_Lab Part C'!$J$8911),'IN-CLASS_Lab Part C'!$J$8911,NA())</f>
        <v/>
      </c>
    </row>
    <row r="8912">
      <c r="J8912">
        <f>IF(AND(ISNUMBER('Data'!$F$8913),'Data'!$F$8913&lt;&gt;999,'Data'!$F$8913&lt;&gt;""),'Data'!$F$8913,"")</f>
        <v/>
      </c>
      <c r="Z8912" t="n">
        <v>1</v>
      </c>
      <c r="AA8912">
        <f>IF(ISNUMBER('IN-CLASS_Lab Part C'!$J$8912),'IN-CLASS_Lab Part C'!$J$8912,NA())</f>
        <v/>
      </c>
    </row>
    <row r="8913">
      <c r="J8913">
        <f>IF(AND(ISNUMBER('Data'!$F$8914),'Data'!$F$8914&lt;&gt;999,'Data'!$F$8914&lt;&gt;""),'Data'!$F$8914,"")</f>
        <v/>
      </c>
      <c r="Z8913" t="n">
        <v>1</v>
      </c>
      <c r="AA8913">
        <f>IF(ISNUMBER('IN-CLASS_Lab Part C'!$J$8913),'IN-CLASS_Lab Part C'!$J$8913,NA())</f>
        <v/>
      </c>
    </row>
    <row r="8914">
      <c r="J8914">
        <f>IF(AND(ISNUMBER('Data'!$F$8915),'Data'!$F$8915&lt;&gt;999,'Data'!$F$8915&lt;&gt;""),'Data'!$F$8915,"")</f>
        <v/>
      </c>
      <c r="Z8914" t="n">
        <v>1</v>
      </c>
      <c r="AA8914">
        <f>IF(ISNUMBER('IN-CLASS_Lab Part C'!$J$8914),'IN-CLASS_Lab Part C'!$J$8914,NA())</f>
        <v/>
      </c>
    </row>
    <row r="8915">
      <c r="J8915">
        <f>IF(AND(ISNUMBER('Data'!$F$8916),'Data'!$F$8916&lt;&gt;999,'Data'!$F$8916&lt;&gt;""),'Data'!$F$8916,"")</f>
        <v/>
      </c>
      <c r="Z8915" t="n">
        <v>1</v>
      </c>
      <c r="AA8915">
        <f>IF(ISNUMBER('IN-CLASS_Lab Part C'!$J$8915),'IN-CLASS_Lab Part C'!$J$8915,NA())</f>
        <v/>
      </c>
    </row>
    <row r="8916">
      <c r="J8916">
        <f>IF(AND(ISNUMBER('Data'!$F$8917),'Data'!$F$8917&lt;&gt;999,'Data'!$F$8917&lt;&gt;""),'Data'!$F$8917,"")</f>
        <v/>
      </c>
      <c r="Z8916" t="n">
        <v>1</v>
      </c>
      <c r="AA8916">
        <f>IF(ISNUMBER('IN-CLASS_Lab Part C'!$J$8916),'IN-CLASS_Lab Part C'!$J$8916,NA())</f>
        <v/>
      </c>
    </row>
    <row r="8917">
      <c r="J8917">
        <f>IF(AND(ISNUMBER('Data'!$F$8918),'Data'!$F$8918&lt;&gt;999,'Data'!$F$8918&lt;&gt;""),'Data'!$F$8918,"")</f>
        <v/>
      </c>
      <c r="Z8917" t="n">
        <v>1</v>
      </c>
      <c r="AA8917">
        <f>IF(ISNUMBER('IN-CLASS_Lab Part C'!$J$8917),'IN-CLASS_Lab Part C'!$J$8917,NA())</f>
        <v/>
      </c>
    </row>
    <row r="8918">
      <c r="J8918">
        <f>IF(AND(ISNUMBER('Data'!$F$8919),'Data'!$F$8919&lt;&gt;999,'Data'!$F$8919&lt;&gt;""),'Data'!$F$8919,"")</f>
        <v/>
      </c>
      <c r="Z8918" t="n">
        <v>1</v>
      </c>
      <c r="AA8918">
        <f>IF(ISNUMBER('IN-CLASS_Lab Part C'!$J$8918),'IN-CLASS_Lab Part C'!$J$8918,NA())</f>
        <v/>
      </c>
    </row>
    <row r="8919">
      <c r="J8919">
        <f>IF(AND(ISNUMBER('Data'!$F$8920),'Data'!$F$8920&lt;&gt;999,'Data'!$F$8920&lt;&gt;""),'Data'!$F$8920,"")</f>
        <v/>
      </c>
      <c r="Z8919" t="n">
        <v>1</v>
      </c>
      <c r="AA8919">
        <f>IF(ISNUMBER('IN-CLASS_Lab Part C'!$J$8919),'IN-CLASS_Lab Part C'!$J$8919,NA())</f>
        <v/>
      </c>
    </row>
    <row r="8920">
      <c r="J8920">
        <f>IF(AND(ISNUMBER('Data'!$F$8921),'Data'!$F$8921&lt;&gt;999,'Data'!$F$8921&lt;&gt;""),'Data'!$F$8921,"")</f>
        <v/>
      </c>
      <c r="Z8920" t="n">
        <v>1</v>
      </c>
      <c r="AA8920">
        <f>IF(ISNUMBER('IN-CLASS_Lab Part C'!$J$8920),'IN-CLASS_Lab Part C'!$J$8920,NA())</f>
        <v/>
      </c>
    </row>
    <row r="8921">
      <c r="J8921">
        <f>IF(AND(ISNUMBER('Data'!$F$8922),'Data'!$F$8922&lt;&gt;999,'Data'!$F$8922&lt;&gt;""),'Data'!$F$8922,"")</f>
        <v/>
      </c>
      <c r="Z8921" t="n">
        <v>1</v>
      </c>
      <c r="AA8921">
        <f>IF(ISNUMBER('IN-CLASS_Lab Part C'!$J$8921),'IN-CLASS_Lab Part C'!$J$8921,NA())</f>
        <v/>
      </c>
    </row>
    <row r="8922">
      <c r="J8922">
        <f>IF(AND(ISNUMBER('Data'!$F$8923),'Data'!$F$8923&lt;&gt;999,'Data'!$F$8923&lt;&gt;""),'Data'!$F$8923,"")</f>
        <v/>
      </c>
      <c r="Z8922" t="n">
        <v>1</v>
      </c>
      <c r="AA8922">
        <f>IF(ISNUMBER('IN-CLASS_Lab Part C'!$J$8922),'IN-CLASS_Lab Part C'!$J$8922,NA())</f>
        <v/>
      </c>
    </row>
    <row r="8923">
      <c r="J8923">
        <f>IF(AND(ISNUMBER('Data'!$F$8924),'Data'!$F$8924&lt;&gt;999,'Data'!$F$8924&lt;&gt;""),'Data'!$F$8924,"")</f>
        <v/>
      </c>
      <c r="Z8923" t="n">
        <v>1</v>
      </c>
      <c r="AA8923">
        <f>IF(ISNUMBER('IN-CLASS_Lab Part C'!$J$8923),'IN-CLASS_Lab Part C'!$J$8923,NA())</f>
        <v/>
      </c>
    </row>
    <row r="8924">
      <c r="J8924">
        <f>IF(AND(ISNUMBER('Data'!$F$8925),'Data'!$F$8925&lt;&gt;999,'Data'!$F$8925&lt;&gt;""),'Data'!$F$8925,"")</f>
        <v/>
      </c>
      <c r="Z8924" t="n">
        <v>1</v>
      </c>
      <c r="AA8924">
        <f>IF(ISNUMBER('IN-CLASS_Lab Part C'!$J$8924),'IN-CLASS_Lab Part C'!$J$8924,NA())</f>
        <v/>
      </c>
    </row>
    <row r="8925">
      <c r="J8925">
        <f>IF(AND(ISNUMBER('Data'!$F$8926),'Data'!$F$8926&lt;&gt;999,'Data'!$F$8926&lt;&gt;""),'Data'!$F$8926,"")</f>
        <v/>
      </c>
      <c r="Z8925" t="n">
        <v>1</v>
      </c>
      <c r="AA8925">
        <f>IF(ISNUMBER('IN-CLASS_Lab Part C'!$J$8925),'IN-CLASS_Lab Part C'!$J$8925,NA())</f>
        <v/>
      </c>
    </row>
    <row r="8926">
      <c r="J8926">
        <f>IF(AND(ISNUMBER('Data'!$F$8927),'Data'!$F$8927&lt;&gt;999,'Data'!$F$8927&lt;&gt;""),'Data'!$F$8927,"")</f>
        <v/>
      </c>
      <c r="Z8926" t="n">
        <v>1</v>
      </c>
      <c r="AA8926">
        <f>IF(ISNUMBER('IN-CLASS_Lab Part C'!$J$8926),'IN-CLASS_Lab Part C'!$J$8926,NA())</f>
        <v/>
      </c>
    </row>
    <row r="8927">
      <c r="J8927">
        <f>IF(AND(ISNUMBER('Data'!$F$8928),'Data'!$F$8928&lt;&gt;999,'Data'!$F$8928&lt;&gt;""),'Data'!$F$8928,"")</f>
        <v/>
      </c>
      <c r="Z8927" t="n">
        <v>1</v>
      </c>
      <c r="AA8927">
        <f>IF(ISNUMBER('IN-CLASS_Lab Part C'!$J$8927),'IN-CLASS_Lab Part C'!$J$8927,NA())</f>
        <v/>
      </c>
    </row>
    <row r="8928">
      <c r="J8928">
        <f>IF(AND(ISNUMBER('Data'!$F$8929),'Data'!$F$8929&lt;&gt;999,'Data'!$F$8929&lt;&gt;""),'Data'!$F$8929,"")</f>
        <v/>
      </c>
      <c r="Z8928" t="n">
        <v>1</v>
      </c>
      <c r="AA8928">
        <f>IF(ISNUMBER('IN-CLASS_Lab Part C'!$J$8928),'IN-CLASS_Lab Part C'!$J$8928,NA())</f>
        <v/>
      </c>
    </row>
    <row r="8929">
      <c r="J8929">
        <f>IF(AND(ISNUMBER('Data'!$F$8930),'Data'!$F$8930&lt;&gt;999,'Data'!$F$8930&lt;&gt;""),'Data'!$F$8930,"")</f>
        <v/>
      </c>
      <c r="Z8929" t="n">
        <v>1</v>
      </c>
      <c r="AA8929">
        <f>IF(ISNUMBER('IN-CLASS_Lab Part C'!$J$8929),'IN-CLASS_Lab Part C'!$J$8929,NA())</f>
        <v/>
      </c>
    </row>
    <row r="8930">
      <c r="J8930">
        <f>IF(AND(ISNUMBER('Data'!$F$8931),'Data'!$F$8931&lt;&gt;999,'Data'!$F$8931&lt;&gt;""),'Data'!$F$8931,"")</f>
        <v/>
      </c>
      <c r="Z8930" t="n">
        <v>1</v>
      </c>
      <c r="AA8930">
        <f>IF(ISNUMBER('IN-CLASS_Lab Part C'!$J$8930),'IN-CLASS_Lab Part C'!$J$8930,NA())</f>
        <v/>
      </c>
    </row>
    <row r="8931">
      <c r="J8931">
        <f>IF(AND(ISNUMBER('Data'!$F$8932),'Data'!$F$8932&lt;&gt;999,'Data'!$F$8932&lt;&gt;""),'Data'!$F$8932,"")</f>
        <v/>
      </c>
      <c r="Z8931" t="n">
        <v>1</v>
      </c>
      <c r="AA8931">
        <f>IF(ISNUMBER('IN-CLASS_Lab Part C'!$J$8931),'IN-CLASS_Lab Part C'!$J$8931,NA())</f>
        <v/>
      </c>
    </row>
    <row r="8932">
      <c r="J8932">
        <f>IF(AND(ISNUMBER('Data'!$F$8933),'Data'!$F$8933&lt;&gt;999,'Data'!$F$8933&lt;&gt;""),'Data'!$F$8933,"")</f>
        <v/>
      </c>
      <c r="Z8932" t="n">
        <v>1</v>
      </c>
      <c r="AA8932">
        <f>IF(ISNUMBER('IN-CLASS_Lab Part C'!$J$8932),'IN-CLASS_Lab Part C'!$J$8932,NA())</f>
        <v/>
      </c>
    </row>
    <row r="8933">
      <c r="J8933">
        <f>IF(AND(ISNUMBER('Data'!$F$8934),'Data'!$F$8934&lt;&gt;999,'Data'!$F$8934&lt;&gt;""),'Data'!$F$8934,"")</f>
        <v/>
      </c>
      <c r="Z8933" t="n">
        <v>1</v>
      </c>
      <c r="AA8933">
        <f>IF(ISNUMBER('IN-CLASS_Lab Part C'!$J$8933),'IN-CLASS_Lab Part C'!$J$8933,NA())</f>
        <v/>
      </c>
    </row>
    <row r="8934">
      <c r="J8934">
        <f>IF(AND(ISNUMBER('Data'!$F$8935),'Data'!$F$8935&lt;&gt;999,'Data'!$F$8935&lt;&gt;""),'Data'!$F$8935,"")</f>
        <v/>
      </c>
      <c r="Z8934" t="n">
        <v>1</v>
      </c>
      <c r="AA8934">
        <f>IF(ISNUMBER('IN-CLASS_Lab Part C'!$J$8934),'IN-CLASS_Lab Part C'!$J$8934,NA())</f>
        <v/>
      </c>
    </row>
    <row r="8935">
      <c r="J8935">
        <f>IF(AND(ISNUMBER('Data'!$F$8936),'Data'!$F$8936&lt;&gt;999,'Data'!$F$8936&lt;&gt;""),'Data'!$F$8936,"")</f>
        <v/>
      </c>
      <c r="Z8935" t="n">
        <v>1</v>
      </c>
      <c r="AA8935">
        <f>IF(ISNUMBER('IN-CLASS_Lab Part C'!$J$8935),'IN-CLASS_Lab Part C'!$J$8935,NA())</f>
        <v/>
      </c>
    </row>
    <row r="8936">
      <c r="J8936">
        <f>IF(AND(ISNUMBER('Data'!$F$8937),'Data'!$F$8937&lt;&gt;999,'Data'!$F$8937&lt;&gt;""),'Data'!$F$8937,"")</f>
        <v/>
      </c>
      <c r="Z8936" t="n">
        <v>1</v>
      </c>
      <c r="AA8936">
        <f>IF(ISNUMBER('IN-CLASS_Lab Part C'!$J$8936),'IN-CLASS_Lab Part C'!$J$8936,NA())</f>
        <v/>
      </c>
    </row>
    <row r="8937">
      <c r="J8937">
        <f>IF(AND(ISNUMBER('Data'!$F$8938),'Data'!$F$8938&lt;&gt;999,'Data'!$F$8938&lt;&gt;""),'Data'!$F$8938,"")</f>
        <v/>
      </c>
      <c r="Z8937" t="n">
        <v>1</v>
      </c>
      <c r="AA8937">
        <f>IF(ISNUMBER('IN-CLASS_Lab Part C'!$J$8937),'IN-CLASS_Lab Part C'!$J$8937,NA())</f>
        <v/>
      </c>
    </row>
    <row r="8938">
      <c r="J8938">
        <f>IF(AND(ISNUMBER('Data'!$F$8939),'Data'!$F$8939&lt;&gt;999,'Data'!$F$8939&lt;&gt;""),'Data'!$F$8939,"")</f>
        <v/>
      </c>
      <c r="Z8938" t="n">
        <v>1</v>
      </c>
      <c r="AA8938">
        <f>IF(ISNUMBER('IN-CLASS_Lab Part C'!$J$8938),'IN-CLASS_Lab Part C'!$J$8938,NA())</f>
        <v/>
      </c>
    </row>
    <row r="8939">
      <c r="J8939">
        <f>IF(AND(ISNUMBER('Data'!$F$8940),'Data'!$F$8940&lt;&gt;999,'Data'!$F$8940&lt;&gt;""),'Data'!$F$8940,"")</f>
        <v/>
      </c>
      <c r="Z8939" t="n">
        <v>1</v>
      </c>
      <c r="AA8939">
        <f>IF(ISNUMBER('IN-CLASS_Lab Part C'!$J$8939),'IN-CLASS_Lab Part C'!$J$8939,NA())</f>
        <v/>
      </c>
    </row>
    <row r="8940">
      <c r="J8940">
        <f>IF(AND(ISNUMBER('Data'!$F$8941),'Data'!$F$8941&lt;&gt;999,'Data'!$F$8941&lt;&gt;""),'Data'!$F$8941,"")</f>
        <v/>
      </c>
      <c r="Z8940" t="n">
        <v>1</v>
      </c>
      <c r="AA8940">
        <f>IF(ISNUMBER('IN-CLASS_Lab Part C'!$J$8940),'IN-CLASS_Lab Part C'!$J$8940,NA())</f>
        <v/>
      </c>
    </row>
    <row r="8941">
      <c r="J8941">
        <f>IF(AND(ISNUMBER('Data'!$F$8942),'Data'!$F$8942&lt;&gt;999,'Data'!$F$8942&lt;&gt;""),'Data'!$F$8942,"")</f>
        <v/>
      </c>
      <c r="Z8941" t="n">
        <v>1</v>
      </c>
      <c r="AA8941">
        <f>IF(ISNUMBER('IN-CLASS_Lab Part C'!$J$8941),'IN-CLASS_Lab Part C'!$J$8941,NA())</f>
        <v/>
      </c>
    </row>
    <row r="8942">
      <c r="J8942">
        <f>IF(AND(ISNUMBER('Data'!$F$8943),'Data'!$F$8943&lt;&gt;999,'Data'!$F$8943&lt;&gt;""),'Data'!$F$8943,"")</f>
        <v/>
      </c>
      <c r="Z8942" t="n">
        <v>1</v>
      </c>
      <c r="AA8942">
        <f>IF(ISNUMBER('IN-CLASS_Lab Part C'!$J$8942),'IN-CLASS_Lab Part C'!$J$8942,NA())</f>
        <v/>
      </c>
    </row>
    <row r="8943">
      <c r="J8943">
        <f>IF(AND(ISNUMBER('Data'!$F$8944),'Data'!$F$8944&lt;&gt;999,'Data'!$F$8944&lt;&gt;""),'Data'!$F$8944,"")</f>
        <v/>
      </c>
      <c r="Z8943" t="n">
        <v>1</v>
      </c>
      <c r="AA8943">
        <f>IF(ISNUMBER('IN-CLASS_Lab Part C'!$J$8943),'IN-CLASS_Lab Part C'!$J$8943,NA())</f>
        <v/>
      </c>
    </row>
    <row r="8944">
      <c r="J8944">
        <f>IF(AND(ISNUMBER('Data'!$F$8945),'Data'!$F$8945&lt;&gt;999,'Data'!$F$8945&lt;&gt;""),'Data'!$F$8945,"")</f>
        <v/>
      </c>
      <c r="Z8944" t="n">
        <v>1</v>
      </c>
      <c r="AA8944">
        <f>IF(ISNUMBER('IN-CLASS_Lab Part C'!$J$8944),'IN-CLASS_Lab Part C'!$J$8944,NA())</f>
        <v/>
      </c>
    </row>
    <row r="8945">
      <c r="J8945">
        <f>IF(AND(ISNUMBER('Data'!$F$8946),'Data'!$F$8946&lt;&gt;999,'Data'!$F$8946&lt;&gt;""),'Data'!$F$8946,"")</f>
        <v/>
      </c>
      <c r="Z8945" t="n">
        <v>1</v>
      </c>
      <c r="AA8945">
        <f>IF(ISNUMBER('IN-CLASS_Lab Part C'!$J$8945),'IN-CLASS_Lab Part C'!$J$8945,NA())</f>
        <v/>
      </c>
    </row>
    <row r="8946">
      <c r="J8946">
        <f>IF(AND(ISNUMBER('Data'!$F$8947),'Data'!$F$8947&lt;&gt;999,'Data'!$F$8947&lt;&gt;""),'Data'!$F$8947,"")</f>
        <v/>
      </c>
      <c r="Z8946" t="n">
        <v>1</v>
      </c>
      <c r="AA8946">
        <f>IF(ISNUMBER('IN-CLASS_Lab Part C'!$J$8946),'IN-CLASS_Lab Part C'!$J$8946,NA())</f>
        <v/>
      </c>
    </row>
    <row r="8947">
      <c r="J8947">
        <f>IF(AND(ISNUMBER('Data'!$F$8948),'Data'!$F$8948&lt;&gt;999,'Data'!$F$8948&lt;&gt;""),'Data'!$F$8948,"")</f>
        <v/>
      </c>
      <c r="Z8947" t="n">
        <v>1</v>
      </c>
      <c r="AA8947">
        <f>IF(ISNUMBER('IN-CLASS_Lab Part C'!$J$8947),'IN-CLASS_Lab Part C'!$J$8947,NA())</f>
        <v/>
      </c>
    </row>
    <row r="8948">
      <c r="J8948">
        <f>IF(AND(ISNUMBER('Data'!$F$8949),'Data'!$F$8949&lt;&gt;999,'Data'!$F$8949&lt;&gt;""),'Data'!$F$8949,"")</f>
        <v/>
      </c>
      <c r="Z8948" t="n">
        <v>1</v>
      </c>
      <c r="AA8948">
        <f>IF(ISNUMBER('IN-CLASS_Lab Part C'!$J$8948),'IN-CLASS_Lab Part C'!$J$8948,NA())</f>
        <v/>
      </c>
    </row>
    <row r="8949">
      <c r="J8949">
        <f>IF(AND(ISNUMBER('Data'!$F$8950),'Data'!$F$8950&lt;&gt;999,'Data'!$F$8950&lt;&gt;""),'Data'!$F$8950,"")</f>
        <v/>
      </c>
      <c r="Z8949" t="n">
        <v>1</v>
      </c>
      <c r="AA8949">
        <f>IF(ISNUMBER('IN-CLASS_Lab Part C'!$J$8949),'IN-CLASS_Lab Part C'!$J$8949,NA())</f>
        <v/>
      </c>
    </row>
    <row r="8950">
      <c r="J8950">
        <f>IF(AND(ISNUMBER('Data'!$F$8951),'Data'!$F$8951&lt;&gt;999,'Data'!$F$8951&lt;&gt;""),'Data'!$F$8951,"")</f>
        <v/>
      </c>
      <c r="Z8950" t="n">
        <v>1</v>
      </c>
      <c r="AA8950">
        <f>IF(ISNUMBER('IN-CLASS_Lab Part C'!$J$8950),'IN-CLASS_Lab Part C'!$J$8950,NA())</f>
        <v/>
      </c>
    </row>
    <row r="8951">
      <c r="J8951">
        <f>IF(AND(ISNUMBER('Data'!$F$8952),'Data'!$F$8952&lt;&gt;999,'Data'!$F$8952&lt;&gt;""),'Data'!$F$8952,"")</f>
        <v/>
      </c>
      <c r="Z8951" t="n">
        <v>1</v>
      </c>
      <c r="AA8951">
        <f>IF(ISNUMBER('IN-CLASS_Lab Part C'!$J$8951),'IN-CLASS_Lab Part C'!$J$8951,NA())</f>
        <v/>
      </c>
    </row>
    <row r="8952">
      <c r="J8952">
        <f>IF(AND(ISNUMBER('Data'!$F$8953),'Data'!$F$8953&lt;&gt;999,'Data'!$F$8953&lt;&gt;""),'Data'!$F$8953,"")</f>
        <v/>
      </c>
      <c r="Z8952" t="n">
        <v>1</v>
      </c>
      <c r="AA8952">
        <f>IF(ISNUMBER('IN-CLASS_Lab Part C'!$J$8952),'IN-CLASS_Lab Part C'!$J$8952,NA())</f>
        <v/>
      </c>
    </row>
    <row r="8953">
      <c r="J8953">
        <f>IF(AND(ISNUMBER('Data'!$F$8954),'Data'!$F$8954&lt;&gt;999,'Data'!$F$8954&lt;&gt;""),'Data'!$F$8954,"")</f>
        <v/>
      </c>
      <c r="Z8953" t="n">
        <v>1</v>
      </c>
      <c r="AA8953">
        <f>IF(ISNUMBER('IN-CLASS_Lab Part C'!$J$8953),'IN-CLASS_Lab Part C'!$J$8953,NA())</f>
        <v/>
      </c>
    </row>
    <row r="8954">
      <c r="J8954">
        <f>IF(AND(ISNUMBER('Data'!$F$8955),'Data'!$F$8955&lt;&gt;999,'Data'!$F$8955&lt;&gt;""),'Data'!$F$8955,"")</f>
        <v/>
      </c>
      <c r="Z8954" t="n">
        <v>1</v>
      </c>
      <c r="AA8954">
        <f>IF(ISNUMBER('IN-CLASS_Lab Part C'!$J$8954),'IN-CLASS_Lab Part C'!$J$8954,NA())</f>
        <v/>
      </c>
    </row>
    <row r="8955">
      <c r="J8955">
        <f>IF(AND(ISNUMBER('Data'!$F$8956),'Data'!$F$8956&lt;&gt;999,'Data'!$F$8956&lt;&gt;""),'Data'!$F$8956,"")</f>
        <v/>
      </c>
      <c r="Z8955" t="n">
        <v>1</v>
      </c>
      <c r="AA8955">
        <f>IF(ISNUMBER('IN-CLASS_Lab Part C'!$J$8955),'IN-CLASS_Lab Part C'!$J$8955,NA())</f>
        <v/>
      </c>
    </row>
    <row r="8956">
      <c r="J8956">
        <f>IF(AND(ISNUMBER('Data'!$F$8957),'Data'!$F$8957&lt;&gt;999,'Data'!$F$8957&lt;&gt;""),'Data'!$F$8957,"")</f>
        <v/>
      </c>
      <c r="Z8956" t="n">
        <v>1</v>
      </c>
      <c r="AA8956">
        <f>IF(ISNUMBER('IN-CLASS_Lab Part C'!$J$8956),'IN-CLASS_Lab Part C'!$J$8956,NA())</f>
        <v/>
      </c>
    </row>
    <row r="8957">
      <c r="J8957">
        <f>IF(AND(ISNUMBER('Data'!$F$8958),'Data'!$F$8958&lt;&gt;999,'Data'!$F$8958&lt;&gt;""),'Data'!$F$8958,"")</f>
        <v/>
      </c>
      <c r="Z8957" t="n">
        <v>1</v>
      </c>
      <c r="AA8957">
        <f>IF(ISNUMBER('IN-CLASS_Lab Part C'!$J$8957),'IN-CLASS_Lab Part C'!$J$8957,NA())</f>
        <v/>
      </c>
    </row>
    <row r="8958">
      <c r="J8958">
        <f>IF(AND(ISNUMBER('Data'!$F$8959),'Data'!$F$8959&lt;&gt;999,'Data'!$F$8959&lt;&gt;""),'Data'!$F$8959,"")</f>
        <v/>
      </c>
      <c r="Z8958" t="n">
        <v>1</v>
      </c>
      <c r="AA8958">
        <f>IF(ISNUMBER('IN-CLASS_Lab Part C'!$J$8958),'IN-CLASS_Lab Part C'!$J$8958,NA())</f>
        <v/>
      </c>
    </row>
    <row r="8959">
      <c r="J8959">
        <f>IF(AND(ISNUMBER('Data'!$F$8960),'Data'!$F$8960&lt;&gt;999,'Data'!$F$8960&lt;&gt;""),'Data'!$F$8960,"")</f>
        <v/>
      </c>
      <c r="Z8959" t="n">
        <v>1</v>
      </c>
      <c r="AA8959">
        <f>IF(ISNUMBER('IN-CLASS_Lab Part C'!$J$8959),'IN-CLASS_Lab Part C'!$J$8959,NA())</f>
        <v/>
      </c>
    </row>
    <row r="8960">
      <c r="J8960">
        <f>IF(AND(ISNUMBER('Data'!$F$8961),'Data'!$F$8961&lt;&gt;999,'Data'!$F$8961&lt;&gt;""),'Data'!$F$8961,"")</f>
        <v/>
      </c>
      <c r="Z8960" t="n">
        <v>1</v>
      </c>
      <c r="AA8960">
        <f>IF(ISNUMBER('IN-CLASS_Lab Part C'!$J$8960),'IN-CLASS_Lab Part C'!$J$8960,NA())</f>
        <v/>
      </c>
    </row>
    <row r="8961">
      <c r="J8961">
        <f>IF(AND(ISNUMBER('Data'!$F$8962),'Data'!$F$8962&lt;&gt;999,'Data'!$F$8962&lt;&gt;""),'Data'!$F$8962,"")</f>
        <v/>
      </c>
      <c r="Z8961" t="n">
        <v>1</v>
      </c>
      <c r="AA8961">
        <f>IF(ISNUMBER('IN-CLASS_Lab Part C'!$J$8961),'IN-CLASS_Lab Part C'!$J$8961,NA())</f>
        <v/>
      </c>
    </row>
    <row r="8962">
      <c r="J8962">
        <f>IF(AND(ISNUMBER('Data'!$F$8963),'Data'!$F$8963&lt;&gt;999,'Data'!$F$8963&lt;&gt;""),'Data'!$F$8963,"")</f>
        <v/>
      </c>
      <c r="Z8962" t="n">
        <v>1</v>
      </c>
      <c r="AA8962">
        <f>IF(ISNUMBER('IN-CLASS_Lab Part C'!$J$8962),'IN-CLASS_Lab Part C'!$J$8962,NA())</f>
        <v/>
      </c>
    </row>
    <row r="8963">
      <c r="J8963">
        <f>IF(AND(ISNUMBER('Data'!$F$8964),'Data'!$F$8964&lt;&gt;999,'Data'!$F$8964&lt;&gt;""),'Data'!$F$8964,"")</f>
        <v/>
      </c>
      <c r="Z8963" t="n">
        <v>1</v>
      </c>
      <c r="AA8963">
        <f>IF(ISNUMBER('IN-CLASS_Lab Part C'!$J$8963),'IN-CLASS_Lab Part C'!$J$8963,NA())</f>
        <v/>
      </c>
    </row>
    <row r="8964">
      <c r="J8964">
        <f>IF(AND(ISNUMBER('Data'!$F$8965),'Data'!$F$8965&lt;&gt;999,'Data'!$F$8965&lt;&gt;""),'Data'!$F$8965,"")</f>
        <v/>
      </c>
      <c r="Z8964" t="n">
        <v>1</v>
      </c>
      <c r="AA8964">
        <f>IF(ISNUMBER('IN-CLASS_Lab Part C'!$J$8964),'IN-CLASS_Lab Part C'!$J$8964,NA())</f>
        <v/>
      </c>
    </row>
    <row r="8965">
      <c r="J8965">
        <f>IF(AND(ISNUMBER('Data'!$F$8966),'Data'!$F$8966&lt;&gt;999,'Data'!$F$8966&lt;&gt;""),'Data'!$F$8966,"")</f>
        <v/>
      </c>
      <c r="Z8965" t="n">
        <v>1</v>
      </c>
      <c r="AA8965">
        <f>IF(ISNUMBER('IN-CLASS_Lab Part C'!$J$8965),'IN-CLASS_Lab Part C'!$J$8965,NA())</f>
        <v/>
      </c>
    </row>
    <row r="8966">
      <c r="J8966">
        <f>IF(AND(ISNUMBER('Data'!$F$8967),'Data'!$F$8967&lt;&gt;999,'Data'!$F$8967&lt;&gt;""),'Data'!$F$8967,"")</f>
        <v/>
      </c>
      <c r="Z8966" t="n">
        <v>1</v>
      </c>
      <c r="AA8966">
        <f>IF(ISNUMBER('IN-CLASS_Lab Part C'!$J$8966),'IN-CLASS_Lab Part C'!$J$8966,NA())</f>
        <v/>
      </c>
    </row>
    <row r="8967">
      <c r="J8967">
        <f>IF(AND(ISNUMBER('Data'!$F$8968),'Data'!$F$8968&lt;&gt;999,'Data'!$F$8968&lt;&gt;""),'Data'!$F$8968,"")</f>
        <v/>
      </c>
      <c r="Z8967" t="n">
        <v>1</v>
      </c>
      <c r="AA8967">
        <f>IF(ISNUMBER('IN-CLASS_Lab Part C'!$J$8967),'IN-CLASS_Lab Part C'!$J$8967,NA())</f>
        <v/>
      </c>
    </row>
    <row r="8968">
      <c r="J8968">
        <f>IF(AND(ISNUMBER('Data'!$F$8969),'Data'!$F$8969&lt;&gt;999,'Data'!$F$8969&lt;&gt;""),'Data'!$F$8969,"")</f>
        <v/>
      </c>
      <c r="Z8968" t="n">
        <v>1</v>
      </c>
      <c r="AA8968">
        <f>IF(ISNUMBER('IN-CLASS_Lab Part C'!$J$8968),'IN-CLASS_Lab Part C'!$J$8968,NA())</f>
        <v/>
      </c>
    </row>
    <row r="8969">
      <c r="J8969">
        <f>IF(AND(ISNUMBER('Data'!$F$8970),'Data'!$F$8970&lt;&gt;999,'Data'!$F$8970&lt;&gt;""),'Data'!$F$8970,"")</f>
        <v/>
      </c>
      <c r="Z8969" t="n">
        <v>1</v>
      </c>
      <c r="AA8969">
        <f>IF(ISNUMBER('IN-CLASS_Lab Part C'!$J$8969),'IN-CLASS_Lab Part C'!$J$8969,NA())</f>
        <v/>
      </c>
    </row>
    <row r="8970">
      <c r="J8970">
        <f>IF(AND(ISNUMBER('Data'!$F$8971),'Data'!$F$8971&lt;&gt;999,'Data'!$F$8971&lt;&gt;""),'Data'!$F$8971,"")</f>
        <v/>
      </c>
      <c r="Z8970" t="n">
        <v>1</v>
      </c>
      <c r="AA8970">
        <f>IF(ISNUMBER('IN-CLASS_Lab Part C'!$J$8970),'IN-CLASS_Lab Part C'!$J$8970,NA())</f>
        <v/>
      </c>
    </row>
    <row r="8971">
      <c r="J8971">
        <f>IF(AND(ISNUMBER('Data'!$F$8972),'Data'!$F$8972&lt;&gt;999,'Data'!$F$8972&lt;&gt;""),'Data'!$F$8972,"")</f>
        <v/>
      </c>
      <c r="Z8971" t="n">
        <v>1</v>
      </c>
      <c r="AA8971">
        <f>IF(ISNUMBER('IN-CLASS_Lab Part C'!$J$8971),'IN-CLASS_Lab Part C'!$J$8971,NA())</f>
        <v/>
      </c>
    </row>
    <row r="8972">
      <c r="J8972">
        <f>IF(AND(ISNUMBER('Data'!$F$8973),'Data'!$F$8973&lt;&gt;999,'Data'!$F$8973&lt;&gt;""),'Data'!$F$8973,"")</f>
        <v/>
      </c>
      <c r="Z8972" t="n">
        <v>1</v>
      </c>
      <c r="AA8972">
        <f>IF(ISNUMBER('IN-CLASS_Lab Part C'!$J$8972),'IN-CLASS_Lab Part C'!$J$8972,NA())</f>
        <v/>
      </c>
    </row>
    <row r="8973">
      <c r="J8973">
        <f>IF(AND(ISNUMBER('Data'!$F$8974),'Data'!$F$8974&lt;&gt;999,'Data'!$F$8974&lt;&gt;""),'Data'!$F$8974,"")</f>
        <v/>
      </c>
      <c r="Z8973" t="n">
        <v>1</v>
      </c>
      <c r="AA8973">
        <f>IF(ISNUMBER('IN-CLASS_Lab Part C'!$J$8973),'IN-CLASS_Lab Part C'!$J$8973,NA())</f>
        <v/>
      </c>
    </row>
    <row r="8974">
      <c r="J8974">
        <f>IF(AND(ISNUMBER('Data'!$F$8975),'Data'!$F$8975&lt;&gt;999,'Data'!$F$8975&lt;&gt;""),'Data'!$F$8975,"")</f>
        <v/>
      </c>
      <c r="Z8974" t="n">
        <v>1</v>
      </c>
      <c r="AA8974">
        <f>IF(ISNUMBER('IN-CLASS_Lab Part C'!$J$8974),'IN-CLASS_Lab Part C'!$J$8974,NA())</f>
        <v/>
      </c>
    </row>
    <row r="8975">
      <c r="J8975">
        <f>IF(AND(ISNUMBER('Data'!$F$8976),'Data'!$F$8976&lt;&gt;999,'Data'!$F$8976&lt;&gt;""),'Data'!$F$8976,"")</f>
        <v/>
      </c>
      <c r="Z8975" t="n">
        <v>1</v>
      </c>
      <c r="AA8975">
        <f>IF(ISNUMBER('IN-CLASS_Lab Part C'!$J$8975),'IN-CLASS_Lab Part C'!$J$8975,NA())</f>
        <v/>
      </c>
    </row>
    <row r="8976">
      <c r="J8976">
        <f>IF(AND(ISNUMBER('Data'!$F$8977),'Data'!$F$8977&lt;&gt;999,'Data'!$F$8977&lt;&gt;""),'Data'!$F$8977,"")</f>
        <v/>
      </c>
      <c r="Z8976" t="n">
        <v>1</v>
      </c>
      <c r="AA8976">
        <f>IF(ISNUMBER('IN-CLASS_Lab Part C'!$J$8976),'IN-CLASS_Lab Part C'!$J$8976,NA())</f>
        <v/>
      </c>
    </row>
    <row r="8977">
      <c r="J8977">
        <f>IF(AND(ISNUMBER('Data'!$F$8978),'Data'!$F$8978&lt;&gt;999,'Data'!$F$8978&lt;&gt;""),'Data'!$F$8978,"")</f>
        <v/>
      </c>
      <c r="Z8977" t="n">
        <v>1</v>
      </c>
      <c r="AA8977">
        <f>IF(ISNUMBER('IN-CLASS_Lab Part C'!$J$8977),'IN-CLASS_Lab Part C'!$J$8977,NA())</f>
        <v/>
      </c>
    </row>
    <row r="8978">
      <c r="J8978">
        <f>IF(AND(ISNUMBER('Data'!$F$8979),'Data'!$F$8979&lt;&gt;999,'Data'!$F$8979&lt;&gt;""),'Data'!$F$8979,"")</f>
        <v/>
      </c>
      <c r="Z8978" t="n">
        <v>1</v>
      </c>
      <c r="AA8978">
        <f>IF(ISNUMBER('IN-CLASS_Lab Part C'!$J$8978),'IN-CLASS_Lab Part C'!$J$8978,NA())</f>
        <v/>
      </c>
    </row>
    <row r="8979">
      <c r="J8979">
        <f>IF(AND(ISNUMBER('Data'!$F$8980),'Data'!$F$8980&lt;&gt;999,'Data'!$F$8980&lt;&gt;""),'Data'!$F$8980,"")</f>
        <v/>
      </c>
      <c r="Z8979" t="n">
        <v>1</v>
      </c>
      <c r="AA8979">
        <f>IF(ISNUMBER('IN-CLASS_Lab Part C'!$J$8979),'IN-CLASS_Lab Part C'!$J$8979,NA())</f>
        <v/>
      </c>
    </row>
    <row r="8980">
      <c r="J8980">
        <f>IF(AND(ISNUMBER('Data'!$F$8981),'Data'!$F$8981&lt;&gt;999,'Data'!$F$8981&lt;&gt;""),'Data'!$F$8981,"")</f>
        <v/>
      </c>
      <c r="Z8980" t="n">
        <v>1</v>
      </c>
      <c r="AA8980">
        <f>IF(ISNUMBER('IN-CLASS_Lab Part C'!$J$8980),'IN-CLASS_Lab Part C'!$J$8980,NA())</f>
        <v/>
      </c>
    </row>
    <row r="8981">
      <c r="J8981">
        <f>IF(AND(ISNUMBER('Data'!$F$8982),'Data'!$F$8982&lt;&gt;999,'Data'!$F$8982&lt;&gt;""),'Data'!$F$8982,"")</f>
        <v/>
      </c>
      <c r="Z8981" t="n">
        <v>1</v>
      </c>
      <c r="AA8981">
        <f>IF(ISNUMBER('IN-CLASS_Lab Part C'!$J$8981),'IN-CLASS_Lab Part C'!$J$8981,NA())</f>
        <v/>
      </c>
    </row>
    <row r="8982">
      <c r="J8982">
        <f>IF(AND(ISNUMBER('Data'!$F$8983),'Data'!$F$8983&lt;&gt;999,'Data'!$F$8983&lt;&gt;""),'Data'!$F$8983,"")</f>
        <v/>
      </c>
      <c r="Z8982" t="n">
        <v>1</v>
      </c>
      <c r="AA8982">
        <f>IF(ISNUMBER('IN-CLASS_Lab Part C'!$J$8982),'IN-CLASS_Lab Part C'!$J$8982,NA())</f>
        <v/>
      </c>
    </row>
    <row r="8983">
      <c r="J8983">
        <f>IF(AND(ISNUMBER('Data'!$F$8984),'Data'!$F$8984&lt;&gt;999,'Data'!$F$8984&lt;&gt;""),'Data'!$F$8984,"")</f>
        <v/>
      </c>
      <c r="Z8983" t="n">
        <v>1</v>
      </c>
      <c r="AA8983">
        <f>IF(ISNUMBER('IN-CLASS_Lab Part C'!$J$8983),'IN-CLASS_Lab Part C'!$J$8983,NA())</f>
        <v/>
      </c>
    </row>
    <row r="8984">
      <c r="J8984">
        <f>IF(AND(ISNUMBER('Data'!$F$8985),'Data'!$F$8985&lt;&gt;999,'Data'!$F$8985&lt;&gt;""),'Data'!$F$8985,"")</f>
        <v/>
      </c>
      <c r="Z8984" t="n">
        <v>1</v>
      </c>
      <c r="AA8984">
        <f>IF(ISNUMBER('IN-CLASS_Lab Part C'!$J$8984),'IN-CLASS_Lab Part C'!$J$8984,NA())</f>
        <v/>
      </c>
    </row>
    <row r="8985">
      <c r="J8985">
        <f>IF(AND(ISNUMBER('Data'!$F$8986),'Data'!$F$8986&lt;&gt;999,'Data'!$F$8986&lt;&gt;""),'Data'!$F$8986,"")</f>
        <v/>
      </c>
      <c r="Z8985" t="n">
        <v>1</v>
      </c>
      <c r="AA8985">
        <f>IF(ISNUMBER('IN-CLASS_Lab Part C'!$J$8985),'IN-CLASS_Lab Part C'!$J$8985,NA())</f>
        <v/>
      </c>
    </row>
    <row r="8986">
      <c r="J8986">
        <f>IF(AND(ISNUMBER('Data'!$F$8987),'Data'!$F$8987&lt;&gt;999,'Data'!$F$8987&lt;&gt;""),'Data'!$F$8987,"")</f>
        <v/>
      </c>
      <c r="Z8986" t="n">
        <v>1</v>
      </c>
      <c r="AA8986">
        <f>IF(ISNUMBER('IN-CLASS_Lab Part C'!$J$8986),'IN-CLASS_Lab Part C'!$J$8986,NA())</f>
        <v/>
      </c>
    </row>
    <row r="8987">
      <c r="J8987">
        <f>IF(AND(ISNUMBER('Data'!$F$8988),'Data'!$F$8988&lt;&gt;999,'Data'!$F$8988&lt;&gt;""),'Data'!$F$8988,"")</f>
        <v/>
      </c>
      <c r="Z8987" t="n">
        <v>1</v>
      </c>
      <c r="AA8987">
        <f>IF(ISNUMBER('IN-CLASS_Lab Part C'!$J$8987),'IN-CLASS_Lab Part C'!$J$8987,NA())</f>
        <v/>
      </c>
    </row>
    <row r="8988">
      <c r="J8988">
        <f>IF(AND(ISNUMBER('Data'!$F$8989),'Data'!$F$8989&lt;&gt;999,'Data'!$F$8989&lt;&gt;""),'Data'!$F$8989,"")</f>
        <v/>
      </c>
      <c r="Z8988" t="n">
        <v>1</v>
      </c>
      <c r="AA8988">
        <f>IF(ISNUMBER('IN-CLASS_Lab Part C'!$J$8988),'IN-CLASS_Lab Part C'!$J$8988,NA())</f>
        <v/>
      </c>
    </row>
    <row r="8989">
      <c r="J8989">
        <f>IF(AND(ISNUMBER('Data'!$F$8990),'Data'!$F$8990&lt;&gt;999,'Data'!$F$8990&lt;&gt;""),'Data'!$F$8990,"")</f>
        <v/>
      </c>
      <c r="Z8989" t="n">
        <v>1</v>
      </c>
      <c r="AA8989">
        <f>IF(ISNUMBER('IN-CLASS_Lab Part C'!$J$8989),'IN-CLASS_Lab Part C'!$J$8989,NA())</f>
        <v/>
      </c>
    </row>
    <row r="8990">
      <c r="J8990">
        <f>IF(AND(ISNUMBER('Data'!$F$8991),'Data'!$F$8991&lt;&gt;999,'Data'!$F$8991&lt;&gt;""),'Data'!$F$8991,"")</f>
        <v/>
      </c>
      <c r="Z8990" t="n">
        <v>1</v>
      </c>
      <c r="AA8990">
        <f>IF(ISNUMBER('IN-CLASS_Lab Part C'!$J$8990),'IN-CLASS_Lab Part C'!$J$8990,NA())</f>
        <v/>
      </c>
    </row>
    <row r="8991">
      <c r="J8991">
        <f>IF(AND(ISNUMBER('Data'!$F$8992),'Data'!$F$8992&lt;&gt;999,'Data'!$F$8992&lt;&gt;""),'Data'!$F$8992,"")</f>
        <v/>
      </c>
      <c r="Z8991" t="n">
        <v>1</v>
      </c>
      <c r="AA8991">
        <f>IF(ISNUMBER('IN-CLASS_Lab Part C'!$J$8991),'IN-CLASS_Lab Part C'!$J$8991,NA())</f>
        <v/>
      </c>
    </row>
    <row r="8992">
      <c r="J8992">
        <f>IF(AND(ISNUMBER('Data'!$F$8993),'Data'!$F$8993&lt;&gt;999,'Data'!$F$8993&lt;&gt;""),'Data'!$F$8993,"")</f>
        <v/>
      </c>
      <c r="Z8992" t="n">
        <v>1</v>
      </c>
      <c r="AA8992">
        <f>IF(ISNUMBER('IN-CLASS_Lab Part C'!$J$8992),'IN-CLASS_Lab Part C'!$J$8992,NA())</f>
        <v/>
      </c>
    </row>
    <row r="8993">
      <c r="J8993">
        <f>IF(AND(ISNUMBER('Data'!$F$8994),'Data'!$F$8994&lt;&gt;999,'Data'!$F$8994&lt;&gt;""),'Data'!$F$8994,"")</f>
        <v/>
      </c>
      <c r="Z8993" t="n">
        <v>1</v>
      </c>
      <c r="AA8993">
        <f>IF(ISNUMBER('IN-CLASS_Lab Part C'!$J$8993),'IN-CLASS_Lab Part C'!$J$8993,NA())</f>
        <v/>
      </c>
    </row>
    <row r="8994">
      <c r="J8994">
        <f>IF(AND(ISNUMBER('Data'!$F$8995),'Data'!$F$8995&lt;&gt;999,'Data'!$F$8995&lt;&gt;""),'Data'!$F$8995,"")</f>
        <v/>
      </c>
      <c r="Z8994" t="n">
        <v>1</v>
      </c>
      <c r="AA8994">
        <f>IF(ISNUMBER('IN-CLASS_Lab Part C'!$J$8994),'IN-CLASS_Lab Part C'!$J$8994,NA())</f>
        <v/>
      </c>
    </row>
    <row r="8995">
      <c r="J8995">
        <f>IF(AND(ISNUMBER('Data'!$F$8996),'Data'!$F$8996&lt;&gt;999,'Data'!$F$8996&lt;&gt;""),'Data'!$F$8996,"")</f>
        <v/>
      </c>
      <c r="Z8995" t="n">
        <v>1</v>
      </c>
      <c r="AA8995">
        <f>IF(ISNUMBER('IN-CLASS_Lab Part C'!$J$8995),'IN-CLASS_Lab Part C'!$J$8995,NA())</f>
        <v/>
      </c>
    </row>
    <row r="8996">
      <c r="J8996">
        <f>IF(AND(ISNUMBER('Data'!$F$8997),'Data'!$F$8997&lt;&gt;999,'Data'!$F$8997&lt;&gt;""),'Data'!$F$8997,"")</f>
        <v/>
      </c>
      <c r="Z8996" t="n">
        <v>1</v>
      </c>
      <c r="AA8996">
        <f>IF(ISNUMBER('IN-CLASS_Lab Part C'!$J$8996),'IN-CLASS_Lab Part C'!$J$8996,NA())</f>
        <v/>
      </c>
    </row>
    <row r="8997">
      <c r="J8997">
        <f>IF(AND(ISNUMBER('Data'!$F$8998),'Data'!$F$8998&lt;&gt;999,'Data'!$F$8998&lt;&gt;""),'Data'!$F$8998,"")</f>
        <v/>
      </c>
      <c r="Z8997" t="n">
        <v>1</v>
      </c>
      <c r="AA8997">
        <f>IF(ISNUMBER('IN-CLASS_Lab Part C'!$J$8997),'IN-CLASS_Lab Part C'!$J$8997,NA())</f>
        <v/>
      </c>
    </row>
    <row r="8998">
      <c r="J8998">
        <f>IF(AND(ISNUMBER('Data'!$F$8999),'Data'!$F$8999&lt;&gt;999,'Data'!$F$8999&lt;&gt;""),'Data'!$F$8999,"")</f>
        <v/>
      </c>
      <c r="Z8998" t="n">
        <v>1</v>
      </c>
      <c r="AA8998">
        <f>IF(ISNUMBER('IN-CLASS_Lab Part C'!$J$8998),'IN-CLASS_Lab Part C'!$J$8998,NA())</f>
        <v/>
      </c>
    </row>
    <row r="8999">
      <c r="J8999">
        <f>IF(AND(ISNUMBER('Data'!$F$9000),'Data'!$F$9000&lt;&gt;999,'Data'!$F$9000&lt;&gt;""),'Data'!$F$9000,"")</f>
        <v/>
      </c>
      <c r="Z8999" t="n">
        <v>1</v>
      </c>
      <c r="AA8999">
        <f>IF(ISNUMBER('IN-CLASS_Lab Part C'!$J$8999),'IN-CLASS_Lab Part C'!$J$8999,NA())</f>
        <v/>
      </c>
    </row>
    <row r="9000">
      <c r="J9000">
        <f>IF(AND(ISNUMBER('Data'!$F$9001),'Data'!$F$9001&lt;&gt;999,'Data'!$F$9001&lt;&gt;""),'Data'!$F$9001,"")</f>
        <v/>
      </c>
      <c r="Z9000" t="n">
        <v>1</v>
      </c>
      <c r="AA9000">
        <f>IF(ISNUMBER('IN-CLASS_Lab Part C'!$J$9000),'IN-CLASS_Lab Part C'!$J$9000,NA())</f>
        <v/>
      </c>
    </row>
    <row r="9001">
      <c r="J9001">
        <f>IF(AND(ISNUMBER('Data'!$F$9002),'Data'!$F$9002&lt;&gt;999,'Data'!$F$9002&lt;&gt;""),'Data'!$F$9002,"")</f>
        <v/>
      </c>
      <c r="Z9001" t="n">
        <v>1</v>
      </c>
      <c r="AA9001">
        <f>IF(ISNUMBER('IN-CLASS_Lab Part C'!$J$9001),'IN-CLASS_Lab Part C'!$J$9001,NA())</f>
        <v/>
      </c>
    </row>
    <row r="9002">
      <c r="J9002">
        <f>IF(AND(ISNUMBER('Data'!$F$9003),'Data'!$F$9003&lt;&gt;999,'Data'!$F$9003&lt;&gt;""),'Data'!$F$9003,"")</f>
        <v/>
      </c>
      <c r="Z9002" t="n">
        <v>1</v>
      </c>
      <c r="AA9002">
        <f>IF(ISNUMBER('IN-CLASS_Lab Part C'!$J$9002),'IN-CLASS_Lab Part C'!$J$9002,NA())</f>
        <v/>
      </c>
    </row>
    <row r="9003">
      <c r="J9003">
        <f>IF(AND(ISNUMBER('Data'!$F$9004),'Data'!$F$9004&lt;&gt;999,'Data'!$F$9004&lt;&gt;""),'Data'!$F$9004,"")</f>
        <v/>
      </c>
      <c r="Z9003" t="n">
        <v>1</v>
      </c>
      <c r="AA9003">
        <f>IF(ISNUMBER('IN-CLASS_Lab Part C'!$J$9003),'IN-CLASS_Lab Part C'!$J$9003,NA())</f>
        <v/>
      </c>
    </row>
    <row r="9004">
      <c r="J9004">
        <f>IF(AND(ISNUMBER('Data'!$F$9005),'Data'!$F$9005&lt;&gt;999,'Data'!$F$9005&lt;&gt;""),'Data'!$F$9005,"")</f>
        <v/>
      </c>
      <c r="Z9004" t="n">
        <v>1</v>
      </c>
      <c r="AA9004">
        <f>IF(ISNUMBER('IN-CLASS_Lab Part C'!$J$9004),'IN-CLASS_Lab Part C'!$J$9004,NA())</f>
        <v/>
      </c>
    </row>
    <row r="9005">
      <c r="J9005">
        <f>IF(AND(ISNUMBER('Data'!$F$9006),'Data'!$F$9006&lt;&gt;999,'Data'!$F$9006&lt;&gt;""),'Data'!$F$9006,"")</f>
        <v/>
      </c>
      <c r="Z9005" t="n">
        <v>1</v>
      </c>
      <c r="AA9005">
        <f>IF(ISNUMBER('IN-CLASS_Lab Part C'!$J$9005),'IN-CLASS_Lab Part C'!$J$9005,NA())</f>
        <v/>
      </c>
    </row>
    <row r="9006">
      <c r="J9006">
        <f>IF(AND(ISNUMBER('Data'!$F$9007),'Data'!$F$9007&lt;&gt;999,'Data'!$F$9007&lt;&gt;""),'Data'!$F$9007,"")</f>
        <v/>
      </c>
      <c r="Z9006" t="n">
        <v>1</v>
      </c>
      <c r="AA9006">
        <f>IF(ISNUMBER('IN-CLASS_Lab Part C'!$J$9006),'IN-CLASS_Lab Part C'!$J$9006,NA())</f>
        <v/>
      </c>
    </row>
    <row r="9007">
      <c r="J9007">
        <f>IF(AND(ISNUMBER('Data'!$F$9008),'Data'!$F$9008&lt;&gt;999,'Data'!$F$9008&lt;&gt;""),'Data'!$F$9008,"")</f>
        <v/>
      </c>
      <c r="Z9007" t="n">
        <v>1</v>
      </c>
      <c r="AA9007">
        <f>IF(ISNUMBER('IN-CLASS_Lab Part C'!$J$9007),'IN-CLASS_Lab Part C'!$J$9007,NA())</f>
        <v/>
      </c>
    </row>
    <row r="9008">
      <c r="J9008">
        <f>IF(AND(ISNUMBER('Data'!$F$9009),'Data'!$F$9009&lt;&gt;999,'Data'!$F$9009&lt;&gt;""),'Data'!$F$9009,"")</f>
        <v/>
      </c>
      <c r="Z9008" t="n">
        <v>1</v>
      </c>
      <c r="AA9008">
        <f>IF(ISNUMBER('IN-CLASS_Lab Part C'!$J$9008),'IN-CLASS_Lab Part C'!$J$9008,NA())</f>
        <v/>
      </c>
    </row>
    <row r="9009">
      <c r="J9009">
        <f>IF(AND(ISNUMBER('Data'!$F$9010),'Data'!$F$9010&lt;&gt;999,'Data'!$F$9010&lt;&gt;""),'Data'!$F$9010,"")</f>
        <v/>
      </c>
      <c r="Z9009" t="n">
        <v>1</v>
      </c>
      <c r="AA9009">
        <f>IF(ISNUMBER('IN-CLASS_Lab Part C'!$J$9009),'IN-CLASS_Lab Part C'!$J$9009,NA())</f>
        <v/>
      </c>
    </row>
    <row r="9010">
      <c r="J9010">
        <f>IF(AND(ISNUMBER('Data'!$F$9011),'Data'!$F$9011&lt;&gt;999,'Data'!$F$9011&lt;&gt;""),'Data'!$F$9011,"")</f>
        <v/>
      </c>
      <c r="Z9010" t="n">
        <v>1</v>
      </c>
      <c r="AA9010">
        <f>IF(ISNUMBER('IN-CLASS_Lab Part C'!$J$9010),'IN-CLASS_Lab Part C'!$J$9010,NA())</f>
        <v/>
      </c>
    </row>
    <row r="9011">
      <c r="J9011">
        <f>IF(AND(ISNUMBER('Data'!$F$9012),'Data'!$F$9012&lt;&gt;999,'Data'!$F$9012&lt;&gt;""),'Data'!$F$9012,"")</f>
        <v/>
      </c>
      <c r="Z9011" t="n">
        <v>1</v>
      </c>
      <c r="AA9011">
        <f>IF(ISNUMBER('IN-CLASS_Lab Part C'!$J$9011),'IN-CLASS_Lab Part C'!$J$9011,NA())</f>
        <v/>
      </c>
    </row>
    <row r="9012">
      <c r="J9012">
        <f>IF(AND(ISNUMBER('Data'!$F$9013),'Data'!$F$9013&lt;&gt;999,'Data'!$F$9013&lt;&gt;""),'Data'!$F$9013,"")</f>
        <v/>
      </c>
      <c r="Z9012" t="n">
        <v>1</v>
      </c>
      <c r="AA9012">
        <f>IF(ISNUMBER('IN-CLASS_Lab Part C'!$J$9012),'IN-CLASS_Lab Part C'!$J$9012,NA())</f>
        <v/>
      </c>
    </row>
    <row r="9013">
      <c r="J9013">
        <f>IF(AND(ISNUMBER('Data'!$F$9014),'Data'!$F$9014&lt;&gt;999,'Data'!$F$9014&lt;&gt;""),'Data'!$F$9014,"")</f>
        <v/>
      </c>
      <c r="Z9013" t="n">
        <v>1</v>
      </c>
      <c r="AA9013">
        <f>IF(ISNUMBER('IN-CLASS_Lab Part C'!$J$9013),'IN-CLASS_Lab Part C'!$J$9013,NA())</f>
        <v/>
      </c>
    </row>
    <row r="9014">
      <c r="J9014">
        <f>IF(AND(ISNUMBER('Data'!$F$9015),'Data'!$F$9015&lt;&gt;999,'Data'!$F$9015&lt;&gt;""),'Data'!$F$9015,"")</f>
        <v/>
      </c>
      <c r="Z9014" t="n">
        <v>1</v>
      </c>
      <c r="AA9014">
        <f>IF(ISNUMBER('IN-CLASS_Lab Part C'!$J$9014),'IN-CLASS_Lab Part C'!$J$9014,NA())</f>
        <v/>
      </c>
    </row>
    <row r="9015">
      <c r="J9015">
        <f>IF(AND(ISNUMBER('Data'!$F$9016),'Data'!$F$9016&lt;&gt;999,'Data'!$F$9016&lt;&gt;""),'Data'!$F$9016,"")</f>
        <v/>
      </c>
      <c r="Z9015" t="n">
        <v>1</v>
      </c>
      <c r="AA9015">
        <f>IF(ISNUMBER('IN-CLASS_Lab Part C'!$J$9015),'IN-CLASS_Lab Part C'!$J$9015,NA())</f>
        <v/>
      </c>
    </row>
    <row r="9016">
      <c r="J9016">
        <f>IF(AND(ISNUMBER('Data'!$F$9017),'Data'!$F$9017&lt;&gt;999,'Data'!$F$9017&lt;&gt;""),'Data'!$F$9017,"")</f>
        <v/>
      </c>
      <c r="Z9016" t="n">
        <v>1</v>
      </c>
      <c r="AA9016">
        <f>IF(ISNUMBER('IN-CLASS_Lab Part C'!$J$9016),'IN-CLASS_Lab Part C'!$J$9016,NA())</f>
        <v/>
      </c>
    </row>
    <row r="9017">
      <c r="J9017">
        <f>IF(AND(ISNUMBER('Data'!$F$9018),'Data'!$F$9018&lt;&gt;999,'Data'!$F$9018&lt;&gt;""),'Data'!$F$9018,"")</f>
        <v/>
      </c>
      <c r="Z9017" t="n">
        <v>1</v>
      </c>
      <c r="AA9017">
        <f>IF(ISNUMBER('IN-CLASS_Lab Part C'!$J$9017),'IN-CLASS_Lab Part C'!$J$9017,NA())</f>
        <v/>
      </c>
    </row>
    <row r="9018">
      <c r="J9018">
        <f>IF(AND(ISNUMBER('Data'!$F$9019),'Data'!$F$9019&lt;&gt;999,'Data'!$F$9019&lt;&gt;""),'Data'!$F$9019,"")</f>
        <v/>
      </c>
      <c r="Z9018" t="n">
        <v>1</v>
      </c>
      <c r="AA9018">
        <f>IF(ISNUMBER('IN-CLASS_Lab Part C'!$J$9018),'IN-CLASS_Lab Part C'!$J$9018,NA())</f>
        <v/>
      </c>
    </row>
    <row r="9019">
      <c r="J9019">
        <f>IF(AND(ISNUMBER('Data'!$F$9020),'Data'!$F$9020&lt;&gt;999,'Data'!$F$9020&lt;&gt;""),'Data'!$F$9020,"")</f>
        <v/>
      </c>
      <c r="Z9019" t="n">
        <v>1</v>
      </c>
      <c r="AA9019">
        <f>IF(ISNUMBER('IN-CLASS_Lab Part C'!$J$9019),'IN-CLASS_Lab Part C'!$J$9019,NA())</f>
        <v/>
      </c>
    </row>
    <row r="9020">
      <c r="J9020">
        <f>IF(AND(ISNUMBER('Data'!$F$9021),'Data'!$F$9021&lt;&gt;999,'Data'!$F$9021&lt;&gt;""),'Data'!$F$9021,"")</f>
        <v/>
      </c>
      <c r="Z9020" t="n">
        <v>1</v>
      </c>
      <c r="AA9020">
        <f>IF(ISNUMBER('IN-CLASS_Lab Part C'!$J$9020),'IN-CLASS_Lab Part C'!$J$9020,NA())</f>
        <v/>
      </c>
    </row>
    <row r="9021">
      <c r="J9021">
        <f>IF(AND(ISNUMBER('Data'!$F$9022),'Data'!$F$9022&lt;&gt;999,'Data'!$F$9022&lt;&gt;""),'Data'!$F$9022,"")</f>
        <v/>
      </c>
      <c r="Z9021" t="n">
        <v>1</v>
      </c>
      <c r="AA9021">
        <f>IF(ISNUMBER('IN-CLASS_Lab Part C'!$J$9021),'IN-CLASS_Lab Part C'!$J$9021,NA())</f>
        <v/>
      </c>
    </row>
    <row r="9022">
      <c r="J9022">
        <f>IF(AND(ISNUMBER('Data'!$F$9023),'Data'!$F$9023&lt;&gt;999,'Data'!$F$9023&lt;&gt;""),'Data'!$F$9023,"")</f>
        <v/>
      </c>
      <c r="Z9022" t="n">
        <v>1</v>
      </c>
      <c r="AA9022">
        <f>IF(ISNUMBER('IN-CLASS_Lab Part C'!$J$9022),'IN-CLASS_Lab Part C'!$J$9022,NA())</f>
        <v/>
      </c>
    </row>
    <row r="9023">
      <c r="J9023">
        <f>IF(AND(ISNUMBER('Data'!$F$9024),'Data'!$F$9024&lt;&gt;999,'Data'!$F$9024&lt;&gt;""),'Data'!$F$9024,"")</f>
        <v/>
      </c>
      <c r="Z9023" t="n">
        <v>1</v>
      </c>
      <c r="AA9023">
        <f>IF(ISNUMBER('IN-CLASS_Lab Part C'!$J$9023),'IN-CLASS_Lab Part C'!$J$9023,NA())</f>
        <v/>
      </c>
    </row>
    <row r="9024">
      <c r="J9024">
        <f>IF(AND(ISNUMBER('Data'!$F$9025),'Data'!$F$9025&lt;&gt;999,'Data'!$F$9025&lt;&gt;""),'Data'!$F$9025,"")</f>
        <v/>
      </c>
      <c r="Z9024" t="n">
        <v>1</v>
      </c>
      <c r="AA9024">
        <f>IF(ISNUMBER('IN-CLASS_Lab Part C'!$J$9024),'IN-CLASS_Lab Part C'!$J$9024,NA())</f>
        <v/>
      </c>
    </row>
    <row r="9025">
      <c r="J9025">
        <f>IF(AND(ISNUMBER('Data'!$F$9026),'Data'!$F$9026&lt;&gt;999,'Data'!$F$9026&lt;&gt;""),'Data'!$F$9026,"")</f>
        <v/>
      </c>
      <c r="Z9025" t="n">
        <v>1</v>
      </c>
      <c r="AA9025">
        <f>IF(ISNUMBER('IN-CLASS_Lab Part C'!$J$9025),'IN-CLASS_Lab Part C'!$J$9025,NA())</f>
        <v/>
      </c>
    </row>
    <row r="9026">
      <c r="J9026">
        <f>IF(AND(ISNUMBER('Data'!$F$9027),'Data'!$F$9027&lt;&gt;999,'Data'!$F$9027&lt;&gt;""),'Data'!$F$9027,"")</f>
        <v/>
      </c>
      <c r="Z9026" t="n">
        <v>1</v>
      </c>
      <c r="AA9026">
        <f>IF(ISNUMBER('IN-CLASS_Lab Part C'!$J$9026),'IN-CLASS_Lab Part C'!$J$9026,NA())</f>
        <v/>
      </c>
    </row>
    <row r="9027">
      <c r="J9027">
        <f>IF(AND(ISNUMBER('Data'!$F$9028),'Data'!$F$9028&lt;&gt;999,'Data'!$F$9028&lt;&gt;""),'Data'!$F$9028,"")</f>
        <v/>
      </c>
      <c r="Z9027" t="n">
        <v>1</v>
      </c>
      <c r="AA9027">
        <f>IF(ISNUMBER('IN-CLASS_Lab Part C'!$J$9027),'IN-CLASS_Lab Part C'!$J$9027,NA())</f>
        <v/>
      </c>
    </row>
    <row r="9028">
      <c r="J9028">
        <f>IF(AND(ISNUMBER('Data'!$F$9029),'Data'!$F$9029&lt;&gt;999,'Data'!$F$9029&lt;&gt;""),'Data'!$F$9029,"")</f>
        <v/>
      </c>
      <c r="Z9028" t="n">
        <v>1</v>
      </c>
      <c r="AA9028">
        <f>IF(ISNUMBER('IN-CLASS_Lab Part C'!$J$9028),'IN-CLASS_Lab Part C'!$J$9028,NA())</f>
        <v/>
      </c>
    </row>
    <row r="9029">
      <c r="J9029">
        <f>IF(AND(ISNUMBER('Data'!$F$9030),'Data'!$F$9030&lt;&gt;999,'Data'!$F$9030&lt;&gt;""),'Data'!$F$9030,"")</f>
        <v/>
      </c>
      <c r="Z9029" t="n">
        <v>1</v>
      </c>
      <c r="AA9029">
        <f>IF(ISNUMBER('IN-CLASS_Lab Part C'!$J$9029),'IN-CLASS_Lab Part C'!$J$9029,NA())</f>
        <v/>
      </c>
    </row>
    <row r="9030">
      <c r="J9030">
        <f>IF(AND(ISNUMBER('Data'!$F$9031),'Data'!$F$9031&lt;&gt;999,'Data'!$F$9031&lt;&gt;""),'Data'!$F$9031,"")</f>
        <v/>
      </c>
      <c r="Z9030" t="n">
        <v>1</v>
      </c>
      <c r="AA9030">
        <f>IF(ISNUMBER('IN-CLASS_Lab Part C'!$J$9030),'IN-CLASS_Lab Part C'!$J$9030,NA())</f>
        <v/>
      </c>
    </row>
    <row r="9031">
      <c r="J9031">
        <f>IF(AND(ISNUMBER('Data'!$F$9032),'Data'!$F$9032&lt;&gt;999,'Data'!$F$9032&lt;&gt;""),'Data'!$F$9032,"")</f>
        <v/>
      </c>
      <c r="Z9031" t="n">
        <v>1</v>
      </c>
      <c r="AA9031">
        <f>IF(ISNUMBER('IN-CLASS_Lab Part C'!$J$9031),'IN-CLASS_Lab Part C'!$J$9031,NA())</f>
        <v/>
      </c>
    </row>
    <row r="9032">
      <c r="J9032">
        <f>IF(AND(ISNUMBER('Data'!$F$9033),'Data'!$F$9033&lt;&gt;999,'Data'!$F$9033&lt;&gt;""),'Data'!$F$9033,"")</f>
        <v/>
      </c>
      <c r="Z9032" t="n">
        <v>1</v>
      </c>
      <c r="AA9032">
        <f>IF(ISNUMBER('IN-CLASS_Lab Part C'!$J$9032),'IN-CLASS_Lab Part C'!$J$9032,NA())</f>
        <v/>
      </c>
    </row>
    <row r="9033">
      <c r="J9033">
        <f>IF(AND(ISNUMBER('Data'!$F$9034),'Data'!$F$9034&lt;&gt;999,'Data'!$F$9034&lt;&gt;""),'Data'!$F$9034,"")</f>
        <v/>
      </c>
      <c r="Z9033" t="n">
        <v>1</v>
      </c>
      <c r="AA9033">
        <f>IF(ISNUMBER('IN-CLASS_Lab Part C'!$J$9033),'IN-CLASS_Lab Part C'!$J$9033,NA())</f>
        <v/>
      </c>
    </row>
    <row r="9034">
      <c r="J9034">
        <f>IF(AND(ISNUMBER('Data'!$F$9035),'Data'!$F$9035&lt;&gt;999,'Data'!$F$9035&lt;&gt;""),'Data'!$F$9035,"")</f>
        <v/>
      </c>
      <c r="Z9034" t="n">
        <v>1</v>
      </c>
      <c r="AA9034">
        <f>IF(ISNUMBER('IN-CLASS_Lab Part C'!$J$9034),'IN-CLASS_Lab Part C'!$J$9034,NA())</f>
        <v/>
      </c>
    </row>
    <row r="9035">
      <c r="J9035">
        <f>IF(AND(ISNUMBER('Data'!$F$9036),'Data'!$F$9036&lt;&gt;999,'Data'!$F$9036&lt;&gt;""),'Data'!$F$9036,"")</f>
        <v/>
      </c>
      <c r="Z9035" t="n">
        <v>1</v>
      </c>
      <c r="AA9035">
        <f>IF(ISNUMBER('IN-CLASS_Lab Part C'!$J$9035),'IN-CLASS_Lab Part C'!$J$9035,NA())</f>
        <v/>
      </c>
    </row>
    <row r="9036">
      <c r="J9036">
        <f>IF(AND(ISNUMBER('Data'!$F$9037),'Data'!$F$9037&lt;&gt;999,'Data'!$F$9037&lt;&gt;""),'Data'!$F$9037,"")</f>
        <v/>
      </c>
      <c r="Z9036" t="n">
        <v>1</v>
      </c>
      <c r="AA9036">
        <f>IF(ISNUMBER('IN-CLASS_Lab Part C'!$J$9036),'IN-CLASS_Lab Part C'!$J$9036,NA())</f>
        <v/>
      </c>
    </row>
    <row r="9037">
      <c r="J9037">
        <f>IF(AND(ISNUMBER('Data'!$F$9038),'Data'!$F$9038&lt;&gt;999,'Data'!$F$9038&lt;&gt;""),'Data'!$F$9038,"")</f>
        <v/>
      </c>
      <c r="Z9037" t="n">
        <v>1</v>
      </c>
      <c r="AA9037">
        <f>IF(ISNUMBER('IN-CLASS_Lab Part C'!$J$9037),'IN-CLASS_Lab Part C'!$J$9037,NA())</f>
        <v/>
      </c>
    </row>
    <row r="9038">
      <c r="J9038">
        <f>IF(AND(ISNUMBER('Data'!$F$9039),'Data'!$F$9039&lt;&gt;999,'Data'!$F$9039&lt;&gt;""),'Data'!$F$9039,"")</f>
        <v/>
      </c>
      <c r="Z9038" t="n">
        <v>1</v>
      </c>
      <c r="AA9038">
        <f>IF(ISNUMBER('IN-CLASS_Lab Part C'!$J$9038),'IN-CLASS_Lab Part C'!$J$9038,NA())</f>
        <v/>
      </c>
    </row>
    <row r="9039">
      <c r="J9039">
        <f>IF(AND(ISNUMBER('Data'!$F$9040),'Data'!$F$9040&lt;&gt;999,'Data'!$F$9040&lt;&gt;""),'Data'!$F$9040,"")</f>
        <v/>
      </c>
      <c r="Z9039" t="n">
        <v>1</v>
      </c>
      <c r="AA9039">
        <f>IF(ISNUMBER('IN-CLASS_Lab Part C'!$J$9039),'IN-CLASS_Lab Part C'!$J$9039,NA())</f>
        <v/>
      </c>
    </row>
    <row r="9040">
      <c r="J9040">
        <f>IF(AND(ISNUMBER('Data'!$F$9041),'Data'!$F$9041&lt;&gt;999,'Data'!$F$9041&lt;&gt;""),'Data'!$F$9041,"")</f>
        <v/>
      </c>
      <c r="Z9040" t="n">
        <v>1</v>
      </c>
      <c r="AA9040">
        <f>IF(ISNUMBER('IN-CLASS_Lab Part C'!$J$9040),'IN-CLASS_Lab Part C'!$J$9040,NA())</f>
        <v/>
      </c>
    </row>
    <row r="9041">
      <c r="J9041">
        <f>IF(AND(ISNUMBER('Data'!$F$9042),'Data'!$F$9042&lt;&gt;999,'Data'!$F$9042&lt;&gt;""),'Data'!$F$9042,"")</f>
        <v/>
      </c>
      <c r="Z9041" t="n">
        <v>1</v>
      </c>
      <c r="AA9041">
        <f>IF(ISNUMBER('IN-CLASS_Lab Part C'!$J$9041),'IN-CLASS_Lab Part C'!$J$9041,NA())</f>
        <v/>
      </c>
    </row>
    <row r="9042">
      <c r="J9042">
        <f>IF(AND(ISNUMBER('Data'!$F$9043),'Data'!$F$9043&lt;&gt;999,'Data'!$F$9043&lt;&gt;""),'Data'!$F$9043,"")</f>
        <v/>
      </c>
      <c r="Z9042" t="n">
        <v>1</v>
      </c>
      <c r="AA9042">
        <f>IF(ISNUMBER('IN-CLASS_Lab Part C'!$J$9042),'IN-CLASS_Lab Part C'!$J$9042,NA())</f>
        <v/>
      </c>
    </row>
    <row r="9043">
      <c r="J9043">
        <f>IF(AND(ISNUMBER('Data'!$F$9044),'Data'!$F$9044&lt;&gt;999,'Data'!$F$9044&lt;&gt;""),'Data'!$F$9044,"")</f>
        <v/>
      </c>
      <c r="Z9043" t="n">
        <v>1</v>
      </c>
      <c r="AA9043">
        <f>IF(ISNUMBER('IN-CLASS_Lab Part C'!$J$9043),'IN-CLASS_Lab Part C'!$J$9043,NA())</f>
        <v/>
      </c>
    </row>
    <row r="9044">
      <c r="J9044">
        <f>IF(AND(ISNUMBER('Data'!$F$9045),'Data'!$F$9045&lt;&gt;999,'Data'!$F$9045&lt;&gt;""),'Data'!$F$9045,"")</f>
        <v/>
      </c>
      <c r="Z9044" t="n">
        <v>1</v>
      </c>
      <c r="AA9044">
        <f>IF(ISNUMBER('IN-CLASS_Lab Part C'!$J$9044),'IN-CLASS_Lab Part C'!$J$9044,NA())</f>
        <v/>
      </c>
    </row>
    <row r="9045">
      <c r="J9045">
        <f>IF(AND(ISNUMBER('Data'!$F$9046),'Data'!$F$9046&lt;&gt;999,'Data'!$F$9046&lt;&gt;""),'Data'!$F$9046,"")</f>
        <v/>
      </c>
      <c r="Z9045" t="n">
        <v>1</v>
      </c>
      <c r="AA9045">
        <f>IF(ISNUMBER('IN-CLASS_Lab Part C'!$J$9045),'IN-CLASS_Lab Part C'!$J$9045,NA())</f>
        <v/>
      </c>
    </row>
    <row r="9046">
      <c r="J9046">
        <f>IF(AND(ISNUMBER('Data'!$F$9047),'Data'!$F$9047&lt;&gt;999,'Data'!$F$9047&lt;&gt;""),'Data'!$F$9047,"")</f>
        <v/>
      </c>
      <c r="Z9046" t="n">
        <v>1</v>
      </c>
      <c r="AA9046">
        <f>IF(ISNUMBER('IN-CLASS_Lab Part C'!$J$9046),'IN-CLASS_Lab Part C'!$J$9046,NA())</f>
        <v/>
      </c>
    </row>
    <row r="9047">
      <c r="J9047">
        <f>IF(AND(ISNUMBER('Data'!$F$9048),'Data'!$F$9048&lt;&gt;999,'Data'!$F$9048&lt;&gt;""),'Data'!$F$9048,"")</f>
        <v/>
      </c>
      <c r="Z9047" t="n">
        <v>1</v>
      </c>
      <c r="AA9047">
        <f>IF(ISNUMBER('IN-CLASS_Lab Part C'!$J$9047),'IN-CLASS_Lab Part C'!$J$9047,NA())</f>
        <v/>
      </c>
    </row>
    <row r="9048">
      <c r="J9048">
        <f>IF(AND(ISNUMBER('Data'!$F$9049),'Data'!$F$9049&lt;&gt;999,'Data'!$F$9049&lt;&gt;""),'Data'!$F$9049,"")</f>
        <v/>
      </c>
      <c r="Z9048" t="n">
        <v>1</v>
      </c>
      <c r="AA9048">
        <f>IF(ISNUMBER('IN-CLASS_Lab Part C'!$J$9048),'IN-CLASS_Lab Part C'!$J$9048,NA())</f>
        <v/>
      </c>
    </row>
    <row r="9049">
      <c r="J9049">
        <f>IF(AND(ISNUMBER('Data'!$F$9050),'Data'!$F$9050&lt;&gt;999,'Data'!$F$9050&lt;&gt;""),'Data'!$F$9050,"")</f>
        <v/>
      </c>
      <c r="Z9049" t="n">
        <v>1</v>
      </c>
      <c r="AA9049">
        <f>IF(ISNUMBER('IN-CLASS_Lab Part C'!$J$9049),'IN-CLASS_Lab Part C'!$J$9049,NA())</f>
        <v/>
      </c>
    </row>
    <row r="9050">
      <c r="J9050">
        <f>IF(AND(ISNUMBER('Data'!$F$9051),'Data'!$F$9051&lt;&gt;999,'Data'!$F$9051&lt;&gt;""),'Data'!$F$9051,"")</f>
        <v/>
      </c>
      <c r="Z9050" t="n">
        <v>1</v>
      </c>
      <c r="AA9050">
        <f>IF(ISNUMBER('IN-CLASS_Lab Part C'!$J$9050),'IN-CLASS_Lab Part C'!$J$9050,NA())</f>
        <v/>
      </c>
    </row>
    <row r="9051">
      <c r="J9051">
        <f>IF(AND(ISNUMBER('Data'!$F$9052),'Data'!$F$9052&lt;&gt;999,'Data'!$F$9052&lt;&gt;""),'Data'!$F$9052,"")</f>
        <v/>
      </c>
      <c r="Z9051" t="n">
        <v>1</v>
      </c>
      <c r="AA9051">
        <f>IF(ISNUMBER('IN-CLASS_Lab Part C'!$J$9051),'IN-CLASS_Lab Part C'!$J$9051,NA())</f>
        <v/>
      </c>
    </row>
    <row r="9052">
      <c r="J9052">
        <f>IF(AND(ISNUMBER('Data'!$F$9053),'Data'!$F$9053&lt;&gt;999,'Data'!$F$9053&lt;&gt;""),'Data'!$F$9053,"")</f>
        <v/>
      </c>
      <c r="Z9052" t="n">
        <v>1</v>
      </c>
      <c r="AA9052">
        <f>IF(ISNUMBER('IN-CLASS_Lab Part C'!$J$9052),'IN-CLASS_Lab Part C'!$J$9052,NA())</f>
        <v/>
      </c>
    </row>
    <row r="9053">
      <c r="J9053">
        <f>IF(AND(ISNUMBER('Data'!$F$9054),'Data'!$F$9054&lt;&gt;999,'Data'!$F$9054&lt;&gt;""),'Data'!$F$9054,"")</f>
        <v/>
      </c>
      <c r="Z9053" t="n">
        <v>1</v>
      </c>
      <c r="AA9053">
        <f>IF(ISNUMBER('IN-CLASS_Lab Part C'!$J$9053),'IN-CLASS_Lab Part C'!$J$9053,NA())</f>
        <v/>
      </c>
    </row>
    <row r="9054">
      <c r="J9054">
        <f>IF(AND(ISNUMBER('Data'!$F$9055),'Data'!$F$9055&lt;&gt;999,'Data'!$F$9055&lt;&gt;""),'Data'!$F$9055,"")</f>
        <v/>
      </c>
      <c r="Z9054" t="n">
        <v>1</v>
      </c>
      <c r="AA9054">
        <f>IF(ISNUMBER('IN-CLASS_Lab Part C'!$J$9054),'IN-CLASS_Lab Part C'!$J$9054,NA())</f>
        <v/>
      </c>
    </row>
    <row r="9055">
      <c r="J9055">
        <f>IF(AND(ISNUMBER('Data'!$F$9056),'Data'!$F$9056&lt;&gt;999,'Data'!$F$9056&lt;&gt;""),'Data'!$F$9056,"")</f>
        <v/>
      </c>
      <c r="Z9055" t="n">
        <v>1</v>
      </c>
      <c r="AA9055">
        <f>IF(ISNUMBER('IN-CLASS_Lab Part C'!$J$9055),'IN-CLASS_Lab Part C'!$J$9055,NA())</f>
        <v/>
      </c>
    </row>
    <row r="9056">
      <c r="J9056">
        <f>IF(AND(ISNUMBER('Data'!$F$9057),'Data'!$F$9057&lt;&gt;999,'Data'!$F$9057&lt;&gt;""),'Data'!$F$9057,"")</f>
        <v/>
      </c>
      <c r="Z9056" t="n">
        <v>1</v>
      </c>
      <c r="AA9056">
        <f>IF(ISNUMBER('IN-CLASS_Lab Part C'!$J$9056),'IN-CLASS_Lab Part C'!$J$9056,NA())</f>
        <v/>
      </c>
    </row>
    <row r="9057">
      <c r="J9057">
        <f>IF(AND(ISNUMBER('Data'!$F$9058),'Data'!$F$9058&lt;&gt;999,'Data'!$F$9058&lt;&gt;""),'Data'!$F$9058,"")</f>
        <v/>
      </c>
      <c r="Z9057" t="n">
        <v>1</v>
      </c>
      <c r="AA9057">
        <f>IF(ISNUMBER('IN-CLASS_Lab Part C'!$J$9057),'IN-CLASS_Lab Part C'!$J$9057,NA())</f>
        <v/>
      </c>
    </row>
    <row r="9058">
      <c r="J9058">
        <f>IF(AND(ISNUMBER('Data'!$F$9059),'Data'!$F$9059&lt;&gt;999,'Data'!$F$9059&lt;&gt;""),'Data'!$F$9059,"")</f>
        <v/>
      </c>
      <c r="Z9058" t="n">
        <v>1</v>
      </c>
      <c r="AA9058">
        <f>IF(ISNUMBER('IN-CLASS_Lab Part C'!$J$9058),'IN-CLASS_Lab Part C'!$J$9058,NA())</f>
        <v/>
      </c>
    </row>
    <row r="9059">
      <c r="J9059">
        <f>IF(AND(ISNUMBER('Data'!$F$9060),'Data'!$F$9060&lt;&gt;999,'Data'!$F$9060&lt;&gt;""),'Data'!$F$9060,"")</f>
        <v/>
      </c>
      <c r="Z9059" t="n">
        <v>1</v>
      </c>
      <c r="AA9059">
        <f>IF(ISNUMBER('IN-CLASS_Lab Part C'!$J$9059),'IN-CLASS_Lab Part C'!$J$9059,NA())</f>
        <v/>
      </c>
    </row>
    <row r="9060">
      <c r="J9060">
        <f>IF(AND(ISNUMBER('Data'!$F$9061),'Data'!$F$9061&lt;&gt;999,'Data'!$F$9061&lt;&gt;""),'Data'!$F$9061,"")</f>
        <v/>
      </c>
      <c r="Z9060" t="n">
        <v>1</v>
      </c>
      <c r="AA9060">
        <f>IF(ISNUMBER('IN-CLASS_Lab Part C'!$J$9060),'IN-CLASS_Lab Part C'!$J$9060,NA())</f>
        <v/>
      </c>
    </row>
    <row r="9061">
      <c r="J9061">
        <f>IF(AND(ISNUMBER('Data'!$F$9062),'Data'!$F$9062&lt;&gt;999,'Data'!$F$9062&lt;&gt;""),'Data'!$F$9062,"")</f>
        <v/>
      </c>
      <c r="Z9061" t="n">
        <v>1</v>
      </c>
      <c r="AA9061">
        <f>IF(ISNUMBER('IN-CLASS_Lab Part C'!$J$9061),'IN-CLASS_Lab Part C'!$J$9061,NA())</f>
        <v/>
      </c>
    </row>
    <row r="9062">
      <c r="J9062">
        <f>IF(AND(ISNUMBER('Data'!$F$9063),'Data'!$F$9063&lt;&gt;999,'Data'!$F$9063&lt;&gt;""),'Data'!$F$9063,"")</f>
        <v/>
      </c>
      <c r="Z9062" t="n">
        <v>1</v>
      </c>
      <c r="AA9062">
        <f>IF(ISNUMBER('IN-CLASS_Lab Part C'!$J$9062),'IN-CLASS_Lab Part C'!$J$9062,NA())</f>
        <v/>
      </c>
    </row>
    <row r="9063">
      <c r="J9063">
        <f>IF(AND(ISNUMBER('Data'!$F$9064),'Data'!$F$9064&lt;&gt;999,'Data'!$F$9064&lt;&gt;""),'Data'!$F$9064,"")</f>
        <v/>
      </c>
      <c r="Z9063" t="n">
        <v>1</v>
      </c>
      <c r="AA9063">
        <f>IF(ISNUMBER('IN-CLASS_Lab Part C'!$J$9063),'IN-CLASS_Lab Part C'!$J$9063,NA())</f>
        <v/>
      </c>
    </row>
    <row r="9064">
      <c r="J9064">
        <f>IF(AND(ISNUMBER('Data'!$F$9065),'Data'!$F$9065&lt;&gt;999,'Data'!$F$9065&lt;&gt;""),'Data'!$F$9065,"")</f>
        <v/>
      </c>
      <c r="Z9064" t="n">
        <v>1</v>
      </c>
      <c r="AA9064">
        <f>IF(ISNUMBER('IN-CLASS_Lab Part C'!$J$9064),'IN-CLASS_Lab Part C'!$J$9064,NA())</f>
        <v/>
      </c>
    </row>
    <row r="9065">
      <c r="J9065">
        <f>IF(AND(ISNUMBER('Data'!$F$9066),'Data'!$F$9066&lt;&gt;999,'Data'!$F$9066&lt;&gt;""),'Data'!$F$9066,"")</f>
        <v/>
      </c>
      <c r="Z9065" t="n">
        <v>1</v>
      </c>
      <c r="AA9065">
        <f>IF(ISNUMBER('IN-CLASS_Lab Part C'!$J$9065),'IN-CLASS_Lab Part C'!$J$9065,NA())</f>
        <v/>
      </c>
    </row>
    <row r="9066">
      <c r="J9066">
        <f>IF(AND(ISNUMBER('Data'!$F$9067),'Data'!$F$9067&lt;&gt;999,'Data'!$F$9067&lt;&gt;""),'Data'!$F$9067,"")</f>
        <v/>
      </c>
      <c r="Z9066" t="n">
        <v>1</v>
      </c>
      <c r="AA9066">
        <f>IF(ISNUMBER('IN-CLASS_Lab Part C'!$J$9066),'IN-CLASS_Lab Part C'!$J$9066,NA())</f>
        <v/>
      </c>
    </row>
    <row r="9067">
      <c r="J9067">
        <f>IF(AND(ISNUMBER('Data'!$F$9068),'Data'!$F$9068&lt;&gt;999,'Data'!$F$9068&lt;&gt;""),'Data'!$F$9068,"")</f>
        <v/>
      </c>
      <c r="Z9067" t="n">
        <v>1</v>
      </c>
      <c r="AA9067">
        <f>IF(ISNUMBER('IN-CLASS_Lab Part C'!$J$9067),'IN-CLASS_Lab Part C'!$J$9067,NA())</f>
        <v/>
      </c>
    </row>
    <row r="9068">
      <c r="J9068">
        <f>IF(AND(ISNUMBER('Data'!$F$9069),'Data'!$F$9069&lt;&gt;999,'Data'!$F$9069&lt;&gt;""),'Data'!$F$9069,"")</f>
        <v/>
      </c>
      <c r="Z9068" t="n">
        <v>1</v>
      </c>
      <c r="AA9068">
        <f>IF(ISNUMBER('IN-CLASS_Lab Part C'!$J$9068),'IN-CLASS_Lab Part C'!$J$9068,NA())</f>
        <v/>
      </c>
    </row>
    <row r="9069">
      <c r="J9069">
        <f>IF(AND(ISNUMBER('Data'!$F$9070),'Data'!$F$9070&lt;&gt;999,'Data'!$F$9070&lt;&gt;""),'Data'!$F$9070,"")</f>
        <v/>
      </c>
      <c r="Z9069" t="n">
        <v>1</v>
      </c>
      <c r="AA9069">
        <f>IF(ISNUMBER('IN-CLASS_Lab Part C'!$J$9069),'IN-CLASS_Lab Part C'!$J$9069,NA())</f>
        <v/>
      </c>
    </row>
    <row r="9070">
      <c r="J9070">
        <f>IF(AND(ISNUMBER('Data'!$F$9071),'Data'!$F$9071&lt;&gt;999,'Data'!$F$9071&lt;&gt;""),'Data'!$F$9071,"")</f>
        <v/>
      </c>
      <c r="Z9070" t="n">
        <v>1</v>
      </c>
      <c r="AA9070">
        <f>IF(ISNUMBER('IN-CLASS_Lab Part C'!$J$9070),'IN-CLASS_Lab Part C'!$J$9070,NA())</f>
        <v/>
      </c>
    </row>
    <row r="9071">
      <c r="J9071">
        <f>IF(AND(ISNUMBER('Data'!$F$9072),'Data'!$F$9072&lt;&gt;999,'Data'!$F$9072&lt;&gt;""),'Data'!$F$9072,"")</f>
        <v/>
      </c>
      <c r="Z9071" t="n">
        <v>1</v>
      </c>
      <c r="AA9071">
        <f>IF(ISNUMBER('IN-CLASS_Lab Part C'!$J$9071),'IN-CLASS_Lab Part C'!$J$9071,NA())</f>
        <v/>
      </c>
    </row>
    <row r="9072">
      <c r="J9072">
        <f>IF(AND(ISNUMBER('Data'!$F$9073),'Data'!$F$9073&lt;&gt;999,'Data'!$F$9073&lt;&gt;""),'Data'!$F$9073,"")</f>
        <v/>
      </c>
      <c r="Z9072" t="n">
        <v>1</v>
      </c>
      <c r="AA9072">
        <f>IF(ISNUMBER('IN-CLASS_Lab Part C'!$J$9072),'IN-CLASS_Lab Part C'!$J$9072,NA())</f>
        <v/>
      </c>
    </row>
    <row r="9073">
      <c r="J9073">
        <f>IF(AND(ISNUMBER('Data'!$F$9074),'Data'!$F$9074&lt;&gt;999,'Data'!$F$9074&lt;&gt;""),'Data'!$F$9074,"")</f>
        <v/>
      </c>
      <c r="Z9073" t="n">
        <v>1</v>
      </c>
      <c r="AA9073">
        <f>IF(ISNUMBER('IN-CLASS_Lab Part C'!$J$9073),'IN-CLASS_Lab Part C'!$J$9073,NA())</f>
        <v/>
      </c>
    </row>
    <row r="9074">
      <c r="J9074">
        <f>IF(AND(ISNUMBER('Data'!$F$9075),'Data'!$F$9075&lt;&gt;999,'Data'!$F$9075&lt;&gt;""),'Data'!$F$9075,"")</f>
        <v/>
      </c>
      <c r="Z9074" t="n">
        <v>1</v>
      </c>
      <c r="AA9074">
        <f>IF(ISNUMBER('IN-CLASS_Lab Part C'!$J$9074),'IN-CLASS_Lab Part C'!$J$9074,NA())</f>
        <v/>
      </c>
    </row>
    <row r="9075">
      <c r="J9075">
        <f>IF(AND(ISNUMBER('Data'!$F$9076),'Data'!$F$9076&lt;&gt;999,'Data'!$F$9076&lt;&gt;""),'Data'!$F$9076,"")</f>
        <v/>
      </c>
      <c r="Z9075" t="n">
        <v>1</v>
      </c>
      <c r="AA9075">
        <f>IF(ISNUMBER('IN-CLASS_Lab Part C'!$J$9075),'IN-CLASS_Lab Part C'!$J$9075,NA())</f>
        <v/>
      </c>
    </row>
    <row r="9076">
      <c r="J9076">
        <f>IF(AND(ISNUMBER('Data'!$F$9077),'Data'!$F$9077&lt;&gt;999,'Data'!$F$9077&lt;&gt;""),'Data'!$F$9077,"")</f>
        <v/>
      </c>
      <c r="Z9076" t="n">
        <v>1</v>
      </c>
      <c r="AA9076">
        <f>IF(ISNUMBER('IN-CLASS_Lab Part C'!$J$9076),'IN-CLASS_Lab Part C'!$J$9076,NA())</f>
        <v/>
      </c>
    </row>
    <row r="9077">
      <c r="J9077">
        <f>IF(AND(ISNUMBER('Data'!$F$9078),'Data'!$F$9078&lt;&gt;999,'Data'!$F$9078&lt;&gt;""),'Data'!$F$9078,"")</f>
        <v/>
      </c>
      <c r="Z9077" t="n">
        <v>1</v>
      </c>
      <c r="AA9077">
        <f>IF(ISNUMBER('IN-CLASS_Lab Part C'!$J$9077),'IN-CLASS_Lab Part C'!$J$9077,NA())</f>
        <v/>
      </c>
    </row>
    <row r="9078">
      <c r="J9078">
        <f>IF(AND(ISNUMBER('Data'!$F$9079),'Data'!$F$9079&lt;&gt;999,'Data'!$F$9079&lt;&gt;""),'Data'!$F$9079,"")</f>
        <v/>
      </c>
      <c r="Z9078" t="n">
        <v>1</v>
      </c>
      <c r="AA9078">
        <f>IF(ISNUMBER('IN-CLASS_Lab Part C'!$J$9078),'IN-CLASS_Lab Part C'!$J$9078,NA())</f>
        <v/>
      </c>
    </row>
    <row r="9079">
      <c r="J9079">
        <f>IF(AND(ISNUMBER('Data'!$F$9080),'Data'!$F$9080&lt;&gt;999,'Data'!$F$9080&lt;&gt;""),'Data'!$F$9080,"")</f>
        <v/>
      </c>
      <c r="Z9079" t="n">
        <v>1</v>
      </c>
      <c r="AA9079">
        <f>IF(ISNUMBER('IN-CLASS_Lab Part C'!$J$9079),'IN-CLASS_Lab Part C'!$J$9079,NA())</f>
        <v/>
      </c>
    </row>
    <row r="9080">
      <c r="J9080">
        <f>IF(AND(ISNUMBER('Data'!$F$9081),'Data'!$F$9081&lt;&gt;999,'Data'!$F$9081&lt;&gt;""),'Data'!$F$9081,"")</f>
        <v/>
      </c>
      <c r="Z9080" t="n">
        <v>1</v>
      </c>
      <c r="AA9080">
        <f>IF(ISNUMBER('IN-CLASS_Lab Part C'!$J$9080),'IN-CLASS_Lab Part C'!$J$9080,NA())</f>
        <v/>
      </c>
    </row>
    <row r="9081">
      <c r="J9081">
        <f>IF(AND(ISNUMBER('Data'!$F$9082),'Data'!$F$9082&lt;&gt;999,'Data'!$F$9082&lt;&gt;""),'Data'!$F$9082,"")</f>
        <v/>
      </c>
      <c r="Z9081" t="n">
        <v>1</v>
      </c>
      <c r="AA9081">
        <f>IF(ISNUMBER('IN-CLASS_Lab Part C'!$J$9081),'IN-CLASS_Lab Part C'!$J$9081,NA())</f>
        <v/>
      </c>
    </row>
    <row r="9082">
      <c r="J9082">
        <f>IF(AND(ISNUMBER('Data'!$F$9083),'Data'!$F$9083&lt;&gt;999,'Data'!$F$9083&lt;&gt;""),'Data'!$F$9083,"")</f>
        <v/>
      </c>
      <c r="Z9082" t="n">
        <v>1</v>
      </c>
      <c r="AA9082">
        <f>IF(ISNUMBER('IN-CLASS_Lab Part C'!$J$9082),'IN-CLASS_Lab Part C'!$J$9082,NA())</f>
        <v/>
      </c>
    </row>
    <row r="9083">
      <c r="J9083">
        <f>IF(AND(ISNUMBER('Data'!$F$9084),'Data'!$F$9084&lt;&gt;999,'Data'!$F$9084&lt;&gt;""),'Data'!$F$9084,"")</f>
        <v/>
      </c>
      <c r="Z9083" t="n">
        <v>1</v>
      </c>
      <c r="AA9083">
        <f>IF(ISNUMBER('IN-CLASS_Lab Part C'!$J$9083),'IN-CLASS_Lab Part C'!$J$9083,NA())</f>
        <v/>
      </c>
    </row>
    <row r="9084">
      <c r="J9084">
        <f>IF(AND(ISNUMBER('Data'!$F$9085),'Data'!$F$9085&lt;&gt;999,'Data'!$F$9085&lt;&gt;""),'Data'!$F$9085,"")</f>
        <v/>
      </c>
      <c r="Z9084" t="n">
        <v>1</v>
      </c>
      <c r="AA9084">
        <f>IF(ISNUMBER('IN-CLASS_Lab Part C'!$J$9084),'IN-CLASS_Lab Part C'!$J$9084,NA())</f>
        <v/>
      </c>
    </row>
    <row r="9085">
      <c r="J9085">
        <f>IF(AND(ISNUMBER('Data'!$F$9086),'Data'!$F$9086&lt;&gt;999,'Data'!$F$9086&lt;&gt;""),'Data'!$F$9086,"")</f>
        <v/>
      </c>
      <c r="Z9085" t="n">
        <v>1</v>
      </c>
      <c r="AA9085">
        <f>IF(ISNUMBER('IN-CLASS_Lab Part C'!$J$9085),'IN-CLASS_Lab Part C'!$J$9085,NA())</f>
        <v/>
      </c>
    </row>
    <row r="9086">
      <c r="J9086">
        <f>IF(AND(ISNUMBER('Data'!$F$9087),'Data'!$F$9087&lt;&gt;999,'Data'!$F$9087&lt;&gt;""),'Data'!$F$9087,"")</f>
        <v/>
      </c>
      <c r="Z9086" t="n">
        <v>1</v>
      </c>
      <c r="AA9086">
        <f>IF(ISNUMBER('IN-CLASS_Lab Part C'!$J$9086),'IN-CLASS_Lab Part C'!$J$9086,NA())</f>
        <v/>
      </c>
    </row>
    <row r="9087">
      <c r="J9087">
        <f>IF(AND(ISNUMBER('Data'!$F$9088),'Data'!$F$9088&lt;&gt;999,'Data'!$F$9088&lt;&gt;""),'Data'!$F$9088,"")</f>
        <v/>
      </c>
      <c r="Z9087" t="n">
        <v>1</v>
      </c>
      <c r="AA9087">
        <f>IF(ISNUMBER('IN-CLASS_Lab Part C'!$J$9087),'IN-CLASS_Lab Part C'!$J$9087,NA())</f>
        <v/>
      </c>
    </row>
    <row r="9088">
      <c r="J9088">
        <f>IF(AND(ISNUMBER('Data'!$F$9089),'Data'!$F$9089&lt;&gt;999,'Data'!$F$9089&lt;&gt;""),'Data'!$F$9089,"")</f>
        <v/>
      </c>
      <c r="Z9088" t="n">
        <v>1</v>
      </c>
      <c r="AA9088">
        <f>IF(ISNUMBER('IN-CLASS_Lab Part C'!$J$9088),'IN-CLASS_Lab Part C'!$J$9088,NA())</f>
        <v/>
      </c>
    </row>
    <row r="9089">
      <c r="J9089">
        <f>IF(AND(ISNUMBER('Data'!$F$9090),'Data'!$F$9090&lt;&gt;999,'Data'!$F$9090&lt;&gt;""),'Data'!$F$9090,"")</f>
        <v/>
      </c>
      <c r="Z9089" t="n">
        <v>1</v>
      </c>
      <c r="AA9089">
        <f>IF(ISNUMBER('IN-CLASS_Lab Part C'!$J$9089),'IN-CLASS_Lab Part C'!$J$9089,NA())</f>
        <v/>
      </c>
    </row>
    <row r="9090">
      <c r="J9090">
        <f>IF(AND(ISNUMBER('Data'!$F$9091),'Data'!$F$9091&lt;&gt;999,'Data'!$F$9091&lt;&gt;""),'Data'!$F$9091,"")</f>
        <v/>
      </c>
      <c r="Z9090" t="n">
        <v>1</v>
      </c>
      <c r="AA9090">
        <f>IF(ISNUMBER('IN-CLASS_Lab Part C'!$J$9090),'IN-CLASS_Lab Part C'!$J$9090,NA())</f>
        <v/>
      </c>
    </row>
    <row r="9091">
      <c r="J9091">
        <f>IF(AND(ISNUMBER('Data'!$F$9092),'Data'!$F$9092&lt;&gt;999,'Data'!$F$9092&lt;&gt;""),'Data'!$F$9092,"")</f>
        <v/>
      </c>
      <c r="Z9091" t="n">
        <v>1</v>
      </c>
      <c r="AA9091">
        <f>IF(ISNUMBER('IN-CLASS_Lab Part C'!$J$9091),'IN-CLASS_Lab Part C'!$J$9091,NA())</f>
        <v/>
      </c>
    </row>
    <row r="9092">
      <c r="J9092">
        <f>IF(AND(ISNUMBER('Data'!$F$9093),'Data'!$F$9093&lt;&gt;999,'Data'!$F$9093&lt;&gt;""),'Data'!$F$9093,"")</f>
        <v/>
      </c>
      <c r="Z9092" t="n">
        <v>1</v>
      </c>
      <c r="AA9092">
        <f>IF(ISNUMBER('IN-CLASS_Lab Part C'!$J$9092),'IN-CLASS_Lab Part C'!$J$9092,NA())</f>
        <v/>
      </c>
    </row>
    <row r="9093">
      <c r="J9093">
        <f>IF(AND(ISNUMBER('Data'!$F$9094),'Data'!$F$9094&lt;&gt;999,'Data'!$F$9094&lt;&gt;""),'Data'!$F$9094,"")</f>
        <v/>
      </c>
      <c r="Z9093" t="n">
        <v>1</v>
      </c>
      <c r="AA9093">
        <f>IF(ISNUMBER('IN-CLASS_Lab Part C'!$J$9093),'IN-CLASS_Lab Part C'!$J$9093,NA())</f>
        <v/>
      </c>
    </row>
    <row r="9094">
      <c r="J9094">
        <f>IF(AND(ISNUMBER('Data'!$F$9095),'Data'!$F$9095&lt;&gt;999,'Data'!$F$9095&lt;&gt;""),'Data'!$F$9095,"")</f>
        <v/>
      </c>
      <c r="Z9094" t="n">
        <v>1</v>
      </c>
      <c r="AA9094">
        <f>IF(ISNUMBER('IN-CLASS_Lab Part C'!$J$9094),'IN-CLASS_Lab Part C'!$J$9094,NA())</f>
        <v/>
      </c>
    </row>
    <row r="9095">
      <c r="J9095">
        <f>IF(AND(ISNUMBER('Data'!$F$9096),'Data'!$F$9096&lt;&gt;999,'Data'!$F$9096&lt;&gt;""),'Data'!$F$9096,"")</f>
        <v/>
      </c>
      <c r="Z9095" t="n">
        <v>1</v>
      </c>
      <c r="AA9095">
        <f>IF(ISNUMBER('IN-CLASS_Lab Part C'!$J$9095),'IN-CLASS_Lab Part C'!$J$9095,NA())</f>
        <v/>
      </c>
    </row>
    <row r="9096">
      <c r="J9096">
        <f>IF(AND(ISNUMBER('Data'!$F$9097),'Data'!$F$9097&lt;&gt;999,'Data'!$F$9097&lt;&gt;""),'Data'!$F$9097,"")</f>
        <v/>
      </c>
      <c r="Z9096" t="n">
        <v>1</v>
      </c>
      <c r="AA9096">
        <f>IF(ISNUMBER('IN-CLASS_Lab Part C'!$J$9096),'IN-CLASS_Lab Part C'!$J$9096,NA())</f>
        <v/>
      </c>
    </row>
    <row r="9097">
      <c r="J9097">
        <f>IF(AND(ISNUMBER('Data'!$F$9098),'Data'!$F$9098&lt;&gt;999,'Data'!$F$9098&lt;&gt;""),'Data'!$F$9098,"")</f>
        <v/>
      </c>
      <c r="Z9097" t="n">
        <v>1</v>
      </c>
      <c r="AA9097">
        <f>IF(ISNUMBER('IN-CLASS_Lab Part C'!$J$9097),'IN-CLASS_Lab Part C'!$J$9097,NA())</f>
        <v/>
      </c>
    </row>
    <row r="9098">
      <c r="J9098">
        <f>IF(AND(ISNUMBER('Data'!$F$9099),'Data'!$F$9099&lt;&gt;999,'Data'!$F$9099&lt;&gt;""),'Data'!$F$9099,"")</f>
        <v/>
      </c>
      <c r="Z9098" t="n">
        <v>1</v>
      </c>
      <c r="AA9098">
        <f>IF(ISNUMBER('IN-CLASS_Lab Part C'!$J$9098),'IN-CLASS_Lab Part C'!$J$9098,NA())</f>
        <v/>
      </c>
    </row>
    <row r="9099">
      <c r="J9099">
        <f>IF(AND(ISNUMBER('Data'!$F$9100),'Data'!$F$9100&lt;&gt;999,'Data'!$F$9100&lt;&gt;""),'Data'!$F$9100,"")</f>
        <v/>
      </c>
      <c r="Z9099" t="n">
        <v>1</v>
      </c>
      <c r="AA9099">
        <f>IF(ISNUMBER('IN-CLASS_Lab Part C'!$J$9099),'IN-CLASS_Lab Part C'!$J$9099,NA())</f>
        <v/>
      </c>
    </row>
    <row r="9100">
      <c r="J9100">
        <f>IF(AND(ISNUMBER('Data'!$F$9101),'Data'!$F$9101&lt;&gt;999,'Data'!$F$9101&lt;&gt;""),'Data'!$F$9101,"")</f>
        <v/>
      </c>
      <c r="Z9100" t="n">
        <v>1</v>
      </c>
      <c r="AA9100">
        <f>IF(ISNUMBER('IN-CLASS_Lab Part C'!$J$9100),'IN-CLASS_Lab Part C'!$J$9100,NA())</f>
        <v/>
      </c>
    </row>
    <row r="9101">
      <c r="J9101">
        <f>IF(AND(ISNUMBER('Data'!$F$9102),'Data'!$F$9102&lt;&gt;999,'Data'!$F$9102&lt;&gt;""),'Data'!$F$9102,"")</f>
        <v/>
      </c>
      <c r="Z9101" t="n">
        <v>1</v>
      </c>
      <c r="AA9101">
        <f>IF(ISNUMBER('IN-CLASS_Lab Part C'!$J$9101),'IN-CLASS_Lab Part C'!$J$9101,NA())</f>
        <v/>
      </c>
    </row>
    <row r="9102">
      <c r="J9102">
        <f>IF(AND(ISNUMBER('Data'!$F$9103),'Data'!$F$9103&lt;&gt;999,'Data'!$F$9103&lt;&gt;""),'Data'!$F$9103,"")</f>
        <v/>
      </c>
      <c r="Z9102" t="n">
        <v>1</v>
      </c>
      <c r="AA9102">
        <f>IF(ISNUMBER('IN-CLASS_Lab Part C'!$J$9102),'IN-CLASS_Lab Part C'!$J$9102,NA())</f>
        <v/>
      </c>
    </row>
    <row r="9103">
      <c r="J9103">
        <f>IF(AND(ISNUMBER('Data'!$F$9104),'Data'!$F$9104&lt;&gt;999,'Data'!$F$9104&lt;&gt;""),'Data'!$F$9104,"")</f>
        <v/>
      </c>
      <c r="Z9103" t="n">
        <v>1</v>
      </c>
      <c r="AA9103">
        <f>IF(ISNUMBER('IN-CLASS_Lab Part C'!$J$9103),'IN-CLASS_Lab Part C'!$J$9103,NA())</f>
        <v/>
      </c>
    </row>
    <row r="9104">
      <c r="J9104">
        <f>IF(AND(ISNUMBER('Data'!$F$9105),'Data'!$F$9105&lt;&gt;999,'Data'!$F$9105&lt;&gt;""),'Data'!$F$9105,"")</f>
        <v/>
      </c>
      <c r="Z9104" t="n">
        <v>1</v>
      </c>
      <c r="AA9104">
        <f>IF(ISNUMBER('IN-CLASS_Lab Part C'!$J$9104),'IN-CLASS_Lab Part C'!$J$9104,NA())</f>
        <v/>
      </c>
    </row>
    <row r="9105">
      <c r="J9105">
        <f>IF(AND(ISNUMBER('Data'!$F$9106),'Data'!$F$9106&lt;&gt;999,'Data'!$F$9106&lt;&gt;""),'Data'!$F$9106,"")</f>
        <v/>
      </c>
      <c r="Z9105" t="n">
        <v>1</v>
      </c>
      <c r="AA9105">
        <f>IF(ISNUMBER('IN-CLASS_Lab Part C'!$J$9105),'IN-CLASS_Lab Part C'!$J$9105,NA())</f>
        <v/>
      </c>
    </row>
    <row r="9106">
      <c r="J9106">
        <f>IF(AND(ISNUMBER('Data'!$F$9107),'Data'!$F$9107&lt;&gt;999,'Data'!$F$9107&lt;&gt;""),'Data'!$F$9107,"")</f>
        <v/>
      </c>
      <c r="Z9106" t="n">
        <v>1</v>
      </c>
      <c r="AA9106">
        <f>IF(ISNUMBER('IN-CLASS_Lab Part C'!$J$9106),'IN-CLASS_Lab Part C'!$J$9106,NA())</f>
        <v/>
      </c>
    </row>
    <row r="9107">
      <c r="J9107">
        <f>IF(AND(ISNUMBER('Data'!$F$9108),'Data'!$F$9108&lt;&gt;999,'Data'!$F$9108&lt;&gt;""),'Data'!$F$9108,"")</f>
        <v/>
      </c>
      <c r="Z9107" t="n">
        <v>1</v>
      </c>
      <c r="AA9107">
        <f>IF(ISNUMBER('IN-CLASS_Lab Part C'!$J$9107),'IN-CLASS_Lab Part C'!$J$9107,NA())</f>
        <v/>
      </c>
    </row>
    <row r="9108">
      <c r="J9108">
        <f>IF(AND(ISNUMBER('Data'!$F$9109),'Data'!$F$9109&lt;&gt;999,'Data'!$F$9109&lt;&gt;""),'Data'!$F$9109,"")</f>
        <v/>
      </c>
      <c r="Z9108" t="n">
        <v>1</v>
      </c>
      <c r="AA9108">
        <f>IF(ISNUMBER('IN-CLASS_Lab Part C'!$J$9108),'IN-CLASS_Lab Part C'!$J$9108,NA())</f>
        <v/>
      </c>
    </row>
    <row r="9109">
      <c r="J9109">
        <f>IF(AND(ISNUMBER('Data'!$F$9110),'Data'!$F$9110&lt;&gt;999,'Data'!$F$9110&lt;&gt;""),'Data'!$F$9110,"")</f>
        <v/>
      </c>
      <c r="Z9109" t="n">
        <v>1</v>
      </c>
      <c r="AA9109">
        <f>IF(ISNUMBER('IN-CLASS_Lab Part C'!$J$9109),'IN-CLASS_Lab Part C'!$J$9109,NA())</f>
        <v/>
      </c>
    </row>
    <row r="9110">
      <c r="J9110">
        <f>IF(AND(ISNUMBER('Data'!$F$9111),'Data'!$F$9111&lt;&gt;999,'Data'!$F$9111&lt;&gt;""),'Data'!$F$9111,"")</f>
        <v/>
      </c>
      <c r="Z9110" t="n">
        <v>1</v>
      </c>
      <c r="AA9110">
        <f>IF(ISNUMBER('IN-CLASS_Lab Part C'!$J$9110),'IN-CLASS_Lab Part C'!$J$9110,NA())</f>
        <v/>
      </c>
    </row>
    <row r="9111">
      <c r="J9111">
        <f>IF(AND(ISNUMBER('Data'!$F$9112),'Data'!$F$9112&lt;&gt;999,'Data'!$F$9112&lt;&gt;""),'Data'!$F$9112,"")</f>
        <v/>
      </c>
      <c r="Z9111" t="n">
        <v>1</v>
      </c>
      <c r="AA9111">
        <f>IF(ISNUMBER('IN-CLASS_Lab Part C'!$J$9111),'IN-CLASS_Lab Part C'!$J$9111,NA())</f>
        <v/>
      </c>
    </row>
    <row r="9112">
      <c r="J9112">
        <f>IF(AND(ISNUMBER('Data'!$F$9113),'Data'!$F$9113&lt;&gt;999,'Data'!$F$9113&lt;&gt;""),'Data'!$F$9113,"")</f>
        <v/>
      </c>
      <c r="Z9112" t="n">
        <v>1</v>
      </c>
      <c r="AA9112">
        <f>IF(ISNUMBER('IN-CLASS_Lab Part C'!$J$9112),'IN-CLASS_Lab Part C'!$J$9112,NA())</f>
        <v/>
      </c>
    </row>
    <row r="9113">
      <c r="J9113">
        <f>IF(AND(ISNUMBER('Data'!$F$9114),'Data'!$F$9114&lt;&gt;999,'Data'!$F$9114&lt;&gt;""),'Data'!$F$9114,"")</f>
        <v/>
      </c>
      <c r="Z9113" t="n">
        <v>1</v>
      </c>
      <c r="AA9113">
        <f>IF(ISNUMBER('IN-CLASS_Lab Part C'!$J$9113),'IN-CLASS_Lab Part C'!$J$9113,NA())</f>
        <v/>
      </c>
    </row>
    <row r="9114">
      <c r="J9114">
        <f>IF(AND(ISNUMBER('Data'!$F$9115),'Data'!$F$9115&lt;&gt;999,'Data'!$F$9115&lt;&gt;""),'Data'!$F$9115,"")</f>
        <v/>
      </c>
      <c r="Z9114" t="n">
        <v>1</v>
      </c>
      <c r="AA9114">
        <f>IF(ISNUMBER('IN-CLASS_Lab Part C'!$J$9114),'IN-CLASS_Lab Part C'!$J$9114,NA())</f>
        <v/>
      </c>
    </row>
    <row r="9115">
      <c r="J9115">
        <f>IF(AND(ISNUMBER('Data'!$F$9116),'Data'!$F$9116&lt;&gt;999,'Data'!$F$9116&lt;&gt;""),'Data'!$F$9116,"")</f>
        <v/>
      </c>
      <c r="Z9115" t="n">
        <v>1</v>
      </c>
      <c r="AA9115">
        <f>IF(ISNUMBER('IN-CLASS_Lab Part C'!$J$9115),'IN-CLASS_Lab Part C'!$J$9115,NA())</f>
        <v/>
      </c>
    </row>
    <row r="9116">
      <c r="J9116">
        <f>IF(AND(ISNUMBER('Data'!$F$9117),'Data'!$F$9117&lt;&gt;999,'Data'!$F$9117&lt;&gt;""),'Data'!$F$9117,"")</f>
        <v/>
      </c>
      <c r="Z9116" t="n">
        <v>1</v>
      </c>
      <c r="AA9116">
        <f>IF(ISNUMBER('IN-CLASS_Lab Part C'!$J$9116),'IN-CLASS_Lab Part C'!$J$9116,NA())</f>
        <v/>
      </c>
    </row>
    <row r="9117">
      <c r="J9117">
        <f>IF(AND(ISNUMBER('Data'!$F$9118),'Data'!$F$9118&lt;&gt;999,'Data'!$F$9118&lt;&gt;""),'Data'!$F$9118,"")</f>
        <v/>
      </c>
      <c r="Z9117" t="n">
        <v>1</v>
      </c>
      <c r="AA9117">
        <f>IF(ISNUMBER('IN-CLASS_Lab Part C'!$J$9117),'IN-CLASS_Lab Part C'!$J$9117,NA())</f>
        <v/>
      </c>
    </row>
    <row r="9118">
      <c r="J9118">
        <f>IF(AND(ISNUMBER('Data'!$F$9119),'Data'!$F$9119&lt;&gt;999,'Data'!$F$9119&lt;&gt;""),'Data'!$F$9119,"")</f>
        <v/>
      </c>
      <c r="Z9118" t="n">
        <v>1</v>
      </c>
      <c r="AA9118">
        <f>IF(ISNUMBER('IN-CLASS_Lab Part C'!$J$9118),'IN-CLASS_Lab Part C'!$J$9118,NA())</f>
        <v/>
      </c>
    </row>
    <row r="9119">
      <c r="J9119">
        <f>IF(AND(ISNUMBER('Data'!$F$9120),'Data'!$F$9120&lt;&gt;999,'Data'!$F$9120&lt;&gt;""),'Data'!$F$9120,"")</f>
        <v/>
      </c>
      <c r="Z9119" t="n">
        <v>1</v>
      </c>
      <c r="AA9119">
        <f>IF(ISNUMBER('IN-CLASS_Lab Part C'!$J$9119),'IN-CLASS_Lab Part C'!$J$9119,NA())</f>
        <v/>
      </c>
    </row>
    <row r="9120">
      <c r="J9120">
        <f>IF(AND(ISNUMBER('Data'!$F$9121),'Data'!$F$9121&lt;&gt;999,'Data'!$F$9121&lt;&gt;""),'Data'!$F$9121,"")</f>
        <v/>
      </c>
      <c r="Z9120" t="n">
        <v>1</v>
      </c>
      <c r="AA9120">
        <f>IF(ISNUMBER('IN-CLASS_Lab Part C'!$J$9120),'IN-CLASS_Lab Part C'!$J$9120,NA())</f>
        <v/>
      </c>
    </row>
    <row r="9121">
      <c r="J9121">
        <f>IF(AND(ISNUMBER('Data'!$F$9122),'Data'!$F$9122&lt;&gt;999,'Data'!$F$9122&lt;&gt;""),'Data'!$F$9122,"")</f>
        <v/>
      </c>
      <c r="Z9121" t="n">
        <v>1</v>
      </c>
      <c r="AA9121">
        <f>IF(ISNUMBER('IN-CLASS_Lab Part C'!$J$9121),'IN-CLASS_Lab Part C'!$J$9121,NA())</f>
        <v/>
      </c>
    </row>
    <row r="9122">
      <c r="J9122">
        <f>IF(AND(ISNUMBER('Data'!$F$9123),'Data'!$F$9123&lt;&gt;999,'Data'!$F$9123&lt;&gt;""),'Data'!$F$9123,"")</f>
        <v/>
      </c>
      <c r="Z9122" t="n">
        <v>1</v>
      </c>
      <c r="AA9122">
        <f>IF(ISNUMBER('IN-CLASS_Lab Part C'!$J$9122),'IN-CLASS_Lab Part C'!$J$9122,NA())</f>
        <v/>
      </c>
    </row>
    <row r="9123">
      <c r="J9123">
        <f>IF(AND(ISNUMBER('Data'!$F$9124),'Data'!$F$9124&lt;&gt;999,'Data'!$F$9124&lt;&gt;""),'Data'!$F$9124,"")</f>
        <v/>
      </c>
      <c r="Z9123" t="n">
        <v>1</v>
      </c>
      <c r="AA9123">
        <f>IF(ISNUMBER('IN-CLASS_Lab Part C'!$J$9123),'IN-CLASS_Lab Part C'!$J$9123,NA())</f>
        <v/>
      </c>
    </row>
    <row r="9124">
      <c r="J9124">
        <f>IF(AND(ISNUMBER('Data'!$F$9125),'Data'!$F$9125&lt;&gt;999,'Data'!$F$9125&lt;&gt;""),'Data'!$F$9125,"")</f>
        <v/>
      </c>
      <c r="Z9124" t="n">
        <v>1</v>
      </c>
      <c r="AA9124">
        <f>IF(ISNUMBER('IN-CLASS_Lab Part C'!$J$9124),'IN-CLASS_Lab Part C'!$J$9124,NA())</f>
        <v/>
      </c>
    </row>
    <row r="9125">
      <c r="J9125">
        <f>IF(AND(ISNUMBER('Data'!$F$9126),'Data'!$F$9126&lt;&gt;999,'Data'!$F$9126&lt;&gt;""),'Data'!$F$9126,"")</f>
        <v/>
      </c>
      <c r="Z9125" t="n">
        <v>1</v>
      </c>
      <c r="AA9125">
        <f>IF(ISNUMBER('IN-CLASS_Lab Part C'!$J$9125),'IN-CLASS_Lab Part C'!$J$9125,NA())</f>
        <v/>
      </c>
    </row>
    <row r="9126">
      <c r="J9126">
        <f>IF(AND(ISNUMBER('Data'!$F$9127),'Data'!$F$9127&lt;&gt;999,'Data'!$F$9127&lt;&gt;""),'Data'!$F$9127,"")</f>
        <v/>
      </c>
      <c r="Z9126" t="n">
        <v>1</v>
      </c>
      <c r="AA9126">
        <f>IF(ISNUMBER('IN-CLASS_Lab Part C'!$J$9126),'IN-CLASS_Lab Part C'!$J$9126,NA())</f>
        <v/>
      </c>
    </row>
    <row r="9127">
      <c r="J9127">
        <f>IF(AND(ISNUMBER('Data'!$F$9128),'Data'!$F$9128&lt;&gt;999,'Data'!$F$9128&lt;&gt;""),'Data'!$F$9128,"")</f>
        <v/>
      </c>
      <c r="Z9127" t="n">
        <v>1</v>
      </c>
      <c r="AA9127">
        <f>IF(ISNUMBER('IN-CLASS_Lab Part C'!$J$9127),'IN-CLASS_Lab Part C'!$J$9127,NA())</f>
        <v/>
      </c>
    </row>
    <row r="9128">
      <c r="J9128">
        <f>IF(AND(ISNUMBER('Data'!$F$9129),'Data'!$F$9129&lt;&gt;999,'Data'!$F$9129&lt;&gt;""),'Data'!$F$9129,"")</f>
        <v/>
      </c>
      <c r="Z9128" t="n">
        <v>1</v>
      </c>
      <c r="AA9128">
        <f>IF(ISNUMBER('IN-CLASS_Lab Part C'!$J$9128),'IN-CLASS_Lab Part C'!$J$9128,NA())</f>
        <v/>
      </c>
    </row>
    <row r="9129">
      <c r="J9129">
        <f>IF(AND(ISNUMBER('Data'!$F$9130),'Data'!$F$9130&lt;&gt;999,'Data'!$F$9130&lt;&gt;""),'Data'!$F$9130,"")</f>
        <v/>
      </c>
      <c r="Z9129" t="n">
        <v>1</v>
      </c>
      <c r="AA9129">
        <f>IF(ISNUMBER('IN-CLASS_Lab Part C'!$J$9129),'IN-CLASS_Lab Part C'!$J$9129,NA())</f>
        <v/>
      </c>
    </row>
    <row r="9130">
      <c r="J9130">
        <f>IF(AND(ISNUMBER('Data'!$F$9131),'Data'!$F$9131&lt;&gt;999,'Data'!$F$9131&lt;&gt;""),'Data'!$F$9131,"")</f>
        <v/>
      </c>
      <c r="Z9130" t="n">
        <v>1</v>
      </c>
      <c r="AA9130">
        <f>IF(ISNUMBER('IN-CLASS_Lab Part C'!$J$9130),'IN-CLASS_Lab Part C'!$J$9130,NA())</f>
        <v/>
      </c>
    </row>
    <row r="9131">
      <c r="J9131">
        <f>IF(AND(ISNUMBER('Data'!$F$9132),'Data'!$F$9132&lt;&gt;999,'Data'!$F$9132&lt;&gt;""),'Data'!$F$9132,"")</f>
        <v/>
      </c>
      <c r="Z9131" t="n">
        <v>1</v>
      </c>
      <c r="AA9131">
        <f>IF(ISNUMBER('IN-CLASS_Lab Part C'!$J$9131),'IN-CLASS_Lab Part C'!$J$9131,NA())</f>
        <v/>
      </c>
    </row>
    <row r="9132">
      <c r="J9132">
        <f>IF(AND(ISNUMBER('Data'!$F$9133),'Data'!$F$9133&lt;&gt;999,'Data'!$F$9133&lt;&gt;""),'Data'!$F$9133,"")</f>
        <v/>
      </c>
      <c r="Z9132" t="n">
        <v>1</v>
      </c>
      <c r="AA9132">
        <f>IF(ISNUMBER('IN-CLASS_Lab Part C'!$J$9132),'IN-CLASS_Lab Part C'!$J$9132,NA())</f>
        <v/>
      </c>
    </row>
    <row r="9133">
      <c r="J9133">
        <f>IF(AND(ISNUMBER('Data'!$F$9134),'Data'!$F$9134&lt;&gt;999,'Data'!$F$9134&lt;&gt;""),'Data'!$F$9134,"")</f>
        <v/>
      </c>
      <c r="Z9133" t="n">
        <v>1</v>
      </c>
      <c r="AA9133">
        <f>IF(ISNUMBER('IN-CLASS_Lab Part C'!$J$9133),'IN-CLASS_Lab Part C'!$J$9133,NA())</f>
        <v/>
      </c>
    </row>
    <row r="9134">
      <c r="J9134">
        <f>IF(AND(ISNUMBER('Data'!$F$9135),'Data'!$F$9135&lt;&gt;999,'Data'!$F$9135&lt;&gt;""),'Data'!$F$9135,"")</f>
        <v/>
      </c>
      <c r="Z9134" t="n">
        <v>1</v>
      </c>
      <c r="AA9134">
        <f>IF(ISNUMBER('IN-CLASS_Lab Part C'!$J$9134),'IN-CLASS_Lab Part C'!$J$9134,NA())</f>
        <v/>
      </c>
    </row>
    <row r="9135">
      <c r="J9135">
        <f>IF(AND(ISNUMBER('Data'!$F$9136),'Data'!$F$9136&lt;&gt;999,'Data'!$F$9136&lt;&gt;""),'Data'!$F$9136,"")</f>
        <v/>
      </c>
      <c r="Z9135" t="n">
        <v>1</v>
      </c>
      <c r="AA9135">
        <f>IF(ISNUMBER('IN-CLASS_Lab Part C'!$J$9135),'IN-CLASS_Lab Part C'!$J$9135,NA())</f>
        <v/>
      </c>
    </row>
    <row r="9136">
      <c r="J9136">
        <f>IF(AND(ISNUMBER('Data'!$F$9137),'Data'!$F$9137&lt;&gt;999,'Data'!$F$9137&lt;&gt;""),'Data'!$F$9137,"")</f>
        <v/>
      </c>
      <c r="Z9136" t="n">
        <v>1</v>
      </c>
      <c r="AA9136">
        <f>IF(ISNUMBER('IN-CLASS_Lab Part C'!$J$9136),'IN-CLASS_Lab Part C'!$J$9136,NA())</f>
        <v/>
      </c>
    </row>
    <row r="9137">
      <c r="J9137">
        <f>IF(AND(ISNUMBER('Data'!$F$9138),'Data'!$F$9138&lt;&gt;999,'Data'!$F$9138&lt;&gt;""),'Data'!$F$9138,"")</f>
        <v/>
      </c>
      <c r="Z9137" t="n">
        <v>1</v>
      </c>
      <c r="AA9137">
        <f>IF(ISNUMBER('IN-CLASS_Lab Part C'!$J$9137),'IN-CLASS_Lab Part C'!$J$9137,NA())</f>
        <v/>
      </c>
    </row>
    <row r="9138">
      <c r="J9138">
        <f>IF(AND(ISNUMBER('Data'!$F$9139),'Data'!$F$9139&lt;&gt;999,'Data'!$F$9139&lt;&gt;""),'Data'!$F$9139,"")</f>
        <v/>
      </c>
      <c r="Z9138" t="n">
        <v>1</v>
      </c>
      <c r="AA9138">
        <f>IF(ISNUMBER('IN-CLASS_Lab Part C'!$J$9138),'IN-CLASS_Lab Part C'!$J$9138,NA())</f>
        <v/>
      </c>
    </row>
    <row r="9139">
      <c r="J9139">
        <f>IF(AND(ISNUMBER('Data'!$F$9140),'Data'!$F$9140&lt;&gt;999,'Data'!$F$9140&lt;&gt;""),'Data'!$F$9140,"")</f>
        <v/>
      </c>
      <c r="Z9139" t="n">
        <v>1</v>
      </c>
      <c r="AA9139">
        <f>IF(ISNUMBER('IN-CLASS_Lab Part C'!$J$9139),'IN-CLASS_Lab Part C'!$J$9139,NA())</f>
        <v/>
      </c>
    </row>
    <row r="9140">
      <c r="J9140">
        <f>IF(AND(ISNUMBER('Data'!$F$9141),'Data'!$F$9141&lt;&gt;999,'Data'!$F$9141&lt;&gt;""),'Data'!$F$9141,"")</f>
        <v/>
      </c>
      <c r="Z9140" t="n">
        <v>1</v>
      </c>
      <c r="AA9140">
        <f>IF(ISNUMBER('IN-CLASS_Lab Part C'!$J$9140),'IN-CLASS_Lab Part C'!$J$9140,NA())</f>
        <v/>
      </c>
    </row>
    <row r="9141">
      <c r="J9141">
        <f>IF(AND(ISNUMBER('Data'!$F$9142),'Data'!$F$9142&lt;&gt;999,'Data'!$F$9142&lt;&gt;""),'Data'!$F$9142,"")</f>
        <v/>
      </c>
      <c r="Z9141" t="n">
        <v>1</v>
      </c>
      <c r="AA9141">
        <f>IF(ISNUMBER('IN-CLASS_Lab Part C'!$J$9141),'IN-CLASS_Lab Part C'!$J$9141,NA())</f>
        <v/>
      </c>
    </row>
    <row r="9142">
      <c r="J9142">
        <f>IF(AND(ISNUMBER('Data'!$F$9143),'Data'!$F$9143&lt;&gt;999,'Data'!$F$9143&lt;&gt;""),'Data'!$F$9143,"")</f>
        <v/>
      </c>
      <c r="Z9142" t="n">
        <v>1</v>
      </c>
      <c r="AA9142">
        <f>IF(ISNUMBER('IN-CLASS_Lab Part C'!$J$9142),'IN-CLASS_Lab Part C'!$J$9142,NA())</f>
        <v/>
      </c>
    </row>
    <row r="9143">
      <c r="J9143">
        <f>IF(AND(ISNUMBER('Data'!$F$9144),'Data'!$F$9144&lt;&gt;999,'Data'!$F$9144&lt;&gt;""),'Data'!$F$9144,"")</f>
        <v/>
      </c>
      <c r="Z9143" t="n">
        <v>1</v>
      </c>
      <c r="AA9143">
        <f>IF(ISNUMBER('IN-CLASS_Lab Part C'!$J$9143),'IN-CLASS_Lab Part C'!$J$9143,NA())</f>
        <v/>
      </c>
    </row>
    <row r="9144">
      <c r="J9144">
        <f>IF(AND(ISNUMBER('Data'!$F$9145),'Data'!$F$9145&lt;&gt;999,'Data'!$F$9145&lt;&gt;""),'Data'!$F$9145,"")</f>
        <v/>
      </c>
      <c r="Z9144" t="n">
        <v>1</v>
      </c>
      <c r="AA9144">
        <f>IF(ISNUMBER('IN-CLASS_Lab Part C'!$J$9144),'IN-CLASS_Lab Part C'!$J$9144,NA())</f>
        <v/>
      </c>
    </row>
    <row r="9145">
      <c r="J9145">
        <f>IF(AND(ISNUMBER('Data'!$F$9146),'Data'!$F$9146&lt;&gt;999,'Data'!$F$9146&lt;&gt;""),'Data'!$F$9146,"")</f>
        <v/>
      </c>
      <c r="Z9145" t="n">
        <v>1</v>
      </c>
      <c r="AA9145">
        <f>IF(ISNUMBER('IN-CLASS_Lab Part C'!$J$9145),'IN-CLASS_Lab Part C'!$J$9145,NA())</f>
        <v/>
      </c>
    </row>
    <row r="9146">
      <c r="J9146">
        <f>IF(AND(ISNUMBER('Data'!$F$9147),'Data'!$F$9147&lt;&gt;999,'Data'!$F$9147&lt;&gt;""),'Data'!$F$9147,"")</f>
        <v/>
      </c>
      <c r="Z9146" t="n">
        <v>1</v>
      </c>
      <c r="AA9146">
        <f>IF(ISNUMBER('IN-CLASS_Lab Part C'!$J$9146),'IN-CLASS_Lab Part C'!$J$9146,NA())</f>
        <v/>
      </c>
    </row>
    <row r="9147">
      <c r="J9147">
        <f>IF(AND(ISNUMBER('Data'!$F$9148),'Data'!$F$9148&lt;&gt;999,'Data'!$F$9148&lt;&gt;""),'Data'!$F$9148,"")</f>
        <v/>
      </c>
      <c r="Z9147" t="n">
        <v>1</v>
      </c>
      <c r="AA9147">
        <f>IF(ISNUMBER('IN-CLASS_Lab Part C'!$J$9147),'IN-CLASS_Lab Part C'!$J$9147,NA())</f>
        <v/>
      </c>
    </row>
    <row r="9148">
      <c r="J9148">
        <f>IF(AND(ISNUMBER('Data'!$F$9149),'Data'!$F$9149&lt;&gt;999,'Data'!$F$9149&lt;&gt;""),'Data'!$F$9149,"")</f>
        <v/>
      </c>
      <c r="Z9148" t="n">
        <v>1</v>
      </c>
      <c r="AA9148">
        <f>IF(ISNUMBER('IN-CLASS_Lab Part C'!$J$9148),'IN-CLASS_Lab Part C'!$J$9148,NA())</f>
        <v/>
      </c>
    </row>
    <row r="9149">
      <c r="J9149">
        <f>IF(AND(ISNUMBER('Data'!$F$9150),'Data'!$F$9150&lt;&gt;999,'Data'!$F$9150&lt;&gt;""),'Data'!$F$9150,"")</f>
        <v/>
      </c>
      <c r="Z9149" t="n">
        <v>1</v>
      </c>
      <c r="AA9149">
        <f>IF(ISNUMBER('IN-CLASS_Lab Part C'!$J$9149),'IN-CLASS_Lab Part C'!$J$9149,NA())</f>
        <v/>
      </c>
    </row>
    <row r="9150">
      <c r="J9150">
        <f>IF(AND(ISNUMBER('Data'!$F$9151),'Data'!$F$9151&lt;&gt;999,'Data'!$F$9151&lt;&gt;""),'Data'!$F$9151,"")</f>
        <v/>
      </c>
      <c r="Z9150" t="n">
        <v>1</v>
      </c>
      <c r="AA9150">
        <f>IF(ISNUMBER('IN-CLASS_Lab Part C'!$J$9150),'IN-CLASS_Lab Part C'!$J$9150,NA())</f>
        <v/>
      </c>
    </row>
    <row r="9151">
      <c r="J9151">
        <f>IF(AND(ISNUMBER('Data'!$F$9152),'Data'!$F$9152&lt;&gt;999,'Data'!$F$9152&lt;&gt;""),'Data'!$F$9152,"")</f>
        <v/>
      </c>
      <c r="Z9151" t="n">
        <v>1</v>
      </c>
      <c r="AA9151">
        <f>IF(ISNUMBER('IN-CLASS_Lab Part C'!$J$9151),'IN-CLASS_Lab Part C'!$J$9151,NA())</f>
        <v/>
      </c>
    </row>
    <row r="9152">
      <c r="J9152">
        <f>IF(AND(ISNUMBER('Data'!$F$9153),'Data'!$F$9153&lt;&gt;999,'Data'!$F$9153&lt;&gt;""),'Data'!$F$9153,"")</f>
        <v/>
      </c>
      <c r="Z9152" t="n">
        <v>1</v>
      </c>
      <c r="AA9152">
        <f>IF(ISNUMBER('IN-CLASS_Lab Part C'!$J$9152),'IN-CLASS_Lab Part C'!$J$9152,NA())</f>
        <v/>
      </c>
    </row>
    <row r="9153">
      <c r="J9153">
        <f>IF(AND(ISNUMBER('Data'!$F$9154),'Data'!$F$9154&lt;&gt;999,'Data'!$F$9154&lt;&gt;""),'Data'!$F$9154,"")</f>
        <v/>
      </c>
      <c r="Z9153" t="n">
        <v>1</v>
      </c>
      <c r="AA9153">
        <f>IF(ISNUMBER('IN-CLASS_Lab Part C'!$J$9153),'IN-CLASS_Lab Part C'!$J$9153,NA())</f>
        <v/>
      </c>
    </row>
    <row r="9154">
      <c r="J9154">
        <f>IF(AND(ISNUMBER('Data'!$F$9155),'Data'!$F$9155&lt;&gt;999,'Data'!$F$9155&lt;&gt;""),'Data'!$F$9155,"")</f>
        <v/>
      </c>
      <c r="Z9154" t="n">
        <v>1</v>
      </c>
      <c r="AA9154">
        <f>IF(ISNUMBER('IN-CLASS_Lab Part C'!$J$9154),'IN-CLASS_Lab Part C'!$J$9154,NA())</f>
        <v/>
      </c>
    </row>
    <row r="9155">
      <c r="J9155">
        <f>IF(AND(ISNUMBER('Data'!$F$9156),'Data'!$F$9156&lt;&gt;999,'Data'!$F$9156&lt;&gt;""),'Data'!$F$9156,"")</f>
        <v/>
      </c>
      <c r="Z9155" t="n">
        <v>1</v>
      </c>
      <c r="AA9155">
        <f>IF(ISNUMBER('IN-CLASS_Lab Part C'!$J$9155),'IN-CLASS_Lab Part C'!$J$9155,NA())</f>
        <v/>
      </c>
    </row>
    <row r="9156">
      <c r="J9156">
        <f>IF(AND(ISNUMBER('Data'!$F$9157),'Data'!$F$9157&lt;&gt;999,'Data'!$F$9157&lt;&gt;""),'Data'!$F$9157,"")</f>
        <v/>
      </c>
      <c r="Z9156" t="n">
        <v>1</v>
      </c>
      <c r="AA9156">
        <f>IF(ISNUMBER('IN-CLASS_Lab Part C'!$J$9156),'IN-CLASS_Lab Part C'!$J$9156,NA())</f>
        <v/>
      </c>
    </row>
    <row r="9157">
      <c r="J9157">
        <f>IF(AND(ISNUMBER('Data'!$F$9158),'Data'!$F$9158&lt;&gt;999,'Data'!$F$9158&lt;&gt;""),'Data'!$F$9158,"")</f>
        <v/>
      </c>
      <c r="Z9157" t="n">
        <v>1</v>
      </c>
      <c r="AA9157">
        <f>IF(ISNUMBER('IN-CLASS_Lab Part C'!$J$9157),'IN-CLASS_Lab Part C'!$J$9157,NA())</f>
        <v/>
      </c>
    </row>
    <row r="9158">
      <c r="J9158">
        <f>IF(AND(ISNUMBER('Data'!$F$9159),'Data'!$F$9159&lt;&gt;999,'Data'!$F$9159&lt;&gt;""),'Data'!$F$9159,"")</f>
        <v/>
      </c>
      <c r="Z9158" t="n">
        <v>1</v>
      </c>
      <c r="AA9158">
        <f>IF(ISNUMBER('IN-CLASS_Lab Part C'!$J$9158),'IN-CLASS_Lab Part C'!$J$9158,NA())</f>
        <v/>
      </c>
    </row>
    <row r="9159">
      <c r="J9159">
        <f>IF(AND(ISNUMBER('Data'!$F$9160),'Data'!$F$9160&lt;&gt;999,'Data'!$F$9160&lt;&gt;""),'Data'!$F$9160,"")</f>
        <v/>
      </c>
      <c r="Z9159" t="n">
        <v>1</v>
      </c>
      <c r="AA9159">
        <f>IF(ISNUMBER('IN-CLASS_Lab Part C'!$J$9159),'IN-CLASS_Lab Part C'!$J$9159,NA())</f>
        <v/>
      </c>
    </row>
    <row r="9160">
      <c r="J9160">
        <f>IF(AND(ISNUMBER('Data'!$F$9161),'Data'!$F$9161&lt;&gt;999,'Data'!$F$9161&lt;&gt;""),'Data'!$F$9161,"")</f>
        <v/>
      </c>
      <c r="Z9160" t="n">
        <v>1</v>
      </c>
      <c r="AA9160">
        <f>IF(ISNUMBER('IN-CLASS_Lab Part C'!$J$9160),'IN-CLASS_Lab Part C'!$J$9160,NA())</f>
        <v/>
      </c>
    </row>
    <row r="9161">
      <c r="J9161">
        <f>IF(AND(ISNUMBER('Data'!$F$9162),'Data'!$F$9162&lt;&gt;999,'Data'!$F$9162&lt;&gt;""),'Data'!$F$9162,"")</f>
        <v/>
      </c>
      <c r="Z9161" t="n">
        <v>1</v>
      </c>
      <c r="AA9161">
        <f>IF(ISNUMBER('IN-CLASS_Lab Part C'!$J$9161),'IN-CLASS_Lab Part C'!$J$9161,NA())</f>
        <v/>
      </c>
    </row>
    <row r="9162">
      <c r="J9162">
        <f>IF(AND(ISNUMBER('Data'!$F$9163),'Data'!$F$9163&lt;&gt;999,'Data'!$F$9163&lt;&gt;""),'Data'!$F$9163,"")</f>
        <v/>
      </c>
      <c r="Z9162" t="n">
        <v>1</v>
      </c>
      <c r="AA9162">
        <f>IF(ISNUMBER('IN-CLASS_Lab Part C'!$J$9162),'IN-CLASS_Lab Part C'!$J$9162,NA())</f>
        <v/>
      </c>
    </row>
    <row r="9163">
      <c r="J9163">
        <f>IF(AND(ISNUMBER('Data'!$F$9164),'Data'!$F$9164&lt;&gt;999,'Data'!$F$9164&lt;&gt;""),'Data'!$F$9164,"")</f>
        <v/>
      </c>
      <c r="Z9163" t="n">
        <v>1</v>
      </c>
      <c r="AA9163">
        <f>IF(ISNUMBER('IN-CLASS_Lab Part C'!$J$9163),'IN-CLASS_Lab Part C'!$J$9163,NA())</f>
        <v/>
      </c>
    </row>
    <row r="9164">
      <c r="J9164">
        <f>IF(AND(ISNUMBER('Data'!$F$9165),'Data'!$F$9165&lt;&gt;999,'Data'!$F$9165&lt;&gt;""),'Data'!$F$9165,"")</f>
        <v/>
      </c>
      <c r="Z9164" t="n">
        <v>1</v>
      </c>
      <c r="AA9164">
        <f>IF(ISNUMBER('IN-CLASS_Lab Part C'!$J$9164),'IN-CLASS_Lab Part C'!$J$9164,NA())</f>
        <v/>
      </c>
    </row>
    <row r="9165">
      <c r="J9165">
        <f>IF(AND(ISNUMBER('Data'!$F$9166),'Data'!$F$9166&lt;&gt;999,'Data'!$F$9166&lt;&gt;""),'Data'!$F$9166,"")</f>
        <v/>
      </c>
      <c r="Z9165" t="n">
        <v>1</v>
      </c>
      <c r="AA9165">
        <f>IF(ISNUMBER('IN-CLASS_Lab Part C'!$J$9165),'IN-CLASS_Lab Part C'!$J$9165,NA())</f>
        <v/>
      </c>
    </row>
    <row r="9166">
      <c r="J9166">
        <f>IF(AND(ISNUMBER('Data'!$F$9167),'Data'!$F$9167&lt;&gt;999,'Data'!$F$9167&lt;&gt;""),'Data'!$F$9167,"")</f>
        <v/>
      </c>
      <c r="Z9166" t="n">
        <v>1</v>
      </c>
      <c r="AA9166">
        <f>IF(ISNUMBER('IN-CLASS_Lab Part C'!$J$9166),'IN-CLASS_Lab Part C'!$J$9166,NA())</f>
        <v/>
      </c>
    </row>
    <row r="9167">
      <c r="J9167">
        <f>IF(AND(ISNUMBER('Data'!$F$9168),'Data'!$F$9168&lt;&gt;999,'Data'!$F$9168&lt;&gt;""),'Data'!$F$9168,"")</f>
        <v/>
      </c>
      <c r="Z9167" t="n">
        <v>1</v>
      </c>
      <c r="AA9167">
        <f>IF(ISNUMBER('IN-CLASS_Lab Part C'!$J$9167),'IN-CLASS_Lab Part C'!$J$9167,NA())</f>
        <v/>
      </c>
    </row>
    <row r="9168">
      <c r="J9168">
        <f>IF(AND(ISNUMBER('Data'!$F$9169),'Data'!$F$9169&lt;&gt;999,'Data'!$F$9169&lt;&gt;""),'Data'!$F$9169,"")</f>
        <v/>
      </c>
      <c r="Z9168" t="n">
        <v>1</v>
      </c>
      <c r="AA9168">
        <f>IF(ISNUMBER('IN-CLASS_Lab Part C'!$J$9168),'IN-CLASS_Lab Part C'!$J$9168,NA())</f>
        <v/>
      </c>
    </row>
    <row r="9169">
      <c r="J9169">
        <f>IF(AND(ISNUMBER('Data'!$F$9170),'Data'!$F$9170&lt;&gt;999,'Data'!$F$9170&lt;&gt;""),'Data'!$F$9170,"")</f>
        <v/>
      </c>
      <c r="Z9169" t="n">
        <v>1</v>
      </c>
      <c r="AA9169">
        <f>IF(ISNUMBER('IN-CLASS_Lab Part C'!$J$9169),'IN-CLASS_Lab Part C'!$J$9169,NA())</f>
        <v/>
      </c>
    </row>
    <row r="9170">
      <c r="J9170">
        <f>IF(AND(ISNUMBER('Data'!$F$9171),'Data'!$F$9171&lt;&gt;999,'Data'!$F$9171&lt;&gt;""),'Data'!$F$9171,"")</f>
        <v/>
      </c>
      <c r="Z9170" t="n">
        <v>1</v>
      </c>
      <c r="AA9170">
        <f>IF(ISNUMBER('IN-CLASS_Lab Part C'!$J$9170),'IN-CLASS_Lab Part C'!$J$9170,NA())</f>
        <v/>
      </c>
    </row>
    <row r="9171">
      <c r="J9171">
        <f>IF(AND(ISNUMBER('Data'!$F$9172),'Data'!$F$9172&lt;&gt;999,'Data'!$F$9172&lt;&gt;""),'Data'!$F$9172,"")</f>
        <v/>
      </c>
      <c r="Z9171" t="n">
        <v>1</v>
      </c>
      <c r="AA9171">
        <f>IF(ISNUMBER('IN-CLASS_Lab Part C'!$J$9171),'IN-CLASS_Lab Part C'!$J$9171,NA())</f>
        <v/>
      </c>
    </row>
    <row r="9172">
      <c r="J9172">
        <f>IF(AND(ISNUMBER('Data'!$F$9173),'Data'!$F$9173&lt;&gt;999,'Data'!$F$9173&lt;&gt;""),'Data'!$F$9173,"")</f>
        <v/>
      </c>
      <c r="Z9172" t="n">
        <v>1</v>
      </c>
      <c r="AA9172">
        <f>IF(ISNUMBER('IN-CLASS_Lab Part C'!$J$9172),'IN-CLASS_Lab Part C'!$J$9172,NA())</f>
        <v/>
      </c>
    </row>
    <row r="9173">
      <c r="J9173">
        <f>IF(AND(ISNUMBER('Data'!$F$9174),'Data'!$F$9174&lt;&gt;999,'Data'!$F$9174&lt;&gt;""),'Data'!$F$9174,"")</f>
        <v/>
      </c>
      <c r="Z9173" t="n">
        <v>1</v>
      </c>
      <c r="AA9173">
        <f>IF(ISNUMBER('IN-CLASS_Lab Part C'!$J$9173),'IN-CLASS_Lab Part C'!$J$9173,NA())</f>
        <v/>
      </c>
    </row>
    <row r="9174">
      <c r="J9174">
        <f>IF(AND(ISNUMBER('Data'!$F$9175),'Data'!$F$9175&lt;&gt;999,'Data'!$F$9175&lt;&gt;""),'Data'!$F$9175,"")</f>
        <v/>
      </c>
      <c r="Z9174" t="n">
        <v>1</v>
      </c>
      <c r="AA9174">
        <f>IF(ISNUMBER('IN-CLASS_Lab Part C'!$J$9174),'IN-CLASS_Lab Part C'!$J$9174,NA())</f>
        <v/>
      </c>
    </row>
    <row r="9175">
      <c r="J9175">
        <f>IF(AND(ISNUMBER('Data'!$F$9176),'Data'!$F$9176&lt;&gt;999,'Data'!$F$9176&lt;&gt;""),'Data'!$F$9176,"")</f>
        <v/>
      </c>
      <c r="Z9175" t="n">
        <v>1</v>
      </c>
      <c r="AA9175">
        <f>IF(ISNUMBER('IN-CLASS_Lab Part C'!$J$9175),'IN-CLASS_Lab Part C'!$J$9175,NA())</f>
        <v/>
      </c>
    </row>
    <row r="9176">
      <c r="J9176">
        <f>IF(AND(ISNUMBER('Data'!$F$9177),'Data'!$F$9177&lt;&gt;999,'Data'!$F$9177&lt;&gt;""),'Data'!$F$9177,"")</f>
        <v/>
      </c>
      <c r="Z9176" t="n">
        <v>1</v>
      </c>
      <c r="AA9176">
        <f>IF(ISNUMBER('IN-CLASS_Lab Part C'!$J$9176),'IN-CLASS_Lab Part C'!$J$9176,NA())</f>
        <v/>
      </c>
    </row>
    <row r="9177">
      <c r="J9177">
        <f>IF(AND(ISNUMBER('Data'!$F$9178),'Data'!$F$9178&lt;&gt;999,'Data'!$F$9178&lt;&gt;""),'Data'!$F$9178,"")</f>
        <v/>
      </c>
      <c r="Z9177" t="n">
        <v>1</v>
      </c>
      <c r="AA9177">
        <f>IF(ISNUMBER('IN-CLASS_Lab Part C'!$J$9177),'IN-CLASS_Lab Part C'!$J$9177,NA())</f>
        <v/>
      </c>
    </row>
    <row r="9178">
      <c r="J9178">
        <f>IF(AND(ISNUMBER('Data'!$F$9179),'Data'!$F$9179&lt;&gt;999,'Data'!$F$9179&lt;&gt;""),'Data'!$F$9179,"")</f>
        <v/>
      </c>
      <c r="Z9178" t="n">
        <v>1</v>
      </c>
      <c r="AA9178">
        <f>IF(ISNUMBER('IN-CLASS_Lab Part C'!$J$9178),'IN-CLASS_Lab Part C'!$J$9178,NA())</f>
        <v/>
      </c>
    </row>
    <row r="9179">
      <c r="J9179">
        <f>IF(AND(ISNUMBER('Data'!$F$9180),'Data'!$F$9180&lt;&gt;999,'Data'!$F$9180&lt;&gt;""),'Data'!$F$9180,"")</f>
        <v/>
      </c>
      <c r="Z9179" t="n">
        <v>1</v>
      </c>
      <c r="AA9179">
        <f>IF(ISNUMBER('IN-CLASS_Lab Part C'!$J$9179),'IN-CLASS_Lab Part C'!$J$9179,NA())</f>
        <v/>
      </c>
    </row>
    <row r="9180">
      <c r="J9180">
        <f>IF(AND(ISNUMBER('Data'!$F$9181),'Data'!$F$9181&lt;&gt;999,'Data'!$F$9181&lt;&gt;""),'Data'!$F$9181,"")</f>
        <v/>
      </c>
      <c r="Z9180" t="n">
        <v>1</v>
      </c>
      <c r="AA9180">
        <f>IF(ISNUMBER('IN-CLASS_Lab Part C'!$J$9180),'IN-CLASS_Lab Part C'!$J$9180,NA())</f>
        <v/>
      </c>
    </row>
    <row r="9181">
      <c r="J9181">
        <f>IF(AND(ISNUMBER('Data'!$F$9182),'Data'!$F$9182&lt;&gt;999,'Data'!$F$9182&lt;&gt;""),'Data'!$F$9182,"")</f>
        <v/>
      </c>
      <c r="Z9181" t="n">
        <v>1</v>
      </c>
      <c r="AA9181">
        <f>IF(ISNUMBER('IN-CLASS_Lab Part C'!$J$9181),'IN-CLASS_Lab Part C'!$J$9181,NA())</f>
        <v/>
      </c>
    </row>
    <row r="9182">
      <c r="J9182">
        <f>IF(AND(ISNUMBER('Data'!$F$9183),'Data'!$F$9183&lt;&gt;999,'Data'!$F$9183&lt;&gt;""),'Data'!$F$9183,"")</f>
        <v/>
      </c>
      <c r="Z9182" t="n">
        <v>1</v>
      </c>
      <c r="AA9182">
        <f>IF(ISNUMBER('IN-CLASS_Lab Part C'!$J$9182),'IN-CLASS_Lab Part C'!$J$9182,NA())</f>
        <v/>
      </c>
    </row>
    <row r="9183">
      <c r="J9183">
        <f>IF(AND(ISNUMBER('Data'!$F$9184),'Data'!$F$9184&lt;&gt;999,'Data'!$F$9184&lt;&gt;""),'Data'!$F$9184,"")</f>
        <v/>
      </c>
      <c r="Z9183" t="n">
        <v>1</v>
      </c>
      <c r="AA9183">
        <f>IF(ISNUMBER('IN-CLASS_Lab Part C'!$J$9183),'IN-CLASS_Lab Part C'!$J$9183,NA())</f>
        <v/>
      </c>
    </row>
    <row r="9184">
      <c r="J9184">
        <f>IF(AND(ISNUMBER('Data'!$F$9185),'Data'!$F$9185&lt;&gt;999,'Data'!$F$9185&lt;&gt;""),'Data'!$F$9185,"")</f>
        <v/>
      </c>
      <c r="Z9184" t="n">
        <v>1</v>
      </c>
      <c r="AA9184">
        <f>IF(ISNUMBER('IN-CLASS_Lab Part C'!$J$9184),'IN-CLASS_Lab Part C'!$J$9184,NA())</f>
        <v/>
      </c>
    </row>
    <row r="9185">
      <c r="J9185">
        <f>IF(AND(ISNUMBER('Data'!$F$9186),'Data'!$F$9186&lt;&gt;999,'Data'!$F$9186&lt;&gt;""),'Data'!$F$9186,"")</f>
        <v/>
      </c>
      <c r="Z9185" t="n">
        <v>1</v>
      </c>
      <c r="AA9185">
        <f>IF(ISNUMBER('IN-CLASS_Lab Part C'!$J$9185),'IN-CLASS_Lab Part C'!$J$9185,NA())</f>
        <v/>
      </c>
    </row>
    <row r="9186">
      <c r="J9186">
        <f>IF(AND(ISNUMBER('Data'!$F$9187),'Data'!$F$9187&lt;&gt;999,'Data'!$F$9187&lt;&gt;""),'Data'!$F$9187,"")</f>
        <v/>
      </c>
      <c r="Z9186" t="n">
        <v>1</v>
      </c>
      <c r="AA9186">
        <f>IF(ISNUMBER('IN-CLASS_Lab Part C'!$J$9186),'IN-CLASS_Lab Part C'!$J$9186,NA())</f>
        <v/>
      </c>
    </row>
    <row r="9187">
      <c r="J9187">
        <f>IF(AND(ISNUMBER('Data'!$F$9188),'Data'!$F$9188&lt;&gt;999,'Data'!$F$9188&lt;&gt;""),'Data'!$F$9188,"")</f>
        <v/>
      </c>
      <c r="Z9187" t="n">
        <v>1</v>
      </c>
      <c r="AA9187">
        <f>IF(ISNUMBER('IN-CLASS_Lab Part C'!$J$9187),'IN-CLASS_Lab Part C'!$J$9187,NA())</f>
        <v/>
      </c>
    </row>
    <row r="9188">
      <c r="J9188">
        <f>IF(AND(ISNUMBER('Data'!$F$9189),'Data'!$F$9189&lt;&gt;999,'Data'!$F$9189&lt;&gt;""),'Data'!$F$9189,"")</f>
        <v/>
      </c>
      <c r="Z9188" t="n">
        <v>1</v>
      </c>
      <c r="AA9188">
        <f>IF(ISNUMBER('IN-CLASS_Lab Part C'!$J$9188),'IN-CLASS_Lab Part C'!$J$9188,NA())</f>
        <v/>
      </c>
    </row>
    <row r="9189">
      <c r="J9189">
        <f>IF(AND(ISNUMBER('Data'!$F$9190),'Data'!$F$9190&lt;&gt;999,'Data'!$F$9190&lt;&gt;""),'Data'!$F$9190,"")</f>
        <v/>
      </c>
      <c r="Z9189" t="n">
        <v>1</v>
      </c>
      <c r="AA9189">
        <f>IF(ISNUMBER('IN-CLASS_Lab Part C'!$J$9189),'IN-CLASS_Lab Part C'!$J$9189,NA())</f>
        <v/>
      </c>
    </row>
    <row r="9190">
      <c r="J9190">
        <f>IF(AND(ISNUMBER('Data'!$F$9191),'Data'!$F$9191&lt;&gt;999,'Data'!$F$9191&lt;&gt;""),'Data'!$F$9191,"")</f>
        <v/>
      </c>
      <c r="Z9190" t="n">
        <v>1</v>
      </c>
      <c r="AA9190">
        <f>IF(ISNUMBER('IN-CLASS_Lab Part C'!$J$9190),'IN-CLASS_Lab Part C'!$J$9190,NA())</f>
        <v/>
      </c>
    </row>
    <row r="9191">
      <c r="J9191">
        <f>IF(AND(ISNUMBER('Data'!$F$9192),'Data'!$F$9192&lt;&gt;999,'Data'!$F$9192&lt;&gt;""),'Data'!$F$9192,"")</f>
        <v/>
      </c>
      <c r="Z9191" t="n">
        <v>1</v>
      </c>
      <c r="AA9191">
        <f>IF(ISNUMBER('IN-CLASS_Lab Part C'!$J$9191),'IN-CLASS_Lab Part C'!$J$9191,NA())</f>
        <v/>
      </c>
    </row>
    <row r="9192">
      <c r="J9192">
        <f>IF(AND(ISNUMBER('Data'!$F$9193),'Data'!$F$9193&lt;&gt;999,'Data'!$F$9193&lt;&gt;""),'Data'!$F$9193,"")</f>
        <v/>
      </c>
      <c r="Z9192" t="n">
        <v>1</v>
      </c>
      <c r="AA9192">
        <f>IF(ISNUMBER('IN-CLASS_Lab Part C'!$J$9192),'IN-CLASS_Lab Part C'!$J$9192,NA())</f>
        <v/>
      </c>
    </row>
    <row r="9193">
      <c r="J9193">
        <f>IF(AND(ISNUMBER('Data'!$F$9194),'Data'!$F$9194&lt;&gt;999,'Data'!$F$9194&lt;&gt;""),'Data'!$F$9194,"")</f>
        <v/>
      </c>
      <c r="Z9193" t="n">
        <v>1</v>
      </c>
      <c r="AA9193">
        <f>IF(ISNUMBER('IN-CLASS_Lab Part C'!$J$9193),'IN-CLASS_Lab Part C'!$J$9193,NA())</f>
        <v/>
      </c>
    </row>
    <row r="9194">
      <c r="J9194">
        <f>IF(AND(ISNUMBER('Data'!$F$9195),'Data'!$F$9195&lt;&gt;999,'Data'!$F$9195&lt;&gt;""),'Data'!$F$9195,"")</f>
        <v/>
      </c>
      <c r="Z9194" t="n">
        <v>1</v>
      </c>
      <c r="AA9194">
        <f>IF(ISNUMBER('IN-CLASS_Lab Part C'!$J$9194),'IN-CLASS_Lab Part C'!$J$9194,NA())</f>
        <v/>
      </c>
    </row>
    <row r="9195">
      <c r="J9195">
        <f>IF(AND(ISNUMBER('Data'!$F$9196),'Data'!$F$9196&lt;&gt;999,'Data'!$F$9196&lt;&gt;""),'Data'!$F$9196,"")</f>
        <v/>
      </c>
      <c r="Z9195" t="n">
        <v>1</v>
      </c>
      <c r="AA9195">
        <f>IF(ISNUMBER('IN-CLASS_Lab Part C'!$J$9195),'IN-CLASS_Lab Part C'!$J$9195,NA())</f>
        <v/>
      </c>
    </row>
    <row r="9196">
      <c r="J9196">
        <f>IF(AND(ISNUMBER('Data'!$F$9197),'Data'!$F$9197&lt;&gt;999,'Data'!$F$9197&lt;&gt;""),'Data'!$F$9197,"")</f>
        <v/>
      </c>
      <c r="Z9196" t="n">
        <v>1</v>
      </c>
      <c r="AA9196">
        <f>IF(ISNUMBER('IN-CLASS_Lab Part C'!$J$9196),'IN-CLASS_Lab Part C'!$J$9196,NA())</f>
        <v/>
      </c>
    </row>
    <row r="9197">
      <c r="J9197">
        <f>IF(AND(ISNUMBER('Data'!$F$9198),'Data'!$F$9198&lt;&gt;999,'Data'!$F$9198&lt;&gt;""),'Data'!$F$9198,"")</f>
        <v/>
      </c>
      <c r="Z9197" t="n">
        <v>1</v>
      </c>
      <c r="AA9197">
        <f>IF(ISNUMBER('IN-CLASS_Lab Part C'!$J$9197),'IN-CLASS_Lab Part C'!$J$9197,NA())</f>
        <v/>
      </c>
    </row>
    <row r="9198">
      <c r="J9198">
        <f>IF(AND(ISNUMBER('Data'!$F$9199),'Data'!$F$9199&lt;&gt;999,'Data'!$F$9199&lt;&gt;""),'Data'!$F$9199,"")</f>
        <v/>
      </c>
      <c r="Z9198" t="n">
        <v>1</v>
      </c>
      <c r="AA9198">
        <f>IF(ISNUMBER('IN-CLASS_Lab Part C'!$J$9198),'IN-CLASS_Lab Part C'!$J$9198,NA())</f>
        <v/>
      </c>
    </row>
    <row r="9199">
      <c r="J9199">
        <f>IF(AND(ISNUMBER('Data'!$F$9200),'Data'!$F$9200&lt;&gt;999,'Data'!$F$9200&lt;&gt;""),'Data'!$F$9200,"")</f>
        <v/>
      </c>
      <c r="Z9199" t="n">
        <v>1</v>
      </c>
      <c r="AA9199">
        <f>IF(ISNUMBER('IN-CLASS_Lab Part C'!$J$9199),'IN-CLASS_Lab Part C'!$J$9199,NA())</f>
        <v/>
      </c>
    </row>
    <row r="9200">
      <c r="J9200">
        <f>IF(AND(ISNUMBER('Data'!$F$9201),'Data'!$F$9201&lt;&gt;999,'Data'!$F$9201&lt;&gt;""),'Data'!$F$9201,"")</f>
        <v/>
      </c>
      <c r="Z9200" t="n">
        <v>1</v>
      </c>
      <c r="AA9200">
        <f>IF(ISNUMBER('IN-CLASS_Lab Part C'!$J$9200),'IN-CLASS_Lab Part C'!$J$9200,NA())</f>
        <v/>
      </c>
    </row>
    <row r="9201">
      <c r="J9201">
        <f>IF(AND(ISNUMBER('Data'!$F$9202),'Data'!$F$9202&lt;&gt;999,'Data'!$F$9202&lt;&gt;""),'Data'!$F$9202,"")</f>
        <v/>
      </c>
      <c r="Z9201" t="n">
        <v>1</v>
      </c>
      <c r="AA9201">
        <f>IF(ISNUMBER('IN-CLASS_Lab Part C'!$J$9201),'IN-CLASS_Lab Part C'!$J$9201,NA())</f>
        <v/>
      </c>
    </row>
    <row r="9202">
      <c r="J9202">
        <f>IF(AND(ISNUMBER('Data'!$F$9203),'Data'!$F$9203&lt;&gt;999,'Data'!$F$9203&lt;&gt;""),'Data'!$F$9203,"")</f>
        <v/>
      </c>
      <c r="Z9202" t="n">
        <v>1</v>
      </c>
      <c r="AA9202">
        <f>IF(ISNUMBER('IN-CLASS_Lab Part C'!$J$9202),'IN-CLASS_Lab Part C'!$J$9202,NA())</f>
        <v/>
      </c>
    </row>
    <row r="9203">
      <c r="J9203">
        <f>IF(AND(ISNUMBER('Data'!$F$9204),'Data'!$F$9204&lt;&gt;999,'Data'!$F$9204&lt;&gt;""),'Data'!$F$9204,"")</f>
        <v/>
      </c>
      <c r="Z9203" t="n">
        <v>1</v>
      </c>
      <c r="AA9203">
        <f>IF(ISNUMBER('IN-CLASS_Lab Part C'!$J$9203),'IN-CLASS_Lab Part C'!$J$9203,NA())</f>
        <v/>
      </c>
    </row>
    <row r="9204">
      <c r="J9204">
        <f>IF(AND(ISNUMBER('Data'!$F$9205),'Data'!$F$9205&lt;&gt;999,'Data'!$F$9205&lt;&gt;""),'Data'!$F$9205,"")</f>
        <v/>
      </c>
      <c r="Z9204" t="n">
        <v>1</v>
      </c>
      <c r="AA9204">
        <f>IF(ISNUMBER('IN-CLASS_Lab Part C'!$J$9204),'IN-CLASS_Lab Part C'!$J$9204,NA())</f>
        <v/>
      </c>
    </row>
    <row r="9205">
      <c r="J9205">
        <f>IF(AND(ISNUMBER('Data'!$F$9206),'Data'!$F$9206&lt;&gt;999,'Data'!$F$9206&lt;&gt;""),'Data'!$F$9206,"")</f>
        <v/>
      </c>
      <c r="Z9205" t="n">
        <v>1</v>
      </c>
      <c r="AA9205">
        <f>IF(ISNUMBER('IN-CLASS_Lab Part C'!$J$9205),'IN-CLASS_Lab Part C'!$J$9205,NA())</f>
        <v/>
      </c>
    </row>
    <row r="9206">
      <c r="J9206">
        <f>IF(AND(ISNUMBER('Data'!$F$9207),'Data'!$F$9207&lt;&gt;999,'Data'!$F$9207&lt;&gt;""),'Data'!$F$9207,"")</f>
        <v/>
      </c>
      <c r="Z9206" t="n">
        <v>1</v>
      </c>
      <c r="AA9206">
        <f>IF(ISNUMBER('IN-CLASS_Lab Part C'!$J$9206),'IN-CLASS_Lab Part C'!$J$9206,NA())</f>
        <v/>
      </c>
    </row>
    <row r="9207">
      <c r="J9207">
        <f>IF(AND(ISNUMBER('Data'!$F$9208),'Data'!$F$9208&lt;&gt;999,'Data'!$F$9208&lt;&gt;""),'Data'!$F$9208,"")</f>
        <v/>
      </c>
      <c r="Z9207" t="n">
        <v>1</v>
      </c>
      <c r="AA9207">
        <f>IF(ISNUMBER('IN-CLASS_Lab Part C'!$J$9207),'IN-CLASS_Lab Part C'!$J$9207,NA())</f>
        <v/>
      </c>
    </row>
    <row r="9208">
      <c r="J9208">
        <f>IF(AND(ISNUMBER('Data'!$F$9209),'Data'!$F$9209&lt;&gt;999,'Data'!$F$9209&lt;&gt;""),'Data'!$F$9209,"")</f>
        <v/>
      </c>
      <c r="Z9208" t="n">
        <v>1</v>
      </c>
      <c r="AA9208">
        <f>IF(ISNUMBER('IN-CLASS_Lab Part C'!$J$9208),'IN-CLASS_Lab Part C'!$J$9208,NA())</f>
        <v/>
      </c>
    </row>
    <row r="9209">
      <c r="J9209">
        <f>IF(AND(ISNUMBER('Data'!$F$9210),'Data'!$F$9210&lt;&gt;999,'Data'!$F$9210&lt;&gt;""),'Data'!$F$9210,"")</f>
        <v/>
      </c>
      <c r="Z9209" t="n">
        <v>1</v>
      </c>
      <c r="AA9209">
        <f>IF(ISNUMBER('IN-CLASS_Lab Part C'!$J$9209),'IN-CLASS_Lab Part C'!$J$9209,NA())</f>
        <v/>
      </c>
    </row>
    <row r="9210">
      <c r="J9210">
        <f>IF(AND(ISNUMBER('Data'!$F$9211),'Data'!$F$9211&lt;&gt;999,'Data'!$F$9211&lt;&gt;""),'Data'!$F$9211,"")</f>
        <v/>
      </c>
      <c r="Z9210" t="n">
        <v>1</v>
      </c>
      <c r="AA9210">
        <f>IF(ISNUMBER('IN-CLASS_Lab Part C'!$J$9210),'IN-CLASS_Lab Part C'!$J$9210,NA())</f>
        <v/>
      </c>
    </row>
    <row r="9211">
      <c r="J9211">
        <f>IF(AND(ISNUMBER('Data'!$F$9212),'Data'!$F$9212&lt;&gt;999,'Data'!$F$9212&lt;&gt;""),'Data'!$F$9212,"")</f>
        <v/>
      </c>
      <c r="Z9211" t="n">
        <v>1</v>
      </c>
      <c r="AA9211">
        <f>IF(ISNUMBER('IN-CLASS_Lab Part C'!$J$9211),'IN-CLASS_Lab Part C'!$J$9211,NA())</f>
        <v/>
      </c>
    </row>
    <row r="9212">
      <c r="J9212">
        <f>IF(AND(ISNUMBER('Data'!$F$9213),'Data'!$F$9213&lt;&gt;999,'Data'!$F$9213&lt;&gt;""),'Data'!$F$9213,"")</f>
        <v/>
      </c>
      <c r="Z9212" t="n">
        <v>1</v>
      </c>
      <c r="AA9212">
        <f>IF(ISNUMBER('IN-CLASS_Lab Part C'!$J$9212),'IN-CLASS_Lab Part C'!$J$9212,NA())</f>
        <v/>
      </c>
    </row>
    <row r="9213">
      <c r="J9213">
        <f>IF(AND(ISNUMBER('Data'!$F$9214),'Data'!$F$9214&lt;&gt;999,'Data'!$F$9214&lt;&gt;""),'Data'!$F$9214,"")</f>
        <v/>
      </c>
      <c r="Z9213" t="n">
        <v>1</v>
      </c>
      <c r="AA9213">
        <f>IF(ISNUMBER('IN-CLASS_Lab Part C'!$J$9213),'IN-CLASS_Lab Part C'!$J$9213,NA())</f>
        <v/>
      </c>
    </row>
    <row r="9214">
      <c r="J9214">
        <f>IF(AND(ISNUMBER('Data'!$F$9215),'Data'!$F$9215&lt;&gt;999,'Data'!$F$9215&lt;&gt;""),'Data'!$F$9215,"")</f>
        <v/>
      </c>
      <c r="Z9214" t="n">
        <v>1</v>
      </c>
      <c r="AA9214">
        <f>IF(ISNUMBER('IN-CLASS_Lab Part C'!$J$9214),'IN-CLASS_Lab Part C'!$J$9214,NA())</f>
        <v/>
      </c>
    </row>
    <row r="9215">
      <c r="J9215">
        <f>IF(AND(ISNUMBER('Data'!$F$9216),'Data'!$F$9216&lt;&gt;999,'Data'!$F$9216&lt;&gt;""),'Data'!$F$9216,"")</f>
        <v/>
      </c>
      <c r="Z9215" t="n">
        <v>1</v>
      </c>
      <c r="AA9215">
        <f>IF(ISNUMBER('IN-CLASS_Lab Part C'!$J$9215),'IN-CLASS_Lab Part C'!$J$9215,NA())</f>
        <v/>
      </c>
    </row>
    <row r="9216">
      <c r="J9216">
        <f>IF(AND(ISNUMBER('Data'!$F$9217),'Data'!$F$9217&lt;&gt;999,'Data'!$F$9217&lt;&gt;""),'Data'!$F$9217,"")</f>
        <v/>
      </c>
      <c r="Z9216" t="n">
        <v>1</v>
      </c>
      <c r="AA9216">
        <f>IF(ISNUMBER('IN-CLASS_Lab Part C'!$J$9216),'IN-CLASS_Lab Part C'!$J$9216,NA())</f>
        <v/>
      </c>
    </row>
    <row r="9217">
      <c r="J9217">
        <f>IF(AND(ISNUMBER('Data'!$F$9218),'Data'!$F$9218&lt;&gt;999,'Data'!$F$9218&lt;&gt;""),'Data'!$F$9218,"")</f>
        <v/>
      </c>
      <c r="Z9217" t="n">
        <v>1</v>
      </c>
      <c r="AA9217">
        <f>IF(ISNUMBER('IN-CLASS_Lab Part C'!$J$9217),'IN-CLASS_Lab Part C'!$J$9217,NA())</f>
        <v/>
      </c>
    </row>
    <row r="9218">
      <c r="J9218">
        <f>IF(AND(ISNUMBER('Data'!$F$9219),'Data'!$F$9219&lt;&gt;999,'Data'!$F$9219&lt;&gt;""),'Data'!$F$9219,"")</f>
        <v/>
      </c>
      <c r="Z9218" t="n">
        <v>1</v>
      </c>
      <c r="AA9218">
        <f>IF(ISNUMBER('IN-CLASS_Lab Part C'!$J$9218),'IN-CLASS_Lab Part C'!$J$9218,NA())</f>
        <v/>
      </c>
    </row>
    <row r="9219">
      <c r="J9219">
        <f>IF(AND(ISNUMBER('Data'!$F$9220),'Data'!$F$9220&lt;&gt;999,'Data'!$F$9220&lt;&gt;""),'Data'!$F$9220,"")</f>
        <v/>
      </c>
      <c r="Z9219" t="n">
        <v>1</v>
      </c>
      <c r="AA9219">
        <f>IF(ISNUMBER('IN-CLASS_Lab Part C'!$J$9219),'IN-CLASS_Lab Part C'!$J$9219,NA())</f>
        <v/>
      </c>
    </row>
    <row r="9220">
      <c r="J9220">
        <f>IF(AND(ISNUMBER('Data'!$F$9221),'Data'!$F$9221&lt;&gt;999,'Data'!$F$9221&lt;&gt;""),'Data'!$F$9221,"")</f>
        <v/>
      </c>
      <c r="Z9220" t="n">
        <v>1</v>
      </c>
      <c r="AA9220">
        <f>IF(ISNUMBER('IN-CLASS_Lab Part C'!$J$9220),'IN-CLASS_Lab Part C'!$J$9220,NA())</f>
        <v/>
      </c>
    </row>
    <row r="9221">
      <c r="J9221">
        <f>IF(AND(ISNUMBER('Data'!$F$9222),'Data'!$F$9222&lt;&gt;999,'Data'!$F$9222&lt;&gt;""),'Data'!$F$9222,"")</f>
        <v/>
      </c>
      <c r="Z9221" t="n">
        <v>1</v>
      </c>
      <c r="AA9221">
        <f>IF(ISNUMBER('IN-CLASS_Lab Part C'!$J$9221),'IN-CLASS_Lab Part C'!$J$9221,NA())</f>
        <v/>
      </c>
    </row>
    <row r="9222">
      <c r="J9222">
        <f>IF(AND(ISNUMBER('Data'!$F$9223),'Data'!$F$9223&lt;&gt;999,'Data'!$F$9223&lt;&gt;""),'Data'!$F$9223,"")</f>
        <v/>
      </c>
      <c r="Z9222" t="n">
        <v>1</v>
      </c>
      <c r="AA9222">
        <f>IF(ISNUMBER('IN-CLASS_Lab Part C'!$J$9222),'IN-CLASS_Lab Part C'!$J$9222,NA())</f>
        <v/>
      </c>
    </row>
    <row r="9223">
      <c r="J9223">
        <f>IF(AND(ISNUMBER('Data'!$F$9224),'Data'!$F$9224&lt;&gt;999,'Data'!$F$9224&lt;&gt;""),'Data'!$F$9224,"")</f>
        <v/>
      </c>
      <c r="Z9223" t="n">
        <v>1</v>
      </c>
      <c r="AA9223">
        <f>IF(ISNUMBER('IN-CLASS_Lab Part C'!$J$9223),'IN-CLASS_Lab Part C'!$J$9223,NA())</f>
        <v/>
      </c>
    </row>
    <row r="9224">
      <c r="J9224">
        <f>IF(AND(ISNUMBER('Data'!$F$9225),'Data'!$F$9225&lt;&gt;999,'Data'!$F$9225&lt;&gt;""),'Data'!$F$9225,"")</f>
        <v/>
      </c>
      <c r="Z9224" t="n">
        <v>1</v>
      </c>
      <c r="AA9224">
        <f>IF(ISNUMBER('IN-CLASS_Lab Part C'!$J$9224),'IN-CLASS_Lab Part C'!$J$9224,NA())</f>
        <v/>
      </c>
    </row>
    <row r="9225">
      <c r="J9225">
        <f>IF(AND(ISNUMBER('Data'!$F$9226),'Data'!$F$9226&lt;&gt;999,'Data'!$F$9226&lt;&gt;""),'Data'!$F$9226,"")</f>
        <v/>
      </c>
      <c r="Z9225" t="n">
        <v>1</v>
      </c>
      <c r="AA9225">
        <f>IF(ISNUMBER('IN-CLASS_Lab Part C'!$J$9225),'IN-CLASS_Lab Part C'!$J$9225,NA())</f>
        <v/>
      </c>
    </row>
    <row r="9226">
      <c r="J9226">
        <f>IF(AND(ISNUMBER('Data'!$F$9227),'Data'!$F$9227&lt;&gt;999,'Data'!$F$9227&lt;&gt;""),'Data'!$F$9227,"")</f>
        <v/>
      </c>
      <c r="Z9226" t="n">
        <v>1</v>
      </c>
      <c r="AA9226">
        <f>IF(ISNUMBER('IN-CLASS_Lab Part C'!$J$9226),'IN-CLASS_Lab Part C'!$J$9226,NA())</f>
        <v/>
      </c>
    </row>
    <row r="9227">
      <c r="J9227">
        <f>IF(AND(ISNUMBER('Data'!$F$9228),'Data'!$F$9228&lt;&gt;999,'Data'!$F$9228&lt;&gt;""),'Data'!$F$9228,"")</f>
        <v/>
      </c>
      <c r="Z9227" t="n">
        <v>1</v>
      </c>
      <c r="AA9227">
        <f>IF(ISNUMBER('IN-CLASS_Lab Part C'!$J$9227),'IN-CLASS_Lab Part C'!$J$9227,NA())</f>
        <v/>
      </c>
    </row>
    <row r="9228">
      <c r="J9228">
        <f>IF(AND(ISNUMBER('Data'!$F$9229),'Data'!$F$9229&lt;&gt;999,'Data'!$F$9229&lt;&gt;""),'Data'!$F$9229,"")</f>
        <v/>
      </c>
      <c r="Z9228" t="n">
        <v>1</v>
      </c>
      <c r="AA9228">
        <f>IF(ISNUMBER('IN-CLASS_Lab Part C'!$J$9228),'IN-CLASS_Lab Part C'!$J$9228,NA())</f>
        <v/>
      </c>
    </row>
    <row r="9229">
      <c r="J9229">
        <f>IF(AND(ISNUMBER('Data'!$F$9230),'Data'!$F$9230&lt;&gt;999,'Data'!$F$9230&lt;&gt;""),'Data'!$F$9230,"")</f>
        <v/>
      </c>
      <c r="Z9229" t="n">
        <v>1</v>
      </c>
      <c r="AA9229">
        <f>IF(ISNUMBER('IN-CLASS_Lab Part C'!$J$9229),'IN-CLASS_Lab Part C'!$J$9229,NA())</f>
        <v/>
      </c>
    </row>
    <row r="9230">
      <c r="J9230">
        <f>IF(AND(ISNUMBER('Data'!$F$9231),'Data'!$F$9231&lt;&gt;999,'Data'!$F$9231&lt;&gt;""),'Data'!$F$9231,"")</f>
        <v/>
      </c>
      <c r="Z9230" t="n">
        <v>1</v>
      </c>
      <c r="AA9230">
        <f>IF(ISNUMBER('IN-CLASS_Lab Part C'!$J$9230),'IN-CLASS_Lab Part C'!$J$9230,NA())</f>
        <v/>
      </c>
    </row>
    <row r="9231">
      <c r="J9231">
        <f>IF(AND(ISNUMBER('Data'!$F$9232),'Data'!$F$9232&lt;&gt;999,'Data'!$F$9232&lt;&gt;""),'Data'!$F$9232,"")</f>
        <v/>
      </c>
      <c r="Z9231" t="n">
        <v>1</v>
      </c>
      <c r="AA9231">
        <f>IF(ISNUMBER('IN-CLASS_Lab Part C'!$J$9231),'IN-CLASS_Lab Part C'!$J$9231,NA())</f>
        <v/>
      </c>
    </row>
    <row r="9232">
      <c r="J9232">
        <f>IF(AND(ISNUMBER('Data'!$F$9233),'Data'!$F$9233&lt;&gt;999,'Data'!$F$9233&lt;&gt;""),'Data'!$F$9233,"")</f>
        <v/>
      </c>
      <c r="Z9232" t="n">
        <v>1</v>
      </c>
      <c r="AA9232">
        <f>IF(ISNUMBER('IN-CLASS_Lab Part C'!$J$9232),'IN-CLASS_Lab Part C'!$J$9232,NA())</f>
        <v/>
      </c>
    </row>
    <row r="9233">
      <c r="J9233">
        <f>IF(AND(ISNUMBER('Data'!$F$9234),'Data'!$F$9234&lt;&gt;999,'Data'!$F$9234&lt;&gt;""),'Data'!$F$9234,"")</f>
        <v/>
      </c>
      <c r="Z9233" t="n">
        <v>1</v>
      </c>
      <c r="AA9233">
        <f>IF(ISNUMBER('IN-CLASS_Lab Part C'!$J$9233),'IN-CLASS_Lab Part C'!$J$9233,NA())</f>
        <v/>
      </c>
    </row>
    <row r="9234">
      <c r="J9234">
        <f>IF(AND(ISNUMBER('Data'!$F$9235),'Data'!$F$9235&lt;&gt;999,'Data'!$F$9235&lt;&gt;""),'Data'!$F$9235,"")</f>
        <v/>
      </c>
      <c r="Z9234" t="n">
        <v>1</v>
      </c>
      <c r="AA9234">
        <f>IF(ISNUMBER('IN-CLASS_Lab Part C'!$J$9234),'IN-CLASS_Lab Part C'!$J$9234,NA())</f>
        <v/>
      </c>
    </row>
    <row r="9235">
      <c r="J9235">
        <f>IF(AND(ISNUMBER('Data'!$F$9236),'Data'!$F$9236&lt;&gt;999,'Data'!$F$9236&lt;&gt;""),'Data'!$F$9236,"")</f>
        <v/>
      </c>
      <c r="Z9235" t="n">
        <v>1</v>
      </c>
      <c r="AA9235">
        <f>IF(ISNUMBER('IN-CLASS_Lab Part C'!$J$9235),'IN-CLASS_Lab Part C'!$J$9235,NA())</f>
        <v/>
      </c>
    </row>
    <row r="9236">
      <c r="J9236">
        <f>IF(AND(ISNUMBER('Data'!$F$9237),'Data'!$F$9237&lt;&gt;999,'Data'!$F$9237&lt;&gt;""),'Data'!$F$9237,"")</f>
        <v/>
      </c>
      <c r="Z9236" t="n">
        <v>1</v>
      </c>
      <c r="AA9236">
        <f>IF(ISNUMBER('IN-CLASS_Lab Part C'!$J$9236),'IN-CLASS_Lab Part C'!$J$9236,NA())</f>
        <v/>
      </c>
    </row>
    <row r="9237">
      <c r="J9237">
        <f>IF(AND(ISNUMBER('Data'!$F$9238),'Data'!$F$9238&lt;&gt;999,'Data'!$F$9238&lt;&gt;""),'Data'!$F$9238,"")</f>
        <v/>
      </c>
      <c r="Z9237" t="n">
        <v>1</v>
      </c>
      <c r="AA9237">
        <f>IF(ISNUMBER('IN-CLASS_Lab Part C'!$J$9237),'IN-CLASS_Lab Part C'!$J$9237,NA())</f>
        <v/>
      </c>
    </row>
    <row r="9238">
      <c r="J9238">
        <f>IF(AND(ISNUMBER('Data'!$F$9239),'Data'!$F$9239&lt;&gt;999,'Data'!$F$9239&lt;&gt;""),'Data'!$F$9239,"")</f>
        <v/>
      </c>
      <c r="Z9238" t="n">
        <v>1</v>
      </c>
      <c r="AA9238">
        <f>IF(ISNUMBER('IN-CLASS_Lab Part C'!$J$9238),'IN-CLASS_Lab Part C'!$J$9238,NA())</f>
        <v/>
      </c>
    </row>
    <row r="9239">
      <c r="J9239">
        <f>IF(AND(ISNUMBER('Data'!$F$9240),'Data'!$F$9240&lt;&gt;999,'Data'!$F$9240&lt;&gt;""),'Data'!$F$9240,"")</f>
        <v/>
      </c>
      <c r="Z9239" t="n">
        <v>1</v>
      </c>
      <c r="AA9239">
        <f>IF(ISNUMBER('IN-CLASS_Lab Part C'!$J$9239),'IN-CLASS_Lab Part C'!$J$9239,NA())</f>
        <v/>
      </c>
    </row>
    <row r="9240">
      <c r="J9240">
        <f>IF(AND(ISNUMBER('Data'!$F$9241),'Data'!$F$9241&lt;&gt;999,'Data'!$F$9241&lt;&gt;""),'Data'!$F$9241,"")</f>
        <v/>
      </c>
      <c r="Z9240" t="n">
        <v>1</v>
      </c>
      <c r="AA9240">
        <f>IF(ISNUMBER('IN-CLASS_Lab Part C'!$J$9240),'IN-CLASS_Lab Part C'!$J$9240,NA())</f>
        <v/>
      </c>
    </row>
    <row r="9241">
      <c r="J9241">
        <f>IF(AND(ISNUMBER('Data'!$F$9242),'Data'!$F$9242&lt;&gt;999,'Data'!$F$9242&lt;&gt;""),'Data'!$F$9242,"")</f>
        <v/>
      </c>
      <c r="Z9241" t="n">
        <v>1</v>
      </c>
      <c r="AA9241">
        <f>IF(ISNUMBER('IN-CLASS_Lab Part C'!$J$9241),'IN-CLASS_Lab Part C'!$J$9241,NA())</f>
        <v/>
      </c>
    </row>
    <row r="9242">
      <c r="J9242">
        <f>IF(AND(ISNUMBER('Data'!$F$9243),'Data'!$F$9243&lt;&gt;999,'Data'!$F$9243&lt;&gt;""),'Data'!$F$9243,"")</f>
        <v/>
      </c>
      <c r="Z9242" t="n">
        <v>1</v>
      </c>
      <c r="AA9242">
        <f>IF(ISNUMBER('IN-CLASS_Lab Part C'!$J$9242),'IN-CLASS_Lab Part C'!$J$9242,NA())</f>
        <v/>
      </c>
    </row>
    <row r="9243">
      <c r="J9243">
        <f>IF(AND(ISNUMBER('Data'!$F$9244),'Data'!$F$9244&lt;&gt;999,'Data'!$F$9244&lt;&gt;""),'Data'!$F$9244,"")</f>
        <v/>
      </c>
      <c r="Z9243" t="n">
        <v>1</v>
      </c>
      <c r="AA9243">
        <f>IF(ISNUMBER('IN-CLASS_Lab Part C'!$J$9243),'IN-CLASS_Lab Part C'!$J$9243,NA())</f>
        <v/>
      </c>
    </row>
    <row r="9244">
      <c r="J9244">
        <f>IF(AND(ISNUMBER('Data'!$F$9245),'Data'!$F$9245&lt;&gt;999,'Data'!$F$9245&lt;&gt;""),'Data'!$F$9245,"")</f>
        <v/>
      </c>
      <c r="Z9244" t="n">
        <v>1</v>
      </c>
      <c r="AA9244">
        <f>IF(ISNUMBER('IN-CLASS_Lab Part C'!$J$9244),'IN-CLASS_Lab Part C'!$J$9244,NA())</f>
        <v/>
      </c>
    </row>
    <row r="9245">
      <c r="J9245">
        <f>IF(AND(ISNUMBER('Data'!$F$9246),'Data'!$F$9246&lt;&gt;999,'Data'!$F$9246&lt;&gt;""),'Data'!$F$9246,"")</f>
        <v/>
      </c>
      <c r="Z9245" t="n">
        <v>1</v>
      </c>
      <c r="AA9245">
        <f>IF(ISNUMBER('IN-CLASS_Lab Part C'!$J$9245),'IN-CLASS_Lab Part C'!$J$9245,NA())</f>
        <v/>
      </c>
    </row>
    <row r="9246">
      <c r="J9246">
        <f>IF(AND(ISNUMBER('Data'!$F$9247),'Data'!$F$9247&lt;&gt;999,'Data'!$F$9247&lt;&gt;""),'Data'!$F$9247,"")</f>
        <v/>
      </c>
      <c r="Z9246" t="n">
        <v>1</v>
      </c>
      <c r="AA9246">
        <f>IF(ISNUMBER('IN-CLASS_Lab Part C'!$J$9246),'IN-CLASS_Lab Part C'!$J$9246,NA())</f>
        <v/>
      </c>
    </row>
    <row r="9247">
      <c r="J9247">
        <f>IF(AND(ISNUMBER('Data'!$F$9248),'Data'!$F$9248&lt;&gt;999,'Data'!$F$9248&lt;&gt;""),'Data'!$F$9248,"")</f>
        <v/>
      </c>
      <c r="Z9247" t="n">
        <v>1</v>
      </c>
      <c r="AA9247">
        <f>IF(ISNUMBER('IN-CLASS_Lab Part C'!$J$9247),'IN-CLASS_Lab Part C'!$J$9247,NA())</f>
        <v/>
      </c>
    </row>
    <row r="9248">
      <c r="J9248">
        <f>IF(AND(ISNUMBER('Data'!$F$9249),'Data'!$F$9249&lt;&gt;999,'Data'!$F$9249&lt;&gt;""),'Data'!$F$9249,"")</f>
        <v/>
      </c>
      <c r="Z9248" t="n">
        <v>1</v>
      </c>
      <c r="AA9248">
        <f>IF(ISNUMBER('IN-CLASS_Lab Part C'!$J$9248),'IN-CLASS_Lab Part C'!$J$9248,NA())</f>
        <v/>
      </c>
    </row>
    <row r="9249">
      <c r="J9249">
        <f>IF(AND(ISNUMBER('Data'!$F$9250),'Data'!$F$9250&lt;&gt;999,'Data'!$F$9250&lt;&gt;""),'Data'!$F$9250,"")</f>
        <v/>
      </c>
      <c r="Z9249" t="n">
        <v>1</v>
      </c>
      <c r="AA9249">
        <f>IF(ISNUMBER('IN-CLASS_Lab Part C'!$J$9249),'IN-CLASS_Lab Part C'!$J$9249,NA())</f>
        <v/>
      </c>
    </row>
    <row r="9250">
      <c r="J9250">
        <f>IF(AND(ISNUMBER('Data'!$F$9251),'Data'!$F$9251&lt;&gt;999,'Data'!$F$9251&lt;&gt;""),'Data'!$F$9251,"")</f>
        <v/>
      </c>
      <c r="Z9250" t="n">
        <v>1</v>
      </c>
      <c r="AA9250">
        <f>IF(ISNUMBER('IN-CLASS_Lab Part C'!$J$9250),'IN-CLASS_Lab Part C'!$J$9250,NA())</f>
        <v/>
      </c>
    </row>
    <row r="9251">
      <c r="J9251">
        <f>IF(AND(ISNUMBER('Data'!$F$9252),'Data'!$F$9252&lt;&gt;999,'Data'!$F$9252&lt;&gt;""),'Data'!$F$9252,"")</f>
        <v/>
      </c>
      <c r="Z9251" t="n">
        <v>1</v>
      </c>
      <c r="AA9251">
        <f>IF(ISNUMBER('IN-CLASS_Lab Part C'!$J$9251),'IN-CLASS_Lab Part C'!$J$9251,NA())</f>
        <v/>
      </c>
    </row>
    <row r="9252">
      <c r="J9252">
        <f>IF(AND(ISNUMBER('Data'!$F$9253),'Data'!$F$9253&lt;&gt;999,'Data'!$F$9253&lt;&gt;""),'Data'!$F$9253,"")</f>
        <v/>
      </c>
      <c r="Z9252" t="n">
        <v>1</v>
      </c>
      <c r="AA9252">
        <f>IF(ISNUMBER('IN-CLASS_Lab Part C'!$J$9252),'IN-CLASS_Lab Part C'!$J$9252,NA())</f>
        <v/>
      </c>
    </row>
    <row r="9253">
      <c r="J9253">
        <f>IF(AND(ISNUMBER('Data'!$F$9254),'Data'!$F$9254&lt;&gt;999,'Data'!$F$9254&lt;&gt;""),'Data'!$F$9254,"")</f>
        <v/>
      </c>
      <c r="Z9253" t="n">
        <v>1</v>
      </c>
      <c r="AA9253">
        <f>IF(ISNUMBER('IN-CLASS_Lab Part C'!$J$9253),'IN-CLASS_Lab Part C'!$J$9253,NA())</f>
        <v/>
      </c>
    </row>
    <row r="9254">
      <c r="J9254">
        <f>IF(AND(ISNUMBER('Data'!$F$9255),'Data'!$F$9255&lt;&gt;999,'Data'!$F$9255&lt;&gt;""),'Data'!$F$9255,"")</f>
        <v/>
      </c>
      <c r="Z9254" t="n">
        <v>1</v>
      </c>
      <c r="AA9254">
        <f>IF(ISNUMBER('IN-CLASS_Lab Part C'!$J$9254),'IN-CLASS_Lab Part C'!$J$9254,NA())</f>
        <v/>
      </c>
    </row>
    <row r="9255">
      <c r="J9255">
        <f>IF(AND(ISNUMBER('Data'!$F$9256),'Data'!$F$9256&lt;&gt;999,'Data'!$F$9256&lt;&gt;""),'Data'!$F$9256,"")</f>
        <v/>
      </c>
      <c r="Z9255" t="n">
        <v>1</v>
      </c>
      <c r="AA9255">
        <f>IF(ISNUMBER('IN-CLASS_Lab Part C'!$J$9255),'IN-CLASS_Lab Part C'!$J$9255,NA())</f>
        <v/>
      </c>
    </row>
    <row r="9256">
      <c r="J9256">
        <f>IF(AND(ISNUMBER('Data'!$F$9257),'Data'!$F$9257&lt;&gt;999,'Data'!$F$9257&lt;&gt;""),'Data'!$F$9257,"")</f>
        <v/>
      </c>
      <c r="Z9256" t="n">
        <v>1</v>
      </c>
      <c r="AA9256">
        <f>IF(ISNUMBER('IN-CLASS_Lab Part C'!$J$9256),'IN-CLASS_Lab Part C'!$J$9256,NA())</f>
        <v/>
      </c>
    </row>
    <row r="9257">
      <c r="J9257">
        <f>IF(AND(ISNUMBER('Data'!$F$9258),'Data'!$F$9258&lt;&gt;999,'Data'!$F$9258&lt;&gt;""),'Data'!$F$9258,"")</f>
        <v/>
      </c>
      <c r="Z9257" t="n">
        <v>1</v>
      </c>
      <c r="AA9257">
        <f>IF(ISNUMBER('IN-CLASS_Lab Part C'!$J$9257),'IN-CLASS_Lab Part C'!$J$9257,NA())</f>
        <v/>
      </c>
    </row>
    <row r="9258">
      <c r="J9258">
        <f>IF(AND(ISNUMBER('Data'!$F$9259),'Data'!$F$9259&lt;&gt;999,'Data'!$F$9259&lt;&gt;""),'Data'!$F$9259,"")</f>
        <v/>
      </c>
      <c r="Z9258" t="n">
        <v>1</v>
      </c>
      <c r="AA9258">
        <f>IF(ISNUMBER('IN-CLASS_Lab Part C'!$J$9258),'IN-CLASS_Lab Part C'!$J$9258,NA())</f>
        <v/>
      </c>
    </row>
    <row r="9259">
      <c r="J9259">
        <f>IF(AND(ISNUMBER('Data'!$F$9260),'Data'!$F$9260&lt;&gt;999,'Data'!$F$9260&lt;&gt;""),'Data'!$F$9260,"")</f>
        <v/>
      </c>
      <c r="Z9259" t="n">
        <v>1</v>
      </c>
      <c r="AA9259">
        <f>IF(ISNUMBER('IN-CLASS_Lab Part C'!$J$9259),'IN-CLASS_Lab Part C'!$J$9259,NA())</f>
        <v/>
      </c>
    </row>
    <row r="9260">
      <c r="J9260">
        <f>IF(AND(ISNUMBER('Data'!$F$9261),'Data'!$F$9261&lt;&gt;999,'Data'!$F$9261&lt;&gt;""),'Data'!$F$9261,"")</f>
        <v/>
      </c>
      <c r="Z9260" t="n">
        <v>1</v>
      </c>
      <c r="AA9260">
        <f>IF(ISNUMBER('IN-CLASS_Lab Part C'!$J$9260),'IN-CLASS_Lab Part C'!$J$9260,NA())</f>
        <v/>
      </c>
    </row>
    <row r="9261">
      <c r="J9261">
        <f>IF(AND(ISNUMBER('Data'!$F$9262),'Data'!$F$9262&lt;&gt;999,'Data'!$F$9262&lt;&gt;""),'Data'!$F$9262,"")</f>
        <v/>
      </c>
      <c r="Z9261" t="n">
        <v>1</v>
      </c>
      <c r="AA9261">
        <f>IF(ISNUMBER('IN-CLASS_Lab Part C'!$J$9261),'IN-CLASS_Lab Part C'!$J$9261,NA())</f>
        <v/>
      </c>
    </row>
    <row r="9262">
      <c r="J9262">
        <f>IF(AND(ISNUMBER('Data'!$F$9263),'Data'!$F$9263&lt;&gt;999,'Data'!$F$9263&lt;&gt;""),'Data'!$F$9263,"")</f>
        <v/>
      </c>
      <c r="Z9262" t="n">
        <v>1</v>
      </c>
      <c r="AA9262">
        <f>IF(ISNUMBER('IN-CLASS_Lab Part C'!$J$9262),'IN-CLASS_Lab Part C'!$J$9262,NA())</f>
        <v/>
      </c>
    </row>
    <row r="9263">
      <c r="J9263">
        <f>IF(AND(ISNUMBER('Data'!$F$9264),'Data'!$F$9264&lt;&gt;999,'Data'!$F$9264&lt;&gt;""),'Data'!$F$9264,"")</f>
        <v/>
      </c>
      <c r="Z9263" t="n">
        <v>1</v>
      </c>
      <c r="AA9263">
        <f>IF(ISNUMBER('IN-CLASS_Lab Part C'!$J$9263),'IN-CLASS_Lab Part C'!$J$9263,NA())</f>
        <v/>
      </c>
    </row>
    <row r="9264">
      <c r="J9264">
        <f>IF(AND(ISNUMBER('Data'!$F$9265),'Data'!$F$9265&lt;&gt;999,'Data'!$F$9265&lt;&gt;""),'Data'!$F$9265,"")</f>
        <v/>
      </c>
      <c r="Z9264" t="n">
        <v>1</v>
      </c>
      <c r="AA9264">
        <f>IF(ISNUMBER('IN-CLASS_Lab Part C'!$J$9264),'IN-CLASS_Lab Part C'!$J$9264,NA())</f>
        <v/>
      </c>
    </row>
    <row r="9265">
      <c r="J9265">
        <f>IF(AND(ISNUMBER('Data'!$F$9266),'Data'!$F$9266&lt;&gt;999,'Data'!$F$9266&lt;&gt;""),'Data'!$F$9266,"")</f>
        <v/>
      </c>
      <c r="Z9265" t="n">
        <v>1</v>
      </c>
      <c r="AA9265">
        <f>IF(ISNUMBER('IN-CLASS_Lab Part C'!$J$9265),'IN-CLASS_Lab Part C'!$J$9265,NA())</f>
        <v/>
      </c>
    </row>
    <row r="9266">
      <c r="J9266">
        <f>IF(AND(ISNUMBER('Data'!$F$9267),'Data'!$F$9267&lt;&gt;999,'Data'!$F$9267&lt;&gt;""),'Data'!$F$9267,"")</f>
        <v/>
      </c>
      <c r="Z9266" t="n">
        <v>1</v>
      </c>
      <c r="AA9266">
        <f>IF(ISNUMBER('IN-CLASS_Lab Part C'!$J$9266),'IN-CLASS_Lab Part C'!$J$9266,NA())</f>
        <v/>
      </c>
    </row>
    <row r="9267">
      <c r="J9267">
        <f>IF(AND(ISNUMBER('Data'!$F$9268),'Data'!$F$9268&lt;&gt;999,'Data'!$F$9268&lt;&gt;""),'Data'!$F$9268,"")</f>
        <v/>
      </c>
      <c r="Z9267" t="n">
        <v>1</v>
      </c>
      <c r="AA9267">
        <f>IF(ISNUMBER('IN-CLASS_Lab Part C'!$J$9267),'IN-CLASS_Lab Part C'!$J$9267,NA())</f>
        <v/>
      </c>
    </row>
    <row r="9268">
      <c r="J9268">
        <f>IF(AND(ISNUMBER('Data'!$F$9269),'Data'!$F$9269&lt;&gt;999,'Data'!$F$9269&lt;&gt;""),'Data'!$F$9269,"")</f>
        <v/>
      </c>
      <c r="Z9268" t="n">
        <v>1</v>
      </c>
      <c r="AA9268">
        <f>IF(ISNUMBER('IN-CLASS_Lab Part C'!$J$9268),'IN-CLASS_Lab Part C'!$J$9268,NA())</f>
        <v/>
      </c>
    </row>
    <row r="9269">
      <c r="J9269">
        <f>IF(AND(ISNUMBER('Data'!$F$9270),'Data'!$F$9270&lt;&gt;999,'Data'!$F$9270&lt;&gt;""),'Data'!$F$9270,"")</f>
        <v/>
      </c>
      <c r="Z9269" t="n">
        <v>1</v>
      </c>
      <c r="AA9269">
        <f>IF(ISNUMBER('IN-CLASS_Lab Part C'!$J$9269),'IN-CLASS_Lab Part C'!$J$9269,NA())</f>
        <v/>
      </c>
    </row>
    <row r="9270">
      <c r="J9270">
        <f>IF(AND(ISNUMBER('Data'!$F$9271),'Data'!$F$9271&lt;&gt;999,'Data'!$F$9271&lt;&gt;""),'Data'!$F$9271,"")</f>
        <v/>
      </c>
      <c r="Z9270" t="n">
        <v>1</v>
      </c>
      <c r="AA9270">
        <f>IF(ISNUMBER('IN-CLASS_Lab Part C'!$J$9270),'IN-CLASS_Lab Part C'!$J$9270,NA())</f>
        <v/>
      </c>
    </row>
    <row r="9271">
      <c r="J9271">
        <f>IF(AND(ISNUMBER('Data'!$F$9272),'Data'!$F$9272&lt;&gt;999,'Data'!$F$9272&lt;&gt;""),'Data'!$F$9272,"")</f>
        <v/>
      </c>
      <c r="Z9271" t="n">
        <v>1</v>
      </c>
      <c r="AA9271">
        <f>IF(ISNUMBER('IN-CLASS_Lab Part C'!$J$9271),'IN-CLASS_Lab Part C'!$J$9271,NA())</f>
        <v/>
      </c>
    </row>
    <row r="9272">
      <c r="J9272">
        <f>IF(AND(ISNUMBER('Data'!$F$9273),'Data'!$F$9273&lt;&gt;999,'Data'!$F$9273&lt;&gt;""),'Data'!$F$9273,"")</f>
        <v/>
      </c>
      <c r="Z9272" t="n">
        <v>1</v>
      </c>
      <c r="AA9272">
        <f>IF(ISNUMBER('IN-CLASS_Lab Part C'!$J$9272),'IN-CLASS_Lab Part C'!$J$9272,NA())</f>
        <v/>
      </c>
    </row>
    <row r="9273">
      <c r="J9273">
        <f>IF(AND(ISNUMBER('Data'!$F$9274),'Data'!$F$9274&lt;&gt;999,'Data'!$F$9274&lt;&gt;""),'Data'!$F$9274,"")</f>
        <v/>
      </c>
      <c r="Z9273" t="n">
        <v>1</v>
      </c>
      <c r="AA9273">
        <f>IF(ISNUMBER('IN-CLASS_Lab Part C'!$J$9273),'IN-CLASS_Lab Part C'!$J$9273,NA())</f>
        <v/>
      </c>
    </row>
    <row r="9274">
      <c r="J9274">
        <f>IF(AND(ISNUMBER('Data'!$F$9275),'Data'!$F$9275&lt;&gt;999,'Data'!$F$9275&lt;&gt;""),'Data'!$F$9275,"")</f>
        <v/>
      </c>
      <c r="Z9274" t="n">
        <v>1</v>
      </c>
      <c r="AA9274">
        <f>IF(ISNUMBER('IN-CLASS_Lab Part C'!$J$9274),'IN-CLASS_Lab Part C'!$J$9274,NA())</f>
        <v/>
      </c>
    </row>
    <row r="9275">
      <c r="J9275">
        <f>IF(AND(ISNUMBER('Data'!$F$9276),'Data'!$F$9276&lt;&gt;999,'Data'!$F$9276&lt;&gt;""),'Data'!$F$9276,"")</f>
        <v/>
      </c>
      <c r="Z9275" t="n">
        <v>1</v>
      </c>
      <c r="AA9275">
        <f>IF(ISNUMBER('IN-CLASS_Lab Part C'!$J$9275),'IN-CLASS_Lab Part C'!$J$9275,NA())</f>
        <v/>
      </c>
    </row>
    <row r="9276">
      <c r="J9276">
        <f>IF(AND(ISNUMBER('Data'!$F$9277),'Data'!$F$9277&lt;&gt;999,'Data'!$F$9277&lt;&gt;""),'Data'!$F$9277,"")</f>
        <v/>
      </c>
      <c r="Z9276" t="n">
        <v>1</v>
      </c>
      <c r="AA9276">
        <f>IF(ISNUMBER('IN-CLASS_Lab Part C'!$J$9276),'IN-CLASS_Lab Part C'!$J$9276,NA())</f>
        <v/>
      </c>
    </row>
    <row r="9277">
      <c r="J9277">
        <f>IF(AND(ISNUMBER('Data'!$F$9278),'Data'!$F$9278&lt;&gt;999,'Data'!$F$9278&lt;&gt;""),'Data'!$F$9278,"")</f>
        <v/>
      </c>
      <c r="Z9277" t="n">
        <v>1</v>
      </c>
      <c r="AA9277">
        <f>IF(ISNUMBER('IN-CLASS_Lab Part C'!$J$9277),'IN-CLASS_Lab Part C'!$J$9277,NA())</f>
        <v/>
      </c>
    </row>
    <row r="9278">
      <c r="J9278">
        <f>IF(AND(ISNUMBER('Data'!$F$9279),'Data'!$F$9279&lt;&gt;999,'Data'!$F$9279&lt;&gt;""),'Data'!$F$9279,"")</f>
        <v/>
      </c>
      <c r="Z9278" t="n">
        <v>1</v>
      </c>
      <c r="AA9278">
        <f>IF(ISNUMBER('IN-CLASS_Lab Part C'!$J$9278),'IN-CLASS_Lab Part C'!$J$9278,NA())</f>
        <v/>
      </c>
    </row>
    <row r="9279">
      <c r="J9279">
        <f>IF(AND(ISNUMBER('Data'!$F$9280),'Data'!$F$9280&lt;&gt;999,'Data'!$F$9280&lt;&gt;""),'Data'!$F$9280,"")</f>
        <v/>
      </c>
      <c r="Z9279" t="n">
        <v>1</v>
      </c>
      <c r="AA9279">
        <f>IF(ISNUMBER('IN-CLASS_Lab Part C'!$J$9279),'IN-CLASS_Lab Part C'!$J$9279,NA())</f>
        <v/>
      </c>
    </row>
    <row r="9280">
      <c r="J9280">
        <f>IF(AND(ISNUMBER('Data'!$F$9281),'Data'!$F$9281&lt;&gt;999,'Data'!$F$9281&lt;&gt;""),'Data'!$F$9281,"")</f>
        <v/>
      </c>
      <c r="Z9280" t="n">
        <v>1</v>
      </c>
      <c r="AA9280">
        <f>IF(ISNUMBER('IN-CLASS_Lab Part C'!$J$9280),'IN-CLASS_Lab Part C'!$J$9280,NA())</f>
        <v/>
      </c>
    </row>
    <row r="9281">
      <c r="J9281">
        <f>IF(AND(ISNUMBER('Data'!$F$9282),'Data'!$F$9282&lt;&gt;999,'Data'!$F$9282&lt;&gt;""),'Data'!$F$9282,"")</f>
        <v/>
      </c>
      <c r="Z9281" t="n">
        <v>1</v>
      </c>
      <c r="AA9281">
        <f>IF(ISNUMBER('IN-CLASS_Lab Part C'!$J$9281),'IN-CLASS_Lab Part C'!$J$9281,NA())</f>
        <v/>
      </c>
    </row>
    <row r="9282">
      <c r="J9282">
        <f>IF(AND(ISNUMBER('Data'!$F$9283),'Data'!$F$9283&lt;&gt;999,'Data'!$F$9283&lt;&gt;""),'Data'!$F$9283,"")</f>
        <v/>
      </c>
      <c r="Z9282" t="n">
        <v>1</v>
      </c>
      <c r="AA9282">
        <f>IF(ISNUMBER('IN-CLASS_Lab Part C'!$J$9282),'IN-CLASS_Lab Part C'!$J$9282,NA())</f>
        <v/>
      </c>
    </row>
    <row r="9283">
      <c r="J9283">
        <f>IF(AND(ISNUMBER('Data'!$F$9284),'Data'!$F$9284&lt;&gt;999,'Data'!$F$9284&lt;&gt;""),'Data'!$F$9284,"")</f>
        <v/>
      </c>
      <c r="Z9283" t="n">
        <v>1</v>
      </c>
      <c r="AA9283">
        <f>IF(ISNUMBER('IN-CLASS_Lab Part C'!$J$9283),'IN-CLASS_Lab Part C'!$J$9283,NA())</f>
        <v/>
      </c>
    </row>
    <row r="9284">
      <c r="J9284">
        <f>IF(AND(ISNUMBER('Data'!$F$9285),'Data'!$F$9285&lt;&gt;999,'Data'!$F$9285&lt;&gt;""),'Data'!$F$9285,"")</f>
        <v/>
      </c>
      <c r="Z9284" t="n">
        <v>1</v>
      </c>
      <c r="AA9284">
        <f>IF(ISNUMBER('IN-CLASS_Lab Part C'!$J$9284),'IN-CLASS_Lab Part C'!$J$9284,NA())</f>
        <v/>
      </c>
    </row>
    <row r="9285">
      <c r="J9285">
        <f>IF(AND(ISNUMBER('Data'!$F$9286),'Data'!$F$9286&lt;&gt;999,'Data'!$F$9286&lt;&gt;""),'Data'!$F$9286,"")</f>
        <v/>
      </c>
      <c r="Z9285" t="n">
        <v>1</v>
      </c>
      <c r="AA9285">
        <f>IF(ISNUMBER('IN-CLASS_Lab Part C'!$J$9285),'IN-CLASS_Lab Part C'!$J$9285,NA())</f>
        <v/>
      </c>
    </row>
    <row r="9286">
      <c r="J9286">
        <f>IF(AND(ISNUMBER('Data'!$F$9287),'Data'!$F$9287&lt;&gt;999,'Data'!$F$9287&lt;&gt;""),'Data'!$F$9287,"")</f>
        <v/>
      </c>
      <c r="Z9286" t="n">
        <v>1</v>
      </c>
      <c r="AA9286">
        <f>IF(ISNUMBER('IN-CLASS_Lab Part C'!$J$9286),'IN-CLASS_Lab Part C'!$J$9286,NA())</f>
        <v/>
      </c>
    </row>
    <row r="9287">
      <c r="J9287">
        <f>IF(AND(ISNUMBER('Data'!$F$9288),'Data'!$F$9288&lt;&gt;999,'Data'!$F$9288&lt;&gt;""),'Data'!$F$9288,"")</f>
        <v/>
      </c>
      <c r="Z9287" t="n">
        <v>1</v>
      </c>
      <c r="AA9287">
        <f>IF(ISNUMBER('IN-CLASS_Lab Part C'!$J$9287),'IN-CLASS_Lab Part C'!$J$9287,NA())</f>
        <v/>
      </c>
    </row>
    <row r="9288">
      <c r="J9288">
        <f>IF(AND(ISNUMBER('Data'!$F$9289),'Data'!$F$9289&lt;&gt;999,'Data'!$F$9289&lt;&gt;""),'Data'!$F$9289,"")</f>
        <v/>
      </c>
      <c r="Z9288" t="n">
        <v>1</v>
      </c>
      <c r="AA9288">
        <f>IF(ISNUMBER('IN-CLASS_Lab Part C'!$J$9288),'IN-CLASS_Lab Part C'!$J$9288,NA())</f>
        <v/>
      </c>
    </row>
    <row r="9289">
      <c r="J9289">
        <f>IF(AND(ISNUMBER('Data'!$F$9290),'Data'!$F$9290&lt;&gt;999,'Data'!$F$9290&lt;&gt;""),'Data'!$F$9290,"")</f>
        <v/>
      </c>
      <c r="Z9289" t="n">
        <v>1</v>
      </c>
      <c r="AA9289">
        <f>IF(ISNUMBER('IN-CLASS_Lab Part C'!$J$9289),'IN-CLASS_Lab Part C'!$J$9289,NA())</f>
        <v/>
      </c>
    </row>
    <row r="9290">
      <c r="J9290">
        <f>IF(AND(ISNUMBER('Data'!$F$9291),'Data'!$F$9291&lt;&gt;999,'Data'!$F$9291&lt;&gt;""),'Data'!$F$9291,"")</f>
        <v/>
      </c>
      <c r="Z9290" t="n">
        <v>1</v>
      </c>
      <c r="AA9290">
        <f>IF(ISNUMBER('IN-CLASS_Lab Part C'!$J$9290),'IN-CLASS_Lab Part C'!$J$9290,NA())</f>
        <v/>
      </c>
    </row>
    <row r="9291">
      <c r="J9291">
        <f>IF(AND(ISNUMBER('Data'!$F$9292),'Data'!$F$9292&lt;&gt;999,'Data'!$F$9292&lt;&gt;""),'Data'!$F$9292,"")</f>
        <v/>
      </c>
      <c r="Z9291" t="n">
        <v>1</v>
      </c>
      <c r="AA9291">
        <f>IF(ISNUMBER('IN-CLASS_Lab Part C'!$J$9291),'IN-CLASS_Lab Part C'!$J$9291,NA())</f>
        <v/>
      </c>
    </row>
    <row r="9292">
      <c r="J9292">
        <f>IF(AND(ISNUMBER('Data'!$F$9293),'Data'!$F$9293&lt;&gt;999,'Data'!$F$9293&lt;&gt;""),'Data'!$F$9293,"")</f>
        <v/>
      </c>
      <c r="Z9292" t="n">
        <v>1</v>
      </c>
      <c r="AA9292">
        <f>IF(ISNUMBER('IN-CLASS_Lab Part C'!$J$9292),'IN-CLASS_Lab Part C'!$J$9292,NA())</f>
        <v/>
      </c>
    </row>
    <row r="9293">
      <c r="J9293">
        <f>IF(AND(ISNUMBER('Data'!$F$9294),'Data'!$F$9294&lt;&gt;999,'Data'!$F$9294&lt;&gt;""),'Data'!$F$9294,"")</f>
        <v/>
      </c>
      <c r="Z9293" t="n">
        <v>1</v>
      </c>
      <c r="AA9293">
        <f>IF(ISNUMBER('IN-CLASS_Lab Part C'!$J$9293),'IN-CLASS_Lab Part C'!$J$9293,NA())</f>
        <v/>
      </c>
    </row>
    <row r="9294">
      <c r="J9294">
        <f>IF(AND(ISNUMBER('Data'!$F$9295),'Data'!$F$9295&lt;&gt;999,'Data'!$F$9295&lt;&gt;""),'Data'!$F$9295,"")</f>
        <v/>
      </c>
      <c r="Z9294" t="n">
        <v>1</v>
      </c>
      <c r="AA9294">
        <f>IF(ISNUMBER('IN-CLASS_Lab Part C'!$J$9294),'IN-CLASS_Lab Part C'!$J$9294,NA())</f>
        <v/>
      </c>
    </row>
    <row r="9295">
      <c r="J9295">
        <f>IF(AND(ISNUMBER('Data'!$F$9296),'Data'!$F$9296&lt;&gt;999,'Data'!$F$9296&lt;&gt;""),'Data'!$F$9296,"")</f>
        <v/>
      </c>
      <c r="Z9295" t="n">
        <v>1</v>
      </c>
      <c r="AA9295">
        <f>IF(ISNUMBER('IN-CLASS_Lab Part C'!$J$9295),'IN-CLASS_Lab Part C'!$J$9295,NA())</f>
        <v/>
      </c>
    </row>
    <row r="9296">
      <c r="J9296">
        <f>IF(AND(ISNUMBER('Data'!$F$9297),'Data'!$F$9297&lt;&gt;999,'Data'!$F$9297&lt;&gt;""),'Data'!$F$9297,"")</f>
        <v/>
      </c>
      <c r="Z9296" t="n">
        <v>1</v>
      </c>
      <c r="AA9296">
        <f>IF(ISNUMBER('IN-CLASS_Lab Part C'!$J$9296),'IN-CLASS_Lab Part C'!$J$9296,NA())</f>
        <v/>
      </c>
    </row>
    <row r="9297">
      <c r="J9297">
        <f>IF(AND(ISNUMBER('Data'!$F$9298),'Data'!$F$9298&lt;&gt;999,'Data'!$F$9298&lt;&gt;""),'Data'!$F$9298,"")</f>
        <v/>
      </c>
      <c r="Z9297" t="n">
        <v>1</v>
      </c>
      <c r="AA9297">
        <f>IF(ISNUMBER('IN-CLASS_Lab Part C'!$J$9297),'IN-CLASS_Lab Part C'!$J$9297,NA())</f>
        <v/>
      </c>
    </row>
    <row r="9298">
      <c r="J9298">
        <f>IF(AND(ISNUMBER('Data'!$F$9299),'Data'!$F$9299&lt;&gt;999,'Data'!$F$9299&lt;&gt;""),'Data'!$F$9299,"")</f>
        <v/>
      </c>
      <c r="Z9298" t="n">
        <v>1</v>
      </c>
      <c r="AA9298">
        <f>IF(ISNUMBER('IN-CLASS_Lab Part C'!$J$9298),'IN-CLASS_Lab Part C'!$J$9298,NA())</f>
        <v/>
      </c>
    </row>
    <row r="9299">
      <c r="J9299">
        <f>IF(AND(ISNUMBER('Data'!$F$9300),'Data'!$F$9300&lt;&gt;999,'Data'!$F$9300&lt;&gt;""),'Data'!$F$9300,"")</f>
        <v/>
      </c>
      <c r="Z9299" t="n">
        <v>1</v>
      </c>
      <c r="AA9299">
        <f>IF(ISNUMBER('IN-CLASS_Lab Part C'!$J$9299),'IN-CLASS_Lab Part C'!$J$9299,NA())</f>
        <v/>
      </c>
    </row>
    <row r="9300">
      <c r="J9300">
        <f>IF(AND(ISNUMBER('Data'!$F$9301),'Data'!$F$9301&lt;&gt;999,'Data'!$F$9301&lt;&gt;""),'Data'!$F$9301,"")</f>
        <v/>
      </c>
      <c r="Z9300" t="n">
        <v>1</v>
      </c>
      <c r="AA9300">
        <f>IF(ISNUMBER('IN-CLASS_Lab Part C'!$J$9300),'IN-CLASS_Lab Part C'!$J$9300,NA())</f>
        <v/>
      </c>
    </row>
    <row r="9301">
      <c r="J9301">
        <f>IF(AND(ISNUMBER('Data'!$F$9302),'Data'!$F$9302&lt;&gt;999,'Data'!$F$9302&lt;&gt;""),'Data'!$F$9302,"")</f>
        <v/>
      </c>
      <c r="Z9301" t="n">
        <v>1</v>
      </c>
      <c r="AA9301">
        <f>IF(ISNUMBER('IN-CLASS_Lab Part C'!$J$9301),'IN-CLASS_Lab Part C'!$J$9301,NA())</f>
        <v/>
      </c>
    </row>
    <row r="9302">
      <c r="J9302">
        <f>IF(AND(ISNUMBER('Data'!$F$9303),'Data'!$F$9303&lt;&gt;999,'Data'!$F$9303&lt;&gt;""),'Data'!$F$9303,"")</f>
        <v/>
      </c>
      <c r="Z9302" t="n">
        <v>1</v>
      </c>
      <c r="AA9302">
        <f>IF(ISNUMBER('IN-CLASS_Lab Part C'!$J$9302),'IN-CLASS_Lab Part C'!$J$9302,NA())</f>
        <v/>
      </c>
    </row>
    <row r="9303">
      <c r="J9303">
        <f>IF(AND(ISNUMBER('Data'!$F$9304),'Data'!$F$9304&lt;&gt;999,'Data'!$F$9304&lt;&gt;""),'Data'!$F$9304,"")</f>
        <v/>
      </c>
      <c r="Z9303" t="n">
        <v>1</v>
      </c>
      <c r="AA9303">
        <f>IF(ISNUMBER('IN-CLASS_Lab Part C'!$J$9303),'IN-CLASS_Lab Part C'!$J$9303,NA())</f>
        <v/>
      </c>
    </row>
    <row r="9304">
      <c r="J9304">
        <f>IF(AND(ISNUMBER('Data'!$F$9305),'Data'!$F$9305&lt;&gt;999,'Data'!$F$9305&lt;&gt;""),'Data'!$F$9305,"")</f>
        <v/>
      </c>
      <c r="Z9304" t="n">
        <v>1</v>
      </c>
      <c r="AA9304">
        <f>IF(ISNUMBER('IN-CLASS_Lab Part C'!$J$9304),'IN-CLASS_Lab Part C'!$J$9304,NA())</f>
        <v/>
      </c>
    </row>
    <row r="9305">
      <c r="J9305">
        <f>IF(AND(ISNUMBER('Data'!$F$9306),'Data'!$F$9306&lt;&gt;999,'Data'!$F$9306&lt;&gt;""),'Data'!$F$9306,"")</f>
        <v/>
      </c>
      <c r="Z9305" t="n">
        <v>1</v>
      </c>
      <c r="AA9305">
        <f>IF(ISNUMBER('IN-CLASS_Lab Part C'!$J$9305),'IN-CLASS_Lab Part C'!$J$9305,NA())</f>
        <v/>
      </c>
    </row>
    <row r="9306">
      <c r="J9306">
        <f>IF(AND(ISNUMBER('Data'!$F$9307),'Data'!$F$9307&lt;&gt;999,'Data'!$F$9307&lt;&gt;""),'Data'!$F$9307,"")</f>
        <v/>
      </c>
      <c r="Z9306" t="n">
        <v>1</v>
      </c>
      <c r="AA9306">
        <f>IF(ISNUMBER('IN-CLASS_Lab Part C'!$J$9306),'IN-CLASS_Lab Part C'!$J$9306,NA())</f>
        <v/>
      </c>
    </row>
    <row r="9307">
      <c r="J9307">
        <f>IF(AND(ISNUMBER('Data'!$F$9308),'Data'!$F$9308&lt;&gt;999,'Data'!$F$9308&lt;&gt;""),'Data'!$F$9308,"")</f>
        <v/>
      </c>
      <c r="Z9307" t="n">
        <v>1</v>
      </c>
      <c r="AA9307">
        <f>IF(ISNUMBER('IN-CLASS_Lab Part C'!$J$9307),'IN-CLASS_Lab Part C'!$J$9307,NA())</f>
        <v/>
      </c>
    </row>
    <row r="9308">
      <c r="J9308">
        <f>IF(AND(ISNUMBER('Data'!$F$9309),'Data'!$F$9309&lt;&gt;999,'Data'!$F$9309&lt;&gt;""),'Data'!$F$9309,"")</f>
        <v/>
      </c>
      <c r="Z9308" t="n">
        <v>1</v>
      </c>
      <c r="AA9308">
        <f>IF(ISNUMBER('IN-CLASS_Lab Part C'!$J$9308),'IN-CLASS_Lab Part C'!$J$9308,NA())</f>
        <v/>
      </c>
    </row>
    <row r="9309">
      <c r="J9309">
        <f>IF(AND(ISNUMBER('Data'!$F$9310),'Data'!$F$9310&lt;&gt;999,'Data'!$F$9310&lt;&gt;""),'Data'!$F$9310,"")</f>
        <v/>
      </c>
      <c r="Z9309" t="n">
        <v>1</v>
      </c>
      <c r="AA9309">
        <f>IF(ISNUMBER('IN-CLASS_Lab Part C'!$J$9309),'IN-CLASS_Lab Part C'!$J$9309,NA())</f>
        <v/>
      </c>
    </row>
    <row r="9310">
      <c r="J9310">
        <f>IF(AND(ISNUMBER('Data'!$F$9311),'Data'!$F$9311&lt;&gt;999,'Data'!$F$9311&lt;&gt;""),'Data'!$F$9311,"")</f>
        <v/>
      </c>
      <c r="Z9310" t="n">
        <v>1</v>
      </c>
      <c r="AA9310">
        <f>IF(ISNUMBER('IN-CLASS_Lab Part C'!$J$9310),'IN-CLASS_Lab Part C'!$J$9310,NA())</f>
        <v/>
      </c>
    </row>
    <row r="9311">
      <c r="J9311">
        <f>IF(AND(ISNUMBER('Data'!$F$9312),'Data'!$F$9312&lt;&gt;999,'Data'!$F$9312&lt;&gt;""),'Data'!$F$9312,"")</f>
        <v/>
      </c>
      <c r="Z9311" t="n">
        <v>1</v>
      </c>
      <c r="AA9311">
        <f>IF(ISNUMBER('IN-CLASS_Lab Part C'!$J$9311),'IN-CLASS_Lab Part C'!$J$9311,NA())</f>
        <v/>
      </c>
    </row>
    <row r="9312">
      <c r="J9312">
        <f>IF(AND(ISNUMBER('Data'!$F$9313),'Data'!$F$9313&lt;&gt;999,'Data'!$F$9313&lt;&gt;""),'Data'!$F$9313,"")</f>
        <v/>
      </c>
      <c r="Z9312" t="n">
        <v>1</v>
      </c>
      <c r="AA9312">
        <f>IF(ISNUMBER('IN-CLASS_Lab Part C'!$J$9312),'IN-CLASS_Lab Part C'!$J$9312,NA())</f>
        <v/>
      </c>
    </row>
    <row r="9313">
      <c r="J9313">
        <f>IF(AND(ISNUMBER('Data'!$F$9314),'Data'!$F$9314&lt;&gt;999,'Data'!$F$9314&lt;&gt;""),'Data'!$F$9314,"")</f>
        <v/>
      </c>
      <c r="Z9313" t="n">
        <v>1</v>
      </c>
      <c r="AA9313">
        <f>IF(ISNUMBER('IN-CLASS_Lab Part C'!$J$9313),'IN-CLASS_Lab Part C'!$J$9313,NA())</f>
        <v/>
      </c>
    </row>
    <row r="9314">
      <c r="J9314">
        <f>IF(AND(ISNUMBER('Data'!$F$9315),'Data'!$F$9315&lt;&gt;999,'Data'!$F$9315&lt;&gt;""),'Data'!$F$9315,"")</f>
        <v/>
      </c>
      <c r="Z9314" t="n">
        <v>1</v>
      </c>
      <c r="AA9314">
        <f>IF(ISNUMBER('IN-CLASS_Lab Part C'!$J$9314),'IN-CLASS_Lab Part C'!$J$9314,NA())</f>
        <v/>
      </c>
    </row>
    <row r="9315">
      <c r="J9315">
        <f>IF(AND(ISNUMBER('Data'!$F$9316),'Data'!$F$9316&lt;&gt;999,'Data'!$F$9316&lt;&gt;""),'Data'!$F$9316,"")</f>
        <v/>
      </c>
      <c r="Z9315" t="n">
        <v>1</v>
      </c>
      <c r="AA9315">
        <f>IF(ISNUMBER('IN-CLASS_Lab Part C'!$J$9315),'IN-CLASS_Lab Part C'!$J$9315,NA())</f>
        <v/>
      </c>
    </row>
    <row r="9316">
      <c r="J9316">
        <f>IF(AND(ISNUMBER('Data'!$F$9317),'Data'!$F$9317&lt;&gt;999,'Data'!$F$9317&lt;&gt;""),'Data'!$F$9317,"")</f>
        <v/>
      </c>
      <c r="Z9316" t="n">
        <v>1</v>
      </c>
      <c r="AA9316">
        <f>IF(ISNUMBER('IN-CLASS_Lab Part C'!$J$9316),'IN-CLASS_Lab Part C'!$J$9316,NA())</f>
        <v/>
      </c>
    </row>
    <row r="9317">
      <c r="J9317">
        <f>IF(AND(ISNUMBER('Data'!$F$9318),'Data'!$F$9318&lt;&gt;999,'Data'!$F$9318&lt;&gt;""),'Data'!$F$9318,"")</f>
        <v/>
      </c>
      <c r="Z9317" t="n">
        <v>1</v>
      </c>
      <c r="AA9317">
        <f>IF(ISNUMBER('IN-CLASS_Lab Part C'!$J$9317),'IN-CLASS_Lab Part C'!$J$9317,NA())</f>
        <v/>
      </c>
    </row>
    <row r="9318">
      <c r="J9318">
        <f>IF(AND(ISNUMBER('Data'!$F$9319),'Data'!$F$9319&lt;&gt;999,'Data'!$F$9319&lt;&gt;""),'Data'!$F$9319,"")</f>
        <v/>
      </c>
      <c r="Z9318" t="n">
        <v>1</v>
      </c>
      <c r="AA9318">
        <f>IF(ISNUMBER('IN-CLASS_Lab Part C'!$J$9318),'IN-CLASS_Lab Part C'!$J$9318,NA())</f>
        <v/>
      </c>
    </row>
    <row r="9319">
      <c r="J9319">
        <f>IF(AND(ISNUMBER('Data'!$F$9320),'Data'!$F$9320&lt;&gt;999,'Data'!$F$9320&lt;&gt;""),'Data'!$F$9320,"")</f>
        <v/>
      </c>
      <c r="Z9319" t="n">
        <v>1</v>
      </c>
      <c r="AA9319">
        <f>IF(ISNUMBER('IN-CLASS_Lab Part C'!$J$9319),'IN-CLASS_Lab Part C'!$J$9319,NA())</f>
        <v/>
      </c>
    </row>
    <row r="9320">
      <c r="J9320">
        <f>IF(AND(ISNUMBER('Data'!$F$9321),'Data'!$F$9321&lt;&gt;999,'Data'!$F$9321&lt;&gt;""),'Data'!$F$9321,"")</f>
        <v/>
      </c>
      <c r="Z9320" t="n">
        <v>1</v>
      </c>
      <c r="AA9320">
        <f>IF(ISNUMBER('IN-CLASS_Lab Part C'!$J$9320),'IN-CLASS_Lab Part C'!$J$9320,NA())</f>
        <v/>
      </c>
    </row>
    <row r="9321">
      <c r="J9321">
        <f>IF(AND(ISNUMBER('Data'!$F$9322),'Data'!$F$9322&lt;&gt;999,'Data'!$F$9322&lt;&gt;""),'Data'!$F$9322,"")</f>
        <v/>
      </c>
      <c r="Z9321" t="n">
        <v>1</v>
      </c>
      <c r="AA9321">
        <f>IF(ISNUMBER('IN-CLASS_Lab Part C'!$J$9321),'IN-CLASS_Lab Part C'!$J$9321,NA())</f>
        <v/>
      </c>
    </row>
    <row r="9322">
      <c r="J9322">
        <f>IF(AND(ISNUMBER('Data'!$F$9323),'Data'!$F$9323&lt;&gt;999,'Data'!$F$9323&lt;&gt;""),'Data'!$F$9323,"")</f>
        <v/>
      </c>
      <c r="Z9322" t="n">
        <v>1</v>
      </c>
      <c r="AA9322">
        <f>IF(ISNUMBER('IN-CLASS_Lab Part C'!$J$9322),'IN-CLASS_Lab Part C'!$J$9322,NA())</f>
        <v/>
      </c>
    </row>
    <row r="9323">
      <c r="J9323">
        <f>IF(AND(ISNUMBER('Data'!$F$9324),'Data'!$F$9324&lt;&gt;999,'Data'!$F$9324&lt;&gt;""),'Data'!$F$9324,"")</f>
        <v/>
      </c>
      <c r="Z9323" t="n">
        <v>1</v>
      </c>
      <c r="AA9323">
        <f>IF(ISNUMBER('IN-CLASS_Lab Part C'!$J$9323),'IN-CLASS_Lab Part C'!$J$9323,NA())</f>
        <v/>
      </c>
    </row>
    <row r="9324">
      <c r="J9324">
        <f>IF(AND(ISNUMBER('Data'!$F$9325),'Data'!$F$9325&lt;&gt;999,'Data'!$F$9325&lt;&gt;""),'Data'!$F$9325,"")</f>
        <v/>
      </c>
      <c r="Z9324" t="n">
        <v>1</v>
      </c>
      <c r="AA9324">
        <f>IF(ISNUMBER('IN-CLASS_Lab Part C'!$J$9324),'IN-CLASS_Lab Part C'!$J$9324,NA())</f>
        <v/>
      </c>
    </row>
    <row r="9325">
      <c r="J9325">
        <f>IF(AND(ISNUMBER('Data'!$F$9326),'Data'!$F$9326&lt;&gt;999,'Data'!$F$9326&lt;&gt;""),'Data'!$F$9326,"")</f>
        <v/>
      </c>
      <c r="Z9325" t="n">
        <v>1</v>
      </c>
      <c r="AA9325">
        <f>IF(ISNUMBER('IN-CLASS_Lab Part C'!$J$9325),'IN-CLASS_Lab Part C'!$J$9325,NA())</f>
        <v/>
      </c>
    </row>
    <row r="9326">
      <c r="J9326">
        <f>IF(AND(ISNUMBER('Data'!$F$9327),'Data'!$F$9327&lt;&gt;999,'Data'!$F$9327&lt;&gt;""),'Data'!$F$9327,"")</f>
        <v/>
      </c>
      <c r="Z9326" t="n">
        <v>1</v>
      </c>
      <c r="AA9326">
        <f>IF(ISNUMBER('IN-CLASS_Lab Part C'!$J$9326),'IN-CLASS_Lab Part C'!$J$9326,NA())</f>
        <v/>
      </c>
    </row>
    <row r="9327">
      <c r="J9327">
        <f>IF(AND(ISNUMBER('Data'!$F$9328),'Data'!$F$9328&lt;&gt;999,'Data'!$F$9328&lt;&gt;""),'Data'!$F$9328,"")</f>
        <v/>
      </c>
      <c r="Z9327" t="n">
        <v>1</v>
      </c>
      <c r="AA9327">
        <f>IF(ISNUMBER('IN-CLASS_Lab Part C'!$J$9327),'IN-CLASS_Lab Part C'!$J$9327,NA())</f>
        <v/>
      </c>
    </row>
    <row r="9328">
      <c r="J9328">
        <f>IF(AND(ISNUMBER('Data'!$F$9329),'Data'!$F$9329&lt;&gt;999,'Data'!$F$9329&lt;&gt;""),'Data'!$F$9329,"")</f>
        <v/>
      </c>
      <c r="Z9328" t="n">
        <v>1</v>
      </c>
      <c r="AA9328">
        <f>IF(ISNUMBER('IN-CLASS_Lab Part C'!$J$9328),'IN-CLASS_Lab Part C'!$J$9328,NA())</f>
        <v/>
      </c>
    </row>
    <row r="9329">
      <c r="J9329">
        <f>IF(AND(ISNUMBER('Data'!$F$9330),'Data'!$F$9330&lt;&gt;999,'Data'!$F$9330&lt;&gt;""),'Data'!$F$9330,"")</f>
        <v/>
      </c>
      <c r="Z9329" t="n">
        <v>1</v>
      </c>
      <c r="AA9329">
        <f>IF(ISNUMBER('IN-CLASS_Lab Part C'!$J$9329),'IN-CLASS_Lab Part C'!$J$9329,NA())</f>
        <v/>
      </c>
    </row>
    <row r="9330">
      <c r="J9330">
        <f>IF(AND(ISNUMBER('Data'!$F$9331),'Data'!$F$9331&lt;&gt;999,'Data'!$F$9331&lt;&gt;""),'Data'!$F$9331,"")</f>
        <v/>
      </c>
      <c r="Z9330" t="n">
        <v>1</v>
      </c>
      <c r="AA9330">
        <f>IF(ISNUMBER('IN-CLASS_Lab Part C'!$J$9330),'IN-CLASS_Lab Part C'!$J$9330,NA())</f>
        <v/>
      </c>
    </row>
    <row r="9331">
      <c r="J9331">
        <f>IF(AND(ISNUMBER('Data'!$F$9332),'Data'!$F$9332&lt;&gt;999,'Data'!$F$9332&lt;&gt;""),'Data'!$F$9332,"")</f>
        <v/>
      </c>
      <c r="Z9331" t="n">
        <v>1</v>
      </c>
      <c r="AA9331">
        <f>IF(ISNUMBER('IN-CLASS_Lab Part C'!$J$9331),'IN-CLASS_Lab Part C'!$J$9331,NA())</f>
        <v/>
      </c>
    </row>
    <row r="9332">
      <c r="J9332">
        <f>IF(AND(ISNUMBER('Data'!$F$9333),'Data'!$F$9333&lt;&gt;999,'Data'!$F$9333&lt;&gt;""),'Data'!$F$9333,"")</f>
        <v/>
      </c>
      <c r="Z9332" t="n">
        <v>1</v>
      </c>
      <c r="AA9332">
        <f>IF(ISNUMBER('IN-CLASS_Lab Part C'!$J$9332),'IN-CLASS_Lab Part C'!$J$9332,NA())</f>
        <v/>
      </c>
    </row>
    <row r="9333">
      <c r="J9333">
        <f>IF(AND(ISNUMBER('Data'!$F$9334),'Data'!$F$9334&lt;&gt;999,'Data'!$F$9334&lt;&gt;""),'Data'!$F$9334,"")</f>
        <v/>
      </c>
      <c r="Z9333" t="n">
        <v>1</v>
      </c>
      <c r="AA9333">
        <f>IF(ISNUMBER('IN-CLASS_Lab Part C'!$J$9333),'IN-CLASS_Lab Part C'!$J$9333,NA())</f>
        <v/>
      </c>
    </row>
    <row r="9334">
      <c r="J9334">
        <f>IF(AND(ISNUMBER('Data'!$F$9335),'Data'!$F$9335&lt;&gt;999,'Data'!$F$9335&lt;&gt;""),'Data'!$F$9335,"")</f>
        <v/>
      </c>
      <c r="Z9334" t="n">
        <v>1</v>
      </c>
      <c r="AA9334">
        <f>IF(ISNUMBER('IN-CLASS_Lab Part C'!$J$9334),'IN-CLASS_Lab Part C'!$J$9334,NA())</f>
        <v/>
      </c>
    </row>
    <row r="9335">
      <c r="J9335">
        <f>IF(AND(ISNUMBER('Data'!$F$9336),'Data'!$F$9336&lt;&gt;999,'Data'!$F$9336&lt;&gt;""),'Data'!$F$9336,"")</f>
        <v/>
      </c>
      <c r="Z9335" t="n">
        <v>1</v>
      </c>
      <c r="AA9335">
        <f>IF(ISNUMBER('IN-CLASS_Lab Part C'!$J$9335),'IN-CLASS_Lab Part C'!$J$9335,NA())</f>
        <v/>
      </c>
    </row>
    <row r="9336">
      <c r="J9336">
        <f>IF(AND(ISNUMBER('Data'!$F$9337),'Data'!$F$9337&lt;&gt;999,'Data'!$F$9337&lt;&gt;""),'Data'!$F$9337,"")</f>
        <v/>
      </c>
      <c r="Z9336" t="n">
        <v>1</v>
      </c>
      <c r="AA9336">
        <f>IF(ISNUMBER('IN-CLASS_Lab Part C'!$J$9336),'IN-CLASS_Lab Part C'!$J$9336,NA())</f>
        <v/>
      </c>
    </row>
    <row r="9337">
      <c r="J9337">
        <f>IF(AND(ISNUMBER('Data'!$F$9338),'Data'!$F$9338&lt;&gt;999,'Data'!$F$9338&lt;&gt;""),'Data'!$F$9338,"")</f>
        <v/>
      </c>
      <c r="Z9337" t="n">
        <v>1</v>
      </c>
      <c r="AA9337">
        <f>IF(ISNUMBER('IN-CLASS_Lab Part C'!$J$9337),'IN-CLASS_Lab Part C'!$J$9337,NA())</f>
        <v/>
      </c>
    </row>
    <row r="9338">
      <c r="J9338">
        <f>IF(AND(ISNUMBER('Data'!$F$9339),'Data'!$F$9339&lt;&gt;999,'Data'!$F$9339&lt;&gt;""),'Data'!$F$9339,"")</f>
        <v/>
      </c>
      <c r="Z9338" t="n">
        <v>1</v>
      </c>
      <c r="AA9338">
        <f>IF(ISNUMBER('IN-CLASS_Lab Part C'!$J$9338),'IN-CLASS_Lab Part C'!$J$9338,NA())</f>
        <v/>
      </c>
    </row>
    <row r="9339">
      <c r="J9339">
        <f>IF(AND(ISNUMBER('Data'!$F$9340),'Data'!$F$9340&lt;&gt;999,'Data'!$F$9340&lt;&gt;""),'Data'!$F$9340,"")</f>
        <v/>
      </c>
      <c r="Z9339" t="n">
        <v>1</v>
      </c>
      <c r="AA9339">
        <f>IF(ISNUMBER('IN-CLASS_Lab Part C'!$J$9339),'IN-CLASS_Lab Part C'!$J$9339,NA())</f>
        <v/>
      </c>
    </row>
    <row r="9340">
      <c r="J9340">
        <f>IF(AND(ISNUMBER('Data'!$F$9341),'Data'!$F$9341&lt;&gt;999,'Data'!$F$9341&lt;&gt;""),'Data'!$F$9341,"")</f>
        <v/>
      </c>
      <c r="Z9340" t="n">
        <v>1</v>
      </c>
      <c r="AA9340">
        <f>IF(ISNUMBER('IN-CLASS_Lab Part C'!$J$9340),'IN-CLASS_Lab Part C'!$J$9340,NA())</f>
        <v/>
      </c>
    </row>
    <row r="9341">
      <c r="J9341">
        <f>IF(AND(ISNUMBER('Data'!$F$9342),'Data'!$F$9342&lt;&gt;999,'Data'!$F$9342&lt;&gt;""),'Data'!$F$9342,"")</f>
        <v/>
      </c>
      <c r="Z9341" t="n">
        <v>1</v>
      </c>
      <c r="AA9341">
        <f>IF(ISNUMBER('IN-CLASS_Lab Part C'!$J$9341),'IN-CLASS_Lab Part C'!$J$9341,NA())</f>
        <v/>
      </c>
    </row>
    <row r="9342">
      <c r="J9342">
        <f>IF(AND(ISNUMBER('Data'!$F$9343),'Data'!$F$9343&lt;&gt;999,'Data'!$F$9343&lt;&gt;""),'Data'!$F$9343,"")</f>
        <v/>
      </c>
      <c r="Z9342" t="n">
        <v>1</v>
      </c>
      <c r="AA9342">
        <f>IF(ISNUMBER('IN-CLASS_Lab Part C'!$J$9342),'IN-CLASS_Lab Part C'!$J$9342,NA())</f>
        <v/>
      </c>
    </row>
    <row r="9343">
      <c r="J9343">
        <f>IF(AND(ISNUMBER('Data'!$F$9344),'Data'!$F$9344&lt;&gt;999,'Data'!$F$9344&lt;&gt;""),'Data'!$F$9344,"")</f>
        <v/>
      </c>
      <c r="Z9343" t="n">
        <v>1</v>
      </c>
      <c r="AA9343">
        <f>IF(ISNUMBER('IN-CLASS_Lab Part C'!$J$9343),'IN-CLASS_Lab Part C'!$J$9343,NA())</f>
        <v/>
      </c>
    </row>
    <row r="9344">
      <c r="J9344">
        <f>IF(AND(ISNUMBER('Data'!$F$9345),'Data'!$F$9345&lt;&gt;999,'Data'!$F$9345&lt;&gt;""),'Data'!$F$9345,"")</f>
        <v/>
      </c>
      <c r="Z9344" t="n">
        <v>1</v>
      </c>
      <c r="AA9344">
        <f>IF(ISNUMBER('IN-CLASS_Lab Part C'!$J$9344),'IN-CLASS_Lab Part C'!$J$9344,NA())</f>
        <v/>
      </c>
    </row>
    <row r="9345">
      <c r="J9345">
        <f>IF(AND(ISNUMBER('Data'!$F$9346),'Data'!$F$9346&lt;&gt;999,'Data'!$F$9346&lt;&gt;""),'Data'!$F$9346,"")</f>
        <v/>
      </c>
      <c r="Z9345" t="n">
        <v>1</v>
      </c>
      <c r="AA9345">
        <f>IF(ISNUMBER('IN-CLASS_Lab Part C'!$J$9345),'IN-CLASS_Lab Part C'!$J$9345,NA())</f>
        <v/>
      </c>
    </row>
    <row r="9346">
      <c r="J9346">
        <f>IF(AND(ISNUMBER('Data'!$F$9347),'Data'!$F$9347&lt;&gt;999,'Data'!$F$9347&lt;&gt;""),'Data'!$F$9347,"")</f>
        <v/>
      </c>
      <c r="Z9346" t="n">
        <v>1</v>
      </c>
      <c r="AA9346">
        <f>IF(ISNUMBER('IN-CLASS_Lab Part C'!$J$9346),'IN-CLASS_Lab Part C'!$J$9346,NA())</f>
        <v/>
      </c>
    </row>
    <row r="9347">
      <c r="J9347">
        <f>IF(AND(ISNUMBER('Data'!$F$9348),'Data'!$F$9348&lt;&gt;999,'Data'!$F$9348&lt;&gt;""),'Data'!$F$9348,"")</f>
        <v/>
      </c>
      <c r="Z9347" t="n">
        <v>1</v>
      </c>
      <c r="AA9347">
        <f>IF(ISNUMBER('IN-CLASS_Lab Part C'!$J$9347),'IN-CLASS_Lab Part C'!$J$9347,NA())</f>
        <v/>
      </c>
    </row>
    <row r="9348">
      <c r="J9348">
        <f>IF(AND(ISNUMBER('Data'!$F$9349),'Data'!$F$9349&lt;&gt;999,'Data'!$F$9349&lt;&gt;""),'Data'!$F$9349,"")</f>
        <v/>
      </c>
      <c r="Z9348" t="n">
        <v>1</v>
      </c>
      <c r="AA9348">
        <f>IF(ISNUMBER('IN-CLASS_Lab Part C'!$J$9348),'IN-CLASS_Lab Part C'!$J$9348,NA())</f>
        <v/>
      </c>
    </row>
    <row r="9349">
      <c r="J9349">
        <f>IF(AND(ISNUMBER('Data'!$F$9350),'Data'!$F$9350&lt;&gt;999,'Data'!$F$9350&lt;&gt;""),'Data'!$F$9350,"")</f>
        <v/>
      </c>
      <c r="Z9349" t="n">
        <v>1</v>
      </c>
      <c r="AA9349">
        <f>IF(ISNUMBER('IN-CLASS_Lab Part C'!$J$9349),'IN-CLASS_Lab Part C'!$J$9349,NA())</f>
        <v/>
      </c>
    </row>
    <row r="9350">
      <c r="J9350">
        <f>IF(AND(ISNUMBER('Data'!$F$9351),'Data'!$F$9351&lt;&gt;999,'Data'!$F$9351&lt;&gt;""),'Data'!$F$9351,"")</f>
        <v/>
      </c>
      <c r="Z9350" t="n">
        <v>1</v>
      </c>
      <c r="AA9350">
        <f>IF(ISNUMBER('IN-CLASS_Lab Part C'!$J$9350),'IN-CLASS_Lab Part C'!$J$9350,NA())</f>
        <v/>
      </c>
    </row>
    <row r="9351">
      <c r="J9351">
        <f>IF(AND(ISNUMBER('Data'!$F$9352),'Data'!$F$9352&lt;&gt;999,'Data'!$F$9352&lt;&gt;""),'Data'!$F$9352,"")</f>
        <v/>
      </c>
      <c r="Z9351" t="n">
        <v>1</v>
      </c>
      <c r="AA9351">
        <f>IF(ISNUMBER('IN-CLASS_Lab Part C'!$J$9351),'IN-CLASS_Lab Part C'!$J$9351,NA())</f>
        <v/>
      </c>
    </row>
    <row r="9352">
      <c r="J9352">
        <f>IF(AND(ISNUMBER('Data'!$F$9353),'Data'!$F$9353&lt;&gt;999,'Data'!$F$9353&lt;&gt;""),'Data'!$F$9353,"")</f>
        <v/>
      </c>
      <c r="Z9352" t="n">
        <v>1</v>
      </c>
      <c r="AA9352">
        <f>IF(ISNUMBER('IN-CLASS_Lab Part C'!$J$9352),'IN-CLASS_Lab Part C'!$J$9352,NA())</f>
        <v/>
      </c>
    </row>
    <row r="9353">
      <c r="J9353">
        <f>IF(AND(ISNUMBER('Data'!$F$9354),'Data'!$F$9354&lt;&gt;999,'Data'!$F$9354&lt;&gt;""),'Data'!$F$9354,"")</f>
        <v/>
      </c>
      <c r="Z9353" t="n">
        <v>1</v>
      </c>
      <c r="AA9353">
        <f>IF(ISNUMBER('IN-CLASS_Lab Part C'!$J$9353),'IN-CLASS_Lab Part C'!$J$9353,NA())</f>
        <v/>
      </c>
    </row>
    <row r="9354">
      <c r="J9354">
        <f>IF(AND(ISNUMBER('Data'!$F$9355),'Data'!$F$9355&lt;&gt;999,'Data'!$F$9355&lt;&gt;""),'Data'!$F$9355,"")</f>
        <v/>
      </c>
      <c r="Z9354" t="n">
        <v>1</v>
      </c>
      <c r="AA9354">
        <f>IF(ISNUMBER('IN-CLASS_Lab Part C'!$J$9354),'IN-CLASS_Lab Part C'!$J$9354,NA())</f>
        <v/>
      </c>
    </row>
    <row r="9355">
      <c r="J9355">
        <f>IF(AND(ISNUMBER('Data'!$F$9356),'Data'!$F$9356&lt;&gt;999,'Data'!$F$9356&lt;&gt;""),'Data'!$F$9356,"")</f>
        <v/>
      </c>
      <c r="Z9355" t="n">
        <v>1</v>
      </c>
      <c r="AA9355">
        <f>IF(ISNUMBER('IN-CLASS_Lab Part C'!$J$9355),'IN-CLASS_Lab Part C'!$J$9355,NA())</f>
        <v/>
      </c>
    </row>
    <row r="9356">
      <c r="J9356">
        <f>IF(AND(ISNUMBER('Data'!$F$9357),'Data'!$F$9357&lt;&gt;999,'Data'!$F$9357&lt;&gt;""),'Data'!$F$9357,"")</f>
        <v/>
      </c>
      <c r="Z9356" t="n">
        <v>1</v>
      </c>
      <c r="AA9356">
        <f>IF(ISNUMBER('IN-CLASS_Lab Part C'!$J$9356),'IN-CLASS_Lab Part C'!$J$9356,NA())</f>
        <v/>
      </c>
    </row>
    <row r="9357">
      <c r="J9357">
        <f>IF(AND(ISNUMBER('Data'!$F$9358),'Data'!$F$9358&lt;&gt;999,'Data'!$F$9358&lt;&gt;""),'Data'!$F$9358,"")</f>
        <v/>
      </c>
      <c r="Z9357" t="n">
        <v>1</v>
      </c>
      <c r="AA9357">
        <f>IF(ISNUMBER('IN-CLASS_Lab Part C'!$J$9357),'IN-CLASS_Lab Part C'!$J$9357,NA())</f>
        <v/>
      </c>
    </row>
    <row r="9358">
      <c r="J9358">
        <f>IF(AND(ISNUMBER('Data'!$F$9359),'Data'!$F$9359&lt;&gt;999,'Data'!$F$9359&lt;&gt;""),'Data'!$F$9359,"")</f>
        <v/>
      </c>
      <c r="Z9358" t="n">
        <v>1</v>
      </c>
      <c r="AA9358">
        <f>IF(ISNUMBER('IN-CLASS_Lab Part C'!$J$9358),'IN-CLASS_Lab Part C'!$J$9358,NA())</f>
        <v/>
      </c>
    </row>
    <row r="9359">
      <c r="J9359">
        <f>IF(AND(ISNUMBER('Data'!$F$9360),'Data'!$F$9360&lt;&gt;999,'Data'!$F$9360&lt;&gt;""),'Data'!$F$9360,"")</f>
        <v/>
      </c>
      <c r="Z9359" t="n">
        <v>1</v>
      </c>
      <c r="AA9359">
        <f>IF(ISNUMBER('IN-CLASS_Lab Part C'!$J$9359),'IN-CLASS_Lab Part C'!$J$9359,NA())</f>
        <v/>
      </c>
    </row>
    <row r="9360">
      <c r="J9360">
        <f>IF(AND(ISNUMBER('Data'!$F$9361),'Data'!$F$9361&lt;&gt;999,'Data'!$F$9361&lt;&gt;""),'Data'!$F$9361,"")</f>
        <v/>
      </c>
      <c r="Z9360" t="n">
        <v>1</v>
      </c>
      <c r="AA9360">
        <f>IF(ISNUMBER('IN-CLASS_Lab Part C'!$J$9360),'IN-CLASS_Lab Part C'!$J$9360,NA())</f>
        <v/>
      </c>
    </row>
    <row r="9361">
      <c r="J9361">
        <f>IF(AND(ISNUMBER('Data'!$F$9362),'Data'!$F$9362&lt;&gt;999,'Data'!$F$9362&lt;&gt;""),'Data'!$F$9362,"")</f>
        <v/>
      </c>
      <c r="Z9361" t="n">
        <v>1</v>
      </c>
      <c r="AA9361">
        <f>IF(ISNUMBER('IN-CLASS_Lab Part C'!$J$9361),'IN-CLASS_Lab Part C'!$J$9361,NA())</f>
        <v/>
      </c>
    </row>
    <row r="9362">
      <c r="J9362">
        <f>IF(AND(ISNUMBER('Data'!$F$9363),'Data'!$F$9363&lt;&gt;999,'Data'!$F$9363&lt;&gt;""),'Data'!$F$9363,"")</f>
        <v/>
      </c>
      <c r="Z9362" t="n">
        <v>1</v>
      </c>
      <c r="AA9362">
        <f>IF(ISNUMBER('IN-CLASS_Lab Part C'!$J$9362),'IN-CLASS_Lab Part C'!$J$9362,NA())</f>
        <v/>
      </c>
    </row>
    <row r="9363">
      <c r="J9363">
        <f>IF(AND(ISNUMBER('Data'!$F$9364),'Data'!$F$9364&lt;&gt;999,'Data'!$F$9364&lt;&gt;""),'Data'!$F$9364,"")</f>
        <v/>
      </c>
      <c r="Z9363" t="n">
        <v>1</v>
      </c>
      <c r="AA9363">
        <f>IF(ISNUMBER('IN-CLASS_Lab Part C'!$J$9363),'IN-CLASS_Lab Part C'!$J$9363,NA())</f>
        <v/>
      </c>
    </row>
    <row r="9364">
      <c r="J9364">
        <f>IF(AND(ISNUMBER('Data'!$F$9365),'Data'!$F$9365&lt;&gt;999,'Data'!$F$9365&lt;&gt;""),'Data'!$F$9365,"")</f>
        <v/>
      </c>
      <c r="Z9364" t="n">
        <v>1</v>
      </c>
      <c r="AA9364">
        <f>IF(ISNUMBER('IN-CLASS_Lab Part C'!$J$9364),'IN-CLASS_Lab Part C'!$J$9364,NA())</f>
        <v/>
      </c>
    </row>
    <row r="9365">
      <c r="J9365">
        <f>IF(AND(ISNUMBER('Data'!$F$9366),'Data'!$F$9366&lt;&gt;999,'Data'!$F$9366&lt;&gt;""),'Data'!$F$9366,"")</f>
        <v/>
      </c>
      <c r="Z9365" t="n">
        <v>1</v>
      </c>
      <c r="AA9365">
        <f>IF(ISNUMBER('IN-CLASS_Lab Part C'!$J$9365),'IN-CLASS_Lab Part C'!$J$9365,NA())</f>
        <v/>
      </c>
    </row>
    <row r="9366">
      <c r="J9366">
        <f>IF(AND(ISNUMBER('Data'!$F$9367),'Data'!$F$9367&lt;&gt;999,'Data'!$F$9367&lt;&gt;""),'Data'!$F$9367,"")</f>
        <v/>
      </c>
      <c r="Z9366" t="n">
        <v>1</v>
      </c>
      <c r="AA9366">
        <f>IF(ISNUMBER('IN-CLASS_Lab Part C'!$J$9366),'IN-CLASS_Lab Part C'!$J$9366,NA())</f>
        <v/>
      </c>
    </row>
    <row r="9367">
      <c r="J9367">
        <f>IF(AND(ISNUMBER('Data'!$F$9368),'Data'!$F$9368&lt;&gt;999,'Data'!$F$9368&lt;&gt;""),'Data'!$F$9368,"")</f>
        <v/>
      </c>
      <c r="Z9367" t="n">
        <v>1</v>
      </c>
      <c r="AA9367">
        <f>IF(ISNUMBER('IN-CLASS_Lab Part C'!$J$9367),'IN-CLASS_Lab Part C'!$J$9367,NA())</f>
        <v/>
      </c>
    </row>
    <row r="9368">
      <c r="J9368">
        <f>IF(AND(ISNUMBER('Data'!$F$9369),'Data'!$F$9369&lt;&gt;999,'Data'!$F$9369&lt;&gt;""),'Data'!$F$9369,"")</f>
        <v/>
      </c>
      <c r="Z9368" t="n">
        <v>1</v>
      </c>
      <c r="AA9368">
        <f>IF(ISNUMBER('IN-CLASS_Lab Part C'!$J$9368),'IN-CLASS_Lab Part C'!$J$9368,NA())</f>
        <v/>
      </c>
    </row>
    <row r="9369">
      <c r="J9369">
        <f>IF(AND(ISNUMBER('Data'!$F$9370),'Data'!$F$9370&lt;&gt;999,'Data'!$F$9370&lt;&gt;""),'Data'!$F$9370,"")</f>
        <v/>
      </c>
      <c r="Z9369" t="n">
        <v>1</v>
      </c>
      <c r="AA9369">
        <f>IF(ISNUMBER('IN-CLASS_Lab Part C'!$J$9369),'IN-CLASS_Lab Part C'!$J$9369,NA())</f>
        <v/>
      </c>
    </row>
    <row r="9370">
      <c r="J9370">
        <f>IF(AND(ISNUMBER('Data'!$F$9371),'Data'!$F$9371&lt;&gt;999,'Data'!$F$9371&lt;&gt;""),'Data'!$F$9371,"")</f>
        <v/>
      </c>
      <c r="Z9370" t="n">
        <v>1</v>
      </c>
      <c r="AA9370">
        <f>IF(ISNUMBER('IN-CLASS_Lab Part C'!$J$9370),'IN-CLASS_Lab Part C'!$J$9370,NA())</f>
        <v/>
      </c>
    </row>
    <row r="9371">
      <c r="J9371">
        <f>IF(AND(ISNUMBER('Data'!$F$9372),'Data'!$F$9372&lt;&gt;999,'Data'!$F$9372&lt;&gt;""),'Data'!$F$9372,"")</f>
        <v/>
      </c>
      <c r="Z9371" t="n">
        <v>1</v>
      </c>
      <c r="AA9371">
        <f>IF(ISNUMBER('IN-CLASS_Lab Part C'!$J$9371),'IN-CLASS_Lab Part C'!$J$9371,NA())</f>
        <v/>
      </c>
    </row>
    <row r="9372">
      <c r="J9372">
        <f>IF(AND(ISNUMBER('Data'!$F$9373),'Data'!$F$9373&lt;&gt;999,'Data'!$F$9373&lt;&gt;""),'Data'!$F$9373,"")</f>
        <v/>
      </c>
      <c r="Z9372" t="n">
        <v>1</v>
      </c>
      <c r="AA9372">
        <f>IF(ISNUMBER('IN-CLASS_Lab Part C'!$J$9372),'IN-CLASS_Lab Part C'!$J$9372,NA())</f>
        <v/>
      </c>
    </row>
    <row r="9373">
      <c r="J9373">
        <f>IF(AND(ISNUMBER('Data'!$F$9374),'Data'!$F$9374&lt;&gt;999,'Data'!$F$9374&lt;&gt;""),'Data'!$F$9374,"")</f>
        <v/>
      </c>
      <c r="Z9373" t="n">
        <v>1</v>
      </c>
      <c r="AA9373">
        <f>IF(ISNUMBER('IN-CLASS_Lab Part C'!$J$9373),'IN-CLASS_Lab Part C'!$J$9373,NA())</f>
        <v/>
      </c>
    </row>
    <row r="9374">
      <c r="J9374">
        <f>IF(AND(ISNUMBER('Data'!$F$9375),'Data'!$F$9375&lt;&gt;999,'Data'!$F$9375&lt;&gt;""),'Data'!$F$9375,"")</f>
        <v/>
      </c>
      <c r="Z9374" t="n">
        <v>1</v>
      </c>
      <c r="AA9374">
        <f>IF(ISNUMBER('IN-CLASS_Lab Part C'!$J$9374),'IN-CLASS_Lab Part C'!$J$9374,NA())</f>
        <v/>
      </c>
    </row>
    <row r="9375">
      <c r="J9375">
        <f>IF(AND(ISNUMBER('Data'!$F$9376),'Data'!$F$9376&lt;&gt;999,'Data'!$F$9376&lt;&gt;""),'Data'!$F$9376,"")</f>
        <v/>
      </c>
      <c r="Z9375" t="n">
        <v>1</v>
      </c>
      <c r="AA9375">
        <f>IF(ISNUMBER('IN-CLASS_Lab Part C'!$J$9375),'IN-CLASS_Lab Part C'!$J$9375,NA())</f>
        <v/>
      </c>
    </row>
    <row r="9376">
      <c r="J9376">
        <f>IF(AND(ISNUMBER('Data'!$F$9377),'Data'!$F$9377&lt;&gt;999,'Data'!$F$9377&lt;&gt;""),'Data'!$F$9377,"")</f>
        <v/>
      </c>
      <c r="Z9376" t="n">
        <v>1</v>
      </c>
      <c r="AA9376">
        <f>IF(ISNUMBER('IN-CLASS_Lab Part C'!$J$9376),'IN-CLASS_Lab Part C'!$J$9376,NA())</f>
        <v/>
      </c>
    </row>
    <row r="9377">
      <c r="J9377">
        <f>IF(AND(ISNUMBER('Data'!$F$9378),'Data'!$F$9378&lt;&gt;999,'Data'!$F$9378&lt;&gt;""),'Data'!$F$9378,"")</f>
        <v/>
      </c>
      <c r="Z9377" t="n">
        <v>1</v>
      </c>
      <c r="AA9377">
        <f>IF(ISNUMBER('IN-CLASS_Lab Part C'!$J$9377),'IN-CLASS_Lab Part C'!$J$9377,NA())</f>
        <v/>
      </c>
    </row>
    <row r="9378">
      <c r="J9378">
        <f>IF(AND(ISNUMBER('Data'!$F$9379),'Data'!$F$9379&lt;&gt;999,'Data'!$F$9379&lt;&gt;""),'Data'!$F$9379,"")</f>
        <v/>
      </c>
      <c r="Z9378" t="n">
        <v>1</v>
      </c>
      <c r="AA9378">
        <f>IF(ISNUMBER('IN-CLASS_Lab Part C'!$J$9378),'IN-CLASS_Lab Part C'!$J$9378,NA())</f>
        <v/>
      </c>
    </row>
    <row r="9379">
      <c r="J9379">
        <f>IF(AND(ISNUMBER('Data'!$F$9380),'Data'!$F$9380&lt;&gt;999,'Data'!$F$9380&lt;&gt;""),'Data'!$F$9380,"")</f>
        <v/>
      </c>
      <c r="Z9379" t="n">
        <v>1</v>
      </c>
      <c r="AA9379">
        <f>IF(ISNUMBER('IN-CLASS_Lab Part C'!$J$9379),'IN-CLASS_Lab Part C'!$J$9379,NA())</f>
        <v/>
      </c>
    </row>
    <row r="9380">
      <c r="J9380">
        <f>IF(AND(ISNUMBER('Data'!$F$9381),'Data'!$F$9381&lt;&gt;999,'Data'!$F$9381&lt;&gt;""),'Data'!$F$9381,"")</f>
        <v/>
      </c>
      <c r="Z9380" t="n">
        <v>1</v>
      </c>
      <c r="AA9380">
        <f>IF(ISNUMBER('IN-CLASS_Lab Part C'!$J$9380),'IN-CLASS_Lab Part C'!$J$9380,NA())</f>
        <v/>
      </c>
    </row>
    <row r="9381">
      <c r="J9381">
        <f>IF(AND(ISNUMBER('Data'!$F$9382),'Data'!$F$9382&lt;&gt;999,'Data'!$F$9382&lt;&gt;""),'Data'!$F$9382,"")</f>
        <v/>
      </c>
      <c r="Z9381" t="n">
        <v>1</v>
      </c>
      <c r="AA9381">
        <f>IF(ISNUMBER('IN-CLASS_Lab Part C'!$J$9381),'IN-CLASS_Lab Part C'!$J$9381,NA())</f>
        <v/>
      </c>
    </row>
    <row r="9382">
      <c r="J9382">
        <f>IF(AND(ISNUMBER('Data'!$F$9383),'Data'!$F$9383&lt;&gt;999,'Data'!$F$9383&lt;&gt;""),'Data'!$F$9383,"")</f>
        <v/>
      </c>
      <c r="Z9382" t="n">
        <v>1</v>
      </c>
      <c r="AA9382">
        <f>IF(ISNUMBER('IN-CLASS_Lab Part C'!$J$9382),'IN-CLASS_Lab Part C'!$J$9382,NA())</f>
        <v/>
      </c>
    </row>
    <row r="9383">
      <c r="J9383">
        <f>IF(AND(ISNUMBER('Data'!$F$9384),'Data'!$F$9384&lt;&gt;999,'Data'!$F$9384&lt;&gt;""),'Data'!$F$9384,"")</f>
        <v/>
      </c>
      <c r="Z9383" t="n">
        <v>1</v>
      </c>
      <c r="AA9383">
        <f>IF(ISNUMBER('IN-CLASS_Lab Part C'!$J$9383),'IN-CLASS_Lab Part C'!$J$9383,NA())</f>
        <v/>
      </c>
    </row>
    <row r="9384">
      <c r="J9384">
        <f>IF(AND(ISNUMBER('Data'!$F$9385),'Data'!$F$9385&lt;&gt;999,'Data'!$F$9385&lt;&gt;""),'Data'!$F$9385,"")</f>
        <v/>
      </c>
      <c r="Z9384" t="n">
        <v>1</v>
      </c>
      <c r="AA9384">
        <f>IF(ISNUMBER('IN-CLASS_Lab Part C'!$J$9384),'IN-CLASS_Lab Part C'!$J$9384,NA())</f>
        <v/>
      </c>
    </row>
    <row r="9385">
      <c r="J9385">
        <f>IF(AND(ISNUMBER('Data'!$F$9386),'Data'!$F$9386&lt;&gt;999,'Data'!$F$9386&lt;&gt;""),'Data'!$F$9386,"")</f>
        <v/>
      </c>
      <c r="Z9385" t="n">
        <v>1</v>
      </c>
      <c r="AA9385">
        <f>IF(ISNUMBER('IN-CLASS_Lab Part C'!$J$9385),'IN-CLASS_Lab Part C'!$J$9385,NA())</f>
        <v/>
      </c>
    </row>
    <row r="9386">
      <c r="J9386">
        <f>IF(AND(ISNUMBER('Data'!$F$9387),'Data'!$F$9387&lt;&gt;999,'Data'!$F$9387&lt;&gt;""),'Data'!$F$9387,"")</f>
        <v/>
      </c>
      <c r="Z9386" t="n">
        <v>1</v>
      </c>
      <c r="AA9386">
        <f>IF(ISNUMBER('IN-CLASS_Lab Part C'!$J$9386),'IN-CLASS_Lab Part C'!$J$9386,NA())</f>
        <v/>
      </c>
    </row>
    <row r="9387">
      <c r="J9387">
        <f>IF(AND(ISNUMBER('Data'!$F$9388),'Data'!$F$9388&lt;&gt;999,'Data'!$F$9388&lt;&gt;""),'Data'!$F$9388,"")</f>
        <v/>
      </c>
      <c r="Z9387" t="n">
        <v>1</v>
      </c>
      <c r="AA9387">
        <f>IF(ISNUMBER('IN-CLASS_Lab Part C'!$J$9387),'IN-CLASS_Lab Part C'!$J$9387,NA())</f>
        <v/>
      </c>
    </row>
    <row r="9388">
      <c r="J9388">
        <f>IF(AND(ISNUMBER('Data'!$F$9389),'Data'!$F$9389&lt;&gt;999,'Data'!$F$9389&lt;&gt;""),'Data'!$F$9389,"")</f>
        <v/>
      </c>
      <c r="Z9388" t="n">
        <v>1</v>
      </c>
      <c r="AA9388">
        <f>IF(ISNUMBER('IN-CLASS_Lab Part C'!$J$9388),'IN-CLASS_Lab Part C'!$J$9388,NA())</f>
        <v/>
      </c>
    </row>
    <row r="9389">
      <c r="J9389">
        <f>IF(AND(ISNUMBER('Data'!$F$9390),'Data'!$F$9390&lt;&gt;999,'Data'!$F$9390&lt;&gt;""),'Data'!$F$9390,"")</f>
        <v/>
      </c>
      <c r="Z9389" t="n">
        <v>1</v>
      </c>
      <c r="AA9389">
        <f>IF(ISNUMBER('IN-CLASS_Lab Part C'!$J$9389),'IN-CLASS_Lab Part C'!$J$9389,NA())</f>
        <v/>
      </c>
    </row>
    <row r="9390">
      <c r="J9390">
        <f>IF(AND(ISNUMBER('Data'!$F$9391),'Data'!$F$9391&lt;&gt;999,'Data'!$F$9391&lt;&gt;""),'Data'!$F$9391,"")</f>
        <v/>
      </c>
      <c r="Z9390" t="n">
        <v>1</v>
      </c>
      <c r="AA9390">
        <f>IF(ISNUMBER('IN-CLASS_Lab Part C'!$J$9390),'IN-CLASS_Lab Part C'!$J$9390,NA())</f>
        <v/>
      </c>
    </row>
    <row r="9391">
      <c r="J9391">
        <f>IF(AND(ISNUMBER('Data'!$F$9392),'Data'!$F$9392&lt;&gt;999,'Data'!$F$9392&lt;&gt;""),'Data'!$F$9392,"")</f>
        <v/>
      </c>
      <c r="Z9391" t="n">
        <v>1</v>
      </c>
      <c r="AA9391">
        <f>IF(ISNUMBER('IN-CLASS_Lab Part C'!$J$9391),'IN-CLASS_Lab Part C'!$J$9391,NA())</f>
        <v/>
      </c>
    </row>
    <row r="9392">
      <c r="J9392">
        <f>IF(AND(ISNUMBER('Data'!$F$9393),'Data'!$F$9393&lt;&gt;999,'Data'!$F$9393&lt;&gt;""),'Data'!$F$9393,"")</f>
        <v/>
      </c>
      <c r="Z9392" t="n">
        <v>1</v>
      </c>
      <c r="AA9392">
        <f>IF(ISNUMBER('IN-CLASS_Lab Part C'!$J$9392),'IN-CLASS_Lab Part C'!$J$9392,NA())</f>
        <v/>
      </c>
    </row>
    <row r="9393">
      <c r="J9393">
        <f>IF(AND(ISNUMBER('Data'!$F$9394),'Data'!$F$9394&lt;&gt;999,'Data'!$F$9394&lt;&gt;""),'Data'!$F$9394,"")</f>
        <v/>
      </c>
      <c r="Z9393" t="n">
        <v>1</v>
      </c>
      <c r="AA9393">
        <f>IF(ISNUMBER('IN-CLASS_Lab Part C'!$J$9393),'IN-CLASS_Lab Part C'!$J$9393,NA())</f>
        <v/>
      </c>
    </row>
    <row r="9394">
      <c r="J9394">
        <f>IF(AND(ISNUMBER('Data'!$F$9395),'Data'!$F$9395&lt;&gt;999,'Data'!$F$9395&lt;&gt;""),'Data'!$F$9395,"")</f>
        <v/>
      </c>
      <c r="Z9394" t="n">
        <v>1</v>
      </c>
      <c r="AA9394">
        <f>IF(ISNUMBER('IN-CLASS_Lab Part C'!$J$9394),'IN-CLASS_Lab Part C'!$J$9394,NA())</f>
        <v/>
      </c>
    </row>
    <row r="9395">
      <c r="J9395">
        <f>IF(AND(ISNUMBER('Data'!$F$9396),'Data'!$F$9396&lt;&gt;999,'Data'!$F$9396&lt;&gt;""),'Data'!$F$9396,"")</f>
        <v/>
      </c>
      <c r="Z9395" t="n">
        <v>1</v>
      </c>
      <c r="AA9395">
        <f>IF(ISNUMBER('IN-CLASS_Lab Part C'!$J$9395),'IN-CLASS_Lab Part C'!$J$9395,NA())</f>
        <v/>
      </c>
    </row>
    <row r="9396">
      <c r="J9396">
        <f>IF(AND(ISNUMBER('Data'!$F$9397),'Data'!$F$9397&lt;&gt;999,'Data'!$F$9397&lt;&gt;""),'Data'!$F$9397,"")</f>
        <v/>
      </c>
      <c r="Z9396" t="n">
        <v>1</v>
      </c>
      <c r="AA9396">
        <f>IF(ISNUMBER('IN-CLASS_Lab Part C'!$J$9396),'IN-CLASS_Lab Part C'!$J$9396,NA())</f>
        <v/>
      </c>
    </row>
    <row r="9397">
      <c r="J9397">
        <f>IF(AND(ISNUMBER('Data'!$F$9398),'Data'!$F$9398&lt;&gt;999,'Data'!$F$9398&lt;&gt;""),'Data'!$F$9398,"")</f>
        <v/>
      </c>
      <c r="Z9397" t="n">
        <v>1</v>
      </c>
      <c r="AA9397">
        <f>IF(ISNUMBER('IN-CLASS_Lab Part C'!$J$9397),'IN-CLASS_Lab Part C'!$J$9397,NA())</f>
        <v/>
      </c>
    </row>
    <row r="9398">
      <c r="J9398">
        <f>IF(AND(ISNUMBER('Data'!$F$9399),'Data'!$F$9399&lt;&gt;999,'Data'!$F$9399&lt;&gt;""),'Data'!$F$9399,"")</f>
        <v/>
      </c>
      <c r="Z9398" t="n">
        <v>1</v>
      </c>
      <c r="AA9398">
        <f>IF(ISNUMBER('IN-CLASS_Lab Part C'!$J$9398),'IN-CLASS_Lab Part C'!$J$9398,NA())</f>
        <v/>
      </c>
    </row>
    <row r="9399">
      <c r="J9399">
        <f>IF(AND(ISNUMBER('Data'!$F$9400),'Data'!$F$9400&lt;&gt;999,'Data'!$F$9400&lt;&gt;""),'Data'!$F$9400,"")</f>
        <v/>
      </c>
      <c r="Z9399" t="n">
        <v>1</v>
      </c>
      <c r="AA9399">
        <f>IF(ISNUMBER('IN-CLASS_Lab Part C'!$J$9399),'IN-CLASS_Lab Part C'!$J$9399,NA())</f>
        <v/>
      </c>
    </row>
    <row r="9400">
      <c r="J9400">
        <f>IF(AND(ISNUMBER('Data'!$F$9401),'Data'!$F$9401&lt;&gt;999,'Data'!$F$9401&lt;&gt;""),'Data'!$F$9401,"")</f>
        <v/>
      </c>
      <c r="Z9400" t="n">
        <v>1</v>
      </c>
      <c r="AA9400">
        <f>IF(ISNUMBER('IN-CLASS_Lab Part C'!$J$9400),'IN-CLASS_Lab Part C'!$J$9400,NA())</f>
        <v/>
      </c>
    </row>
    <row r="9401">
      <c r="J9401">
        <f>IF(AND(ISNUMBER('Data'!$F$9402),'Data'!$F$9402&lt;&gt;999,'Data'!$F$9402&lt;&gt;""),'Data'!$F$9402,"")</f>
        <v/>
      </c>
      <c r="Z9401" t="n">
        <v>1</v>
      </c>
      <c r="AA9401">
        <f>IF(ISNUMBER('IN-CLASS_Lab Part C'!$J$9401),'IN-CLASS_Lab Part C'!$J$9401,NA())</f>
        <v/>
      </c>
    </row>
    <row r="9402">
      <c r="J9402">
        <f>IF(AND(ISNUMBER('Data'!$F$9403),'Data'!$F$9403&lt;&gt;999,'Data'!$F$9403&lt;&gt;""),'Data'!$F$9403,"")</f>
        <v/>
      </c>
      <c r="Z9402" t="n">
        <v>1</v>
      </c>
      <c r="AA9402">
        <f>IF(ISNUMBER('IN-CLASS_Lab Part C'!$J$9402),'IN-CLASS_Lab Part C'!$J$9402,NA())</f>
        <v/>
      </c>
    </row>
    <row r="9403">
      <c r="J9403">
        <f>IF(AND(ISNUMBER('Data'!$F$9404),'Data'!$F$9404&lt;&gt;999,'Data'!$F$9404&lt;&gt;""),'Data'!$F$9404,"")</f>
        <v/>
      </c>
      <c r="Z9403" t="n">
        <v>1</v>
      </c>
      <c r="AA9403">
        <f>IF(ISNUMBER('IN-CLASS_Lab Part C'!$J$9403),'IN-CLASS_Lab Part C'!$J$9403,NA())</f>
        <v/>
      </c>
    </row>
    <row r="9404">
      <c r="J9404">
        <f>IF(AND(ISNUMBER('Data'!$F$9405),'Data'!$F$9405&lt;&gt;999,'Data'!$F$9405&lt;&gt;""),'Data'!$F$9405,"")</f>
        <v/>
      </c>
      <c r="Z9404" t="n">
        <v>1</v>
      </c>
      <c r="AA9404">
        <f>IF(ISNUMBER('IN-CLASS_Lab Part C'!$J$9404),'IN-CLASS_Lab Part C'!$J$9404,NA())</f>
        <v/>
      </c>
    </row>
    <row r="9405">
      <c r="J9405">
        <f>IF(AND(ISNUMBER('Data'!$F$9406),'Data'!$F$9406&lt;&gt;999,'Data'!$F$9406&lt;&gt;""),'Data'!$F$9406,"")</f>
        <v/>
      </c>
      <c r="Z9405" t="n">
        <v>1</v>
      </c>
      <c r="AA9405">
        <f>IF(ISNUMBER('IN-CLASS_Lab Part C'!$J$9405),'IN-CLASS_Lab Part C'!$J$9405,NA())</f>
        <v/>
      </c>
    </row>
    <row r="9406">
      <c r="J9406">
        <f>IF(AND(ISNUMBER('Data'!$F$9407),'Data'!$F$9407&lt;&gt;999,'Data'!$F$9407&lt;&gt;""),'Data'!$F$9407,"")</f>
        <v/>
      </c>
      <c r="Z9406" t="n">
        <v>1</v>
      </c>
      <c r="AA9406">
        <f>IF(ISNUMBER('IN-CLASS_Lab Part C'!$J$9406),'IN-CLASS_Lab Part C'!$J$9406,NA())</f>
        <v/>
      </c>
    </row>
    <row r="9407">
      <c r="J9407">
        <f>IF(AND(ISNUMBER('Data'!$F$9408),'Data'!$F$9408&lt;&gt;999,'Data'!$F$9408&lt;&gt;""),'Data'!$F$9408,"")</f>
        <v/>
      </c>
      <c r="Z9407" t="n">
        <v>1</v>
      </c>
      <c r="AA9407">
        <f>IF(ISNUMBER('IN-CLASS_Lab Part C'!$J$9407),'IN-CLASS_Lab Part C'!$J$9407,NA())</f>
        <v/>
      </c>
    </row>
    <row r="9408">
      <c r="J9408">
        <f>IF(AND(ISNUMBER('Data'!$F$9409),'Data'!$F$9409&lt;&gt;999,'Data'!$F$9409&lt;&gt;""),'Data'!$F$9409,"")</f>
        <v/>
      </c>
      <c r="Z9408" t="n">
        <v>1</v>
      </c>
      <c r="AA9408">
        <f>IF(ISNUMBER('IN-CLASS_Lab Part C'!$J$9408),'IN-CLASS_Lab Part C'!$J$9408,NA())</f>
        <v/>
      </c>
    </row>
    <row r="9409">
      <c r="J9409">
        <f>IF(AND(ISNUMBER('Data'!$F$9410),'Data'!$F$9410&lt;&gt;999,'Data'!$F$9410&lt;&gt;""),'Data'!$F$9410,"")</f>
        <v/>
      </c>
      <c r="Z9409" t="n">
        <v>1</v>
      </c>
      <c r="AA9409">
        <f>IF(ISNUMBER('IN-CLASS_Lab Part C'!$J$9409),'IN-CLASS_Lab Part C'!$J$9409,NA())</f>
        <v/>
      </c>
    </row>
    <row r="9410">
      <c r="J9410">
        <f>IF(AND(ISNUMBER('Data'!$F$9411),'Data'!$F$9411&lt;&gt;999,'Data'!$F$9411&lt;&gt;""),'Data'!$F$9411,"")</f>
        <v/>
      </c>
      <c r="Z9410" t="n">
        <v>1</v>
      </c>
      <c r="AA9410">
        <f>IF(ISNUMBER('IN-CLASS_Lab Part C'!$J$9410),'IN-CLASS_Lab Part C'!$J$9410,NA())</f>
        <v/>
      </c>
    </row>
    <row r="9411">
      <c r="J9411">
        <f>IF(AND(ISNUMBER('Data'!$F$9412),'Data'!$F$9412&lt;&gt;999,'Data'!$F$9412&lt;&gt;""),'Data'!$F$9412,"")</f>
        <v/>
      </c>
      <c r="Z9411" t="n">
        <v>1</v>
      </c>
      <c r="AA9411">
        <f>IF(ISNUMBER('IN-CLASS_Lab Part C'!$J$9411),'IN-CLASS_Lab Part C'!$J$9411,NA())</f>
        <v/>
      </c>
    </row>
    <row r="9412">
      <c r="J9412">
        <f>IF(AND(ISNUMBER('Data'!$F$9413),'Data'!$F$9413&lt;&gt;999,'Data'!$F$9413&lt;&gt;""),'Data'!$F$9413,"")</f>
        <v/>
      </c>
      <c r="Z9412" t="n">
        <v>1</v>
      </c>
      <c r="AA9412">
        <f>IF(ISNUMBER('IN-CLASS_Lab Part C'!$J$9412),'IN-CLASS_Lab Part C'!$J$9412,NA())</f>
        <v/>
      </c>
    </row>
    <row r="9413">
      <c r="J9413">
        <f>IF(AND(ISNUMBER('Data'!$F$9414),'Data'!$F$9414&lt;&gt;999,'Data'!$F$9414&lt;&gt;""),'Data'!$F$9414,"")</f>
        <v/>
      </c>
      <c r="Z9413" t="n">
        <v>1</v>
      </c>
      <c r="AA9413">
        <f>IF(ISNUMBER('IN-CLASS_Lab Part C'!$J$9413),'IN-CLASS_Lab Part C'!$J$9413,NA())</f>
        <v/>
      </c>
    </row>
    <row r="9414">
      <c r="J9414">
        <f>IF(AND(ISNUMBER('Data'!$F$9415),'Data'!$F$9415&lt;&gt;999,'Data'!$F$9415&lt;&gt;""),'Data'!$F$9415,"")</f>
        <v/>
      </c>
      <c r="Z9414" t="n">
        <v>1</v>
      </c>
      <c r="AA9414">
        <f>IF(ISNUMBER('IN-CLASS_Lab Part C'!$J$9414),'IN-CLASS_Lab Part C'!$J$9414,NA())</f>
        <v/>
      </c>
    </row>
    <row r="9415">
      <c r="J9415">
        <f>IF(AND(ISNUMBER('Data'!$F$9416),'Data'!$F$9416&lt;&gt;999,'Data'!$F$9416&lt;&gt;""),'Data'!$F$9416,"")</f>
        <v/>
      </c>
      <c r="Z9415" t="n">
        <v>1</v>
      </c>
      <c r="AA9415">
        <f>IF(ISNUMBER('IN-CLASS_Lab Part C'!$J$9415),'IN-CLASS_Lab Part C'!$J$9415,NA())</f>
        <v/>
      </c>
    </row>
    <row r="9416">
      <c r="J9416">
        <f>IF(AND(ISNUMBER('Data'!$F$9417),'Data'!$F$9417&lt;&gt;999,'Data'!$F$9417&lt;&gt;""),'Data'!$F$9417,"")</f>
        <v/>
      </c>
      <c r="Z9416" t="n">
        <v>1</v>
      </c>
      <c r="AA9416">
        <f>IF(ISNUMBER('IN-CLASS_Lab Part C'!$J$9416),'IN-CLASS_Lab Part C'!$J$9416,NA())</f>
        <v/>
      </c>
    </row>
    <row r="9417">
      <c r="J9417">
        <f>IF(AND(ISNUMBER('Data'!$F$9418),'Data'!$F$9418&lt;&gt;999,'Data'!$F$9418&lt;&gt;""),'Data'!$F$9418,"")</f>
        <v/>
      </c>
      <c r="Z9417" t="n">
        <v>1</v>
      </c>
      <c r="AA9417">
        <f>IF(ISNUMBER('IN-CLASS_Lab Part C'!$J$9417),'IN-CLASS_Lab Part C'!$J$9417,NA())</f>
        <v/>
      </c>
    </row>
    <row r="9418">
      <c r="J9418">
        <f>IF(AND(ISNUMBER('Data'!$F$9419),'Data'!$F$9419&lt;&gt;999,'Data'!$F$9419&lt;&gt;""),'Data'!$F$9419,"")</f>
        <v/>
      </c>
      <c r="Z9418" t="n">
        <v>1</v>
      </c>
      <c r="AA9418">
        <f>IF(ISNUMBER('IN-CLASS_Lab Part C'!$J$9418),'IN-CLASS_Lab Part C'!$J$9418,NA())</f>
        <v/>
      </c>
    </row>
    <row r="9419">
      <c r="J9419">
        <f>IF(AND(ISNUMBER('Data'!$F$9420),'Data'!$F$9420&lt;&gt;999,'Data'!$F$9420&lt;&gt;""),'Data'!$F$9420,"")</f>
        <v/>
      </c>
      <c r="Z9419" t="n">
        <v>1</v>
      </c>
      <c r="AA9419">
        <f>IF(ISNUMBER('IN-CLASS_Lab Part C'!$J$9419),'IN-CLASS_Lab Part C'!$J$9419,NA())</f>
        <v/>
      </c>
    </row>
    <row r="9420">
      <c r="J9420">
        <f>IF(AND(ISNUMBER('Data'!$F$9421),'Data'!$F$9421&lt;&gt;999,'Data'!$F$9421&lt;&gt;""),'Data'!$F$9421,"")</f>
        <v/>
      </c>
      <c r="Z9420" t="n">
        <v>1</v>
      </c>
      <c r="AA9420">
        <f>IF(ISNUMBER('IN-CLASS_Lab Part C'!$J$9420),'IN-CLASS_Lab Part C'!$J$9420,NA())</f>
        <v/>
      </c>
    </row>
    <row r="9421">
      <c r="J9421">
        <f>IF(AND(ISNUMBER('Data'!$F$9422),'Data'!$F$9422&lt;&gt;999,'Data'!$F$9422&lt;&gt;""),'Data'!$F$9422,"")</f>
        <v/>
      </c>
      <c r="Z9421" t="n">
        <v>1</v>
      </c>
      <c r="AA9421">
        <f>IF(ISNUMBER('IN-CLASS_Lab Part C'!$J$9421),'IN-CLASS_Lab Part C'!$J$9421,NA())</f>
        <v/>
      </c>
    </row>
    <row r="9422">
      <c r="J9422">
        <f>IF(AND(ISNUMBER('Data'!$F$9423),'Data'!$F$9423&lt;&gt;999,'Data'!$F$9423&lt;&gt;""),'Data'!$F$9423,"")</f>
        <v/>
      </c>
      <c r="Z9422" t="n">
        <v>1</v>
      </c>
      <c r="AA9422">
        <f>IF(ISNUMBER('IN-CLASS_Lab Part C'!$J$9422),'IN-CLASS_Lab Part C'!$J$9422,NA())</f>
        <v/>
      </c>
    </row>
    <row r="9423">
      <c r="J9423">
        <f>IF(AND(ISNUMBER('Data'!$F$9424),'Data'!$F$9424&lt;&gt;999,'Data'!$F$9424&lt;&gt;""),'Data'!$F$9424,"")</f>
        <v/>
      </c>
      <c r="Z9423" t="n">
        <v>1</v>
      </c>
      <c r="AA9423">
        <f>IF(ISNUMBER('IN-CLASS_Lab Part C'!$J$9423),'IN-CLASS_Lab Part C'!$J$9423,NA())</f>
        <v/>
      </c>
    </row>
    <row r="9424">
      <c r="J9424">
        <f>IF(AND(ISNUMBER('Data'!$F$9425),'Data'!$F$9425&lt;&gt;999,'Data'!$F$9425&lt;&gt;""),'Data'!$F$9425,"")</f>
        <v/>
      </c>
      <c r="Z9424" t="n">
        <v>1</v>
      </c>
      <c r="AA9424">
        <f>IF(ISNUMBER('IN-CLASS_Lab Part C'!$J$9424),'IN-CLASS_Lab Part C'!$J$9424,NA())</f>
        <v/>
      </c>
    </row>
    <row r="9425">
      <c r="J9425">
        <f>IF(AND(ISNUMBER('Data'!$F$9426),'Data'!$F$9426&lt;&gt;999,'Data'!$F$9426&lt;&gt;""),'Data'!$F$9426,"")</f>
        <v/>
      </c>
      <c r="Z9425" t="n">
        <v>1</v>
      </c>
      <c r="AA9425">
        <f>IF(ISNUMBER('IN-CLASS_Lab Part C'!$J$9425),'IN-CLASS_Lab Part C'!$J$9425,NA())</f>
        <v/>
      </c>
    </row>
    <row r="9426">
      <c r="J9426">
        <f>IF(AND(ISNUMBER('Data'!$F$9427),'Data'!$F$9427&lt;&gt;999,'Data'!$F$9427&lt;&gt;""),'Data'!$F$9427,"")</f>
        <v/>
      </c>
      <c r="Z9426" t="n">
        <v>1</v>
      </c>
      <c r="AA9426">
        <f>IF(ISNUMBER('IN-CLASS_Lab Part C'!$J$9426),'IN-CLASS_Lab Part C'!$J$9426,NA())</f>
        <v/>
      </c>
    </row>
    <row r="9427">
      <c r="J9427">
        <f>IF(AND(ISNUMBER('Data'!$F$9428),'Data'!$F$9428&lt;&gt;999,'Data'!$F$9428&lt;&gt;""),'Data'!$F$9428,"")</f>
        <v/>
      </c>
      <c r="Z9427" t="n">
        <v>1</v>
      </c>
      <c r="AA9427">
        <f>IF(ISNUMBER('IN-CLASS_Lab Part C'!$J$9427),'IN-CLASS_Lab Part C'!$J$9427,NA())</f>
        <v/>
      </c>
    </row>
    <row r="9428">
      <c r="J9428">
        <f>IF(AND(ISNUMBER('Data'!$F$9429),'Data'!$F$9429&lt;&gt;999,'Data'!$F$9429&lt;&gt;""),'Data'!$F$9429,"")</f>
        <v/>
      </c>
      <c r="Z9428" t="n">
        <v>1</v>
      </c>
      <c r="AA9428">
        <f>IF(ISNUMBER('IN-CLASS_Lab Part C'!$J$9428),'IN-CLASS_Lab Part C'!$J$9428,NA())</f>
        <v/>
      </c>
    </row>
    <row r="9429">
      <c r="J9429">
        <f>IF(AND(ISNUMBER('Data'!$F$9430),'Data'!$F$9430&lt;&gt;999,'Data'!$F$9430&lt;&gt;""),'Data'!$F$9430,"")</f>
        <v/>
      </c>
      <c r="Z9429" t="n">
        <v>1</v>
      </c>
      <c r="AA9429">
        <f>IF(ISNUMBER('IN-CLASS_Lab Part C'!$J$9429),'IN-CLASS_Lab Part C'!$J$9429,NA())</f>
        <v/>
      </c>
    </row>
    <row r="9430">
      <c r="J9430">
        <f>IF(AND(ISNUMBER('Data'!$F$9431),'Data'!$F$9431&lt;&gt;999,'Data'!$F$9431&lt;&gt;""),'Data'!$F$9431,"")</f>
        <v/>
      </c>
      <c r="Z9430" t="n">
        <v>1</v>
      </c>
      <c r="AA9430">
        <f>IF(ISNUMBER('IN-CLASS_Lab Part C'!$J$9430),'IN-CLASS_Lab Part C'!$J$9430,NA())</f>
        <v/>
      </c>
    </row>
    <row r="9431">
      <c r="J9431">
        <f>IF(AND(ISNUMBER('Data'!$F$9432),'Data'!$F$9432&lt;&gt;999,'Data'!$F$9432&lt;&gt;""),'Data'!$F$9432,"")</f>
        <v/>
      </c>
      <c r="Z9431" t="n">
        <v>1</v>
      </c>
      <c r="AA9431">
        <f>IF(ISNUMBER('IN-CLASS_Lab Part C'!$J$9431),'IN-CLASS_Lab Part C'!$J$9431,NA())</f>
        <v/>
      </c>
    </row>
    <row r="9432">
      <c r="J9432">
        <f>IF(AND(ISNUMBER('Data'!$F$9433),'Data'!$F$9433&lt;&gt;999,'Data'!$F$9433&lt;&gt;""),'Data'!$F$9433,"")</f>
        <v/>
      </c>
      <c r="Z9432" t="n">
        <v>1</v>
      </c>
      <c r="AA9432">
        <f>IF(ISNUMBER('IN-CLASS_Lab Part C'!$J$9432),'IN-CLASS_Lab Part C'!$J$9432,NA())</f>
        <v/>
      </c>
    </row>
    <row r="9433">
      <c r="J9433">
        <f>IF(AND(ISNUMBER('Data'!$F$9434),'Data'!$F$9434&lt;&gt;999,'Data'!$F$9434&lt;&gt;""),'Data'!$F$9434,"")</f>
        <v/>
      </c>
      <c r="Z9433" t="n">
        <v>1</v>
      </c>
      <c r="AA9433">
        <f>IF(ISNUMBER('IN-CLASS_Lab Part C'!$J$9433),'IN-CLASS_Lab Part C'!$J$9433,NA())</f>
        <v/>
      </c>
    </row>
    <row r="9434">
      <c r="J9434">
        <f>IF(AND(ISNUMBER('Data'!$F$9435),'Data'!$F$9435&lt;&gt;999,'Data'!$F$9435&lt;&gt;""),'Data'!$F$9435,"")</f>
        <v/>
      </c>
      <c r="Z9434" t="n">
        <v>1</v>
      </c>
      <c r="AA9434">
        <f>IF(ISNUMBER('IN-CLASS_Lab Part C'!$J$9434),'IN-CLASS_Lab Part C'!$J$9434,NA())</f>
        <v/>
      </c>
    </row>
    <row r="9435">
      <c r="J9435">
        <f>IF(AND(ISNUMBER('Data'!$F$9436),'Data'!$F$9436&lt;&gt;999,'Data'!$F$9436&lt;&gt;""),'Data'!$F$9436,"")</f>
        <v/>
      </c>
      <c r="Z9435" t="n">
        <v>1</v>
      </c>
      <c r="AA9435">
        <f>IF(ISNUMBER('IN-CLASS_Lab Part C'!$J$9435),'IN-CLASS_Lab Part C'!$J$9435,NA())</f>
        <v/>
      </c>
    </row>
    <row r="9436">
      <c r="J9436">
        <f>IF(AND(ISNUMBER('Data'!$F$9437),'Data'!$F$9437&lt;&gt;999,'Data'!$F$9437&lt;&gt;""),'Data'!$F$9437,"")</f>
        <v/>
      </c>
      <c r="Z9436" t="n">
        <v>1</v>
      </c>
      <c r="AA9436">
        <f>IF(ISNUMBER('IN-CLASS_Lab Part C'!$J$9436),'IN-CLASS_Lab Part C'!$J$9436,NA())</f>
        <v/>
      </c>
    </row>
    <row r="9437">
      <c r="J9437">
        <f>IF(AND(ISNUMBER('Data'!$F$9438),'Data'!$F$9438&lt;&gt;999,'Data'!$F$9438&lt;&gt;""),'Data'!$F$9438,"")</f>
        <v/>
      </c>
      <c r="Z9437" t="n">
        <v>1</v>
      </c>
      <c r="AA9437">
        <f>IF(ISNUMBER('IN-CLASS_Lab Part C'!$J$9437),'IN-CLASS_Lab Part C'!$J$9437,NA())</f>
        <v/>
      </c>
    </row>
    <row r="9438">
      <c r="J9438">
        <f>IF(AND(ISNUMBER('Data'!$F$9439),'Data'!$F$9439&lt;&gt;999,'Data'!$F$9439&lt;&gt;""),'Data'!$F$9439,"")</f>
        <v/>
      </c>
      <c r="Z9438" t="n">
        <v>1</v>
      </c>
      <c r="AA9438">
        <f>IF(ISNUMBER('IN-CLASS_Lab Part C'!$J$9438),'IN-CLASS_Lab Part C'!$J$9438,NA())</f>
        <v/>
      </c>
    </row>
    <row r="9439">
      <c r="J9439">
        <f>IF(AND(ISNUMBER('Data'!$F$9440),'Data'!$F$9440&lt;&gt;999,'Data'!$F$9440&lt;&gt;""),'Data'!$F$9440,"")</f>
        <v/>
      </c>
      <c r="Z9439" t="n">
        <v>1</v>
      </c>
      <c r="AA9439">
        <f>IF(ISNUMBER('IN-CLASS_Lab Part C'!$J$9439),'IN-CLASS_Lab Part C'!$J$9439,NA())</f>
        <v/>
      </c>
    </row>
    <row r="9440">
      <c r="J9440">
        <f>IF(AND(ISNUMBER('Data'!$F$9441),'Data'!$F$9441&lt;&gt;999,'Data'!$F$9441&lt;&gt;""),'Data'!$F$9441,"")</f>
        <v/>
      </c>
      <c r="Z9440" t="n">
        <v>1</v>
      </c>
      <c r="AA9440">
        <f>IF(ISNUMBER('IN-CLASS_Lab Part C'!$J$9440),'IN-CLASS_Lab Part C'!$J$9440,NA())</f>
        <v/>
      </c>
    </row>
    <row r="9441">
      <c r="J9441">
        <f>IF(AND(ISNUMBER('Data'!$F$9442),'Data'!$F$9442&lt;&gt;999,'Data'!$F$9442&lt;&gt;""),'Data'!$F$9442,"")</f>
        <v/>
      </c>
      <c r="Z9441" t="n">
        <v>1</v>
      </c>
      <c r="AA9441">
        <f>IF(ISNUMBER('IN-CLASS_Lab Part C'!$J$9441),'IN-CLASS_Lab Part C'!$J$9441,NA())</f>
        <v/>
      </c>
    </row>
    <row r="9442">
      <c r="J9442">
        <f>IF(AND(ISNUMBER('Data'!$F$9443),'Data'!$F$9443&lt;&gt;999,'Data'!$F$9443&lt;&gt;""),'Data'!$F$9443,"")</f>
        <v/>
      </c>
      <c r="Z9442" t="n">
        <v>1</v>
      </c>
      <c r="AA9442">
        <f>IF(ISNUMBER('IN-CLASS_Lab Part C'!$J$9442),'IN-CLASS_Lab Part C'!$J$9442,NA())</f>
        <v/>
      </c>
    </row>
    <row r="9443">
      <c r="J9443">
        <f>IF(AND(ISNUMBER('Data'!$F$9444),'Data'!$F$9444&lt;&gt;999,'Data'!$F$9444&lt;&gt;""),'Data'!$F$9444,"")</f>
        <v/>
      </c>
      <c r="Z9443" t="n">
        <v>1</v>
      </c>
      <c r="AA9443">
        <f>IF(ISNUMBER('IN-CLASS_Lab Part C'!$J$9443),'IN-CLASS_Lab Part C'!$J$9443,NA())</f>
        <v/>
      </c>
    </row>
    <row r="9444">
      <c r="J9444">
        <f>IF(AND(ISNUMBER('Data'!$F$9445),'Data'!$F$9445&lt;&gt;999,'Data'!$F$9445&lt;&gt;""),'Data'!$F$9445,"")</f>
        <v/>
      </c>
      <c r="Z9444" t="n">
        <v>1</v>
      </c>
      <c r="AA9444">
        <f>IF(ISNUMBER('IN-CLASS_Lab Part C'!$J$9444),'IN-CLASS_Lab Part C'!$J$9444,NA())</f>
        <v/>
      </c>
    </row>
    <row r="9445">
      <c r="J9445">
        <f>IF(AND(ISNUMBER('Data'!$F$9446),'Data'!$F$9446&lt;&gt;999,'Data'!$F$9446&lt;&gt;""),'Data'!$F$9446,"")</f>
        <v/>
      </c>
      <c r="Z9445" t="n">
        <v>1</v>
      </c>
      <c r="AA9445">
        <f>IF(ISNUMBER('IN-CLASS_Lab Part C'!$J$9445),'IN-CLASS_Lab Part C'!$J$9445,NA())</f>
        <v/>
      </c>
    </row>
    <row r="9446">
      <c r="J9446">
        <f>IF(AND(ISNUMBER('Data'!$F$9447),'Data'!$F$9447&lt;&gt;999,'Data'!$F$9447&lt;&gt;""),'Data'!$F$9447,"")</f>
        <v/>
      </c>
      <c r="Z9446" t="n">
        <v>1</v>
      </c>
      <c r="AA9446">
        <f>IF(ISNUMBER('IN-CLASS_Lab Part C'!$J$9446),'IN-CLASS_Lab Part C'!$J$9446,NA())</f>
        <v/>
      </c>
    </row>
    <row r="9447">
      <c r="J9447">
        <f>IF(AND(ISNUMBER('Data'!$F$9448),'Data'!$F$9448&lt;&gt;999,'Data'!$F$9448&lt;&gt;""),'Data'!$F$9448,"")</f>
        <v/>
      </c>
      <c r="Z9447" t="n">
        <v>1</v>
      </c>
      <c r="AA9447">
        <f>IF(ISNUMBER('IN-CLASS_Lab Part C'!$J$9447),'IN-CLASS_Lab Part C'!$J$9447,NA())</f>
        <v/>
      </c>
    </row>
    <row r="9448">
      <c r="J9448">
        <f>IF(AND(ISNUMBER('Data'!$F$9449),'Data'!$F$9449&lt;&gt;999,'Data'!$F$9449&lt;&gt;""),'Data'!$F$9449,"")</f>
        <v/>
      </c>
      <c r="Z9448" t="n">
        <v>1</v>
      </c>
      <c r="AA9448">
        <f>IF(ISNUMBER('IN-CLASS_Lab Part C'!$J$9448),'IN-CLASS_Lab Part C'!$J$9448,NA())</f>
        <v/>
      </c>
    </row>
    <row r="9449">
      <c r="J9449">
        <f>IF(AND(ISNUMBER('Data'!$F$9450),'Data'!$F$9450&lt;&gt;999,'Data'!$F$9450&lt;&gt;""),'Data'!$F$9450,"")</f>
        <v/>
      </c>
      <c r="Z9449" t="n">
        <v>1</v>
      </c>
      <c r="AA9449">
        <f>IF(ISNUMBER('IN-CLASS_Lab Part C'!$J$9449),'IN-CLASS_Lab Part C'!$J$9449,NA())</f>
        <v/>
      </c>
    </row>
    <row r="9450">
      <c r="J9450">
        <f>IF(AND(ISNUMBER('Data'!$F$9451),'Data'!$F$9451&lt;&gt;999,'Data'!$F$9451&lt;&gt;""),'Data'!$F$9451,"")</f>
        <v/>
      </c>
      <c r="Z9450" t="n">
        <v>1</v>
      </c>
      <c r="AA9450">
        <f>IF(ISNUMBER('IN-CLASS_Lab Part C'!$J$9450),'IN-CLASS_Lab Part C'!$J$9450,NA())</f>
        <v/>
      </c>
    </row>
    <row r="9451">
      <c r="J9451">
        <f>IF(AND(ISNUMBER('Data'!$F$9452),'Data'!$F$9452&lt;&gt;999,'Data'!$F$9452&lt;&gt;""),'Data'!$F$9452,"")</f>
        <v/>
      </c>
      <c r="Z9451" t="n">
        <v>1</v>
      </c>
      <c r="AA9451">
        <f>IF(ISNUMBER('IN-CLASS_Lab Part C'!$J$9451),'IN-CLASS_Lab Part C'!$J$9451,NA())</f>
        <v/>
      </c>
    </row>
    <row r="9452">
      <c r="J9452">
        <f>IF(AND(ISNUMBER('Data'!$F$9453),'Data'!$F$9453&lt;&gt;999,'Data'!$F$9453&lt;&gt;""),'Data'!$F$9453,"")</f>
        <v/>
      </c>
      <c r="Z9452" t="n">
        <v>1</v>
      </c>
      <c r="AA9452">
        <f>IF(ISNUMBER('IN-CLASS_Lab Part C'!$J$9452),'IN-CLASS_Lab Part C'!$J$9452,NA())</f>
        <v/>
      </c>
    </row>
    <row r="9453">
      <c r="J9453">
        <f>IF(AND(ISNUMBER('Data'!$F$9454),'Data'!$F$9454&lt;&gt;999,'Data'!$F$9454&lt;&gt;""),'Data'!$F$9454,"")</f>
        <v/>
      </c>
      <c r="Z9453" t="n">
        <v>1</v>
      </c>
      <c r="AA9453">
        <f>IF(ISNUMBER('IN-CLASS_Lab Part C'!$J$9453),'IN-CLASS_Lab Part C'!$J$9453,NA())</f>
        <v/>
      </c>
    </row>
    <row r="9454">
      <c r="J9454">
        <f>IF(AND(ISNUMBER('Data'!$F$9455),'Data'!$F$9455&lt;&gt;999,'Data'!$F$9455&lt;&gt;""),'Data'!$F$9455,"")</f>
        <v/>
      </c>
      <c r="Z9454" t="n">
        <v>1</v>
      </c>
      <c r="AA9454">
        <f>IF(ISNUMBER('IN-CLASS_Lab Part C'!$J$9454),'IN-CLASS_Lab Part C'!$J$9454,NA())</f>
        <v/>
      </c>
    </row>
    <row r="9455">
      <c r="J9455">
        <f>IF(AND(ISNUMBER('Data'!$F$9456),'Data'!$F$9456&lt;&gt;999,'Data'!$F$9456&lt;&gt;""),'Data'!$F$9456,"")</f>
        <v/>
      </c>
      <c r="Z9455" t="n">
        <v>1</v>
      </c>
      <c r="AA9455">
        <f>IF(ISNUMBER('IN-CLASS_Lab Part C'!$J$9455),'IN-CLASS_Lab Part C'!$J$9455,NA())</f>
        <v/>
      </c>
    </row>
    <row r="9456">
      <c r="J9456">
        <f>IF(AND(ISNUMBER('Data'!$F$9457),'Data'!$F$9457&lt;&gt;999,'Data'!$F$9457&lt;&gt;""),'Data'!$F$9457,"")</f>
        <v/>
      </c>
      <c r="Z9456" t="n">
        <v>1</v>
      </c>
      <c r="AA9456">
        <f>IF(ISNUMBER('IN-CLASS_Lab Part C'!$J$9456),'IN-CLASS_Lab Part C'!$J$9456,NA())</f>
        <v/>
      </c>
    </row>
    <row r="9457">
      <c r="J9457">
        <f>IF(AND(ISNUMBER('Data'!$F$9458),'Data'!$F$9458&lt;&gt;999,'Data'!$F$9458&lt;&gt;""),'Data'!$F$9458,"")</f>
        <v/>
      </c>
      <c r="Z9457" t="n">
        <v>1</v>
      </c>
      <c r="AA9457">
        <f>IF(ISNUMBER('IN-CLASS_Lab Part C'!$J$9457),'IN-CLASS_Lab Part C'!$J$9457,NA())</f>
        <v/>
      </c>
    </row>
    <row r="9458">
      <c r="J9458">
        <f>IF(AND(ISNUMBER('Data'!$F$9459),'Data'!$F$9459&lt;&gt;999,'Data'!$F$9459&lt;&gt;""),'Data'!$F$9459,"")</f>
        <v/>
      </c>
      <c r="Z9458" t="n">
        <v>1</v>
      </c>
      <c r="AA9458">
        <f>IF(ISNUMBER('IN-CLASS_Lab Part C'!$J$9458),'IN-CLASS_Lab Part C'!$J$9458,NA())</f>
        <v/>
      </c>
    </row>
    <row r="9459">
      <c r="J9459">
        <f>IF(AND(ISNUMBER('Data'!$F$9460),'Data'!$F$9460&lt;&gt;999,'Data'!$F$9460&lt;&gt;""),'Data'!$F$9460,"")</f>
        <v/>
      </c>
      <c r="Z9459" t="n">
        <v>1</v>
      </c>
      <c r="AA9459">
        <f>IF(ISNUMBER('IN-CLASS_Lab Part C'!$J$9459),'IN-CLASS_Lab Part C'!$J$9459,NA())</f>
        <v/>
      </c>
    </row>
    <row r="9460">
      <c r="J9460">
        <f>IF(AND(ISNUMBER('Data'!$F$9461),'Data'!$F$9461&lt;&gt;999,'Data'!$F$9461&lt;&gt;""),'Data'!$F$9461,"")</f>
        <v/>
      </c>
      <c r="Z9460" t="n">
        <v>1</v>
      </c>
      <c r="AA9460">
        <f>IF(ISNUMBER('IN-CLASS_Lab Part C'!$J$9460),'IN-CLASS_Lab Part C'!$J$9460,NA())</f>
        <v/>
      </c>
    </row>
    <row r="9461">
      <c r="J9461">
        <f>IF(AND(ISNUMBER('Data'!$F$9462),'Data'!$F$9462&lt;&gt;999,'Data'!$F$9462&lt;&gt;""),'Data'!$F$9462,"")</f>
        <v/>
      </c>
      <c r="Z9461" t="n">
        <v>1</v>
      </c>
      <c r="AA9461">
        <f>IF(ISNUMBER('IN-CLASS_Lab Part C'!$J$9461),'IN-CLASS_Lab Part C'!$J$9461,NA())</f>
        <v/>
      </c>
    </row>
    <row r="9462">
      <c r="J9462">
        <f>IF(AND(ISNUMBER('Data'!$F$9463),'Data'!$F$9463&lt;&gt;999,'Data'!$F$9463&lt;&gt;""),'Data'!$F$9463,"")</f>
        <v/>
      </c>
      <c r="Z9462" t="n">
        <v>1</v>
      </c>
      <c r="AA9462">
        <f>IF(ISNUMBER('IN-CLASS_Lab Part C'!$J$9462),'IN-CLASS_Lab Part C'!$J$9462,NA())</f>
        <v/>
      </c>
    </row>
    <row r="9463">
      <c r="J9463">
        <f>IF(AND(ISNUMBER('Data'!$F$9464),'Data'!$F$9464&lt;&gt;999,'Data'!$F$9464&lt;&gt;""),'Data'!$F$9464,"")</f>
        <v/>
      </c>
      <c r="Z9463" t="n">
        <v>1</v>
      </c>
      <c r="AA9463">
        <f>IF(ISNUMBER('IN-CLASS_Lab Part C'!$J$9463),'IN-CLASS_Lab Part C'!$J$9463,NA())</f>
        <v/>
      </c>
    </row>
    <row r="9464">
      <c r="J9464">
        <f>IF(AND(ISNUMBER('Data'!$F$9465),'Data'!$F$9465&lt;&gt;999,'Data'!$F$9465&lt;&gt;""),'Data'!$F$9465,"")</f>
        <v/>
      </c>
      <c r="Z9464" t="n">
        <v>1</v>
      </c>
      <c r="AA9464">
        <f>IF(ISNUMBER('IN-CLASS_Lab Part C'!$J$9464),'IN-CLASS_Lab Part C'!$J$9464,NA())</f>
        <v/>
      </c>
    </row>
    <row r="9465">
      <c r="J9465">
        <f>IF(AND(ISNUMBER('Data'!$F$9466),'Data'!$F$9466&lt;&gt;999,'Data'!$F$9466&lt;&gt;""),'Data'!$F$9466,"")</f>
        <v/>
      </c>
      <c r="Z9465" t="n">
        <v>1</v>
      </c>
      <c r="AA9465">
        <f>IF(ISNUMBER('IN-CLASS_Lab Part C'!$J$9465),'IN-CLASS_Lab Part C'!$J$9465,NA())</f>
        <v/>
      </c>
    </row>
    <row r="9466">
      <c r="J9466">
        <f>IF(AND(ISNUMBER('Data'!$F$9467),'Data'!$F$9467&lt;&gt;999,'Data'!$F$9467&lt;&gt;""),'Data'!$F$9467,"")</f>
        <v/>
      </c>
      <c r="Z9466" t="n">
        <v>1</v>
      </c>
      <c r="AA9466">
        <f>IF(ISNUMBER('IN-CLASS_Lab Part C'!$J$9466),'IN-CLASS_Lab Part C'!$J$9466,NA())</f>
        <v/>
      </c>
    </row>
    <row r="9467">
      <c r="J9467">
        <f>IF(AND(ISNUMBER('Data'!$F$9468),'Data'!$F$9468&lt;&gt;999,'Data'!$F$9468&lt;&gt;""),'Data'!$F$9468,"")</f>
        <v/>
      </c>
      <c r="Z9467" t="n">
        <v>1</v>
      </c>
      <c r="AA9467">
        <f>IF(ISNUMBER('IN-CLASS_Lab Part C'!$J$9467),'IN-CLASS_Lab Part C'!$J$9467,NA())</f>
        <v/>
      </c>
    </row>
    <row r="9468">
      <c r="J9468">
        <f>IF(AND(ISNUMBER('Data'!$F$9469),'Data'!$F$9469&lt;&gt;999,'Data'!$F$9469&lt;&gt;""),'Data'!$F$9469,"")</f>
        <v/>
      </c>
      <c r="Z9468" t="n">
        <v>1</v>
      </c>
      <c r="AA9468">
        <f>IF(ISNUMBER('IN-CLASS_Lab Part C'!$J$9468),'IN-CLASS_Lab Part C'!$J$9468,NA())</f>
        <v/>
      </c>
    </row>
    <row r="9469">
      <c r="J9469">
        <f>IF(AND(ISNUMBER('Data'!$F$9470),'Data'!$F$9470&lt;&gt;999,'Data'!$F$9470&lt;&gt;""),'Data'!$F$9470,"")</f>
        <v/>
      </c>
      <c r="Z9469" t="n">
        <v>1</v>
      </c>
      <c r="AA9469">
        <f>IF(ISNUMBER('IN-CLASS_Lab Part C'!$J$9469),'IN-CLASS_Lab Part C'!$J$9469,NA())</f>
        <v/>
      </c>
    </row>
    <row r="9470">
      <c r="J9470">
        <f>IF(AND(ISNUMBER('Data'!$F$9471),'Data'!$F$9471&lt;&gt;999,'Data'!$F$9471&lt;&gt;""),'Data'!$F$9471,"")</f>
        <v/>
      </c>
      <c r="Z9470" t="n">
        <v>1</v>
      </c>
      <c r="AA9470">
        <f>IF(ISNUMBER('IN-CLASS_Lab Part C'!$J$9470),'IN-CLASS_Lab Part C'!$J$9470,NA())</f>
        <v/>
      </c>
    </row>
    <row r="9471">
      <c r="J9471">
        <f>IF(AND(ISNUMBER('Data'!$F$9472),'Data'!$F$9472&lt;&gt;999,'Data'!$F$9472&lt;&gt;""),'Data'!$F$9472,"")</f>
        <v/>
      </c>
      <c r="Z9471" t="n">
        <v>1</v>
      </c>
      <c r="AA9471">
        <f>IF(ISNUMBER('IN-CLASS_Lab Part C'!$J$9471),'IN-CLASS_Lab Part C'!$J$9471,NA())</f>
        <v/>
      </c>
    </row>
    <row r="9472">
      <c r="J9472">
        <f>IF(AND(ISNUMBER('Data'!$F$9473),'Data'!$F$9473&lt;&gt;999,'Data'!$F$9473&lt;&gt;""),'Data'!$F$9473,"")</f>
        <v/>
      </c>
      <c r="Z9472" t="n">
        <v>1</v>
      </c>
      <c r="AA9472">
        <f>IF(ISNUMBER('IN-CLASS_Lab Part C'!$J$9472),'IN-CLASS_Lab Part C'!$J$9472,NA())</f>
        <v/>
      </c>
    </row>
    <row r="9473">
      <c r="J9473">
        <f>IF(AND(ISNUMBER('Data'!$F$9474),'Data'!$F$9474&lt;&gt;999,'Data'!$F$9474&lt;&gt;""),'Data'!$F$9474,"")</f>
        <v/>
      </c>
      <c r="Z9473" t="n">
        <v>1</v>
      </c>
      <c r="AA9473">
        <f>IF(ISNUMBER('IN-CLASS_Lab Part C'!$J$9473),'IN-CLASS_Lab Part C'!$J$9473,NA())</f>
        <v/>
      </c>
    </row>
    <row r="9474">
      <c r="J9474">
        <f>IF(AND(ISNUMBER('Data'!$F$9475),'Data'!$F$9475&lt;&gt;999,'Data'!$F$9475&lt;&gt;""),'Data'!$F$9475,"")</f>
        <v/>
      </c>
      <c r="Z9474" t="n">
        <v>1</v>
      </c>
      <c r="AA9474">
        <f>IF(ISNUMBER('IN-CLASS_Lab Part C'!$J$9474),'IN-CLASS_Lab Part C'!$J$9474,NA())</f>
        <v/>
      </c>
    </row>
    <row r="9475">
      <c r="J9475">
        <f>IF(AND(ISNUMBER('Data'!$F$9476),'Data'!$F$9476&lt;&gt;999,'Data'!$F$9476&lt;&gt;""),'Data'!$F$9476,"")</f>
        <v/>
      </c>
      <c r="Z9475" t="n">
        <v>1</v>
      </c>
      <c r="AA9475">
        <f>IF(ISNUMBER('IN-CLASS_Lab Part C'!$J$9475),'IN-CLASS_Lab Part C'!$J$9475,NA())</f>
        <v/>
      </c>
    </row>
    <row r="9476">
      <c r="J9476">
        <f>IF(AND(ISNUMBER('Data'!$F$9477),'Data'!$F$9477&lt;&gt;999,'Data'!$F$9477&lt;&gt;""),'Data'!$F$9477,"")</f>
        <v/>
      </c>
      <c r="Z9476" t="n">
        <v>1</v>
      </c>
      <c r="AA9476">
        <f>IF(ISNUMBER('IN-CLASS_Lab Part C'!$J$9476),'IN-CLASS_Lab Part C'!$J$9476,NA())</f>
        <v/>
      </c>
    </row>
    <row r="9477">
      <c r="J9477">
        <f>IF(AND(ISNUMBER('Data'!$F$9478),'Data'!$F$9478&lt;&gt;999,'Data'!$F$9478&lt;&gt;""),'Data'!$F$9478,"")</f>
        <v/>
      </c>
      <c r="Z9477" t="n">
        <v>1</v>
      </c>
      <c r="AA9477">
        <f>IF(ISNUMBER('IN-CLASS_Lab Part C'!$J$9477),'IN-CLASS_Lab Part C'!$J$9477,NA())</f>
        <v/>
      </c>
    </row>
    <row r="9478">
      <c r="J9478">
        <f>IF(AND(ISNUMBER('Data'!$F$9479),'Data'!$F$9479&lt;&gt;999,'Data'!$F$9479&lt;&gt;""),'Data'!$F$9479,"")</f>
        <v/>
      </c>
      <c r="Z9478" t="n">
        <v>1</v>
      </c>
      <c r="AA9478">
        <f>IF(ISNUMBER('IN-CLASS_Lab Part C'!$J$9478),'IN-CLASS_Lab Part C'!$J$9478,NA())</f>
        <v/>
      </c>
    </row>
    <row r="9479">
      <c r="J9479">
        <f>IF(AND(ISNUMBER('Data'!$F$9480),'Data'!$F$9480&lt;&gt;999,'Data'!$F$9480&lt;&gt;""),'Data'!$F$9480,"")</f>
        <v/>
      </c>
      <c r="Z9479" t="n">
        <v>1</v>
      </c>
      <c r="AA9479">
        <f>IF(ISNUMBER('IN-CLASS_Lab Part C'!$J$9479),'IN-CLASS_Lab Part C'!$J$9479,NA())</f>
        <v/>
      </c>
    </row>
    <row r="9480">
      <c r="J9480">
        <f>IF(AND(ISNUMBER('Data'!$F$9481),'Data'!$F$9481&lt;&gt;999,'Data'!$F$9481&lt;&gt;""),'Data'!$F$9481,"")</f>
        <v/>
      </c>
      <c r="Z9480" t="n">
        <v>1</v>
      </c>
      <c r="AA9480">
        <f>IF(ISNUMBER('IN-CLASS_Lab Part C'!$J$9480),'IN-CLASS_Lab Part C'!$J$9480,NA())</f>
        <v/>
      </c>
    </row>
    <row r="9481">
      <c r="J9481">
        <f>IF(AND(ISNUMBER('Data'!$F$9482),'Data'!$F$9482&lt;&gt;999,'Data'!$F$9482&lt;&gt;""),'Data'!$F$9482,"")</f>
        <v/>
      </c>
      <c r="Z9481" t="n">
        <v>1</v>
      </c>
      <c r="AA9481">
        <f>IF(ISNUMBER('IN-CLASS_Lab Part C'!$J$9481),'IN-CLASS_Lab Part C'!$J$9481,NA())</f>
        <v/>
      </c>
    </row>
    <row r="9482">
      <c r="J9482">
        <f>IF(AND(ISNUMBER('Data'!$F$9483),'Data'!$F$9483&lt;&gt;999,'Data'!$F$9483&lt;&gt;""),'Data'!$F$9483,"")</f>
        <v/>
      </c>
      <c r="Z9482" t="n">
        <v>1</v>
      </c>
      <c r="AA9482">
        <f>IF(ISNUMBER('IN-CLASS_Lab Part C'!$J$9482),'IN-CLASS_Lab Part C'!$J$9482,NA())</f>
        <v/>
      </c>
    </row>
    <row r="9483">
      <c r="J9483">
        <f>IF(AND(ISNUMBER('Data'!$F$9484),'Data'!$F$9484&lt;&gt;999,'Data'!$F$9484&lt;&gt;""),'Data'!$F$9484,"")</f>
        <v/>
      </c>
      <c r="Z9483" t="n">
        <v>1</v>
      </c>
      <c r="AA9483">
        <f>IF(ISNUMBER('IN-CLASS_Lab Part C'!$J$9483),'IN-CLASS_Lab Part C'!$J$9483,NA())</f>
        <v/>
      </c>
    </row>
    <row r="9484">
      <c r="J9484">
        <f>IF(AND(ISNUMBER('Data'!$F$9485),'Data'!$F$9485&lt;&gt;999,'Data'!$F$9485&lt;&gt;""),'Data'!$F$9485,"")</f>
        <v/>
      </c>
      <c r="Z9484" t="n">
        <v>1</v>
      </c>
      <c r="AA9484">
        <f>IF(ISNUMBER('IN-CLASS_Lab Part C'!$J$9484),'IN-CLASS_Lab Part C'!$J$9484,NA())</f>
        <v/>
      </c>
    </row>
    <row r="9485">
      <c r="J9485">
        <f>IF(AND(ISNUMBER('Data'!$F$9486),'Data'!$F$9486&lt;&gt;999,'Data'!$F$9486&lt;&gt;""),'Data'!$F$9486,"")</f>
        <v/>
      </c>
      <c r="Z9485" t="n">
        <v>1</v>
      </c>
      <c r="AA9485">
        <f>IF(ISNUMBER('IN-CLASS_Lab Part C'!$J$9485),'IN-CLASS_Lab Part C'!$J$9485,NA())</f>
        <v/>
      </c>
    </row>
    <row r="9486">
      <c r="J9486">
        <f>IF(AND(ISNUMBER('Data'!$F$9487),'Data'!$F$9487&lt;&gt;999,'Data'!$F$9487&lt;&gt;""),'Data'!$F$9487,"")</f>
        <v/>
      </c>
      <c r="Z9486" t="n">
        <v>1</v>
      </c>
      <c r="AA9486">
        <f>IF(ISNUMBER('IN-CLASS_Lab Part C'!$J$9486),'IN-CLASS_Lab Part C'!$J$9486,NA())</f>
        <v/>
      </c>
    </row>
    <row r="9487">
      <c r="J9487">
        <f>IF(AND(ISNUMBER('Data'!$F$9488),'Data'!$F$9488&lt;&gt;999,'Data'!$F$9488&lt;&gt;""),'Data'!$F$9488,"")</f>
        <v/>
      </c>
      <c r="Z9487" t="n">
        <v>1</v>
      </c>
      <c r="AA9487">
        <f>IF(ISNUMBER('IN-CLASS_Lab Part C'!$J$9487),'IN-CLASS_Lab Part C'!$J$9487,NA())</f>
        <v/>
      </c>
    </row>
    <row r="9488">
      <c r="J9488">
        <f>IF(AND(ISNUMBER('Data'!$F$9489),'Data'!$F$9489&lt;&gt;999,'Data'!$F$9489&lt;&gt;""),'Data'!$F$9489,"")</f>
        <v/>
      </c>
      <c r="Z9488" t="n">
        <v>1</v>
      </c>
      <c r="AA9488">
        <f>IF(ISNUMBER('IN-CLASS_Lab Part C'!$J$9488),'IN-CLASS_Lab Part C'!$J$9488,NA())</f>
        <v/>
      </c>
    </row>
    <row r="9489">
      <c r="J9489">
        <f>IF(AND(ISNUMBER('Data'!$F$9490),'Data'!$F$9490&lt;&gt;999,'Data'!$F$9490&lt;&gt;""),'Data'!$F$9490,"")</f>
        <v/>
      </c>
      <c r="Z9489" t="n">
        <v>1</v>
      </c>
      <c r="AA9489">
        <f>IF(ISNUMBER('IN-CLASS_Lab Part C'!$J$9489),'IN-CLASS_Lab Part C'!$J$9489,NA())</f>
        <v/>
      </c>
    </row>
    <row r="9490">
      <c r="J9490">
        <f>IF(AND(ISNUMBER('Data'!$F$9491),'Data'!$F$9491&lt;&gt;999,'Data'!$F$9491&lt;&gt;""),'Data'!$F$9491,"")</f>
        <v/>
      </c>
      <c r="Z9490" t="n">
        <v>1</v>
      </c>
      <c r="AA9490">
        <f>IF(ISNUMBER('IN-CLASS_Lab Part C'!$J$9490),'IN-CLASS_Lab Part C'!$J$9490,NA())</f>
        <v/>
      </c>
    </row>
    <row r="9491">
      <c r="J9491">
        <f>IF(AND(ISNUMBER('Data'!$F$9492),'Data'!$F$9492&lt;&gt;999,'Data'!$F$9492&lt;&gt;""),'Data'!$F$9492,"")</f>
        <v/>
      </c>
      <c r="Z9491" t="n">
        <v>1</v>
      </c>
      <c r="AA9491">
        <f>IF(ISNUMBER('IN-CLASS_Lab Part C'!$J$9491),'IN-CLASS_Lab Part C'!$J$9491,NA())</f>
        <v/>
      </c>
    </row>
    <row r="9492">
      <c r="J9492">
        <f>IF(AND(ISNUMBER('Data'!$F$9493),'Data'!$F$9493&lt;&gt;999,'Data'!$F$9493&lt;&gt;""),'Data'!$F$9493,"")</f>
        <v/>
      </c>
      <c r="Z9492" t="n">
        <v>1</v>
      </c>
      <c r="AA9492">
        <f>IF(ISNUMBER('IN-CLASS_Lab Part C'!$J$9492),'IN-CLASS_Lab Part C'!$J$9492,NA())</f>
        <v/>
      </c>
    </row>
    <row r="9493">
      <c r="J9493">
        <f>IF(AND(ISNUMBER('Data'!$F$9494),'Data'!$F$9494&lt;&gt;999,'Data'!$F$9494&lt;&gt;""),'Data'!$F$9494,"")</f>
        <v/>
      </c>
      <c r="Z9493" t="n">
        <v>1</v>
      </c>
      <c r="AA9493">
        <f>IF(ISNUMBER('IN-CLASS_Lab Part C'!$J$9493),'IN-CLASS_Lab Part C'!$J$9493,NA())</f>
        <v/>
      </c>
    </row>
    <row r="9494">
      <c r="J9494">
        <f>IF(AND(ISNUMBER('Data'!$F$9495),'Data'!$F$9495&lt;&gt;999,'Data'!$F$9495&lt;&gt;""),'Data'!$F$9495,"")</f>
        <v/>
      </c>
      <c r="Z9494" t="n">
        <v>1</v>
      </c>
      <c r="AA9494">
        <f>IF(ISNUMBER('IN-CLASS_Lab Part C'!$J$9494),'IN-CLASS_Lab Part C'!$J$9494,NA())</f>
        <v/>
      </c>
    </row>
    <row r="9495">
      <c r="J9495">
        <f>IF(AND(ISNUMBER('Data'!$F$9496),'Data'!$F$9496&lt;&gt;999,'Data'!$F$9496&lt;&gt;""),'Data'!$F$9496,"")</f>
        <v/>
      </c>
      <c r="Z9495" t="n">
        <v>1</v>
      </c>
      <c r="AA9495">
        <f>IF(ISNUMBER('IN-CLASS_Lab Part C'!$J$9495),'IN-CLASS_Lab Part C'!$J$9495,NA())</f>
        <v/>
      </c>
    </row>
    <row r="9496">
      <c r="J9496">
        <f>IF(AND(ISNUMBER('Data'!$F$9497),'Data'!$F$9497&lt;&gt;999,'Data'!$F$9497&lt;&gt;""),'Data'!$F$9497,"")</f>
        <v/>
      </c>
      <c r="Z9496" t="n">
        <v>1</v>
      </c>
      <c r="AA9496">
        <f>IF(ISNUMBER('IN-CLASS_Lab Part C'!$J$9496),'IN-CLASS_Lab Part C'!$J$9496,NA())</f>
        <v/>
      </c>
    </row>
    <row r="9497">
      <c r="J9497">
        <f>IF(AND(ISNUMBER('Data'!$F$9498),'Data'!$F$9498&lt;&gt;999,'Data'!$F$9498&lt;&gt;""),'Data'!$F$9498,"")</f>
        <v/>
      </c>
      <c r="Z9497" t="n">
        <v>1</v>
      </c>
      <c r="AA9497">
        <f>IF(ISNUMBER('IN-CLASS_Lab Part C'!$J$9497),'IN-CLASS_Lab Part C'!$J$9497,NA())</f>
        <v/>
      </c>
    </row>
    <row r="9498">
      <c r="J9498">
        <f>IF(AND(ISNUMBER('Data'!$F$9499),'Data'!$F$9499&lt;&gt;999,'Data'!$F$9499&lt;&gt;""),'Data'!$F$9499,"")</f>
        <v/>
      </c>
      <c r="Z9498" t="n">
        <v>1</v>
      </c>
      <c r="AA9498">
        <f>IF(ISNUMBER('IN-CLASS_Lab Part C'!$J$9498),'IN-CLASS_Lab Part C'!$J$9498,NA())</f>
        <v/>
      </c>
    </row>
    <row r="9499">
      <c r="J9499">
        <f>IF(AND(ISNUMBER('Data'!$F$9500),'Data'!$F$9500&lt;&gt;999,'Data'!$F$9500&lt;&gt;""),'Data'!$F$9500,"")</f>
        <v/>
      </c>
      <c r="Z9499" t="n">
        <v>1</v>
      </c>
      <c r="AA9499">
        <f>IF(ISNUMBER('IN-CLASS_Lab Part C'!$J$9499),'IN-CLASS_Lab Part C'!$J$9499,NA())</f>
        <v/>
      </c>
    </row>
    <row r="9500">
      <c r="J9500">
        <f>IF(AND(ISNUMBER('Data'!$F$9501),'Data'!$F$9501&lt;&gt;999,'Data'!$F$9501&lt;&gt;""),'Data'!$F$9501,"")</f>
        <v/>
      </c>
      <c r="Z9500" t="n">
        <v>1</v>
      </c>
      <c r="AA9500">
        <f>IF(ISNUMBER('IN-CLASS_Lab Part C'!$J$9500),'IN-CLASS_Lab Part C'!$J$9500,NA())</f>
        <v/>
      </c>
    </row>
    <row r="9501">
      <c r="J9501">
        <f>IF(AND(ISNUMBER('Data'!$F$9502),'Data'!$F$9502&lt;&gt;999,'Data'!$F$9502&lt;&gt;""),'Data'!$F$9502,"")</f>
        <v/>
      </c>
      <c r="Z9501" t="n">
        <v>1</v>
      </c>
      <c r="AA9501">
        <f>IF(ISNUMBER('IN-CLASS_Lab Part C'!$J$9501),'IN-CLASS_Lab Part C'!$J$9501,NA())</f>
        <v/>
      </c>
    </row>
    <row r="9502">
      <c r="J9502">
        <f>IF(AND(ISNUMBER('Data'!$F$9503),'Data'!$F$9503&lt;&gt;999,'Data'!$F$9503&lt;&gt;""),'Data'!$F$9503,"")</f>
        <v/>
      </c>
      <c r="Z9502" t="n">
        <v>1</v>
      </c>
      <c r="AA9502">
        <f>IF(ISNUMBER('IN-CLASS_Lab Part C'!$J$9502),'IN-CLASS_Lab Part C'!$J$9502,NA())</f>
        <v/>
      </c>
    </row>
    <row r="9503">
      <c r="J9503">
        <f>IF(AND(ISNUMBER('Data'!$F$9504),'Data'!$F$9504&lt;&gt;999,'Data'!$F$9504&lt;&gt;""),'Data'!$F$9504,"")</f>
        <v/>
      </c>
      <c r="Z9503" t="n">
        <v>1</v>
      </c>
      <c r="AA9503">
        <f>IF(ISNUMBER('IN-CLASS_Lab Part C'!$J$9503),'IN-CLASS_Lab Part C'!$J$9503,NA())</f>
        <v/>
      </c>
    </row>
    <row r="9504">
      <c r="J9504">
        <f>IF(AND(ISNUMBER('Data'!$F$9505),'Data'!$F$9505&lt;&gt;999,'Data'!$F$9505&lt;&gt;""),'Data'!$F$9505,"")</f>
        <v/>
      </c>
      <c r="Z9504" t="n">
        <v>1</v>
      </c>
      <c r="AA9504">
        <f>IF(ISNUMBER('IN-CLASS_Lab Part C'!$J$9504),'IN-CLASS_Lab Part C'!$J$9504,NA())</f>
        <v/>
      </c>
    </row>
    <row r="9505">
      <c r="J9505">
        <f>IF(AND(ISNUMBER('Data'!$F$9506),'Data'!$F$9506&lt;&gt;999,'Data'!$F$9506&lt;&gt;""),'Data'!$F$9506,"")</f>
        <v/>
      </c>
      <c r="Z9505" t="n">
        <v>1</v>
      </c>
      <c r="AA9505">
        <f>IF(ISNUMBER('IN-CLASS_Lab Part C'!$J$9505),'IN-CLASS_Lab Part C'!$J$9505,NA())</f>
        <v/>
      </c>
    </row>
    <row r="9506">
      <c r="J9506">
        <f>IF(AND(ISNUMBER('Data'!$F$9507),'Data'!$F$9507&lt;&gt;999,'Data'!$F$9507&lt;&gt;""),'Data'!$F$9507,"")</f>
        <v/>
      </c>
      <c r="Z9506" t="n">
        <v>1</v>
      </c>
      <c r="AA9506">
        <f>IF(ISNUMBER('IN-CLASS_Lab Part C'!$J$9506),'IN-CLASS_Lab Part C'!$J$9506,NA())</f>
        <v/>
      </c>
    </row>
    <row r="9507">
      <c r="J9507">
        <f>IF(AND(ISNUMBER('Data'!$F$9508),'Data'!$F$9508&lt;&gt;999,'Data'!$F$9508&lt;&gt;""),'Data'!$F$9508,"")</f>
        <v/>
      </c>
      <c r="Z9507" t="n">
        <v>1</v>
      </c>
      <c r="AA9507">
        <f>IF(ISNUMBER('IN-CLASS_Lab Part C'!$J$9507),'IN-CLASS_Lab Part C'!$J$9507,NA())</f>
        <v/>
      </c>
    </row>
    <row r="9508">
      <c r="J9508">
        <f>IF(AND(ISNUMBER('Data'!$F$9509),'Data'!$F$9509&lt;&gt;999,'Data'!$F$9509&lt;&gt;""),'Data'!$F$9509,"")</f>
        <v/>
      </c>
      <c r="Z9508" t="n">
        <v>1</v>
      </c>
      <c r="AA9508">
        <f>IF(ISNUMBER('IN-CLASS_Lab Part C'!$J$9508),'IN-CLASS_Lab Part C'!$J$9508,NA())</f>
        <v/>
      </c>
    </row>
    <row r="9509">
      <c r="J9509">
        <f>IF(AND(ISNUMBER('Data'!$F$9510),'Data'!$F$9510&lt;&gt;999,'Data'!$F$9510&lt;&gt;""),'Data'!$F$9510,"")</f>
        <v/>
      </c>
      <c r="Z9509" t="n">
        <v>1</v>
      </c>
      <c r="AA9509">
        <f>IF(ISNUMBER('IN-CLASS_Lab Part C'!$J$9509),'IN-CLASS_Lab Part C'!$J$9509,NA())</f>
        <v/>
      </c>
    </row>
    <row r="9510">
      <c r="J9510">
        <f>IF(AND(ISNUMBER('Data'!$F$9511),'Data'!$F$9511&lt;&gt;999,'Data'!$F$9511&lt;&gt;""),'Data'!$F$9511,"")</f>
        <v/>
      </c>
      <c r="Z9510" t="n">
        <v>1</v>
      </c>
      <c r="AA9510">
        <f>IF(ISNUMBER('IN-CLASS_Lab Part C'!$J$9510),'IN-CLASS_Lab Part C'!$J$9510,NA())</f>
        <v/>
      </c>
    </row>
    <row r="9511">
      <c r="J9511">
        <f>IF(AND(ISNUMBER('Data'!$F$9512),'Data'!$F$9512&lt;&gt;999,'Data'!$F$9512&lt;&gt;""),'Data'!$F$9512,"")</f>
        <v/>
      </c>
      <c r="Z9511" t="n">
        <v>1</v>
      </c>
      <c r="AA9511">
        <f>IF(ISNUMBER('IN-CLASS_Lab Part C'!$J$9511),'IN-CLASS_Lab Part C'!$J$9511,NA())</f>
        <v/>
      </c>
    </row>
    <row r="9512">
      <c r="J9512">
        <f>IF(AND(ISNUMBER('Data'!$F$9513),'Data'!$F$9513&lt;&gt;999,'Data'!$F$9513&lt;&gt;""),'Data'!$F$9513,"")</f>
        <v/>
      </c>
      <c r="Z9512" t="n">
        <v>1</v>
      </c>
      <c r="AA9512">
        <f>IF(ISNUMBER('IN-CLASS_Lab Part C'!$J$9512),'IN-CLASS_Lab Part C'!$J$9512,NA())</f>
        <v/>
      </c>
    </row>
    <row r="9513">
      <c r="J9513">
        <f>IF(AND(ISNUMBER('Data'!$F$9514),'Data'!$F$9514&lt;&gt;999,'Data'!$F$9514&lt;&gt;""),'Data'!$F$9514,"")</f>
        <v/>
      </c>
      <c r="Z9513" t="n">
        <v>1</v>
      </c>
      <c r="AA9513">
        <f>IF(ISNUMBER('IN-CLASS_Lab Part C'!$J$9513),'IN-CLASS_Lab Part C'!$J$9513,NA())</f>
        <v/>
      </c>
    </row>
    <row r="9514">
      <c r="J9514">
        <f>IF(AND(ISNUMBER('Data'!$F$9515),'Data'!$F$9515&lt;&gt;999,'Data'!$F$9515&lt;&gt;""),'Data'!$F$9515,"")</f>
        <v/>
      </c>
      <c r="Z9514" t="n">
        <v>1</v>
      </c>
      <c r="AA9514">
        <f>IF(ISNUMBER('IN-CLASS_Lab Part C'!$J$9514),'IN-CLASS_Lab Part C'!$J$9514,NA())</f>
        <v/>
      </c>
    </row>
    <row r="9515">
      <c r="J9515">
        <f>IF(AND(ISNUMBER('Data'!$F$9516),'Data'!$F$9516&lt;&gt;999,'Data'!$F$9516&lt;&gt;""),'Data'!$F$9516,"")</f>
        <v/>
      </c>
      <c r="Z9515" t="n">
        <v>1</v>
      </c>
      <c r="AA9515">
        <f>IF(ISNUMBER('IN-CLASS_Lab Part C'!$J$9515),'IN-CLASS_Lab Part C'!$J$9515,NA())</f>
        <v/>
      </c>
    </row>
    <row r="9516">
      <c r="J9516">
        <f>IF(AND(ISNUMBER('Data'!$F$9517),'Data'!$F$9517&lt;&gt;999,'Data'!$F$9517&lt;&gt;""),'Data'!$F$9517,"")</f>
        <v/>
      </c>
      <c r="Z9516" t="n">
        <v>1</v>
      </c>
      <c r="AA9516">
        <f>IF(ISNUMBER('IN-CLASS_Lab Part C'!$J$9516),'IN-CLASS_Lab Part C'!$J$9516,NA())</f>
        <v/>
      </c>
    </row>
    <row r="9517">
      <c r="J9517">
        <f>IF(AND(ISNUMBER('Data'!$F$9518),'Data'!$F$9518&lt;&gt;999,'Data'!$F$9518&lt;&gt;""),'Data'!$F$9518,"")</f>
        <v/>
      </c>
      <c r="Z9517" t="n">
        <v>1</v>
      </c>
      <c r="AA9517">
        <f>IF(ISNUMBER('IN-CLASS_Lab Part C'!$J$9517),'IN-CLASS_Lab Part C'!$J$9517,NA())</f>
        <v/>
      </c>
    </row>
    <row r="9518">
      <c r="J9518">
        <f>IF(AND(ISNUMBER('Data'!$F$9519),'Data'!$F$9519&lt;&gt;999,'Data'!$F$9519&lt;&gt;""),'Data'!$F$9519,"")</f>
        <v/>
      </c>
      <c r="Z9518" t="n">
        <v>1</v>
      </c>
      <c r="AA9518">
        <f>IF(ISNUMBER('IN-CLASS_Lab Part C'!$J$9518),'IN-CLASS_Lab Part C'!$J$9518,NA())</f>
        <v/>
      </c>
    </row>
    <row r="9519">
      <c r="J9519">
        <f>IF(AND(ISNUMBER('Data'!$F$9520),'Data'!$F$9520&lt;&gt;999,'Data'!$F$9520&lt;&gt;""),'Data'!$F$9520,"")</f>
        <v/>
      </c>
      <c r="Z9519" t="n">
        <v>1</v>
      </c>
      <c r="AA9519">
        <f>IF(ISNUMBER('IN-CLASS_Lab Part C'!$J$9519),'IN-CLASS_Lab Part C'!$J$9519,NA())</f>
        <v/>
      </c>
    </row>
    <row r="9520">
      <c r="J9520">
        <f>IF(AND(ISNUMBER('Data'!$F$9521),'Data'!$F$9521&lt;&gt;999,'Data'!$F$9521&lt;&gt;""),'Data'!$F$9521,"")</f>
        <v/>
      </c>
      <c r="Z9520" t="n">
        <v>1</v>
      </c>
      <c r="AA9520">
        <f>IF(ISNUMBER('IN-CLASS_Lab Part C'!$J$9520),'IN-CLASS_Lab Part C'!$J$9520,NA())</f>
        <v/>
      </c>
    </row>
    <row r="9521">
      <c r="J9521">
        <f>IF(AND(ISNUMBER('Data'!$F$9522),'Data'!$F$9522&lt;&gt;999,'Data'!$F$9522&lt;&gt;""),'Data'!$F$9522,"")</f>
        <v/>
      </c>
      <c r="Z9521" t="n">
        <v>1</v>
      </c>
      <c r="AA9521">
        <f>IF(ISNUMBER('IN-CLASS_Lab Part C'!$J$9521),'IN-CLASS_Lab Part C'!$J$9521,NA())</f>
        <v/>
      </c>
    </row>
    <row r="9522">
      <c r="J9522">
        <f>IF(AND(ISNUMBER('Data'!$F$9523),'Data'!$F$9523&lt;&gt;999,'Data'!$F$9523&lt;&gt;""),'Data'!$F$9523,"")</f>
        <v/>
      </c>
      <c r="Z9522" t="n">
        <v>1</v>
      </c>
      <c r="AA9522">
        <f>IF(ISNUMBER('IN-CLASS_Lab Part C'!$J$9522),'IN-CLASS_Lab Part C'!$J$9522,NA())</f>
        <v/>
      </c>
    </row>
    <row r="9523">
      <c r="J9523">
        <f>IF(AND(ISNUMBER('Data'!$F$9524),'Data'!$F$9524&lt;&gt;999,'Data'!$F$9524&lt;&gt;""),'Data'!$F$9524,"")</f>
        <v/>
      </c>
      <c r="Z9523" t="n">
        <v>1</v>
      </c>
      <c r="AA9523">
        <f>IF(ISNUMBER('IN-CLASS_Lab Part C'!$J$9523),'IN-CLASS_Lab Part C'!$J$9523,NA())</f>
        <v/>
      </c>
    </row>
    <row r="9524">
      <c r="J9524">
        <f>IF(AND(ISNUMBER('Data'!$F$9525),'Data'!$F$9525&lt;&gt;999,'Data'!$F$9525&lt;&gt;""),'Data'!$F$9525,"")</f>
        <v/>
      </c>
      <c r="Z9524" t="n">
        <v>1</v>
      </c>
      <c r="AA9524">
        <f>IF(ISNUMBER('IN-CLASS_Lab Part C'!$J$9524),'IN-CLASS_Lab Part C'!$J$9524,NA())</f>
        <v/>
      </c>
    </row>
    <row r="9525">
      <c r="J9525">
        <f>IF(AND(ISNUMBER('Data'!$F$9526),'Data'!$F$9526&lt;&gt;999,'Data'!$F$9526&lt;&gt;""),'Data'!$F$9526,"")</f>
        <v/>
      </c>
      <c r="Z9525" t="n">
        <v>1</v>
      </c>
      <c r="AA9525">
        <f>IF(ISNUMBER('IN-CLASS_Lab Part C'!$J$9525),'IN-CLASS_Lab Part C'!$J$9525,NA())</f>
        <v/>
      </c>
    </row>
    <row r="9526">
      <c r="J9526">
        <f>IF(AND(ISNUMBER('Data'!$F$9527),'Data'!$F$9527&lt;&gt;999,'Data'!$F$9527&lt;&gt;""),'Data'!$F$9527,"")</f>
        <v/>
      </c>
      <c r="Z9526" t="n">
        <v>1</v>
      </c>
      <c r="AA9526">
        <f>IF(ISNUMBER('IN-CLASS_Lab Part C'!$J$9526),'IN-CLASS_Lab Part C'!$J$9526,NA())</f>
        <v/>
      </c>
    </row>
    <row r="9527">
      <c r="J9527">
        <f>IF(AND(ISNUMBER('Data'!$F$9528),'Data'!$F$9528&lt;&gt;999,'Data'!$F$9528&lt;&gt;""),'Data'!$F$9528,"")</f>
        <v/>
      </c>
      <c r="Z9527" t="n">
        <v>1</v>
      </c>
      <c r="AA9527">
        <f>IF(ISNUMBER('IN-CLASS_Lab Part C'!$J$9527),'IN-CLASS_Lab Part C'!$J$9527,NA())</f>
        <v/>
      </c>
    </row>
    <row r="9528">
      <c r="J9528">
        <f>IF(AND(ISNUMBER('Data'!$F$9529),'Data'!$F$9529&lt;&gt;999,'Data'!$F$9529&lt;&gt;""),'Data'!$F$9529,"")</f>
        <v/>
      </c>
      <c r="Z9528" t="n">
        <v>1</v>
      </c>
      <c r="AA9528">
        <f>IF(ISNUMBER('IN-CLASS_Lab Part C'!$J$9528),'IN-CLASS_Lab Part C'!$J$9528,NA())</f>
        <v/>
      </c>
    </row>
    <row r="9529">
      <c r="J9529">
        <f>IF(AND(ISNUMBER('Data'!$F$9530),'Data'!$F$9530&lt;&gt;999,'Data'!$F$9530&lt;&gt;""),'Data'!$F$9530,"")</f>
        <v/>
      </c>
      <c r="Z9529" t="n">
        <v>1</v>
      </c>
      <c r="AA9529">
        <f>IF(ISNUMBER('IN-CLASS_Lab Part C'!$J$9529),'IN-CLASS_Lab Part C'!$J$9529,NA())</f>
        <v/>
      </c>
    </row>
    <row r="9530">
      <c r="J9530">
        <f>IF(AND(ISNUMBER('Data'!$F$9531),'Data'!$F$9531&lt;&gt;999,'Data'!$F$9531&lt;&gt;""),'Data'!$F$9531,"")</f>
        <v/>
      </c>
      <c r="Z9530" t="n">
        <v>1</v>
      </c>
      <c r="AA9530">
        <f>IF(ISNUMBER('IN-CLASS_Lab Part C'!$J$9530),'IN-CLASS_Lab Part C'!$J$9530,NA())</f>
        <v/>
      </c>
    </row>
    <row r="9531">
      <c r="J9531">
        <f>IF(AND(ISNUMBER('Data'!$F$9532),'Data'!$F$9532&lt;&gt;999,'Data'!$F$9532&lt;&gt;""),'Data'!$F$9532,"")</f>
        <v/>
      </c>
      <c r="Z9531" t="n">
        <v>1</v>
      </c>
      <c r="AA9531">
        <f>IF(ISNUMBER('IN-CLASS_Lab Part C'!$J$9531),'IN-CLASS_Lab Part C'!$J$9531,NA())</f>
        <v/>
      </c>
    </row>
    <row r="9532">
      <c r="J9532">
        <f>IF(AND(ISNUMBER('Data'!$F$9533),'Data'!$F$9533&lt;&gt;999,'Data'!$F$9533&lt;&gt;""),'Data'!$F$9533,"")</f>
        <v/>
      </c>
      <c r="Z9532" t="n">
        <v>1</v>
      </c>
      <c r="AA9532">
        <f>IF(ISNUMBER('IN-CLASS_Lab Part C'!$J$9532),'IN-CLASS_Lab Part C'!$J$9532,NA())</f>
        <v/>
      </c>
    </row>
    <row r="9533">
      <c r="J9533">
        <f>IF(AND(ISNUMBER('Data'!$F$9534),'Data'!$F$9534&lt;&gt;999,'Data'!$F$9534&lt;&gt;""),'Data'!$F$9534,"")</f>
        <v/>
      </c>
      <c r="Z9533" t="n">
        <v>1</v>
      </c>
      <c r="AA9533">
        <f>IF(ISNUMBER('IN-CLASS_Lab Part C'!$J$9533),'IN-CLASS_Lab Part C'!$J$9533,NA())</f>
        <v/>
      </c>
    </row>
    <row r="9534">
      <c r="J9534">
        <f>IF(AND(ISNUMBER('Data'!$F$9535),'Data'!$F$9535&lt;&gt;999,'Data'!$F$9535&lt;&gt;""),'Data'!$F$9535,"")</f>
        <v/>
      </c>
      <c r="Z9534" t="n">
        <v>1</v>
      </c>
      <c r="AA9534">
        <f>IF(ISNUMBER('IN-CLASS_Lab Part C'!$J$9534),'IN-CLASS_Lab Part C'!$J$9534,NA())</f>
        <v/>
      </c>
    </row>
    <row r="9535">
      <c r="J9535">
        <f>IF(AND(ISNUMBER('Data'!$F$9536),'Data'!$F$9536&lt;&gt;999,'Data'!$F$9536&lt;&gt;""),'Data'!$F$9536,"")</f>
        <v/>
      </c>
      <c r="Z9535" t="n">
        <v>1</v>
      </c>
      <c r="AA9535">
        <f>IF(ISNUMBER('IN-CLASS_Lab Part C'!$J$9535),'IN-CLASS_Lab Part C'!$J$9535,NA())</f>
        <v/>
      </c>
    </row>
    <row r="9536">
      <c r="J9536">
        <f>IF(AND(ISNUMBER('Data'!$F$9537),'Data'!$F$9537&lt;&gt;999,'Data'!$F$9537&lt;&gt;""),'Data'!$F$9537,"")</f>
        <v/>
      </c>
      <c r="Z9536" t="n">
        <v>1</v>
      </c>
      <c r="AA9536">
        <f>IF(ISNUMBER('IN-CLASS_Lab Part C'!$J$9536),'IN-CLASS_Lab Part C'!$J$9536,NA())</f>
        <v/>
      </c>
    </row>
    <row r="9537">
      <c r="J9537">
        <f>IF(AND(ISNUMBER('Data'!$F$9538),'Data'!$F$9538&lt;&gt;999,'Data'!$F$9538&lt;&gt;""),'Data'!$F$9538,"")</f>
        <v/>
      </c>
      <c r="Z9537" t="n">
        <v>1</v>
      </c>
      <c r="AA9537">
        <f>IF(ISNUMBER('IN-CLASS_Lab Part C'!$J$9537),'IN-CLASS_Lab Part C'!$J$9537,NA())</f>
        <v/>
      </c>
    </row>
    <row r="9538">
      <c r="J9538">
        <f>IF(AND(ISNUMBER('Data'!$F$9539),'Data'!$F$9539&lt;&gt;999,'Data'!$F$9539&lt;&gt;""),'Data'!$F$9539,"")</f>
        <v/>
      </c>
      <c r="Z9538" t="n">
        <v>1</v>
      </c>
      <c r="AA9538">
        <f>IF(ISNUMBER('IN-CLASS_Lab Part C'!$J$9538),'IN-CLASS_Lab Part C'!$J$9538,NA())</f>
        <v/>
      </c>
    </row>
    <row r="9539">
      <c r="J9539">
        <f>IF(AND(ISNUMBER('Data'!$F$9540),'Data'!$F$9540&lt;&gt;999,'Data'!$F$9540&lt;&gt;""),'Data'!$F$9540,"")</f>
        <v/>
      </c>
      <c r="Z9539" t="n">
        <v>1</v>
      </c>
      <c r="AA9539">
        <f>IF(ISNUMBER('IN-CLASS_Lab Part C'!$J$9539),'IN-CLASS_Lab Part C'!$J$9539,NA())</f>
        <v/>
      </c>
    </row>
    <row r="9540">
      <c r="J9540">
        <f>IF(AND(ISNUMBER('Data'!$F$9541),'Data'!$F$9541&lt;&gt;999,'Data'!$F$9541&lt;&gt;""),'Data'!$F$9541,"")</f>
        <v/>
      </c>
      <c r="Z9540" t="n">
        <v>1</v>
      </c>
      <c r="AA9540">
        <f>IF(ISNUMBER('IN-CLASS_Lab Part C'!$J$9540),'IN-CLASS_Lab Part C'!$J$9540,NA())</f>
        <v/>
      </c>
    </row>
    <row r="9541">
      <c r="J9541">
        <f>IF(AND(ISNUMBER('Data'!$F$9542),'Data'!$F$9542&lt;&gt;999,'Data'!$F$9542&lt;&gt;""),'Data'!$F$9542,"")</f>
        <v/>
      </c>
      <c r="Z9541" t="n">
        <v>1</v>
      </c>
      <c r="AA9541">
        <f>IF(ISNUMBER('IN-CLASS_Lab Part C'!$J$9541),'IN-CLASS_Lab Part C'!$J$9541,NA())</f>
        <v/>
      </c>
    </row>
    <row r="9542">
      <c r="J9542">
        <f>IF(AND(ISNUMBER('Data'!$F$9543),'Data'!$F$9543&lt;&gt;999,'Data'!$F$9543&lt;&gt;""),'Data'!$F$9543,"")</f>
        <v/>
      </c>
      <c r="Z9542" t="n">
        <v>1</v>
      </c>
      <c r="AA9542">
        <f>IF(ISNUMBER('IN-CLASS_Lab Part C'!$J$9542),'IN-CLASS_Lab Part C'!$J$9542,NA())</f>
        <v/>
      </c>
    </row>
    <row r="9543">
      <c r="J9543">
        <f>IF(AND(ISNUMBER('Data'!$F$9544),'Data'!$F$9544&lt;&gt;999,'Data'!$F$9544&lt;&gt;""),'Data'!$F$9544,"")</f>
        <v/>
      </c>
      <c r="Z9543" t="n">
        <v>1</v>
      </c>
      <c r="AA9543">
        <f>IF(ISNUMBER('IN-CLASS_Lab Part C'!$J$9543),'IN-CLASS_Lab Part C'!$J$9543,NA())</f>
        <v/>
      </c>
    </row>
    <row r="9544">
      <c r="J9544">
        <f>IF(AND(ISNUMBER('Data'!$F$9545),'Data'!$F$9545&lt;&gt;999,'Data'!$F$9545&lt;&gt;""),'Data'!$F$9545,"")</f>
        <v/>
      </c>
      <c r="Z9544" t="n">
        <v>1</v>
      </c>
      <c r="AA9544">
        <f>IF(ISNUMBER('IN-CLASS_Lab Part C'!$J$9544),'IN-CLASS_Lab Part C'!$J$9544,NA())</f>
        <v/>
      </c>
    </row>
    <row r="9545">
      <c r="J9545">
        <f>IF(AND(ISNUMBER('Data'!$F$9546),'Data'!$F$9546&lt;&gt;999,'Data'!$F$9546&lt;&gt;""),'Data'!$F$9546,"")</f>
        <v/>
      </c>
      <c r="Z9545" t="n">
        <v>1</v>
      </c>
      <c r="AA9545">
        <f>IF(ISNUMBER('IN-CLASS_Lab Part C'!$J$9545),'IN-CLASS_Lab Part C'!$J$9545,NA())</f>
        <v/>
      </c>
    </row>
    <row r="9546">
      <c r="J9546">
        <f>IF(AND(ISNUMBER('Data'!$F$9547),'Data'!$F$9547&lt;&gt;999,'Data'!$F$9547&lt;&gt;""),'Data'!$F$9547,"")</f>
        <v/>
      </c>
      <c r="Z9546" t="n">
        <v>1</v>
      </c>
      <c r="AA9546">
        <f>IF(ISNUMBER('IN-CLASS_Lab Part C'!$J$9546),'IN-CLASS_Lab Part C'!$J$9546,NA())</f>
        <v/>
      </c>
    </row>
    <row r="9547">
      <c r="J9547">
        <f>IF(AND(ISNUMBER('Data'!$F$9548),'Data'!$F$9548&lt;&gt;999,'Data'!$F$9548&lt;&gt;""),'Data'!$F$9548,"")</f>
        <v/>
      </c>
      <c r="Z9547" t="n">
        <v>1</v>
      </c>
      <c r="AA9547">
        <f>IF(ISNUMBER('IN-CLASS_Lab Part C'!$J$9547),'IN-CLASS_Lab Part C'!$J$9547,NA())</f>
        <v/>
      </c>
    </row>
    <row r="9548">
      <c r="J9548">
        <f>IF(AND(ISNUMBER('Data'!$F$9549),'Data'!$F$9549&lt;&gt;999,'Data'!$F$9549&lt;&gt;""),'Data'!$F$9549,"")</f>
        <v/>
      </c>
      <c r="Z9548" t="n">
        <v>1</v>
      </c>
      <c r="AA9548">
        <f>IF(ISNUMBER('IN-CLASS_Lab Part C'!$J$9548),'IN-CLASS_Lab Part C'!$J$9548,NA())</f>
        <v/>
      </c>
    </row>
    <row r="9549">
      <c r="J9549">
        <f>IF(AND(ISNUMBER('Data'!$F$9550),'Data'!$F$9550&lt;&gt;999,'Data'!$F$9550&lt;&gt;""),'Data'!$F$9550,"")</f>
        <v/>
      </c>
      <c r="Z9549" t="n">
        <v>1</v>
      </c>
      <c r="AA9549">
        <f>IF(ISNUMBER('IN-CLASS_Lab Part C'!$J$9549),'IN-CLASS_Lab Part C'!$J$9549,NA())</f>
        <v/>
      </c>
    </row>
    <row r="9550">
      <c r="J9550">
        <f>IF(AND(ISNUMBER('Data'!$F$9551),'Data'!$F$9551&lt;&gt;999,'Data'!$F$9551&lt;&gt;""),'Data'!$F$9551,"")</f>
        <v/>
      </c>
      <c r="Z9550" t="n">
        <v>1</v>
      </c>
      <c r="AA9550">
        <f>IF(ISNUMBER('IN-CLASS_Lab Part C'!$J$9550),'IN-CLASS_Lab Part C'!$J$9550,NA())</f>
        <v/>
      </c>
    </row>
    <row r="9551">
      <c r="J9551">
        <f>IF(AND(ISNUMBER('Data'!$F$9552),'Data'!$F$9552&lt;&gt;999,'Data'!$F$9552&lt;&gt;""),'Data'!$F$9552,"")</f>
        <v/>
      </c>
      <c r="Z9551" t="n">
        <v>1</v>
      </c>
      <c r="AA9551">
        <f>IF(ISNUMBER('IN-CLASS_Lab Part C'!$J$9551),'IN-CLASS_Lab Part C'!$J$9551,NA())</f>
        <v/>
      </c>
    </row>
    <row r="9552">
      <c r="J9552">
        <f>IF(AND(ISNUMBER('Data'!$F$9553),'Data'!$F$9553&lt;&gt;999,'Data'!$F$9553&lt;&gt;""),'Data'!$F$9553,"")</f>
        <v/>
      </c>
      <c r="Z9552" t="n">
        <v>1</v>
      </c>
      <c r="AA9552">
        <f>IF(ISNUMBER('IN-CLASS_Lab Part C'!$J$9552),'IN-CLASS_Lab Part C'!$J$9552,NA())</f>
        <v/>
      </c>
    </row>
    <row r="9553">
      <c r="J9553">
        <f>IF(AND(ISNUMBER('Data'!$F$9554),'Data'!$F$9554&lt;&gt;999,'Data'!$F$9554&lt;&gt;""),'Data'!$F$9554,"")</f>
        <v/>
      </c>
      <c r="Z9553" t="n">
        <v>1</v>
      </c>
      <c r="AA9553">
        <f>IF(ISNUMBER('IN-CLASS_Lab Part C'!$J$9553),'IN-CLASS_Lab Part C'!$J$9553,NA())</f>
        <v/>
      </c>
    </row>
    <row r="9554">
      <c r="J9554">
        <f>IF(AND(ISNUMBER('Data'!$F$9555),'Data'!$F$9555&lt;&gt;999,'Data'!$F$9555&lt;&gt;""),'Data'!$F$9555,"")</f>
        <v/>
      </c>
      <c r="Z9554" t="n">
        <v>1</v>
      </c>
      <c r="AA9554">
        <f>IF(ISNUMBER('IN-CLASS_Lab Part C'!$J$9554),'IN-CLASS_Lab Part C'!$J$9554,NA())</f>
        <v/>
      </c>
    </row>
    <row r="9555">
      <c r="J9555">
        <f>IF(AND(ISNUMBER('Data'!$F$9556),'Data'!$F$9556&lt;&gt;999,'Data'!$F$9556&lt;&gt;""),'Data'!$F$9556,"")</f>
        <v/>
      </c>
      <c r="Z9555" t="n">
        <v>1</v>
      </c>
      <c r="AA9555">
        <f>IF(ISNUMBER('IN-CLASS_Lab Part C'!$J$9555),'IN-CLASS_Lab Part C'!$J$9555,NA())</f>
        <v/>
      </c>
    </row>
    <row r="9556">
      <c r="J9556">
        <f>IF(AND(ISNUMBER('Data'!$F$9557),'Data'!$F$9557&lt;&gt;999,'Data'!$F$9557&lt;&gt;""),'Data'!$F$9557,"")</f>
        <v/>
      </c>
      <c r="Z9556" t="n">
        <v>1</v>
      </c>
      <c r="AA9556">
        <f>IF(ISNUMBER('IN-CLASS_Lab Part C'!$J$9556),'IN-CLASS_Lab Part C'!$J$9556,NA())</f>
        <v/>
      </c>
    </row>
    <row r="9557">
      <c r="J9557">
        <f>IF(AND(ISNUMBER('Data'!$F$9558),'Data'!$F$9558&lt;&gt;999,'Data'!$F$9558&lt;&gt;""),'Data'!$F$9558,"")</f>
        <v/>
      </c>
      <c r="Z9557" t="n">
        <v>1</v>
      </c>
      <c r="AA9557">
        <f>IF(ISNUMBER('IN-CLASS_Lab Part C'!$J$9557),'IN-CLASS_Lab Part C'!$J$9557,NA())</f>
        <v/>
      </c>
    </row>
    <row r="9558">
      <c r="J9558">
        <f>IF(AND(ISNUMBER('Data'!$F$9559),'Data'!$F$9559&lt;&gt;999,'Data'!$F$9559&lt;&gt;""),'Data'!$F$9559,"")</f>
        <v/>
      </c>
      <c r="Z9558" t="n">
        <v>1</v>
      </c>
      <c r="AA9558">
        <f>IF(ISNUMBER('IN-CLASS_Lab Part C'!$J$9558),'IN-CLASS_Lab Part C'!$J$9558,NA())</f>
        <v/>
      </c>
    </row>
    <row r="9559">
      <c r="J9559">
        <f>IF(AND(ISNUMBER('Data'!$F$9560),'Data'!$F$9560&lt;&gt;999,'Data'!$F$9560&lt;&gt;""),'Data'!$F$9560,"")</f>
        <v/>
      </c>
      <c r="Z9559" t="n">
        <v>1</v>
      </c>
      <c r="AA9559">
        <f>IF(ISNUMBER('IN-CLASS_Lab Part C'!$J$9559),'IN-CLASS_Lab Part C'!$J$9559,NA())</f>
        <v/>
      </c>
    </row>
    <row r="9560">
      <c r="J9560">
        <f>IF(AND(ISNUMBER('Data'!$F$9561),'Data'!$F$9561&lt;&gt;999,'Data'!$F$9561&lt;&gt;""),'Data'!$F$9561,"")</f>
        <v/>
      </c>
      <c r="Z9560" t="n">
        <v>1</v>
      </c>
      <c r="AA9560">
        <f>IF(ISNUMBER('IN-CLASS_Lab Part C'!$J$9560),'IN-CLASS_Lab Part C'!$J$9560,NA())</f>
        <v/>
      </c>
    </row>
    <row r="9561">
      <c r="J9561">
        <f>IF(AND(ISNUMBER('Data'!$F$9562),'Data'!$F$9562&lt;&gt;999,'Data'!$F$9562&lt;&gt;""),'Data'!$F$9562,"")</f>
        <v/>
      </c>
      <c r="Z9561" t="n">
        <v>1</v>
      </c>
      <c r="AA9561">
        <f>IF(ISNUMBER('IN-CLASS_Lab Part C'!$J$9561),'IN-CLASS_Lab Part C'!$J$9561,NA())</f>
        <v/>
      </c>
    </row>
    <row r="9562">
      <c r="J9562">
        <f>IF(AND(ISNUMBER('Data'!$F$9563),'Data'!$F$9563&lt;&gt;999,'Data'!$F$9563&lt;&gt;""),'Data'!$F$9563,"")</f>
        <v/>
      </c>
      <c r="Z9562" t="n">
        <v>1</v>
      </c>
      <c r="AA9562">
        <f>IF(ISNUMBER('IN-CLASS_Lab Part C'!$J$9562),'IN-CLASS_Lab Part C'!$J$9562,NA())</f>
        <v/>
      </c>
    </row>
    <row r="9563">
      <c r="J9563">
        <f>IF(AND(ISNUMBER('Data'!$F$9564),'Data'!$F$9564&lt;&gt;999,'Data'!$F$9564&lt;&gt;""),'Data'!$F$9564,"")</f>
        <v/>
      </c>
      <c r="Z9563" t="n">
        <v>1</v>
      </c>
      <c r="AA9563">
        <f>IF(ISNUMBER('IN-CLASS_Lab Part C'!$J$9563),'IN-CLASS_Lab Part C'!$J$9563,NA())</f>
        <v/>
      </c>
    </row>
    <row r="9564">
      <c r="J9564">
        <f>IF(AND(ISNUMBER('Data'!$F$9565),'Data'!$F$9565&lt;&gt;999,'Data'!$F$9565&lt;&gt;""),'Data'!$F$9565,"")</f>
        <v/>
      </c>
      <c r="Z9564" t="n">
        <v>1</v>
      </c>
      <c r="AA9564">
        <f>IF(ISNUMBER('IN-CLASS_Lab Part C'!$J$9564),'IN-CLASS_Lab Part C'!$J$9564,NA())</f>
        <v/>
      </c>
    </row>
    <row r="9565">
      <c r="J9565">
        <f>IF(AND(ISNUMBER('Data'!$F$9566),'Data'!$F$9566&lt;&gt;999,'Data'!$F$9566&lt;&gt;""),'Data'!$F$9566,"")</f>
        <v/>
      </c>
      <c r="Z9565" t="n">
        <v>1</v>
      </c>
      <c r="AA9565">
        <f>IF(ISNUMBER('IN-CLASS_Lab Part C'!$J$9565),'IN-CLASS_Lab Part C'!$J$9565,NA())</f>
        <v/>
      </c>
    </row>
    <row r="9566">
      <c r="J9566">
        <f>IF(AND(ISNUMBER('Data'!$F$9567),'Data'!$F$9567&lt;&gt;999,'Data'!$F$9567&lt;&gt;""),'Data'!$F$9567,"")</f>
        <v/>
      </c>
      <c r="Z9566" t="n">
        <v>1</v>
      </c>
      <c r="AA9566">
        <f>IF(ISNUMBER('IN-CLASS_Lab Part C'!$J$9566),'IN-CLASS_Lab Part C'!$J$9566,NA())</f>
        <v/>
      </c>
    </row>
    <row r="9567">
      <c r="J9567">
        <f>IF(AND(ISNUMBER('Data'!$F$9568),'Data'!$F$9568&lt;&gt;999,'Data'!$F$9568&lt;&gt;""),'Data'!$F$9568,"")</f>
        <v/>
      </c>
      <c r="Z9567" t="n">
        <v>1</v>
      </c>
      <c r="AA9567">
        <f>IF(ISNUMBER('IN-CLASS_Lab Part C'!$J$9567),'IN-CLASS_Lab Part C'!$J$9567,NA())</f>
        <v/>
      </c>
    </row>
    <row r="9568">
      <c r="J9568">
        <f>IF(AND(ISNUMBER('Data'!$F$9569),'Data'!$F$9569&lt;&gt;999,'Data'!$F$9569&lt;&gt;""),'Data'!$F$9569,"")</f>
        <v/>
      </c>
      <c r="Z9568" t="n">
        <v>1</v>
      </c>
      <c r="AA9568">
        <f>IF(ISNUMBER('IN-CLASS_Lab Part C'!$J$9568),'IN-CLASS_Lab Part C'!$J$9568,NA())</f>
        <v/>
      </c>
    </row>
    <row r="9569">
      <c r="J9569">
        <f>IF(AND(ISNUMBER('Data'!$F$9570),'Data'!$F$9570&lt;&gt;999,'Data'!$F$9570&lt;&gt;""),'Data'!$F$9570,"")</f>
        <v/>
      </c>
      <c r="Z9569" t="n">
        <v>1</v>
      </c>
      <c r="AA9569">
        <f>IF(ISNUMBER('IN-CLASS_Lab Part C'!$J$9569),'IN-CLASS_Lab Part C'!$J$9569,NA())</f>
        <v/>
      </c>
    </row>
    <row r="9570">
      <c r="J9570">
        <f>IF(AND(ISNUMBER('Data'!$F$9571),'Data'!$F$9571&lt;&gt;999,'Data'!$F$9571&lt;&gt;""),'Data'!$F$9571,"")</f>
        <v/>
      </c>
      <c r="Z9570" t="n">
        <v>1</v>
      </c>
      <c r="AA9570">
        <f>IF(ISNUMBER('IN-CLASS_Lab Part C'!$J$9570),'IN-CLASS_Lab Part C'!$J$9570,NA())</f>
        <v/>
      </c>
    </row>
    <row r="9571">
      <c r="J9571">
        <f>IF(AND(ISNUMBER('Data'!$F$9572),'Data'!$F$9572&lt;&gt;999,'Data'!$F$9572&lt;&gt;""),'Data'!$F$9572,"")</f>
        <v/>
      </c>
      <c r="Z9571" t="n">
        <v>1</v>
      </c>
      <c r="AA9571">
        <f>IF(ISNUMBER('IN-CLASS_Lab Part C'!$J$9571),'IN-CLASS_Lab Part C'!$J$9571,NA())</f>
        <v/>
      </c>
    </row>
    <row r="9572">
      <c r="J9572">
        <f>IF(AND(ISNUMBER('Data'!$F$9573),'Data'!$F$9573&lt;&gt;999,'Data'!$F$9573&lt;&gt;""),'Data'!$F$9573,"")</f>
        <v/>
      </c>
      <c r="Z9572" t="n">
        <v>1</v>
      </c>
      <c r="AA9572">
        <f>IF(ISNUMBER('IN-CLASS_Lab Part C'!$J$9572),'IN-CLASS_Lab Part C'!$J$9572,NA())</f>
        <v/>
      </c>
    </row>
    <row r="9573">
      <c r="J9573">
        <f>IF(AND(ISNUMBER('Data'!$F$9574),'Data'!$F$9574&lt;&gt;999,'Data'!$F$9574&lt;&gt;""),'Data'!$F$9574,"")</f>
        <v/>
      </c>
      <c r="Z9573" t="n">
        <v>1</v>
      </c>
      <c r="AA9573">
        <f>IF(ISNUMBER('IN-CLASS_Lab Part C'!$J$9573),'IN-CLASS_Lab Part C'!$J$9573,NA())</f>
        <v/>
      </c>
    </row>
    <row r="9574">
      <c r="J9574">
        <f>IF(AND(ISNUMBER('Data'!$F$9575),'Data'!$F$9575&lt;&gt;999,'Data'!$F$9575&lt;&gt;""),'Data'!$F$9575,"")</f>
        <v/>
      </c>
      <c r="Z9574" t="n">
        <v>1</v>
      </c>
      <c r="AA9574">
        <f>IF(ISNUMBER('IN-CLASS_Lab Part C'!$J$9574),'IN-CLASS_Lab Part C'!$J$9574,NA())</f>
        <v/>
      </c>
    </row>
    <row r="9575">
      <c r="J9575">
        <f>IF(AND(ISNUMBER('Data'!$F$9576),'Data'!$F$9576&lt;&gt;999,'Data'!$F$9576&lt;&gt;""),'Data'!$F$9576,"")</f>
        <v/>
      </c>
      <c r="Z9575" t="n">
        <v>1</v>
      </c>
      <c r="AA9575">
        <f>IF(ISNUMBER('IN-CLASS_Lab Part C'!$J$9575),'IN-CLASS_Lab Part C'!$J$9575,NA())</f>
        <v/>
      </c>
    </row>
    <row r="9576">
      <c r="J9576">
        <f>IF(AND(ISNUMBER('Data'!$F$9577),'Data'!$F$9577&lt;&gt;999,'Data'!$F$9577&lt;&gt;""),'Data'!$F$9577,"")</f>
        <v/>
      </c>
      <c r="Z9576" t="n">
        <v>1</v>
      </c>
      <c r="AA9576">
        <f>IF(ISNUMBER('IN-CLASS_Lab Part C'!$J$9576),'IN-CLASS_Lab Part C'!$J$9576,NA())</f>
        <v/>
      </c>
    </row>
    <row r="9577">
      <c r="J9577">
        <f>IF(AND(ISNUMBER('Data'!$F$9578),'Data'!$F$9578&lt;&gt;999,'Data'!$F$9578&lt;&gt;""),'Data'!$F$9578,"")</f>
        <v/>
      </c>
      <c r="Z9577" t="n">
        <v>1</v>
      </c>
      <c r="AA9577">
        <f>IF(ISNUMBER('IN-CLASS_Lab Part C'!$J$9577),'IN-CLASS_Lab Part C'!$J$9577,NA())</f>
        <v/>
      </c>
    </row>
    <row r="9578">
      <c r="J9578">
        <f>IF(AND(ISNUMBER('Data'!$F$9579),'Data'!$F$9579&lt;&gt;999,'Data'!$F$9579&lt;&gt;""),'Data'!$F$9579,"")</f>
        <v/>
      </c>
      <c r="Z9578" t="n">
        <v>1</v>
      </c>
      <c r="AA9578">
        <f>IF(ISNUMBER('IN-CLASS_Lab Part C'!$J$9578),'IN-CLASS_Lab Part C'!$J$9578,NA())</f>
        <v/>
      </c>
    </row>
    <row r="9579">
      <c r="J9579">
        <f>IF(AND(ISNUMBER('Data'!$F$9580),'Data'!$F$9580&lt;&gt;999,'Data'!$F$9580&lt;&gt;""),'Data'!$F$9580,"")</f>
        <v/>
      </c>
      <c r="Z9579" t="n">
        <v>1</v>
      </c>
      <c r="AA9579">
        <f>IF(ISNUMBER('IN-CLASS_Lab Part C'!$J$9579),'IN-CLASS_Lab Part C'!$J$9579,NA())</f>
        <v/>
      </c>
    </row>
    <row r="9580">
      <c r="J9580">
        <f>IF(AND(ISNUMBER('Data'!$F$9581),'Data'!$F$9581&lt;&gt;999,'Data'!$F$9581&lt;&gt;""),'Data'!$F$9581,"")</f>
        <v/>
      </c>
      <c r="Z9580" t="n">
        <v>1</v>
      </c>
      <c r="AA9580">
        <f>IF(ISNUMBER('IN-CLASS_Lab Part C'!$J$9580),'IN-CLASS_Lab Part C'!$J$9580,NA())</f>
        <v/>
      </c>
    </row>
    <row r="9581">
      <c r="J9581">
        <f>IF(AND(ISNUMBER('Data'!$F$9582),'Data'!$F$9582&lt;&gt;999,'Data'!$F$9582&lt;&gt;""),'Data'!$F$9582,"")</f>
        <v/>
      </c>
      <c r="Z9581" t="n">
        <v>1</v>
      </c>
      <c r="AA9581">
        <f>IF(ISNUMBER('IN-CLASS_Lab Part C'!$J$9581),'IN-CLASS_Lab Part C'!$J$9581,NA())</f>
        <v/>
      </c>
    </row>
    <row r="9582">
      <c r="J9582">
        <f>IF(AND(ISNUMBER('Data'!$F$9583),'Data'!$F$9583&lt;&gt;999,'Data'!$F$9583&lt;&gt;""),'Data'!$F$9583,"")</f>
        <v/>
      </c>
      <c r="Z9582" t="n">
        <v>1</v>
      </c>
      <c r="AA9582">
        <f>IF(ISNUMBER('IN-CLASS_Lab Part C'!$J$9582),'IN-CLASS_Lab Part C'!$J$9582,NA())</f>
        <v/>
      </c>
    </row>
    <row r="9583">
      <c r="J9583">
        <f>IF(AND(ISNUMBER('Data'!$F$9584),'Data'!$F$9584&lt;&gt;999,'Data'!$F$9584&lt;&gt;""),'Data'!$F$9584,"")</f>
        <v/>
      </c>
      <c r="Z9583" t="n">
        <v>1</v>
      </c>
      <c r="AA9583">
        <f>IF(ISNUMBER('IN-CLASS_Lab Part C'!$J$9583),'IN-CLASS_Lab Part C'!$J$9583,NA())</f>
        <v/>
      </c>
    </row>
    <row r="9584">
      <c r="J9584">
        <f>IF(AND(ISNUMBER('Data'!$F$9585),'Data'!$F$9585&lt;&gt;999,'Data'!$F$9585&lt;&gt;""),'Data'!$F$9585,"")</f>
        <v/>
      </c>
      <c r="Z9584" t="n">
        <v>1</v>
      </c>
      <c r="AA9584">
        <f>IF(ISNUMBER('IN-CLASS_Lab Part C'!$J$9584),'IN-CLASS_Lab Part C'!$J$9584,NA())</f>
        <v/>
      </c>
    </row>
    <row r="9585">
      <c r="J9585">
        <f>IF(AND(ISNUMBER('Data'!$F$9586),'Data'!$F$9586&lt;&gt;999,'Data'!$F$9586&lt;&gt;""),'Data'!$F$9586,"")</f>
        <v/>
      </c>
      <c r="Z9585" t="n">
        <v>1</v>
      </c>
      <c r="AA9585">
        <f>IF(ISNUMBER('IN-CLASS_Lab Part C'!$J$9585),'IN-CLASS_Lab Part C'!$J$9585,NA())</f>
        <v/>
      </c>
    </row>
    <row r="9586">
      <c r="J9586">
        <f>IF(AND(ISNUMBER('Data'!$F$9587),'Data'!$F$9587&lt;&gt;999,'Data'!$F$9587&lt;&gt;""),'Data'!$F$9587,"")</f>
        <v/>
      </c>
      <c r="Z9586" t="n">
        <v>1</v>
      </c>
      <c r="AA9586">
        <f>IF(ISNUMBER('IN-CLASS_Lab Part C'!$J$9586),'IN-CLASS_Lab Part C'!$J$9586,NA())</f>
        <v/>
      </c>
    </row>
    <row r="9587">
      <c r="J9587">
        <f>IF(AND(ISNUMBER('Data'!$F$9588),'Data'!$F$9588&lt;&gt;999,'Data'!$F$9588&lt;&gt;""),'Data'!$F$9588,"")</f>
        <v/>
      </c>
      <c r="Z9587" t="n">
        <v>1</v>
      </c>
      <c r="AA9587">
        <f>IF(ISNUMBER('IN-CLASS_Lab Part C'!$J$9587),'IN-CLASS_Lab Part C'!$J$9587,NA())</f>
        <v/>
      </c>
    </row>
    <row r="9588">
      <c r="J9588">
        <f>IF(AND(ISNUMBER('Data'!$F$9589),'Data'!$F$9589&lt;&gt;999,'Data'!$F$9589&lt;&gt;""),'Data'!$F$9589,"")</f>
        <v/>
      </c>
      <c r="Z9588" t="n">
        <v>1</v>
      </c>
      <c r="AA9588">
        <f>IF(ISNUMBER('IN-CLASS_Lab Part C'!$J$9588),'IN-CLASS_Lab Part C'!$J$9588,NA())</f>
        <v/>
      </c>
    </row>
    <row r="9589">
      <c r="J9589">
        <f>IF(AND(ISNUMBER('Data'!$F$9590),'Data'!$F$9590&lt;&gt;999,'Data'!$F$9590&lt;&gt;""),'Data'!$F$9590,"")</f>
        <v/>
      </c>
      <c r="Z9589" t="n">
        <v>1</v>
      </c>
      <c r="AA9589">
        <f>IF(ISNUMBER('IN-CLASS_Lab Part C'!$J$9589),'IN-CLASS_Lab Part C'!$J$9589,NA())</f>
        <v/>
      </c>
    </row>
    <row r="9590">
      <c r="J9590">
        <f>IF(AND(ISNUMBER('Data'!$F$9591),'Data'!$F$9591&lt;&gt;999,'Data'!$F$9591&lt;&gt;""),'Data'!$F$9591,"")</f>
        <v/>
      </c>
      <c r="Z9590" t="n">
        <v>1</v>
      </c>
      <c r="AA9590">
        <f>IF(ISNUMBER('IN-CLASS_Lab Part C'!$J$9590),'IN-CLASS_Lab Part C'!$J$9590,NA())</f>
        <v/>
      </c>
    </row>
    <row r="9591">
      <c r="J9591">
        <f>IF(AND(ISNUMBER('Data'!$F$9592),'Data'!$F$9592&lt;&gt;999,'Data'!$F$9592&lt;&gt;""),'Data'!$F$9592,"")</f>
        <v/>
      </c>
      <c r="Z9591" t="n">
        <v>1</v>
      </c>
      <c r="AA9591">
        <f>IF(ISNUMBER('IN-CLASS_Lab Part C'!$J$9591),'IN-CLASS_Lab Part C'!$J$9591,NA())</f>
        <v/>
      </c>
    </row>
    <row r="9592">
      <c r="J9592">
        <f>IF(AND(ISNUMBER('Data'!$F$9593),'Data'!$F$9593&lt;&gt;999,'Data'!$F$9593&lt;&gt;""),'Data'!$F$9593,"")</f>
        <v/>
      </c>
      <c r="Z9592" t="n">
        <v>1</v>
      </c>
      <c r="AA9592">
        <f>IF(ISNUMBER('IN-CLASS_Lab Part C'!$J$9592),'IN-CLASS_Lab Part C'!$J$9592,NA())</f>
        <v/>
      </c>
    </row>
    <row r="9593">
      <c r="J9593">
        <f>IF(AND(ISNUMBER('Data'!$F$9594),'Data'!$F$9594&lt;&gt;999,'Data'!$F$9594&lt;&gt;""),'Data'!$F$9594,"")</f>
        <v/>
      </c>
      <c r="Z9593" t="n">
        <v>1</v>
      </c>
      <c r="AA9593">
        <f>IF(ISNUMBER('IN-CLASS_Lab Part C'!$J$9593),'IN-CLASS_Lab Part C'!$J$9593,NA())</f>
        <v/>
      </c>
    </row>
    <row r="9594">
      <c r="J9594">
        <f>IF(AND(ISNUMBER('Data'!$F$9595),'Data'!$F$9595&lt;&gt;999,'Data'!$F$9595&lt;&gt;""),'Data'!$F$9595,"")</f>
        <v/>
      </c>
      <c r="Z9594" t="n">
        <v>1</v>
      </c>
      <c r="AA9594">
        <f>IF(ISNUMBER('IN-CLASS_Lab Part C'!$J$9594),'IN-CLASS_Lab Part C'!$J$9594,NA())</f>
        <v/>
      </c>
    </row>
    <row r="9595">
      <c r="J9595">
        <f>IF(AND(ISNUMBER('Data'!$F$9596),'Data'!$F$9596&lt;&gt;999,'Data'!$F$9596&lt;&gt;""),'Data'!$F$9596,"")</f>
        <v/>
      </c>
      <c r="Z9595" t="n">
        <v>1</v>
      </c>
      <c r="AA9595">
        <f>IF(ISNUMBER('IN-CLASS_Lab Part C'!$J$9595),'IN-CLASS_Lab Part C'!$J$9595,NA())</f>
        <v/>
      </c>
    </row>
    <row r="9596">
      <c r="J9596">
        <f>IF(AND(ISNUMBER('Data'!$F$9597),'Data'!$F$9597&lt;&gt;999,'Data'!$F$9597&lt;&gt;""),'Data'!$F$9597,"")</f>
        <v/>
      </c>
      <c r="Z9596" t="n">
        <v>1</v>
      </c>
      <c r="AA9596">
        <f>IF(ISNUMBER('IN-CLASS_Lab Part C'!$J$9596),'IN-CLASS_Lab Part C'!$J$9596,NA())</f>
        <v/>
      </c>
    </row>
    <row r="9597">
      <c r="J9597">
        <f>IF(AND(ISNUMBER('Data'!$F$9598),'Data'!$F$9598&lt;&gt;999,'Data'!$F$9598&lt;&gt;""),'Data'!$F$9598,"")</f>
        <v/>
      </c>
      <c r="Z9597" t="n">
        <v>1</v>
      </c>
      <c r="AA9597">
        <f>IF(ISNUMBER('IN-CLASS_Lab Part C'!$J$9597),'IN-CLASS_Lab Part C'!$J$9597,NA())</f>
        <v/>
      </c>
    </row>
    <row r="9598">
      <c r="J9598">
        <f>IF(AND(ISNUMBER('Data'!$F$9599),'Data'!$F$9599&lt;&gt;999,'Data'!$F$9599&lt;&gt;""),'Data'!$F$9599,"")</f>
        <v/>
      </c>
      <c r="Z9598" t="n">
        <v>1</v>
      </c>
      <c r="AA9598">
        <f>IF(ISNUMBER('IN-CLASS_Lab Part C'!$J$9598),'IN-CLASS_Lab Part C'!$J$9598,NA())</f>
        <v/>
      </c>
    </row>
    <row r="9599">
      <c r="J9599">
        <f>IF(AND(ISNUMBER('Data'!$F$9600),'Data'!$F$9600&lt;&gt;999,'Data'!$F$9600&lt;&gt;""),'Data'!$F$9600,"")</f>
        <v/>
      </c>
      <c r="Z9599" t="n">
        <v>1</v>
      </c>
      <c r="AA9599">
        <f>IF(ISNUMBER('IN-CLASS_Lab Part C'!$J$9599),'IN-CLASS_Lab Part C'!$J$9599,NA())</f>
        <v/>
      </c>
    </row>
    <row r="9600">
      <c r="J9600">
        <f>IF(AND(ISNUMBER('Data'!$F$9601),'Data'!$F$9601&lt;&gt;999,'Data'!$F$9601&lt;&gt;""),'Data'!$F$9601,"")</f>
        <v/>
      </c>
      <c r="Z9600" t="n">
        <v>1</v>
      </c>
      <c r="AA9600">
        <f>IF(ISNUMBER('IN-CLASS_Lab Part C'!$J$9600),'IN-CLASS_Lab Part C'!$J$9600,NA())</f>
        <v/>
      </c>
    </row>
    <row r="9601">
      <c r="J9601">
        <f>IF(AND(ISNUMBER('Data'!$F$9602),'Data'!$F$9602&lt;&gt;999,'Data'!$F$9602&lt;&gt;""),'Data'!$F$9602,"")</f>
        <v/>
      </c>
      <c r="Z9601" t="n">
        <v>1</v>
      </c>
      <c r="AA9601">
        <f>IF(ISNUMBER('IN-CLASS_Lab Part C'!$J$9601),'IN-CLASS_Lab Part C'!$J$9601,NA())</f>
        <v/>
      </c>
    </row>
    <row r="9602">
      <c r="J9602">
        <f>IF(AND(ISNUMBER('Data'!$F$9603),'Data'!$F$9603&lt;&gt;999,'Data'!$F$9603&lt;&gt;""),'Data'!$F$9603,"")</f>
        <v/>
      </c>
      <c r="Z9602" t="n">
        <v>1</v>
      </c>
      <c r="AA9602">
        <f>IF(ISNUMBER('IN-CLASS_Lab Part C'!$J$9602),'IN-CLASS_Lab Part C'!$J$9602,NA())</f>
        <v/>
      </c>
    </row>
    <row r="9603">
      <c r="J9603">
        <f>IF(AND(ISNUMBER('Data'!$F$9604),'Data'!$F$9604&lt;&gt;999,'Data'!$F$9604&lt;&gt;""),'Data'!$F$9604,"")</f>
        <v/>
      </c>
      <c r="Z9603" t="n">
        <v>1</v>
      </c>
      <c r="AA9603">
        <f>IF(ISNUMBER('IN-CLASS_Lab Part C'!$J$9603),'IN-CLASS_Lab Part C'!$J$9603,NA())</f>
        <v/>
      </c>
    </row>
    <row r="9604">
      <c r="J9604">
        <f>IF(AND(ISNUMBER('Data'!$F$9605),'Data'!$F$9605&lt;&gt;999,'Data'!$F$9605&lt;&gt;""),'Data'!$F$9605,"")</f>
        <v/>
      </c>
      <c r="Z9604" t="n">
        <v>1</v>
      </c>
      <c r="AA9604">
        <f>IF(ISNUMBER('IN-CLASS_Lab Part C'!$J$9604),'IN-CLASS_Lab Part C'!$J$9604,NA())</f>
        <v/>
      </c>
    </row>
    <row r="9605">
      <c r="J9605">
        <f>IF(AND(ISNUMBER('Data'!$F$9606),'Data'!$F$9606&lt;&gt;999,'Data'!$F$9606&lt;&gt;""),'Data'!$F$9606,"")</f>
        <v/>
      </c>
      <c r="Z9605" t="n">
        <v>1</v>
      </c>
      <c r="AA9605">
        <f>IF(ISNUMBER('IN-CLASS_Lab Part C'!$J$9605),'IN-CLASS_Lab Part C'!$J$9605,NA())</f>
        <v/>
      </c>
    </row>
    <row r="9606">
      <c r="J9606">
        <f>IF(AND(ISNUMBER('Data'!$F$9607),'Data'!$F$9607&lt;&gt;999,'Data'!$F$9607&lt;&gt;""),'Data'!$F$9607,"")</f>
        <v/>
      </c>
      <c r="Z9606" t="n">
        <v>1</v>
      </c>
      <c r="AA9606">
        <f>IF(ISNUMBER('IN-CLASS_Lab Part C'!$J$9606),'IN-CLASS_Lab Part C'!$J$9606,NA())</f>
        <v/>
      </c>
    </row>
    <row r="9607">
      <c r="J9607">
        <f>IF(AND(ISNUMBER('Data'!$F$9608),'Data'!$F$9608&lt;&gt;999,'Data'!$F$9608&lt;&gt;""),'Data'!$F$9608,"")</f>
        <v/>
      </c>
      <c r="Z9607" t="n">
        <v>1</v>
      </c>
      <c r="AA9607">
        <f>IF(ISNUMBER('IN-CLASS_Lab Part C'!$J$9607),'IN-CLASS_Lab Part C'!$J$9607,NA())</f>
        <v/>
      </c>
    </row>
    <row r="9608">
      <c r="J9608">
        <f>IF(AND(ISNUMBER('Data'!$F$9609),'Data'!$F$9609&lt;&gt;999,'Data'!$F$9609&lt;&gt;""),'Data'!$F$9609,"")</f>
        <v/>
      </c>
      <c r="Z9608" t="n">
        <v>1</v>
      </c>
      <c r="AA9608">
        <f>IF(ISNUMBER('IN-CLASS_Lab Part C'!$J$9608),'IN-CLASS_Lab Part C'!$J$9608,NA())</f>
        <v/>
      </c>
    </row>
    <row r="9609">
      <c r="J9609">
        <f>IF(AND(ISNUMBER('Data'!$F$9610),'Data'!$F$9610&lt;&gt;999,'Data'!$F$9610&lt;&gt;""),'Data'!$F$9610,"")</f>
        <v/>
      </c>
      <c r="Z9609" t="n">
        <v>1</v>
      </c>
      <c r="AA9609">
        <f>IF(ISNUMBER('IN-CLASS_Lab Part C'!$J$9609),'IN-CLASS_Lab Part C'!$J$9609,NA())</f>
        <v/>
      </c>
    </row>
    <row r="9610">
      <c r="J9610">
        <f>IF(AND(ISNUMBER('Data'!$F$9611),'Data'!$F$9611&lt;&gt;999,'Data'!$F$9611&lt;&gt;""),'Data'!$F$9611,"")</f>
        <v/>
      </c>
      <c r="Z9610" t="n">
        <v>1</v>
      </c>
      <c r="AA9610">
        <f>IF(ISNUMBER('IN-CLASS_Lab Part C'!$J$9610),'IN-CLASS_Lab Part C'!$J$9610,NA())</f>
        <v/>
      </c>
    </row>
    <row r="9611">
      <c r="J9611">
        <f>IF(AND(ISNUMBER('Data'!$F$9612),'Data'!$F$9612&lt;&gt;999,'Data'!$F$9612&lt;&gt;""),'Data'!$F$9612,"")</f>
        <v/>
      </c>
      <c r="Z9611" t="n">
        <v>1</v>
      </c>
      <c r="AA9611">
        <f>IF(ISNUMBER('IN-CLASS_Lab Part C'!$J$9611),'IN-CLASS_Lab Part C'!$J$9611,NA())</f>
        <v/>
      </c>
    </row>
    <row r="9612">
      <c r="J9612">
        <f>IF(AND(ISNUMBER('Data'!$F$9613),'Data'!$F$9613&lt;&gt;999,'Data'!$F$9613&lt;&gt;""),'Data'!$F$9613,"")</f>
        <v/>
      </c>
      <c r="Z9612" t="n">
        <v>1</v>
      </c>
      <c r="AA9612">
        <f>IF(ISNUMBER('IN-CLASS_Lab Part C'!$J$9612),'IN-CLASS_Lab Part C'!$J$9612,NA())</f>
        <v/>
      </c>
    </row>
    <row r="9613">
      <c r="J9613">
        <f>IF(AND(ISNUMBER('Data'!$F$9614),'Data'!$F$9614&lt;&gt;999,'Data'!$F$9614&lt;&gt;""),'Data'!$F$9614,"")</f>
        <v/>
      </c>
      <c r="Z9613" t="n">
        <v>1</v>
      </c>
      <c r="AA9613">
        <f>IF(ISNUMBER('IN-CLASS_Lab Part C'!$J$9613),'IN-CLASS_Lab Part C'!$J$9613,NA())</f>
        <v/>
      </c>
    </row>
    <row r="9614">
      <c r="J9614">
        <f>IF(AND(ISNUMBER('Data'!$F$9615),'Data'!$F$9615&lt;&gt;999,'Data'!$F$9615&lt;&gt;""),'Data'!$F$9615,"")</f>
        <v/>
      </c>
      <c r="Z9614" t="n">
        <v>1</v>
      </c>
      <c r="AA9614">
        <f>IF(ISNUMBER('IN-CLASS_Lab Part C'!$J$9614),'IN-CLASS_Lab Part C'!$J$9614,NA())</f>
        <v/>
      </c>
    </row>
    <row r="9615">
      <c r="J9615">
        <f>IF(AND(ISNUMBER('Data'!$F$9616),'Data'!$F$9616&lt;&gt;999,'Data'!$F$9616&lt;&gt;""),'Data'!$F$9616,"")</f>
        <v/>
      </c>
      <c r="Z9615" t="n">
        <v>1</v>
      </c>
      <c r="AA9615">
        <f>IF(ISNUMBER('IN-CLASS_Lab Part C'!$J$9615),'IN-CLASS_Lab Part C'!$J$9615,NA())</f>
        <v/>
      </c>
    </row>
    <row r="9616">
      <c r="J9616">
        <f>IF(AND(ISNUMBER('Data'!$F$9617),'Data'!$F$9617&lt;&gt;999,'Data'!$F$9617&lt;&gt;""),'Data'!$F$9617,"")</f>
        <v/>
      </c>
      <c r="Z9616" t="n">
        <v>1</v>
      </c>
      <c r="AA9616">
        <f>IF(ISNUMBER('IN-CLASS_Lab Part C'!$J$9616),'IN-CLASS_Lab Part C'!$J$9616,NA())</f>
        <v/>
      </c>
    </row>
    <row r="9617">
      <c r="J9617">
        <f>IF(AND(ISNUMBER('Data'!$F$9618),'Data'!$F$9618&lt;&gt;999,'Data'!$F$9618&lt;&gt;""),'Data'!$F$9618,"")</f>
        <v/>
      </c>
      <c r="Z9617" t="n">
        <v>1</v>
      </c>
      <c r="AA9617">
        <f>IF(ISNUMBER('IN-CLASS_Lab Part C'!$J$9617),'IN-CLASS_Lab Part C'!$J$9617,NA())</f>
        <v/>
      </c>
    </row>
    <row r="9618">
      <c r="J9618">
        <f>IF(AND(ISNUMBER('Data'!$F$9619),'Data'!$F$9619&lt;&gt;999,'Data'!$F$9619&lt;&gt;""),'Data'!$F$9619,"")</f>
        <v/>
      </c>
      <c r="Z9618" t="n">
        <v>1</v>
      </c>
      <c r="AA9618">
        <f>IF(ISNUMBER('IN-CLASS_Lab Part C'!$J$9618),'IN-CLASS_Lab Part C'!$J$9618,NA())</f>
        <v/>
      </c>
    </row>
    <row r="9619">
      <c r="J9619">
        <f>IF(AND(ISNUMBER('Data'!$F$9620),'Data'!$F$9620&lt;&gt;999,'Data'!$F$9620&lt;&gt;""),'Data'!$F$9620,"")</f>
        <v/>
      </c>
      <c r="Z9619" t="n">
        <v>1</v>
      </c>
      <c r="AA9619">
        <f>IF(ISNUMBER('IN-CLASS_Lab Part C'!$J$9619),'IN-CLASS_Lab Part C'!$J$9619,NA())</f>
        <v/>
      </c>
    </row>
    <row r="9620">
      <c r="J9620">
        <f>IF(AND(ISNUMBER('Data'!$F$9621),'Data'!$F$9621&lt;&gt;999,'Data'!$F$9621&lt;&gt;""),'Data'!$F$9621,"")</f>
        <v/>
      </c>
      <c r="Z9620" t="n">
        <v>1</v>
      </c>
      <c r="AA9620">
        <f>IF(ISNUMBER('IN-CLASS_Lab Part C'!$J$9620),'IN-CLASS_Lab Part C'!$J$9620,NA())</f>
        <v/>
      </c>
    </row>
    <row r="9621">
      <c r="J9621">
        <f>IF(AND(ISNUMBER('Data'!$F$9622),'Data'!$F$9622&lt;&gt;999,'Data'!$F$9622&lt;&gt;""),'Data'!$F$9622,"")</f>
        <v/>
      </c>
      <c r="Z9621" t="n">
        <v>1</v>
      </c>
      <c r="AA9621">
        <f>IF(ISNUMBER('IN-CLASS_Lab Part C'!$J$9621),'IN-CLASS_Lab Part C'!$J$9621,NA())</f>
        <v/>
      </c>
    </row>
    <row r="9622">
      <c r="J9622">
        <f>IF(AND(ISNUMBER('Data'!$F$9623),'Data'!$F$9623&lt;&gt;999,'Data'!$F$9623&lt;&gt;""),'Data'!$F$9623,"")</f>
        <v/>
      </c>
      <c r="Z9622" t="n">
        <v>1</v>
      </c>
      <c r="AA9622">
        <f>IF(ISNUMBER('IN-CLASS_Lab Part C'!$J$9622),'IN-CLASS_Lab Part C'!$J$9622,NA())</f>
        <v/>
      </c>
    </row>
    <row r="9623">
      <c r="J9623">
        <f>IF(AND(ISNUMBER('Data'!$F$9624),'Data'!$F$9624&lt;&gt;999,'Data'!$F$9624&lt;&gt;""),'Data'!$F$9624,"")</f>
        <v/>
      </c>
      <c r="Z9623" t="n">
        <v>1</v>
      </c>
      <c r="AA9623">
        <f>IF(ISNUMBER('IN-CLASS_Lab Part C'!$J$9623),'IN-CLASS_Lab Part C'!$J$9623,NA())</f>
        <v/>
      </c>
    </row>
    <row r="9624">
      <c r="J9624">
        <f>IF(AND(ISNUMBER('Data'!$F$9625),'Data'!$F$9625&lt;&gt;999,'Data'!$F$9625&lt;&gt;""),'Data'!$F$9625,"")</f>
        <v/>
      </c>
      <c r="Z9624" t="n">
        <v>1</v>
      </c>
      <c r="AA9624">
        <f>IF(ISNUMBER('IN-CLASS_Lab Part C'!$J$9624),'IN-CLASS_Lab Part C'!$J$9624,NA())</f>
        <v/>
      </c>
    </row>
    <row r="9625">
      <c r="J9625">
        <f>IF(AND(ISNUMBER('Data'!$F$9626),'Data'!$F$9626&lt;&gt;999,'Data'!$F$9626&lt;&gt;""),'Data'!$F$9626,"")</f>
        <v/>
      </c>
      <c r="Z9625" t="n">
        <v>1</v>
      </c>
      <c r="AA9625">
        <f>IF(ISNUMBER('IN-CLASS_Lab Part C'!$J$9625),'IN-CLASS_Lab Part C'!$J$9625,NA())</f>
        <v/>
      </c>
    </row>
    <row r="9626">
      <c r="J9626">
        <f>IF(AND(ISNUMBER('Data'!$F$9627),'Data'!$F$9627&lt;&gt;999,'Data'!$F$9627&lt;&gt;""),'Data'!$F$9627,"")</f>
        <v/>
      </c>
      <c r="Z9626" t="n">
        <v>1</v>
      </c>
      <c r="AA9626">
        <f>IF(ISNUMBER('IN-CLASS_Lab Part C'!$J$9626),'IN-CLASS_Lab Part C'!$J$9626,NA())</f>
        <v/>
      </c>
    </row>
    <row r="9627">
      <c r="J9627">
        <f>IF(AND(ISNUMBER('Data'!$F$9628),'Data'!$F$9628&lt;&gt;999,'Data'!$F$9628&lt;&gt;""),'Data'!$F$9628,"")</f>
        <v/>
      </c>
      <c r="Z9627" t="n">
        <v>1</v>
      </c>
      <c r="AA9627">
        <f>IF(ISNUMBER('IN-CLASS_Lab Part C'!$J$9627),'IN-CLASS_Lab Part C'!$J$9627,NA())</f>
        <v/>
      </c>
    </row>
    <row r="9628">
      <c r="J9628">
        <f>IF(AND(ISNUMBER('Data'!$F$9629),'Data'!$F$9629&lt;&gt;999,'Data'!$F$9629&lt;&gt;""),'Data'!$F$9629,"")</f>
        <v/>
      </c>
      <c r="Z9628" t="n">
        <v>1</v>
      </c>
      <c r="AA9628">
        <f>IF(ISNUMBER('IN-CLASS_Lab Part C'!$J$9628),'IN-CLASS_Lab Part C'!$J$9628,NA())</f>
        <v/>
      </c>
    </row>
    <row r="9629">
      <c r="J9629">
        <f>IF(AND(ISNUMBER('Data'!$F$9630),'Data'!$F$9630&lt;&gt;999,'Data'!$F$9630&lt;&gt;""),'Data'!$F$9630,"")</f>
        <v/>
      </c>
      <c r="Z9629" t="n">
        <v>1</v>
      </c>
      <c r="AA9629">
        <f>IF(ISNUMBER('IN-CLASS_Lab Part C'!$J$9629),'IN-CLASS_Lab Part C'!$J$9629,NA())</f>
        <v/>
      </c>
    </row>
    <row r="9630">
      <c r="J9630">
        <f>IF(AND(ISNUMBER('Data'!$F$9631),'Data'!$F$9631&lt;&gt;999,'Data'!$F$9631&lt;&gt;""),'Data'!$F$9631,"")</f>
        <v/>
      </c>
      <c r="Z9630" t="n">
        <v>1</v>
      </c>
      <c r="AA9630">
        <f>IF(ISNUMBER('IN-CLASS_Lab Part C'!$J$9630),'IN-CLASS_Lab Part C'!$J$9630,NA())</f>
        <v/>
      </c>
    </row>
    <row r="9631">
      <c r="J9631">
        <f>IF(AND(ISNUMBER('Data'!$F$9632),'Data'!$F$9632&lt;&gt;999,'Data'!$F$9632&lt;&gt;""),'Data'!$F$9632,"")</f>
        <v/>
      </c>
      <c r="Z9631" t="n">
        <v>1</v>
      </c>
      <c r="AA9631">
        <f>IF(ISNUMBER('IN-CLASS_Lab Part C'!$J$9631),'IN-CLASS_Lab Part C'!$J$9631,NA())</f>
        <v/>
      </c>
    </row>
    <row r="9632">
      <c r="J9632">
        <f>IF(AND(ISNUMBER('Data'!$F$9633),'Data'!$F$9633&lt;&gt;999,'Data'!$F$9633&lt;&gt;""),'Data'!$F$9633,"")</f>
        <v/>
      </c>
      <c r="Z9632" t="n">
        <v>1</v>
      </c>
      <c r="AA9632">
        <f>IF(ISNUMBER('IN-CLASS_Lab Part C'!$J$9632),'IN-CLASS_Lab Part C'!$J$9632,NA())</f>
        <v/>
      </c>
    </row>
    <row r="9633">
      <c r="J9633">
        <f>IF(AND(ISNUMBER('Data'!$F$9634),'Data'!$F$9634&lt;&gt;999,'Data'!$F$9634&lt;&gt;""),'Data'!$F$9634,"")</f>
        <v/>
      </c>
      <c r="Z9633" t="n">
        <v>1</v>
      </c>
      <c r="AA9633">
        <f>IF(ISNUMBER('IN-CLASS_Lab Part C'!$J$9633),'IN-CLASS_Lab Part C'!$J$9633,NA())</f>
        <v/>
      </c>
    </row>
    <row r="9634">
      <c r="J9634">
        <f>IF(AND(ISNUMBER('Data'!$F$9635),'Data'!$F$9635&lt;&gt;999,'Data'!$F$9635&lt;&gt;""),'Data'!$F$9635,"")</f>
        <v/>
      </c>
      <c r="Z9634" t="n">
        <v>1</v>
      </c>
      <c r="AA9634">
        <f>IF(ISNUMBER('IN-CLASS_Lab Part C'!$J$9634),'IN-CLASS_Lab Part C'!$J$9634,NA())</f>
        <v/>
      </c>
    </row>
    <row r="9635">
      <c r="J9635">
        <f>IF(AND(ISNUMBER('Data'!$F$9636),'Data'!$F$9636&lt;&gt;999,'Data'!$F$9636&lt;&gt;""),'Data'!$F$9636,"")</f>
        <v/>
      </c>
      <c r="Z9635" t="n">
        <v>1</v>
      </c>
      <c r="AA9635">
        <f>IF(ISNUMBER('IN-CLASS_Lab Part C'!$J$9635),'IN-CLASS_Lab Part C'!$J$9635,NA())</f>
        <v/>
      </c>
    </row>
    <row r="9636">
      <c r="J9636">
        <f>IF(AND(ISNUMBER('Data'!$F$9637),'Data'!$F$9637&lt;&gt;999,'Data'!$F$9637&lt;&gt;""),'Data'!$F$9637,"")</f>
        <v/>
      </c>
      <c r="Z9636" t="n">
        <v>1</v>
      </c>
      <c r="AA9636">
        <f>IF(ISNUMBER('IN-CLASS_Lab Part C'!$J$9636),'IN-CLASS_Lab Part C'!$J$9636,NA())</f>
        <v/>
      </c>
    </row>
    <row r="9637">
      <c r="J9637">
        <f>IF(AND(ISNUMBER('Data'!$F$9638),'Data'!$F$9638&lt;&gt;999,'Data'!$F$9638&lt;&gt;""),'Data'!$F$9638,"")</f>
        <v/>
      </c>
      <c r="Z9637" t="n">
        <v>1</v>
      </c>
      <c r="AA9637">
        <f>IF(ISNUMBER('IN-CLASS_Lab Part C'!$J$9637),'IN-CLASS_Lab Part C'!$J$9637,NA())</f>
        <v/>
      </c>
    </row>
    <row r="9638">
      <c r="J9638">
        <f>IF(AND(ISNUMBER('Data'!$F$9639),'Data'!$F$9639&lt;&gt;999,'Data'!$F$9639&lt;&gt;""),'Data'!$F$9639,"")</f>
        <v/>
      </c>
      <c r="Z9638" t="n">
        <v>1</v>
      </c>
      <c r="AA9638">
        <f>IF(ISNUMBER('IN-CLASS_Lab Part C'!$J$9638),'IN-CLASS_Lab Part C'!$J$9638,NA())</f>
        <v/>
      </c>
    </row>
    <row r="9639">
      <c r="J9639">
        <f>IF(AND(ISNUMBER('Data'!$F$9640),'Data'!$F$9640&lt;&gt;999,'Data'!$F$9640&lt;&gt;""),'Data'!$F$9640,"")</f>
        <v/>
      </c>
      <c r="Z9639" t="n">
        <v>1</v>
      </c>
      <c r="AA9639">
        <f>IF(ISNUMBER('IN-CLASS_Lab Part C'!$J$9639),'IN-CLASS_Lab Part C'!$J$9639,NA())</f>
        <v/>
      </c>
    </row>
    <row r="9640">
      <c r="J9640">
        <f>IF(AND(ISNUMBER('Data'!$F$9641),'Data'!$F$9641&lt;&gt;999,'Data'!$F$9641&lt;&gt;""),'Data'!$F$9641,"")</f>
        <v/>
      </c>
      <c r="Z9640" t="n">
        <v>1</v>
      </c>
      <c r="AA9640">
        <f>IF(ISNUMBER('IN-CLASS_Lab Part C'!$J$9640),'IN-CLASS_Lab Part C'!$J$9640,NA())</f>
        <v/>
      </c>
    </row>
    <row r="9641">
      <c r="J9641">
        <f>IF(AND(ISNUMBER('Data'!$F$9642),'Data'!$F$9642&lt;&gt;999,'Data'!$F$9642&lt;&gt;""),'Data'!$F$9642,"")</f>
        <v/>
      </c>
      <c r="Z9641" t="n">
        <v>1</v>
      </c>
      <c r="AA9641">
        <f>IF(ISNUMBER('IN-CLASS_Lab Part C'!$J$9641),'IN-CLASS_Lab Part C'!$J$9641,NA())</f>
        <v/>
      </c>
    </row>
    <row r="9642">
      <c r="J9642">
        <f>IF(AND(ISNUMBER('Data'!$F$9643),'Data'!$F$9643&lt;&gt;999,'Data'!$F$9643&lt;&gt;""),'Data'!$F$9643,"")</f>
        <v/>
      </c>
      <c r="Z9642" t="n">
        <v>1</v>
      </c>
      <c r="AA9642">
        <f>IF(ISNUMBER('IN-CLASS_Lab Part C'!$J$9642),'IN-CLASS_Lab Part C'!$J$9642,NA())</f>
        <v/>
      </c>
    </row>
    <row r="9643">
      <c r="J9643">
        <f>IF(AND(ISNUMBER('Data'!$F$9644),'Data'!$F$9644&lt;&gt;999,'Data'!$F$9644&lt;&gt;""),'Data'!$F$9644,"")</f>
        <v/>
      </c>
      <c r="Z9643" t="n">
        <v>1</v>
      </c>
      <c r="AA9643">
        <f>IF(ISNUMBER('IN-CLASS_Lab Part C'!$J$9643),'IN-CLASS_Lab Part C'!$J$9643,NA())</f>
        <v/>
      </c>
    </row>
    <row r="9644">
      <c r="J9644">
        <f>IF(AND(ISNUMBER('Data'!$F$9645),'Data'!$F$9645&lt;&gt;999,'Data'!$F$9645&lt;&gt;""),'Data'!$F$9645,"")</f>
        <v/>
      </c>
      <c r="Z9644" t="n">
        <v>1</v>
      </c>
      <c r="AA9644">
        <f>IF(ISNUMBER('IN-CLASS_Lab Part C'!$J$9644),'IN-CLASS_Lab Part C'!$J$9644,NA())</f>
        <v/>
      </c>
    </row>
    <row r="9645">
      <c r="J9645">
        <f>IF(AND(ISNUMBER('Data'!$F$9646),'Data'!$F$9646&lt;&gt;999,'Data'!$F$9646&lt;&gt;""),'Data'!$F$9646,"")</f>
        <v/>
      </c>
      <c r="Z9645" t="n">
        <v>1</v>
      </c>
      <c r="AA9645">
        <f>IF(ISNUMBER('IN-CLASS_Lab Part C'!$J$9645),'IN-CLASS_Lab Part C'!$J$9645,NA())</f>
        <v/>
      </c>
    </row>
    <row r="9646">
      <c r="J9646">
        <f>IF(AND(ISNUMBER('Data'!$F$9647),'Data'!$F$9647&lt;&gt;999,'Data'!$F$9647&lt;&gt;""),'Data'!$F$9647,"")</f>
        <v/>
      </c>
      <c r="Z9646" t="n">
        <v>1</v>
      </c>
      <c r="AA9646">
        <f>IF(ISNUMBER('IN-CLASS_Lab Part C'!$J$9646),'IN-CLASS_Lab Part C'!$J$9646,NA())</f>
        <v/>
      </c>
    </row>
    <row r="9647">
      <c r="J9647">
        <f>IF(AND(ISNUMBER('Data'!$F$9648),'Data'!$F$9648&lt;&gt;999,'Data'!$F$9648&lt;&gt;""),'Data'!$F$9648,"")</f>
        <v/>
      </c>
      <c r="Z9647" t="n">
        <v>1</v>
      </c>
      <c r="AA9647">
        <f>IF(ISNUMBER('IN-CLASS_Lab Part C'!$J$9647),'IN-CLASS_Lab Part C'!$J$9647,NA())</f>
        <v/>
      </c>
    </row>
    <row r="9648">
      <c r="J9648">
        <f>IF(AND(ISNUMBER('Data'!$F$9649),'Data'!$F$9649&lt;&gt;999,'Data'!$F$9649&lt;&gt;""),'Data'!$F$9649,"")</f>
        <v/>
      </c>
      <c r="Z9648" t="n">
        <v>1</v>
      </c>
      <c r="AA9648">
        <f>IF(ISNUMBER('IN-CLASS_Lab Part C'!$J$9648),'IN-CLASS_Lab Part C'!$J$9648,NA())</f>
        <v/>
      </c>
    </row>
    <row r="9649">
      <c r="J9649">
        <f>IF(AND(ISNUMBER('Data'!$F$9650),'Data'!$F$9650&lt;&gt;999,'Data'!$F$9650&lt;&gt;""),'Data'!$F$9650,"")</f>
        <v/>
      </c>
      <c r="Z9649" t="n">
        <v>1</v>
      </c>
      <c r="AA9649">
        <f>IF(ISNUMBER('IN-CLASS_Lab Part C'!$J$9649),'IN-CLASS_Lab Part C'!$J$9649,NA())</f>
        <v/>
      </c>
    </row>
    <row r="9650">
      <c r="J9650">
        <f>IF(AND(ISNUMBER('Data'!$F$9651),'Data'!$F$9651&lt;&gt;999,'Data'!$F$9651&lt;&gt;""),'Data'!$F$9651,"")</f>
        <v/>
      </c>
      <c r="Z9650" t="n">
        <v>1</v>
      </c>
      <c r="AA9650">
        <f>IF(ISNUMBER('IN-CLASS_Lab Part C'!$J$9650),'IN-CLASS_Lab Part C'!$J$9650,NA())</f>
        <v/>
      </c>
    </row>
    <row r="9651">
      <c r="J9651">
        <f>IF(AND(ISNUMBER('Data'!$F$9652),'Data'!$F$9652&lt;&gt;999,'Data'!$F$9652&lt;&gt;""),'Data'!$F$9652,"")</f>
        <v/>
      </c>
      <c r="Z9651" t="n">
        <v>1</v>
      </c>
      <c r="AA9651">
        <f>IF(ISNUMBER('IN-CLASS_Lab Part C'!$J$9651),'IN-CLASS_Lab Part C'!$J$9651,NA())</f>
        <v/>
      </c>
    </row>
    <row r="9652">
      <c r="J9652">
        <f>IF(AND(ISNUMBER('Data'!$F$9653),'Data'!$F$9653&lt;&gt;999,'Data'!$F$9653&lt;&gt;""),'Data'!$F$9653,"")</f>
        <v/>
      </c>
      <c r="Z9652" t="n">
        <v>1</v>
      </c>
      <c r="AA9652">
        <f>IF(ISNUMBER('IN-CLASS_Lab Part C'!$J$9652),'IN-CLASS_Lab Part C'!$J$9652,NA())</f>
        <v/>
      </c>
    </row>
    <row r="9653">
      <c r="J9653">
        <f>IF(AND(ISNUMBER('Data'!$F$9654),'Data'!$F$9654&lt;&gt;999,'Data'!$F$9654&lt;&gt;""),'Data'!$F$9654,"")</f>
        <v/>
      </c>
      <c r="Z9653" t="n">
        <v>1</v>
      </c>
      <c r="AA9653">
        <f>IF(ISNUMBER('IN-CLASS_Lab Part C'!$J$9653),'IN-CLASS_Lab Part C'!$J$9653,NA())</f>
        <v/>
      </c>
    </row>
    <row r="9654">
      <c r="J9654">
        <f>IF(AND(ISNUMBER('Data'!$F$9655),'Data'!$F$9655&lt;&gt;999,'Data'!$F$9655&lt;&gt;""),'Data'!$F$9655,"")</f>
        <v/>
      </c>
      <c r="Z9654" t="n">
        <v>1</v>
      </c>
      <c r="AA9654">
        <f>IF(ISNUMBER('IN-CLASS_Lab Part C'!$J$9654),'IN-CLASS_Lab Part C'!$J$9654,NA())</f>
        <v/>
      </c>
    </row>
    <row r="9655">
      <c r="J9655">
        <f>IF(AND(ISNUMBER('Data'!$F$9656),'Data'!$F$9656&lt;&gt;999,'Data'!$F$9656&lt;&gt;""),'Data'!$F$9656,"")</f>
        <v/>
      </c>
      <c r="Z9655" t="n">
        <v>1</v>
      </c>
      <c r="AA9655">
        <f>IF(ISNUMBER('IN-CLASS_Lab Part C'!$J$9655),'IN-CLASS_Lab Part C'!$J$9655,NA())</f>
        <v/>
      </c>
    </row>
    <row r="9656">
      <c r="J9656">
        <f>IF(AND(ISNUMBER('Data'!$F$9657),'Data'!$F$9657&lt;&gt;999,'Data'!$F$9657&lt;&gt;""),'Data'!$F$9657,"")</f>
        <v/>
      </c>
      <c r="Z9656" t="n">
        <v>1</v>
      </c>
      <c r="AA9656">
        <f>IF(ISNUMBER('IN-CLASS_Lab Part C'!$J$9656),'IN-CLASS_Lab Part C'!$J$9656,NA())</f>
        <v/>
      </c>
    </row>
    <row r="9657">
      <c r="J9657">
        <f>IF(AND(ISNUMBER('Data'!$F$9658),'Data'!$F$9658&lt;&gt;999,'Data'!$F$9658&lt;&gt;""),'Data'!$F$9658,"")</f>
        <v/>
      </c>
      <c r="Z9657" t="n">
        <v>1</v>
      </c>
      <c r="AA9657">
        <f>IF(ISNUMBER('IN-CLASS_Lab Part C'!$J$9657),'IN-CLASS_Lab Part C'!$J$9657,NA())</f>
        <v/>
      </c>
    </row>
    <row r="9658">
      <c r="J9658">
        <f>IF(AND(ISNUMBER('Data'!$F$9659),'Data'!$F$9659&lt;&gt;999,'Data'!$F$9659&lt;&gt;""),'Data'!$F$9659,"")</f>
        <v/>
      </c>
      <c r="Z9658" t="n">
        <v>1</v>
      </c>
      <c r="AA9658">
        <f>IF(ISNUMBER('IN-CLASS_Lab Part C'!$J$9658),'IN-CLASS_Lab Part C'!$J$9658,NA())</f>
        <v/>
      </c>
    </row>
    <row r="9659">
      <c r="J9659">
        <f>IF(AND(ISNUMBER('Data'!$F$9660),'Data'!$F$9660&lt;&gt;999,'Data'!$F$9660&lt;&gt;""),'Data'!$F$9660,"")</f>
        <v/>
      </c>
      <c r="Z9659" t="n">
        <v>1</v>
      </c>
      <c r="AA9659">
        <f>IF(ISNUMBER('IN-CLASS_Lab Part C'!$J$9659),'IN-CLASS_Lab Part C'!$J$9659,NA())</f>
        <v/>
      </c>
    </row>
    <row r="9660">
      <c r="J9660">
        <f>IF(AND(ISNUMBER('Data'!$F$9661),'Data'!$F$9661&lt;&gt;999,'Data'!$F$9661&lt;&gt;""),'Data'!$F$9661,"")</f>
        <v/>
      </c>
      <c r="Z9660" t="n">
        <v>1</v>
      </c>
      <c r="AA9660">
        <f>IF(ISNUMBER('IN-CLASS_Lab Part C'!$J$9660),'IN-CLASS_Lab Part C'!$J$9660,NA())</f>
        <v/>
      </c>
    </row>
    <row r="9661">
      <c r="J9661">
        <f>IF(AND(ISNUMBER('Data'!$F$9662),'Data'!$F$9662&lt;&gt;999,'Data'!$F$9662&lt;&gt;""),'Data'!$F$9662,"")</f>
        <v/>
      </c>
      <c r="Z9661" t="n">
        <v>1</v>
      </c>
      <c r="AA9661">
        <f>IF(ISNUMBER('IN-CLASS_Lab Part C'!$J$9661),'IN-CLASS_Lab Part C'!$J$9661,NA())</f>
        <v/>
      </c>
    </row>
    <row r="9662">
      <c r="J9662">
        <f>IF(AND(ISNUMBER('Data'!$F$9663),'Data'!$F$9663&lt;&gt;999,'Data'!$F$9663&lt;&gt;""),'Data'!$F$9663,"")</f>
        <v/>
      </c>
      <c r="Z9662" t="n">
        <v>1</v>
      </c>
      <c r="AA9662">
        <f>IF(ISNUMBER('IN-CLASS_Lab Part C'!$J$9662),'IN-CLASS_Lab Part C'!$J$9662,NA())</f>
        <v/>
      </c>
    </row>
    <row r="9663">
      <c r="J9663">
        <f>IF(AND(ISNUMBER('Data'!$F$9664),'Data'!$F$9664&lt;&gt;999,'Data'!$F$9664&lt;&gt;""),'Data'!$F$9664,"")</f>
        <v/>
      </c>
      <c r="Z9663" t="n">
        <v>1</v>
      </c>
      <c r="AA9663">
        <f>IF(ISNUMBER('IN-CLASS_Lab Part C'!$J$9663),'IN-CLASS_Lab Part C'!$J$9663,NA())</f>
        <v/>
      </c>
    </row>
    <row r="9664">
      <c r="J9664">
        <f>IF(AND(ISNUMBER('Data'!$F$9665),'Data'!$F$9665&lt;&gt;999,'Data'!$F$9665&lt;&gt;""),'Data'!$F$9665,"")</f>
        <v/>
      </c>
      <c r="Z9664" t="n">
        <v>1</v>
      </c>
      <c r="AA9664">
        <f>IF(ISNUMBER('IN-CLASS_Lab Part C'!$J$9664),'IN-CLASS_Lab Part C'!$J$9664,NA())</f>
        <v/>
      </c>
    </row>
    <row r="9665">
      <c r="J9665">
        <f>IF(AND(ISNUMBER('Data'!$F$9666),'Data'!$F$9666&lt;&gt;999,'Data'!$F$9666&lt;&gt;""),'Data'!$F$9666,"")</f>
        <v/>
      </c>
      <c r="Z9665" t="n">
        <v>1</v>
      </c>
      <c r="AA9665">
        <f>IF(ISNUMBER('IN-CLASS_Lab Part C'!$J$9665),'IN-CLASS_Lab Part C'!$J$9665,NA())</f>
        <v/>
      </c>
    </row>
    <row r="9666">
      <c r="J9666">
        <f>IF(AND(ISNUMBER('Data'!$F$9667),'Data'!$F$9667&lt;&gt;999,'Data'!$F$9667&lt;&gt;""),'Data'!$F$9667,"")</f>
        <v/>
      </c>
      <c r="Z9666" t="n">
        <v>1</v>
      </c>
      <c r="AA9666">
        <f>IF(ISNUMBER('IN-CLASS_Lab Part C'!$J$9666),'IN-CLASS_Lab Part C'!$J$9666,NA())</f>
        <v/>
      </c>
    </row>
    <row r="9667">
      <c r="J9667">
        <f>IF(AND(ISNUMBER('Data'!$F$9668),'Data'!$F$9668&lt;&gt;999,'Data'!$F$9668&lt;&gt;""),'Data'!$F$9668,"")</f>
        <v/>
      </c>
      <c r="Z9667" t="n">
        <v>1</v>
      </c>
      <c r="AA9667">
        <f>IF(ISNUMBER('IN-CLASS_Lab Part C'!$J$9667),'IN-CLASS_Lab Part C'!$J$9667,NA())</f>
        <v/>
      </c>
    </row>
    <row r="9668">
      <c r="J9668">
        <f>IF(AND(ISNUMBER('Data'!$F$9669),'Data'!$F$9669&lt;&gt;999,'Data'!$F$9669&lt;&gt;""),'Data'!$F$9669,"")</f>
        <v/>
      </c>
      <c r="Z9668" t="n">
        <v>1</v>
      </c>
      <c r="AA9668">
        <f>IF(ISNUMBER('IN-CLASS_Lab Part C'!$J$9668),'IN-CLASS_Lab Part C'!$J$9668,NA())</f>
        <v/>
      </c>
    </row>
    <row r="9669">
      <c r="J9669">
        <f>IF(AND(ISNUMBER('Data'!$F$9670),'Data'!$F$9670&lt;&gt;999,'Data'!$F$9670&lt;&gt;""),'Data'!$F$9670,"")</f>
        <v/>
      </c>
      <c r="Z9669" t="n">
        <v>1</v>
      </c>
      <c r="AA9669">
        <f>IF(ISNUMBER('IN-CLASS_Lab Part C'!$J$9669),'IN-CLASS_Lab Part C'!$J$9669,NA())</f>
        <v/>
      </c>
    </row>
    <row r="9670">
      <c r="J9670">
        <f>IF(AND(ISNUMBER('Data'!$F$9671),'Data'!$F$9671&lt;&gt;999,'Data'!$F$9671&lt;&gt;""),'Data'!$F$9671,"")</f>
        <v/>
      </c>
      <c r="Z9670" t="n">
        <v>1</v>
      </c>
      <c r="AA9670">
        <f>IF(ISNUMBER('IN-CLASS_Lab Part C'!$J$9670),'IN-CLASS_Lab Part C'!$J$9670,NA())</f>
        <v/>
      </c>
    </row>
    <row r="9671">
      <c r="J9671">
        <f>IF(AND(ISNUMBER('Data'!$F$9672),'Data'!$F$9672&lt;&gt;999,'Data'!$F$9672&lt;&gt;""),'Data'!$F$9672,"")</f>
        <v/>
      </c>
      <c r="Z9671" t="n">
        <v>1</v>
      </c>
      <c r="AA9671">
        <f>IF(ISNUMBER('IN-CLASS_Lab Part C'!$J$9671),'IN-CLASS_Lab Part C'!$J$9671,NA())</f>
        <v/>
      </c>
    </row>
    <row r="9672">
      <c r="J9672">
        <f>IF(AND(ISNUMBER('Data'!$F$9673),'Data'!$F$9673&lt;&gt;999,'Data'!$F$9673&lt;&gt;""),'Data'!$F$9673,"")</f>
        <v/>
      </c>
      <c r="Z9672" t="n">
        <v>1</v>
      </c>
      <c r="AA9672">
        <f>IF(ISNUMBER('IN-CLASS_Lab Part C'!$J$9672),'IN-CLASS_Lab Part C'!$J$9672,NA())</f>
        <v/>
      </c>
    </row>
    <row r="9673">
      <c r="J9673">
        <f>IF(AND(ISNUMBER('Data'!$F$9674),'Data'!$F$9674&lt;&gt;999,'Data'!$F$9674&lt;&gt;""),'Data'!$F$9674,"")</f>
        <v/>
      </c>
      <c r="Z9673" t="n">
        <v>1</v>
      </c>
      <c r="AA9673">
        <f>IF(ISNUMBER('IN-CLASS_Lab Part C'!$J$9673),'IN-CLASS_Lab Part C'!$J$9673,NA())</f>
        <v/>
      </c>
    </row>
    <row r="9674">
      <c r="J9674">
        <f>IF(AND(ISNUMBER('Data'!$F$9675),'Data'!$F$9675&lt;&gt;999,'Data'!$F$9675&lt;&gt;""),'Data'!$F$9675,"")</f>
        <v/>
      </c>
      <c r="Z9674" t="n">
        <v>1</v>
      </c>
      <c r="AA9674">
        <f>IF(ISNUMBER('IN-CLASS_Lab Part C'!$J$9674),'IN-CLASS_Lab Part C'!$J$9674,NA())</f>
        <v/>
      </c>
    </row>
    <row r="9675">
      <c r="J9675">
        <f>IF(AND(ISNUMBER('Data'!$F$9676),'Data'!$F$9676&lt;&gt;999,'Data'!$F$9676&lt;&gt;""),'Data'!$F$9676,"")</f>
        <v/>
      </c>
      <c r="Z9675" t="n">
        <v>1</v>
      </c>
      <c r="AA9675">
        <f>IF(ISNUMBER('IN-CLASS_Lab Part C'!$J$9675),'IN-CLASS_Lab Part C'!$J$9675,NA())</f>
        <v/>
      </c>
    </row>
    <row r="9676">
      <c r="J9676">
        <f>IF(AND(ISNUMBER('Data'!$F$9677),'Data'!$F$9677&lt;&gt;999,'Data'!$F$9677&lt;&gt;""),'Data'!$F$9677,"")</f>
        <v/>
      </c>
      <c r="Z9676" t="n">
        <v>1</v>
      </c>
      <c r="AA9676">
        <f>IF(ISNUMBER('IN-CLASS_Lab Part C'!$J$9676),'IN-CLASS_Lab Part C'!$J$9676,NA())</f>
        <v/>
      </c>
    </row>
    <row r="9677">
      <c r="J9677">
        <f>IF(AND(ISNUMBER('Data'!$F$9678),'Data'!$F$9678&lt;&gt;999,'Data'!$F$9678&lt;&gt;""),'Data'!$F$9678,"")</f>
        <v/>
      </c>
      <c r="Z9677" t="n">
        <v>1</v>
      </c>
      <c r="AA9677">
        <f>IF(ISNUMBER('IN-CLASS_Lab Part C'!$J$9677),'IN-CLASS_Lab Part C'!$J$9677,NA())</f>
        <v/>
      </c>
    </row>
    <row r="9678">
      <c r="J9678">
        <f>IF(AND(ISNUMBER('Data'!$F$9679),'Data'!$F$9679&lt;&gt;999,'Data'!$F$9679&lt;&gt;""),'Data'!$F$9679,"")</f>
        <v/>
      </c>
      <c r="Z9678" t="n">
        <v>1</v>
      </c>
      <c r="AA9678">
        <f>IF(ISNUMBER('IN-CLASS_Lab Part C'!$J$9678),'IN-CLASS_Lab Part C'!$J$9678,NA())</f>
        <v/>
      </c>
    </row>
    <row r="9679">
      <c r="J9679">
        <f>IF(AND(ISNUMBER('Data'!$F$9680),'Data'!$F$9680&lt;&gt;999,'Data'!$F$9680&lt;&gt;""),'Data'!$F$9680,"")</f>
        <v/>
      </c>
      <c r="Z9679" t="n">
        <v>1</v>
      </c>
      <c r="AA9679">
        <f>IF(ISNUMBER('IN-CLASS_Lab Part C'!$J$9679),'IN-CLASS_Lab Part C'!$J$9679,NA())</f>
        <v/>
      </c>
    </row>
    <row r="9680">
      <c r="J9680">
        <f>IF(AND(ISNUMBER('Data'!$F$9681),'Data'!$F$9681&lt;&gt;999,'Data'!$F$9681&lt;&gt;""),'Data'!$F$9681,"")</f>
        <v/>
      </c>
      <c r="Z9680" t="n">
        <v>1</v>
      </c>
      <c r="AA9680">
        <f>IF(ISNUMBER('IN-CLASS_Lab Part C'!$J$9680),'IN-CLASS_Lab Part C'!$J$9680,NA())</f>
        <v/>
      </c>
    </row>
    <row r="9681">
      <c r="J9681">
        <f>IF(AND(ISNUMBER('Data'!$F$9682),'Data'!$F$9682&lt;&gt;999,'Data'!$F$9682&lt;&gt;""),'Data'!$F$9682,"")</f>
        <v/>
      </c>
      <c r="Z9681" t="n">
        <v>1</v>
      </c>
      <c r="AA9681">
        <f>IF(ISNUMBER('IN-CLASS_Lab Part C'!$J$9681),'IN-CLASS_Lab Part C'!$J$9681,NA())</f>
        <v/>
      </c>
    </row>
    <row r="9682">
      <c r="J9682">
        <f>IF(AND(ISNUMBER('Data'!$F$9683),'Data'!$F$9683&lt;&gt;999,'Data'!$F$9683&lt;&gt;""),'Data'!$F$9683,"")</f>
        <v/>
      </c>
      <c r="Z9682" t="n">
        <v>1</v>
      </c>
      <c r="AA9682">
        <f>IF(ISNUMBER('IN-CLASS_Lab Part C'!$J$9682),'IN-CLASS_Lab Part C'!$J$9682,NA())</f>
        <v/>
      </c>
    </row>
    <row r="9683">
      <c r="J9683">
        <f>IF(AND(ISNUMBER('Data'!$F$9684),'Data'!$F$9684&lt;&gt;999,'Data'!$F$9684&lt;&gt;""),'Data'!$F$9684,"")</f>
        <v/>
      </c>
      <c r="Z9683" t="n">
        <v>1</v>
      </c>
      <c r="AA9683">
        <f>IF(ISNUMBER('IN-CLASS_Lab Part C'!$J$9683),'IN-CLASS_Lab Part C'!$J$9683,NA())</f>
        <v/>
      </c>
    </row>
    <row r="9684">
      <c r="J9684">
        <f>IF(AND(ISNUMBER('Data'!$F$9685),'Data'!$F$9685&lt;&gt;999,'Data'!$F$9685&lt;&gt;""),'Data'!$F$9685,"")</f>
        <v/>
      </c>
      <c r="Z9684" t="n">
        <v>1</v>
      </c>
      <c r="AA9684">
        <f>IF(ISNUMBER('IN-CLASS_Lab Part C'!$J$9684),'IN-CLASS_Lab Part C'!$J$9684,NA())</f>
        <v/>
      </c>
    </row>
    <row r="9685">
      <c r="J9685">
        <f>IF(AND(ISNUMBER('Data'!$F$9686),'Data'!$F$9686&lt;&gt;999,'Data'!$F$9686&lt;&gt;""),'Data'!$F$9686,"")</f>
        <v/>
      </c>
      <c r="Z9685" t="n">
        <v>1</v>
      </c>
      <c r="AA9685">
        <f>IF(ISNUMBER('IN-CLASS_Lab Part C'!$J$9685),'IN-CLASS_Lab Part C'!$J$9685,NA())</f>
        <v/>
      </c>
    </row>
    <row r="9686">
      <c r="J9686">
        <f>IF(AND(ISNUMBER('Data'!$F$9687),'Data'!$F$9687&lt;&gt;999,'Data'!$F$9687&lt;&gt;""),'Data'!$F$9687,"")</f>
        <v/>
      </c>
      <c r="Z9686" t="n">
        <v>1</v>
      </c>
      <c r="AA9686">
        <f>IF(ISNUMBER('IN-CLASS_Lab Part C'!$J$9686),'IN-CLASS_Lab Part C'!$J$9686,NA())</f>
        <v/>
      </c>
    </row>
    <row r="9687">
      <c r="J9687">
        <f>IF(AND(ISNUMBER('Data'!$F$9688),'Data'!$F$9688&lt;&gt;999,'Data'!$F$9688&lt;&gt;""),'Data'!$F$9688,"")</f>
        <v/>
      </c>
      <c r="Z9687" t="n">
        <v>1</v>
      </c>
      <c r="AA9687">
        <f>IF(ISNUMBER('IN-CLASS_Lab Part C'!$J$9687),'IN-CLASS_Lab Part C'!$J$9687,NA())</f>
        <v/>
      </c>
    </row>
    <row r="9688">
      <c r="J9688">
        <f>IF(AND(ISNUMBER('Data'!$F$9689),'Data'!$F$9689&lt;&gt;999,'Data'!$F$9689&lt;&gt;""),'Data'!$F$9689,"")</f>
        <v/>
      </c>
      <c r="Z9688" t="n">
        <v>1</v>
      </c>
      <c r="AA9688">
        <f>IF(ISNUMBER('IN-CLASS_Lab Part C'!$J$9688),'IN-CLASS_Lab Part C'!$J$9688,NA())</f>
        <v/>
      </c>
    </row>
    <row r="9689">
      <c r="J9689">
        <f>IF(AND(ISNUMBER('Data'!$F$9690),'Data'!$F$9690&lt;&gt;999,'Data'!$F$9690&lt;&gt;""),'Data'!$F$9690,"")</f>
        <v/>
      </c>
      <c r="Z9689" t="n">
        <v>1</v>
      </c>
      <c r="AA9689">
        <f>IF(ISNUMBER('IN-CLASS_Lab Part C'!$J$9689),'IN-CLASS_Lab Part C'!$J$9689,NA())</f>
        <v/>
      </c>
    </row>
    <row r="9690">
      <c r="J9690">
        <f>IF(AND(ISNUMBER('Data'!$F$9691),'Data'!$F$9691&lt;&gt;999,'Data'!$F$9691&lt;&gt;""),'Data'!$F$9691,"")</f>
        <v/>
      </c>
      <c r="Z9690" t="n">
        <v>1</v>
      </c>
      <c r="AA9690">
        <f>IF(ISNUMBER('IN-CLASS_Lab Part C'!$J$9690),'IN-CLASS_Lab Part C'!$J$9690,NA())</f>
        <v/>
      </c>
    </row>
    <row r="9691">
      <c r="J9691">
        <f>IF(AND(ISNUMBER('Data'!$F$9692),'Data'!$F$9692&lt;&gt;999,'Data'!$F$9692&lt;&gt;""),'Data'!$F$9692,"")</f>
        <v/>
      </c>
      <c r="Z9691" t="n">
        <v>1</v>
      </c>
      <c r="AA9691">
        <f>IF(ISNUMBER('IN-CLASS_Lab Part C'!$J$9691),'IN-CLASS_Lab Part C'!$J$9691,NA())</f>
        <v/>
      </c>
    </row>
    <row r="9692">
      <c r="J9692">
        <f>IF(AND(ISNUMBER('Data'!$F$9693),'Data'!$F$9693&lt;&gt;999,'Data'!$F$9693&lt;&gt;""),'Data'!$F$9693,"")</f>
        <v/>
      </c>
      <c r="Z9692" t="n">
        <v>1</v>
      </c>
      <c r="AA9692">
        <f>IF(ISNUMBER('IN-CLASS_Lab Part C'!$J$9692),'IN-CLASS_Lab Part C'!$J$9692,NA())</f>
        <v/>
      </c>
    </row>
    <row r="9693">
      <c r="J9693">
        <f>IF(AND(ISNUMBER('Data'!$F$9694),'Data'!$F$9694&lt;&gt;999,'Data'!$F$9694&lt;&gt;""),'Data'!$F$9694,"")</f>
        <v/>
      </c>
      <c r="Z9693" t="n">
        <v>1</v>
      </c>
      <c r="AA9693">
        <f>IF(ISNUMBER('IN-CLASS_Lab Part C'!$J$9693),'IN-CLASS_Lab Part C'!$J$9693,NA())</f>
        <v/>
      </c>
    </row>
    <row r="9694">
      <c r="J9694">
        <f>IF(AND(ISNUMBER('Data'!$F$9695),'Data'!$F$9695&lt;&gt;999,'Data'!$F$9695&lt;&gt;""),'Data'!$F$9695,"")</f>
        <v/>
      </c>
      <c r="Z9694" t="n">
        <v>1</v>
      </c>
      <c r="AA9694">
        <f>IF(ISNUMBER('IN-CLASS_Lab Part C'!$J$9694),'IN-CLASS_Lab Part C'!$J$9694,NA())</f>
        <v/>
      </c>
    </row>
    <row r="9695">
      <c r="J9695">
        <f>IF(AND(ISNUMBER('Data'!$F$9696),'Data'!$F$9696&lt;&gt;999,'Data'!$F$9696&lt;&gt;""),'Data'!$F$9696,"")</f>
        <v/>
      </c>
      <c r="Z9695" t="n">
        <v>1</v>
      </c>
      <c r="AA9695">
        <f>IF(ISNUMBER('IN-CLASS_Lab Part C'!$J$9695),'IN-CLASS_Lab Part C'!$J$9695,NA())</f>
        <v/>
      </c>
    </row>
    <row r="9696">
      <c r="J9696">
        <f>IF(AND(ISNUMBER('Data'!$F$9697),'Data'!$F$9697&lt;&gt;999,'Data'!$F$9697&lt;&gt;""),'Data'!$F$9697,"")</f>
        <v/>
      </c>
      <c r="Z9696" t="n">
        <v>1</v>
      </c>
      <c r="AA9696">
        <f>IF(ISNUMBER('IN-CLASS_Lab Part C'!$J$9696),'IN-CLASS_Lab Part C'!$J$9696,NA())</f>
        <v/>
      </c>
    </row>
    <row r="9697">
      <c r="J9697">
        <f>IF(AND(ISNUMBER('Data'!$F$9698),'Data'!$F$9698&lt;&gt;999,'Data'!$F$9698&lt;&gt;""),'Data'!$F$9698,"")</f>
        <v/>
      </c>
      <c r="Z9697" t="n">
        <v>1</v>
      </c>
      <c r="AA9697">
        <f>IF(ISNUMBER('IN-CLASS_Lab Part C'!$J$9697),'IN-CLASS_Lab Part C'!$J$9697,NA())</f>
        <v/>
      </c>
    </row>
    <row r="9698">
      <c r="J9698">
        <f>IF(AND(ISNUMBER('Data'!$F$9699),'Data'!$F$9699&lt;&gt;999,'Data'!$F$9699&lt;&gt;""),'Data'!$F$9699,"")</f>
        <v/>
      </c>
      <c r="Z9698" t="n">
        <v>1</v>
      </c>
      <c r="AA9698">
        <f>IF(ISNUMBER('IN-CLASS_Lab Part C'!$J$9698),'IN-CLASS_Lab Part C'!$J$9698,NA())</f>
        <v/>
      </c>
    </row>
    <row r="9699">
      <c r="J9699">
        <f>IF(AND(ISNUMBER('Data'!$F$9700),'Data'!$F$9700&lt;&gt;999,'Data'!$F$9700&lt;&gt;""),'Data'!$F$9700,"")</f>
        <v/>
      </c>
      <c r="Z9699" t="n">
        <v>1</v>
      </c>
      <c r="AA9699">
        <f>IF(ISNUMBER('IN-CLASS_Lab Part C'!$J$9699),'IN-CLASS_Lab Part C'!$J$9699,NA())</f>
        <v/>
      </c>
    </row>
    <row r="9700">
      <c r="J9700">
        <f>IF(AND(ISNUMBER('Data'!$F$9701),'Data'!$F$9701&lt;&gt;999,'Data'!$F$9701&lt;&gt;""),'Data'!$F$9701,"")</f>
        <v/>
      </c>
      <c r="Z9700" t="n">
        <v>1</v>
      </c>
      <c r="AA9700">
        <f>IF(ISNUMBER('IN-CLASS_Lab Part C'!$J$9700),'IN-CLASS_Lab Part C'!$J$9700,NA())</f>
        <v/>
      </c>
    </row>
    <row r="9701">
      <c r="J9701">
        <f>IF(AND(ISNUMBER('Data'!$F$9702),'Data'!$F$9702&lt;&gt;999,'Data'!$F$9702&lt;&gt;""),'Data'!$F$9702,"")</f>
        <v/>
      </c>
      <c r="Z9701" t="n">
        <v>1</v>
      </c>
      <c r="AA9701">
        <f>IF(ISNUMBER('IN-CLASS_Lab Part C'!$J$9701),'IN-CLASS_Lab Part C'!$J$9701,NA())</f>
        <v/>
      </c>
    </row>
    <row r="9702">
      <c r="J9702">
        <f>IF(AND(ISNUMBER('Data'!$F$9703),'Data'!$F$9703&lt;&gt;999,'Data'!$F$9703&lt;&gt;""),'Data'!$F$9703,"")</f>
        <v/>
      </c>
      <c r="Z9702" t="n">
        <v>1</v>
      </c>
      <c r="AA9702">
        <f>IF(ISNUMBER('IN-CLASS_Lab Part C'!$J$9702),'IN-CLASS_Lab Part C'!$J$9702,NA())</f>
        <v/>
      </c>
    </row>
    <row r="9703">
      <c r="J9703">
        <f>IF(AND(ISNUMBER('Data'!$F$9704),'Data'!$F$9704&lt;&gt;999,'Data'!$F$9704&lt;&gt;""),'Data'!$F$9704,"")</f>
        <v/>
      </c>
      <c r="Z9703" t="n">
        <v>1</v>
      </c>
      <c r="AA9703">
        <f>IF(ISNUMBER('IN-CLASS_Lab Part C'!$J$9703),'IN-CLASS_Lab Part C'!$J$9703,NA())</f>
        <v/>
      </c>
    </row>
    <row r="9704">
      <c r="J9704">
        <f>IF(AND(ISNUMBER('Data'!$F$9705),'Data'!$F$9705&lt;&gt;999,'Data'!$F$9705&lt;&gt;""),'Data'!$F$9705,"")</f>
        <v/>
      </c>
      <c r="Z9704" t="n">
        <v>1</v>
      </c>
      <c r="AA9704">
        <f>IF(ISNUMBER('IN-CLASS_Lab Part C'!$J$9704),'IN-CLASS_Lab Part C'!$J$9704,NA())</f>
        <v/>
      </c>
    </row>
    <row r="9705">
      <c r="J9705">
        <f>IF(AND(ISNUMBER('Data'!$F$9706),'Data'!$F$9706&lt;&gt;999,'Data'!$F$9706&lt;&gt;""),'Data'!$F$9706,"")</f>
        <v/>
      </c>
      <c r="Z9705" t="n">
        <v>1</v>
      </c>
      <c r="AA9705">
        <f>IF(ISNUMBER('IN-CLASS_Lab Part C'!$J$9705),'IN-CLASS_Lab Part C'!$J$9705,NA())</f>
        <v/>
      </c>
    </row>
    <row r="9706">
      <c r="J9706">
        <f>IF(AND(ISNUMBER('Data'!$F$9707),'Data'!$F$9707&lt;&gt;999,'Data'!$F$9707&lt;&gt;""),'Data'!$F$9707,"")</f>
        <v/>
      </c>
      <c r="Z9706" t="n">
        <v>1</v>
      </c>
      <c r="AA9706">
        <f>IF(ISNUMBER('IN-CLASS_Lab Part C'!$J$9706),'IN-CLASS_Lab Part C'!$J$9706,NA())</f>
        <v/>
      </c>
    </row>
    <row r="9707">
      <c r="J9707">
        <f>IF(AND(ISNUMBER('Data'!$F$9708),'Data'!$F$9708&lt;&gt;999,'Data'!$F$9708&lt;&gt;""),'Data'!$F$9708,"")</f>
        <v/>
      </c>
      <c r="Z9707" t="n">
        <v>1</v>
      </c>
      <c r="AA9707">
        <f>IF(ISNUMBER('IN-CLASS_Lab Part C'!$J$9707),'IN-CLASS_Lab Part C'!$J$9707,NA())</f>
        <v/>
      </c>
    </row>
    <row r="9708">
      <c r="J9708">
        <f>IF(AND(ISNUMBER('Data'!$F$9709),'Data'!$F$9709&lt;&gt;999,'Data'!$F$9709&lt;&gt;""),'Data'!$F$9709,"")</f>
        <v/>
      </c>
      <c r="Z9708" t="n">
        <v>1</v>
      </c>
      <c r="AA9708">
        <f>IF(ISNUMBER('IN-CLASS_Lab Part C'!$J$9708),'IN-CLASS_Lab Part C'!$J$9708,NA())</f>
        <v/>
      </c>
    </row>
    <row r="9709">
      <c r="J9709">
        <f>IF(AND(ISNUMBER('Data'!$F$9710),'Data'!$F$9710&lt;&gt;999,'Data'!$F$9710&lt;&gt;""),'Data'!$F$9710,"")</f>
        <v/>
      </c>
      <c r="Z9709" t="n">
        <v>1</v>
      </c>
      <c r="AA9709">
        <f>IF(ISNUMBER('IN-CLASS_Lab Part C'!$J$9709),'IN-CLASS_Lab Part C'!$J$9709,NA())</f>
        <v/>
      </c>
    </row>
    <row r="9710">
      <c r="J9710">
        <f>IF(AND(ISNUMBER('Data'!$F$9711),'Data'!$F$9711&lt;&gt;999,'Data'!$F$9711&lt;&gt;""),'Data'!$F$9711,"")</f>
        <v/>
      </c>
      <c r="Z9710" t="n">
        <v>1</v>
      </c>
      <c r="AA9710">
        <f>IF(ISNUMBER('IN-CLASS_Lab Part C'!$J$9710),'IN-CLASS_Lab Part C'!$J$9710,NA())</f>
        <v/>
      </c>
    </row>
    <row r="9711">
      <c r="J9711">
        <f>IF(AND(ISNUMBER('Data'!$F$9712),'Data'!$F$9712&lt;&gt;999,'Data'!$F$9712&lt;&gt;""),'Data'!$F$9712,"")</f>
        <v/>
      </c>
      <c r="Z9711" t="n">
        <v>1</v>
      </c>
      <c r="AA9711">
        <f>IF(ISNUMBER('IN-CLASS_Lab Part C'!$J$9711),'IN-CLASS_Lab Part C'!$J$9711,NA())</f>
        <v/>
      </c>
    </row>
    <row r="9712">
      <c r="J9712">
        <f>IF(AND(ISNUMBER('Data'!$F$9713),'Data'!$F$9713&lt;&gt;999,'Data'!$F$9713&lt;&gt;""),'Data'!$F$9713,"")</f>
        <v/>
      </c>
      <c r="Z9712" t="n">
        <v>1</v>
      </c>
      <c r="AA9712">
        <f>IF(ISNUMBER('IN-CLASS_Lab Part C'!$J$9712),'IN-CLASS_Lab Part C'!$J$9712,NA())</f>
        <v/>
      </c>
    </row>
    <row r="9713">
      <c r="J9713">
        <f>IF(AND(ISNUMBER('Data'!$F$9714),'Data'!$F$9714&lt;&gt;999,'Data'!$F$9714&lt;&gt;""),'Data'!$F$9714,"")</f>
        <v/>
      </c>
      <c r="Z9713" t="n">
        <v>1</v>
      </c>
      <c r="AA9713">
        <f>IF(ISNUMBER('IN-CLASS_Lab Part C'!$J$9713),'IN-CLASS_Lab Part C'!$J$9713,NA())</f>
        <v/>
      </c>
    </row>
    <row r="9714">
      <c r="J9714">
        <f>IF(AND(ISNUMBER('Data'!$F$9715),'Data'!$F$9715&lt;&gt;999,'Data'!$F$9715&lt;&gt;""),'Data'!$F$9715,"")</f>
        <v/>
      </c>
      <c r="Z9714" t="n">
        <v>1</v>
      </c>
      <c r="AA9714">
        <f>IF(ISNUMBER('IN-CLASS_Lab Part C'!$J$9714),'IN-CLASS_Lab Part C'!$J$9714,NA())</f>
        <v/>
      </c>
    </row>
    <row r="9715">
      <c r="J9715">
        <f>IF(AND(ISNUMBER('Data'!$F$9716),'Data'!$F$9716&lt;&gt;999,'Data'!$F$9716&lt;&gt;""),'Data'!$F$9716,"")</f>
        <v/>
      </c>
      <c r="Z9715" t="n">
        <v>1</v>
      </c>
      <c r="AA9715">
        <f>IF(ISNUMBER('IN-CLASS_Lab Part C'!$J$9715),'IN-CLASS_Lab Part C'!$J$9715,NA())</f>
        <v/>
      </c>
    </row>
    <row r="9716">
      <c r="J9716">
        <f>IF(AND(ISNUMBER('Data'!$F$9717),'Data'!$F$9717&lt;&gt;999,'Data'!$F$9717&lt;&gt;""),'Data'!$F$9717,"")</f>
        <v/>
      </c>
      <c r="Z9716" t="n">
        <v>1</v>
      </c>
      <c r="AA9716">
        <f>IF(ISNUMBER('IN-CLASS_Lab Part C'!$J$9716),'IN-CLASS_Lab Part C'!$J$9716,NA())</f>
        <v/>
      </c>
    </row>
    <row r="9717">
      <c r="J9717">
        <f>IF(AND(ISNUMBER('Data'!$F$9718),'Data'!$F$9718&lt;&gt;999,'Data'!$F$9718&lt;&gt;""),'Data'!$F$9718,"")</f>
        <v/>
      </c>
      <c r="Z9717" t="n">
        <v>1</v>
      </c>
      <c r="AA9717">
        <f>IF(ISNUMBER('IN-CLASS_Lab Part C'!$J$9717),'IN-CLASS_Lab Part C'!$J$9717,NA())</f>
        <v/>
      </c>
    </row>
    <row r="9718">
      <c r="J9718">
        <f>IF(AND(ISNUMBER('Data'!$F$9719),'Data'!$F$9719&lt;&gt;999,'Data'!$F$9719&lt;&gt;""),'Data'!$F$9719,"")</f>
        <v/>
      </c>
      <c r="Z9718" t="n">
        <v>1</v>
      </c>
      <c r="AA9718">
        <f>IF(ISNUMBER('IN-CLASS_Lab Part C'!$J$9718),'IN-CLASS_Lab Part C'!$J$9718,NA())</f>
        <v/>
      </c>
    </row>
    <row r="9719">
      <c r="J9719">
        <f>IF(AND(ISNUMBER('Data'!$F$9720),'Data'!$F$9720&lt;&gt;999,'Data'!$F$9720&lt;&gt;""),'Data'!$F$9720,"")</f>
        <v/>
      </c>
      <c r="Z9719" t="n">
        <v>1</v>
      </c>
      <c r="AA9719">
        <f>IF(ISNUMBER('IN-CLASS_Lab Part C'!$J$9719),'IN-CLASS_Lab Part C'!$J$9719,NA())</f>
        <v/>
      </c>
    </row>
    <row r="9720">
      <c r="J9720">
        <f>IF(AND(ISNUMBER('Data'!$F$9721),'Data'!$F$9721&lt;&gt;999,'Data'!$F$9721&lt;&gt;""),'Data'!$F$9721,"")</f>
        <v/>
      </c>
      <c r="Z9720" t="n">
        <v>1</v>
      </c>
      <c r="AA9720">
        <f>IF(ISNUMBER('IN-CLASS_Lab Part C'!$J$9720),'IN-CLASS_Lab Part C'!$J$9720,NA())</f>
        <v/>
      </c>
    </row>
    <row r="9721">
      <c r="J9721">
        <f>IF(AND(ISNUMBER('Data'!$F$9722),'Data'!$F$9722&lt;&gt;999,'Data'!$F$9722&lt;&gt;""),'Data'!$F$9722,"")</f>
        <v/>
      </c>
      <c r="Z9721" t="n">
        <v>1</v>
      </c>
      <c r="AA9721">
        <f>IF(ISNUMBER('IN-CLASS_Lab Part C'!$J$9721),'IN-CLASS_Lab Part C'!$J$9721,NA())</f>
        <v/>
      </c>
    </row>
    <row r="9722">
      <c r="J9722">
        <f>IF(AND(ISNUMBER('Data'!$F$9723),'Data'!$F$9723&lt;&gt;999,'Data'!$F$9723&lt;&gt;""),'Data'!$F$9723,"")</f>
        <v/>
      </c>
      <c r="Z9722" t="n">
        <v>1</v>
      </c>
      <c r="AA9722">
        <f>IF(ISNUMBER('IN-CLASS_Lab Part C'!$J$9722),'IN-CLASS_Lab Part C'!$J$9722,NA())</f>
        <v/>
      </c>
    </row>
    <row r="9723">
      <c r="J9723">
        <f>IF(AND(ISNUMBER('Data'!$F$9724),'Data'!$F$9724&lt;&gt;999,'Data'!$F$9724&lt;&gt;""),'Data'!$F$9724,"")</f>
        <v/>
      </c>
      <c r="Z9723" t="n">
        <v>1</v>
      </c>
      <c r="AA9723">
        <f>IF(ISNUMBER('IN-CLASS_Lab Part C'!$J$9723),'IN-CLASS_Lab Part C'!$J$9723,NA())</f>
        <v/>
      </c>
    </row>
    <row r="9724">
      <c r="J9724">
        <f>IF(AND(ISNUMBER('Data'!$F$9725),'Data'!$F$9725&lt;&gt;999,'Data'!$F$9725&lt;&gt;""),'Data'!$F$9725,"")</f>
        <v/>
      </c>
      <c r="Z9724" t="n">
        <v>1</v>
      </c>
      <c r="AA9724">
        <f>IF(ISNUMBER('IN-CLASS_Lab Part C'!$J$9724),'IN-CLASS_Lab Part C'!$J$9724,NA())</f>
        <v/>
      </c>
    </row>
    <row r="9725">
      <c r="J9725">
        <f>IF(AND(ISNUMBER('Data'!$F$9726),'Data'!$F$9726&lt;&gt;999,'Data'!$F$9726&lt;&gt;""),'Data'!$F$9726,"")</f>
        <v/>
      </c>
      <c r="Z9725" t="n">
        <v>1</v>
      </c>
      <c r="AA9725">
        <f>IF(ISNUMBER('IN-CLASS_Lab Part C'!$J$9725),'IN-CLASS_Lab Part C'!$J$9725,NA())</f>
        <v/>
      </c>
    </row>
    <row r="9726">
      <c r="J9726">
        <f>IF(AND(ISNUMBER('Data'!$F$9727),'Data'!$F$9727&lt;&gt;999,'Data'!$F$9727&lt;&gt;""),'Data'!$F$9727,"")</f>
        <v/>
      </c>
      <c r="Z9726" t="n">
        <v>1</v>
      </c>
      <c r="AA9726">
        <f>IF(ISNUMBER('IN-CLASS_Lab Part C'!$J$9726),'IN-CLASS_Lab Part C'!$J$9726,NA())</f>
        <v/>
      </c>
    </row>
    <row r="9727">
      <c r="J9727">
        <f>IF(AND(ISNUMBER('Data'!$F$9728),'Data'!$F$9728&lt;&gt;999,'Data'!$F$9728&lt;&gt;""),'Data'!$F$9728,"")</f>
        <v/>
      </c>
      <c r="Z9727" t="n">
        <v>1</v>
      </c>
      <c r="AA9727">
        <f>IF(ISNUMBER('IN-CLASS_Lab Part C'!$J$9727),'IN-CLASS_Lab Part C'!$J$9727,NA())</f>
        <v/>
      </c>
    </row>
    <row r="9728">
      <c r="J9728">
        <f>IF(AND(ISNUMBER('Data'!$F$9729),'Data'!$F$9729&lt;&gt;999,'Data'!$F$9729&lt;&gt;""),'Data'!$F$9729,"")</f>
        <v/>
      </c>
      <c r="Z9728" t="n">
        <v>1</v>
      </c>
      <c r="AA9728">
        <f>IF(ISNUMBER('IN-CLASS_Lab Part C'!$J$9728),'IN-CLASS_Lab Part C'!$J$9728,NA())</f>
        <v/>
      </c>
    </row>
    <row r="9729">
      <c r="J9729">
        <f>IF(AND(ISNUMBER('Data'!$F$9730),'Data'!$F$9730&lt;&gt;999,'Data'!$F$9730&lt;&gt;""),'Data'!$F$9730,"")</f>
        <v/>
      </c>
      <c r="Z9729" t="n">
        <v>1</v>
      </c>
      <c r="AA9729">
        <f>IF(ISNUMBER('IN-CLASS_Lab Part C'!$J$9729),'IN-CLASS_Lab Part C'!$J$9729,NA())</f>
        <v/>
      </c>
    </row>
    <row r="9730">
      <c r="J9730">
        <f>IF(AND(ISNUMBER('Data'!$F$9731),'Data'!$F$9731&lt;&gt;999,'Data'!$F$9731&lt;&gt;""),'Data'!$F$9731,"")</f>
        <v/>
      </c>
      <c r="Z9730" t="n">
        <v>1</v>
      </c>
      <c r="AA9730">
        <f>IF(ISNUMBER('IN-CLASS_Lab Part C'!$J$9730),'IN-CLASS_Lab Part C'!$J$9730,NA())</f>
        <v/>
      </c>
    </row>
    <row r="9731">
      <c r="J9731">
        <f>IF(AND(ISNUMBER('Data'!$F$9732),'Data'!$F$9732&lt;&gt;999,'Data'!$F$9732&lt;&gt;""),'Data'!$F$9732,"")</f>
        <v/>
      </c>
      <c r="Z9731" t="n">
        <v>1</v>
      </c>
      <c r="AA9731">
        <f>IF(ISNUMBER('IN-CLASS_Lab Part C'!$J$9731),'IN-CLASS_Lab Part C'!$J$9731,NA())</f>
        <v/>
      </c>
    </row>
    <row r="9732">
      <c r="J9732">
        <f>IF(AND(ISNUMBER('Data'!$F$9733),'Data'!$F$9733&lt;&gt;999,'Data'!$F$9733&lt;&gt;""),'Data'!$F$9733,"")</f>
        <v/>
      </c>
      <c r="Z9732" t="n">
        <v>1</v>
      </c>
      <c r="AA9732">
        <f>IF(ISNUMBER('IN-CLASS_Lab Part C'!$J$9732),'IN-CLASS_Lab Part C'!$J$9732,NA())</f>
        <v/>
      </c>
    </row>
    <row r="9733">
      <c r="J9733">
        <f>IF(AND(ISNUMBER('Data'!$F$9734),'Data'!$F$9734&lt;&gt;999,'Data'!$F$9734&lt;&gt;""),'Data'!$F$9734,"")</f>
        <v/>
      </c>
      <c r="Z9733" t="n">
        <v>1</v>
      </c>
      <c r="AA9733">
        <f>IF(ISNUMBER('IN-CLASS_Lab Part C'!$J$9733),'IN-CLASS_Lab Part C'!$J$9733,NA())</f>
        <v/>
      </c>
    </row>
    <row r="9734">
      <c r="J9734">
        <f>IF(AND(ISNUMBER('Data'!$F$9735),'Data'!$F$9735&lt;&gt;999,'Data'!$F$9735&lt;&gt;""),'Data'!$F$9735,"")</f>
        <v/>
      </c>
      <c r="Z9734" t="n">
        <v>1</v>
      </c>
      <c r="AA9734">
        <f>IF(ISNUMBER('IN-CLASS_Lab Part C'!$J$9734),'IN-CLASS_Lab Part C'!$J$9734,NA())</f>
        <v/>
      </c>
    </row>
    <row r="9735">
      <c r="J9735">
        <f>IF(AND(ISNUMBER('Data'!$F$9736),'Data'!$F$9736&lt;&gt;999,'Data'!$F$9736&lt;&gt;""),'Data'!$F$9736,"")</f>
        <v/>
      </c>
      <c r="Z9735" t="n">
        <v>1</v>
      </c>
      <c r="AA9735">
        <f>IF(ISNUMBER('IN-CLASS_Lab Part C'!$J$9735),'IN-CLASS_Lab Part C'!$J$9735,NA())</f>
        <v/>
      </c>
    </row>
    <row r="9736">
      <c r="J9736">
        <f>IF(AND(ISNUMBER('Data'!$F$9737),'Data'!$F$9737&lt;&gt;999,'Data'!$F$9737&lt;&gt;""),'Data'!$F$9737,"")</f>
        <v/>
      </c>
      <c r="Z9736" t="n">
        <v>1</v>
      </c>
      <c r="AA9736">
        <f>IF(ISNUMBER('IN-CLASS_Lab Part C'!$J$9736),'IN-CLASS_Lab Part C'!$J$9736,NA())</f>
        <v/>
      </c>
    </row>
    <row r="9737">
      <c r="J9737">
        <f>IF(AND(ISNUMBER('Data'!$F$9738),'Data'!$F$9738&lt;&gt;999,'Data'!$F$9738&lt;&gt;""),'Data'!$F$9738,"")</f>
        <v/>
      </c>
      <c r="Z9737" t="n">
        <v>1</v>
      </c>
      <c r="AA9737">
        <f>IF(ISNUMBER('IN-CLASS_Lab Part C'!$J$9737),'IN-CLASS_Lab Part C'!$J$9737,NA())</f>
        <v/>
      </c>
    </row>
    <row r="9738">
      <c r="J9738">
        <f>IF(AND(ISNUMBER('Data'!$F$9739),'Data'!$F$9739&lt;&gt;999,'Data'!$F$9739&lt;&gt;""),'Data'!$F$9739,"")</f>
        <v/>
      </c>
      <c r="Z9738" t="n">
        <v>1</v>
      </c>
      <c r="AA9738">
        <f>IF(ISNUMBER('IN-CLASS_Lab Part C'!$J$9738),'IN-CLASS_Lab Part C'!$J$9738,NA())</f>
        <v/>
      </c>
    </row>
    <row r="9739">
      <c r="J9739">
        <f>IF(AND(ISNUMBER('Data'!$F$9740),'Data'!$F$9740&lt;&gt;999,'Data'!$F$9740&lt;&gt;""),'Data'!$F$9740,"")</f>
        <v/>
      </c>
      <c r="Z9739" t="n">
        <v>1</v>
      </c>
      <c r="AA9739">
        <f>IF(ISNUMBER('IN-CLASS_Lab Part C'!$J$9739),'IN-CLASS_Lab Part C'!$J$9739,NA())</f>
        <v/>
      </c>
    </row>
    <row r="9740">
      <c r="J9740">
        <f>IF(AND(ISNUMBER('Data'!$F$9741),'Data'!$F$9741&lt;&gt;999,'Data'!$F$9741&lt;&gt;""),'Data'!$F$9741,"")</f>
        <v/>
      </c>
      <c r="Z9740" t="n">
        <v>1</v>
      </c>
      <c r="AA9740">
        <f>IF(ISNUMBER('IN-CLASS_Lab Part C'!$J$9740),'IN-CLASS_Lab Part C'!$J$9740,NA())</f>
        <v/>
      </c>
    </row>
    <row r="9741">
      <c r="J9741">
        <f>IF(AND(ISNUMBER('Data'!$F$9742),'Data'!$F$9742&lt;&gt;999,'Data'!$F$9742&lt;&gt;""),'Data'!$F$9742,"")</f>
        <v/>
      </c>
      <c r="Z9741" t="n">
        <v>1</v>
      </c>
      <c r="AA9741">
        <f>IF(ISNUMBER('IN-CLASS_Lab Part C'!$J$9741),'IN-CLASS_Lab Part C'!$J$9741,NA())</f>
        <v/>
      </c>
    </row>
    <row r="9742">
      <c r="J9742">
        <f>IF(AND(ISNUMBER('Data'!$F$9743),'Data'!$F$9743&lt;&gt;999,'Data'!$F$9743&lt;&gt;""),'Data'!$F$9743,"")</f>
        <v/>
      </c>
      <c r="Z9742" t="n">
        <v>1</v>
      </c>
      <c r="AA9742">
        <f>IF(ISNUMBER('IN-CLASS_Lab Part C'!$J$9742),'IN-CLASS_Lab Part C'!$J$9742,NA())</f>
        <v/>
      </c>
    </row>
    <row r="9743">
      <c r="J9743">
        <f>IF(AND(ISNUMBER('Data'!$F$9744),'Data'!$F$9744&lt;&gt;999,'Data'!$F$9744&lt;&gt;""),'Data'!$F$9744,"")</f>
        <v/>
      </c>
      <c r="Z9743" t="n">
        <v>1</v>
      </c>
      <c r="AA9743">
        <f>IF(ISNUMBER('IN-CLASS_Lab Part C'!$J$9743),'IN-CLASS_Lab Part C'!$J$9743,NA())</f>
        <v/>
      </c>
    </row>
    <row r="9744">
      <c r="J9744">
        <f>IF(AND(ISNUMBER('Data'!$F$9745),'Data'!$F$9745&lt;&gt;999,'Data'!$F$9745&lt;&gt;""),'Data'!$F$9745,"")</f>
        <v/>
      </c>
      <c r="Z9744" t="n">
        <v>1</v>
      </c>
      <c r="AA9744">
        <f>IF(ISNUMBER('IN-CLASS_Lab Part C'!$J$9744),'IN-CLASS_Lab Part C'!$J$9744,NA())</f>
        <v/>
      </c>
    </row>
    <row r="9745">
      <c r="J9745">
        <f>IF(AND(ISNUMBER('Data'!$F$9746),'Data'!$F$9746&lt;&gt;999,'Data'!$F$9746&lt;&gt;""),'Data'!$F$9746,"")</f>
        <v/>
      </c>
      <c r="Z9745" t="n">
        <v>1</v>
      </c>
      <c r="AA9745">
        <f>IF(ISNUMBER('IN-CLASS_Lab Part C'!$J$9745),'IN-CLASS_Lab Part C'!$J$9745,NA())</f>
        <v/>
      </c>
    </row>
    <row r="9746">
      <c r="J9746">
        <f>IF(AND(ISNUMBER('Data'!$F$9747),'Data'!$F$9747&lt;&gt;999,'Data'!$F$9747&lt;&gt;""),'Data'!$F$9747,"")</f>
        <v/>
      </c>
      <c r="Z9746" t="n">
        <v>1</v>
      </c>
      <c r="AA9746">
        <f>IF(ISNUMBER('IN-CLASS_Lab Part C'!$J$9746),'IN-CLASS_Lab Part C'!$J$9746,NA())</f>
        <v/>
      </c>
    </row>
    <row r="9747">
      <c r="J9747">
        <f>IF(AND(ISNUMBER('Data'!$F$9748),'Data'!$F$9748&lt;&gt;999,'Data'!$F$9748&lt;&gt;""),'Data'!$F$9748,"")</f>
        <v/>
      </c>
      <c r="Z9747" t="n">
        <v>1</v>
      </c>
      <c r="AA9747">
        <f>IF(ISNUMBER('IN-CLASS_Lab Part C'!$J$9747),'IN-CLASS_Lab Part C'!$J$9747,NA())</f>
        <v/>
      </c>
    </row>
    <row r="9748">
      <c r="J9748">
        <f>IF(AND(ISNUMBER('Data'!$F$9749),'Data'!$F$9749&lt;&gt;999,'Data'!$F$9749&lt;&gt;""),'Data'!$F$9749,"")</f>
        <v/>
      </c>
      <c r="Z9748" t="n">
        <v>1</v>
      </c>
      <c r="AA9748">
        <f>IF(ISNUMBER('IN-CLASS_Lab Part C'!$J$9748),'IN-CLASS_Lab Part C'!$J$9748,NA())</f>
        <v/>
      </c>
    </row>
    <row r="9749">
      <c r="J9749">
        <f>IF(AND(ISNUMBER('Data'!$F$9750),'Data'!$F$9750&lt;&gt;999,'Data'!$F$9750&lt;&gt;""),'Data'!$F$9750,"")</f>
        <v/>
      </c>
      <c r="Z9749" t="n">
        <v>1</v>
      </c>
      <c r="AA9749">
        <f>IF(ISNUMBER('IN-CLASS_Lab Part C'!$J$9749),'IN-CLASS_Lab Part C'!$J$9749,NA())</f>
        <v/>
      </c>
    </row>
    <row r="9750">
      <c r="J9750">
        <f>IF(AND(ISNUMBER('Data'!$F$9751),'Data'!$F$9751&lt;&gt;999,'Data'!$F$9751&lt;&gt;""),'Data'!$F$9751,"")</f>
        <v/>
      </c>
      <c r="Z9750" t="n">
        <v>1</v>
      </c>
      <c r="AA9750">
        <f>IF(ISNUMBER('IN-CLASS_Lab Part C'!$J$9750),'IN-CLASS_Lab Part C'!$J$9750,NA())</f>
        <v/>
      </c>
    </row>
    <row r="9751">
      <c r="J9751">
        <f>IF(AND(ISNUMBER('Data'!$F$9752),'Data'!$F$9752&lt;&gt;999,'Data'!$F$9752&lt;&gt;""),'Data'!$F$9752,"")</f>
        <v/>
      </c>
      <c r="Z9751" t="n">
        <v>1</v>
      </c>
      <c r="AA9751">
        <f>IF(ISNUMBER('IN-CLASS_Lab Part C'!$J$9751),'IN-CLASS_Lab Part C'!$J$9751,NA())</f>
        <v/>
      </c>
    </row>
    <row r="9752">
      <c r="J9752">
        <f>IF(AND(ISNUMBER('Data'!$F$9753),'Data'!$F$9753&lt;&gt;999,'Data'!$F$9753&lt;&gt;""),'Data'!$F$9753,"")</f>
        <v/>
      </c>
      <c r="Z9752" t="n">
        <v>1</v>
      </c>
      <c r="AA9752">
        <f>IF(ISNUMBER('IN-CLASS_Lab Part C'!$J$9752),'IN-CLASS_Lab Part C'!$J$9752,NA())</f>
        <v/>
      </c>
    </row>
    <row r="9753">
      <c r="J9753">
        <f>IF(AND(ISNUMBER('Data'!$F$9754),'Data'!$F$9754&lt;&gt;999,'Data'!$F$9754&lt;&gt;""),'Data'!$F$9754,"")</f>
        <v/>
      </c>
      <c r="Z9753" t="n">
        <v>1</v>
      </c>
      <c r="AA9753">
        <f>IF(ISNUMBER('IN-CLASS_Lab Part C'!$J$9753),'IN-CLASS_Lab Part C'!$J$9753,NA())</f>
        <v/>
      </c>
    </row>
    <row r="9754">
      <c r="J9754">
        <f>IF(AND(ISNUMBER('Data'!$F$9755),'Data'!$F$9755&lt;&gt;999,'Data'!$F$9755&lt;&gt;""),'Data'!$F$9755,"")</f>
        <v/>
      </c>
      <c r="Z9754" t="n">
        <v>1</v>
      </c>
      <c r="AA9754">
        <f>IF(ISNUMBER('IN-CLASS_Lab Part C'!$J$9754),'IN-CLASS_Lab Part C'!$J$9754,NA())</f>
        <v/>
      </c>
    </row>
    <row r="9755">
      <c r="J9755">
        <f>IF(AND(ISNUMBER('Data'!$F$9756),'Data'!$F$9756&lt;&gt;999,'Data'!$F$9756&lt;&gt;""),'Data'!$F$9756,"")</f>
        <v/>
      </c>
      <c r="Z9755" t="n">
        <v>1</v>
      </c>
      <c r="AA9755">
        <f>IF(ISNUMBER('IN-CLASS_Lab Part C'!$J$9755),'IN-CLASS_Lab Part C'!$J$9755,NA())</f>
        <v/>
      </c>
    </row>
    <row r="9756">
      <c r="J9756">
        <f>IF(AND(ISNUMBER('Data'!$F$9757),'Data'!$F$9757&lt;&gt;999,'Data'!$F$9757&lt;&gt;""),'Data'!$F$9757,"")</f>
        <v/>
      </c>
      <c r="Z9756" t="n">
        <v>1</v>
      </c>
      <c r="AA9756">
        <f>IF(ISNUMBER('IN-CLASS_Lab Part C'!$J$9756),'IN-CLASS_Lab Part C'!$J$9756,NA())</f>
        <v/>
      </c>
    </row>
    <row r="9757">
      <c r="J9757">
        <f>IF(AND(ISNUMBER('Data'!$F$9758),'Data'!$F$9758&lt;&gt;999,'Data'!$F$9758&lt;&gt;""),'Data'!$F$9758,"")</f>
        <v/>
      </c>
      <c r="Z9757" t="n">
        <v>1</v>
      </c>
      <c r="AA9757">
        <f>IF(ISNUMBER('IN-CLASS_Lab Part C'!$J$9757),'IN-CLASS_Lab Part C'!$J$9757,NA())</f>
        <v/>
      </c>
    </row>
    <row r="9758">
      <c r="J9758">
        <f>IF(AND(ISNUMBER('Data'!$F$9759),'Data'!$F$9759&lt;&gt;999,'Data'!$F$9759&lt;&gt;""),'Data'!$F$9759,"")</f>
        <v/>
      </c>
      <c r="Z9758" t="n">
        <v>1</v>
      </c>
      <c r="AA9758">
        <f>IF(ISNUMBER('IN-CLASS_Lab Part C'!$J$9758),'IN-CLASS_Lab Part C'!$J$9758,NA())</f>
        <v/>
      </c>
    </row>
    <row r="9759">
      <c r="J9759">
        <f>IF(AND(ISNUMBER('Data'!$F$9760),'Data'!$F$9760&lt;&gt;999,'Data'!$F$9760&lt;&gt;""),'Data'!$F$9760,"")</f>
        <v/>
      </c>
      <c r="Z9759" t="n">
        <v>1</v>
      </c>
      <c r="AA9759">
        <f>IF(ISNUMBER('IN-CLASS_Lab Part C'!$J$9759),'IN-CLASS_Lab Part C'!$J$9759,NA())</f>
        <v/>
      </c>
    </row>
    <row r="9760">
      <c r="J9760">
        <f>IF(AND(ISNUMBER('Data'!$F$9761),'Data'!$F$9761&lt;&gt;999,'Data'!$F$9761&lt;&gt;""),'Data'!$F$9761,"")</f>
        <v/>
      </c>
      <c r="Z9760" t="n">
        <v>1</v>
      </c>
      <c r="AA9760">
        <f>IF(ISNUMBER('IN-CLASS_Lab Part C'!$J$9760),'IN-CLASS_Lab Part C'!$J$9760,NA())</f>
        <v/>
      </c>
    </row>
    <row r="9761">
      <c r="J9761">
        <f>IF(AND(ISNUMBER('Data'!$F$9762),'Data'!$F$9762&lt;&gt;999,'Data'!$F$9762&lt;&gt;""),'Data'!$F$9762,"")</f>
        <v/>
      </c>
      <c r="Z9761" t="n">
        <v>1</v>
      </c>
      <c r="AA9761">
        <f>IF(ISNUMBER('IN-CLASS_Lab Part C'!$J$9761),'IN-CLASS_Lab Part C'!$J$9761,NA())</f>
        <v/>
      </c>
    </row>
    <row r="9762">
      <c r="J9762">
        <f>IF(AND(ISNUMBER('Data'!$F$9763),'Data'!$F$9763&lt;&gt;999,'Data'!$F$9763&lt;&gt;""),'Data'!$F$9763,"")</f>
        <v/>
      </c>
      <c r="Z9762" t="n">
        <v>1</v>
      </c>
      <c r="AA9762">
        <f>IF(ISNUMBER('IN-CLASS_Lab Part C'!$J$9762),'IN-CLASS_Lab Part C'!$J$9762,NA())</f>
        <v/>
      </c>
    </row>
    <row r="9763">
      <c r="J9763">
        <f>IF(AND(ISNUMBER('Data'!$F$9764),'Data'!$F$9764&lt;&gt;999,'Data'!$F$9764&lt;&gt;""),'Data'!$F$9764,"")</f>
        <v/>
      </c>
      <c r="Z9763" t="n">
        <v>1</v>
      </c>
      <c r="AA9763">
        <f>IF(ISNUMBER('IN-CLASS_Lab Part C'!$J$9763),'IN-CLASS_Lab Part C'!$J$9763,NA())</f>
        <v/>
      </c>
    </row>
    <row r="9764">
      <c r="J9764">
        <f>IF(AND(ISNUMBER('Data'!$F$9765),'Data'!$F$9765&lt;&gt;999,'Data'!$F$9765&lt;&gt;""),'Data'!$F$9765,"")</f>
        <v/>
      </c>
      <c r="Z9764" t="n">
        <v>1</v>
      </c>
      <c r="AA9764">
        <f>IF(ISNUMBER('IN-CLASS_Lab Part C'!$J$9764),'IN-CLASS_Lab Part C'!$J$9764,NA())</f>
        <v/>
      </c>
    </row>
    <row r="9765">
      <c r="J9765">
        <f>IF(AND(ISNUMBER('Data'!$F$9766),'Data'!$F$9766&lt;&gt;999,'Data'!$F$9766&lt;&gt;""),'Data'!$F$9766,"")</f>
        <v/>
      </c>
      <c r="Z9765" t="n">
        <v>1</v>
      </c>
      <c r="AA9765">
        <f>IF(ISNUMBER('IN-CLASS_Lab Part C'!$J$9765),'IN-CLASS_Lab Part C'!$J$9765,NA())</f>
        <v/>
      </c>
    </row>
    <row r="9766">
      <c r="J9766">
        <f>IF(AND(ISNUMBER('Data'!$F$9767),'Data'!$F$9767&lt;&gt;999,'Data'!$F$9767&lt;&gt;""),'Data'!$F$9767,"")</f>
        <v/>
      </c>
      <c r="Z9766" t="n">
        <v>1</v>
      </c>
      <c r="AA9766">
        <f>IF(ISNUMBER('IN-CLASS_Lab Part C'!$J$9766),'IN-CLASS_Lab Part C'!$J$9766,NA())</f>
        <v/>
      </c>
    </row>
    <row r="9767">
      <c r="J9767">
        <f>IF(AND(ISNUMBER('Data'!$F$9768),'Data'!$F$9768&lt;&gt;999,'Data'!$F$9768&lt;&gt;""),'Data'!$F$9768,"")</f>
        <v/>
      </c>
      <c r="Z9767" t="n">
        <v>1</v>
      </c>
      <c r="AA9767">
        <f>IF(ISNUMBER('IN-CLASS_Lab Part C'!$J$9767),'IN-CLASS_Lab Part C'!$J$9767,NA())</f>
        <v/>
      </c>
    </row>
    <row r="9768">
      <c r="J9768">
        <f>IF(AND(ISNUMBER('Data'!$F$9769),'Data'!$F$9769&lt;&gt;999,'Data'!$F$9769&lt;&gt;""),'Data'!$F$9769,"")</f>
        <v/>
      </c>
      <c r="Z9768" t="n">
        <v>1</v>
      </c>
      <c r="AA9768">
        <f>IF(ISNUMBER('IN-CLASS_Lab Part C'!$J$9768),'IN-CLASS_Lab Part C'!$J$9768,NA())</f>
        <v/>
      </c>
    </row>
    <row r="9769">
      <c r="J9769">
        <f>IF(AND(ISNUMBER('Data'!$F$9770),'Data'!$F$9770&lt;&gt;999,'Data'!$F$9770&lt;&gt;""),'Data'!$F$9770,"")</f>
        <v/>
      </c>
      <c r="Z9769" t="n">
        <v>1</v>
      </c>
      <c r="AA9769">
        <f>IF(ISNUMBER('IN-CLASS_Lab Part C'!$J$9769),'IN-CLASS_Lab Part C'!$J$9769,NA())</f>
        <v/>
      </c>
    </row>
    <row r="9770">
      <c r="J9770">
        <f>IF(AND(ISNUMBER('Data'!$F$9771),'Data'!$F$9771&lt;&gt;999,'Data'!$F$9771&lt;&gt;""),'Data'!$F$9771,"")</f>
        <v/>
      </c>
      <c r="Z9770" t="n">
        <v>1</v>
      </c>
      <c r="AA9770">
        <f>IF(ISNUMBER('IN-CLASS_Lab Part C'!$J$9770),'IN-CLASS_Lab Part C'!$J$9770,NA())</f>
        <v/>
      </c>
    </row>
    <row r="9771">
      <c r="J9771">
        <f>IF(AND(ISNUMBER('Data'!$F$9772),'Data'!$F$9772&lt;&gt;999,'Data'!$F$9772&lt;&gt;""),'Data'!$F$9772,"")</f>
        <v/>
      </c>
      <c r="Z9771" t="n">
        <v>1</v>
      </c>
      <c r="AA9771">
        <f>IF(ISNUMBER('IN-CLASS_Lab Part C'!$J$9771),'IN-CLASS_Lab Part C'!$J$9771,NA())</f>
        <v/>
      </c>
    </row>
    <row r="9772">
      <c r="J9772">
        <f>IF(AND(ISNUMBER('Data'!$F$9773),'Data'!$F$9773&lt;&gt;999,'Data'!$F$9773&lt;&gt;""),'Data'!$F$9773,"")</f>
        <v/>
      </c>
      <c r="Z9772" t="n">
        <v>1</v>
      </c>
      <c r="AA9772">
        <f>IF(ISNUMBER('IN-CLASS_Lab Part C'!$J$9772),'IN-CLASS_Lab Part C'!$J$9772,NA())</f>
        <v/>
      </c>
    </row>
    <row r="9773">
      <c r="J9773">
        <f>IF(AND(ISNUMBER('Data'!$F$9774),'Data'!$F$9774&lt;&gt;999,'Data'!$F$9774&lt;&gt;""),'Data'!$F$9774,"")</f>
        <v/>
      </c>
      <c r="Z9773" t="n">
        <v>1</v>
      </c>
      <c r="AA9773">
        <f>IF(ISNUMBER('IN-CLASS_Lab Part C'!$J$9773),'IN-CLASS_Lab Part C'!$J$9773,NA())</f>
        <v/>
      </c>
    </row>
    <row r="9774">
      <c r="J9774">
        <f>IF(AND(ISNUMBER('Data'!$F$9775),'Data'!$F$9775&lt;&gt;999,'Data'!$F$9775&lt;&gt;""),'Data'!$F$9775,"")</f>
        <v/>
      </c>
      <c r="Z9774" t="n">
        <v>1</v>
      </c>
      <c r="AA9774">
        <f>IF(ISNUMBER('IN-CLASS_Lab Part C'!$J$9774),'IN-CLASS_Lab Part C'!$J$9774,NA())</f>
        <v/>
      </c>
    </row>
    <row r="9775">
      <c r="J9775">
        <f>IF(AND(ISNUMBER('Data'!$F$9776),'Data'!$F$9776&lt;&gt;999,'Data'!$F$9776&lt;&gt;""),'Data'!$F$9776,"")</f>
        <v/>
      </c>
      <c r="Z9775" t="n">
        <v>1</v>
      </c>
      <c r="AA9775">
        <f>IF(ISNUMBER('IN-CLASS_Lab Part C'!$J$9775),'IN-CLASS_Lab Part C'!$J$9775,NA())</f>
        <v/>
      </c>
    </row>
    <row r="9776">
      <c r="J9776">
        <f>IF(AND(ISNUMBER('Data'!$F$9777),'Data'!$F$9777&lt;&gt;999,'Data'!$F$9777&lt;&gt;""),'Data'!$F$9777,"")</f>
        <v/>
      </c>
      <c r="Z9776" t="n">
        <v>1</v>
      </c>
      <c r="AA9776">
        <f>IF(ISNUMBER('IN-CLASS_Lab Part C'!$J$9776),'IN-CLASS_Lab Part C'!$J$9776,NA())</f>
        <v/>
      </c>
    </row>
    <row r="9777">
      <c r="J9777">
        <f>IF(AND(ISNUMBER('Data'!$F$9778),'Data'!$F$9778&lt;&gt;999,'Data'!$F$9778&lt;&gt;""),'Data'!$F$9778,"")</f>
        <v/>
      </c>
      <c r="Z9777" t="n">
        <v>1</v>
      </c>
      <c r="AA9777">
        <f>IF(ISNUMBER('IN-CLASS_Lab Part C'!$J$9777),'IN-CLASS_Lab Part C'!$J$9777,NA())</f>
        <v/>
      </c>
    </row>
    <row r="9778">
      <c r="J9778">
        <f>IF(AND(ISNUMBER('Data'!$F$9779),'Data'!$F$9779&lt;&gt;999,'Data'!$F$9779&lt;&gt;""),'Data'!$F$9779,"")</f>
        <v/>
      </c>
      <c r="Z9778" t="n">
        <v>1</v>
      </c>
      <c r="AA9778">
        <f>IF(ISNUMBER('IN-CLASS_Lab Part C'!$J$9778),'IN-CLASS_Lab Part C'!$J$9778,NA())</f>
        <v/>
      </c>
    </row>
    <row r="9779">
      <c r="J9779">
        <f>IF(AND(ISNUMBER('Data'!$F$9780),'Data'!$F$9780&lt;&gt;999,'Data'!$F$9780&lt;&gt;""),'Data'!$F$9780,"")</f>
        <v/>
      </c>
      <c r="Z9779" t="n">
        <v>1</v>
      </c>
      <c r="AA9779">
        <f>IF(ISNUMBER('IN-CLASS_Lab Part C'!$J$9779),'IN-CLASS_Lab Part C'!$J$9779,NA())</f>
        <v/>
      </c>
    </row>
    <row r="9780">
      <c r="J9780">
        <f>IF(AND(ISNUMBER('Data'!$F$9781),'Data'!$F$9781&lt;&gt;999,'Data'!$F$9781&lt;&gt;""),'Data'!$F$9781,"")</f>
        <v/>
      </c>
      <c r="Z9780" t="n">
        <v>1</v>
      </c>
      <c r="AA9780">
        <f>IF(ISNUMBER('IN-CLASS_Lab Part C'!$J$9780),'IN-CLASS_Lab Part C'!$J$9780,NA())</f>
        <v/>
      </c>
    </row>
    <row r="9781">
      <c r="J9781">
        <f>IF(AND(ISNUMBER('Data'!$F$9782),'Data'!$F$9782&lt;&gt;999,'Data'!$F$9782&lt;&gt;""),'Data'!$F$9782,"")</f>
        <v/>
      </c>
      <c r="Z9781" t="n">
        <v>1</v>
      </c>
      <c r="AA9781">
        <f>IF(ISNUMBER('IN-CLASS_Lab Part C'!$J$9781),'IN-CLASS_Lab Part C'!$J$9781,NA())</f>
        <v/>
      </c>
    </row>
    <row r="9782">
      <c r="J9782">
        <f>IF(AND(ISNUMBER('Data'!$F$9783),'Data'!$F$9783&lt;&gt;999,'Data'!$F$9783&lt;&gt;""),'Data'!$F$9783,"")</f>
        <v/>
      </c>
      <c r="Z9782" t="n">
        <v>1</v>
      </c>
      <c r="AA9782">
        <f>IF(ISNUMBER('IN-CLASS_Lab Part C'!$J$9782),'IN-CLASS_Lab Part C'!$J$9782,NA())</f>
        <v/>
      </c>
    </row>
    <row r="9783">
      <c r="J9783">
        <f>IF(AND(ISNUMBER('Data'!$F$9784),'Data'!$F$9784&lt;&gt;999,'Data'!$F$9784&lt;&gt;""),'Data'!$F$9784,"")</f>
        <v/>
      </c>
      <c r="Z9783" t="n">
        <v>1</v>
      </c>
      <c r="AA9783">
        <f>IF(ISNUMBER('IN-CLASS_Lab Part C'!$J$9783),'IN-CLASS_Lab Part C'!$J$9783,NA())</f>
        <v/>
      </c>
    </row>
    <row r="9784">
      <c r="J9784">
        <f>IF(AND(ISNUMBER('Data'!$F$9785),'Data'!$F$9785&lt;&gt;999,'Data'!$F$9785&lt;&gt;""),'Data'!$F$9785,"")</f>
        <v/>
      </c>
      <c r="Z9784" t="n">
        <v>1</v>
      </c>
      <c r="AA9784">
        <f>IF(ISNUMBER('IN-CLASS_Lab Part C'!$J$9784),'IN-CLASS_Lab Part C'!$J$9784,NA())</f>
        <v/>
      </c>
    </row>
    <row r="9785">
      <c r="J9785">
        <f>IF(AND(ISNUMBER('Data'!$F$9786),'Data'!$F$9786&lt;&gt;999,'Data'!$F$9786&lt;&gt;""),'Data'!$F$9786,"")</f>
        <v/>
      </c>
      <c r="Z9785" t="n">
        <v>1</v>
      </c>
      <c r="AA9785">
        <f>IF(ISNUMBER('IN-CLASS_Lab Part C'!$J$9785),'IN-CLASS_Lab Part C'!$J$9785,NA())</f>
        <v/>
      </c>
    </row>
    <row r="9786">
      <c r="J9786">
        <f>IF(AND(ISNUMBER('Data'!$F$9787),'Data'!$F$9787&lt;&gt;999,'Data'!$F$9787&lt;&gt;""),'Data'!$F$9787,"")</f>
        <v/>
      </c>
      <c r="Z9786" t="n">
        <v>1</v>
      </c>
      <c r="AA9786">
        <f>IF(ISNUMBER('IN-CLASS_Lab Part C'!$J$9786),'IN-CLASS_Lab Part C'!$J$9786,NA())</f>
        <v/>
      </c>
    </row>
    <row r="9787">
      <c r="J9787">
        <f>IF(AND(ISNUMBER('Data'!$F$9788),'Data'!$F$9788&lt;&gt;999,'Data'!$F$9788&lt;&gt;""),'Data'!$F$9788,"")</f>
        <v/>
      </c>
      <c r="Z9787" t="n">
        <v>1</v>
      </c>
      <c r="AA9787">
        <f>IF(ISNUMBER('IN-CLASS_Lab Part C'!$J$9787),'IN-CLASS_Lab Part C'!$J$9787,NA())</f>
        <v/>
      </c>
    </row>
    <row r="9788">
      <c r="J9788">
        <f>IF(AND(ISNUMBER('Data'!$F$9789),'Data'!$F$9789&lt;&gt;999,'Data'!$F$9789&lt;&gt;""),'Data'!$F$9789,"")</f>
        <v/>
      </c>
      <c r="Z9788" t="n">
        <v>1</v>
      </c>
      <c r="AA9788">
        <f>IF(ISNUMBER('IN-CLASS_Lab Part C'!$J$9788),'IN-CLASS_Lab Part C'!$J$9788,NA())</f>
        <v/>
      </c>
    </row>
    <row r="9789">
      <c r="J9789">
        <f>IF(AND(ISNUMBER('Data'!$F$9790),'Data'!$F$9790&lt;&gt;999,'Data'!$F$9790&lt;&gt;""),'Data'!$F$9790,"")</f>
        <v/>
      </c>
      <c r="Z9789" t="n">
        <v>1</v>
      </c>
      <c r="AA9789">
        <f>IF(ISNUMBER('IN-CLASS_Lab Part C'!$J$9789),'IN-CLASS_Lab Part C'!$J$9789,NA())</f>
        <v/>
      </c>
    </row>
    <row r="9790">
      <c r="J9790">
        <f>IF(AND(ISNUMBER('Data'!$F$9791),'Data'!$F$9791&lt;&gt;999,'Data'!$F$9791&lt;&gt;""),'Data'!$F$9791,"")</f>
        <v/>
      </c>
      <c r="Z9790" t="n">
        <v>1</v>
      </c>
      <c r="AA9790">
        <f>IF(ISNUMBER('IN-CLASS_Lab Part C'!$J$9790),'IN-CLASS_Lab Part C'!$J$9790,NA())</f>
        <v/>
      </c>
    </row>
    <row r="9791">
      <c r="J9791">
        <f>IF(AND(ISNUMBER('Data'!$F$9792),'Data'!$F$9792&lt;&gt;999,'Data'!$F$9792&lt;&gt;""),'Data'!$F$9792,"")</f>
        <v/>
      </c>
      <c r="Z9791" t="n">
        <v>1</v>
      </c>
      <c r="AA9791">
        <f>IF(ISNUMBER('IN-CLASS_Lab Part C'!$J$9791),'IN-CLASS_Lab Part C'!$J$9791,NA())</f>
        <v/>
      </c>
    </row>
    <row r="9792">
      <c r="J9792">
        <f>IF(AND(ISNUMBER('Data'!$F$9793),'Data'!$F$9793&lt;&gt;999,'Data'!$F$9793&lt;&gt;""),'Data'!$F$9793,"")</f>
        <v/>
      </c>
      <c r="Z9792" t="n">
        <v>1</v>
      </c>
      <c r="AA9792">
        <f>IF(ISNUMBER('IN-CLASS_Lab Part C'!$J$9792),'IN-CLASS_Lab Part C'!$J$9792,NA())</f>
        <v/>
      </c>
    </row>
    <row r="9793">
      <c r="J9793">
        <f>IF(AND(ISNUMBER('Data'!$F$9794),'Data'!$F$9794&lt;&gt;999,'Data'!$F$9794&lt;&gt;""),'Data'!$F$9794,"")</f>
        <v/>
      </c>
      <c r="Z9793" t="n">
        <v>1</v>
      </c>
      <c r="AA9793">
        <f>IF(ISNUMBER('IN-CLASS_Lab Part C'!$J$9793),'IN-CLASS_Lab Part C'!$J$9793,NA())</f>
        <v/>
      </c>
    </row>
    <row r="9794">
      <c r="J9794">
        <f>IF(AND(ISNUMBER('Data'!$F$9795),'Data'!$F$9795&lt;&gt;999,'Data'!$F$9795&lt;&gt;""),'Data'!$F$9795,"")</f>
        <v/>
      </c>
      <c r="Z9794" t="n">
        <v>1</v>
      </c>
      <c r="AA9794">
        <f>IF(ISNUMBER('IN-CLASS_Lab Part C'!$J$9794),'IN-CLASS_Lab Part C'!$J$9794,NA())</f>
        <v/>
      </c>
    </row>
    <row r="9795">
      <c r="J9795">
        <f>IF(AND(ISNUMBER('Data'!$F$9796),'Data'!$F$9796&lt;&gt;999,'Data'!$F$9796&lt;&gt;""),'Data'!$F$9796,"")</f>
        <v/>
      </c>
      <c r="Z9795" t="n">
        <v>1</v>
      </c>
      <c r="AA9795">
        <f>IF(ISNUMBER('IN-CLASS_Lab Part C'!$J$9795),'IN-CLASS_Lab Part C'!$J$9795,NA())</f>
        <v/>
      </c>
    </row>
    <row r="9796">
      <c r="J9796">
        <f>IF(AND(ISNUMBER('Data'!$F$9797),'Data'!$F$9797&lt;&gt;999,'Data'!$F$9797&lt;&gt;""),'Data'!$F$9797,"")</f>
        <v/>
      </c>
      <c r="Z9796" t="n">
        <v>1</v>
      </c>
      <c r="AA9796">
        <f>IF(ISNUMBER('IN-CLASS_Lab Part C'!$J$9796),'IN-CLASS_Lab Part C'!$J$9796,NA())</f>
        <v/>
      </c>
    </row>
    <row r="9797">
      <c r="J9797">
        <f>IF(AND(ISNUMBER('Data'!$F$9798),'Data'!$F$9798&lt;&gt;999,'Data'!$F$9798&lt;&gt;""),'Data'!$F$9798,"")</f>
        <v/>
      </c>
      <c r="Z9797" t="n">
        <v>1</v>
      </c>
      <c r="AA9797">
        <f>IF(ISNUMBER('IN-CLASS_Lab Part C'!$J$9797),'IN-CLASS_Lab Part C'!$J$9797,NA())</f>
        <v/>
      </c>
    </row>
    <row r="9798">
      <c r="J9798">
        <f>IF(AND(ISNUMBER('Data'!$F$9799),'Data'!$F$9799&lt;&gt;999,'Data'!$F$9799&lt;&gt;""),'Data'!$F$9799,"")</f>
        <v/>
      </c>
      <c r="Z9798" t="n">
        <v>1</v>
      </c>
      <c r="AA9798">
        <f>IF(ISNUMBER('IN-CLASS_Lab Part C'!$J$9798),'IN-CLASS_Lab Part C'!$J$9798,NA())</f>
        <v/>
      </c>
    </row>
    <row r="9799">
      <c r="J9799">
        <f>IF(AND(ISNUMBER('Data'!$F$9800),'Data'!$F$9800&lt;&gt;999,'Data'!$F$9800&lt;&gt;""),'Data'!$F$9800,"")</f>
        <v/>
      </c>
      <c r="Z9799" t="n">
        <v>1</v>
      </c>
      <c r="AA9799">
        <f>IF(ISNUMBER('IN-CLASS_Lab Part C'!$J$9799),'IN-CLASS_Lab Part C'!$J$9799,NA())</f>
        <v/>
      </c>
    </row>
    <row r="9800">
      <c r="J9800">
        <f>IF(AND(ISNUMBER('Data'!$F$9801),'Data'!$F$9801&lt;&gt;999,'Data'!$F$9801&lt;&gt;""),'Data'!$F$9801,"")</f>
        <v/>
      </c>
      <c r="Z9800" t="n">
        <v>1</v>
      </c>
      <c r="AA9800">
        <f>IF(ISNUMBER('IN-CLASS_Lab Part C'!$J$9800),'IN-CLASS_Lab Part C'!$J$9800,NA())</f>
        <v/>
      </c>
    </row>
    <row r="9801">
      <c r="J9801">
        <f>IF(AND(ISNUMBER('Data'!$F$9802),'Data'!$F$9802&lt;&gt;999,'Data'!$F$9802&lt;&gt;""),'Data'!$F$9802,"")</f>
        <v/>
      </c>
      <c r="Z9801" t="n">
        <v>1</v>
      </c>
      <c r="AA9801">
        <f>IF(ISNUMBER('IN-CLASS_Lab Part C'!$J$9801),'IN-CLASS_Lab Part C'!$J$9801,NA())</f>
        <v/>
      </c>
    </row>
    <row r="9802">
      <c r="J9802">
        <f>IF(AND(ISNUMBER('Data'!$F$9803),'Data'!$F$9803&lt;&gt;999,'Data'!$F$9803&lt;&gt;""),'Data'!$F$9803,"")</f>
        <v/>
      </c>
      <c r="Z9802" t="n">
        <v>1</v>
      </c>
      <c r="AA9802">
        <f>IF(ISNUMBER('IN-CLASS_Lab Part C'!$J$9802),'IN-CLASS_Lab Part C'!$J$9802,NA())</f>
        <v/>
      </c>
    </row>
    <row r="9803">
      <c r="J9803">
        <f>IF(AND(ISNUMBER('Data'!$F$9804),'Data'!$F$9804&lt;&gt;999,'Data'!$F$9804&lt;&gt;""),'Data'!$F$9804,"")</f>
        <v/>
      </c>
      <c r="Z9803" t="n">
        <v>1</v>
      </c>
      <c r="AA9803">
        <f>IF(ISNUMBER('IN-CLASS_Lab Part C'!$J$9803),'IN-CLASS_Lab Part C'!$J$9803,NA())</f>
        <v/>
      </c>
    </row>
    <row r="9804">
      <c r="J9804">
        <f>IF(AND(ISNUMBER('Data'!$F$9805),'Data'!$F$9805&lt;&gt;999,'Data'!$F$9805&lt;&gt;""),'Data'!$F$9805,"")</f>
        <v/>
      </c>
      <c r="Z9804" t="n">
        <v>1</v>
      </c>
      <c r="AA9804">
        <f>IF(ISNUMBER('IN-CLASS_Lab Part C'!$J$9804),'IN-CLASS_Lab Part C'!$J$9804,NA())</f>
        <v/>
      </c>
    </row>
    <row r="9805">
      <c r="J9805">
        <f>IF(AND(ISNUMBER('Data'!$F$9806),'Data'!$F$9806&lt;&gt;999,'Data'!$F$9806&lt;&gt;""),'Data'!$F$9806,"")</f>
        <v/>
      </c>
      <c r="Z9805" t="n">
        <v>1</v>
      </c>
      <c r="AA9805">
        <f>IF(ISNUMBER('IN-CLASS_Lab Part C'!$J$9805),'IN-CLASS_Lab Part C'!$J$9805,NA())</f>
        <v/>
      </c>
    </row>
    <row r="9806">
      <c r="J9806">
        <f>IF(AND(ISNUMBER('Data'!$F$9807),'Data'!$F$9807&lt;&gt;999,'Data'!$F$9807&lt;&gt;""),'Data'!$F$9807,"")</f>
        <v/>
      </c>
      <c r="Z9806" t="n">
        <v>1</v>
      </c>
      <c r="AA9806">
        <f>IF(ISNUMBER('IN-CLASS_Lab Part C'!$J$9806),'IN-CLASS_Lab Part C'!$J$9806,NA())</f>
        <v/>
      </c>
    </row>
    <row r="9807">
      <c r="J9807">
        <f>IF(AND(ISNUMBER('Data'!$F$9808),'Data'!$F$9808&lt;&gt;999,'Data'!$F$9808&lt;&gt;""),'Data'!$F$9808,"")</f>
        <v/>
      </c>
      <c r="Z9807" t="n">
        <v>1</v>
      </c>
      <c r="AA9807">
        <f>IF(ISNUMBER('IN-CLASS_Lab Part C'!$J$9807),'IN-CLASS_Lab Part C'!$J$9807,NA())</f>
        <v/>
      </c>
    </row>
    <row r="9808">
      <c r="J9808">
        <f>IF(AND(ISNUMBER('Data'!$F$9809),'Data'!$F$9809&lt;&gt;999,'Data'!$F$9809&lt;&gt;""),'Data'!$F$9809,"")</f>
        <v/>
      </c>
      <c r="Z9808" t="n">
        <v>1</v>
      </c>
      <c r="AA9808">
        <f>IF(ISNUMBER('IN-CLASS_Lab Part C'!$J$9808),'IN-CLASS_Lab Part C'!$J$9808,NA())</f>
        <v/>
      </c>
    </row>
    <row r="9809">
      <c r="J9809">
        <f>IF(AND(ISNUMBER('Data'!$F$9810),'Data'!$F$9810&lt;&gt;999,'Data'!$F$9810&lt;&gt;""),'Data'!$F$9810,"")</f>
        <v/>
      </c>
      <c r="Z9809" t="n">
        <v>1</v>
      </c>
      <c r="AA9809">
        <f>IF(ISNUMBER('IN-CLASS_Lab Part C'!$J$9809),'IN-CLASS_Lab Part C'!$J$9809,NA())</f>
        <v/>
      </c>
    </row>
    <row r="9810">
      <c r="J9810">
        <f>IF(AND(ISNUMBER('Data'!$F$9811),'Data'!$F$9811&lt;&gt;999,'Data'!$F$9811&lt;&gt;""),'Data'!$F$9811,"")</f>
        <v/>
      </c>
      <c r="Z9810" t="n">
        <v>1</v>
      </c>
      <c r="AA9810">
        <f>IF(ISNUMBER('IN-CLASS_Lab Part C'!$J$9810),'IN-CLASS_Lab Part C'!$J$9810,NA())</f>
        <v/>
      </c>
    </row>
    <row r="9811">
      <c r="J9811">
        <f>IF(AND(ISNUMBER('Data'!$F$9812),'Data'!$F$9812&lt;&gt;999,'Data'!$F$9812&lt;&gt;""),'Data'!$F$9812,"")</f>
        <v/>
      </c>
      <c r="Z9811" t="n">
        <v>1</v>
      </c>
      <c r="AA9811">
        <f>IF(ISNUMBER('IN-CLASS_Lab Part C'!$J$9811),'IN-CLASS_Lab Part C'!$J$9811,NA())</f>
        <v/>
      </c>
    </row>
    <row r="9812">
      <c r="J9812">
        <f>IF(AND(ISNUMBER('Data'!$F$9813),'Data'!$F$9813&lt;&gt;999,'Data'!$F$9813&lt;&gt;""),'Data'!$F$9813,"")</f>
        <v/>
      </c>
      <c r="Z9812" t="n">
        <v>1</v>
      </c>
      <c r="AA9812">
        <f>IF(ISNUMBER('IN-CLASS_Lab Part C'!$J$9812),'IN-CLASS_Lab Part C'!$J$9812,NA())</f>
        <v/>
      </c>
    </row>
    <row r="9813">
      <c r="J9813">
        <f>IF(AND(ISNUMBER('Data'!$F$9814),'Data'!$F$9814&lt;&gt;999,'Data'!$F$9814&lt;&gt;""),'Data'!$F$9814,"")</f>
        <v/>
      </c>
      <c r="Z9813" t="n">
        <v>1</v>
      </c>
      <c r="AA9813">
        <f>IF(ISNUMBER('IN-CLASS_Lab Part C'!$J$9813),'IN-CLASS_Lab Part C'!$J$9813,NA())</f>
        <v/>
      </c>
    </row>
    <row r="9814">
      <c r="J9814">
        <f>IF(AND(ISNUMBER('Data'!$F$9815),'Data'!$F$9815&lt;&gt;999,'Data'!$F$9815&lt;&gt;""),'Data'!$F$9815,"")</f>
        <v/>
      </c>
      <c r="Z9814" t="n">
        <v>1</v>
      </c>
      <c r="AA9814">
        <f>IF(ISNUMBER('IN-CLASS_Lab Part C'!$J$9814),'IN-CLASS_Lab Part C'!$J$9814,NA())</f>
        <v/>
      </c>
    </row>
    <row r="9815">
      <c r="J9815">
        <f>IF(AND(ISNUMBER('Data'!$F$9816),'Data'!$F$9816&lt;&gt;999,'Data'!$F$9816&lt;&gt;""),'Data'!$F$9816,"")</f>
        <v/>
      </c>
      <c r="Z9815" t="n">
        <v>1</v>
      </c>
      <c r="AA9815">
        <f>IF(ISNUMBER('IN-CLASS_Lab Part C'!$J$9815),'IN-CLASS_Lab Part C'!$J$9815,NA())</f>
        <v/>
      </c>
    </row>
    <row r="9816">
      <c r="J9816">
        <f>IF(AND(ISNUMBER('Data'!$F$9817),'Data'!$F$9817&lt;&gt;999,'Data'!$F$9817&lt;&gt;""),'Data'!$F$9817,"")</f>
        <v/>
      </c>
      <c r="Z9816" t="n">
        <v>1</v>
      </c>
      <c r="AA9816">
        <f>IF(ISNUMBER('IN-CLASS_Lab Part C'!$J$9816),'IN-CLASS_Lab Part C'!$J$9816,NA())</f>
        <v/>
      </c>
    </row>
    <row r="9817">
      <c r="J9817">
        <f>IF(AND(ISNUMBER('Data'!$F$9818),'Data'!$F$9818&lt;&gt;999,'Data'!$F$9818&lt;&gt;""),'Data'!$F$9818,"")</f>
        <v/>
      </c>
      <c r="Z9817" t="n">
        <v>1</v>
      </c>
      <c r="AA9817">
        <f>IF(ISNUMBER('IN-CLASS_Lab Part C'!$J$9817),'IN-CLASS_Lab Part C'!$J$9817,NA())</f>
        <v/>
      </c>
    </row>
    <row r="9818">
      <c r="J9818">
        <f>IF(AND(ISNUMBER('Data'!$F$9819),'Data'!$F$9819&lt;&gt;999,'Data'!$F$9819&lt;&gt;""),'Data'!$F$9819,"")</f>
        <v/>
      </c>
      <c r="Z9818" t="n">
        <v>1</v>
      </c>
      <c r="AA9818">
        <f>IF(ISNUMBER('IN-CLASS_Lab Part C'!$J$9818),'IN-CLASS_Lab Part C'!$J$9818,NA())</f>
        <v/>
      </c>
    </row>
    <row r="9819">
      <c r="J9819">
        <f>IF(AND(ISNUMBER('Data'!$F$9820),'Data'!$F$9820&lt;&gt;999,'Data'!$F$9820&lt;&gt;""),'Data'!$F$9820,"")</f>
        <v/>
      </c>
      <c r="Z9819" t="n">
        <v>1</v>
      </c>
      <c r="AA9819">
        <f>IF(ISNUMBER('IN-CLASS_Lab Part C'!$J$9819),'IN-CLASS_Lab Part C'!$J$9819,NA())</f>
        <v/>
      </c>
    </row>
    <row r="9820">
      <c r="J9820">
        <f>IF(AND(ISNUMBER('Data'!$F$9821),'Data'!$F$9821&lt;&gt;999,'Data'!$F$9821&lt;&gt;""),'Data'!$F$9821,"")</f>
        <v/>
      </c>
      <c r="Z9820" t="n">
        <v>1</v>
      </c>
      <c r="AA9820">
        <f>IF(ISNUMBER('IN-CLASS_Lab Part C'!$J$9820),'IN-CLASS_Lab Part C'!$J$9820,NA())</f>
        <v/>
      </c>
    </row>
    <row r="9821">
      <c r="J9821">
        <f>IF(AND(ISNUMBER('Data'!$F$9822),'Data'!$F$9822&lt;&gt;999,'Data'!$F$9822&lt;&gt;""),'Data'!$F$9822,"")</f>
        <v/>
      </c>
      <c r="Z9821" t="n">
        <v>1</v>
      </c>
      <c r="AA9821">
        <f>IF(ISNUMBER('IN-CLASS_Lab Part C'!$J$9821),'IN-CLASS_Lab Part C'!$J$9821,NA())</f>
        <v/>
      </c>
    </row>
    <row r="9822">
      <c r="J9822">
        <f>IF(AND(ISNUMBER('Data'!$F$9823),'Data'!$F$9823&lt;&gt;999,'Data'!$F$9823&lt;&gt;""),'Data'!$F$9823,"")</f>
        <v/>
      </c>
      <c r="Z9822" t="n">
        <v>1</v>
      </c>
      <c r="AA9822">
        <f>IF(ISNUMBER('IN-CLASS_Lab Part C'!$J$9822),'IN-CLASS_Lab Part C'!$J$9822,NA())</f>
        <v/>
      </c>
    </row>
    <row r="9823">
      <c r="J9823">
        <f>IF(AND(ISNUMBER('Data'!$F$9824),'Data'!$F$9824&lt;&gt;999,'Data'!$F$9824&lt;&gt;""),'Data'!$F$9824,"")</f>
        <v/>
      </c>
      <c r="Z9823" t="n">
        <v>1</v>
      </c>
      <c r="AA9823">
        <f>IF(ISNUMBER('IN-CLASS_Lab Part C'!$J$9823),'IN-CLASS_Lab Part C'!$J$9823,NA())</f>
        <v/>
      </c>
    </row>
    <row r="9824">
      <c r="J9824">
        <f>IF(AND(ISNUMBER('Data'!$F$9825),'Data'!$F$9825&lt;&gt;999,'Data'!$F$9825&lt;&gt;""),'Data'!$F$9825,"")</f>
        <v/>
      </c>
      <c r="Z9824" t="n">
        <v>1</v>
      </c>
      <c r="AA9824">
        <f>IF(ISNUMBER('IN-CLASS_Lab Part C'!$J$9824),'IN-CLASS_Lab Part C'!$J$9824,NA())</f>
        <v/>
      </c>
    </row>
    <row r="9825">
      <c r="J9825">
        <f>IF(AND(ISNUMBER('Data'!$F$9826),'Data'!$F$9826&lt;&gt;999,'Data'!$F$9826&lt;&gt;""),'Data'!$F$9826,"")</f>
        <v/>
      </c>
      <c r="Z9825" t="n">
        <v>1</v>
      </c>
      <c r="AA9825">
        <f>IF(ISNUMBER('IN-CLASS_Lab Part C'!$J$9825),'IN-CLASS_Lab Part C'!$J$9825,NA())</f>
        <v/>
      </c>
    </row>
    <row r="9826">
      <c r="J9826">
        <f>IF(AND(ISNUMBER('Data'!$F$9827),'Data'!$F$9827&lt;&gt;999,'Data'!$F$9827&lt;&gt;""),'Data'!$F$9827,"")</f>
        <v/>
      </c>
      <c r="Z9826" t="n">
        <v>1</v>
      </c>
      <c r="AA9826">
        <f>IF(ISNUMBER('IN-CLASS_Lab Part C'!$J$9826),'IN-CLASS_Lab Part C'!$J$9826,NA())</f>
        <v/>
      </c>
    </row>
    <row r="9827">
      <c r="J9827">
        <f>IF(AND(ISNUMBER('Data'!$F$9828),'Data'!$F$9828&lt;&gt;999,'Data'!$F$9828&lt;&gt;""),'Data'!$F$9828,"")</f>
        <v/>
      </c>
      <c r="Z9827" t="n">
        <v>1</v>
      </c>
      <c r="AA9827">
        <f>IF(ISNUMBER('IN-CLASS_Lab Part C'!$J$9827),'IN-CLASS_Lab Part C'!$J$9827,NA())</f>
        <v/>
      </c>
    </row>
    <row r="9828">
      <c r="J9828">
        <f>IF(AND(ISNUMBER('Data'!$F$9829),'Data'!$F$9829&lt;&gt;999,'Data'!$F$9829&lt;&gt;""),'Data'!$F$9829,"")</f>
        <v/>
      </c>
      <c r="Z9828" t="n">
        <v>1</v>
      </c>
      <c r="AA9828">
        <f>IF(ISNUMBER('IN-CLASS_Lab Part C'!$J$9828),'IN-CLASS_Lab Part C'!$J$9828,NA())</f>
        <v/>
      </c>
    </row>
    <row r="9829">
      <c r="J9829">
        <f>IF(AND(ISNUMBER('Data'!$F$9830),'Data'!$F$9830&lt;&gt;999,'Data'!$F$9830&lt;&gt;""),'Data'!$F$9830,"")</f>
        <v/>
      </c>
      <c r="Z9829" t="n">
        <v>1</v>
      </c>
      <c r="AA9829">
        <f>IF(ISNUMBER('IN-CLASS_Lab Part C'!$J$9829),'IN-CLASS_Lab Part C'!$J$9829,NA())</f>
        <v/>
      </c>
    </row>
    <row r="9830">
      <c r="J9830">
        <f>IF(AND(ISNUMBER('Data'!$F$9831),'Data'!$F$9831&lt;&gt;999,'Data'!$F$9831&lt;&gt;""),'Data'!$F$9831,"")</f>
        <v/>
      </c>
      <c r="Z9830" t="n">
        <v>1</v>
      </c>
      <c r="AA9830">
        <f>IF(ISNUMBER('IN-CLASS_Lab Part C'!$J$9830),'IN-CLASS_Lab Part C'!$J$9830,NA())</f>
        <v/>
      </c>
    </row>
    <row r="9831">
      <c r="J9831">
        <f>IF(AND(ISNUMBER('Data'!$F$9832),'Data'!$F$9832&lt;&gt;999,'Data'!$F$9832&lt;&gt;""),'Data'!$F$9832,"")</f>
        <v/>
      </c>
      <c r="Z9831" t="n">
        <v>1</v>
      </c>
      <c r="AA9831">
        <f>IF(ISNUMBER('IN-CLASS_Lab Part C'!$J$9831),'IN-CLASS_Lab Part C'!$J$9831,NA())</f>
        <v/>
      </c>
    </row>
    <row r="9832">
      <c r="J9832">
        <f>IF(AND(ISNUMBER('Data'!$F$9833),'Data'!$F$9833&lt;&gt;999,'Data'!$F$9833&lt;&gt;""),'Data'!$F$9833,"")</f>
        <v/>
      </c>
      <c r="Z9832" t="n">
        <v>1</v>
      </c>
      <c r="AA9832">
        <f>IF(ISNUMBER('IN-CLASS_Lab Part C'!$J$9832),'IN-CLASS_Lab Part C'!$J$9832,NA())</f>
        <v/>
      </c>
    </row>
    <row r="9833">
      <c r="J9833">
        <f>IF(AND(ISNUMBER('Data'!$F$9834),'Data'!$F$9834&lt;&gt;999,'Data'!$F$9834&lt;&gt;""),'Data'!$F$9834,"")</f>
        <v/>
      </c>
      <c r="Z9833" t="n">
        <v>1</v>
      </c>
      <c r="AA9833">
        <f>IF(ISNUMBER('IN-CLASS_Lab Part C'!$J$9833),'IN-CLASS_Lab Part C'!$J$9833,NA())</f>
        <v/>
      </c>
    </row>
    <row r="9834">
      <c r="J9834">
        <f>IF(AND(ISNUMBER('Data'!$F$9835),'Data'!$F$9835&lt;&gt;999,'Data'!$F$9835&lt;&gt;""),'Data'!$F$9835,"")</f>
        <v/>
      </c>
      <c r="Z9834" t="n">
        <v>1</v>
      </c>
      <c r="AA9834">
        <f>IF(ISNUMBER('IN-CLASS_Lab Part C'!$J$9834),'IN-CLASS_Lab Part C'!$J$9834,NA())</f>
        <v/>
      </c>
    </row>
    <row r="9835">
      <c r="J9835">
        <f>IF(AND(ISNUMBER('Data'!$F$9836),'Data'!$F$9836&lt;&gt;999,'Data'!$F$9836&lt;&gt;""),'Data'!$F$9836,"")</f>
        <v/>
      </c>
      <c r="Z9835" t="n">
        <v>1</v>
      </c>
      <c r="AA9835">
        <f>IF(ISNUMBER('IN-CLASS_Lab Part C'!$J$9835),'IN-CLASS_Lab Part C'!$J$9835,NA())</f>
        <v/>
      </c>
    </row>
    <row r="9836">
      <c r="J9836">
        <f>IF(AND(ISNUMBER('Data'!$F$9837),'Data'!$F$9837&lt;&gt;999,'Data'!$F$9837&lt;&gt;""),'Data'!$F$9837,"")</f>
        <v/>
      </c>
      <c r="Z9836" t="n">
        <v>1</v>
      </c>
      <c r="AA9836">
        <f>IF(ISNUMBER('IN-CLASS_Lab Part C'!$J$9836),'IN-CLASS_Lab Part C'!$J$9836,NA())</f>
        <v/>
      </c>
    </row>
    <row r="9837">
      <c r="J9837">
        <f>IF(AND(ISNUMBER('Data'!$F$9838),'Data'!$F$9838&lt;&gt;999,'Data'!$F$9838&lt;&gt;""),'Data'!$F$9838,"")</f>
        <v/>
      </c>
      <c r="Z9837" t="n">
        <v>1</v>
      </c>
      <c r="AA9837">
        <f>IF(ISNUMBER('IN-CLASS_Lab Part C'!$J$9837),'IN-CLASS_Lab Part C'!$J$9837,NA())</f>
        <v/>
      </c>
    </row>
    <row r="9838">
      <c r="J9838">
        <f>IF(AND(ISNUMBER('Data'!$F$9839),'Data'!$F$9839&lt;&gt;999,'Data'!$F$9839&lt;&gt;""),'Data'!$F$9839,"")</f>
        <v/>
      </c>
      <c r="Z9838" t="n">
        <v>1</v>
      </c>
      <c r="AA9838">
        <f>IF(ISNUMBER('IN-CLASS_Lab Part C'!$J$9838),'IN-CLASS_Lab Part C'!$J$9838,NA())</f>
        <v/>
      </c>
    </row>
    <row r="9839">
      <c r="J9839">
        <f>IF(AND(ISNUMBER('Data'!$F$9840),'Data'!$F$9840&lt;&gt;999,'Data'!$F$9840&lt;&gt;""),'Data'!$F$9840,"")</f>
        <v/>
      </c>
      <c r="Z9839" t="n">
        <v>1</v>
      </c>
      <c r="AA9839">
        <f>IF(ISNUMBER('IN-CLASS_Lab Part C'!$J$9839),'IN-CLASS_Lab Part C'!$J$9839,NA())</f>
        <v/>
      </c>
    </row>
    <row r="9840">
      <c r="J9840">
        <f>IF(AND(ISNUMBER('Data'!$F$9841),'Data'!$F$9841&lt;&gt;999,'Data'!$F$9841&lt;&gt;""),'Data'!$F$9841,"")</f>
        <v/>
      </c>
      <c r="Z9840" t="n">
        <v>1</v>
      </c>
      <c r="AA9840">
        <f>IF(ISNUMBER('IN-CLASS_Lab Part C'!$J$9840),'IN-CLASS_Lab Part C'!$J$9840,NA())</f>
        <v/>
      </c>
    </row>
    <row r="9841">
      <c r="J9841">
        <f>IF(AND(ISNUMBER('Data'!$F$9842),'Data'!$F$9842&lt;&gt;999,'Data'!$F$9842&lt;&gt;""),'Data'!$F$9842,"")</f>
        <v/>
      </c>
      <c r="Z9841" t="n">
        <v>1</v>
      </c>
      <c r="AA9841">
        <f>IF(ISNUMBER('IN-CLASS_Lab Part C'!$J$9841),'IN-CLASS_Lab Part C'!$J$9841,NA())</f>
        <v/>
      </c>
    </row>
    <row r="9842">
      <c r="J9842">
        <f>IF(AND(ISNUMBER('Data'!$F$9843),'Data'!$F$9843&lt;&gt;999,'Data'!$F$9843&lt;&gt;""),'Data'!$F$9843,"")</f>
        <v/>
      </c>
      <c r="Z9842" t="n">
        <v>1</v>
      </c>
      <c r="AA9842">
        <f>IF(ISNUMBER('IN-CLASS_Lab Part C'!$J$9842),'IN-CLASS_Lab Part C'!$J$9842,NA())</f>
        <v/>
      </c>
    </row>
    <row r="9843">
      <c r="J9843">
        <f>IF(AND(ISNUMBER('Data'!$F$9844),'Data'!$F$9844&lt;&gt;999,'Data'!$F$9844&lt;&gt;""),'Data'!$F$9844,"")</f>
        <v/>
      </c>
      <c r="Z9843" t="n">
        <v>1</v>
      </c>
      <c r="AA9843">
        <f>IF(ISNUMBER('IN-CLASS_Lab Part C'!$J$9843),'IN-CLASS_Lab Part C'!$J$9843,NA())</f>
        <v/>
      </c>
    </row>
    <row r="9844">
      <c r="J9844">
        <f>IF(AND(ISNUMBER('Data'!$F$9845),'Data'!$F$9845&lt;&gt;999,'Data'!$F$9845&lt;&gt;""),'Data'!$F$9845,"")</f>
        <v/>
      </c>
      <c r="Z9844" t="n">
        <v>1</v>
      </c>
      <c r="AA9844">
        <f>IF(ISNUMBER('IN-CLASS_Lab Part C'!$J$9844),'IN-CLASS_Lab Part C'!$J$9844,NA())</f>
        <v/>
      </c>
    </row>
    <row r="9845">
      <c r="J9845">
        <f>IF(AND(ISNUMBER('Data'!$F$9846),'Data'!$F$9846&lt;&gt;999,'Data'!$F$9846&lt;&gt;""),'Data'!$F$9846,"")</f>
        <v/>
      </c>
      <c r="Z9845" t="n">
        <v>1</v>
      </c>
      <c r="AA9845">
        <f>IF(ISNUMBER('IN-CLASS_Lab Part C'!$J$9845),'IN-CLASS_Lab Part C'!$J$9845,NA())</f>
        <v/>
      </c>
    </row>
    <row r="9846">
      <c r="J9846">
        <f>IF(AND(ISNUMBER('Data'!$F$9847),'Data'!$F$9847&lt;&gt;999,'Data'!$F$9847&lt;&gt;""),'Data'!$F$9847,"")</f>
        <v/>
      </c>
      <c r="Z9846" t="n">
        <v>1</v>
      </c>
      <c r="AA9846">
        <f>IF(ISNUMBER('IN-CLASS_Lab Part C'!$J$9846),'IN-CLASS_Lab Part C'!$J$9846,NA())</f>
        <v/>
      </c>
    </row>
    <row r="9847">
      <c r="J9847">
        <f>IF(AND(ISNUMBER('Data'!$F$9848),'Data'!$F$9848&lt;&gt;999,'Data'!$F$9848&lt;&gt;""),'Data'!$F$9848,"")</f>
        <v/>
      </c>
      <c r="Z9847" t="n">
        <v>1</v>
      </c>
      <c r="AA9847">
        <f>IF(ISNUMBER('IN-CLASS_Lab Part C'!$J$9847),'IN-CLASS_Lab Part C'!$J$9847,NA())</f>
        <v/>
      </c>
    </row>
    <row r="9848">
      <c r="J9848">
        <f>IF(AND(ISNUMBER('Data'!$F$9849),'Data'!$F$9849&lt;&gt;999,'Data'!$F$9849&lt;&gt;""),'Data'!$F$9849,"")</f>
        <v/>
      </c>
      <c r="Z9848" t="n">
        <v>1</v>
      </c>
      <c r="AA9848">
        <f>IF(ISNUMBER('IN-CLASS_Lab Part C'!$J$9848),'IN-CLASS_Lab Part C'!$J$9848,NA())</f>
        <v/>
      </c>
    </row>
    <row r="9849">
      <c r="J9849">
        <f>IF(AND(ISNUMBER('Data'!$F$9850),'Data'!$F$9850&lt;&gt;999,'Data'!$F$9850&lt;&gt;""),'Data'!$F$9850,"")</f>
        <v/>
      </c>
      <c r="Z9849" t="n">
        <v>1</v>
      </c>
      <c r="AA9849">
        <f>IF(ISNUMBER('IN-CLASS_Lab Part C'!$J$9849),'IN-CLASS_Lab Part C'!$J$9849,NA())</f>
        <v/>
      </c>
    </row>
    <row r="9850">
      <c r="J9850">
        <f>IF(AND(ISNUMBER('Data'!$F$9851),'Data'!$F$9851&lt;&gt;999,'Data'!$F$9851&lt;&gt;""),'Data'!$F$9851,"")</f>
        <v/>
      </c>
      <c r="Z9850" t="n">
        <v>1</v>
      </c>
      <c r="AA9850">
        <f>IF(ISNUMBER('IN-CLASS_Lab Part C'!$J$9850),'IN-CLASS_Lab Part C'!$J$9850,NA())</f>
        <v/>
      </c>
    </row>
    <row r="9851">
      <c r="J9851">
        <f>IF(AND(ISNUMBER('Data'!$F$9852),'Data'!$F$9852&lt;&gt;999,'Data'!$F$9852&lt;&gt;""),'Data'!$F$9852,"")</f>
        <v/>
      </c>
      <c r="Z9851" t="n">
        <v>1</v>
      </c>
      <c r="AA9851">
        <f>IF(ISNUMBER('IN-CLASS_Lab Part C'!$J$9851),'IN-CLASS_Lab Part C'!$J$9851,NA())</f>
        <v/>
      </c>
    </row>
    <row r="9852">
      <c r="J9852">
        <f>IF(AND(ISNUMBER('Data'!$F$9853),'Data'!$F$9853&lt;&gt;999,'Data'!$F$9853&lt;&gt;""),'Data'!$F$9853,"")</f>
        <v/>
      </c>
      <c r="Z9852" t="n">
        <v>1</v>
      </c>
      <c r="AA9852">
        <f>IF(ISNUMBER('IN-CLASS_Lab Part C'!$J$9852),'IN-CLASS_Lab Part C'!$J$9852,NA())</f>
        <v/>
      </c>
    </row>
    <row r="9853">
      <c r="J9853">
        <f>IF(AND(ISNUMBER('Data'!$F$9854),'Data'!$F$9854&lt;&gt;999,'Data'!$F$9854&lt;&gt;""),'Data'!$F$9854,"")</f>
        <v/>
      </c>
      <c r="Z9853" t="n">
        <v>1</v>
      </c>
      <c r="AA9853">
        <f>IF(ISNUMBER('IN-CLASS_Lab Part C'!$J$9853),'IN-CLASS_Lab Part C'!$J$9853,NA())</f>
        <v/>
      </c>
    </row>
    <row r="9854">
      <c r="J9854">
        <f>IF(AND(ISNUMBER('Data'!$F$9855),'Data'!$F$9855&lt;&gt;999,'Data'!$F$9855&lt;&gt;""),'Data'!$F$9855,"")</f>
        <v/>
      </c>
      <c r="Z9854" t="n">
        <v>1</v>
      </c>
      <c r="AA9854">
        <f>IF(ISNUMBER('IN-CLASS_Lab Part C'!$J$9854),'IN-CLASS_Lab Part C'!$J$9854,NA())</f>
        <v/>
      </c>
    </row>
    <row r="9855">
      <c r="J9855">
        <f>IF(AND(ISNUMBER('Data'!$F$9856),'Data'!$F$9856&lt;&gt;999,'Data'!$F$9856&lt;&gt;""),'Data'!$F$9856,"")</f>
        <v/>
      </c>
      <c r="Z9855" t="n">
        <v>1</v>
      </c>
      <c r="AA9855">
        <f>IF(ISNUMBER('IN-CLASS_Lab Part C'!$J$9855),'IN-CLASS_Lab Part C'!$J$9855,NA())</f>
        <v/>
      </c>
    </row>
    <row r="9856">
      <c r="J9856">
        <f>IF(AND(ISNUMBER('Data'!$F$9857),'Data'!$F$9857&lt;&gt;999,'Data'!$F$9857&lt;&gt;""),'Data'!$F$9857,"")</f>
        <v/>
      </c>
      <c r="Z9856" t="n">
        <v>1</v>
      </c>
      <c r="AA9856">
        <f>IF(ISNUMBER('IN-CLASS_Lab Part C'!$J$9856),'IN-CLASS_Lab Part C'!$J$9856,NA())</f>
        <v/>
      </c>
    </row>
    <row r="9857">
      <c r="J9857">
        <f>IF(AND(ISNUMBER('Data'!$F$9858),'Data'!$F$9858&lt;&gt;999,'Data'!$F$9858&lt;&gt;""),'Data'!$F$9858,"")</f>
        <v/>
      </c>
      <c r="Z9857" t="n">
        <v>1</v>
      </c>
      <c r="AA9857">
        <f>IF(ISNUMBER('IN-CLASS_Lab Part C'!$J$9857),'IN-CLASS_Lab Part C'!$J$9857,NA())</f>
        <v/>
      </c>
    </row>
    <row r="9858">
      <c r="J9858">
        <f>IF(AND(ISNUMBER('Data'!$F$9859),'Data'!$F$9859&lt;&gt;999,'Data'!$F$9859&lt;&gt;""),'Data'!$F$9859,"")</f>
        <v/>
      </c>
      <c r="Z9858" t="n">
        <v>1</v>
      </c>
      <c r="AA9858">
        <f>IF(ISNUMBER('IN-CLASS_Lab Part C'!$J$9858),'IN-CLASS_Lab Part C'!$J$9858,NA())</f>
        <v/>
      </c>
    </row>
    <row r="9859">
      <c r="J9859">
        <f>IF(AND(ISNUMBER('Data'!$F$9860),'Data'!$F$9860&lt;&gt;999,'Data'!$F$9860&lt;&gt;""),'Data'!$F$9860,"")</f>
        <v/>
      </c>
      <c r="Z9859" t="n">
        <v>1</v>
      </c>
      <c r="AA9859">
        <f>IF(ISNUMBER('IN-CLASS_Lab Part C'!$J$9859),'IN-CLASS_Lab Part C'!$J$9859,NA())</f>
        <v/>
      </c>
    </row>
    <row r="9860">
      <c r="J9860">
        <f>IF(AND(ISNUMBER('Data'!$F$9861),'Data'!$F$9861&lt;&gt;999,'Data'!$F$9861&lt;&gt;""),'Data'!$F$9861,"")</f>
        <v/>
      </c>
      <c r="Z9860" t="n">
        <v>1</v>
      </c>
      <c r="AA9860">
        <f>IF(ISNUMBER('IN-CLASS_Lab Part C'!$J$9860),'IN-CLASS_Lab Part C'!$J$9860,NA())</f>
        <v/>
      </c>
    </row>
    <row r="9861">
      <c r="J9861">
        <f>IF(AND(ISNUMBER('Data'!$F$9862),'Data'!$F$9862&lt;&gt;999,'Data'!$F$9862&lt;&gt;""),'Data'!$F$9862,"")</f>
        <v/>
      </c>
      <c r="Z9861" t="n">
        <v>1</v>
      </c>
      <c r="AA9861">
        <f>IF(ISNUMBER('IN-CLASS_Lab Part C'!$J$9861),'IN-CLASS_Lab Part C'!$J$9861,NA())</f>
        <v/>
      </c>
    </row>
    <row r="9862">
      <c r="J9862">
        <f>IF(AND(ISNUMBER('Data'!$F$9863),'Data'!$F$9863&lt;&gt;999,'Data'!$F$9863&lt;&gt;""),'Data'!$F$9863,"")</f>
        <v/>
      </c>
      <c r="Z9862" t="n">
        <v>1</v>
      </c>
      <c r="AA9862">
        <f>IF(ISNUMBER('IN-CLASS_Lab Part C'!$J$9862),'IN-CLASS_Lab Part C'!$J$9862,NA())</f>
        <v/>
      </c>
    </row>
    <row r="9863">
      <c r="J9863">
        <f>IF(AND(ISNUMBER('Data'!$F$9864),'Data'!$F$9864&lt;&gt;999,'Data'!$F$9864&lt;&gt;""),'Data'!$F$9864,"")</f>
        <v/>
      </c>
      <c r="Z9863" t="n">
        <v>1</v>
      </c>
      <c r="AA9863">
        <f>IF(ISNUMBER('IN-CLASS_Lab Part C'!$J$9863),'IN-CLASS_Lab Part C'!$J$9863,NA())</f>
        <v/>
      </c>
    </row>
    <row r="9864">
      <c r="J9864">
        <f>IF(AND(ISNUMBER('Data'!$F$9865),'Data'!$F$9865&lt;&gt;999,'Data'!$F$9865&lt;&gt;""),'Data'!$F$9865,"")</f>
        <v/>
      </c>
      <c r="Z9864" t="n">
        <v>1</v>
      </c>
      <c r="AA9864">
        <f>IF(ISNUMBER('IN-CLASS_Lab Part C'!$J$9864),'IN-CLASS_Lab Part C'!$J$9864,NA())</f>
        <v/>
      </c>
    </row>
    <row r="9865">
      <c r="J9865">
        <f>IF(AND(ISNUMBER('Data'!$F$9866),'Data'!$F$9866&lt;&gt;999,'Data'!$F$9866&lt;&gt;""),'Data'!$F$9866,"")</f>
        <v/>
      </c>
      <c r="Z9865" t="n">
        <v>1</v>
      </c>
      <c r="AA9865">
        <f>IF(ISNUMBER('IN-CLASS_Lab Part C'!$J$9865),'IN-CLASS_Lab Part C'!$J$9865,NA())</f>
        <v/>
      </c>
    </row>
    <row r="9866">
      <c r="J9866">
        <f>IF(AND(ISNUMBER('Data'!$F$9867),'Data'!$F$9867&lt;&gt;999,'Data'!$F$9867&lt;&gt;""),'Data'!$F$9867,"")</f>
        <v/>
      </c>
      <c r="Z9866" t="n">
        <v>1</v>
      </c>
      <c r="AA9866">
        <f>IF(ISNUMBER('IN-CLASS_Lab Part C'!$J$9866),'IN-CLASS_Lab Part C'!$J$9866,NA())</f>
        <v/>
      </c>
    </row>
    <row r="9867">
      <c r="J9867">
        <f>IF(AND(ISNUMBER('Data'!$F$9868),'Data'!$F$9868&lt;&gt;999,'Data'!$F$9868&lt;&gt;""),'Data'!$F$9868,"")</f>
        <v/>
      </c>
      <c r="Z9867" t="n">
        <v>1</v>
      </c>
      <c r="AA9867">
        <f>IF(ISNUMBER('IN-CLASS_Lab Part C'!$J$9867),'IN-CLASS_Lab Part C'!$J$9867,NA())</f>
        <v/>
      </c>
    </row>
    <row r="9868">
      <c r="J9868">
        <f>IF(AND(ISNUMBER('Data'!$F$9869),'Data'!$F$9869&lt;&gt;999,'Data'!$F$9869&lt;&gt;""),'Data'!$F$9869,"")</f>
        <v/>
      </c>
      <c r="Z9868" t="n">
        <v>1</v>
      </c>
      <c r="AA9868">
        <f>IF(ISNUMBER('IN-CLASS_Lab Part C'!$J$9868),'IN-CLASS_Lab Part C'!$J$9868,NA())</f>
        <v/>
      </c>
    </row>
    <row r="9869">
      <c r="J9869">
        <f>IF(AND(ISNUMBER('Data'!$F$9870),'Data'!$F$9870&lt;&gt;999,'Data'!$F$9870&lt;&gt;""),'Data'!$F$9870,"")</f>
        <v/>
      </c>
      <c r="Z9869" t="n">
        <v>1</v>
      </c>
      <c r="AA9869">
        <f>IF(ISNUMBER('IN-CLASS_Lab Part C'!$J$9869),'IN-CLASS_Lab Part C'!$J$9869,NA())</f>
        <v/>
      </c>
    </row>
    <row r="9870">
      <c r="J9870">
        <f>IF(AND(ISNUMBER('Data'!$F$9871),'Data'!$F$9871&lt;&gt;999,'Data'!$F$9871&lt;&gt;""),'Data'!$F$9871,"")</f>
        <v/>
      </c>
      <c r="Z9870" t="n">
        <v>1</v>
      </c>
      <c r="AA9870">
        <f>IF(ISNUMBER('IN-CLASS_Lab Part C'!$J$9870),'IN-CLASS_Lab Part C'!$J$9870,NA())</f>
        <v/>
      </c>
    </row>
    <row r="9871">
      <c r="J9871">
        <f>IF(AND(ISNUMBER('Data'!$F$9872),'Data'!$F$9872&lt;&gt;999,'Data'!$F$9872&lt;&gt;""),'Data'!$F$9872,"")</f>
        <v/>
      </c>
      <c r="Z9871" t="n">
        <v>1</v>
      </c>
      <c r="AA9871">
        <f>IF(ISNUMBER('IN-CLASS_Lab Part C'!$J$9871),'IN-CLASS_Lab Part C'!$J$9871,NA())</f>
        <v/>
      </c>
    </row>
    <row r="9872">
      <c r="J9872">
        <f>IF(AND(ISNUMBER('Data'!$F$9873),'Data'!$F$9873&lt;&gt;999,'Data'!$F$9873&lt;&gt;""),'Data'!$F$9873,"")</f>
        <v/>
      </c>
      <c r="Z9872" t="n">
        <v>1</v>
      </c>
      <c r="AA9872">
        <f>IF(ISNUMBER('IN-CLASS_Lab Part C'!$J$9872),'IN-CLASS_Lab Part C'!$J$9872,NA())</f>
        <v/>
      </c>
    </row>
    <row r="9873">
      <c r="J9873">
        <f>IF(AND(ISNUMBER('Data'!$F$9874),'Data'!$F$9874&lt;&gt;999,'Data'!$F$9874&lt;&gt;""),'Data'!$F$9874,"")</f>
        <v/>
      </c>
      <c r="Z9873" t="n">
        <v>1</v>
      </c>
      <c r="AA9873">
        <f>IF(ISNUMBER('IN-CLASS_Lab Part C'!$J$9873),'IN-CLASS_Lab Part C'!$J$9873,NA())</f>
        <v/>
      </c>
    </row>
    <row r="9874">
      <c r="J9874">
        <f>IF(AND(ISNUMBER('Data'!$F$9875),'Data'!$F$9875&lt;&gt;999,'Data'!$F$9875&lt;&gt;""),'Data'!$F$9875,"")</f>
        <v/>
      </c>
      <c r="Z9874" t="n">
        <v>1</v>
      </c>
      <c r="AA9874">
        <f>IF(ISNUMBER('IN-CLASS_Lab Part C'!$J$9874),'IN-CLASS_Lab Part C'!$J$9874,NA())</f>
        <v/>
      </c>
    </row>
    <row r="9875">
      <c r="J9875">
        <f>IF(AND(ISNUMBER('Data'!$F$9876),'Data'!$F$9876&lt;&gt;999,'Data'!$F$9876&lt;&gt;""),'Data'!$F$9876,"")</f>
        <v/>
      </c>
      <c r="Z9875" t="n">
        <v>1</v>
      </c>
      <c r="AA9875">
        <f>IF(ISNUMBER('IN-CLASS_Lab Part C'!$J$9875),'IN-CLASS_Lab Part C'!$J$9875,NA())</f>
        <v/>
      </c>
    </row>
    <row r="9876">
      <c r="J9876">
        <f>IF(AND(ISNUMBER('Data'!$F$9877),'Data'!$F$9877&lt;&gt;999,'Data'!$F$9877&lt;&gt;""),'Data'!$F$9877,"")</f>
        <v/>
      </c>
      <c r="Z9876" t="n">
        <v>1</v>
      </c>
      <c r="AA9876">
        <f>IF(ISNUMBER('IN-CLASS_Lab Part C'!$J$9876),'IN-CLASS_Lab Part C'!$J$9876,NA())</f>
        <v/>
      </c>
    </row>
    <row r="9877">
      <c r="J9877">
        <f>IF(AND(ISNUMBER('Data'!$F$9878),'Data'!$F$9878&lt;&gt;999,'Data'!$F$9878&lt;&gt;""),'Data'!$F$9878,"")</f>
        <v/>
      </c>
      <c r="Z9877" t="n">
        <v>1</v>
      </c>
      <c r="AA9877">
        <f>IF(ISNUMBER('IN-CLASS_Lab Part C'!$J$9877),'IN-CLASS_Lab Part C'!$J$9877,NA())</f>
        <v/>
      </c>
    </row>
    <row r="9878">
      <c r="J9878">
        <f>IF(AND(ISNUMBER('Data'!$F$9879),'Data'!$F$9879&lt;&gt;999,'Data'!$F$9879&lt;&gt;""),'Data'!$F$9879,"")</f>
        <v/>
      </c>
      <c r="Z9878" t="n">
        <v>1</v>
      </c>
      <c r="AA9878">
        <f>IF(ISNUMBER('IN-CLASS_Lab Part C'!$J$9878),'IN-CLASS_Lab Part C'!$J$9878,NA())</f>
        <v/>
      </c>
    </row>
    <row r="9879">
      <c r="J9879">
        <f>IF(AND(ISNUMBER('Data'!$F$9880),'Data'!$F$9880&lt;&gt;999,'Data'!$F$9880&lt;&gt;""),'Data'!$F$9880,"")</f>
        <v/>
      </c>
      <c r="Z9879" t="n">
        <v>1</v>
      </c>
      <c r="AA9879">
        <f>IF(ISNUMBER('IN-CLASS_Lab Part C'!$J$9879),'IN-CLASS_Lab Part C'!$J$9879,NA())</f>
        <v/>
      </c>
    </row>
    <row r="9880">
      <c r="J9880">
        <f>IF(AND(ISNUMBER('Data'!$F$9881),'Data'!$F$9881&lt;&gt;999,'Data'!$F$9881&lt;&gt;""),'Data'!$F$9881,"")</f>
        <v/>
      </c>
      <c r="Z9880" t="n">
        <v>1</v>
      </c>
      <c r="AA9880">
        <f>IF(ISNUMBER('IN-CLASS_Lab Part C'!$J$9880),'IN-CLASS_Lab Part C'!$J$9880,NA())</f>
        <v/>
      </c>
    </row>
    <row r="9881">
      <c r="J9881">
        <f>IF(AND(ISNUMBER('Data'!$F$9882),'Data'!$F$9882&lt;&gt;999,'Data'!$F$9882&lt;&gt;""),'Data'!$F$9882,"")</f>
        <v/>
      </c>
      <c r="Z9881" t="n">
        <v>1</v>
      </c>
      <c r="AA9881">
        <f>IF(ISNUMBER('IN-CLASS_Lab Part C'!$J$9881),'IN-CLASS_Lab Part C'!$J$9881,NA())</f>
        <v/>
      </c>
    </row>
    <row r="9882">
      <c r="J9882">
        <f>IF(AND(ISNUMBER('Data'!$F$9883),'Data'!$F$9883&lt;&gt;999,'Data'!$F$9883&lt;&gt;""),'Data'!$F$9883,"")</f>
        <v/>
      </c>
      <c r="Z9882" t="n">
        <v>1</v>
      </c>
      <c r="AA9882">
        <f>IF(ISNUMBER('IN-CLASS_Lab Part C'!$J$9882),'IN-CLASS_Lab Part C'!$J$9882,NA())</f>
        <v/>
      </c>
    </row>
    <row r="9883">
      <c r="J9883">
        <f>IF(AND(ISNUMBER('Data'!$F$9884),'Data'!$F$9884&lt;&gt;999,'Data'!$F$9884&lt;&gt;""),'Data'!$F$9884,"")</f>
        <v/>
      </c>
      <c r="Z9883" t="n">
        <v>1</v>
      </c>
      <c r="AA9883">
        <f>IF(ISNUMBER('IN-CLASS_Lab Part C'!$J$9883),'IN-CLASS_Lab Part C'!$J$9883,NA())</f>
        <v/>
      </c>
    </row>
    <row r="9884">
      <c r="J9884">
        <f>IF(AND(ISNUMBER('Data'!$F$9885),'Data'!$F$9885&lt;&gt;999,'Data'!$F$9885&lt;&gt;""),'Data'!$F$9885,"")</f>
        <v/>
      </c>
      <c r="Z9884" t="n">
        <v>1</v>
      </c>
      <c r="AA9884">
        <f>IF(ISNUMBER('IN-CLASS_Lab Part C'!$J$9884),'IN-CLASS_Lab Part C'!$J$9884,NA())</f>
        <v/>
      </c>
    </row>
    <row r="9885">
      <c r="J9885">
        <f>IF(AND(ISNUMBER('Data'!$F$9886),'Data'!$F$9886&lt;&gt;999,'Data'!$F$9886&lt;&gt;""),'Data'!$F$9886,"")</f>
        <v/>
      </c>
      <c r="Z9885" t="n">
        <v>1</v>
      </c>
      <c r="AA9885">
        <f>IF(ISNUMBER('IN-CLASS_Lab Part C'!$J$9885),'IN-CLASS_Lab Part C'!$J$9885,NA())</f>
        <v/>
      </c>
    </row>
    <row r="9886">
      <c r="J9886">
        <f>IF(AND(ISNUMBER('Data'!$F$9887),'Data'!$F$9887&lt;&gt;999,'Data'!$F$9887&lt;&gt;""),'Data'!$F$9887,"")</f>
        <v/>
      </c>
      <c r="Z9886" t="n">
        <v>1</v>
      </c>
      <c r="AA9886">
        <f>IF(ISNUMBER('IN-CLASS_Lab Part C'!$J$9886),'IN-CLASS_Lab Part C'!$J$9886,NA())</f>
        <v/>
      </c>
    </row>
    <row r="9887">
      <c r="J9887">
        <f>IF(AND(ISNUMBER('Data'!$F$9888),'Data'!$F$9888&lt;&gt;999,'Data'!$F$9888&lt;&gt;""),'Data'!$F$9888,"")</f>
        <v/>
      </c>
      <c r="Z9887" t="n">
        <v>1</v>
      </c>
      <c r="AA9887">
        <f>IF(ISNUMBER('IN-CLASS_Lab Part C'!$J$9887),'IN-CLASS_Lab Part C'!$J$9887,NA())</f>
        <v/>
      </c>
    </row>
    <row r="9888">
      <c r="J9888">
        <f>IF(AND(ISNUMBER('Data'!$F$9889),'Data'!$F$9889&lt;&gt;999,'Data'!$F$9889&lt;&gt;""),'Data'!$F$9889,"")</f>
        <v/>
      </c>
      <c r="Z9888" t="n">
        <v>1</v>
      </c>
      <c r="AA9888">
        <f>IF(ISNUMBER('IN-CLASS_Lab Part C'!$J$9888),'IN-CLASS_Lab Part C'!$J$9888,NA())</f>
        <v/>
      </c>
    </row>
    <row r="9889">
      <c r="J9889">
        <f>IF(AND(ISNUMBER('Data'!$F$9890),'Data'!$F$9890&lt;&gt;999,'Data'!$F$9890&lt;&gt;""),'Data'!$F$9890,"")</f>
        <v/>
      </c>
      <c r="Z9889" t="n">
        <v>1</v>
      </c>
      <c r="AA9889">
        <f>IF(ISNUMBER('IN-CLASS_Lab Part C'!$J$9889),'IN-CLASS_Lab Part C'!$J$9889,NA())</f>
        <v/>
      </c>
    </row>
    <row r="9890">
      <c r="J9890">
        <f>IF(AND(ISNUMBER('Data'!$F$9891),'Data'!$F$9891&lt;&gt;999,'Data'!$F$9891&lt;&gt;""),'Data'!$F$9891,"")</f>
        <v/>
      </c>
      <c r="Z9890" t="n">
        <v>1</v>
      </c>
      <c r="AA9890">
        <f>IF(ISNUMBER('IN-CLASS_Lab Part C'!$J$9890),'IN-CLASS_Lab Part C'!$J$9890,NA())</f>
        <v/>
      </c>
    </row>
    <row r="9891">
      <c r="J9891">
        <f>IF(AND(ISNUMBER('Data'!$F$9892),'Data'!$F$9892&lt;&gt;999,'Data'!$F$9892&lt;&gt;""),'Data'!$F$9892,"")</f>
        <v/>
      </c>
      <c r="Z9891" t="n">
        <v>1</v>
      </c>
      <c r="AA9891">
        <f>IF(ISNUMBER('IN-CLASS_Lab Part C'!$J$9891),'IN-CLASS_Lab Part C'!$J$9891,NA())</f>
        <v/>
      </c>
    </row>
    <row r="9892">
      <c r="J9892">
        <f>IF(AND(ISNUMBER('Data'!$F$9893),'Data'!$F$9893&lt;&gt;999,'Data'!$F$9893&lt;&gt;""),'Data'!$F$9893,"")</f>
        <v/>
      </c>
      <c r="Z9892" t="n">
        <v>1</v>
      </c>
      <c r="AA9892">
        <f>IF(ISNUMBER('IN-CLASS_Lab Part C'!$J$9892),'IN-CLASS_Lab Part C'!$J$9892,NA())</f>
        <v/>
      </c>
    </row>
    <row r="9893">
      <c r="J9893">
        <f>IF(AND(ISNUMBER('Data'!$F$9894),'Data'!$F$9894&lt;&gt;999,'Data'!$F$9894&lt;&gt;""),'Data'!$F$9894,"")</f>
        <v/>
      </c>
      <c r="Z9893" t="n">
        <v>1</v>
      </c>
      <c r="AA9893">
        <f>IF(ISNUMBER('IN-CLASS_Lab Part C'!$J$9893),'IN-CLASS_Lab Part C'!$J$9893,NA())</f>
        <v/>
      </c>
    </row>
    <row r="9894">
      <c r="J9894">
        <f>IF(AND(ISNUMBER('Data'!$F$9895),'Data'!$F$9895&lt;&gt;999,'Data'!$F$9895&lt;&gt;""),'Data'!$F$9895,"")</f>
        <v/>
      </c>
      <c r="Z9894" t="n">
        <v>1</v>
      </c>
      <c r="AA9894">
        <f>IF(ISNUMBER('IN-CLASS_Lab Part C'!$J$9894),'IN-CLASS_Lab Part C'!$J$9894,NA())</f>
        <v/>
      </c>
    </row>
    <row r="9895">
      <c r="J9895">
        <f>IF(AND(ISNUMBER('Data'!$F$9896),'Data'!$F$9896&lt;&gt;999,'Data'!$F$9896&lt;&gt;""),'Data'!$F$9896,"")</f>
        <v/>
      </c>
      <c r="Z9895" t="n">
        <v>1</v>
      </c>
      <c r="AA9895">
        <f>IF(ISNUMBER('IN-CLASS_Lab Part C'!$J$9895),'IN-CLASS_Lab Part C'!$J$9895,NA())</f>
        <v/>
      </c>
    </row>
    <row r="9896">
      <c r="J9896">
        <f>IF(AND(ISNUMBER('Data'!$F$9897),'Data'!$F$9897&lt;&gt;999,'Data'!$F$9897&lt;&gt;""),'Data'!$F$9897,"")</f>
        <v/>
      </c>
      <c r="Z9896" t="n">
        <v>1</v>
      </c>
      <c r="AA9896">
        <f>IF(ISNUMBER('IN-CLASS_Lab Part C'!$J$9896),'IN-CLASS_Lab Part C'!$J$9896,NA())</f>
        <v/>
      </c>
    </row>
    <row r="9897">
      <c r="J9897">
        <f>IF(AND(ISNUMBER('Data'!$F$9898),'Data'!$F$9898&lt;&gt;999,'Data'!$F$9898&lt;&gt;""),'Data'!$F$9898,"")</f>
        <v/>
      </c>
      <c r="Z9897" t="n">
        <v>1</v>
      </c>
      <c r="AA9897">
        <f>IF(ISNUMBER('IN-CLASS_Lab Part C'!$J$9897),'IN-CLASS_Lab Part C'!$J$9897,NA())</f>
        <v/>
      </c>
    </row>
    <row r="9898">
      <c r="J9898">
        <f>IF(AND(ISNUMBER('Data'!$F$9899),'Data'!$F$9899&lt;&gt;999,'Data'!$F$9899&lt;&gt;""),'Data'!$F$9899,"")</f>
        <v/>
      </c>
      <c r="Z9898" t="n">
        <v>1</v>
      </c>
      <c r="AA9898">
        <f>IF(ISNUMBER('IN-CLASS_Lab Part C'!$J$9898),'IN-CLASS_Lab Part C'!$J$9898,NA())</f>
        <v/>
      </c>
    </row>
    <row r="9899">
      <c r="J9899">
        <f>IF(AND(ISNUMBER('Data'!$F$9900),'Data'!$F$9900&lt;&gt;999,'Data'!$F$9900&lt;&gt;""),'Data'!$F$9900,"")</f>
        <v/>
      </c>
      <c r="Z9899" t="n">
        <v>1</v>
      </c>
      <c r="AA9899">
        <f>IF(ISNUMBER('IN-CLASS_Lab Part C'!$J$9899),'IN-CLASS_Lab Part C'!$J$9899,NA())</f>
        <v/>
      </c>
    </row>
    <row r="9900">
      <c r="J9900">
        <f>IF(AND(ISNUMBER('Data'!$F$9901),'Data'!$F$9901&lt;&gt;999,'Data'!$F$9901&lt;&gt;""),'Data'!$F$9901,"")</f>
        <v/>
      </c>
      <c r="Z9900" t="n">
        <v>1</v>
      </c>
      <c r="AA9900">
        <f>IF(ISNUMBER('IN-CLASS_Lab Part C'!$J$9900),'IN-CLASS_Lab Part C'!$J$9900,NA())</f>
        <v/>
      </c>
    </row>
    <row r="9901">
      <c r="J9901">
        <f>IF(AND(ISNUMBER('Data'!$F$9902),'Data'!$F$9902&lt;&gt;999,'Data'!$F$9902&lt;&gt;""),'Data'!$F$9902,"")</f>
        <v/>
      </c>
      <c r="Z9901" t="n">
        <v>1</v>
      </c>
      <c r="AA9901">
        <f>IF(ISNUMBER('IN-CLASS_Lab Part C'!$J$9901),'IN-CLASS_Lab Part C'!$J$9901,NA())</f>
        <v/>
      </c>
    </row>
    <row r="9902">
      <c r="J9902">
        <f>IF(AND(ISNUMBER('Data'!$F$9903),'Data'!$F$9903&lt;&gt;999,'Data'!$F$9903&lt;&gt;""),'Data'!$F$9903,"")</f>
        <v/>
      </c>
      <c r="Z9902" t="n">
        <v>1</v>
      </c>
      <c r="AA9902">
        <f>IF(ISNUMBER('IN-CLASS_Lab Part C'!$J$9902),'IN-CLASS_Lab Part C'!$J$9902,NA())</f>
        <v/>
      </c>
    </row>
    <row r="9903">
      <c r="J9903">
        <f>IF(AND(ISNUMBER('Data'!$F$9904),'Data'!$F$9904&lt;&gt;999,'Data'!$F$9904&lt;&gt;""),'Data'!$F$9904,"")</f>
        <v/>
      </c>
      <c r="Z9903" t="n">
        <v>1</v>
      </c>
      <c r="AA9903">
        <f>IF(ISNUMBER('IN-CLASS_Lab Part C'!$J$9903),'IN-CLASS_Lab Part C'!$J$9903,NA())</f>
        <v/>
      </c>
    </row>
    <row r="9904">
      <c r="J9904">
        <f>IF(AND(ISNUMBER('Data'!$F$9905),'Data'!$F$9905&lt;&gt;999,'Data'!$F$9905&lt;&gt;""),'Data'!$F$9905,"")</f>
        <v/>
      </c>
      <c r="Z9904" t="n">
        <v>1</v>
      </c>
      <c r="AA9904">
        <f>IF(ISNUMBER('IN-CLASS_Lab Part C'!$J$9904),'IN-CLASS_Lab Part C'!$J$9904,NA())</f>
        <v/>
      </c>
    </row>
    <row r="9905">
      <c r="J9905">
        <f>IF(AND(ISNUMBER('Data'!$F$9906),'Data'!$F$9906&lt;&gt;999,'Data'!$F$9906&lt;&gt;""),'Data'!$F$9906,"")</f>
        <v/>
      </c>
      <c r="Z9905" t="n">
        <v>1</v>
      </c>
      <c r="AA9905">
        <f>IF(ISNUMBER('IN-CLASS_Lab Part C'!$J$9905),'IN-CLASS_Lab Part C'!$J$9905,NA())</f>
        <v/>
      </c>
    </row>
    <row r="9906">
      <c r="J9906">
        <f>IF(AND(ISNUMBER('Data'!$F$9907),'Data'!$F$9907&lt;&gt;999,'Data'!$F$9907&lt;&gt;""),'Data'!$F$9907,"")</f>
        <v/>
      </c>
      <c r="Z9906" t="n">
        <v>1</v>
      </c>
      <c r="AA9906">
        <f>IF(ISNUMBER('IN-CLASS_Lab Part C'!$J$9906),'IN-CLASS_Lab Part C'!$J$9906,NA())</f>
        <v/>
      </c>
    </row>
    <row r="9907">
      <c r="J9907">
        <f>IF(AND(ISNUMBER('Data'!$F$9908),'Data'!$F$9908&lt;&gt;999,'Data'!$F$9908&lt;&gt;""),'Data'!$F$9908,"")</f>
        <v/>
      </c>
      <c r="Z9907" t="n">
        <v>1</v>
      </c>
      <c r="AA9907">
        <f>IF(ISNUMBER('IN-CLASS_Lab Part C'!$J$9907),'IN-CLASS_Lab Part C'!$J$9907,NA())</f>
        <v/>
      </c>
    </row>
    <row r="9908">
      <c r="J9908">
        <f>IF(AND(ISNUMBER('Data'!$F$9909),'Data'!$F$9909&lt;&gt;999,'Data'!$F$9909&lt;&gt;""),'Data'!$F$9909,"")</f>
        <v/>
      </c>
      <c r="Z9908" t="n">
        <v>1</v>
      </c>
      <c r="AA9908">
        <f>IF(ISNUMBER('IN-CLASS_Lab Part C'!$J$9908),'IN-CLASS_Lab Part C'!$J$9908,NA())</f>
        <v/>
      </c>
    </row>
    <row r="9909">
      <c r="J9909">
        <f>IF(AND(ISNUMBER('Data'!$F$9910),'Data'!$F$9910&lt;&gt;999,'Data'!$F$9910&lt;&gt;""),'Data'!$F$9910,"")</f>
        <v/>
      </c>
      <c r="Z9909" t="n">
        <v>1</v>
      </c>
      <c r="AA9909">
        <f>IF(ISNUMBER('IN-CLASS_Lab Part C'!$J$9909),'IN-CLASS_Lab Part C'!$J$9909,NA())</f>
        <v/>
      </c>
    </row>
    <row r="9910">
      <c r="J9910">
        <f>IF(AND(ISNUMBER('Data'!$F$9911),'Data'!$F$9911&lt;&gt;999,'Data'!$F$9911&lt;&gt;""),'Data'!$F$9911,"")</f>
        <v/>
      </c>
      <c r="Z9910" t="n">
        <v>1</v>
      </c>
      <c r="AA9910">
        <f>IF(ISNUMBER('IN-CLASS_Lab Part C'!$J$9910),'IN-CLASS_Lab Part C'!$J$9910,NA())</f>
        <v/>
      </c>
    </row>
    <row r="9911">
      <c r="J9911">
        <f>IF(AND(ISNUMBER('Data'!$F$9912),'Data'!$F$9912&lt;&gt;999,'Data'!$F$9912&lt;&gt;""),'Data'!$F$9912,"")</f>
        <v/>
      </c>
      <c r="Z9911" t="n">
        <v>1</v>
      </c>
      <c r="AA9911">
        <f>IF(ISNUMBER('IN-CLASS_Lab Part C'!$J$9911),'IN-CLASS_Lab Part C'!$J$9911,NA())</f>
        <v/>
      </c>
    </row>
    <row r="9912">
      <c r="J9912">
        <f>IF(AND(ISNUMBER('Data'!$F$9913),'Data'!$F$9913&lt;&gt;999,'Data'!$F$9913&lt;&gt;""),'Data'!$F$9913,"")</f>
        <v/>
      </c>
      <c r="Z9912" t="n">
        <v>1</v>
      </c>
      <c r="AA9912">
        <f>IF(ISNUMBER('IN-CLASS_Lab Part C'!$J$9912),'IN-CLASS_Lab Part C'!$J$9912,NA())</f>
        <v/>
      </c>
    </row>
    <row r="9913">
      <c r="J9913">
        <f>IF(AND(ISNUMBER('Data'!$F$9914),'Data'!$F$9914&lt;&gt;999,'Data'!$F$9914&lt;&gt;""),'Data'!$F$9914,"")</f>
        <v/>
      </c>
      <c r="Z9913" t="n">
        <v>1</v>
      </c>
      <c r="AA9913">
        <f>IF(ISNUMBER('IN-CLASS_Lab Part C'!$J$9913),'IN-CLASS_Lab Part C'!$J$9913,NA())</f>
        <v/>
      </c>
    </row>
    <row r="9914">
      <c r="J9914">
        <f>IF(AND(ISNUMBER('Data'!$F$9915),'Data'!$F$9915&lt;&gt;999,'Data'!$F$9915&lt;&gt;""),'Data'!$F$9915,"")</f>
        <v/>
      </c>
      <c r="Z9914" t="n">
        <v>1</v>
      </c>
      <c r="AA9914">
        <f>IF(ISNUMBER('IN-CLASS_Lab Part C'!$J$9914),'IN-CLASS_Lab Part C'!$J$9914,NA())</f>
        <v/>
      </c>
    </row>
    <row r="9915">
      <c r="J9915">
        <f>IF(AND(ISNUMBER('Data'!$F$9916),'Data'!$F$9916&lt;&gt;999,'Data'!$F$9916&lt;&gt;""),'Data'!$F$9916,"")</f>
        <v/>
      </c>
      <c r="Z9915" t="n">
        <v>1</v>
      </c>
      <c r="AA9915">
        <f>IF(ISNUMBER('IN-CLASS_Lab Part C'!$J$9915),'IN-CLASS_Lab Part C'!$J$9915,NA())</f>
        <v/>
      </c>
    </row>
    <row r="9916">
      <c r="J9916">
        <f>IF(AND(ISNUMBER('Data'!$F$9917),'Data'!$F$9917&lt;&gt;999,'Data'!$F$9917&lt;&gt;""),'Data'!$F$9917,"")</f>
        <v/>
      </c>
      <c r="Z9916" t="n">
        <v>1</v>
      </c>
      <c r="AA9916">
        <f>IF(ISNUMBER('IN-CLASS_Lab Part C'!$J$9916),'IN-CLASS_Lab Part C'!$J$9916,NA())</f>
        <v/>
      </c>
    </row>
    <row r="9917">
      <c r="J9917">
        <f>IF(AND(ISNUMBER('Data'!$F$9918),'Data'!$F$9918&lt;&gt;999,'Data'!$F$9918&lt;&gt;""),'Data'!$F$9918,"")</f>
        <v/>
      </c>
      <c r="Z9917" t="n">
        <v>1</v>
      </c>
      <c r="AA9917">
        <f>IF(ISNUMBER('IN-CLASS_Lab Part C'!$J$9917),'IN-CLASS_Lab Part C'!$J$9917,NA())</f>
        <v/>
      </c>
    </row>
    <row r="9918">
      <c r="J9918">
        <f>IF(AND(ISNUMBER('Data'!$F$9919),'Data'!$F$9919&lt;&gt;999,'Data'!$F$9919&lt;&gt;""),'Data'!$F$9919,"")</f>
        <v/>
      </c>
      <c r="Z9918" t="n">
        <v>1</v>
      </c>
      <c r="AA9918">
        <f>IF(ISNUMBER('IN-CLASS_Lab Part C'!$J$9918),'IN-CLASS_Lab Part C'!$J$9918,NA())</f>
        <v/>
      </c>
    </row>
    <row r="9919">
      <c r="J9919">
        <f>IF(AND(ISNUMBER('Data'!$F$9920),'Data'!$F$9920&lt;&gt;999,'Data'!$F$9920&lt;&gt;""),'Data'!$F$9920,"")</f>
        <v/>
      </c>
      <c r="Z9919" t="n">
        <v>1</v>
      </c>
      <c r="AA9919">
        <f>IF(ISNUMBER('IN-CLASS_Lab Part C'!$J$9919),'IN-CLASS_Lab Part C'!$J$9919,NA())</f>
        <v/>
      </c>
    </row>
    <row r="9920">
      <c r="J9920">
        <f>IF(AND(ISNUMBER('Data'!$F$9921),'Data'!$F$9921&lt;&gt;999,'Data'!$F$9921&lt;&gt;""),'Data'!$F$9921,"")</f>
        <v/>
      </c>
      <c r="Z9920" t="n">
        <v>1</v>
      </c>
      <c r="AA9920">
        <f>IF(ISNUMBER('IN-CLASS_Lab Part C'!$J$9920),'IN-CLASS_Lab Part C'!$J$9920,NA())</f>
        <v/>
      </c>
    </row>
    <row r="9921">
      <c r="J9921">
        <f>IF(AND(ISNUMBER('Data'!$F$9922),'Data'!$F$9922&lt;&gt;999,'Data'!$F$9922&lt;&gt;""),'Data'!$F$9922,"")</f>
        <v/>
      </c>
      <c r="Z9921" t="n">
        <v>1</v>
      </c>
      <c r="AA9921">
        <f>IF(ISNUMBER('IN-CLASS_Lab Part C'!$J$9921),'IN-CLASS_Lab Part C'!$J$9921,NA())</f>
        <v/>
      </c>
    </row>
    <row r="9922">
      <c r="J9922">
        <f>IF(AND(ISNUMBER('Data'!$F$9923),'Data'!$F$9923&lt;&gt;999,'Data'!$F$9923&lt;&gt;""),'Data'!$F$9923,"")</f>
        <v/>
      </c>
      <c r="Z9922" t="n">
        <v>1</v>
      </c>
      <c r="AA9922">
        <f>IF(ISNUMBER('IN-CLASS_Lab Part C'!$J$9922),'IN-CLASS_Lab Part C'!$J$9922,NA())</f>
        <v/>
      </c>
    </row>
    <row r="9923">
      <c r="J9923">
        <f>IF(AND(ISNUMBER('Data'!$F$9924),'Data'!$F$9924&lt;&gt;999,'Data'!$F$9924&lt;&gt;""),'Data'!$F$9924,"")</f>
        <v/>
      </c>
      <c r="Z9923" t="n">
        <v>1</v>
      </c>
      <c r="AA9923">
        <f>IF(ISNUMBER('IN-CLASS_Lab Part C'!$J$9923),'IN-CLASS_Lab Part C'!$J$9923,NA())</f>
        <v/>
      </c>
    </row>
    <row r="9924">
      <c r="J9924">
        <f>IF(AND(ISNUMBER('Data'!$F$9925),'Data'!$F$9925&lt;&gt;999,'Data'!$F$9925&lt;&gt;""),'Data'!$F$9925,"")</f>
        <v/>
      </c>
      <c r="Z9924" t="n">
        <v>1</v>
      </c>
      <c r="AA9924">
        <f>IF(ISNUMBER('IN-CLASS_Lab Part C'!$J$9924),'IN-CLASS_Lab Part C'!$J$9924,NA())</f>
        <v/>
      </c>
    </row>
    <row r="9925">
      <c r="J9925">
        <f>IF(AND(ISNUMBER('Data'!$F$9926),'Data'!$F$9926&lt;&gt;999,'Data'!$F$9926&lt;&gt;""),'Data'!$F$9926,"")</f>
        <v/>
      </c>
      <c r="Z9925" t="n">
        <v>1</v>
      </c>
      <c r="AA9925">
        <f>IF(ISNUMBER('IN-CLASS_Lab Part C'!$J$9925),'IN-CLASS_Lab Part C'!$J$9925,NA())</f>
        <v/>
      </c>
    </row>
    <row r="9926">
      <c r="J9926">
        <f>IF(AND(ISNUMBER('Data'!$F$9927),'Data'!$F$9927&lt;&gt;999,'Data'!$F$9927&lt;&gt;""),'Data'!$F$9927,"")</f>
        <v/>
      </c>
      <c r="Z9926" t="n">
        <v>1</v>
      </c>
      <c r="AA9926">
        <f>IF(ISNUMBER('IN-CLASS_Lab Part C'!$J$9926),'IN-CLASS_Lab Part C'!$J$9926,NA())</f>
        <v/>
      </c>
    </row>
    <row r="9927">
      <c r="J9927">
        <f>IF(AND(ISNUMBER('Data'!$F$9928),'Data'!$F$9928&lt;&gt;999,'Data'!$F$9928&lt;&gt;""),'Data'!$F$9928,"")</f>
        <v/>
      </c>
      <c r="Z9927" t="n">
        <v>1</v>
      </c>
      <c r="AA9927">
        <f>IF(ISNUMBER('IN-CLASS_Lab Part C'!$J$9927),'IN-CLASS_Lab Part C'!$J$9927,NA())</f>
        <v/>
      </c>
    </row>
    <row r="9928">
      <c r="J9928">
        <f>IF(AND(ISNUMBER('Data'!$F$9929),'Data'!$F$9929&lt;&gt;999,'Data'!$F$9929&lt;&gt;""),'Data'!$F$9929,"")</f>
        <v/>
      </c>
      <c r="Z9928" t="n">
        <v>1</v>
      </c>
      <c r="AA9928">
        <f>IF(ISNUMBER('IN-CLASS_Lab Part C'!$J$9928),'IN-CLASS_Lab Part C'!$J$9928,NA())</f>
        <v/>
      </c>
    </row>
    <row r="9929">
      <c r="J9929">
        <f>IF(AND(ISNUMBER('Data'!$F$9930),'Data'!$F$9930&lt;&gt;999,'Data'!$F$9930&lt;&gt;""),'Data'!$F$9930,"")</f>
        <v/>
      </c>
      <c r="Z9929" t="n">
        <v>1</v>
      </c>
      <c r="AA9929">
        <f>IF(ISNUMBER('IN-CLASS_Lab Part C'!$J$9929),'IN-CLASS_Lab Part C'!$J$9929,NA())</f>
        <v/>
      </c>
    </row>
    <row r="9930">
      <c r="J9930">
        <f>IF(AND(ISNUMBER('Data'!$F$9931),'Data'!$F$9931&lt;&gt;999,'Data'!$F$9931&lt;&gt;""),'Data'!$F$9931,"")</f>
        <v/>
      </c>
      <c r="Z9930" t="n">
        <v>1</v>
      </c>
      <c r="AA9930">
        <f>IF(ISNUMBER('IN-CLASS_Lab Part C'!$J$9930),'IN-CLASS_Lab Part C'!$J$9930,NA())</f>
        <v/>
      </c>
    </row>
    <row r="9931">
      <c r="J9931">
        <f>IF(AND(ISNUMBER('Data'!$F$9932),'Data'!$F$9932&lt;&gt;999,'Data'!$F$9932&lt;&gt;""),'Data'!$F$9932,"")</f>
        <v/>
      </c>
      <c r="Z9931" t="n">
        <v>1</v>
      </c>
      <c r="AA9931">
        <f>IF(ISNUMBER('IN-CLASS_Lab Part C'!$J$9931),'IN-CLASS_Lab Part C'!$J$9931,NA())</f>
        <v/>
      </c>
    </row>
    <row r="9932">
      <c r="J9932">
        <f>IF(AND(ISNUMBER('Data'!$F$9933),'Data'!$F$9933&lt;&gt;999,'Data'!$F$9933&lt;&gt;""),'Data'!$F$9933,"")</f>
        <v/>
      </c>
      <c r="Z9932" t="n">
        <v>1</v>
      </c>
      <c r="AA9932">
        <f>IF(ISNUMBER('IN-CLASS_Lab Part C'!$J$9932),'IN-CLASS_Lab Part C'!$J$9932,NA())</f>
        <v/>
      </c>
    </row>
    <row r="9933">
      <c r="J9933">
        <f>IF(AND(ISNUMBER('Data'!$F$9934),'Data'!$F$9934&lt;&gt;999,'Data'!$F$9934&lt;&gt;""),'Data'!$F$9934,"")</f>
        <v/>
      </c>
      <c r="Z9933" t="n">
        <v>1</v>
      </c>
      <c r="AA9933">
        <f>IF(ISNUMBER('IN-CLASS_Lab Part C'!$J$9933),'IN-CLASS_Lab Part C'!$J$9933,NA())</f>
        <v/>
      </c>
    </row>
    <row r="9934">
      <c r="J9934">
        <f>IF(AND(ISNUMBER('Data'!$F$9935),'Data'!$F$9935&lt;&gt;999,'Data'!$F$9935&lt;&gt;""),'Data'!$F$9935,"")</f>
        <v/>
      </c>
      <c r="Z9934" t="n">
        <v>1</v>
      </c>
      <c r="AA9934">
        <f>IF(ISNUMBER('IN-CLASS_Lab Part C'!$J$9934),'IN-CLASS_Lab Part C'!$J$9934,NA())</f>
        <v/>
      </c>
    </row>
    <row r="9935">
      <c r="J9935">
        <f>IF(AND(ISNUMBER('Data'!$F$9936),'Data'!$F$9936&lt;&gt;999,'Data'!$F$9936&lt;&gt;""),'Data'!$F$9936,"")</f>
        <v/>
      </c>
      <c r="Z9935" t="n">
        <v>1</v>
      </c>
      <c r="AA9935">
        <f>IF(ISNUMBER('IN-CLASS_Lab Part C'!$J$9935),'IN-CLASS_Lab Part C'!$J$9935,NA())</f>
        <v/>
      </c>
    </row>
    <row r="9936">
      <c r="J9936">
        <f>IF(AND(ISNUMBER('Data'!$F$9937),'Data'!$F$9937&lt;&gt;999,'Data'!$F$9937&lt;&gt;""),'Data'!$F$9937,"")</f>
        <v/>
      </c>
      <c r="Z9936" t="n">
        <v>1</v>
      </c>
      <c r="AA9936">
        <f>IF(ISNUMBER('IN-CLASS_Lab Part C'!$J$9936),'IN-CLASS_Lab Part C'!$J$9936,NA())</f>
        <v/>
      </c>
    </row>
    <row r="9937">
      <c r="J9937">
        <f>IF(AND(ISNUMBER('Data'!$F$9938),'Data'!$F$9938&lt;&gt;999,'Data'!$F$9938&lt;&gt;""),'Data'!$F$9938,"")</f>
        <v/>
      </c>
      <c r="Z9937" t="n">
        <v>1</v>
      </c>
      <c r="AA9937">
        <f>IF(ISNUMBER('IN-CLASS_Lab Part C'!$J$9937),'IN-CLASS_Lab Part C'!$J$9937,NA())</f>
        <v/>
      </c>
    </row>
    <row r="9938">
      <c r="J9938">
        <f>IF(AND(ISNUMBER('Data'!$F$9939),'Data'!$F$9939&lt;&gt;999,'Data'!$F$9939&lt;&gt;""),'Data'!$F$9939,"")</f>
        <v/>
      </c>
      <c r="Z9938" t="n">
        <v>1</v>
      </c>
      <c r="AA9938">
        <f>IF(ISNUMBER('IN-CLASS_Lab Part C'!$J$9938),'IN-CLASS_Lab Part C'!$J$9938,NA())</f>
        <v/>
      </c>
    </row>
    <row r="9939">
      <c r="J9939">
        <f>IF(AND(ISNUMBER('Data'!$F$9940),'Data'!$F$9940&lt;&gt;999,'Data'!$F$9940&lt;&gt;""),'Data'!$F$9940,"")</f>
        <v/>
      </c>
      <c r="Z9939" t="n">
        <v>1</v>
      </c>
      <c r="AA9939">
        <f>IF(ISNUMBER('IN-CLASS_Lab Part C'!$J$9939),'IN-CLASS_Lab Part C'!$J$9939,NA())</f>
        <v/>
      </c>
    </row>
    <row r="9940">
      <c r="J9940">
        <f>IF(AND(ISNUMBER('Data'!$F$9941),'Data'!$F$9941&lt;&gt;999,'Data'!$F$9941&lt;&gt;""),'Data'!$F$9941,"")</f>
        <v/>
      </c>
      <c r="Z9940" t="n">
        <v>1</v>
      </c>
      <c r="AA9940">
        <f>IF(ISNUMBER('IN-CLASS_Lab Part C'!$J$9940),'IN-CLASS_Lab Part C'!$J$9940,NA())</f>
        <v/>
      </c>
    </row>
    <row r="9941">
      <c r="J9941">
        <f>IF(AND(ISNUMBER('Data'!$F$9942),'Data'!$F$9942&lt;&gt;999,'Data'!$F$9942&lt;&gt;""),'Data'!$F$9942,"")</f>
        <v/>
      </c>
      <c r="Z9941" t="n">
        <v>1</v>
      </c>
      <c r="AA9941">
        <f>IF(ISNUMBER('IN-CLASS_Lab Part C'!$J$9941),'IN-CLASS_Lab Part C'!$J$9941,NA())</f>
        <v/>
      </c>
    </row>
    <row r="9942">
      <c r="J9942">
        <f>IF(AND(ISNUMBER('Data'!$F$9943),'Data'!$F$9943&lt;&gt;999,'Data'!$F$9943&lt;&gt;""),'Data'!$F$9943,"")</f>
        <v/>
      </c>
      <c r="Z9942" t="n">
        <v>1</v>
      </c>
      <c r="AA9942">
        <f>IF(ISNUMBER('IN-CLASS_Lab Part C'!$J$9942),'IN-CLASS_Lab Part C'!$J$9942,NA())</f>
        <v/>
      </c>
    </row>
    <row r="9943">
      <c r="J9943">
        <f>IF(AND(ISNUMBER('Data'!$F$9944),'Data'!$F$9944&lt;&gt;999,'Data'!$F$9944&lt;&gt;""),'Data'!$F$9944,"")</f>
        <v/>
      </c>
      <c r="Z9943" t="n">
        <v>1</v>
      </c>
      <c r="AA9943">
        <f>IF(ISNUMBER('IN-CLASS_Lab Part C'!$J$9943),'IN-CLASS_Lab Part C'!$J$9943,NA())</f>
        <v/>
      </c>
    </row>
    <row r="9944">
      <c r="J9944">
        <f>IF(AND(ISNUMBER('Data'!$F$9945),'Data'!$F$9945&lt;&gt;999,'Data'!$F$9945&lt;&gt;""),'Data'!$F$9945,"")</f>
        <v/>
      </c>
      <c r="Z9944" t="n">
        <v>1</v>
      </c>
      <c r="AA9944">
        <f>IF(ISNUMBER('IN-CLASS_Lab Part C'!$J$9944),'IN-CLASS_Lab Part C'!$J$9944,NA())</f>
        <v/>
      </c>
    </row>
    <row r="9945">
      <c r="J9945">
        <f>IF(AND(ISNUMBER('Data'!$F$9946),'Data'!$F$9946&lt;&gt;999,'Data'!$F$9946&lt;&gt;""),'Data'!$F$9946,"")</f>
        <v/>
      </c>
      <c r="Z9945" t="n">
        <v>1</v>
      </c>
      <c r="AA9945">
        <f>IF(ISNUMBER('IN-CLASS_Lab Part C'!$J$9945),'IN-CLASS_Lab Part C'!$J$9945,NA())</f>
        <v/>
      </c>
    </row>
    <row r="9946">
      <c r="J9946">
        <f>IF(AND(ISNUMBER('Data'!$F$9947),'Data'!$F$9947&lt;&gt;999,'Data'!$F$9947&lt;&gt;""),'Data'!$F$9947,"")</f>
        <v/>
      </c>
      <c r="Z9946" t="n">
        <v>1</v>
      </c>
      <c r="AA9946">
        <f>IF(ISNUMBER('IN-CLASS_Lab Part C'!$J$9946),'IN-CLASS_Lab Part C'!$J$9946,NA())</f>
        <v/>
      </c>
    </row>
    <row r="9947">
      <c r="J9947">
        <f>IF(AND(ISNUMBER('Data'!$F$9948),'Data'!$F$9948&lt;&gt;999,'Data'!$F$9948&lt;&gt;""),'Data'!$F$9948,"")</f>
        <v/>
      </c>
      <c r="Z9947" t="n">
        <v>1</v>
      </c>
      <c r="AA9947">
        <f>IF(ISNUMBER('IN-CLASS_Lab Part C'!$J$9947),'IN-CLASS_Lab Part C'!$J$9947,NA())</f>
        <v/>
      </c>
    </row>
    <row r="9948">
      <c r="J9948">
        <f>IF(AND(ISNUMBER('Data'!$F$9949),'Data'!$F$9949&lt;&gt;999,'Data'!$F$9949&lt;&gt;""),'Data'!$F$9949,"")</f>
        <v/>
      </c>
      <c r="Z9948" t="n">
        <v>1</v>
      </c>
      <c r="AA9948">
        <f>IF(ISNUMBER('IN-CLASS_Lab Part C'!$J$9948),'IN-CLASS_Lab Part C'!$J$9948,NA())</f>
        <v/>
      </c>
    </row>
    <row r="9949">
      <c r="J9949">
        <f>IF(AND(ISNUMBER('Data'!$F$9950),'Data'!$F$9950&lt;&gt;999,'Data'!$F$9950&lt;&gt;""),'Data'!$F$9950,"")</f>
        <v/>
      </c>
      <c r="Z9949" t="n">
        <v>1</v>
      </c>
      <c r="AA9949">
        <f>IF(ISNUMBER('IN-CLASS_Lab Part C'!$J$9949),'IN-CLASS_Lab Part C'!$J$9949,NA())</f>
        <v/>
      </c>
    </row>
    <row r="9950">
      <c r="J9950">
        <f>IF(AND(ISNUMBER('Data'!$F$9951),'Data'!$F$9951&lt;&gt;999,'Data'!$F$9951&lt;&gt;""),'Data'!$F$9951,"")</f>
        <v/>
      </c>
      <c r="Z9950" t="n">
        <v>1</v>
      </c>
      <c r="AA9950">
        <f>IF(ISNUMBER('IN-CLASS_Lab Part C'!$J$9950),'IN-CLASS_Lab Part C'!$J$9950,NA())</f>
        <v/>
      </c>
    </row>
    <row r="9951">
      <c r="J9951">
        <f>IF(AND(ISNUMBER('Data'!$F$9952),'Data'!$F$9952&lt;&gt;999,'Data'!$F$9952&lt;&gt;""),'Data'!$F$9952,"")</f>
        <v/>
      </c>
      <c r="Z9951" t="n">
        <v>1</v>
      </c>
      <c r="AA9951">
        <f>IF(ISNUMBER('IN-CLASS_Lab Part C'!$J$9951),'IN-CLASS_Lab Part C'!$J$9951,NA())</f>
        <v/>
      </c>
    </row>
    <row r="9952">
      <c r="J9952">
        <f>IF(AND(ISNUMBER('Data'!$F$9953),'Data'!$F$9953&lt;&gt;999,'Data'!$F$9953&lt;&gt;""),'Data'!$F$9953,"")</f>
        <v/>
      </c>
      <c r="Z9952" t="n">
        <v>1</v>
      </c>
      <c r="AA9952">
        <f>IF(ISNUMBER('IN-CLASS_Lab Part C'!$J$9952),'IN-CLASS_Lab Part C'!$J$9952,NA())</f>
        <v/>
      </c>
    </row>
    <row r="9953">
      <c r="J9953">
        <f>IF(AND(ISNUMBER('Data'!$F$9954),'Data'!$F$9954&lt;&gt;999,'Data'!$F$9954&lt;&gt;""),'Data'!$F$9954,"")</f>
        <v/>
      </c>
      <c r="Z9953" t="n">
        <v>1</v>
      </c>
      <c r="AA9953">
        <f>IF(ISNUMBER('IN-CLASS_Lab Part C'!$J$9953),'IN-CLASS_Lab Part C'!$J$9953,NA())</f>
        <v/>
      </c>
    </row>
    <row r="9954">
      <c r="J9954">
        <f>IF(AND(ISNUMBER('Data'!$F$9955),'Data'!$F$9955&lt;&gt;999,'Data'!$F$9955&lt;&gt;""),'Data'!$F$9955,"")</f>
        <v/>
      </c>
      <c r="Z9954" t="n">
        <v>1</v>
      </c>
      <c r="AA9954">
        <f>IF(ISNUMBER('IN-CLASS_Lab Part C'!$J$9954),'IN-CLASS_Lab Part C'!$J$9954,NA())</f>
        <v/>
      </c>
    </row>
    <row r="9955">
      <c r="J9955">
        <f>IF(AND(ISNUMBER('Data'!$F$9956),'Data'!$F$9956&lt;&gt;999,'Data'!$F$9956&lt;&gt;""),'Data'!$F$9956,"")</f>
        <v/>
      </c>
      <c r="Z9955" t="n">
        <v>1</v>
      </c>
      <c r="AA9955">
        <f>IF(ISNUMBER('IN-CLASS_Lab Part C'!$J$9955),'IN-CLASS_Lab Part C'!$J$9955,NA())</f>
        <v/>
      </c>
    </row>
    <row r="9956">
      <c r="J9956">
        <f>IF(AND(ISNUMBER('Data'!$F$9957),'Data'!$F$9957&lt;&gt;999,'Data'!$F$9957&lt;&gt;""),'Data'!$F$9957,"")</f>
        <v/>
      </c>
      <c r="Z9956" t="n">
        <v>1</v>
      </c>
      <c r="AA9956">
        <f>IF(ISNUMBER('IN-CLASS_Lab Part C'!$J$9956),'IN-CLASS_Lab Part C'!$J$9956,NA())</f>
        <v/>
      </c>
    </row>
    <row r="9957">
      <c r="J9957">
        <f>IF(AND(ISNUMBER('Data'!$F$9958),'Data'!$F$9958&lt;&gt;999,'Data'!$F$9958&lt;&gt;""),'Data'!$F$9958,"")</f>
        <v/>
      </c>
      <c r="Z9957" t="n">
        <v>1</v>
      </c>
      <c r="AA9957">
        <f>IF(ISNUMBER('IN-CLASS_Lab Part C'!$J$9957),'IN-CLASS_Lab Part C'!$J$9957,NA())</f>
        <v/>
      </c>
    </row>
    <row r="9958">
      <c r="J9958">
        <f>IF(AND(ISNUMBER('Data'!$F$9959),'Data'!$F$9959&lt;&gt;999,'Data'!$F$9959&lt;&gt;""),'Data'!$F$9959,"")</f>
        <v/>
      </c>
      <c r="Z9958" t="n">
        <v>1</v>
      </c>
      <c r="AA9958">
        <f>IF(ISNUMBER('IN-CLASS_Lab Part C'!$J$9958),'IN-CLASS_Lab Part C'!$J$9958,NA())</f>
        <v/>
      </c>
    </row>
    <row r="9959">
      <c r="J9959">
        <f>IF(AND(ISNUMBER('Data'!$F$9960),'Data'!$F$9960&lt;&gt;999,'Data'!$F$9960&lt;&gt;""),'Data'!$F$9960,"")</f>
        <v/>
      </c>
      <c r="Z9959" t="n">
        <v>1</v>
      </c>
      <c r="AA9959">
        <f>IF(ISNUMBER('IN-CLASS_Lab Part C'!$J$9959),'IN-CLASS_Lab Part C'!$J$9959,NA())</f>
        <v/>
      </c>
    </row>
    <row r="9960">
      <c r="J9960">
        <f>IF(AND(ISNUMBER('Data'!$F$9961),'Data'!$F$9961&lt;&gt;999,'Data'!$F$9961&lt;&gt;""),'Data'!$F$9961,"")</f>
        <v/>
      </c>
      <c r="Z9960" t="n">
        <v>1</v>
      </c>
      <c r="AA9960">
        <f>IF(ISNUMBER('IN-CLASS_Lab Part C'!$J$9960),'IN-CLASS_Lab Part C'!$J$9960,NA())</f>
        <v/>
      </c>
    </row>
    <row r="9961">
      <c r="J9961">
        <f>IF(AND(ISNUMBER('Data'!$F$9962),'Data'!$F$9962&lt;&gt;999,'Data'!$F$9962&lt;&gt;""),'Data'!$F$9962,"")</f>
        <v/>
      </c>
      <c r="Z9961" t="n">
        <v>1</v>
      </c>
      <c r="AA9961">
        <f>IF(ISNUMBER('IN-CLASS_Lab Part C'!$J$9961),'IN-CLASS_Lab Part C'!$J$9961,NA())</f>
        <v/>
      </c>
    </row>
    <row r="9962">
      <c r="J9962">
        <f>IF(AND(ISNUMBER('Data'!$F$9963),'Data'!$F$9963&lt;&gt;999,'Data'!$F$9963&lt;&gt;""),'Data'!$F$9963,"")</f>
        <v/>
      </c>
      <c r="Z9962" t="n">
        <v>1</v>
      </c>
      <c r="AA9962">
        <f>IF(ISNUMBER('IN-CLASS_Lab Part C'!$J$9962),'IN-CLASS_Lab Part C'!$J$9962,NA())</f>
        <v/>
      </c>
    </row>
    <row r="9963">
      <c r="J9963">
        <f>IF(AND(ISNUMBER('Data'!$F$9964),'Data'!$F$9964&lt;&gt;999,'Data'!$F$9964&lt;&gt;""),'Data'!$F$9964,"")</f>
        <v/>
      </c>
      <c r="Z9963" t="n">
        <v>1</v>
      </c>
      <c r="AA9963">
        <f>IF(ISNUMBER('IN-CLASS_Lab Part C'!$J$9963),'IN-CLASS_Lab Part C'!$J$9963,NA())</f>
        <v/>
      </c>
    </row>
    <row r="9964">
      <c r="J9964">
        <f>IF(AND(ISNUMBER('Data'!$F$9965),'Data'!$F$9965&lt;&gt;999,'Data'!$F$9965&lt;&gt;""),'Data'!$F$9965,"")</f>
        <v/>
      </c>
      <c r="Z9964" t="n">
        <v>1</v>
      </c>
      <c r="AA9964">
        <f>IF(ISNUMBER('IN-CLASS_Lab Part C'!$J$9964),'IN-CLASS_Lab Part C'!$J$9964,NA())</f>
        <v/>
      </c>
    </row>
    <row r="9965">
      <c r="J9965">
        <f>IF(AND(ISNUMBER('Data'!$F$9966),'Data'!$F$9966&lt;&gt;999,'Data'!$F$9966&lt;&gt;""),'Data'!$F$9966,"")</f>
        <v/>
      </c>
      <c r="Z9965" t="n">
        <v>1</v>
      </c>
      <c r="AA9965">
        <f>IF(ISNUMBER('IN-CLASS_Lab Part C'!$J$9965),'IN-CLASS_Lab Part C'!$J$9965,NA())</f>
        <v/>
      </c>
    </row>
    <row r="9966">
      <c r="J9966">
        <f>IF(AND(ISNUMBER('Data'!$F$9967),'Data'!$F$9967&lt;&gt;999,'Data'!$F$9967&lt;&gt;""),'Data'!$F$9967,"")</f>
        <v/>
      </c>
      <c r="Z9966" t="n">
        <v>1</v>
      </c>
      <c r="AA9966">
        <f>IF(ISNUMBER('IN-CLASS_Lab Part C'!$J$9966),'IN-CLASS_Lab Part C'!$J$9966,NA())</f>
        <v/>
      </c>
    </row>
    <row r="9967">
      <c r="J9967">
        <f>IF(AND(ISNUMBER('Data'!$F$9968),'Data'!$F$9968&lt;&gt;999,'Data'!$F$9968&lt;&gt;""),'Data'!$F$9968,"")</f>
        <v/>
      </c>
      <c r="Z9967" t="n">
        <v>1</v>
      </c>
      <c r="AA9967">
        <f>IF(ISNUMBER('IN-CLASS_Lab Part C'!$J$9967),'IN-CLASS_Lab Part C'!$J$9967,NA())</f>
        <v/>
      </c>
    </row>
    <row r="9968">
      <c r="J9968">
        <f>IF(AND(ISNUMBER('Data'!$F$9969),'Data'!$F$9969&lt;&gt;999,'Data'!$F$9969&lt;&gt;""),'Data'!$F$9969,"")</f>
        <v/>
      </c>
      <c r="Z9968" t="n">
        <v>1</v>
      </c>
      <c r="AA9968">
        <f>IF(ISNUMBER('IN-CLASS_Lab Part C'!$J$9968),'IN-CLASS_Lab Part C'!$J$9968,NA())</f>
        <v/>
      </c>
    </row>
    <row r="9969">
      <c r="J9969">
        <f>IF(AND(ISNUMBER('Data'!$F$9970),'Data'!$F$9970&lt;&gt;999,'Data'!$F$9970&lt;&gt;""),'Data'!$F$9970,"")</f>
        <v/>
      </c>
      <c r="Z9969" t="n">
        <v>1</v>
      </c>
      <c r="AA9969">
        <f>IF(ISNUMBER('IN-CLASS_Lab Part C'!$J$9969),'IN-CLASS_Lab Part C'!$J$9969,NA())</f>
        <v/>
      </c>
    </row>
    <row r="9970">
      <c r="J9970">
        <f>IF(AND(ISNUMBER('Data'!$F$9971),'Data'!$F$9971&lt;&gt;999,'Data'!$F$9971&lt;&gt;""),'Data'!$F$9971,"")</f>
        <v/>
      </c>
      <c r="Z9970" t="n">
        <v>1</v>
      </c>
      <c r="AA9970">
        <f>IF(ISNUMBER('IN-CLASS_Lab Part C'!$J$9970),'IN-CLASS_Lab Part C'!$J$9970,NA())</f>
        <v/>
      </c>
    </row>
    <row r="9971">
      <c r="J9971">
        <f>IF(AND(ISNUMBER('Data'!$F$9972),'Data'!$F$9972&lt;&gt;999,'Data'!$F$9972&lt;&gt;""),'Data'!$F$9972,"")</f>
        <v/>
      </c>
      <c r="Z9971" t="n">
        <v>1</v>
      </c>
      <c r="AA9971">
        <f>IF(ISNUMBER('IN-CLASS_Lab Part C'!$J$9971),'IN-CLASS_Lab Part C'!$J$9971,NA())</f>
        <v/>
      </c>
    </row>
    <row r="9972">
      <c r="J9972">
        <f>IF(AND(ISNUMBER('Data'!$F$9973),'Data'!$F$9973&lt;&gt;999,'Data'!$F$9973&lt;&gt;""),'Data'!$F$9973,"")</f>
        <v/>
      </c>
      <c r="Z9972" t="n">
        <v>1</v>
      </c>
      <c r="AA9972">
        <f>IF(ISNUMBER('IN-CLASS_Lab Part C'!$J$9972),'IN-CLASS_Lab Part C'!$J$9972,NA())</f>
        <v/>
      </c>
    </row>
    <row r="9973">
      <c r="J9973">
        <f>IF(AND(ISNUMBER('Data'!$F$9974),'Data'!$F$9974&lt;&gt;999,'Data'!$F$9974&lt;&gt;""),'Data'!$F$9974,"")</f>
        <v/>
      </c>
      <c r="Z9973" t="n">
        <v>1</v>
      </c>
      <c r="AA9973">
        <f>IF(ISNUMBER('IN-CLASS_Lab Part C'!$J$9973),'IN-CLASS_Lab Part C'!$J$9973,NA())</f>
        <v/>
      </c>
    </row>
    <row r="9974">
      <c r="J9974">
        <f>IF(AND(ISNUMBER('Data'!$F$9975),'Data'!$F$9975&lt;&gt;999,'Data'!$F$9975&lt;&gt;""),'Data'!$F$9975,"")</f>
        <v/>
      </c>
      <c r="Z9974" t="n">
        <v>1</v>
      </c>
      <c r="AA9974">
        <f>IF(ISNUMBER('IN-CLASS_Lab Part C'!$J$9974),'IN-CLASS_Lab Part C'!$J$9974,NA())</f>
        <v/>
      </c>
    </row>
    <row r="9975">
      <c r="J9975">
        <f>IF(AND(ISNUMBER('Data'!$F$9976),'Data'!$F$9976&lt;&gt;999,'Data'!$F$9976&lt;&gt;""),'Data'!$F$9976,"")</f>
        <v/>
      </c>
      <c r="Z9975" t="n">
        <v>1</v>
      </c>
      <c r="AA9975">
        <f>IF(ISNUMBER('IN-CLASS_Lab Part C'!$J$9975),'IN-CLASS_Lab Part C'!$J$9975,NA())</f>
        <v/>
      </c>
    </row>
    <row r="9976">
      <c r="J9976">
        <f>IF(AND(ISNUMBER('Data'!$F$9977),'Data'!$F$9977&lt;&gt;999,'Data'!$F$9977&lt;&gt;""),'Data'!$F$9977,"")</f>
        <v/>
      </c>
      <c r="Z9976" t="n">
        <v>1</v>
      </c>
      <c r="AA9976">
        <f>IF(ISNUMBER('IN-CLASS_Lab Part C'!$J$9976),'IN-CLASS_Lab Part C'!$J$9976,NA())</f>
        <v/>
      </c>
    </row>
    <row r="9977">
      <c r="J9977">
        <f>IF(AND(ISNUMBER('Data'!$F$9978),'Data'!$F$9978&lt;&gt;999,'Data'!$F$9978&lt;&gt;""),'Data'!$F$9978,"")</f>
        <v/>
      </c>
      <c r="Z9977" t="n">
        <v>1</v>
      </c>
      <c r="AA9977">
        <f>IF(ISNUMBER('IN-CLASS_Lab Part C'!$J$9977),'IN-CLASS_Lab Part C'!$J$9977,NA())</f>
        <v/>
      </c>
    </row>
    <row r="9978">
      <c r="J9978">
        <f>IF(AND(ISNUMBER('Data'!$F$9979),'Data'!$F$9979&lt;&gt;999,'Data'!$F$9979&lt;&gt;""),'Data'!$F$9979,"")</f>
        <v/>
      </c>
      <c r="Z9978" t="n">
        <v>1</v>
      </c>
      <c r="AA9978">
        <f>IF(ISNUMBER('IN-CLASS_Lab Part C'!$J$9978),'IN-CLASS_Lab Part C'!$J$9978,NA())</f>
        <v/>
      </c>
    </row>
    <row r="9979">
      <c r="J9979">
        <f>IF(AND(ISNUMBER('Data'!$F$9980),'Data'!$F$9980&lt;&gt;999,'Data'!$F$9980&lt;&gt;""),'Data'!$F$9980,"")</f>
        <v/>
      </c>
      <c r="Z9979" t="n">
        <v>1</v>
      </c>
      <c r="AA9979">
        <f>IF(ISNUMBER('IN-CLASS_Lab Part C'!$J$9979),'IN-CLASS_Lab Part C'!$J$9979,NA())</f>
        <v/>
      </c>
    </row>
    <row r="9980">
      <c r="J9980">
        <f>IF(AND(ISNUMBER('Data'!$F$9981),'Data'!$F$9981&lt;&gt;999,'Data'!$F$9981&lt;&gt;""),'Data'!$F$9981,"")</f>
        <v/>
      </c>
      <c r="Z9980" t="n">
        <v>1</v>
      </c>
      <c r="AA9980">
        <f>IF(ISNUMBER('IN-CLASS_Lab Part C'!$J$9980),'IN-CLASS_Lab Part C'!$J$9980,NA())</f>
        <v/>
      </c>
    </row>
    <row r="9981">
      <c r="J9981">
        <f>IF(AND(ISNUMBER('Data'!$F$9982),'Data'!$F$9982&lt;&gt;999,'Data'!$F$9982&lt;&gt;""),'Data'!$F$9982,"")</f>
        <v/>
      </c>
      <c r="Z9981" t="n">
        <v>1</v>
      </c>
      <c r="AA9981">
        <f>IF(ISNUMBER('IN-CLASS_Lab Part C'!$J$9981),'IN-CLASS_Lab Part C'!$J$9981,NA())</f>
        <v/>
      </c>
    </row>
    <row r="9982">
      <c r="J9982">
        <f>IF(AND(ISNUMBER('Data'!$F$9983),'Data'!$F$9983&lt;&gt;999,'Data'!$F$9983&lt;&gt;""),'Data'!$F$9983,"")</f>
        <v/>
      </c>
      <c r="Z9982" t="n">
        <v>1</v>
      </c>
      <c r="AA9982">
        <f>IF(ISNUMBER('IN-CLASS_Lab Part C'!$J$9982),'IN-CLASS_Lab Part C'!$J$9982,NA())</f>
        <v/>
      </c>
    </row>
    <row r="9983">
      <c r="J9983">
        <f>IF(AND(ISNUMBER('Data'!$F$9984),'Data'!$F$9984&lt;&gt;999,'Data'!$F$9984&lt;&gt;""),'Data'!$F$9984,"")</f>
        <v/>
      </c>
      <c r="Z9983" t="n">
        <v>1</v>
      </c>
      <c r="AA9983">
        <f>IF(ISNUMBER('IN-CLASS_Lab Part C'!$J$9983),'IN-CLASS_Lab Part C'!$J$9983,NA())</f>
        <v/>
      </c>
    </row>
    <row r="9984">
      <c r="J9984">
        <f>IF(AND(ISNUMBER('Data'!$F$9985),'Data'!$F$9985&lt;&gt;999,'Data'!$F$9985&lt;&gt;""),'Data'!$F$9985,"")</f>
        <v/>
      </c>
      <c r="Z9984" t="n">
        <v>1</v>
      </c>
      <c r="AA9984">
        <f>IF(ISNUMBER('IN-CLASS_Lab Part C'!$J$9984),'IN-CLASS_Lab Part C'!$J$9984,NA())</f>
        <v/>
      </c>
    </row>
    <row r="9985">
      <c r="J9985">
        <f>IF(AND(ISNUMBER('Data'!$F$9986),'Data'!$F$9986&lt;&gt;999,'Data'!$F$9986&lt;&gt;""),'Data'!$F$9986,"")</f>
        <v/>
      </c>
      <c r="Z9985" t="n">
        <v>1</v>
      </c>
      <c r="AA9985">
        <f>IF(ISNUMBER('IN-CLASS_Lab Part C'!$J$9985),'IN-CLASS_Lab Part C'!$J$9985,NA())</f>
        <v/>
      </c>
    </row>
    <row r="9986">
      <c r="J9986">
        <f>IF(AND(ISNUMBER('Data'!$F$9987),'Data'!$F$9987&lt;&gt;999,'Data'!$F$9987&lt;&gt;""),'Data'!$F$9987,"")</f>
        <v/>
      </c>
      <c r="Z9986" t="n">
        <v>1</v>
      </c>
      <c r="AA9986">
        <f>IF(ISNUMBER('IN-CLASS_Lab Part C'!$J$9986),'IN-CLASS_Lab Part C'!$J$9986,NA())</f>
        <v/>
      </c>
    </row>
    <row r="9987">
      <c r="J9987">
        <f>IF(AND(ISNUMBER('Data'!$F$9988),'Data'!$F$9988&lt;&gt;999,'Data'!$F$9988&lt;&gt;""),'Data'!$F$9988,"")</f>
        <v/>
      </c>
      <c r="Z9987" t="n">
        <v>1</v>
      </c>
      <c r="AA9987">
        <f>IF(ISNUMBER('IN-CLASS_Lab Part C'!$J$9987),'IN-CLASS_Lab Part C'!$J$9987,NA())</f>
        <v/>
      </c>
    </row>
    <row r="9988">
      <c r="J9988">
        <f>IF(AND(ISNUMBER('Data'!$F$9989),'Data'!$F$9989&lt;&gt;999,'Data'!$F$9989&lt;&gt;""),'Data'!$F$9989,"")</f>
        <v/>
      </c>
      <c r="Z9988" t="n">
        <v>1</v>
      </c>
      <c r="AA9988">
        <f>IF(ISNUMBER('IN-CLASS_Lab Part C'!$J$9988),'IN-CLASS_Lab Part C'!$J$9988,NA())</f>
        <v/>
      </c>
    </row>
    <row r="9989">
      <c r="J9989">
        <f>IF(AND(ISNUMBER('Data'!$F$9990),'Data'!$F$9990&lt;&gt;999,'Data'!$F$9990&lt;&gt;""),'Data'!$F$9990,"")</f>
        <v/>
      </c>
      <c r="Z9989" t="n">
        <v>1</v>
      </c>
      <c r="AA9989">
        <f>IF(ISNUMBER('IN-CLASS_Lab Part C'!$J$9989),'IN-CLASS_Lab Part C'!$J$9989,NA())</f>
        <v/>
      </c>
    </row>
    <row r="9990">
      <c r="J9990">
        <f>IF(AND(ISNUMBER('Data'!$F$9991),'Data'!$F$9991&lt;&gt;999,'Data'!$F$9991&lt;&gt;""),'Data'!$F$9991,"")</f>
        <v/>
      </c>
      <c r="Z9990" t="n">
        <v>1</v>
      </c>
      <c r="AA9990">
        <f>IF(ISNUMBER('IN-CLASS_Lab Part C'!$J$9990),'IN-CLASS_Lab Part C'!$J$9990,NA())</f>
        <v/>
      </c>
    </row>
    <row r="9991">
      <c r="J9991">
        <f>IF(AND(ISNUMBER('Data'!$F$9992),'Data'!$F$9992&lt;&gt;999,'Data'!$F$9992&lt;&gt;""),'Data'!$F$9992,"")</f>
        <v/>
      </c>
      <c r="Z9991" t="n">
        <v>1</v>
      </c>
      <c r="AA9991">
        <f>IF(ISNUMBER('IN-CLASS_Lab Part C'!$J$9991),'IN-CLASS_Lab Part C'!$J$9991,NA())</f>
        <v/>
      </c>
    </row>
    <row r="9992">
      <c r="J9992">
        <f>IF(AND(ISNUMBER('Data'!$F$9993),'Data'!$F$9993&lt;&gt;999,'Data'!$F$9993&lt;&gt;""),'Data'!$F$9993,"")</f>
        <v/>
      </c>
      <c r="Z9992" t="n">
        <v>1</v>
      </c>
      <c r="AA9992">
        <f>IF(ISNUMBER('IN-CLASS_Lab Part C'!$J$9992),'IN-CLASS_Lab Part C'!$J$9992,NA())</f>
        <v/>
      </c>
    </row>
    <row r="9993">
      <c r="J9993">
        <f>IF(AND(ISNUMBER('Data'!$F$9994),'Data'!$F$9994&lt;&gt;999,'Data'!$F$9994&lt;&gt;""),'Data'!$F$9994,"")</f>
        <v/>
      </c>
      <c r="Z9993" t="n">
        <v>1</v>
      </c>
      <c r="AA9993">
        <f>IF(ISNUMBER('IN-CLASS_Lab Part C'!$J$9993),'IN-CLASS_Lab Part C'!$J$9993,NA())</f>
        <v/>
      </c>
    </row>
    <row r="9994">
      <c r="J9994">
        <f>IF(AND(ISNUMBER('Data'!$F$9995),'Data'!$F$9995&lt;&gt;999,'Data'!$F$9995&lt;&gt;""),'Data'!$F$9995,"")</f>
        <v/>
      </c>
      <c r="Z9994" t="n">
        <v>1</v>
      </c>
      <c r="AA9994">
        <f>IF(ISNUMBER('IN-CLASS_Lab Part C'!$J$9994),'IN-CLASS_Lab Part C'!$J$9994,NA())</f>
        <v/>
      </c>
    </row>
    <row r="9995">
      <c r="J9995">
        <f>IF(AND(ISNUMBER('Data'!$F$9996),'Data'!$F$9996&lt;&gt;999,'Data'!$F$9996&lt;&gt;""),'Data'!$F$9996,"")</f>
        <v/>
      </c>
      <c r="Z9995" t="n">
        <v>1</v>
      </c>
      <c r="AA9995">
        <f>IF(ISNUMBER('IN-CLASS_Lab Part C'!$J$9995),'IN-CLASS_Lab Part C'!$J$9995,NA())</f>
        <v/>
      </c>
    </row>
    <row r="9996">
      <c r="J9996">
        <f>IF(AND(ISNUMBER('Data'!$F$9997),'Data'!$F$9997&lt;&gt;999,'Data'!$F$9997&lt;&gt;""),'Data'!$F$9997,"")</f>
        <v/>
      </c>
      <c r="Z9996" t="n">
        <v>1</v>
      </c>
      <c r="AA9996">
        <f>IF(ISNUMBER('IN-CLASS_Lab Part C'!$J$9996),'IN-CLASS_Lab Part C'!$J$9996,NA())</f>
        <v/>
      </c>
    </row>
    <row r="9997">
      <c r="J9997">
        <f>IF(AND(ISNUMBER('Data'!$F$9998),'Data'!$F$9998&lt;&gt;999,'Data'!$F$9998&lt;&gt;""),'Data'!$F$9998,"")</f>
        <v/>
      </c>
      <c r="Z9997" t="n">
        <v>1</v>
      </c>
      <c r="AA9997">
        <f>IF(ISNUMBER('IN-CLASS_Lab Part C'!$J$9997),'IN-CLASS_Lab Part C'!$J$9997,NA())</f>
        <v/>
      </c>
    </row>
    <row r="9998">
      <c r="J9998">
        <f>IF(AND(ISNUMBER('Data'!$F$9999),'Data'!$F$9999&lt;&gt;999,'Data'!$F$9999&lt;&gt;""),'Data'!$F$9999,"")</f>
        <v/>
      </c>
      <c r="Z9998" t="n">
        <v>1</v>
      </c>
      <c r="AA9998">
        <f>IF(ISNUMBER('IN-CLASS_Lab Part C'!$J$9998),'IN-CLASS_Lab Part C'!$J$9998,NA())</f>
        <v/>
      </c>
    </row>
    <row r="9999">
      <c r="J9999">
        <f>IF(AND(ISNUMBER('Data'!$F$10000),'Data'!$F$10000&lt;&gt;999,'Data'!$F$10000&lt;&gt;""),'Data'!$F$10000,"")</f>
        <v/>
      </c>
      <c r="Z9999" t="n">
        <v>1</v>
      </c>
      <c r="AA9999">
        <f>IF(ISNUMBER('IN-CLASS_Lab Part C'!$J$9999),'IN-CLASS_Lab Part C'!$J$9999,NA())</f>
        <v/>
      </c>
    </row>
    <row r="10000">
      <c r="J10000">
        <f>IF(AND(ISNUMBER('Data'!$F$10001),'Data'!$F$10001&lt;&gt;999,'Data'!$F$10001&lt;&gt;""),'Data'!$F$10001,"")</f>
        <v/>
      </c>
      <c r="Z10000" t="n">
        <v>1</v>
      </c>
      <c r="AA10000">
        <f>IF(ISNUMBER('IN-CLASS_Lab Part C'!$J$10000),'IN-CLASS_Lab Part C'!$J$10000,NA())</f>
        <v/>
      </c>
    </row>
    <row r="10002" ht="36" customHeight="1">
      <c r="A10002" t="inlineStr" s="39">
        <is>
          <t xml:space="preserve">⚠ Most common mistake: Adding 1.5 × IQR to the median instead of to Q₃. The fence starts at the edge of the box, not at its middle.</t>
        </is>
      </c>
    </row>
  </sheetData>
  <mergeCells count="26">
    <mergeCell ref="B18:H19"/>
    <mergeCell ref="B30:H30"/>
    <mergeCell ref="E7:H7"/>
    <mergeCell ref="B33:H33"/>
    <mergeCell ref="A1:H1"/>
    <mergeCell ref="E11:H11"/>
    <mergeCell ref="B32:H32"/>
    <mergeCell ref="C10:D10"/>
    <mergeCell ref="C9:D9"/>
    <mergeCell ref="B31:H31"/>
    <mergeCell ref="A3:H3"/>
    <mergeCell ref="E8:H8"/>
    <mergeCell ref="C11:D11"/>
    <mergeCell ref="A2:H2"/>
    <mergeCell ref="A5:H5"/>
    <mergeCell ref="E10:H10"/>
    <mergeCell ref="C8:D8"/>
    <mergeCell ref="A4:H4"/>
    <mergeCell ref="A57:H59"/>
    <mergeCell ref="E9:H9"/>
    <mergeCell ref="C7:D7"/>
    <mergeCell ref="A29:H29"/>
    <mergeCell ref="B13:H13"/>
    <mergeCell ref="B14:H16"/>
    <mergeCell ref="B34:H34"/>
    <mergeCell ref="A10002:H10002"/>
  </mergeCells>
  <dataValidations count="1">
    <dataValidation sqref="B13"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=LabChoices_3</formula1>
    </dataValidation>
  </dataValidations>
  <printOptions horizontalCentered="1"/>
  <pageMargins left="0.75" right="0.75" top="1" bottom="1" header="0.5" footer="0.5"/>
  <pageSetup orientation="landscape" paperSize="8" fitToHeight="0" fitToWidth="1"/>
  <rowBreaks count="1" manualBreakCount="1">
    <brk id="36" min="0" max="16383" man="1"/>
  </rowBreaks>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0057068C"/>
    <outlinePr summaryBelow="1" summaryRight="1"/>
    <pageSetUpPr fitToPage="1"/>
  </sheetPr>
  <dimension ref="A1:H88"/>
  <sheetViews>
    <sheetView showGridLines="0" zoomScale="11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34" t="inlineStr">
        <is>
          <t xml:space="preserve">Part D · Is Hub C really different?    ⏱ 7 min · from slide 86 → back to slide 90</t>
        </is>
      </c>
      <c r="B1" s="9" t="n"/>
      <c r="C1" s="9" t="n"/>
      <c r="D1" s="9" t="n"/>
      <c r="E1" s="9" t="n"/>
      <c r="F1" s="9" t="n"/>
      <c r="G1" s="9" t="n"/>
      <c r="H1" s="9" t="n"/>
    </row>
    <row r="2" ht="34" customHeight="1">
      <c r="A2" s="35" t="inlineStr">
        <is>
          <t xml:space="preserve">What you're using · Section 4: To compare groups fairly, keep the data stacked (one row per order, one column for the group) and apply the same rules to every group.   Reread: Slides 68–86; Concise Toolkit pp. 19–23; Full Toolkit pp. 70–94</t>
        </is>
      </c>
      <c r="B2" s="9" t="n"/>
      <c r="C2" s="9" t="n"/>
      <c r="D2" s="9" t="n"/>
      <c r="E2" s="9" t="n"/>
      <c r="F2" s="9" t="n"/>
      <c r="G2" s="9" t="n"/>
      <c r="H2" s="9" t="n"/>
    </row>
    <row r="3" ht="30" customHeight="1">
      <c r="A3" s="36" t="inlineStr">
        <is>
          <t xml:space="preserve">ng = B7:B9 xg = C7:C9 IQRg = Q_(3,g) - Q_(1,g) = F7:F9      where g = hub (A, B or C) · ng = valid orders in hub g · xg = hub median · Q_(1,g), Q_(3,g) = hub quartiles</t>
        </is>
      </c>
      <c r="B3" s="9" t="n"/>
      <c r="C3" s="9" t="n"/>
      <c r="D3" s="9" t="n"/>
      <c r="E3" s="9" t="n"/>
      <c r="F3" s="9" t="n"/>
      <c r="G3" s="9" t="n"/>
      <c r="H3" s="9" t="n"/>
    </row>
    <row r="4" ht="22" customHeight="1">
      <c r="A4" s="37" t="str">
        <f>"Progress: "&amp;COUNTIF(B22:B41,"✓ Checked")&amp;" of 20 checked. Save after each ✓."</f>
      </c>
      <c r="B4" s="9" t="n"/>
      <c r="C4" s="9" t="n"/>
      <c r="D4" s="9" t="n"/>
      <c r="E4" s="9" t="n"/>
      <c r="F4" s="9" t="n"/>
      <c r="G4" s="9" t="n"/>
      <c r="H4" s="9" t="n"/>
    </row>
    <row r="5" ht="30" customHeight="1">
      <c r="A5" s="38" t="inlineStr">
        <is>
          <t xml:space="preserve">Open IN-CLASS_Lab Part D!A7.  Save a recovery copy as LAB01_S03_InClass_Complete.xlsx without replacing the personalized workbook; resume take-home at 'IN-CLASS_Lab Part D'!B12. After B17:H18, continue at 'POST-CLASS_Part 1'!A7.</t>
        </is>
      </c>
      <c r="B5" s="9" t="n"/>
      <c r="C5" s="9" t="n"/>
      <c r="D5" s="9" t="n"/>
      <c r="E5" s="9" t="n"/>
      <c r="F5" s="9" t="n"/>
      <c r="G5" s="9" t="n"/>
      <c r="H5" s="9" t="n"/>
    </row>
    <row r="6">
      <c r="A6" s="10" t="inlineStr">
        <is>
          <t>Hub</t>
        </is>
      </c>
      <c r="B6" s="10" t="inlineStr">
        <is>
          <t>Valid count</t>
        </is>
      </c>
      <c r="C6" s="10" t="inlineStr">
        <is>
          <t>Median</t>
        </is>
      </c>
      <c r="D6" s="10" t="inlineStr">
        <is>
          <t>Q1</t>
        </is>
      </c>
      <c r="E6" s="10" t="inlineStr">
        <is>
          <t>Q3</t>
        </is>
      </c>
      <c r="F6" s="10" t="inlineStr">
        <is>
          <t>IQR</t>
        </is>
      </c>
      <c r="G6" s="9" t="n"/>
      <c r="H6" s="9" t="n"/>
    </row>
    <row r="7" ht="42" customHeight="1">
      <c r="A7" s="10" t="inlineStr">
        <is>
          <t>Hub A</t>
        </is>
      </c>
      <c r="B7" s="11" t="n"/>
      <c r="C7" s="27" t="n"/>
      <c r="D7" s="27" t="n"/>
      <c r="E7" s="27" t="n"/>
      <c r="F7" s="27" t="n"/>
      <c r="G7" s="12">
        <f>IFERROR(IF(OR(ISBLANK(B7),ISBLANK(C7),ISBLANK(D7),ISBLANK(E7),ISBLANK(F7)),"Not started",IF(AND(ABS(B7-(3319))&lt;=1e-09,ABS(C7-(22))&lt;=1e-09,ABS(D7-(19))&lt;=1e-09,ABS(E7-(26))&lt;=1e-09,ABS(F7-(7))&lt;=1e-09),"Result matches","Check the result")),"Formula error")</f>
        <v/>
      </c>
      <c r="H7" s="13" t="n"/>
    </row>
    <row r="8" ht="42" customHeight="1">
      <c r="A8" s="10" t="inlineStr">
        <is>
          <t>Hub B</t>
        </is>
      </c>
      <c r="B8" s="11" t="n"/>
      <c r="C8" s="27" t="n"/>
      <c r="D8" s="27" t="n"/>
      <c r="E8" s="27" t="n"/>
      <c r="F8" s="27" t="n"/>
      <c r="G8" s="12">
        <f>IFERROR(IF(OR(ISBLANK(B8),ISBLANK(C8),ISBLANK(D8),ISBLANK(E8),ISBLANK(F8)),"Not started",IF(AND(ABS(B8-(3319))&lt;=1e-09,ABS(C8-(22))&lt;=1e-09,ABS(D8-(19))&lt;=1e-09,ABS(E8-(26))&lt;=1e-09,ABS(F8-(7))&lt;=1e-09),"Result matches","Check the result")),"Formula error")</f>
        <v/>
      </c>
      <c r="H8" s="13" t="n"/>
    </row>
    <row r="9" ht="42" customHeight="1">
      <c r="A9" s="10" t="inlineStr">
        <is>
          <t>Hub C</t>
        </is>
      </c>
      <c r="B9" s="11" t="n"/>
      <c r="C9" s="27" t="n"/>
      <c r="D9" s="27" t="n"/>
      <c r="E9" s="27" t="n"/>
      <c r="F9" s="27" t="n"/>
      <c r="G9" s="12">
        <f>IFERROR(IF(OR(ISBLANK(B9),ISBLANK(C9),ISBLANK(D9),ISBLANK(E9),ISBLANK(F9)),"Not started",IF(AND(ABS(B9-(3320))&lt;=1e-09,ABS(C9-(22))&lt;=1e-09,ABS(D9-(14))&lt;=1e-09,ABS(E9-(31))&lt;=1e-09,ABS(F9-(17))&lt;=1e-09),"Result matches","Check the result")),"Formula error")</f>
        <v/>
      </c>
      <c r="H9" s="13" t="n"/>
    </row>
    <row r="10" ht="42" customHeight="1">
      <c r="A10" s="10" t="inlineStr">
        <is>
          <t xml:space="preserve">5 · All Hubs</t>
        </is>
      </c>
      <c r="B10" s="11" t="n"/>
      <c r="C10" s="27" t="n"/>
      <c r="D10" s="27" t="n"/>
      <c r="E10" s="27" t="n"/>
      <c r="F10" s="27" t="n"/>
      <c r="G10" s="12">
        <f>IFERROR(IF(OR(ISBLANK(B10),ISBLANK(C10),ISBLANK(D10),ISBLANK(E10),ISBLANK(F10)),"Not started",IF(AND(ABS(B10-(9958))&lt;=1e-09,ABS(C10-(22))&lt;=1e-09,ABS(D10-(19))&lt;=1e-09,ABS(E10-(31))&lt;=1e-09,ABS(F10-(12))&lt;=1e-09),"Result matches","Check the result")),"Formula error")</f>
        <v/>
      </c>
      <c r="H10" s="13" t="n"/>
    </row>
    <row r="11">
      <c r="A11" s="9" t="n"/>
      <c r="B11" s="9" t="n"/>
      <c r="C11" s="9" t="n"/>
      <c r="D11" s="9" t="n"/>
      <c r="E11" s="9" t="n"/>
      <c r="F11" s="9" t="n"/>
      <c r="G11" s="9" t="n"/>
      <c r="H11" s="9" t="n"/>
    </row>
    <row r="12" ht="42" customHeight="1">
      <c r="A12" s="10" t="inlineStr">
        <is>
          <t>Take-home: write your own chart-supported claim</t>
        </is>
      </c>
      <c r="B12" s="30" t="inlineStr">
        <is>
          <t>[Replace with one chart-supported sentence: state the comparison, name the measure, and cite the visible chart or table evidence without claiming causation.]</t>
        </is>
      </c>
      <c r="C12" s="31" t="n"/>
      <c r="D12" s="31" t="n"/>
      <c r="E12" s="31" t="n"/>
      <c r="F12" s="31" t="n"/>
      <c r="G12" s="31" t="n"/>
      <c r="H12" s="32" t="n"/>
    </row>
    <row r="13" ht="30" customHeight="1">
      <c r="A13" s="10" t="inlineStr">
        <is>
          <t>Reason and chart reading</t>
        </is>
      </c>
      <c r="B13" s="18" t="inlineStr">
        <is>
          <t>[Replace with 2-4 sentences: describe the visible pattern, cite the relevant measure and units, explain what it means, and state what the chart cannot establish.]</t>
        </is>
      </c>
      <c r="C13" s="19" t="n"/>
      <c r="D13" s="19" t="n"/>
      <c r="E13" s="19" t="n"/>
      <c r="F13" s="19" t="n"/>
      <c r="G13" s="19" t="n"/>
      <c r="H13" s="20" t="n"/>
    </row>
    <row r="14" ht="30" customHeight="1">
      <c r="A14" s="9" t="n"/>
      <c r="B14" s="21" t="n"/>
      <c r="C14" s="22" t="n"/>
      <c r="D14" s="22" t="n"/>
      <c r="E14" s="22" t="n"/>
      <c r="F14" s="22" t="n"/>
      <c r="G14" s="22" t="n"/>
      <c r="H14" s="23" t="n"/>
    </row>
    <row r="15" ht="30" customHeight="1">
      <c r="A15" s="9" t="n"/>
      <c r="B15" s="24" t="n"/>
      <c r="C15" s="25" t="n"/>
      <c r="D15" s="25" t="n"/>
      <c r="E15" s="25" t="n"/>
      <c r="F15" s="25" t="n"/>
      <c r="G15" s="25" t="n"/>
      <c r="H15" s="26" t="n"/>
    </row>
    <row r="16">
      <c r="A16" s="9" t="n"/>
      <c r="B16" s="9" t="n"/>
      <c r="C16" s="9" t="n"/>
      <c r="D16" s="9" t="n"/>
      <c r="E16" s="9" t="n"/>
      <c r="F16" s="9" t="n"/>
      <c r="G16" s="9" t="n"/>
      <c r="H16" s="9" t="n"/>
    </row>
    <row r="17" ht="30" customHeight="1">
      <c r="A17" s="10" t="inlineStr">
        <is>
          <t>SPSS H4 evidence caption</t>
        </is>
      </c>
      <c r="B17" s="18" t="inlineStr">
        <is>
          <t>[Replace with 1-2 sentences: name the exact SPSS output, identify the statistic and population or filter you read, then state the cross-tool check you performed.]</t>
        </is>
      </c>
      <c r="C17" s="19" t="n"/>
      <c r="D17" s="19" t="n"/>
      <c r="E17" s="19" t="n"/>
      <c r="F17" s="19" t="n"/>
      <c r="G17" s="19" t="n"/>
      <c r="H17" s="20" t="n"/>
    </row>
    <row r="18" ht="30" customHeight="1">
      <c r="A18" s="9" t="n"/>
      <c r="B18" s="24" t="n"/>
      <c r="C18" s="25" t="n"/>
      <c r="D18" s="25" t="n"/>
      <c r="E18" s="25" t="n"/>
      <c r="F18" s="25" t="n"/>
      <c r="G18" s="25" t="n"/>
      <c r="H18" s="26" t="n"/>
    </row>
    <row r="19">
      <c r="A19" s="9" t="n"/>
      <c r="B19" s="9" t="n"/>
      <c r="C19" s="9" t="n"/>
      <c r="D19" s="9" t="n"/>
      <c r="E19" s="9" t="n"/>
      <c r="F19" s="9" t="n"/>
      <c r="G19" s="9" t="n"/>
      <c r="H19" s="9" t="n"/>
    </row>
    <row r="20">
      <c r="A20" s="9" t="n"/>
      <c r="B20" s="9" t="n"/>
      <c r="C20" s="9" t="n"/>
      <c r="D20" s="9" t="n"/>
      <c r="E20" s="9" t="n"/>
      <c r="F20" s="9" t="n"/>
      <c r="G20" s="9" t="n"/>
      <c r="H20" s="9" t="n"/>
    </row>
    <row r="21">
      <c r="A21" s="9" t="inlineStr">
        <is>
          <t>Check your work</t>
        </is>
      </c>
      <c r="B21" s="9" t="inlineStr">
        <is>
          <t>Status</t>
        </is>
      </c>
      <c r="C21" s="9" t="n"/>
      <c r="D21" s="9" t="n"/>
      <c r="E21" s="9" t="n"/>
      <c r="F21" s="9" t="n"/>
      <c r="G21" s="9" t="n"/>
      <c r="H21" s="9" t="n"/>
    </row>
    <row r="22">
      <c r="A22" s="9" t="inlineStr">
        <is>
          <t>Part d.hub a count</t>
        </is>
      </c>
      <c r="B22" s="9">
        <f>IFERROR(IF('IN-CLASS_Lab Part D'!B7="","Not started",IF(ABS('IN-CLASS_Lab Part D'!B7-(3319))&lt;=1e-09,"✓ Checked","Recheck method")),"Recheck formula")</f>
        <v/>
      </c>
      <c r="C22" s="9" t="n"/>
      <c r="D22" s="9" t="n"/>
      <c r="E22" s="9" t="n"/>
      <c r="F22" s="9" t="n"/>
      <c r="G22" s="9" t="n"/>
      <c r="H22" s="9" t="n"/>
    </row>
    <row r="23">
      <c r="A23" s="9" t="inlineStr">
        <is>
          <t>Part d.hub a median</t>
        </is>
      </c>
      <c r="B23" s="9">
        <f>IFERROR(IF('IN-CLASS_Lab Part D'!C7="","Not started",IF(ABS('IN-CLASS_Lab Part D'!C7-(22))&lt;=1e-09,"✓ Checked","Recheck method")),"Recheck formula")</f>
        <v/>
      </c>
      <c r="C23" s="9" t="n"/>
      <c r="D23" s="9" t="n"/>
      <c r="E23" s="9" t="n"/>
      <c r="F23" s="9" t="n"/>
      <c r="G23" s="9" t="n"/>
      <c r="H23" s="9" t="n"/>
    </row>
    <row r="24">
      <c r="A24" s="9" t="inlineStr">
        <is>
          <t>Part d.hub a Q1</t>
        </is>
      </c>
      <c r="B24" s="9">
        <f>IFERROR(IF('IN-CLASS_Lab Part D'!D7="","Not started",IF(ABS('IN-CLASS_Lab Part D'!D7-(19))&lt;=1e-09,"✓ Checked","Recheck method")),"Recheck formula")</f>
        <v/>
      </c>
      <c r="C24" s="9" t="n"/>
      <c r="D24" s="9" t="n"/>
      <c r="E24" s="9" t="n"/>
      <c r="F24" s="9" t="n"/>
      <c r="G24" s="9" t="n"/>
      <c r="H24" s="9" t="n"/>
    </row>
    <row r="25">
      <c r="A25" s="9" t="inlineStr">
        <is>
          <t>Part d.hub a Q3</t>
        </is>
      </c>
      <c r="B25" s="9">
        <f>IFERROR(IF('IN-CLASS_Lab Part D'!E7="","Not started",IF(ABS('IN-CLASS_Lab Part D'!E7-(26))&lt;=1e-09,"✓ Checked","Recheck method")),"Recheck formula")</f>
        <v/>
      </c>
      <c r="C25" s="9" t="n"/>
      <c r="D25" s="9" t="n"/>
      <c r="E25" s="9" t="n"/>
      <c r="F25" s="9" t="n"/>
      <c r="G25" s="9" t="n"/>
      <c r="H25" s="9" t="n"/>
    </row>
    <row r="26">
      <c r="A26" s="9" t="inlineStr">
        <is>
          <t>Part d.hub a IQR</t>
        </is>
      </c>
      <c r="B26" s="9">
        <f>IFERROR(IF('IN-CLASS_Lab Part D'!F7="","Not started",IF(ABS('IN-CLASS_Lab Part D'!F7-(7))&lt;=1e-09,"✓ Checked","Recheck method")),"Recheck formula")</f>
        <v/>
      </c>
      <c r="C26" s="9" t="n"/>
      <c r="D26" s="9" t="n"/>
      <c r="E26" s="9" t="n"/>
      <c r="F26" s="9" t="n"/>
      <c r="G26" s="9" t="n"/>
      <c r="H26" s="9" t="n"/>
    </row>
    <row r="27">
      <c r="A27" s="9" t="inlineStr">
        <is>
          <t>Part d.hub b count</t>
        </is>
      </c>
      <c r="B27" s="9">
        <f>IFERROR(IF('IN-CLASS_Lab Part D'!B8="","Not started",IF(ABS('IN-CLASS_Lab Part D'!B8-(3319))&lt;=1e-09,"✓ Checked","Recheck method")),"Recheck formula")</f>
        <v/>
      </c>
      <c r="C27" s="9" t="n"/>
      <c r="D27" s="9" t="n"/>
      <c r="E27" s="9" t="n"/>
      <c r="F27" s="9" t="n"/>
      <c r="G27" s="9" t="n"/>
      <c r="H27" s="9" t="n"/>
    </row>
    <row r="28">
      <c r="A28" s="9" t="inlineStr">
        <is>
          <t>Part d.hub b median</t>
        </is>
      </c>
      <c r="B28" s="9">
        <f>IFERROR(IF('IN-CLASS_Lab Part D'!C8="","Not started",IF(ABS('IN-CLASS_Lab Part D'!C8-(22))&lt;=1e-09,"✓ Checked","Recheck method")),"Recheck formula")</f>
        <v/>
      </c>
      <c r="C28" s="9" t="n"/>
      <c r="D28" s="9" t="n"/>
      <c r="E28" s="9" t="n"/>
      <c r="F28" s="9" t="n"/>
      <c r="G28" s="9" t="n"/>
      <c r="H28" s="9" t="n"/>
    </row>
    <row r="29">
      <c r="A29" s="9" t="inlineStr">
        <is>
          <t>Part d.hub b Q1</t>
        </is>
      </c>
      <c r="B29" s="9">
        <f>IFERROR(IF('IN-CLASS_Lab Part D'!D8="","Not started",IF(ABS('IN-CLASS_Lab Part D'!D8-(19))&lt;=1e-09,"✓ Checked","Recheck method")),"Recheck formula")</f>
        <v/>
      </c>
      <c r="C29" s="9" t="n"/>
      <c r="D29" s="9" t="n"/>
      <c r="E29" s="9" t="n"/>
      <c r="F29" s="9" t="n"/>
      <c r="G29" s="9" t="n"/>
      <c r="H29" s="9" t="n"/>
    </row>
    <row r="30">
      <c r="A30" s="9" t="inlineStr">
        <is>
          <t>Part d.hub b Q3</t>
        </is>
      </c>
      <c r="B30" s="9">
        <f>IFERROR(IF('IN-CLASS_Lab Part D'!E8="","Not started",IF(ABS('IN-CLASS_Lab Part D'!E8-(26))&lt;=1e-09,"✓ Checked","Recheck method")),"Recheck formula")</f>
        <v/>
      </c>
      <c r="C30" s="9" t="n"/>
      <c r="D30" s="9" t="n"/>
      <c r="E30" s="9" t="n"/>
      <c r="F30" s="9" t="n"/>
      <c r="G30" s="9" t="n"/>
      <c r="H30" s="9" t="n"/>
    </row>
    <row r="31">
      <c r="A31" s="9" t="inlineStr">
        <is>
          <t>Part d.hub b IQR</t>
        </is>
      </c>
      <c r="B31" s="9">
        <f>IFERROR(IF('IN-CLASS_Lab Part D'!F8="","Not started",IF(ABS('IN-CLASS_Lab Part D'!F8-(7))&lt;=1e-09,"✓ Checked","Recheck method")),"Recheck formula")</f>
        <v/>
      </c>
      <c r="C31" s="9" t="n"/>
      <c r="D31" s="9" t="n"/>
      <c r="E31" s="9" t="n"/>
      <c r="F31" s="9" t="n"/>
      <c r="G31" s="9" t="n"/>
      <c r="H31" s="9" t="n"/>
    </row>
    <row r="32">
      <c r="A32" s="9" t="inlineStr">
        <is>
          <t>Part d.hub c count</t>
        </is>
      </c>
      <c r="B32" s="9">
        <f>IFERROR(IF('IN-CLASS_Lab Part D'!B9="","Not started",IF(ABS('IN-CLASS_Lab Part D'!B9-(3320))&lt;=1e-09,"✓ Checked","Recheck method")),"Recheck formula")</f>
        <v/>
      </c>
      <c r="C32" s="9" t="n"/>
      <c r="D32" s="9" t="n"/>
      <c r="E32" s="9" t="n"/>
      <c r="F32" s="9" t="n"/>
      <c r="G32" s="9" t="n"/>
      <c r="H32" s="9" t="n"/>
    </row>
    <row r="33">
      <c r="A33" s="9" t="inlineStr">
        <is>
          <t>Part d.hub c median</t>
        </is>
      </c>
      <c r="B33" s="9">
        <f>IFERROR(IF('IN-CLASS_Lab Part D'!C9="","Not started",IF(ABS('IN-CLASS_Lab Part D'!C9-(22))&lt;=1e-09,"✓ Checked","Recheck method")),"Recheck formula")</f>
        <v/>
      </c>
      <c r="C33" s="9" t="n"/>
      <c r="D33" s="9" t="n"/>
      <c r="E33" s="9" t="n"/>
      <c r="F33" s="9" t="n"/>
      <c r="G33" s="9" t="n"/>
      <c r="H33" s="9" t="n"/>
    </row>
    <row r="34">
      <c r="A34" s="9" t="inlineStr">
        <is>
          <t>Part d.hub c Q1</t>
        </is>
      </c>
      <c r="B34" s="9">
        <f>IFERROR(IF('IN-CLASS_Lab Part D'!D9="","Not started",IF(ABS('IN-CLASS_Lab Part D'!D9-(14))&lt;=1e-09,"✓ Checked","Recheck method")),"Recheck formula")</f>
        <v/>
      </c>
      <c r="C34" s="9" t="n"/>
      <c r="D34" s="9" t="n"/>
      <c r="E34" s="9" t="n"/>
      <c r="F34" s="9" t="n"/>
      <c r="G34" s="9" t="n"/>
      <c r="H34" s="9" t="n"/>
    </row>
    <row r="35">
      <c r="A35" s="9" t="inlineStr">
        <is>
          <t>Part d.hub c Q3</t>
        </is>
      </c>
      <c r="B35" s="9">
        <f>IFERROR(IF('IN-CLASS_Lab Part D'!E9="","Not started",IF(ABS('IN-CLASS_Lab Part D'!E9-(31))&lt;=1e-09,"✓ Checked","Recheck method")),"Recheck formula")</f>
        <v/>
      </c>
      <c r="C35" s="9" t="n"/>
      <c r="D35" s="9" t="n"/>
      <c r="E35" s="9" t="n"/>
      <c r="F35" s="9" t="n"/>
      <c r="G35" s="9" t="n"/>
      <c r="H35" s="9" t="n"/>
    </row>
    <row r="36">
      <c r="A36" s="9" t="inlineStr">
        <is>
          <t>Part d.hub c IQR</t>
        </is>
      </c>
      <c r="B36" s="9">
        <f>IFERROR(IF('IN-CLASS_Lab Part D'!F9="","Not started",IF(ABS('IN-CLASS_Lab Part D'!F9-(17))&lt;=1e-09,"✓ Checked","Recheck method")),"Recheck formula")</f>
        <v/>
      </c>
      <c r="C36" s="9" t="n"/>
      <c r="D36" s="9" t="n"/>
      <c r="E36" s="9" t="n"/>
      <c r="F36" s="9" t="n"/>
      <c r="G36" s="9" t="n"/>
      <c r="H36" s="9" t="n"/>
    </row>
    <row r="37">
      <c r="A37" s="9" t="inlineStr">
        <is>
          <t>Part d.all count</t>
        </is>
      </c>
      <c r="B37" s="9">
        <f>IFERROR(IF('IN-CLASS_Lab Part D'!B10="","Not started",IF(ABS('IN-CLASS_Lab Part D'!B10-(9958))&lt;=1e-09,"✓ Checked","Recheck method")),"Recheck formula")</f>
        <v/>
      </c>
      <c r="C37" s="9" t="n"/>
      <c r="D37" s="9" t="n"/>
      <c r="E37" s="9" t="n"/>
      <c r="F37" s="9" t="n"/>
      <c r="G37" s="9" t="n"/>
      <c r="H37" s="9" t="n"/>
    </row>
    <row r="38">
      <c r="A38" s="9" t="inlineStr">
        <is>
          <t>Part d.all median</t>
        </is>
      </c>
      <c r="B38" s="9">
        <f>IFERROR(IF('IN-CLASS_Lab Part D'!C10="","Not started",IF(ABS('IN-CLASS_Lab Part D'!C10-(22))&lt;=1e-09,"✓ Checked","Recheck method")),"Recheck formula")</f>
        <v/>
      </c>
      <c r="C38" s="9" t="n"/>
      <c r="D38" s="9" t="n"/>
      <c r="E38" s="9" t="n"/>
      <c r="F38" s="9" t="n"/>
      <c r="G38" s="9" t="n"/>
      <c r="H38" s="9" t="n"/>
    </row>
    <row r="39">
      <c r="A39" s="9" t="inlineStr">
        <is>
          <t>Part d.all Q1</t>
        </is>
      </c>
      <c r="B39" s="9">
        <f>IFERROR(IF('IN-CLASS_Lab Part D'!D10="","Not started",IF(ABS('IN-CLASS_Lab Part D'!D10-(19))&lt;=1e-09,"✓ Checked","Recheck method")),"Recheck formula")</f>
        <v/>
      </c>
      <c r="C39" s="9" t="n"/>
      <c r="D39" s="9" t="n"/>
      <c r="E39" s="9" t="n"/>
      <c r="F39" s="9" t="n"/>
      <c r="G39" s="9" t="n"/>
      <c r="H39" s="9" t="n"/>
    </row>
    <row r="40">
      <c r="A40" s="9" t="inlineStr">
        <is>
          <t>Part d.all Q3</t>
        </is>
      </c>
      <c r="B40" s="9">
        <f>IFERROR(IF('IN-CLASS_Lab Part D'!E10="","Not started",IF(ABS('IN-CLASS_Lab Part D'!E10-(31))&lt;=1e-09,"✓ Checked","Recheck method")),"Recheck formula")</f>
        <v/>
      </c>
      <c r="C40" s="9" t="n"/>
      <c r="D40" s="9" t="n"/>
      <c r="E40" s="9" t="n"/>
      <c r="F40" s="9" t="n"/>
      <c r="G40" s="9" t="n"/>
      <c r="H40" s="9" t="n"/>
    </row>
    <row r="41">
      <c r="A41" s="9" t="inlineStr">
        <is>
          <t>Part d.all IQR</t>
        </is>
      </c>
      <c r="B41" s="9">
        <f>IFERROR(IF('IN-CLASS_Lab Part D'!F10="","Not started",IF(ABS('IN-CLASS_Lab Part D'!F10-(12))&lt;=1e-09,"✓ Checked","Recheck method")),"Recheck formula")</f>
        <v/>
      </c>
      <c r="C41" s="9" t="n"/>
      <c r="D41" s="9" t="n"/>
      <c r="E41" s="9" t="n"/>
      <c r="F41" s="9" t="n"/>
      <c r="G41" s="9" t="n"/>
      <c r="H41" s="9" t="n"/>
    </row>
    <row r="42">
      <c r="A42" s="9" t="n"/>
      <c r="B42" s="9" t="n"/>
      <c r="C42" s="9" t="n"/>
      <c r="D42" s="9" t="n"/>
      <c r="E42" s="9" t="n"/>
      <c r="F42" s="9" t="n"/>
      <c r="G42" s="9" t="n"/>
      <c r="H42" s="9" t="n"/>
    </row>
    <row r="43" ht="30" customHeight="1">
      <c r="A43" s="9" t="inlineStr">
        <is>
          <t>Formatting is already set. Enter your formula, then press Enter. To restore: select cell &gt; Format Cells &gt; Number or Custom.</t>
        </is>
      </c>
      <c r="B43" s="9" t="n"/>
      <c r="C43" s="9" t="n"/>
      <c r="D43" s="9" t="n"/>
      <c r="E43" s="9" t="n"/>
      <c r="F43" s="9" t="n"/>
      <c r="G43" s="9" t="n"/>
      <c r="H43" s="9" t="n"/>
    </row>
    <row r="44" ht="32" customHeight="1">
      <c r="A44" s="9" t="inlineStr">
        <is>
          <t>B7</t>
        </is>
      </c>
      <c r="B44" s="9" t="inlineStr">
        <is>
          <t>Number, 0 decimals, records; unrelated formatting example only: stored 7 displays as 7 records. This example is not an expected answer. | Format code: 0</t>
        </is>
      </c>
      <c r="C44" s="9" t="n"/>
      <c r="D44" s="9" t="n"/>
      <c r="E44" s="9" t="n"/>
      <c r="F44" s="9" t="n"/>
      <c r="G44" s="9" t="n"/>
      <c r="H44" s="9" t="n"/>
    </row>
    <row r="45" ht="32" customHeight="1">
      <c r="A45" s="9" t="inlineStr">
        <is>
          <t>C7</t>
        </is>
      </c>
      <c r="B45" s="9" t="inlineStr">
        <is>
          <t>Number, 1 decimal, minutes; unrelated formatting example only: stored 7.26 displays as 7.3 minutes. This example is not an expected answer. | Format code: 0.0</t>
        </is>
      </c>
      <c r="C45" s="9" t="n"/>
      <c r="D45" s="9" t="n"/>
      <c r="E45" s="9" t="n"/>
      <c r="F45" s="9" t="n"/>
      <c r="G45" s="9" t="n"/>
      <c r="H45" s="9" t="n"/>
    </row>
    <row r="46" ht="32" customHeight="1">
      <c r="A46" s="9" t="inlineStr">
        <is>
          <t>D7</t>
        </is>
      </c>
      <c r="B46" s="9" t="inlineStr">
        <is>
          <t>Number, 1 decimal, minutes; unrelated formatting example only: stored 7.26 displays as 7.3 minutes. This example is not an expected answer. | Format code: 0.0</t>
        </is>
      </c>
      <c r="C46" s="9" t="n"/>
      <c r="D46" s="9" t="n"/>
      <c r="E46" s="9" t="n"/>
      <c r="F46" s="9" t="n"/>
      <c r="G46" s="9" t="n"/>
      <c r="H46" s="9" t="n"/>
    </row>
    <row r="47" ht="32" customHeight="1">
      <c r="A47" s="9" t="inlineStr">
        <is>
          <t>E7</t>
        </is>
      </c>
      <c r="B47" s="9" t="inlineStr">
        <is>
          <t>Number, 1 decimal, minutes; unrelated formatting example only: stored 7.26 displays as 7.3 minutes. This example is not an expected answer. | Format code: 0.0</t>
        </is>
      </c>
      <c r="C47" s="9" t="n"/>
      <c r="D47" s="9" t="n"/>
      <c r="E47" s="9" t="n"/>
      <c r="F47" s="9" t="n"/>
      <c r="G47" s="9" t="n"/>
      <c r="H47" s="9" t="n"/>
    </row>
    <row r="48" ht="32" customHeight="1">
      <c r="A48" s="9" t="inlineStr">
        <is>
          <t>F7</t>
        </is>
      </c>
      <c r="B48" s="9" t="inlineStr">
        <is>
          <t>Number, 1 decimal, minutes; unrelated formatting example only: stored 7.26 displays as 7.3 minutes. This example is not an expected answer. | Format code: 0.0</t>
        </is>
      </c>
      <c r="C48" s="9" t="n"/>
      <c r="D48" s="9" t="n"/>
      <c r="E48" s="9" t="n"/>
      <c r="F48" s="9" t="n"/>
      <c r="G48" s="9" t="n"/>
      <c r="H48" s="9" t="n"/>
    </row>
    <row r="49" ht="32" customHeight="1">
      <c r="A49" s="9" t="inlineStr">
        <is>
          <t>B8</t>
        </is>
      </c>
      <c r="B49" s="9" t="inlineStr">
        <is>
          <t>Number, 0 decimals, records; unrelated formatting example only: stored 7 displays as 7 records. This example is not an expected answer. | Format code: 0</t>
        </is>
      </c>
      <c r="C49" s="9" t="n"/>
      <c r="D49" s="9" t="n"/>
      <c r="E49" s="9" t="n"/>
      <c r="F49" s="9" t="n"/>
      <c r="G49" s="9" t="n"/>
      <c r="H49" s="9" t="n"/>
    </row>
    <row r="50" ht="32" customHeight="1">
      <c r="A50" s="9" t="inlineStr">
        <is>
          <t>C8</t>
        </is>
      </c>
      <c r="B50" s="9" t="inlineStr">
        <is>
          <t>Number, 1 decimal, minutes; unrelated formatting example only: stored 7.26 displays as 7.3 minutes. This example is not an expected answer. | Format code: 0.0</t>
        </is>
      </c>
      <c r="C50" s="9" t="n"/>
      <c r="D50" s="9" t="n"/>
      <c r="E50" s="9" t="n"/>
      <c r="F50" s="9" t="n"/>
      <c r="G50" s="9" t="n"/>
      <c r="H50" s="9" t="n"/>
    </row>
    <row r="51" ht="32" customHeight="1">
      <c r="A51" s="9" t="inlineStr">
        <is>
          <t>D8</t>
        </is>
      </c>
      <c r="B51" s="9" t="inlineStr">
        <is>
          <t>Number, 1 decimal, minutes; unrelated formatting example only: stored 7.26 displays as 7.3 minutes. This example is not an expected answer. | Format code: 0.0</t>
        </is>
      </c>
      <c r="C51" s="9" t="n"/>
      <c r="D51" s="9" t="n"/>
      <c r="E51" s="9" t="n"/>
      <c r="F51" s="9" t="n"/>
      <c r="G51" s="9" t="n"/>
      <c r="H51" s="9" t="n"/>
    </row>
    <row r="52" ht="32" customHeight="1">
      <c r="A52" s="9" t="inlineStr">
        <is>
          <t>E8</t>
        </is>
      </c>
      <c r="B52" s="9" t="inlineStr">
        <is>
          <t>Number, 1 decimal, minutes; unrelated formatting example only: stored 7.26 displays as 7.3 minutes. This example is not an expected answer. | Format code: 0.0</t>
        </is>
      </c>
      <c r="C52" s="9" t="n"/>
      <c r="D52" s="9" t="n"/>
      <c r="E52" s="9" t="n"/>
      <c r="F52" s="9" t="n"/>
      <c r="G52" s="9" t="n"/>
      <c r="H52" s="9" t="n"/>
    </row>
    <row r="53" ht="32" customHeight="1">
      <c r="A53" s="9" t="inlineStr">
        <is>
          <t>F8</t>
        </is>
      </c>
      <c r="B53" s="9" t="inlineStr">
        <is>
          <t>Number, 1 decimal, minutes; unrelated formatting example only: stored 7.26 displays as 7.3 minutes. This example is not an expected answer. | Format code: 0.0</t>
        </is>
      </c>
      <c r="C53" s="9" t="n"/>
      <c r="D53" s="9" t="n"/>
      <c r="E53" s="9" t="n"/>
      <c r="F53" s="9" t="n"/>
      <c r="G53" s="9" t="n"/>
      <c r="H53" s="9" t="n"/>
    </row>
    <row r="54" ht="32" customHeight="1">
      <c r="A54" s="9" t="inlineStr">
        <is>
          <t>B9</t>
        </is>
      </c>
      <c r="B54" s="9" t="inlineStr">
        <is>
          <t>Number, 0 decimals, records; unrelated formatting example only: stored 7 displays as 7 records. This example is not an expected answer. | Format code: 0</t>
        </is>
      </c>
      <c r="C54" s="9" t="n"/>
      <c r="D54" s="9" t="n"/>
      <c r="E54" s="9" t="n"/>
      <c r="F54" s="9" t="n"/>
      <c r="G54" s="9" t="n"/>
      <c r="H54" s="9" t="n"/>
    </row>
    <row r="55" ht="32" customHeight="1">
      <c r="A55" s="9" t="inlineStr">
        <is>
          <t>C9</t>
        </is>
      </c>
      <c r="B55" s="9" t="inlineStr">
        <is>
          <t>Number, 1 decimal, minutes; unrelated formatting example only: stored 7.26 displays as 7.3 minutes. This example is not an expected answer. | Format code: 0.0</t>
        </is>
      </c>
      <c r="C55" s="9" t="n"/>
      <c r="D55" s="9" t="n"/>
      <c r="E55" s="9" t="n"/>
      <c r="F55" s="9" t="n"/>
      <c r="G55" s="9" t="n"/>
      <c r="H55" s="9" t="n"/>
    </row>
    <row r="56" ht="32" customHeight="1">
      <c r="A56" s="9" t="inlineStr">
        <is>
          <t>D9</t>
        </is>
      </c>
      <c r="B56" s="9" t="inlineStr">
        <is>
          <t>Number, 1 decimal, minutes; unrelated formatting example only: stored 7.26 displays as 7.3 minutes. This example is not an expected answer. | Format code: 0.0</t>
        </is>
      </c>
      <c r="C56" s="9" t="n"/>
      <c r="D56" s="9" t="n"/>
      <c r="E56" s="9" t="n"/>
      <c r="F56" s="9" t="n"/>
      <c r="G56" s="9" t="n"/>
      <c r="H56" s="9" t="n"/>
    </row>
    <row r="57" ht="32" customHeight="1">
      <c r="A57" s="9" t="inlineStr">
        <is>
          <t>E9</t>
        </is>
      </c>
      <c r="B57" s="9" t="inlineStr">
        <is>
          <t>Number, 1 decimal, minutes; unrelated formatting example only: stored 7.26 displays as 7.3 minutes. This example is not an expected answer. | Format code: 0.0</t>
        </is>
      </c>
      <c r="C57" s="9" t="n"/>
      <c r="D57" s="9" t="n"/>
      <c r="E57" s="9" t="n"/>
      <c r="F57" s="9" t="n"/>
      <c r="G57" s="9" t="n"/>
      <c r="H57" s="9" t="n"/>
    </row>
    <row r="58" ht="32" customHeight="1">
      <c r="A58" s="9" t="inlineStr">
        <is>
          <t>F9</t>
        </is>
      </c>
      <c r="B58" s="9" t="inlineStr">
        <is>
          <t>Number, 1 decimal, minutes; unrelated formatting example only: stored 7.26 displays as 7.3 minutes. This example is not an expected answer. | Format code: 0.0</t>
        </is>
      </c>
      <c r="C58" s="9" t="n"/>
      <c r="D58" s="9" t="n"/>
      <c r="E58" s="9" t="n"/>
      <c r="F58" s="9" t="n"/>
      <c r="G58" s="9" t="n"/>
      <c r="H58" s="9" t="n"/>
    </row>
    <row r="59" ht="32" customHeight="1">
      <c r="A59" s="9" t="inlineStr">
        <is>
          <t>B10</t>
        </is>
      </c>
      <c r="B59" s="9" t="inlineStr">
        <is>
          <t>Number, 0 decimals, records; unrelated formatting example only: stored 7 displays as 7 records. This example is not an expected answer. | Format code: 0</t>
        </is>
      </c>
      <c r="C59" s="9" t="n"/>
      <c r="D59" s="9" t="n"/>
      <c r="E59" s="9" t="n"/>
      <c r="F59" s="9" t="n"/>
      <c r="G59" s="9" t="n"/>
      <c r="H59" s="9" t="n"/>
    </row>
    <row r="60" ht="32" customHeight="1">
      <c r="A60" s="9" t="inlineStr">
        <is>
          <t>C10</t>
        </is>
      </c>
      <c r="B60" s="9" t="inlineStr">
        <is>
          <t>Number, 1 decimal, minutes; unrelated formatting example only: stored 7.26 displays as 7.3 minutes. This example is not an expected answer. | Format code: 0.0</t>
        </is>
      </c>
      <c r="C60" s="9" t="n"/>
      <c r="D60" s="9" t="n"/>
      <c r="E60" s="9" t="n"/>
      <c r="F60" s="9" t="n"/>
      <c r="G60" s="9" t="n"/>
      <c r="H60" s="9" t="n"/>
    </row>
    <row r="61" ht="32" customHeight="1">
      <c r="A61" s="9" t="inlineStr">
        <is>
          <t>D10</t>
        </is>
      </c>
      <c r="B61" s="9" t="inlineStr">
        <is>
          <t>Number, 1 decimal, minutes; unrelated formatting example only: stored 7.26 displays as 7.3 minutes. This example is not an expected answer. | Format code: 0.0</t>
        </is>
      </c>
      <c r="C61" s="9" t="n"/>
      <c r="D61" s="9" t="n"/>
      <c r="E61" s="9" t="n"/>
      <c r="F61" s="9" t="n"/>
      <c r="G61" s="9" t="n"/>
      <c r="H61" s="9" t="n"/>
    </row>
    <row r="62" ht="32" customHeight="1">
      <c r="A62" s="9" t="inlineStr">
        <is>
          <t>E10</t>
        </is>
      </c>
      <c r="B62" s="9" t="inlineStr">
        <is>
          <t>Number, 1 decimal, minutes; unrelated formatting example only: stored 7.26 displays as 7.3 minutes. This example is not an expected answer. | Format code: 0.0</t>
        </is>
      </c>
      <c r="C62" s="9" t="n"/>
      <c r="D62" s="9" t="n"/>
      <c r="E62" s="9" t="n"/>
      <c r="F62" s="9" t="n"/>
      <c r="G62" s="9" t="n"/>
      <c r="H62" s="9" t="n"/>
    </row>
    <row r="63" ht="32" customHeight="1">
      <c r="A63" s="9" t="inlineStr">
        <is>
          <t>F10</t>
        </is>
      </c>
      <c r="B63" s="9" t="inlineStr">
        <is>
          <t>Number, 1 decimal, minutes; unrelated formatting example only: stored 7.26 displays as 7.3 minutes. This example is not an expected answer. | Format code: 0.0</t>
        </is>
      </c>
      <c r="C63" s="9" t="n"/>
      <c r="D63" s="9" t="n"/>
      <c r="E63" s="9" t="n"/>
      <c r="F63" s="9" t="n"/>
      <c r="G63" s="9" t="n"/>
      <c r="H63" s="9" t="n"/>
    </row>
    <row r="86">
      <c r="A86" s="29" t="inlineStr">
        <is>
          <t>Source-linked chart. Complete the named input cells to populate it; inspect its data range, labels and units.</t>
        </is>
      </c>
    </row>
    <row r="87"/>
    <row r="88"/>
    <row r="90" ht="36" customHeight="1">
      <c r="A90" t="inlineStr" s="39">
        <is>
          <t xml:space="preserve">⚠ Most common mistake: Averaging the three hub IQRs to fill F10. The all-hubs IQR comes from all 9,958 valid orders pooled together, so it is not the average of the hub values.</t>
        </is>
      </c>
    </row>
  </sheetData>
  <mergeCells count="35">
    <mergeCell ref="B49:H49"/>
    <mergeCell ref="B55:H55"/>
    <mergeCell ref="A1:H1"/>
    <mergeCell ref="B17:H18"/>
    <mergeCell ref="G8:H8"/>
    <mergeCell ref="B51:H51"/>
    <mergeCell ref="B45:H45"/>
    <mergeCell ref="B63:H63"/>
    <mergeCell ref="B50:H50"/>
    <mergeCell ref="G7:H7"/>
    <mergeCell ref="G10:H10"/>
    <mergeCell ref="B47:H47"/>
    <mergeCell ref="B54:H54"/>
    <mergeCell ref="B62:H62"/>
    <mergeCell ref="B59:H59"/>
    <mergeCell ref="B46:H46"/>
    <mergeCell ref="A3:H3"/>
    <mergeCell ref="B56:H56"/>
    <mergeCell ref="B58:H58"/>
    <mergeCell ref="B52:H52"/>
    <mergeCell ref="A86:H88"/>
    <mergeCell ref="A2:H2"/>
    <mergeCell ref="B12:H12"/>
    <mergeCell ref="B48:H48"/>
    <mergeCell ref="A5:H5"/>
    <mergeCell ref="B60:H60"/>
    <mergeCell ref="B61:H61"/>
    <mergeCell ref="A4:H4"/>
    <mergeCell ref="B57:H57"/>
    <mergeCell ref="A43:H43"/>
    <mergeCell ref="B44:H44"/>
    <mergeCell ref="B53:H53"/>
    <mergeCell ref="B13:H15"/>
    <mergeCell ref="G9:H9"/>
    <mergeCell ref="A90:H90"/>
  </mergeCells>
  <printOptions horizontalCentered="1"/>
  <pageMargins left="0.75" right="0.75" top="1" bottom="1" header="0.5" footer="0.5"/>
  <pageSetup orientation="landscape" paperSize="8" fitToHeight="0" fitToWidth="1"/>
  <rowBreaks count="1" manualBreakCount="1">
    <brk id="65" min="0" max="16383" man="1"/>
  </rowBreaks>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00267D89"/>
    <outlinePr summaryBelow="1" summaryRight="1"/>
    <pageSetUpPr fitToPage="1"/>
  </sheetPr>
  <dimension ref="A1:H55"/>
  <sheetViews>
    <sheetView showGridLines="0" zoomScale="11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34" t="inlineStr">
        <is>
          <t xml:space="preserve">Take-home · Should we penalize Hub C, and what should the SLA say?    ⏱ 60 min · at home</t>
        </is>
      </c>
      <c r="B1" s="9" t="n"/>
      <c r="C1" s="9" t="n"/>
      <c r="D1" s="9" t="n"/>
      <c r="E1" s="9" t="n"/>
      <c r="F1" s="9" t="n"/>
      <c r="G1" s="9" t="n"/>
      <c r="H1" s="9" t="n"/>
    </row>
    <row r="2" ht="34" customHeight="1">
      <c r="A2" s="35" t="inlineStr">
        <is>
          <t xml:space="preserve">What you're using · Section 4: The take-home reuses Parts A to D to answer the VP's two decisions.   Reread: Slides 68–86; Concise Toolkit pp. 19–23; Full Toolkit pp. 70–94</t>
        </is>
      </c>
      <c r="B2" s="9" t="n"/>
      <c r="C2" s="9" t="n"/>
      <c r="D2" s="9" t="n"/>
      <c r="E2" s="9" t="n"/>
      <c r="F2" s="9" t="n"/>
      <c r="G2" s="9" t="n"/>
      <c r="H2" s="9" t="n"/>
    </row>
    <row r="3" ht="30" customHeight="1">
      <c r="A3" s="36" t="inlineStr">
        <is>
          <t xml:space="preserve">P₉₅ = value at rank 0.95 (n+1) of the sorted valid latencies = B8      where C = Hub C · n_C = Hub C valid orders · P₉₅ = 95th percentile of valid latency, all hubs · x_C, x_C = Hub C mean and median</t>
        </is>
      </c>
      <c r="B3" s="9" t="n"/>
      <c r="C3" s="9" t="n"/>
      <c r="D3" s="9" t="n"/>
      <c r="E3" s="9" t="n"/>
      <c r="F3" s="9" t="n"/>
      <c r="G3" s="9" t="n"/>
      <c r="H3" s="9" t="n"/>
    </row>
    <row r="4" ht="22" customHeight="1">
      <c r="A4" s="37" t="str">
        <f>"Progress: "&amp;COUNTIF(B38:B45,"✓ Checked")&amp;" of 8 checked. Save after each ✓."</f>
      </c>
      <c r="B4" s="9" t="n"/>
      <c r="C4" s="9" t="n"/>
      <c r="D4" s="9" t="n"/>
      <c r="E4" s="9" t="n"/>
      <c r="F4" s="9" t="n"/>
      <c r="G4" s="9" t="n"/>
      <c r="H4" s="9" t="n"/>
    </row>
    <row r="5" ht="30" customHeight="1">
      <c r="A5" s="38" t="inlineStr">
        <is>
          <t xml:space="preserve">Open POST-CLASS_Part 1!A7.  Save as LAB01_FirstName_LastName_NetID.xlsx and continue to the Brightspace Lab #1 Assignment Submission Portal.</t>
        </is>
      </c>
      <c r="B5" s="9" t="n"/>
      <c r="C5" s="9" t="n"/>
      <c r="D5" s="9" t="n"/>
      <c r="E5" s="9" t="n"/>
      <c r="F5" s="9" t="n"/>
      <c r="G5" s="9" t="n"/>
      <c r="H5" s="9" t="n"/>
    </row>
    <row r="6">
      <c r="A6" s="9" t="n"/>
      <c r="B6" s="9" t="n"/>
      <c r="C6" s="9" t="n"/>
      <c r="D6" s="9" t="n"/>
      <c r="E6" s="9" t="n"/>
      <c r="F6" s="9" t="n"/>
      <c r="G6" s="9" t="n"/>
      <c r="H6" s="9" t="n"/>
    </row>
    <row r="7" ht="66" customHeight="1">
      <c r="A7" s="10" t="inlineStr">
        <is>
          <t xml:space="preserve">1 · All-hubs valid latency records</t>
        </is>
      </c>
      <c r="B7" s="11" t="n"/>
      <c r="C7" s="12">
        <f>IFERROR(IF(OR(ISBLANK(B7)),"Not started",IF(AND(ABS(B7-(9958))&lt;=1e-09),"Result matches","Check the result")),"Formula error")</f>
        <v/>
      </c>
      <c r="D7" s="13" t="n"/>
      <c r="E7" s="14" t="inlineStr">
        <is>
          <t>All-hubs valid latency records. Use the completed Parts and the stated units.. Do not report 10,000 as the latency denominator if sentinels are excluded.</t>
        </is>
      </c>
      <c r="F7" s="13" t="n"/>
      <c r="G7" s="13" t="n"/>
      <c r="H7" s="13" t="n"/>
    </row>
    <row r="8" ht="66" customHeight="1">
      <c r="A8" s="10" t="inlineStr">
        <is>
          <t xml:space="preserve">2 · All-hubs 95th percentile</t>
        </is>
      </c>
      <c r="B8" s="27" t="n"/>
      <c r="C8" s="12">
        <f>IFERROR(IF(OR(ISBLANK(B8)),"Not started",IF(AND(ABS(B8-(50))&lt;=1e-09),"Result matches","Check the result")),"Formula error")</f>
        <v/>
      </c>
      <c r="D8" s="13" t="n"/>
      <c r="E8" s="14" t="inlineStr">
        <is>
          <t>All-hubs 95th percentile. Use the completed Parts and the stated units.. Use Number format; this percentile result is minutes, not a percentage.</t>
        </is>
      </c>
      <c r="F8" s="13" t="n"/>
      <c r="G8" s="13" t="n"/>
      <c r="H8" s="13" t="n"/>
    </row>
    <row r="9" ht="66" customHeight="1">
      <c r="A9" s="10" t="inlineStr">
        <is>
          <t xml:space="preserve">3 · Hub C valid latency records</t>
        </is>
      </c>
      <c r="B9" s="11" t="n"/>
      <c r="C9" s="12">
        <f>IFERROR(IF(OR(ISBLANK(B9)),"Not started",IF(AND(ABS(B9-(3320))&lt;=1e-09),"Result matches","Check the result")),"Formula error")</f>
        <v/>
      </c>
      <c r="D9" s="13" t="n"/>
      <c r="E9" s="14" t="inlineStr">
        <is>
          <t>Hub C valid latency records. Use the completed Parts and the stated units.. Do not omit the hub criterion or use the all-hubs denominator.</t>
        </is>
      </c>
      <c r="F9" s="13" t="n"/>
      <c r="G9" s="13" t="n"/>
      <c r="H9" s="13" t="n"/>
    </row>
    <row r="10" ht="66" customHeight="1">
      <c r="A10" s="10" t="inlineStr">
        <is>
          <t xml:space="preserve">4 · Hub C mean latency</t>
        </is>
      </c>
      <c r="B10" s="27" t="n"/>
      <c r="C10" s="12">
        <f>IFERROR(IF(OR(ISBLANK(B10)),"Not started",IF(AND(ABS(B10-(29.9370481927711))&lt;=0.0598740963855422),"Result matches","Check the result")),"Formula error")</f>
        <v/>
      </c>
      <c r="D10" s="13" t="n"/>
      <c r="E10" s="14" t="inlineStr">
        <is>
          <t>Hub C mean latency. Use the completed Parts and the stated units.. Do not report the mean without B9 and the minute unit.</t>
        </is>
      </c>
      <c r="F10" s="13" t="n"/>
      <c r="G10" s="13" t="n"/>
      <c r="H10" s="13" t="n"/>
    </row>
    <row r="11" ht="66" customHeight="1">
      <c r="A11" s="10" t="inlineStr">
        <is>
          <t xml:space="preserve">5 · Hub C median latency</t>
        </is>
      </c>
      <c r="B11" s="27" t="n"/>
      <c r="C11" s="12">
        <f>IFERROR(IF(OR(ISBLANK(B11)),"Not started",IF(AND(ABS(B11-(22))&lt;=1e-09),"Result matches","Check the result")),"Formula error")</f>
        <v/>
      </c>
      <c r="D11" s="13" t="n"/>
      <c r="E11" s="14" t="inlineStr">
        <is>
          <t>Hub C median latency. Use the completed Parts and the stated units.. Do not call the median the mean.</t>
        </is>
      </c>
      <c r="F11" s="13" t="n"/>
      <c r="G11" s="13" t="n"/>
      <c r="H11" s="13" t="n"/>
    </row>
    <row r="12" ht="66" customHeight="1">
      <c r="A12" s="10" t="inlineStr">
        <is>
          <t xml:space="preserve">6 · Hub C 95th percentile</t>
        </is>
      </c>
      <c r="B12" s="27" t="n"/>
      <c r="C12" s="12">
        <f>IFERROR(IF(OR(ISBLANK(B12)),"Not started",IF(AND(ABS(B12-(50))&lt;=1e-09),"Result matches","Check the result")),"Formula error")</f>
        <v/>
      </c>
      <c r="D12" s="13" t="n"/>
      <c r="E12" s="14" t="inlineStr">
        <is>
          <t>Hub C 95th percentile. Use the completed Parts and the stated units.. Do not format the threshold as Percentage.</t>
        </is>
      </c>
      <c r="F12" s="13" t="n"/>
      <c r="G12" s="13" t="n"/>
      <c r="H12" s="13" t="n"/>
    </row>
    <row r="13" ht="66" customHeight="1">
      <c r="A13" s="10" t="inlineStr">
        <is>
          <t xml:space="preserve">7 · Hub C mean-minus-median gap</t>
        </is>
      </c>
      <c r="B13" s="27" t="n"/>
      <c r="C13" s="12">
        <f>IFERROR(IF(OR(ISBLANK(B13)),"Not started",IF(AND(ABS(B13-(7.93704819277108))&lt;=0.0158740963855422),"Result matches","Check the result")),"Formula error")</f>
        <v/>
      </c>
      <c r="D13" s="13" t="n"/>
      <c r="E13" s="14" t="inlineStr">
        <is>
          <t>Hub C mean-minus-median gap. Use the completed Parts and the stated units.. This gap does not identify the cause of the upper tail.</t>
        </is>
      </c>
      <c r="F13" s="13" t="n"/>
      <c r="G13" s="13" t="n"/>
      <c r="H13" s="13" t="n"/>
    </row>
    <row r="14" ht="66" customHeight="1">
      <c r="A14" s="10" t="inlineStr">
        <is>
          <t xml:space="preserve">8 · Hub C share above overall P95</t>
        </is>
      </c>
      <c r="B14" s="33" t="n"/>
      <c r="C14" s="12">
        <f>IFERROR(IF(OR(ISBLANK(B14)),"Not started",IF(AND(ABS(B14-(0.038855421686747))&lt;=0.0015),"Result matches","Check the result")),"Formula error")</f>
        <v/>
      </c>
      <c r="D14" s="13" t="n"/>
      <c r="E14" s="14" t="inlineStr">
        <is>
          <t>Hub C share above overall P95. Use the completed Parts and the stated units.. Do not multiply the fraction by 100 and then apply Percentage format.</t>
        </is>
      </c>
      <c r="F14" s="13" t="n"/>
      <c r="G14" s="13" t="n"/>
      <c r="H14" s="13" t="n"/>
    </row>
    <row r="15">
      <c r="A15" s="9" t="n"/>
      <c r="B15" s="9" t="n"/>
      <c r="C15" s="9" t="n"/>
      <c r="D15" s="9" t="n"/>
      <c r="E15" s="9" t="n"/>
      <c r="F15" s="9" t="n"/>
      <c r="G15" s="9" t="n"/>
      <c r="H15" s="9" t="n"/>
    </row>
    <row r="16" ht="30" customHeight="1">
      <c r="A16" s="10" t="inlineStr">
        <is>
          <t>Evidence defense</t>
        </is>
      </c>
      <c r="B16" s="18" t="inlineStr">
        <is>
          <t>[Replace with 1-2 short paragraphs: identify evidence for typical service, variability, and upper-tail risk; include each value, unit, denominator, meaning, and one limitation.]</t>
        </is>
      </c>
      <c r="C16" s="19" t="n"/>
      <c r="D16" s="19" t="n"/>
      <c r="E16" s="19" t="n"/>
      <c r="F16" s="19" t="n"/>
      <c r="G16" s="19" t="n"/>
      <c r="H16" s="20" t="n"/>
    </row>
    <row r="17" ht="30" customHeight="1">
      <c r="A17" s="9" t="n"/>
      <c r="B17" s="21" t="n"/>
      <c r="C17" s="22" t="n"/>
      <c r="D17" s="22" t="n"/>
      <c r="E17" s="22" t="n"/>
      <c r="F17" s="22" t="n"/>
      <c r="G17" s="22" t="n"/>
      <c r="H17" s="23" t="n"/>
    </row>
    <row r="18" ht="30" customHeight="1">
      <c r="A18" s="9" t="n"/>
      <c r="B18" s="21" t="n"/>
      <c r="C18" s="22" t="n"/>
      <c r="D18" s="22" t="n"/>
      <c r="E18" s="22" t="n"/>
      <c r="F18" s="22" t="n"/>
      <c r="G18" s="22" t="n"/>
      <c r="H18" s="23" t="n"/>
    </row>
    <row r="19" ht="30" customHeight="1">
      <c r="A19" s="9" t="n"/>
      <c r="B19" s="24" t="n"/>
      <c r="C19" s="25" t="n"/>
      <c r="D19" s="25" t="n"/>
      <c r="E19" s="25" t="n"/>
      <c r="F19" s="25" t="n"/>
      <c r="G19" s="25" t="n"/>
      <c r="H19" s="26" t="n"/>
    </row>
    <row r="20">
      <c r="A20" s="9" t="n"/>
      <c r="B20" s="9" t="n"/>
      <c r="C20" s="9" t="n"/>
      <c r="D20" s="9" t="n"/>
      <c r="E20" s="9" t="n"/>
      <c r="F20" s="9" t="n"/>
      <c r="G20" s="9" t="n"/>
      <c r="H20" s="9" t="n"/>
    </row>
    <row r="21" ht="30" customHeight="1">
      <c r="A21" s="10" t="inlineStr">
        <is>
          <t>Workbook recommendation source</t>
        </is>
      </c>
      <c r="B21" s="18" t="inlineStr">
        <is>
          <t>[Replace with 1-2 short paragraphs: state the decision and recommended action, cite the key evidence with units and denominator, state one limitation, and name the next evidence needed.]</t>
        </is>
      </c>
      <c r="C21" s="19" t="n"/>
      <c r="D21" s="19" t="n"/>
      <c r="E21" s="19" t="n"/>
      <c r="F21" s="19" t="n"/>
      <c r="G21" s="19" t="n"/>
      <c r="H21" s="20" t="n"/>
    </row>
    <row r="22" ht="30" customHeight="1">
      <c r="A22" s="9" t="n"/>
      <c r="B22" s="21" t="n"/>
      <c r="C22" s="22" t="n"/>
      <c r="D22" s="22" t="n"/>
      <c r="E22" s="22" t="n"/>
      <c r="F22" s="22" t="n"/>
      <c r="G22" s="22" t="n"/>
      <c r="H22" s="23" t="n"/>
    </row>
    <row r="23" ht="30" customHeight="1">
      <c r="A23" s="9" t="n"/>
      <c r="B23" s="21" t="n"/>
      <c r="C23" s="22" t="n"/>
      <c r="D23" s="22" t="n"/>
      <c r="E23" s="22" t="n"/>
      <c r="F23" s="22" t="n"/>
      <c r="G23" s="22" t="n"/>
      <c r="H23" s="23" t="n"/>
    </row>
    <row r="24" ht="30" customHeight="1">
      <c r="A24" s="9" t="n"/>
      <c r="B24" s="24" t="n"/>
      <c r="C24" s="25" t="n"/>
      <c r="D24" s="25" t="n"/>
      <c r="E24" s="25" t="n"/>
      <c r="F24" s="25" t="n"/>
      <c r="G24" s="25" t="n"/>
      <c r="H24" s="26" t="n"/>
    </row>
    <row r="25">
      <c r="A25" s="9" t="n"/>
      <c r="B25" s="9" t="n"/>
      <c r="C25" s="9" t="n"/>
      <c r="D25" s="9" t="n"/>
      <c r="E25" s="9" t="n"/>
      <c r="F25" s="9" t="n"/>
      <c r="G25" s="9" t="n"/>
      <c r="H25" s="9" t="n"/>
    </row>
    <row r="26" ht="30" customHeight="1">
      <c r="A26" s="10" t="inlineStr">
        <is>
          <t>SPSS H5 evidence caption</t>
        </is>
      </c>
      <c r="B26" s="18" t="inlineStr">
        <is>
          <t>[Replace with 1-2 sentences: name the exact SPSS output, identify the statistic and population or filter you read, then state the cross-tool check you performed.]</t>
        </is>
      </c>
      <c r="C26" s="19" t="n"/>
      <c r="D26" s="19" t="n"/>
      <c r="E26" s="19" t="n"/>
      <c r="F26" s="19" t="n"/>
      <c r="G26" s="19" t="n"/>
      <c r="H26" s="20" t="n"/>
    </row>
    <row r="27" ht="30" customHeight="1">
      <c r="A27" s="9" t="n"/>
      <c r="B27" s="24" t="n"/>
      <c r="C27" s="25" t="n"/>
      <c r="D27" s="25" t="n"/>
      <c r="E27" s="25" t="n"/>
      <c r="F27" s="25" t="n"/>
      <c r="G27" s="25" t="n"/>
      <c r="H27" s="26" t="n"/>
    </row>
    <row r="28">
      <c r="A28" s="9" t="n"/>
      <c r="B28" s="9" t="n"/>
      <c r="C28" s="9" t="n"/>
      <c r="D28" s="9" t="n"/>
      <c r="E28" s="9" t="n"/>
      <c r="F28" s="9" t="n"/>
      <c r="G28" s="9" t="n"/>
      <c r="H28" s="9" t="n"/>
    </row>
    <row r="29" ht="30" customHeight="1">
      <c r="A29" s="10" t="inlineStr">
        <is>
          <t>Memo evidence map (planning only)</t>
        </is>
      </c>
      <c r="B29" s="18" t="inlineStr">
        <is>
          <t>[Replace with one line per memo claim: state the claim, then point to the exact workbook sheet and cell or named SPSS output that supports it.]</t>
        </is>
      </c>
      <c r="C29" s="19" t="n"/>
      <c r="D29" s="19" t="n"/>
      <c r="E29" s="19" t="n"/>
      <c r="F29" s="19" t="n"/>
      <c r="G29" s="19" t="n"/>
      <c r="H29" s="20" t="n"/>
    </row>
    <row r="30" ht="30" customHeight="1">
      <c r="A30" s="9" t="n"/>
      <c r="B30" s="21" t="n"/>
      <c r="C30" s="22" t="n"/>
      <c r="D30" s="22" t="n"/>
      <c r="E30" s="22" t="n"/>
      <c r="F30" s="22" t="n"/>
      <c r="G30" s="22" t="n"/>
      <c r="H30" s="23" t="n"/>
    </row>
    <row r="31" ht="30" customHeight="1">
      <c r="A31" s="9" t="n"/>
      <c r="B31" s="24" t="n"/>
      <c r="C31" s="25" t="n"/>
      <c r="D31" s="25" t="n"/>
      <c r="E31" s="25" t="n"/>
      <c r="F31" s="25" t="n"/>
      <c r="G31" s="25" t="n"/>
      <c r="H31" s="26" t="n"/>
    </row>
    <row r="32">
      <c r="A32" s="9" t="n"/>
      <c r="B32" s="9" t="n"/>
      <c r="C32" s="9" t="n"/>
      <c r="D32" s="9" t="n"/>
      <c r="E32" s="9" t="n"/>
      <c r="F32" s="9" t="n"/>
      <c r="G32" s="9" t="n"/>
      <c r="H32" s="9" t="n"/>
    </row>
    <row r="33" ht="30" customHeight="1">
      <c r="A33" s="10" t="inlineStr">
        <is>
          <t>AI-use or non-use disclosure</t>
        </is>
      </c>
      <c r="B33" s="18" t="inlineStr">
        <is>
          <t>[Replace with either No AI used, or identify the tool, purpose, material adopted or revised, and the checks you performed.]</t>
        </is>
      </c>
      <c r="C33" s="19" t="n"/>
      <c r="D33" s="19" t="n"/>
      <c r="E33" s="19" t="n"/>
      <c r="F33" s="19" t="n"/>
      <c r="G33" s="19" t="n"/>
      <c r="H33" s="20" t="n"/>
    </row>
    <row r="34" ht="30" customHeight="1">
      <c r="A34" s="9" t="n"/>
      <c r="B34" s="24" t="n"/>
      <c r="C34" s="25" t="n"/>
      <c r="D34" s="25" t="n"/>
      <c r="E34" s="25" t="n"/>
      <c r="F34" s="25" t="n"/>
      <c r="G34" s="25" t="n"/>
      <c r="H34" s="26" t="n"/>
    </row>
    <row r="35">
      <c r="A35" s="9" t="n"/>
      <c r="B35" s="9" t="n"/>
      <c r="C35" s="9" t="n"/>
      <c r="D35" s="9" t="n"/>
      <c r="E35" s="9" t="n"/>
      <c r="F35" s="9" t="n"/>
      <c r="G35" s="9" t="n"/>
      <c r="H35" s="9" t="n"/>
    </row>
    <row r="36">
      <c r="A36" s="9" t="n"/>
      <c r="B36" s="9" t="n"/>
      <c r="C36" s="9" t="n"/>
      <c r="D36" s="9" t="n"/>
      <c r="E36" s="9" t="n"/>
      <c r="F36" s="9" t="n"/>
      <c r="G36" s="9" t="n"/>
      <c r="H36" s="9" t="n"/>
    </row>
    <row r="37">
      <c r="A37" s="9" t="inlineStr">
        <is>
          <t>Check your work</t>
        </is>
      </c>
      <c r="B37" s="9" t="inlineStr">
        <is>
          <t>Status</t>
        </is>
      </c>
      <c r="C37" s="9" t="n"/>
      <c r="D37" s="9" t="n"/>
      <c r="E37" s="9" t="n"/>
      <c r="F37" s="9" t="n"/>
      <c r="G37" s="9" t="n"/>
      <c r="H37" s="9" t="n"/>
    </row>
    <row r="38">
      <c r="A38" s="9" t="inlineStr">
        <is>
          <t>Take home.all valid count</t>
        </is>
      </c>
      <c r="B38" s="9">
        <f>IFERROR(IF('POST-CLASS_Part 1'!B7="","Not started",IF(ABS('POST-CLASS_Part 1'!B7-(9958))&lt;=1e-09,"✓ Checked","Recheck method")),"Recheck formula")</f>
        <v/>
      </c>
      <c r="C38" s="9" t="n"/>
      <c r="D38" s="9" t="n"/>
      <c r="E38" s="9" t="n"/>
      <c r="F38" s="9" t="n"/>
      <c r="G38" s="9" t="n"/>
      <c r="H38" s="9" t="n"/>
    </row>
    <row r="39">
      <c r="A39" s="9" t="inlineStr">
        <is>
          <t>Take home.all P95</t>
        </is>
      </c>
      <c r="B39" s="9">
        <f>IFERROR(IF('POST-CLASS_Part 1'!B8="","Not started",IF(ABS('POST-CLASS_Part 1'!B8-(50))&lt;=1e-09,"✓ Checked","Recheck method")),"Recheck formula")</f>
        <v/>
      </c>
      <c r="C39" s="9" t="n"/>
      <c r="D39" s="9" t="n"/>
      <c r="E39" s="9" t="n"/>
      <c r="F39" s="9" t="n"/>
      <c r="G39" s="9" t="n"/>
      <c r="H39" s="9" t="n"/>
    </row>
    <row r="40">
      <c r="A40" s="9" t="inlineStr">
        <is>
          <t>Take home.hub c valid count</t>
        </is>
      </c>
      <c r="B40" s="9">
        <f>IFERROR(IF('POST-CLASS_Part 1'!B9="","Not started",IF(ABS('POST-CLASS_Part 1'!B9-(3320))&lt;=1e-09,"✓ Checked","Recheck method")),"Recheck formula")</f>
        <v/>
      </c>
      <c r="C40" s="9" t="n"/>
      <c r="D40" s="9" t="n"/>
      <c r="E40" s="9" t="n"/>
      <c r="F40" s="9" t="n"/>
      <c r="G40" s="9" t="n"/>
      <c r="H40" s="9" t="n"/>
    </row>
    <row r="41">
      <c r="A41" s="9" t="inlineStr">
        <is>
          <t>Take home.hub c mean</t>
        </is>
      </c>
      <c r="B41" s="9">
        <f>IFERROR(IF('POST-CLASS_Part 1'!B10="","Not started",IF(ABS('POST-CLASS_Part 1'!B10-(29.9370481927711))&lt;=0.0598740963855422,"✓ Checked","Recheck method")),"Recheck formula")</f>
        <v/>
      </c>
      <c r="C41" s="9" t="n"/>
      <c r="D41" s="9" t="n"/>
      <c r="E41" s="9" t="n"/>
      <c r="F41" s="9" t="n"/>
      <c r="G41" s="9" t="n"/>
      <c r="H41" s="9" t="n"/>
    </row>
    <row r="42">
      <c r="A42" s="9" t="inlineStr">
        <is>
          <t>Take home.hub c median</t>
        </is>
      </c>
      <c r="B42" s="9">
        <f>IFERROR(IF('POST-CLASS_Part 1'!B11="","Not started",IF(ABS('POST-CLASS_Part 1'!B11-(22))&lt;=1e-09,"✓ Checked","Recheck method")),"Recheck formula")</f>
        <v/>
      </c>
      <c r="C42" s="9" t="n"/>
      <c r="D42" s="9" t="n"/>
      <c r="E42" s="9" t="n"/>
      <c r="F42" s="9" t="n"/>
      <c r="G42" s="9" t="n"/>
      <c r="H42" s="9" t="n"/>
    </row>
    <row r="43">
      <c r="A43" s="9" t="inlineStr">
        <is>
          <t>Take home.hub c P95</t>
        </is>
      </c>
      <c r="B43" s="9">
        <f>IFERROR(IF('POST-CLASS_Part 1'!B12="","Not started",IF(ABS('POST-CLASS_Part 1'!B12-(50))&lt;=1e-09,"✓ Checked","Recheck method")),"Recheck formula")</f>
        <v/>
      </c>
      <c r="C43" s="9" t="n"/>
      <c r="D43" s="9" t="n"/>
      <c r="E43" s="9" t="n"/>
      <c r="F43" s="9" t="n"/>
      <c r="G43" s="9" t="n"/>
      <c r="H43" s="9" t="n"/>
    </row>
    <row r="44">
      <c r="A44" s="9" t="inlineStr">
        <is>
          <t>Take home.hub c mean median gap</t>
        </is>
      </c>
      <c r="B44" s="9">
        <f>IFERROR(IF('POST-CLASS_Part 1'!B13="","Not started",IF(ABS('POST-CLASS_Part 1'!B13-(7.93704819277108))&lt;=0.0158740963855422,"✓ Checked","Recheck method")),"Recheck formula")</f>
        <v/>
      </c>
      <c r="C44" s="9" t="n"/>
      <c r="D44" s="9" t="n"/>
      <c r="E44" s="9" t="n"/>
      <c r="F44" s="9" t="n"/>
      <c r="G44" s="9" t="n"/>
      <c r="H44" s="9" t="n"/>
    </row>
    <row r="45">
      <c r="A45" s="9" t="inlineStr">
        <is>
          <t>Take home.hub c share above all P95</t>
        </is>
      </c>
      <c r="B45" s="9">
        <f>IFERROR(IF('POST-CLASS_Part 1'!B14="","Not started",IF(ABS('POST-CLASS_Part 1'!B14-(0.038855421686747))&lt;=0.0015,"✓ Checked","Recheck method")),"Recheck formula")</f>
        <v/>
      </c>
      <c r="C45" s="9" t="n"/>
      <c r="D45" s="9" t="n"/>
      <c r="E45" s="9" t="n"/>
      <c r="F45" s="9" t="n"/>
      <c r="G45" s="9" t="n"/>
      <c r="H45" s="9" t="n"/>
    </row>
    <row r="46">
      <c r="A46" s="9" t="n"/>
      <c r="B46" s="9" t="n"/>
      <c r="C46" s="9" t="n"/>
      <c r="D46" s="9" t="n"/>
      <c r="E46" s="9" t="n"/>
      <c r="F46" s="9" t="n"/>
      <c r="G46" s="9" t="n"/>
      <c r="H46" s="9" t="n"/>
    </row>
    <row r="47" ht="30" customHeight="1">
      <c r="A47" s="9" t="inlineStr">
        <is>
          <t>Formatting is already set. Enter your formula, then press Enter. To restore: select cell &gt; Format Cells &gt; Number or Custom.</t>
        </is>
      </c>
      <c r="B47" s="9" t="n"/>
      <c r="C47" s="9" t="n"/>
      <c r="D47" s="9" t="n"/>
      <c r="E47" s="9" t="n"/>
      <c r="F47" s="9" t="n"/>
      <c r="G47" s="9" t="n"/>
      <c r="H47" s="9" t="n"/>
    </row>
    <row r="48" ht="32" customHeight="1">
      <c r="A48" s="9" t="inlineStr">
        <is>
          <t>B7</t>
        </is>
      </c>
      <c r="B48" s="9" t="inlineStr">
        <is>
          <t>Number, 0 decimals, records; unrelated formatting example only: stored 7 displays as 7 records. This example is not an expected answer. | Format code: 0</t>
        </is>
      </c>
      <c r="C48" s="9" t="n"/>
      <c r="D48" s="9" t="n"/>
      <c r="E48" s="9" t="n"/>
      <c r="F48" s="9" t="n"/>
      <c r="G48" s="9" t="n"/>
      <c r="H48" s="9" t="n"/>
    </row>
    <row r="49" ht="32" customHeight="1">
      <c r="A49" s="9" t="inlineStr">
        <is>
          <t>B8</t>
        </is>
      </c>
      <c r="B49" s="9" t="inlineStr">
        <is>
          <t>Number, 1 decimal, minutes; unrelated formatting example only: stored 7.26 displays as 7.3 minutes. This example is not an expected answer. | Format code: 0.0</t>
        </is>
      </c>
      <c r="C49" s="9" t="n"/>
      <c r="D49" s="9" t="n"/>
      <c r="E49" s="9" t="n"/>
      <c r="F49" s="9" t="n"/>
      <c r="G49" s="9" t="n"/>
      <c r="H49" s="9" t="n"/>
    </row>
    <row r="50" ht="32" customHeight="1">
      <c r="A50" s="9" t="inlineStr">
        <is>
          <t>B9</t>
        </is>
      </c>
      <c r="B50" s="9" t="inlineStr">
        <is>
          <t>Number, 0 decimals, records; unrelated formatting example only: stored 7 displays as 7 records. This example is not an expected answer. | Format code: 0</t>
        </is>
      </c>
      <c r="C50" s="9" t="n"/>
      <c r="D50" s="9" t="n"/>
      <c r="E50" s="9" t="n"/>
      <c r="F50" s="9" t="n"/>
      <c r="G50" s="9" t="n"/>
      <c r="H50" s="9" t="n"/>
    </row>
    <row r="51" ht="32" customHeight="1">
      <c r="A51" s="9" t="inlineStr">
        <is>
          <t>B10</t>
        </is>
      </c>
      <c r="B51" s="9" t="inlineStr">
        <is>
          <t>Number, 1 decimal, minutes; unrelated formatting example only: stored 7.26 displays as 7.3 minutes. This example is not an expected answer. | Format code: 0.0</t>
        </is>
      </c>
      <c r="C51" s="9" t="n"/>
      <c r="D51" s="9" t="n"/>
      <c r="E51" s="9" t="n"/>
      <c r="F51" s="9" t="n"/>
      <c r="G51" s="9" t="n"/>
      <c r="H51" s="9" t="n"/>
    </row>
    <row r="52" ht="32" customHeight="1">
      <c r="A52" s="9" t="inlineStr">
        <is>
          <t>B11</t>
        </is>
      </c>
      <c r="B52" s="9" t="inlineStr">
        <is>
          <t>Number, 1 decimal, minutes; unrelated formatting example only: stored 7.26 displays as 7.3 minutes. This example is not an expected answer. | Format code: 0.0</t>
        </is>
      </c>
      <c r="C52" s="9" t="n"/>
      <c r="D52" s="9" t="n"/>
      <c r="E52" s="9" t="n"/>
      <c r="F52" s="9" t="n"/>
      <c r="G52" s="9" t="n"/>
      <c r="H52" s="9" t="n"/>
    </row>
    <row r="53" ht="32" customHeight="1">
      <c r="A53" s="9" t="inlineStr">
        <is>
          <t>B12</t>
        </is>
      </c>
      <c r="B53" s="9" t="inlineStr">
        <is>
          <t>Number, 1 decimal, minutes; unrelated formatting example only: stored 7.26 displays as 7.3 minutes. This example is not an expected answer. | Format code: 0.0</t>
        </is>
      </c>
      <c r="C53" s="9" t="n"/>
      <c r="D53" s="9" t="n"/>
      <c r="E53" s="9" t="n"/>
      <c r="F53" s="9" t="n"/>
      <c r="G53" s="9" t="n"/>
      <c r="H53" s="9" t="n"/>
    </row>
    <row r="54" ht="32" customHeight="1">
      <c r="A54" s="9" t="inlineStr">
        <is>
          <t>B13</t>
        </is>
      </c>
      <c r="B54" s="9" t="inlineStr">
        <is>
          <t>Number, 1 decimal, minutes; unrelated formatting example only: stored 7.26 displays as 7.3 minutes. This example is not an expected answer. | Format code: 0.0</t>
        </is>
      </c>
      <c r="C54" s="9" t="n"/>
      <c r="D54" s="9" t="n"/>
      <c r="E54" s="9" t="n"/>
      <c r="F54" s="9" t="n"/>
      <c r="G54" s="9" t="n"/>
      <c r="H54" s="9" t="n"/>
    </row>
    <row r="55" ht="32" customHeight="1">
      <c r="A55" s="9" t="inlineStr">
        <is>
          <t>B14</t>
        </is>
      </c>
      <c r="B55" s="9" t="inlineStr">
        <is>
          <t>Percentage, 1 decimal; unrelated formatting example only: stored 0.125 displays as 12.5%. Enter the fraction formula; do not multiply by 100. This example is not an expected answer. | Format code: 0.0%</t>
        </is>
      </c>
      <c r="C55" s="9" t="n"/>
      <c r="D55" s="9" t="n"/>
      <c r="E55" s="9" t="n"/>
      <c r="F55" s="9" t="n"/>
      <c r="G55" s="9" t="n"/>
      <c r="H55" s="9" t="n"/>
    </row>
    <row r="57" ht="36" customHeight="1">
      <c r="A57" t="inlineStr" s="39">
        <is>
          <t xml:space="preserve">⚠ Most common mistake: Writing that Hub C caused the delays, or reporting the B14 share without its denominator. These are descriptive summaries of one extract. Say "of Hub C's valid orders" and name what else could explain a gap.</t>
        </is>
      </c>
    </row>
  </sheetData>
  <mergeCells count="36">
    <mergeCell ref="B49:H49"/>
    <mergeCell ref="B55:H55"/>
    <mergeCell ref="C14:D14"/>
    <mergeCell ref="B21:H24"/>
    <mergeCell ref="E7:H7"/>
    <mergeCell ref="A1:H1"/>
    <mergeCell ref="B51:H51"/>
    <mergeCell ref="B50:H50"/>
    <mergeCell ref="C10:D10"/>
    <mergeCell ref="E12:H12"/>
    <mergeCell ref="B54:H54"/>
    <mergeCell ref="C9:D9"/>
    <mergeCell ref="E14:H14"/>
    <mergeCell ref="C12:D12"/>
    <mergeCell ref="A3:H3"/>
    <mergeCell ref="E8:H8"/>
    <mergeCell ref="B52:H52"/>
    <mergeCell ref="C11:D11"/>
    <mergeCell ref="A2:H2"/>
    <mergeCell ref="B48:H48"/>
    <mergeCell ref="A47:H47"/>
    <mergeCell ref="A5:H5"/>
    <mergeCell ref="B33:H34"/>
    <mergeCell ref="E10:H10"/>
    <mergeCell ref="C8:D8"/>
    <mergeCell ref="E13:H13"/>
    <mergeCell ref="A4:H4"/>
    <mergeCell ref="E9:H9"/>
    <mergeCell ref="C7:D7"/>
    <mergeCell ref="B53:H53"/>
    <mergeCell ref="B29:H31"/>
    <mergeCell ref="C13:D13"/>
    <mergeCell ref="E11:H11"/>
    <mergeCell ref="B26:H27"/>
    <mergeCell ref="B16:H19"/>
    <mergeCell ref="A57:H57"/>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L100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7" customWidth="1" min="6" max="6"/>
    <col width="68" customWidth="1" min="8" max="8"/>
    <col hidden="1" width="13" customWidth="1" min="10" max="10"/>
    <col hidden="1" width="13" customWidth="1" min="11" max="11"/>
    <col hidden="1" width="13" customWidth="1" min="12" max="12"/>
  </cols>
  <sheetData>
    <row r="1" ht="32" customHeight="1">
      <c r="A1" t="inlineStr">
        <is>
          <t>OrderID</t>
        </is>
      </c>
      <c r="B1" t="inlineStr">
        <is>
          <t>CustomerID</t>
        </is>
      </c>
      <c r="C1" t="inlineStr">
        <is>
          <t>OrderTier</t>
        </is>
      </c>
      <c r="D1" t="inlineStr">
        <is>
          <t>Hub</t>
        </is>
      </c>
      <c r="E1" t="inlineStr">
        <is>
          <t>Age_Years</t>
        </is>
      </c>
      <c r="F1" t="inlineStr">
        <is>
          <t>Latency_Minutes</t>
        </is>
      </c>
      <c r="H1" s="29" t="inlineStr">
        <is>
          <t>Shared data: orders_story.csv</t>
        </is>
      </c>
      <c r="J1" t="inlineStr">
        <is>
          <t>OrderTier is ratio-scale because its codes can be divided meaningfully.</t>
        </is>
      </c>
      <c r="K1" t="inlineStr">
        <is>
          <t>A mean above the median proves that Hub C caused the largest delays.</t>
        </is>
      </c>
      <c r="L1" t="inlineStr">
        <is>
          <t>Every value above the upper fence should be deleted before reporting latency.</t>
        </is>
      </c>
    </row>
    <row r="2" ht="32" customHeight="1">
      <c r="A2" t="inlineStr">
        <is>
          <t>ORD00001</t>
        </is>
      </c>
      <c r="B2" t="inlineStr">
        <is>
          <t>C0001</t>
        </is>
      </c>
      <c r="C2" t="n">
        <v>1</v>
      </c>
      <c r="D2" t="inlineStr">
        <is>
          <t>Hub A</t>
        </is>
      </c>
      <c r="E2" t="n">
        <v>25</v>
      </c>
      <c r="F2" t="n">
        <v>19</v>
      </c>
      <c r="H2" s="29" t="inlineStr">
        <is>
          <t>Excel: use the table on this sheet. SPSS: use the supplied .sps import.</t>
        </is>
      </c>
      <c r="J2" t="inlineStr">
        <is>
          <t>OrderTier is nominal because the three codes have no meaningful order.</t>
        </is>
      </c>
      <c r="K2" t="inlineStr">
        <is>
          <t>A mean above the median is consistent with an upper tail, but it does not identify a cause.</t>
        </is>
      </c>
      <c r="L2" t="inlineStr">
        <is>
          <t>A Tukey flag proves that a regional carrier caused the recorded delay.</t>
        </is>
      </c>
    </row>
    <row r="3" ht="32" customHeight="1">
      <c r="A3" t="inlineStr">
        <is>
          <t>ORD00002</t>
        </is>
      </c>
      <c r="B3" t="inlineStr">
        <is>
          <t>C0002</t>
        </is>
      </c>
      <c r="C3" t="n">
        <v>2</v>
      </c>
      <c r="D3" t="inlineStr">
        <is>
          <t>Hub A</t>
        </is>
      </c>
      <c r="E3" t="n">
        <v>32</v>
      </c>
      <c r="F3" t="n">
        <v>19</v>
      </c>
      <c r="H3" s="29" t="inlineStr">
        <is>
          <t>Python/R: read the matching CSV with the types and missing rules below.</t>
        </is>
      </c>
      <c r="J3" t="inlineStr">
        <is>
          <t>OrderTier is ordinal, so ranks and a median are admissible but an arithmetic mean is not.</t>
        </is>
      </c>
      <c r="K3" t="inlineStr">
        <is>
          <t>A mean above the median means every valid order exceeded the median.</t>
        </is>
      </c>
      <c r="L3" t="inlineStr">
        <is>
          <t>A value below the lower fence must be replaced with the median.</t>
        </is>
      </c>
    </row>
    <row r="4" ht="32" customHeight="1">
      <c r="A4" t="inlineStr">
        <is>
          <t>ORD00003</t>
        </is>
      </c>
      <c r="B4" t="inlineStr">
        <is>
          <t>C0003</t>
        </is>
      </c>
      <c r="C4" t="n">
        <v>3</v>
      </c>
      <c r="D4" t="inlineStr">
        <is>
          <t>Hub A</t>
        </is>
      </c>
      <c r="E4" t="n">
        <v>39</v>
      </c>
      <c r="F4" t="n">
        <v>19</v>
      </c>
      <c r="H4" s="29" t="inlineStr">
        <is>
          <t>OrderID | text | Unique identifier for one recorded order. | units: identifier | missing: blank []</t>
        </is>
      </c>
      <c r="J4" t="inlineStr">
        <is>
          <t>OrderTier is interval-scale because adjacent stored codes differ by one.</t>
        </is>
      </c>
      <c r="K4" t="inlineStr">
        <is>
          <t>A large sample standard deviation proves the latency distribution is normal.</t>
        </is>
      </c>
      <c r="L4" t="inlineStr">
        <is>
          <t>A Tukey flag identifies an unusual observation for investigation but does not establish invalidity or cause.</t>
        </is>
      </c>
    </row>
    <row r="5" ht="42" customHeight="1">
      <c r="A5" t="inlineStr">
        <is>
          <t>ORD00004</t>
        </is>
      </c>
      <c r="B5" t="inlineStr">
        <is>
          <t>C0004</t>
        </is>
      </c>
      <c r="C5" t="n">
        <v>1</v>
      </c>
      <c r="D5" t="inlineStr">
        <is>
          <t>Hub A</t>
        </is>
      </c>
      <c r="E5" t="n">
        <v>46</v>
      </c>
      <c r="F5" t="n">
        <v>19</v>
      </c>
      <c r="H5" s="29" t="inlineStr">
        <is>
          <t>CustomerID | text | Customer identifier; repeated values represent multiple recorded orders. | units: identifier | missing: blank []</t>
        </is>
      </c>
    </row>
    <row r="6" ht="42" customHeight="1">
      <c r="A6" t="inlineStr">
        <is>
          <t>ORD00005</t>
        </is>
      </c>
      <c r="B6" t="inlineStr">
        <is>
          <t>C0005</t>
        </is>
      </c>
      <c r="C6" t="n">
        <v>2</v>
      </c>
      <c r="D6" t="inlineStr">
        <is>
          <t>Hub A</t>
        </is>
      </c>
      <c r="E6" t="n">
        <v>53</v>
      </c>
      <c r="F6" t="n">
        <v>19</v>
      </c>
      <c r="H6" s="29" t="inlineStr">
        <is>
          <t>OrderTier | integer | Ordered service tier coded 1, 2 or 3; arithmetic means are not admissible. | units: ordinal tier | missing: blank []</t>
        </is>
      </c>
    </row>
    <row r="7" ht="32" customHeight="1">
      <c r="A7" t="inlineStr">
        <is>
          <t>ORD00006</t>
        </is>
      </c>
      <c r="B7" t="inlineStr">
        <is>
          <t>C0006</t>
        </is>
      </c>
      <c r="C7" t="n">
        <v>3</v>
      </c>
      <c r="D7" t="inlineStr">
        <is>
          <t>Hub A</t>
        </is>
      </c>
      <c r="E7" t="n">
        <v>60</v>
      </c>
      <c r="F7" t="n">
        <v>19</v>
      </c>
      <c r="H7" s="29" t="inlineStr">
        <is>
          <t>Hub | text | Regional fulfillment hub recorded as Hub A, Hub B or Hub C. | units: category | missing: blank []</t>
        </is>
      </c>
    </row>
    <row r="8" ht="42" customHeight="1">
      <c r="A8" t="inlineStr">
        <is>
          <t>ORD00007</t>
        </is>
      </c>
      <c r="B8" t="inlineStr">
        <is>
          <t>C0007</t>
        </is>
      </c>
      <c r="C8" t="n">
        <v>1</v>
      </c>
      <c r="D8" t="inlineStr">
        <is>
          <t>Hub A</t>
        </is>
      </c>
      <c r="E8" t="n">
        <v>67</v>
      </c>
      <c r="F8" t="n">
        <v>19</v>
      </c>
      <c r="H8" s="29" t="inlineStr">
        <is>
          <t>Age_Years | integer | Recorded customer age; -1 is a source sentinel and is missing only for age analysis. | units: years | missing: blank [-1]</t>
        </is>
      </c>
    </row>
    <row r="9" ht="42" customHeight="1">
      <c r="A9" t="inlineStr">
        <is>
          <t>ORD00008</t>
        </is>
      </c>
      <c r="B9" t="inlineStr">
        <is>
          <t>C0008</t>
        </is>
      </c>
      <c r="C9" t="n">
        <v>2</v>
      </c>
      <c r="D9" t="inlineStr">
        <is>
          <t>Hub A</t>
        </is>
      </c>
      <c r="E9" t="n">
        <v>74</v>
      </c>
      <c r="F9" t="n">
        <v>19</v>
      </c>
      <c r="H9" s="29" t="inlineStr">
        <is>
          <t>Latency_Minutes | number | Recorded fulfillment latency; 999 is a source sentinel and is missing only for latency analysis. | units: minutes | missing: blank [999]</t>
        </is>
      </c>
    </row>
    <row r="10">
      <c r="A10" t="inlineStr">
        <is>
          <t>ORD00009</t>
        </is>
      </c>
      <c r="B10" t="inlineStr">
        <is>
          <t>C0009</t>
        </is>
      </c>
      <c r="C10" t="n">
        <v>3</v>
      </c>
      <c r="D10" t="inlineStr">
        <is>
          <t>Hub A</t>
        </is>
      </c>
      <c r="E10" t="n">
        <v>21</v>
      </c>
      <c r="F10" t="n">
        <v>19</v>
      </c>
    </row>
    <row r="11">
      <c r="A11" t="inlineStr">
        <is>
          <t>ORD00010</t>
        </is>
      </c>
      <c r="B11" t="inlineStr">
        <is>
          <t>C0010</t>
        </is>
      </c>
      <c r="C11" t="n">
        <v>1</v>
      </c>
      <c r="D11" t="inlineStr">
        <is>
          <t>Hub A</t>
        </is>
      </c>
      <c r="E11" t="n">
        <v>28</v>
      </c>
      <c r="F11" t="n">
        <v>19</v>
      </c>
    </row>
    <row r="12">
      <c r="A12" t="inlineStr">
        <is>
          <t>ORD00011</t>
        </is>
      </c>
      <c r="B12" t="inlineStr">
        <is>
          <t>C0011</t>
        </is>
      </c>
      <c r="C12" t="n">
        <v>2</v>
      </c>
      <c r="D12" t="inlineStr">
        <is>
          <t>Hub A</t>
        </is>
      </c>
      <c r="E12" t="n">
        <v>35</v>
      </c>
      <c r="F12" t="n">
        <v>19</v>
      </c>
    </row>
    <row r="13">
      <c r="A13" t="inlineStr">
        <is>
          <t>ORD00012</t>
        </is>
      </c>
      <c r="B13" t="inlineStr">
        <is>
          <t>C0012</t>
        </is>
      </c>
      <c r="C13" t="n">
        <v>3</v>
      </c>
      <c r="D13" t="inlineStr">
        <is>
          <t>Hub A</t>
        </is>
      </c>
      <c r="E13" t="n">
        <v>42</v>
      </c>
      <c r="F13" t="n">
        <v>19</v>
      </c>
    </row>
    <row r="14">
      <c r="A14" t="inlineStr">
        <is>
          <t>ORD00013</t>
        </is>
      </c>
      <c r="B14" t="inlineStr">
        <is>
          <t>C0013</t>
        </is>
      </c>
      <c r="C14" t="n">
        <v>1</v>
      </c>
      <c r="D14" t="inlineStr">
        <is>
          <t>Hub A</t>
        </is>
      </c>
      <c r="E14" t="n">
        <v>49</v>
      </c>
      <c r="F14" t="n">
        <v>19</v>
      </c>
    </row>
    <row r="15">
      <c r="A15" t="inlineStr">
        <is>
          <t>ORD00014</t>
        </is>
      </c>
      <c r="B15" t="inlineStr">
        <is>
          <t>C0014</t>
        </is>
      </c>
      <c r="C15" t="n">
        <v>2</v>
      </c>
      <c r="D15" t="inlineStr">
        <is>
          <t>Hub A</t>
        </is>
      </c>
      <c r="E15" t="n">
        <v>56</v>
      </c>
      <c r="F15" t="n">
        <v>19</v>
      </c>
    </row>
    <row r="16">
      <c r="A16" t="inlineStr">
        <is>
          <t>ORD00015</t>
        </is>
      </c>
      <c r="B16" t="inlineStr">
        <is>
          <t>C0015</t>
        </is>
      </c>
      <c r="C16" t="n">
        <v>3</v>
      </c>
      <c r="D16" t="inlineStr">
        <is>
          <t>Hub A</t>
        </is>
      </c>
      <c r="E16" t="n">
        <v>63</v>
      </c>
      <c r="F16" t="n">
        <v>19</v>
      </c>
    </row>
    <row r="17">
      <c r="A17" t="inlineStr">
        <is>
          <t>ORD00016</t>
        </is>
      </c>
      <c r="B17" t="inlineStr">
        <is>
          <t>C0016</t>
        </is>
      </c>
      <c r="C17" t="n">
        <v>1</v>
      </c>
      <c r="D17" t="inlineStr">
        <is>
          <t>Hub A</t>
        </is>
      </c>
      <c r="E17" t="n">
        <v>70</v>
      </c>
      <c r="F17" t="n">
        <v>19</v>
      </c>
    </row>
    <row r="18">
      <c r="A18" t="inlineStr">
        <is>
          <t>ORD00017</t>
        </is>
      </c>
      <c r="B18" t="inlineStr">
        <is>
          <t>C0017</t>
        </is>
      </c>
      <c r="C18" t="n">
        <v>2</v>
      </c>
      <c r="D18" t="inlineStr">
        <is>
          <t>Hub A</t>
        </is>
      </c>
      <c r="E18" t="n">
        <v>77</v>
      </c>
      <c r="F18" t="n">
        <v>19</v>
      </c>
    </row>
    <row r="19">
      <c r="A19" t="inlineStr">
        <is>
          <t>ORD00018</t>
        </is>
      </c>
      <c r="B19" t="inlineStr">
        <is>
          <t>C0018</t>
        </is>
      </c>
      <c r="C19" t="n">
        <v>3</v>
      </c>
      <c r="D19" t="inlineStr">
        <is>
          <t>Hub A</t>
        </is>
      </c>
      <c r="E19" t="n">
        <v>24</v>
      </c>
      <c r="F19" t="n">
        <v>19</v>
      </c>
    </row>
    <row r="20">
      <c r="A20" t="inlineStr">
        <is>
          <t>ORD00019</t>
        </is>
      </c>
      <c r="B20" t="inlineStr">
        <is>
          <t>C0019</t>
        </is>
      </c>
      <c r="C20" t="n">
        <v>1</v>
      </c>
      <c r="D20" t="inlineStr">
        <is>
          <t>Hub A</t>
        </is>
      </c>
      <c r="E20" t="n">
        <v>31</v>
      </c>
      <c r="F20" t="n">
        <v>19</v>
      </c>
    </row>
    <row r="21">
      <c r="A21" t="inlineStr">
        <is>
          <t>ORD00020</t>
        </is>
      </c>
      <c r="B21" t="inlineStr">
        <is>
          <t>C0020</t>
        </is>
      </c>
      <c r="C21" t="n">
        <v>2</v>
      </c>
      <c r="D21" t="inlineStr">
        <is>
          <t>Hub A</t>
        </is>
      </c>
      <c r="E21" t="n">
        <v>38</v>
      </c>
      <c r="F21" t="n">
        <v>19</v>
      </c>
    </row>
    <row r="22">
      <c r="A22" t="inlineStr">
        <is>
          <t>ORD00021</t>
        </is>
      </c>
      <c r="B22" t="inlineStr">
        <is>
          <t>C0021</t>
        </is>
      </c>
      <c r="C22" t="n">
        <v>3</v>
      </c>
      <c r="D22" t="inlineStr">
        <is>
          <t>Hub A</t>
        </is>
      </c>
      <c r="E22" t="n">
        <v>45</v>
      </c>
      <c r="F22" t="n">
        <v>19</v>
      </c>
    </row>
    <row r="23">
      <c r="A23" t="inlineStr">
        <is>
          <t>ORD00022</t>
        </is>
      </c>
      <c r="B23" t="inlineStr">
        <is>
          <t>C0022</t>
        </is>
      </c>
      <c r="C23" t="n">
        <v>1</v>
      </c>
      <c r="D23" t="inlineStr">
        <is>
          <t>Hub A</t>
        </is>
      </c>
      <c r="E23" t="n">
        <v>52</v>
      </c>
      <c r="F23" t="n">
        <v>19</v>
      </c>
    </row>
    <row r="24">
      <c r="A24" t="inlineStr">
        <is>
          <t>ORD00023</t>
        </is>
      </c>
      <c r="B24" t="inlineStr">
        <is>
          <t>C0023</t>
        </is>
      </c>
      <c r="C24" t="n">
        <v>2</v>
      </c>
      <c r="D24" t="inlineStr">
        <is>
          <t>Hub A</t>
        </is>
      </c>
      <c r="E24" t="n">
        <v>59</v>
      </c>
      <c r="F24" t="n">
        <v>19</v>
      </c>
    </row>
    <row r="25">
      <c r="A25" t="inlineStr">
        <is>
          <t>ORD00024</t>
        </is>
      </c>
      <c r="B25" t="inlineStr">
        <is>
          <t>C0024</t>
        </is>
      </c>
      <c r="C25" t="n">
        <v>3</v>
      </c>
      <c r="D25" t="inlineStr">
        <is>
          <t>Hub A</t>
        </is>
      </c>
      <c r="E25" t="n">
        <v>66</v>
      </c>
      <c r="F25" t="n">
        <v>19</v>
      </c>
    </row>
    <row r="26">
      <c r="A26" t="inlineStr">
        <is>
          <t>ORD00025</t>
        </is>
      </c>
      <c r="B26" t="inlineStr">
        <is>
          <t>C0025</t>
        </is>
      </c>
      <c r="C26" t="n">
        <v>1</v>
      </c>
      <c r="D26" t="inlineStr">
        <is>
          <t>Hub A</t>
        </is>
      </c>
      <c r="E26" t="n">
        <v>73</v>
      </c>
      <c r="F26" t="n">
        <v>19</v>
      </c>
    </row>
    <row r="27">
      <c r="A27" t="inlineStr">
        <is>
          <t>ORD00026</t>
        </is>
      </c>
      <c r="B27" t="inlineStr">
        <is>
          <t>C0026</t>
        </is>
      </c>
      <c r="C27" t="n">
        <v>2</v>
      </c>
      <c r="D27" t="inlineStr">
        <is>
          <t>Hub A</t>
        </is>
      </c>
      <c r="E27" t="n">
        <v>20</v>
      </c>
      <c r="F27" t="n">
        <v>19</v>
      </c>
    </row>
    <row r="28">
      <c r="A28" t="inlineStr">
        <is>
          <t>ORD00027</t>
        </is>
      </c>
      <c r="B28" t="inlineStr">
        <is>
          <t>C0027</t>
        </is>
      </c>
      <c r="C28" t="n">
        <v>3</v>
      </c>
      <c r="D28" t="inlineStr">
        <is>
          <t>Hub A</t>
        </is>
      </c>
      <c r="E28" t="n">
        <v>27</v>
      </c>
      <c r="F28" t="n">
        <v>19</v>
      </c>
    </row>
    <row r="29">
      <c r="A29" t="inlineStr">
        <is>
          <t>ORD00028</t>
        </is>
      </c>
      <c r="B29" t="inlineStr">
        <is>
          <t>C0028</t>
        </is>
      </c>
      <c r="C29" t="n">
        <v>1</v>
      </c>
      <c r="D29" t="inlineStr">
        <is>
          <t>Hub A</t>
        </is>
      </c>
      <c r="E29" t="n">
        <v>34</v>
      </c>
      <c r="F29" t="n">
        <v>19</v>
      </c>
    </row>
    <row r="30">
      <c r="A30" t="inlineStr">
        <is>
          <t>ORD00029</t>
        </is>
      </c>
      <c r="B30" t="inlineStr">
        <is>
          <t>C0029</t>
        </is>
      </c>
      <c r="C30" t="n">
        <v>2</v>
      </c>
      <c r="D30" t="inlineStr">
        <is>
          <t>Hub A</t>
        </is>
      </c>
      <c r="E30" t="n">
        <v>41</v>
      </c>
      <c r="F30" t="n">
        <v>19</v>
      </c>
    </row>
    <row r="31">
      <c r="A31" t="inlineStr">
        <is>
          <t>ORD00030</t>
        </is>
      </c>
      <c r="B31" t="inlineStr">
        <is>
          <t>C0030</t>
        </is>
      </c>
      <c r="C31" t="n">
        <v>3</v>
      </c>
      <c r="D31" t="inlineStr">
        <is>
          <t>Hub A</t>
        </is>
      </c>
      <c r="E31" t="n">
        <v>48</v>
      </c>
      <c r="F31" t="n">
        <v>19</v>
      </c>
    </row>
    <row r="32">
      <c r="A32" t="inlineStr">
        <is>
          <t>ORD00031</t>
        </is>
      </c>
      <c r="B32" t="inlineStr">
        <is>
          <t>C0031</t>
        </is>
      </c>
      <c r="C32" t="n">
        <v>1</v>
      </c>
      <c r="D32" t="inlineStr">
        <is>
          <t>Hub A</t>
        </is>
      </c>
      <c r="E32" t="n">
        <v>55</v>
      </c>
      <c r="F32" t="n">
        <v>19</v>
      </c>
    </row>
    <row r="33">
      <c r="A33" t="inlineStr">
        <is>
          <t>ORD00032</t>
        </is>
      </c>
      <c r="B33" t="inlineStr">
        <is>
          <t>C0032</t>
        </is>
      </c>
      <c r="C33" t="n">
        <v>2</v>
      </c>
      <c r="D33" t="inlineStr">
        <is>
          <t>Hub A</t>
        </is>
      </c>
      <c r="E33" t="n">
        <v>62</v>
      </c>
      <c r="F33" t="n">
        <v>19</v>
      </c>
    </row>
    <row r="34">
      <c r="A34" t="inlineStr">
        <is>
          <t>ORD00033</t>
        </is>
      </c>
      <c r="B34" t="inlineStr">
        <is>
          <t>C0033</t>
        </is>
      </c>
      <c r="C34" t="n">
        <v>3</v>
      </c>
      <c r="D34" t="inlineStr">
        <is>
          <t>Hub A</t>
        </is>
      </c>
      <c r="E34" t="n">
        <v>69</v>
      </c>
      <c r="F34" t="n">
        <v>19</v>
      </c>
    </row>
    <row r="35">
      <c r="A35" t="inlineStr">
        <is>
          <t>ORD00034</t>
        </is>
      </c>
      <c r="B35" t="inlineStr">
        <is>
          <t>C0034</t>
        </is>
      </c>
      <c r="C35" t="n">
        <v>1</v>
      </c>
      <c r="D35" t="inlineStr">
        <is>
          <t>Hub A</t>
        </is>
      </c>
      <c r="E35" t="n">
        <v>76</v>
      </c>
      <c r="F35" t="n">
        <v>19</v>
      </c>
    </row>
    <row r="36">
      <c r="A36" t="inlineStr">
        <is>
          <t>ORD00035</t>
        </is>
      </c>
      <c r="B36" t="inlineStr">
        <is>
          <t>C0035</t>
        </is>
      </c>
      <c r="C36" t="n">
        <v>2</v>
      </c>
      <c r="D36" t="inlineStr">
        <is>
          <t>Hub A</t>
        </is>
      </c>
      <c r="E36" t="n">
        <v>23</v>
      </c>
      <c r="F36" t="n">
        <v>19</v>
      </c>
    </row>
    <row r="37">
      <c r="A37" t="inlineStr">
        <is>
          <t>ORD00036</t>
        </is>
      </c>
      <c r="B37" t="inlineStr">
        <is>
          <t>C0036</t>
        </is>
      </c>
      <c r="C37" t="n">
        <v>3</v>
      </c>
      <c r="D37" t="inlineStr">
        <is>
          <t>Hub A</t>
        </is>
      </c>
      <c r="E37" t="n">
        <v>30</v>
      </c>
      <c r="F37" t="n">
        <v>19</v>
      </c>
    </row>
    <row r="38">
      <c r="A38" t="inlineStr">
        <is>
          <t>ORD00037</t>
        </is>
      </c>
      <c r="B38" t="inlineStr">
        <is>
          <t>C0037</t>
        </is>
      </c>
      <c r="C38" t="n">
        <v>1</v>
      </c>
      <c r="D38" t="inlineStr">
        <is>
          <t>Hub A</t>
        </is>
      </c>
      <c r="E38" t="n">
        <v>37</v>
      </c>
      <c r="F38" t="n">
        <v>19</v>
      </c>
    </row>
    <row r="39">
      <c r="A39" t="inlineStr">
        <is>
          <t>ORD00038</t>
        </is>
      </c>
      <c r="B39" t="inlineStr">
        <is>
          <t>C0038</t>
        </is>
      </c>
      <c r="C39" t="n">
        <v>2</v>
      </c>
      <c r="D39" t="inlineStr">
        <is>
          <t>Hub A</t>
        </is>
      </c>
      <c r="E39" t="n">
        <v>44</v>
      </c>
      <c r="F39" t="n">
        <v>19</v>
      </c>
    </row>
    <row r="40">
      <c r="A40" t="inlineStr">
        <is>
          <t>ORD00039</t>
        </is>
      </c>
      <c r="B40" t="inlineStr">
        <is>
          <t>C0039</t>
        </is>
      </c>
      <c r="C40" t="n">
        <v>3</v>
      </c>
      <c r="D40" t="inlineStr">
        <is>
          <t>Hub A</t>
        </is>
      </c>
      <c r="E40" t="n">
        <v>51</v>
      </c>
      <c r="F40" t="n">
        <v>19</v>
      </c>
    </row>
    <row r="41">
      <c r="A41" t="inlineStr">
        <is>
          <t>ORD00040</t>
        </is>
      </c>
      <c r="B41" t="inlineStr">
        <is>
          <t>C0040</t>
        </is>
      </c>
      <c r="C41" t="n">
        <v>1</v>
      </c>
      <c r="D41" t="inlineStr">
        <is>
          <t>Hub A</t>
        </is>
      </c>
      <c r="E41" t="n">
        <v>58</v>
      </c>
      <c r="F41" t="n">
        <v>19</v>
      </c>
    </row>
    <row r="42">
      <c r="A42" t="inlineStr">
        <is>
          <t>ORD00041</t>
        </is>
      </c>
      <c r="B42" t="inlineStr">
        <is>
          <t>C0041</t>
        </is>
      </c>
      <c r="C42" t="n">
        <v>2</v>
      </c>
      <c r="D42" t="inlineStr">
        <is>
          <t>Hub A</t>
        </is>
      </c>
      <c r="E42" t="n">
        <v>65</v>
      </c>
      <c r="F42" t="n">
        <v>19</v>
      </c>
    </row>
    <row r="43">
      <c r="A43" t="inlineStr">
        <is>
          <t>ORD00042</t>
        </is>
      </c>
      <c r="B43" t="inlineStr">
        <is>
          <t>C0042</t>
        </is>
      </c>
      <c r="C43" t="n">
        <v>3</v>
      </c>
      <c r="D43" t="inlineStr">
        <is>
          <t>Hub A</t>
        </is>
      </c>
      <c r="E43" t="n">
        <v>72</v>
      </c>
      <c r="F43" t="n">
        <v>19</v>
      </c>
    </row>
    <row r="44">
      <c r="A44" t="inlineStr">
        <is>
          <t>ORD00043</t>
        </is>
      </c>
      <c r="B44" t="inlineStr">
        <is>
          <t>C0043</t>
        </is>
      </c>
      <c r="C44" t="n">
        <v>1</v>
      </c>
      <c r="D44" t="inlineStr">
        <is>
          <t>Hub A</t>
        </is>
      </c>
      <c r="E44" t="n">
        <v>19</v>
      </c>
      <c r="F44" t="n">
        <v>19</v>
      </c>
    </row>
    <row r="45">
      <c r="A45" t="inlineStr">
        <is>
          <t>ORD00044</t>
        </is>
      </c>
      <c r="B45" t="inlineStr">
        <is>
          <t>C0044</t>
        </is>
      </c>
      <c r="C45" t="n">
        <v>2</v>
      </c>
      <c r="D45" t="inlineStr">
        <is>
          <t>Hub A</t>
        </is>
      </c>
      <c r="E45" t="n">
        <v>26</v>
      </c>
      <c r="F45" t="n">
        <v>19</v>
      </c>
    </row>
    <row r="46">
      <c r="A46" t="inlineStr">
        <is>
          <t>ORD00045</t>
        </is>
      </c>
      <c r="B46" t="inlineStr">
        <is>
          <t>C0045</t>
        </is>
      </c>
      <c r="C46" t="n">
        <v>3</v>
      </c>
      <c r="D46" t="inlineStr">
        <is>
          <t>Hub A</t>
        </is>
      </c>
      <c r="E46" t="n">
        <v>33</v>
      </c>
      <c r="F46" t="n">
        <v>19</v>
      </c>
    </row>
    <row r="47">
      <c r="A47" t="inlineStr">
        <is>
          <t>ORD00046</t>
        </is>
      </c>
      <c r="B47" t="inlineStr">
        <is>
          <t>C0046</t>
        </is>
      </c>
      <c r="C47" t="n">
        <v>1</v>
      </c>
      <c r="D47" t="inlineStr">
        <is>
          <t>Hub A</t>
        </is>
      </c>
      <c r="E47" t="n">
        <v>40</v>
      </c>
      <c r="F47" t="n">
        <v>19</v>
      </c>
    </row>
    <row r="48">
      <c r="A48" t="inlineStr">
        <is>
          <t>ORD00047</t>
        </is>
      </c>
      <c r="B48" t="inlineStr">
        <is>
          <t>C0047</t>
        </is>
      </c>
      <c r="C48" t="n">
        <v>2</v>
      </c>
      <c r="D48" t="inlineStr">
        <is>
          <t>Hub A</t>
        </is>
      </c>
      <c r="E48" t="n">
        <v>47</v>
      </c>
      <c r="F48" t="n">
        <v>19</v>
      </c>
    </row>
    <row r="49">
      <c r="A49" t="inlineStr">
        <is>
          <t>ORD00048</t>
        </is>
      </c>
      <c r="B49" t="inlineStr">
        <is>
          <t>C0048</t>
        </is>
      </c>
      <c r="C49" t="n">
        <v>3</v>
      </c>
      <c r="D49" t="inlineStr">
        <is>
          <t>Hub A</t>
        </is>
      </c>
      <c r="E49" t="n">
        <v>54</v>
      </c>
      <c r="F49" t="n">
        <v>19</v>
      </c>
    </row>
    <row r="50">
      <c r="A50" t="inlineStr">
        <is>
          <t>ORD00049</t>
        </is>
      </c>
      <c r="B50" t="inlineStr">
        <is>
          <t>C0049</t>
        </is>
      </c>
      <c r="C50" t="n">
        <v>1</v>
      </c>
      <c r="D50" t="inlineStr">
        <is>
          <t>Hub A</t>
        </is>
      </c>
      <c r="E50" t="n">
        <v>61</v>
      </c>
      <c r="F50" t="n">
        <v>19</v>
      </c>
    </row>
    <row r="51">
      <c r="A51" t="inlineStr">
        <is>
          <t>ORD00050</t>
        </is>
      </c>
      <c r="B51" t="inlineStr">
        <is>
          <t>C0050</t>
        </is>
      </c>
      <c r="C51" t="n">
        <v>2</v>
      </c>
      <c r="D51" t="inlineStr">
        <is>
          <t>Hub A</t>
        </is>
      </c>
      <c r="E51" t="n">
        <v>68</v>
      </c>
      <c r="F51" t="n">
        <v>19</v>
      </c>
    </row>
    <row r="52">
      <c r="A52" t="inlineStr">
        <is>
          <t>ORD00051</t>
        </is>
      </c>
      <c r="B52" t="inlineStr">
        <is>
          <t>C0051</t>
        </is>
      </c>
      <c r="C52" t="n">
        <v>3</v>
      </c>
      <c r="D52" t="inlineStr">
        <is>
          <t>Hub A</t>
        </is>
      </c>
      <c r="E52" t="n">
        <v>75</v>
      </c>
      <c r="F52" t="n">
        <v>19</v>
      </c>
    </row>
    <row r="53">
      <c r="A53" t="inlineStr">
        <is>
          <t>ORD00052</t>
        </is>
      </c>
      <c r="B53" t="inlineStr">
        <is>
          <t>C0052</t>
        </is>
      </c>
      <c r="C53" t="n">
        <v>1</v>
      </c>
      <c r="D53" t="inlineStr">
        <is>
          <t>Hub A</t>
        </is>
      </c>
      <c r="E53" t="n">
        <v>22</v>
      </c>
      <c r="F53" t="n">
        <v>19</v>
      </c>
    </row>
    <row r="54">
      <c r="A54" t="inlineStr">
        <is>
          <t>ORD00053</t>
        </is>
      </c>
      <c r="B54" t="inlineStr">
        <is>
          <t>C0053</t>
        </is>
      </c>
      <c r="C54" t="n">
        <v>2</v>
      </c>
      <c r="D54" t="inlineStr">
        <is>
          <t>Hub A</t>
        </is>
      </c>
      <c r="E54" t="n">
        <v>29</v>
      </c>
      <c r="F54" t="n">
        <v>19</v>
      </c>
    </row>
    <row r="55">
      <c r="A55" t="inlineStr">
        <is>
          <t>ORD00054</t>
        </is>
      </c>
      <c r="B55" t="inlineStr">
        <is>
          <t>C0054</t>
        </is>
      </c>
      <c r="C55" t="n">
        <v>3</v>
      </c>
      <c r="D55" t="inlineStr">
        <is>
          <t>Hub A</t>
        </is>
      </c>
      <c r="E55" t="n">
        <v>36</v>
      </c>
      <c r="F55" t="n">
        <v>19</v>
      </c>
    </row>
    <row r="56">
      <c r="A56" t="inlineStr">
        <is>
          <t>ORD00055</t>
        </is>
      </c>
      <c r="B56" t="inlineStr">
        <is>
          <t>C0055</t>
        </is>
      </c>
      <c r="C56" t="n">
        <v>1</v>
      </c>
      <c r="D56" t="inlineStr">
        <is>
          <t>Hub A</t>
        </is>
      </c>
      <c r="E56" t="n">
        <v>43</v>
      </c>
      <c r="F56" t="n">
        <v>19</v>
      </c>
    </row>
    <row r="57">
      <c r="A57" t="inlineStr">
        <is>
          <t>ORD00056</t>
        </is>
      </c>
      <c r="B57" t="inlineStr">
        <is>
          <t>C0056</t>
        </is>
      </c>
      <c r="C57" t="n">
        <v>2</v>
      </c>
      <c r="D57" t="inlineStr">
        <is>
          <t>Hub A</t>
        </is>
      </c>
      <c r="E57" t="n">
        <v>50</v>
      </c>
      <c r="F57" t="n">
        <v>19</v>
      </c>
    </row>
    <row r="58">
      <c r="A58" t="inlineStr">
        <is>
          <t>ORD00057</t>
        </is>
      </c>
      <c r="B58" t="inlineStr">
        <is>
          <t>C0057</t>
        </is>
      </c>
      <c r="C58" t="n">
        <v>3</v>
      </c>
      <c r="D58" t="inlineStr">
        <is>
          <t>Hub A</t>
        </is>
      </c>
      <c r="E58" t="n">
        <v>57</v>
      </c>
      <c r="F58" t="n">
        <v>19</v>
      </c>
    </row>
    <row r="59">
      <c r="A59" t="inlineStr">
        <is>
          <t>ORD00058</t>
        </is>
      </c>
      <c r="B59" t="inlineStr">
        <is>
          <t>C0058</t>
        </is>
      </c>
      <c r="C59" t="n">
        <v>1</v>
      </c>
      <c r="D59" t="inlineStr">
        <is>
          <t>Hub A</t>
        </is>
      </c>
      <c r="E59" t="n">
        <v>64</v>
      </c>
      <c r="F59" t="n">
        <v>19</v>
      </c>
    </row>
    <row r="60">
      <c r="A60" t="inlineStr">
        <is>
          <t>ORD00059</t>
        </is>
      </c>
      <c r="B60" t="inlineStr">
        <is>
          <t>C0059</t>
        </is>
      </c>
      <c r="C60" t="n">
        <v>2</v>
      </c>
      <c r="D60" t="inlineStr">
        <is>
          <t>Hub A</t>
        </is>
      </c>
      <c r="E60" t="n">
        <v>71</v>
      </c>
      <c r="F60" t="n">
        <v>19</v>
      </c>
    </row>
    <row r="61">
      <c r="A61" t="inlineStr">
        <is>
          <t>ORD00060</t>
        </is>
      </c>
      <c r="B61" t="inlineStr">
        <is>
          <t>C0060</t>
        </is>
      </c>
      <c r="C61" t="n">
        <v>3</v>
      </c>
      <c r="D61" t="inlineStr">
        <is>
          <t>Hub A</t>
        </is>
      </c>
      <c r="E61" t="n">
        <v>18</v>
      </c>
      <c r="F61" t="n">
        <v>19</v>
      </c>
    </row>
    <row r="62">
      <c r="A62" t="inlineStr">
        <is>
          <t>ORD00061</t>
        </is>
      </c>
      <c r="B62" t="inlineStr">
        <is>
          <t>C0061</t>
        </is>
      </c>
      <c r="C62" t="n">
        <v>1</v>
      </c>
      <c r="D62" t="inlineStr">
        <is>
          <t>Hub A</t>
        </is>
      </c>
      <c r="E62" t="n">
        <v>25</v>
      </c>
      <c r="F62" t="n">
        <v>19</v>
      </c>
    </row>
    <row r="63">
      <c r="A63" t="inlineStr">
        <is>
          <t>ORD00062</t>
        </is>
      </c>
      <c r="B63" t="inlineStr">
        <is>
          <t>C0062</t>
        </is>
      </c>
      <c r="C63" t="n">
        <v>2</v>
      </c>
      <c r="D63" t="inlineStr">
        <is>
          <t>Hub A</t>
        </is>
      </c>
      <c r="E63" t="n">
        <v>32</v>
      </c>
      <c r="F63" t="n">
        <v>19</v>
      </c>
    </row>
    <row r="64">
      <c r="A64" t="inlineStr">
        <is>
          <t>ORD00063</t>
        </is>
      </c>
      <c r="B64" t="inlineStr">
        <is>
          <t>C0063</t>
        </is>
      </c>
      <c r="C64" t="n">
        <v>3</v>
      </c>
      <c r="D64" t="inlineStr">
        <is>
          <t>Hub A</t>
        </is>
      </c>
      <c r="E64" t="n">
        <v>39</v>
      </c>
      <c r="F64" t="n">
        <v>19</v>
      </c>
    </row>
    <row r="65">
      <c r="A65" t="inlineStr">
        <is>
          <t>ORD00064</t>
        </is>
      </c>
      <c r="B65" t="inlineStr">
        <is>
          <t>C0064</t>
        </is>
      </c>
      <c r="C65" t="n">
        <v>1</v>
      </c>
      <c r="D65" t="inlineStr">
        <is>
          <t>Hub A</t>
        </is>
      </c>
      <c r="E65" t="n">
        <v>46</v>
      </c>
      <c r="F65" t="n">
        <v>19</v>
      </c>
    </row>
    <row r="66">
      <c r="A66" t="inlineStr">
        <is>
          <t>ORD00065</t>
        </is>
      </c>
      <c r="B66" t="inlineStr">
        <is>
          <t>C0065</t>
        </is>
      </c>
      <c r="C66" t="n">
        <v>2</v>
      </c>
      <c r="D66" t="inlineStr">
        <is>
          <t>Hub A</t>
        </is>
      </c>
      <c r="E66" t="n">
        <v>53</v>
      </c>
      <c r="F66" t="n">
        <v>19</v>
      </c>
    </row>
    <row r="67">
      <c r="A67" t="inlineStr">
        <is>
          <t>ORD00066</t>
        </is>
      </c>
      <c r="B67" t="inlineStr">
        <is>
          <t>C0066</t>
        </is>
      </c>
      <c r="C67" t="n">
        <v>3</v>
      </c>
      <c r="D67" t="inlineStr">
        <is>
          <t>Hub A</t>
        </is>
      </c>
      <c r="E67" t="n">
        <v>60</v>
      </c>
      <c r="F67" t="n">
        <v>19</v>
      </c>
    </row>
    <row r="68">
      <c r="A68" t="inlineStr">
        <is>
          <t>ORD00067</t>
        </is>
      </c>
      <c r="B68" t="inlineStr">
        <is>
          <t>C0067</t>
        </is>
      </c>
      <c r="C68" t="n">
        <v>1</v>
      </c>
      <c r="D68" t="inlineStr">
        <is>
          <t>Hub A</t>
        </is>
      </c>
      <c r="E68" t="n">
        <v>67</v>
      </c>
      <c r="F68" t="n">
        <v>19</v>
      </c>
    </row>
    <row r="69">
      <c r="A69" t="inlineStr">
        <is>
          <t>ORD00068</t>
        </is>
      </c>
      <c r="B69" t="inlineStr">
        <is>
          <t>C0068</t>
        </is>
      </c>
      <c r="C69" t="n">
        <v>2</v>
      </c>
      <c r="D69" t="inlineStr">
        <is>
          <t>Hub A</t>
        </is>
      </c>
      <c r="E69" t="n">
        <v>74</v>
      </c>
      <c r="F69" t="n">
        <v>19</v>
      </c>
    </row>
    <row r="70">
      <c r="A70" t="inlineStr">
        <is>
          <t>ORD00069</t>
        </is>
      </c>
      <c r="B70" t="inlineStr">
        <is>
          <t>C0069</t>
        </is>
      </c>
      <c r="C70" t="n">
        <v>3</v>
      </c>
      <c r="D70" t="inlineStr">
        <is>
          <t>Hub A</t>
        </is>
      </c>
      <c r="E70" t="n">
        <v>21</v>
      </c>
      <c r="F70" t="n">
        <v>19</v>
      </c>
    </row>
    <row r="71">
      <c r="A71" t="inlineStr">
        <is>
          <t>ORD00070</t>
        </is>
      </c>
      <c r="B71" t="inlineStr">
        <is>
          <t>C0070</t>
        </is>
      </c>
      <c r="C71" t="n">
        <v>1</v>
      </c>
      <c r="D71" t="inlineStr">
        <is>
          <t>Hub A</t>
        </is>
      </c>
      <c r="E71" t="n">
        <v>28</v>
      </c>
      <c r="F71" t="n">
        <v>19</v>
      </c>
    </row>
    <row r="72">
      <c r="A72" t="inlineStr">
        <is>
          <t>ORD00071</t>
        </is>
      </c>
      <c r="B72" t="inlineStr">
        <is>
          <t>C0071</t>
        </is>
      </c>
      <c r="C72" t="n">
        <v>2</v>
      </c>
      <c r="D72" t="inlineStr">
        <is>
          <t>Hub A</t>
        </is>
      </c>
      <c r="E72" t="n">
        <v>35</v>
      </c>
      <c r="F72" t="n">
        <v>19</v>
      </c>
    </row>
    <row r="73">
      <c r="A73" t="inlineStr">
        <is>
          <t>ORD00072</t>
        </is>
      </c>
      <c r="B73" t="inlineStr">
        <is>
          <t>C0072</t>
        </is>
      </c>
      <c r="C73" t="n">
        <v>3</v>
      </c>
      <c r="D73" t="inlineStr">
        <is>
          <t>Hub A</t>
        </is>
      </c>
      <c r="E73" t="n">
        <v>42</v>
      </c>
      <c r="F73" t="n">
        <v>19</v>
      </c>
    </row>
    <row r="74">
      <c r="A74" t="inlineStr">
        <is>
          <t>ORD00073</t>
        </is>
      </c>
      <c r="B74" t="inlineStr">
        <is>
          <t>C0073</t>
        </is>
      </c>
      <c r="C74" t="n">
        <v>1</v>
      </c>
      <c r="D74" t="inlineStr">
        <is>
          <t>Hub A</t>
        </is>
      </c>
      <c r="E74" t="n">
        <v>49</v>
      </c>
      <c r="F74" t="n">
        <v>19</v>
      </c>
    </row>
    <row r="75">
      <c r="A75" t="inlineStr">
        <is>
          <t>ORD00074</t>
        </is>
      </c>
      <c r="B75" t="inlineStr">
        <is>
          <t>C0074</t>
        </is>
      </c>
      <c r="C75" t="n">
        <v>2</v>
      </c>
      <c r="D75" t="inlineStr">
        <is>
          <t>Hub A</t>
        </is>
      </c>
      <c r="E75" t="n">
        <v>56</v>
      </c>
      <c r="F75" t="n">
        <v>19</v>
      </c>
    </row>
    <row r="76">
      <c r="A76" t="inlineStr">
        <is>
          <t>ORD00075</t>
        </is>
      </c>
      <c r="B76" t="inlineStr">
        <is>
          <t>C0075</t>
        </is>
      </c>
      <c r="C76" t="n">
        <v>3</v>
      </c>
      <c r="D76" t="inlineStr">
        <is>
          <t>Hub A</t>
        </is>
      </c>
      <c r="E76" t="n">
        <v>63</v>
      </c>
      <c r="F76" t="n">
        <v>19</v>
      </c>
    </row>
    <row r="77">
      <c r="A77" t="inlineStr">
        <is>
          <t>ORD00076</t>
        </is>
      </c>
      <c r="B77" t="inlineStr">
        <is>
          <t>C0076</t>
        </is>
      </c>
      <c r="C77" t="n">
        <v>1</v>
      </c>
      <c r="D77" t="inlineStr">
        <is>
          <t>Hub A</t>
        </is>
      </c>
      <c r="E77" t="n">
        <v>70</v>
      </c>
      <c r="F77" t="n">
        <v>19</v>
      </c>
    </row>
    <row r="78">
      <c r="A78" t="inlineStr">
        <is>
          <t>ORD00077</t>
        </is>
      </c>
      <c r="B78" t="inlineStr">
        <is>
          <t>C0077</t>
        </is>
      </c>
      <c r="C78" t="n">
        <v>2</v>
      </c>
      <c r="D78" t="inlineStr">
        <is>
          <t>Hub A</t>
        </is>
      </c>
      <c r="E78" t="n">
        <v>77</v>
      </c>
      <c r="F78" t="n">
        <v>19</v>
      </c>
    </row>
    <row r="79">
      <c r="A79" t="inlineStr">
        <is>
          <t>ORD00078</t>
        </is>
      </c>
      <c r="B79" t="inlineStr">
        <is>
          <t>C0078</t>
        </is>
      </c>
      <c r="C79" t="n">
        <v>3</v>
      </c>
      <c r="D79" t="inlineStr">
        <is>
          <t>Hub A</t>
        </is>
      </c>
      <c r="E79" t="n">
        <v>24</v>
      </c>
      <c r="F79" t="n">
        <v>19</v>
      </c>
    </row>
    <row r="80">
      <c r="A80" t="inlineStr">
        <is>
          <t>ORD00079</t>
        </is>
      </c>
      <c r="B80" t="inlineStr">
        <is>
          <t>C0079</t>
        </is>
      </c>
      <c r="C80" t="n">
        <v>1</v>
      </c>
      <c r="D80" t="inlineStr">
        <is>
          <t>Hub A</t>
        </is>
      </c>
      <c r="E80" t="n">
        <v>31</v>
      </c>
      <c r="F80" t="n">
        <v>19</v>
      </c>
    </row>
    <row r="81">
      <c r="A81" t="inlineStr">
        <is>
          <t>ORD00080</t>
        </is>
      </c>
      <c r="B81" t="inlineStr">
        <is>
          <t>C0080</t>
        </is>
      </c>
      <c r="C81" t="n">
        <v>2</v>
      </c>
      <c r="D81" t="inlineStr">
        <is>
          <t>Hub A</t>
        </is>
      </c>
      <c r="E81" t="n">
        <v>38</v>
      </c>
      <c r="F81" t="n">
        <v>19</v>
      </c>
    </row>
    <row r="82">
      <c r="A82" t="inlineStr">
        <is>
          <t>ORD00081</t>
        </is>
      </c>
      <c r="B82" t="inlineStr">
        <is>
          <t>C0081</t>
        </is>
      </c>
      <c r="C82" t="n">
        <v>3</v>
      </c>
      <c r="D82" t="inlineStr">
        <is>
          <t>Hub A</t>
        </is>
      </c>
      <c r="E82" t="n">
        <v>45</v>
      </c>
      <c r="F82" t="n">
        <v>19</v>
      </c>
    </row>
    <row r="83">
      <c r="A83" t="inlineStr">
        <is>
          <t>ORD00082</t>
        </is>
      </c>
      <c r="B83" t="inlineStr">
        <is>
          <t>C0082</t>
        </is>
      </c>
      <c r="C83" t="n">
        <v>1</v>
      </c>
      <c r="D83" t="inlineStr">
        <is>
          <t>Hub A</t>
        </is>
      </c>
      <c r="E83" t="n">
        <v>52</v>
      </c>
      <c r="F83" t="n">
        <v>19</v>
      </c>
    </row>
    <row r="84">
      <c r="A84" t="inlineStr">
        <is>
          <t>ORD00083</t>
        </is>
      </c>
      <c r="B84" t="inlineStr">
        <is>
          <t>C0083</t>
        </is>
      </c>
      <c r="C84" t="n">
        <v>2</v>
      </c>
      <c r="D84" t="inlineStr">
        <is>
          <t>Hub A</t>
        </is>
      </c>
      <c r="E84" t="n">
        <v>59</v>
      </c>
      <c r="F84" t="n">
        <v>19</v>
      </c>
    </row>
    <row r="85">
      <c r="A85" t="inlineStr">
        <is>
          <t>ORD00084</t>
        </is>
      </c>
      <c r="B85" t="inlineStr">
        <is>
          <t>C0084</t>
        </is>
      </c>
      <c r="C85" t="n">
        <v>3</v>
      </c>
      <c r="D85" t="inlineStr">
        <is>
          <t>Hub A</t>
        </is>
      </c>
      <c r="E85" t="n">
        <v>66</v>
      </c>
      <c r="F85" t="n">
        <v>19</v>
      </c>
    </row>
    <row r="86">
      <c r="A86" t="inlineStr">
        <is>
          <t>ORD00085</t>
        </is>
      </c>
      <c r="B86" t="inlineStr">
        <is>
          <t>C0085</t>
        </is>
      </c>
      <c r="C86" t="n">
        <v>1</v>
      </c>
      <c r="D86" t="inlineStr">
        <is>
          <t>Hub A</t>
        </is>
      </c>
      <c r="E86" t="n">
        <v>73</v>
      </c>
      <c r="F86" t="n">
        <v>19</v>
      </c>
    </row>
    <row r="87">
      <c r="A87" t="inlineStr">
        <is>
          <t>ORD00086</t>
        </is>
      </c>
      <c r="B87" t="inlineStr">
        <is>
          <t>C0086</t>
        </is>
      </c>
      <c r="C87" t="n">
        <v>2</v>
      </c>
      <c r="D87" t="inlineStr">
        <is>
          <t>Hub A</t>
        </is>
      </c>
      <c r="E87" t="n">
        <v>20</v>
      </c>
      <c r="F87" t="n">
        <v>19</v>
      </c>
    </row>
    <row r="88">
      <c r="A88" t="inlineStr">
        <is>
          <t>ORD00087</t>
        </is>
      </c>
      <c r="B88" t="inlineStr">
        <is>
          <t>C0087</t>
        </is>
      </c>
      <c r="C88" t="n">
        <v>3</v>
      </c>
      <c r="D88" t="inlineStr">
        <is>
          <t>Hub A</t>
        </is>
      </c>
      <c r="E88" t="n">
        <v>27</v>
      </c>
      <c r="F88" t="n">
        <v>19</v>
      </c>
    </row>
    <row r="89">
      <c r="A89" t="inlineStr">
        <is>
          <t>ORD00088</t>
        </is>
      </c>
      <c r="B89" t="inlineStr">
        <is>
          <t>C0088</t>
        </is>
      </c>
      <c r="C89" t="n">
        <v>1</v>
      </c>
      <c r="D89" t="inlineStr">
        <is>
          <t>Hub A</t>
        </is>
      </c>
      <c r="E89" t="n">
        <v>34</v>
      </c>
      <c r="F89" t="n">
        <v>19</v>
      </c>
    </row>
    <row r="90">
      <c r="A90" t="inlineStr">
        <is>
          <t>ORD00089</t>
        </is>
      </c>
      <c r="B90" t="inlineStr">
        <is>
          <t>C0089</t>
        </is>
      </c>
      <c r="C90" t="n">
        <v>2</v>
      </c>
      <c r="D90" t="inlineStr">
        <is>
          <t>Hub A</t>
        </is>
      </c>
      <c r="E90" t="n">
        <v>41</v>
      </c>
      <c r="F90" t="n">
        <v>19</v>
      </c>
    </row>
    <row r="91">
      <c r="A91" t="inlineStr">
        <is>
          <t>ORD00090</t>
        </is>
      </c>
      <c r="B91" t="inlineStr">
        <is>
          <t>C0090</t>
        </is>
      </c>
      <c r="C91" t="n">
        <v>3</v>
      </c>
      <c r="D91" t="inlineStr">
        <is>
          <t>Hub A</t>
        </is>
      </c>
      <c r="E91" t="n">
        <v>48</v>
      </c>
      <c r="F91" t="n">
        <v>19</v>
      </c>
    </row>
    <row r="92">
      <c r="A92" t="inlineStr">
        <is>
          <t>ORD00091</t>
        </is>
      </c>
      <c r="B92" t="inlineStr">
        <is>
          <t>C0091</t>
        </is>
      </c>
      <c r="C92" t="n">
        <v>1</v>
      </c>
      <c r="D92" t="inlineStr">
        <is>
          <t>Hub A</t>
        </is>
      </c>
      <c r="E92" t="n">
        <v>55</v>
      </c>
      <c r="F92" t="n">
        <v>19</v>
      </c>
    </row>
    <row r="93">
      <c r="A93" t="inlineStr">
        <is>
          <t>ORD00092</t>
        </is>
      </c>
      <c r="B93" t="inlineStr">
        <is>
          <t>C0092</t>
        </is>
      </c>
      <c r="C93" t="n">
        <v>2</v>
      </c>
      <c r="D93" t="inlineStr">
        <is>
          <t>Hub A</t>
        </is>
      </c>
      <c r="E93" t="n">
        <v>62</v>
      </c>
      <c r="F93" t="n">
        <v>19</v>
      </c>
    </row>
    <row r="94">
      <c r="A94" t="inlineStr">
        <is>
          <t>ORD00093</t>
        </is>
      </c>
      <c r="B94" t="inlineStr">
        <is>
          <t>C0093</t>
        </is>
      </c>
      <c r="C94" t="n">
        <v>3</v>
      </c>
      <c r="D94" t="inlineStr">
        <is>
          <t>Hub A</t>
        </is>
      </c>
      <c r="E94" t="n">
        <v>69</v>
      </c>
      <c r="F94" t="n">
        <v>19</v>
      </c>
    </row>
    <row r="95">
      <c r="A95" t="inlineStr">
        <is>
          <t>ORD00094</t>
        </is>
      </c>
      <c r="B95" t="inlineStr">
        <is>
          <t>C0094</t>
        </is>
      </c>
      <c r="C95" t="n">
        <v>1</v>
      </c>
      <c r="D95" t="inlineStr">
        <is>
          <t>Hub A</t>
        </is>
      </c>
      <c r="E95" t="n">
        <v>76</v>
      </c>
      <c r="F95" t="n">
        <v>19</v>
      </c>
    </row>
    <row r="96">
      <c r="A96" t="inlineStr">
        <is>
          <t>ORD00095</t>
        </is>
      </c>
      <c r="B96" t="inlineStr">
        <is>
          <t>C0095</t>
        </is>
      </c>
      <c r="C96" t="n">
        <v>2</v>
      </c>
      <c r="D96" t="inlineStr">
        <is>
          <t>Hub A</t>
        </is>
      </c>
      <c r="E96" t="n">
        <v>23</v>
      </c>
      <c r="F96" t="n">
        <v>19</v>
      </c>
    </row>
    <row r="97">
      <c r="A97" t="inlineStr">
        <is>
          <t>ORD00096</t>
        </is>
      </c>
      <c r="B97" t="inlineStr">
        <is>
          <t>C0096</t>
        </is>
      </c>
      <c r="C97" t="n">
        <v>3</v>
      </c>
      <c r="D97" t="inlineStr">
        <is>
          <t>Hub A</t>
        </is>
      </c>
      <c r="E97" t="n">
        <v>30</v>
      </c>
      <c r="F97" t="n">
        <v>19</v>
      </c>
    </row>
    <row r="98">
      <c r="A98" t="inlineStr">
        <is>
          <t>ORD00097</t>
        </is>
      </c>
      <c r="B98" t="inlineStr">
        <is>
          <t>C0097</t>
        </is>
      </c>
      <c r="C98" t="n">
        <v>1</v>
      </c>
      <c r="D98" t="inlineStr">
        <is>
          <t>Hub A</t>
        </is>
      </c>
      <c r="E98" t="n">
        <v>37</v>
      </c>
      <c r="F98" t="n">
        <v>19</v>
      </c>
    </row>
    <row r="99">
      <c r="A99" t="inlineStr">
        <is>
          <t>ORD00098</t>
        </is>
      </c>
      <c r="B99" t="inlineStr">
        <is>
          <t>C0098</t>
        </is>
      </c>
      <c r="C99" t="n">
        <v>2</v>
      </c>
      <c r="D99" t="inlineStr">
        <is>
          <t>Hub A</t>
        </is>
      </c>
      <c r="E99" t="n">
        <v>44</v>
      </c>
      <c r="F99" t="n">
        <v>19</v>
      </c>
    </row>
    <row r="100">
      <c r="A100" t="inlineStr">
        <is>
          <t>ORD00099</t>
        </is>
      </c>
      <c r="B100" t="inlineStr">
        <is>
          <t>C0099</t>
        </is>
      </c>
      <c r="C100" t="n">
        <v>3</v>
      </c>
      <c r="D100" t="inlineStr">
        <is>
          <t>Hub A</t>
        </is>
      </c>
      <c r="E100" t="n">
        <v>51</v>
      </c>
      <c r="F100" t="n">
        <v>19</v>
      </c>
    </row>
    <row r="101">
      <c r="A101" t="inlineStr">
        <is>
          <t>ORD00100</t>
        </is>
      </c>
      <c r="B101" t="inlineStr">
        <is>
          <t>C0100</t>
        </is>
      </c>
      <c r="C101" t="n">
        <v>1</v>
      </c>
      <c r="D101" t="inlineStr">
        <is>
          <t>Hub A</t>
        </is>
      </c>
      <c r="E101" t="n">
        <v>58</v>
      </c>
      <c r="F101" t="n">
        <v>19</v>
      </c>
    </row>
    <row r="102">
      <c r="A102" t="inlineStr">
        <is>
          <t>ORD00101</t>
        </is>
      </c>
      <c r="B102" t="inlineStr">
        <is>
          <t>C0101</t>
        </is>
      </c>
      <c r="C102" t="n">
        <v>2</v>
      </c>
      <c r="D102" t="inlineStr">
        <is>
          <t>Hub A</t>
        </is>
      </c>
      <c r="E102" t="n">
        <v>65</v>
      </c>
      <c r="F102" t="n">
        <v>19</v>
      </c>
    </row>
    <row r="103">
      <c r="A103" t="inlineStr">
        <is>
          <t>ORD00102</t>
        </is>
      </c>
      <c r="B103" t="inlineStr">
        <is>
          <t>C0102</t>
        </is>
      </c>
      <c r="C103" t="n">
        <v>3</v>
      </c>
      <c r="D103" t="inlineStr">
        <is>
          <t>Hub A</t>
        </is>
      </c>
      <c r="E103" t="n">
        <v>72</v>
      </c>
      <c r="F103" t="n">
        <v>19</v>
      </c>
    </row>
    <row r="104">
      <c r="A104" t="inlineStr">
        <is>
          <t>ORD00103</t>
        </is>
      </c>
      <c r="B104" t="inlineStr">
        <is>
          <t>C0103</t>
        </is>
      </c>
      <c r="C104" t="n">
        <v>1</v>
      </c>
      <c r="D104" t="inlineStr">
        <is>
          <t>Hub A</t>
        </is>
      </c>
      <c r="E104" t="n">
        <v>19</v>
      </c>
      <c r="F104" t="n">
        <v>19</v>
      </c>
    </row>
    <row r="105">
      <c r="A105" t="inlineStr">
        <is>
          <t>ORD00104</t>
        </is>
      </c>
      <c r="B105" t="inlineStr">
        <is>
          <t>C0104</t>
        </is>
      </c>
      <c r="C105" t="n">
        <v>2</v>
      </c>
      <c r="D105" t="inlineStr">
        <is>
          <t>Hub A</t>
        </is>
      </c>
      <c r="E105" t="n">
        <v>26</v>
      </c>
      <c r="F105" t="n">
        <v>19</v>
      </c>
    </row>
    <row r="106">
      <c r="A106" t="inlineStr">
        <is>
          <t>ORD00105</t>
        </is>
      </c>
      <c r="B106" t="inlineStr">
        <is>
          <t>C0105</t>
        </is>
      </c>
      <c r="C106" t="n">
        <v>3</v>
      </c>
      <c r="D106" t="inlineStr">
        <is>
          <t>Hub A</t>
        </is>
      </c>
      <c r="E106" t="n">
        <v>33</v>
      </c>
      <c r="F106" t="n">
        <v>19</v>
      </c>
    </row>
    <row r="107">
      <c r="A107" t="inlineStr">
        <is>
          <t>ORD00106</t>
        </is>
      </c>
      <c r="B107" t="inlineStr">
        <is>
          <t>C0106</t>
        </is>
      </c>
      <c r="C107" t="n">
        <v>1</v>
      </c>
      <c r="D107" t="inlineStr">
        <is>
          <t>Hub A</t>
        </is>
      </c>
      <c r="E107" t="n">
        <v>40</v>
      </c>
      <c r="F107" t="n">
        <v>19</v>
      </c>
    </row>
    <row r="108">
      <c r="A108" t="inlineStr">
        <is>
          <t>ORD00107</t>
        </is>
      </c>
      <c r="B108" t="inlineStr">
        <is>
          <t>C0107</t>
        </is>
      </c>
      <c r="C108" t="n">
        <v>2</v>
      </c>
      <c r="D108" t="inlineStr">
        <is>
          <t>Hub A</t>
        </is>
      </c>
      <c r="E108" t="n">
        <v>47</v>
      </c>
      <c r="F108" t="n">
        <v>19</v>
      </c>
    </row>
    <row r="109">
      <c r="A109" t="inlineStr">
        <is>
          <t>ORD00108</t>
        </is>
      </c>
      <c r="B109" t="inlineStr">
        <is>
          <t>C0108</t>
        </is>
      </c>
      <c r="C109" t="n">
        <v>3</v>
      </c>
      <c r="D109" t="inlineStr">
        <is>
          <t>Hub A</t>
        </is>
      </c>
      <c r="E109" t="n">
        <v>54</v>
      </c>
      <c r="F109" t="n">
        <v>19</v>
      </c>
    </row>
    <row r="110">
      <c r="A110" t="inlineStr">
        <is>
          <t>ORD00109</t>
        </is>
      </c>
      <c r="B110" t="inlineStr">
        <is>
          <t>C0109</t>
        </is>
      </c>
      <c r="C110" t="n">
        <v>1</v>
      </c>
      <c r="D110" t="inlineStr">
        <is>
          <t>Hub A</t>
        </is>
      </c>
      <c r="E110" t="n">
        <v>61</v>
      </c>
      <c r="F110" t="n">
        <v>19</v>
      </c>
    </row>
    <row r="111">
      <c r="A111" t="inlineStr">
        <is>
          <t>ORD00110</t>
        </is>
      </c>
      <c r="B111" t="inlineStr">
        <is>
          <t>C0110</t>
        </is>
      </c>
      <c r="C111" t="n">
        <v>2</v>
      </c>
      <c r="D111" t="inlineStr">
        <is>
          <t>Hub A</t>
        </is>
      </c>
      <c r="E111" t="n">
        <v>68</v>
      </c>
      <c r="F111" t="n">
        <v>19</v>
      </c>
    </row>
    <row r="112">
      <c r="A112" t="inlineStr">
        <is>
          <t>ORD00111</t>
        </is>
      </c>
      <c r="B112" t="inlineStr">
        <is>
          <t>C0111</t>
        </is>
      </c>
      <c r="C112" t="n">
        <v>3</v>
      </c>
      <c r="D112" t="inlineStr">
        <is>
          <t>Hub A</t>
        </is>
      </c>
      <c r="E112" t="n">
        <v>75</v>
      </c>
      <c r="F112" t="n">
        <v>19</v>
      </c>
    </row>
    <row r="113">
      <c r="A113" t="inlineStr">
        <is>
          <t>ORD00112</t>
        </is>
      </c>
      <c r="B113" t="inlineStr">
        <is>
          <t>C0112</t>
        </is>
      </c>
      <c r="C113" t="n">
        <v>1</v>
      </c>
      <c r="D113" t="inlineStr">
        <is>
          <t>Hub A</t>
        </is>
      </c>
      <c r="E113" t="n">
        <v>22</v>
      </c>
      <c r="F113" t="n">
        <v>19</v>
      </c>
    </row>
    <row r="114">
      <c r="A114" t="inlineStr">
        <is>
          <t>ORD00113</t>
        </is>
      </c>
      <c r="B114" t="inlineStr">
        <is>
          <t>C0113</t>
        </is>
      </c>
      <c r="C114" t="n">
        <v>2</v>
      </c>
      <c r="D114" t="inlineStr">
        <is>
          <t>Hub A</t>
        </is>
      </c>
      <c r="E114" t="n">
        <v>29</v>
      </c>
      <c r="F114" t="n">
        <v>19</v>
      </c>
    </row>
    <row r="115">
      <c r="A115" t="inlineStr">
        <is>
          <t>ORD00114</t>
        </is>
      </c>
      <c r="B115" t="inlineStr">
        <is>
          <t>C0114</t>
        </is>
      </c>
      <c r="C115" t="n">
        <v>3</v>
      </c>
      <c r="D115" t="inlineStr">
        <is>
          <t>Hub A</t>
        </is>
      </c>
      <c r="E115" t="n">
        <v>36</v>
      </c>
      <c r="F115" t="n">
        <v>19</v>
      </c>
    </row>
    <row r="116">
      <c r="A116" t="inlineStr">
        <is>
          <t>ORD00115</t>
        </is>
      </c>
      <c r="B116" t="inlineStr">
        <is>
          <t>C0115</t>
        </is>
      </c>
      <c r="C116" t="n">
        <v>1</v>
      </c>
      <c r="D116" t="inlineStr">
        <is>
          <t>Hub A</t>
        </is>
      </c>
      <c r="E116" t="n">
        <v>43</v>
      </c>
      <c r="F116" t="n">
        <v>19</v>
      </c>
    </row>
    <row r="117">
      <c r="A117" t="inlineStr">
        <is>
          <t>ORD00116</t>
        </is>
      </c>
      <c r="B117" t="inlineStr">
        <is>
          <t>C0116</t>
        </is>
      </c>
      <c r="C117" t="n">
        <v>2</v>
      </c>
      <c r="D117" t="inlineStr">
        <is>
          <t>Hub A</t>
        </is>
      </c>
      <c r="E117" t="n">
        <v>50</v>
      </c>
      <c r="F117" t="n">
        <v>19</v>
      </c>
    </row>
    <row r="118">
      <c r="A118" t="inlineStr">
        <is>
          <t>ORD00117</t>
        </is>
      </c>
      <c r="B118" t="inlineStr">
        <is>
          <t>C0117</t>
        </is>
      </c>
      <c r="C118" t="n">
        <v>3</v>
      </c>
      <c r="D118" t="inlineStr">
        <is>
          <t>Hub A</t>
        </is>
      </c>
      <c r="E118" t="n">
        <v>57</v>
      </c>
      <c r="F118" t="n">
        <v>19</v>
      </c>
    </row>
    <row r="119">
      <c r="A119" t="inlineStr">
        <is>
          <t>ORD00118</t>
        </is>
      </c>
      <c r="B119" t="inlineStr">
        <is>
          <t>C0118</t>
        </is>
      </c>
      <c r="C119" t="n">
        <v>1</v>
      </c>
      <c r="D119" t="inlineStr">
        <is>
          <t>Hub A</t>
        </is>
      </c>
      <c r="E119" t="n">
        <v>64</v>
      </c>
      <c r="F119" t="n">
        <v>19</v>
      </c>
    </row>
    <row r="120">
      <c r="A120" t="inlineStr">
        <is>
          <t>ORD00119</t>
        </is>
      </c>
      <c r="B120" t="inlineStr">
        <is>
          <t>C0119</t>
        </is>
      </c>
      <c r="C120" t="n">
        <v>2</v>
      </c>
      <c r="D120" t="inlineStr">
        <is>
          <t>Hub A</t>
        </is>
      </c>
      <c r="E120" t="n">
        <v>71</v>
      </c>
      <c r="F120" t="n">
        <v>19</v>
      </c>
    </row>
    <row r="121">
      <c r="A121" t="inlineStr">
        <is>
          <t>ORD00120</t>
        </is>
      </c>
      <c r="B121" t="inlineStr">
        <is>
          <t>C0120</t>
        </is>
      </c>
      <c r="C121" t="n">
        <v>3</v>
      </c>
      <c r="D121" t="inlineStr">
        <is>
          <t>Hub A</t>
        </is>
      </c>
      <c r="E121" t="n">
        <v>18</v>
      </c>
      <c r="F121" t="n">
        <v>19</v>
      </c>
    </row>
    <row r="122">
      <c r="A122" t="inlineStr">
        <is>
          <t>ORD00121</t>
        </is>
      </c>
      <c r="B122" t="inlineStr">
        <is>
          <t>C0121</t>
        </is>
      </c>
      <c r="C122" t="n">
        <v>1</v>
      </c>
      <c r="D122" t="inlineStr">
        <is>
          <t>Hub A</t>
        </is>
      </c>
      <c r="E122" t="n">
        <v>25</v>
      </c>
      <c r="F122" t="n">
        <v>19</v>
      </c>
    </row>
    <row r="123">
      <c r="A123" t="inlineStr">
        <is>
          <t>ORD00122</t>
        </is>
      </c>
      <c r="B123" t="inlineStr">
        <is>
          <t>C0122</t>
        </is>
      </c>
      <c r="C123" t="n">
        <v>2</v>
      </c>
      <c r="D123" t="inlineStr">
        <is>
          <t>Hub A</t>
        </is>
      </c>
      <c r="E123" t="n">
        <v>32</v>
      </c>
      <c r="F123" t="n">
        <v>19</v>
      </c>
    </row>
    <row r="124">
      <c r="A124" t="inlineStr">
        <is>
          <t>ORD00123</t>
        </is>
      </c>
      <c r="B124" t="inlineStr">
        <is>
          <t>C0123</t>
        </is>
      </c>
      <c r="C124" t="n">
        <v>3</v>
      </c>
      <c r="D124" t="inlineStr">
        <is>
          <t>Hub A</t>
        </is>
      </c>
      <c r="E124" t="n">
        <v>39</v>
      </c>
      <c r="F124" t="n">
        <v>19</v>
      </c>
    </row>
    <row r="125">
      <c r="A125" t="inlineStr">
        <is>
          <t>ORD00124</t>
        </is>
      </c>
      <c r="B125" t="inlineStr">
        <is>
          <t>C0124</t>
        </is>
      </c>
      <c r="C125" t="n">
        <v>1</v>
      </c>
      <c r="D125" t="inlineStr">
        <is>
          <t>Hub A</t>
        </is>
      </c>
      <c r="E125" t="n">
        <v>46</v>
      </c>
      <c r="F125" t="n">
        <v>19</v>
      </c>
    </row>
    <row r="126">
      <c r="A126" t="inlineStr">
        <is>
          <t>ORD00125</t>
        </is>
      </c>
      <c r="B126" t="inlineStr">
        <is>
          <t>C0125</t>
        </is>
      </c>
      <c r="C126" t="n">
        <v>2</v>
      </c>
      <c r="D126" t="inlineStr">
        <is>
          <t>Hub A</t>
        </is>
      </c>
      <c r="E126" t="n">
        <v>53</v>
      </c>
      <c r="F126" t="n">
        <v>19</v>
      </c>
    </row>
    <row r="127">
      <c r="A127" t="inlineStr">
        <is>
          <t>ORD00126</t>
        </is>
      </c>
      <c r="B127" t="inlineStr">
        <is>
          <t>C0126</t>
        </is>
      </c>
      <c r="C127" t="n">
        <v>3</v>
      </c>
      <c r="D127" t="inlineStr">
        <is>
          <t>Hub A</t>
        </is>
      </c>
      <c r="E127" t="n">
        <v>60</v>
      </c>
      <c r="F127" t="n">
        <v>19</v>
      </c>
    </row>
    <row r="128">
      <c r="A128" t="inlineStr">
        <is>
          <t>ORD00127</t>
        </is>
      </c>
      <c r="B128" t="inlineStr">
        <is>
          <t>C0127</t>
        </is>
      </c>
      <c r="C128" t="n">
        <v>1</v>
      </c>
      <c r="D128" t="inlineStr">
        <is>
          <t>Hub A</t>
        </is>
      </c>
      <c r="E128" t="n">
        <v>67</v>
      </c>
      <c r="F128" t="n">
        <v>19</v>
      </c>
    </row>
    <row r="129">
      <c r="A129" t="inlineStr">
        <is>
          <t>ORD00128</t>
        </is>
      </c>
      <c r="B129" t="inlineStr">
        <is>
          <t>C0128</t>
        </is>
      </c>
      <c r="C129" t="n">
        <v>2</v>
      </c>
      <c r="D129" t="inlineStr">
        <is>
          <t>Hub A</t>
        </is>
      </c>
      <c r="E129" t="n">
        <v>74</v>
      </c>
      <c r="F129" t="n">
        <v>19</v>
      </c>
    </row>
    <row r="130">
      <c r="A130" t="inlineStr">
        <is>
          <t>ORD00129</t>
        </is>
      </c>
      <c r="B130" t="inlineStr">
        <is>
          <t>C0129</t>
        </is>
      </c>
      <c r="C130" t="n">
        <v>3</v>
      </c>
      <c r="D130" t="inlineStr">
        <is>
          <t>Hub A</t>
        </is>
      </c>
      <c r="E130" t="n">
        <v>21</v>
      </c>
      <c r="F130" t="n">
        <v>19</v>
      </c>
    </row>
    <row r="131">
      <c r="A131" t="inlineStr">
        <is>
          <t>ORD00130</t>
        </is>
      </c>
      <c r="B131" t="inlineStr">
        <is>
          <t>C0130</t>
        </is>
      </c>
      <c r="C131" t="n">
        <v>1</v>
      </c>
      <c r="D131" t="inlineStr">
        <is>
          <t>Hub A</t>
        </is>
      </c>
      <c r="E131" t="n">
        <v>28</v>
      </c>
      <c r="F131" t="n">
        <v>19</v>
      </c>
    </row>
    <row r="132">
      <c r="A132" t="inlineStr">
        <is>
          <t>ORD00131</t>
        </is>
      </c>
      <c r="B132" t="inlineStr">
        <is>
          <t>C0131</t>
        </is>
      </c>
      <c r="C132" t="n">
        <v>2</v>
      </c>
      <c r="D132" t="inlineStr">
        <is>
          <t>Hub A</t>
        </is>
      </c>
      <c r="E132" t="n">
        <v>35</v>
      </c>
      <c r="F132" t="n">
        <v>19</v>
      </c>
    </row>
    <row r="133">
      <c r="A133" t="inlineStr">
        <is>
          <t>ORD00132</t>
        </is>
      </c>
      <c r="B133" t="inlineStr">
        <is>
          <t>C0132</t>
        </is>
      </c>
      <c r="C133" t="n">
        <v>3</v>
      </c>
      <c r="D133" t="inlineStr">
        <is>
          <t>Hub A</t>
        </is>
      </c>
      <c r="E133" t="n">
        <v>42</v>
      </c>
      <c r="F133" t="n">
        <v>19</v>
      </c>
    </row>
    <row r="134">
      <c r="A134" t="inlineStr">
        <is>
          <t>ORD00133</t>
        </is>
      </c>
      <c r="B134" t="inlineStr">
        <is>
          <t>C0133</t>
        </is>
      </c>
      <c r="C134" t="n">
        <v>1</v>
      </c>
      <c r="D134" t="inlineStr">
        <is>
          <t>Hub A</t>
        </is>
      </c>
      <c r="E134" t="n">
        <v>49</v>
      </c>
      <c r="F134" t="n">
        <v>19</v>
      </c>
    </row>
    <row r="135">
      <c r="A135" t="inlineStr">
        <is>
          <t>ORD00134</t>
        </is>
      </c>
      <c r="B135" t="inlineStr">
        <is>
          <t>C0134</t>
        </is>
      </c>
      <c r="C135" t="n">
        <v>2</v>
      </c>
      <c r="D135" t="inlineStr">
        <is>
          <t>Hub A</t>
        </is>
      </c>
      <c r="E135" t="n">
        <v>56</v>
      </c>
      <c r="F135" t="n">
        <v>19</v>
      </c>
    </row>
    <row r="136">
      <c r="A136" t="inlineStr">
        <is>
          <t>ORD00135</t>
        </is>
      </c>
      <c r="B136" t="inlineStr">
        <is>
          <t>C0135</t>
        </is>
      </c>
      <c r="C136" t="n">
        <v>3</v>
      </c>
      <c r="D136" t="inlineStr">
        <is>
          <t>Hub A</t>
        </is>
      </c>
      <c r="E136" t="n">
        <v>63</v>
      </c>
      <c r="F136" t="n">
        <v>19</v>
      </c>
    </row>
    <row r="137">
      <c r="A137" t="inlineStr">
        <is>
          <t>ORD00136</t>
        </is>
      </c>
      <c r="B137" t="inlineStr">
        <is>
          <t>C0136</t>
        </is>
      </c>
      <c r="C137" t="n">
        <v>1</v>
      </c>
      <c r="D137" t="inlineStr">
        <is>
          <t>Hub A</t>
        </is>
      </c>
      <c r="E137" t="n">
        <v>70</v>
      </c>
      <c r="F137" t="n">
        <v>19</v>
      </c>
    </row>
    <row r="138">
      <c r="A138" t="inlineStr">
        <is>
          <t>ORD00137</t>
        </is>
      </c>
      <c r="B138" t="inlineStr">
        <is>
          <t>C0137</t>
        </is>
      </c>
      <c r="C138" t="n">
        <v>2</v>
      </c>
      <c r="D138" t="inlineStr">
        <is>
          <t>Hub A</t>
        </is>
      </c>
      <c r="E138" t="n">
        <v>77</v>
      </c>
      <c r="F138" t="n">
        <v>19</v>
      </c>
    </row>
    <row r="139">
      <c r="A139" t="inlineStr">
        <is>
          <t>ORD00138</t>
        </is>
      </c>
      <c r="B139" t="inlineStr">
        <is>
          <t>C0138</t>
        </is>
      </c>
      <c r="C139" t="n">
        <v>3</v>
      </c>
      <c r="D139" t="inlineStr">
        <is>
          <t>Hub A</t>
        </is>
      </c>
      <c r="E139" t="n">
        <v>24</v>
      </c>
      <c r="F139" t="n">
        <v>19</v>
      </c>
    </row>
    <row r="140">
      <c r="A140" t="inlineStr">
        <is>
          <t>ORD00139</t>
        </is>
      </c>
      <c r="B140" t="inlineStr">
        <is>
          <t>C0139</t>
        </is>
      </c>
      <c r="C140" t="n">
        <v>1</v>
      </c>
      <c r="D140" t="inlineStr">
        <is>
          <t>Hub A</t>
        </is>
      </c>
      <c r="E140" t="n">
        <v>31</v>
      </c>
      <c r="F140" t="n">
        <v>19</v>
      </c>
    </row>
    <row r="141">
      <c r="A141" t="inlineStr">
        <is>
          <t>ORD00140</t>
        </is>
      </c>
      <c r="B141" t="inlineStr">
        <is>
          <t>C0140</t>
        </is>
      </c>
      <c r="C141" t="n">
        <v>2</v>
      </c>
      <c r="D141" t="inlineStr">
        <is>
          <t>Hub A</t>
        </is>
      </c>
      <c r="E141" t="n">
        <v>38</v>
      </c>
      <c r="F141" t="n">
        <v>19</v>
      </c>
    </row>
    <row r="142">
      <c r="A142" t="inlineStr">
        <is>
          <t>ORD00141</t>
        </is>
      </c>
      <c r="B142" t="inlineStr">
        <is>
          <t>C0141</t>
        </is>
      </c>
      <c r="C142" t="n">
        <v>3</v>
      </c>
      <c r="D142" t="inlineStr">
        <is>
          <t>Hub A</t>
        </is>
      </c>
      <c r="E142" t="n">
        <v>45</v>
      </c>
      <c r="F142" t="n">
        <v>19</v>
      </c>
    </row>
    <row r="143">
      <c r="A143" t="inlineStr">
        <is>
          <t>ORD00142</t>
        </is>
      </c>
      <c r="B143" t="inlineStr">
        <is>
          <t>C0142</t>
        </is>
      </c>
      <c r="C143" t="n">
        <v>1</v>
      </c>
      <c r="D143" t="inlineStr">
        <is>
          <t>Hub A</t>
        </is>
      </c>
      <c r="E143" t="n">
        <v>52</v>
      </c>
      <c r="F143" t="n">
        <v>19</v>
      </c>
    </row>
    <row r="144">
      <c r="A144" t="inlineStr">
        <is>
          <t>ORD00143</t>
        </is>
      </c>
      <c r="B144" t="inlineStr">
        <is>
          <t>C0143</t>
        </is>
      </c>
      <c r="C144" t="n">
        <v>2</v>
      </c>
      <c r="D144" t="inlineStr">
        <is>
          <t>Hub A</t>
        </is>
      </c>
      <c r="E144" t="n">
        <v>59</v>
      </c>
      <c r="F144" t="n">
        <v>19</v>
      </c>
    </row>
    <row r="145">
      <c r="A145" t="inlineStr">
        <is>
          <t>ORD00144</t>
        </is>
      </c>
      <c r="B145" t="inlineStr">
        <is>
          <t>C0144</t>
        </is>
      </c>
      <c r="C145" t="n">
        <v>3</v>
      </c>
      <c r="D145" t="inlineStr">
        <is>
          <t>Hub A</t>
        </is>
      </c>
      <c r="E145" t="n">
        <v>66</v>
      </c>
      <c r="F145" t="n">
        <v>19</v>
      </c>
    </row>
    <row r="146">
      <c r="A146" t="inlineStr">
        <is>
          <t>ORD00145</t>
        </is>
      </c>
      <c r="B146" t="inlineStr">
        <is>
          <t>C0145</t>
        </is>
      </c>
      <c r="C146" t="n">
        <v>1</v>
      </c>
      <c r="D146" t="inlineStr">
        <is>
          <t>Hub A</t>
        </is>
      </c>
      <c r="E146" t="n">
        <v>73</v>
      </c>
      <c r="F146" t="n">
        <v>19</v>
      </c>
    </row>
    <row r="147">
      <c r="A147" t="inlineStr">
        <is>
          <t>ORD00146</t>
        </is>
      </c>
      <c r="B147" t="inlineStr">
        <is>
          <t>C0146</t>
        </is>
      </c>
      <c r="C147" t="n">
        <v>2</v>
      </c>
      <c r="D147" t="inlineStr">
        <is>
          <t>Hub A</t>
        </is>
      </c>
      <c r="E147" t="n">
        <v>20</v>
      </c>
      <c r="F147" t="n">
        <v>19</v>
      </c>
    </row>
    <row r="148">
      <c r="A148" t="inlineStr">
        <is>
          <t>ORD00147</t>
        </is>
      </c>
      <c r="B148" t="inlineStr">
        <is>
          <t>C0147</t>
        </is>
      </c>
      <c r="C148" t="n">
        <v>3</v>
      </c>
      <c r="D148" t="inlineStr">
        <is>
          <t>Hub A</t>
        </is>
      </c>
      <c r="E148" t="n">
        <v>27</v>
      </c>
      <c r="F148" t="n">
        <v>19</v>
      </c>
    </row>
    <row r="149">
      <c r="A149" t="inlineStr">
        <is>
          <t>ORD00148</t>
        </is>
      </c>
      <c r="B149" t="inlineStr">
        <is>
          <t>C0148</t>
        </is>
      </c>
      <c r="C149" t="n">
        <v>1</v>
      </c>
      <c r="D149" t="inlineStr">
        <is>
          <t>Hub A</t>
        </is>
      </c>
      <c r="E149" t="n">
        <v>34</v>
      </c>
      <c r="F149" t="n">
        <v>19</v>
      </c>
    </row>
    <row r="150">
      <c r="A150" t="inlineStr">
        <is>
          <t>ORD00149</t>
        </is>
      </c>
      <c r="B150" t="inlineStr">
        <is>
          <t>C0149</t>
        </is>
      </c>
      <c r="C150" t="n">
        <v>2</v>
      </c>
      <c r="D150" t="inlineStr">
        <is>
          <t>Hub A</t>
        </is>
      </c>
      <c r="E150" t="n">
        <v>41</v>
      </c>
      <c r="F150" t="n">
        <v>19</v>
      </c>
    </row>
    <row r="151">
      <c r="A151" t="inlineStr">
        <is>
          <t>ORD00150</t>
        </is>
      </c>
      <c r="B151" t="inlineStr">
        <is>
          <t>C0150</t>
        </is>
      </c>
      <c r="C151" t="n">
        <v>3</v>
      </c>
      <c r="D151" t="inlineStr">
        <is>
          <t>Hub A</t>
        </is>
      </c>
      <c r="E151" t="n">
        <v>48</v>
      </c>
      <c r="F151" t="n">
        <v>19</v>
      </c>
    </row>
    <row r="152">
      <c r="A152" t="inlineStr">
        <is>
          <t>ORD00151</t>
        </is>
      </c>
      <c r="B152" t="inlineStr">
        <is>
          <t>C0151</t>
        </is>
      </c>
      <c r="C152" t="n">
        <v>1</v>
      </c>
      <c r="D152" t="inlineStr">
        <is>
          <t>Hub A</t>
        </is>
      </c>
      <c r="E152" t="n">
        <v>55</v>
      </c>
      <c r="F152" t="n">
        <v>19</v>
      </c>
    </row>
    <row r="153">
      <c r="A153" t="inlineStr">
        <is>
          <t>ORD00152</t>
        </is>
      </c>
      <c r="B153" t="inlineStr">
        <is>
          <t>C0152</t>
        </is>
      </c>
      <c r="C153" t="n">
        <v>2</v>
      </c>
      <c r="D153" t="inlineStr">
        <is>
          <t>Hub A</t>
        </is>
      </c>
      <c r="E153" t="n">
        <v>62</v>
      </c>
      <c r="F153" t="n">
        <v>19</v>
      </c>
    </row>
    <row r="154">
      <c r="A154" t="inlineStr">
        <is>
          <t>ORD00153</t>
        </is>
      </c>
      <c r="B154" t="inlineStr">
        <is>
          <t>C0153</t>
        </is>
      </c>
      <c r="C154" t="n">
        <v>3</v>
      </c>
      <c r="D154" t="inlineStr">
        <is>
          <t>Hub A</t>
        </is>
      </c>
      <c r="E154" t="n">
        <v>69</v>
      </c>
      <c r="F154" t="n">
        <v>19</v>
      </c>
    </row>
    <row r="155">
      <c r="A155" t="inlineStr">
        <is>
          <t>ORD00154</t>
        </is>
      </c>
      <c r="B155" t="inlineStr">
        <is>
          <t>C0154</t>
        </is>
      </c>
      <c r="C155" t="n">
        <v>1</v>
      </c>
      <c r="D155" t="inlineStr">
        <is>
          <t>Hub A</t>
        </is>
      </c>
      <c r="E155" t="n">
        <v>76</v>
      </c>
      <c r="F155" t="n">
        <v>19</v>
      </c>
    </row>
    <row r="156">
      <c r="A156" t="inlineStr">
        <is>
          <t>ORD00155</t>
        </is>
      </c>
      <c r="B156" t="inlineStr">
        <is>
          <t>C0155</t>
        </is>
      </c>
      <c r="C156" t="n">
        <v>2</v>
      </c>
      <c r="D156" t="inlineStr">
        <is>
          <t>Hub A</t>
        </is>
      </c>
      <c r="E156" t="n">
        <v>23</v>
      </c>
      <c r="F156" t="n">
        <v>19</v>
      </c>
    </row>
    <row r="157">
      <c r="A157" t="inlineStr">
        <is>
          <t>ORD00156</t>
        </is>
      </c>
      <c r="B157" t="inlineStr">
        <is>
          <t>C0156</t>
        </is>
      </c>
      <c r="C157" t="n">
        <v>3</v>
      </c>
      <c r="D157" t="inlineStr">
        <is>
          <t>Hub A</t>
        </is>
      </c>
      <c r="E157" t="n">
        <v>30</v>
      </c>
      <c r="F157" t="n">
        <v>19</v>
      </c>
    </row>
    <row r="158">
      <c r="A158" t="inlineStr">
        <is>
          <t>ORD00157</t>
        </is>
      </c>
      <c r="B158" t="inlineStr">
        <is>
          <t>C0157</t>
        </is>
      </c>
      <c r="C158" t="n">
        <v>1</v>
      </c>
      <c r="D158" t="inlineStr">
        <is>
          <t>Hub A</t>
        </is>
      </c>
      <c r="E158" t="n">
        <v>37</v>
      </c>
      <c r="F158" t="n">
        <v>19</v>
      </c>
    </row>
    <row r="159">
      <c r="A159" t="inlineStr">
        <is>
          <t>ORD00158</t>
        </is>
      </c>
      <c r="B159" t="inlineStr">
        <is>
          <t>C0158</t>
        </is>
      </c>
      <c r="C159" t="n">
        <v>2</v>
      </c>
      <c r="D159" t="inlineStr">
        <is>
          <t>Hub A</t>
        </is>
      </c>
      <c r="E159" t="n">
        <v>44</v>
      </c>
      <c r="F159" t="n">
        <v>19</v>
      </c>
    </row>
    <row r="160">
      <c r="A160" t="inlineStr">
        <is>
          <t>ORD00159</t>
        </is>
      </c>
      <c r="B160" t="inlineStr">
        <is>
          <t>C0159</t>
        </is>
      </c>
      <c r="C160" t="n">
        <v>3</v>
      </c>
      <c r="D160" t="inlineStr">
        <is>
          <t>Hub A</t>
        </is>
      </c>
      <c r="E160" t="n">
        <v>51</v>
      </c>
      <c r="F160" t="n">
        <v>19</v>
      </c>
    </row>
    <row r="161">
      <c r="A161" t="inlineStr">
        <is>
          <t>ORD00160</t>
        </is>
      </c>
      <c r="B161" t="inlineStr">
        <is>
          <t>C0160</t>
        </is>
      </c>
      <c r="C161" t="n">
        <v>1</v>
      </c>
      <c r="D161" t="inlineStr">
        <is>
          <t>Hub A</t>
        </is>
      </c>
      <c r="E161" t="n">
        <v>58</v>
      </c>
      <c r="F161" t="n">
        <v>19</v>
      </c>
    </row>
    <row r="162">
      <c r="A162" t="inlineStr">
        <is>
          <t>ORD00161</t>
        </is>
      </c>
      <c r="B162" t="inlineStr">
        <is>
          <t>C0161</t>
        </is>
      </c>
      <c r="C162" t="n">
        <v>2</v>
      </c>
      <c r="D162" t="inlineStr">
        <is>
          <t>Hub A</t>
        </is>
      </c>
      <c r="E162" t="n">
        <v>65</v>
      </c>
      <c r="F162" t="n">
        <v>19</v>
      </c>
    </row>
    <row r="163">
      <c r="A163" t="inlineStr">
        <is>
          <t>ORD00162</t>
        </is>
      </c>
      <c r="B163" t="inlineStr">
        <is>
          <t>C0162</t>
        </is>
      </c>
      <c r="C163" t="n">
        <v>3</v>
      </c>
      <c r="D163" t="inlineStr">
        <is>
          <t>Hub A</t>
        </is>
      </c>
      <c r="E163" t="n">
        <v>72</v>
      </c>
      <c r="F163" t="n">
        <v>19</v>
      </c>
    </row>
    <row r="164">
      <c r="A164" t="inlineStr">
        <is>
          <t>ORD00163</t>
        </is>
      </c>
      <c r="B164" t="inlineStr">
        <is>
          <t>C0163</t>
        </is>
      </c>
      <c r="C164" t="n">
        <v>1</v>
      </c>
      <c r="D164" t="inlineStr">
        <is>
          <t>Hub A</t>
        </is>
      </c>
      <c r="E164" t="n">
        <v>19</v>
      </c>
      <c r="F164" t="n">
        <v>19</v>
      </c>
    </row>
    <row r="165">
      <c r="A165" t="inlineStr">
        <is>
          <t>ORD00164</t>
        </is>
      </c>
      <c r="B165" t="inlineStr">
        <is>
          <t>C0164</t>
        </is>
      </c>
      <c r="C165" t="n">
        <v>2</v>
      </c>
      <c r="D165" t="inlineStr">
        <is>
          <t>Hub A</t>
        </is>
      </c>
      <c r="E165" t="n">
        <v>26</v>
      </c>
      <c r="F165" t="n">
        <v>19</v>
      </c>
    </row>
    <row r="166">
      <c r="A166" t="inlineStr">
        <is>
          <t>ORD00165</t>
        </is>
      </c>
      <c r="B166" t="inlineStr">
        <is>
          <t>C0165</t>
        </is>
      </c>
      <c r="C166" t="n">
        <v>3</v>
      </c>
      <c r="D166" t="inlineStr">
        <is>
          <t>Hub A</t>
        </is>
      </c>
      <c r="E166" t="n">
        <v>33</v>
      </c>
      <c r="F166" t="n">
        <v>19</v>
      </c>
    </row>
    <row r="167">
      <c r="A167" t="inlineStr">
        <is>
          <t>ORD00166</t>
        </is>
      </c>
      <c r="B167" t="inlineStr">
        <is>
          <t>C0166</t>
        </is>
      </c>
      <c r="C167" t="n">
        <v>1</v>
      </c>
      <c r="D167" t="inlineStr">
        <is>
          <t>Hub A</t>
        </is>
      </c>
      <c r="E167" t="n">
        <v>40</v>
      </c>
      <c r="F167" t="n">
        <v>19</v>
      </c>
    </row>
    <row r="168">
      <c r="A168" t="inlineStr">
        <is>
          <t>ORD00167</t>
        </is>
      </c>
      <c r="B168" t="inlineStr">
        <is>
          <t>C0167</t>
        </is>
      </c>
      <c r="C168" t="n">
        <v>2</v>
      </c>
      <c r="D168" t="inlineStr">
        <is>
          <t>Hub A</t>
        </is>
      </c>
      <c r="E168" t="n">
        <v>47</v>
      </c>
      <c r="F168" t="n">
        <v>19</v>
      </c>
    </row>
    <row r="169">
      <c r="A169" t="inlineStr">
        <is>
          <t>ORD00168</t>
        </is>
      </c>
      <c r="B169" t="inlineStr">
        <is>
          <t>C0168</t>
        </is>
      </c>
      <c r="C169" t="n">
        <v>3</v>
      </c>
      <c r="D169" t="inlineStr">
        <is>
          <t>Hub A</t>
        </is>
      </c>
      <c r="E169" t="n">
        <v>54</v>
      </c>
      <c r="F169" t="n">
        <v>19</v>
      </c>
    </row>
    <row r="170">
      <c r="A170" t="inlineStr">
        <is>
          <t>ORD00169</t>
        </is>
      </c>
      <c r="B170" t="inlineStr">
        <is>
          <t>C0169</t>
        </is>
      </c>
      <c r="C170" t="n">
        <v>1</v>
      </c>
      <c r="D170" t="inlineStr">
        <is>
          <t>Hub A</t>
        </is>
      </c>
      <c r="E170" t="n">
        <v>61</v>
      </c>
      <c r="F170" t="n">
        <v>19</v>
      </c>
    </row>
    <row r="171">
      <c r="A171" t="inlineStr">
        <is>
          <t>ORD00170</t>
        </is>
      </c>
      <c r="B171" t="inlineStr">
        <is>
          <t>C0170</t>
        </is>
      </c>
      <c r="C171" t="n">
        <v>2</v>
      </c>
      <c r="D171" t="inlineStr">
        <is>
          <t>Hub A</t>
        </is>
      </c>
      <c r="E171" t="n">
        <v>68</v>
      </c>
      <c r="F171" t="n">
        <v>19</v>
      </c>
    </row>
    <row r="172">
      <c r="A172" t="inlineStr">
        <is>
          <t>ORD00171</t>
        </is>
      </c>
      <c r="B172" t="inlineStr">
        <is>
          <t>C0171</t>
        </is>
      </c>
      <c r="C172" t="n">
        <v>3</v>
      </c>
      <c r="D172" t="inlineStr">
        <is>
          <t>Hub A</t>
        </is>
      </c>
      <c r="E172" t="n">
        <v>75</v>
      </c>
      <c r="F172" t="n">
        <v>19</v>
      </c>
    </row>
    <row r="173">
      <c r="A173" t="inlineStr">
        <is>
          <t>ORD00172</t>
        </is>
      </c>
      <c r="B173" t="inlineStr">
        <is>
          <t>C0172</t>
        </is>
      </c>
      <c r="C173" t="n">
        <v>1</v>
      </c>
      <c r="D173" t="inlineStr">
        <is>
          <t>Hub A</t>
        </is>
      </c>
      <c r="E173" t="n">
        <v>22</v>
      </c>
      <c r="F173" t="n">
        <v>19</v>
      </c>
    </row>
    <row r="174">
      <c r="A174" t="inlineStr">
        <is>
          <t>ORD00173</t>
        </is>
      </c>
      <c r="B174" t="inlineStr">
        <is>
          <t>C0173</t>
        </is>
      </c>
      <c r="C174" t="n">
        <v>2</v>
      </c>
      <c r="D174" t="inlineStr">
        <is>
          <t>Hub A</t>
        </is>
      </c>
      <c r="E174" t="n">
        <v>29</v>
      </c>
      <c r="F174" t="n">
        <v>19</v>
      </c>
    </row>
    <row r="175">
      <c r="A175" t="inlineStr">
        <is>
          <t>ORD00174</t>
        </is>
      </c>
      <c r="B175" t="inlineStr">
        <is>
          <t>C0174</t>
        </is>
      </c>
      <c r="C175" t="n">
        <v>3</v>
      </c>
      <c r="D175" t="inlineStr">
        <is>
          <t>Hub A</t>
        </is>
      </c>
      <c r="E175" t="n">
        <v>36</v>
      </c>
      <c r="F175" t="n">
        <v>19</v>
      </c>
    </row>
    <row r="176">
      <c r="A176" t="inlineStr">
        <is>
          <t>ORD00175</t>
        </is>
      </c>
      <c r="B176" t="inlineStr">
        <is>
          <t>C0175</t>
        </is>
      </c>
      <c r="C176" t="n">
        <v>1</v>
      </c>
      <c r="D176" t="inlineStr">
        <is>
          <t>Hub A</t>
        </is>
      </c>
      <c r="E176" t="n">
        <v>43</v>
      </c>
      <c r="F176" t="n">
        <v>19</v>
      </c>
    </row>
    <row r="177">
      <c r="A177" t="inlineStr">
        <is>
          <t>ORD00176</t>
        </is>
      </c>
      <c r="B177" t="inlineStr">
        <is>
          <t>C0176</t>
        </is>
      </c>
      <c r="C177" t="n">
        <v>2</v>
      </c>
      <c r="D177" t="inlineStr">
        <is>
          <t>Hub A</t>
        </is>
      </c>
      <c r="E177" t="n">
        <v>50</v>
      </c>
      <c r="F177" t="n">
        <v>19</v>
      </c>
    </row>
    <row r="178">
      <c r="A178" t="inlineStr">
        <is>
          <t>ORD00177</t>
        </is>
      </c>
      <c r="B178" t="inlineStr">
        <is>
          <t>C0177</t>
        </is>
      </c>
      <c r="C178" t="n">
        <v>3</v>
      </c>
      <c r="D178" t="inlineStr">
        <is>
          <t>Hub A</t>
        </is>
      </c>
      <c r="E178" t="n">
        <v>57</v>
      </c>
      <c r="F178" t="n">
        <v>19</v>
      </c>
    </row>
    <row r="179">
      <c r="A179" t="inlineStr">
        <is>
          <t>ORD00178</t>
        </is>
      </c>
      <c r="B179" t="inlineStr">
        <is>
          <t>C0178</t>
        </is>
      </c>
      <c r="C179" t="n">
        <v>1</v>
      </c>
      <c r="D179" t="inlineStr">
        <is>
          <t>Hub A</t>
        </is>
      </c>
      <c r="E179" t="n">
        <v>64</v>
      </c>
      <c r="F179" t="n">
        <v>19</v>
      </c>
    </row>
    <row r="180">
      <c r="A180" t="inlineStr">
        <is>
          <t>ORD00179</t>
        </is>
      </c>
      <c r="B180" t="inlineStr">
        <is>
          <t>C0179</t>
        </is>
      </c>
      <c r="C180" t="n">
        <v>2</v>
      </c>
      <c r="D180" t="inlineStr">
        <is>
          <t>Hub A</t>
        </is>
      </c>
      <c r="E180" t="n">
        <v>71</v>
      </c>
      <c r="F180" t="n">
        <v>19</v>
      </c>
    </row>
    <row r="181">
      <c r="A181" t="inlineStr">
        <is>
          <t>ORD00180</t>
        </is>
      </c>
      <c r="B181" t="inlineStr">
        <is>
          <t>C0180</t>
        </is>
      </c>
      <c r="C181" t="n">
        <v>3</v>
      </c>
      <c r="D181" t="inlineStr">
        <is>
          <t>Hub A</t>
        </is>
      </c>
      <c r="E181" t="n">
        <v>18</v>
      </c>
      <c r="F181" t="n">
        <v>19</v>
      </c>
    </row>
    <row r="182">
      <c r="A182" t="inlineStr">
        <is>
          <t>ORD00181</t>
        </is>
      </c>
      <c r="B182" t="inlineStr">
        <is>
          <t>C0181</t>
        </is>
      </c>
      <c r="C182" t="n">
        <v>1</v>
      </c>
      <c r="D182" t="inlineStr">
        <is>
          <t>Hub A</t>
        </is>
      </c>
      <c r="E182" t="n">
        <v>25</v>
      </c>
      <c r="F182" t="n">
        <v>19</v>
      </c>
    </row>
    <row r="183">
      <c r="A183" t="inlineStr">
        <is>
          <t>ORD00182</t>
        </is>
      </c>
      <c r="B183" t="inlineStr">
        <is>
          <t>C0182</t>
        </is>
      </c>
      <c r="C183" t="n">
        <v>2</v>
      </c>
      <c r="D183" t="inlineStr">
        <is>
          <t>Hub A</t>
        </is>
      </c>
      <c r="E183" t="n">
        <v>32</v>
      </c>
      <c r="F183" t="n">
        <v>19</v>
      </c>
    </row>
    <row r="184">
      <c r="A184" t="inlineStr">
        <is>
          <t>ORD00183</t>
        </is>
      </c>
      <c r="B184" t="inlineStr">
        <is>
          <t>C0183</t>
        </is>
      </c>
      <c r="C184" t="n">
        <v>3</v>
      </c>
      <c r="D184" t="inlineStr">
        <is>
          <t>Hub A</t>
        </is>
      </c>
      <c r="E184" t="n">
        <v>39</v>
      </c>
      <c r="F184" t="n">
        <v>19</v>
      </c>
    </row>
    <row r="185">
      <c r="A185" t="inlineStr">
        <is>
          <t>ORD00184</t>
        </is>
      </c>
      <c r="B185" t="inlineStr">
        <is>
          <t>C0184</t>
        </is>
      </c>
      <c r="C185" t="n">
        <v>1</v>
      </c>
      <c r="D185" t="inlineStr">
        <is>
          <t>Hub A</t>
        </is>
      </c>
      <c r="E185" t="n">
        <v>46</v>
      </c>
      <c r="F185" t="n">
        <v>19</v>
      </c>
    </row>
    <row r="186">
      <c r="A186" t="inlineStr">
        <is>
          <t>ORD00185</t>
        </is>
      </c>
      <c r="B186" t="inlineStr">
        <is>
          <t>C0185</t>
        </is>
      </c>
      <c r="C186" t="n">
        <v>2</v>
      </c>
      <c r="D186" t="inlineStr">
        <is>
          <t>Hub A</t>
        </is>
      </c>
      <c r="E186" t="n">
        <v>53</v>
      </c>
      <c r="F186" t="n">
        <v>19</v>
      </c>
    </row>
    <row r="187">
      <c r="A187" t="inlineStr">
        <is>
          <t>ORD00186</t>
        </is>
      </c>
      <c r="B187" t="inlineStr">
        <is>
          <t>C0186</t>
        </is>
      </c>
      <c r="C187" t="n">
        <v>3</v>
      </c>
      <c r="D187" t="inlineStr">
        <is>
          <t>Hub A</t>
        </is>
      </c>
      <c r="E187" t="n">
        <v>60</v>
      </c>
      <c r="F187" t="n">
        <v>19</v>
      </c>
    </row>
    <row r="188">
      <c r="A188" t="inlineStr">
        <is>
          <t>ORD00187</t>
        </is>
      </c>
      <c r="B188" t="inlineStr">
        <is>
          <t>C0187</t>
        </is>
      </c>
      <c r="C188" t="n">
        <v>1</v>
      </c>
      <c r="D188" t="inlineStr">
        <is>
          <t>Hub A</t>
        </is>
      </c>
      <c r="E188" t="n">
        <v>67</v>
      </c>
      <c r="F188" t="n">
        <v>19</v>
      </c>
    </row>
    <row r="189">
      <c r="A189" t="inlineStr">
        <is>
          <t>ORD00188</t>
        </is>
      </c>
      <c r="B189" t="inlineStr">
        <is>
          <t>C0188</t>
        </is>
      </c>
      <c r="C189" t="n">
        <v>2</v>
      </c>
      <c r="D189" t="inlineStr">
        <is>
          <t>Hub A</t>
        </is>
      </c>
      <c r="E189" t="n">
        <v>74</v>
      </c>
      <c r="F189" t="n">
        <v>19</v>
      </c>
    </row>
    <row r="190">
      <c r="A190" t="inlineStr">
        <is>
          <t>ORD00189</t>
        </is>
      </c>
      <c r="B190" t="inlineStr">
        <is>
          <t>C0189</t>
        </is>
      </c>
      <c r="C190" t="n">
        <v>3</v>
      </c>
      <c r="D190" t="inlineStr">
        <is>
          <t>Hub A</t>
        </is>
      </c>
      <c r="E190" t="n">
        <v>21</v>
      </c>
      <c r="F190" t="n">
        <v>19</v>
      </c>
    </row>
    <row r="191">
      <c r="A191" t="inlineStr">
        <is>
          <t>ORD00190</t>
        </is>
      </c>
      <c r="B191" t="inlineStr">
        <is>
          <t>C0190</t>
        </is>
      </c>
      <c r="C191" t="n">
        <v>1</v>
      </c>
      <c r="D191" t="inlineStr">
        <is>
          <t>Hub A</t>
        </is>
      </c>
      <c r="E191" t="n">
        <v>28</v>
      </c>
      <c r="F191" t="n">
        <v>19</v>
      </c>
    </row>
    <row r="192">
      <c r="A192" t="inlineStr">
        <is>
          <t>ORD00191</t>
        </is>
      </c>
      <c r="B192" t="inlineStr">
        <is>
          <t>C0191</t>
        </is>
      </c>
      <c r="C192" t="n">
        <v>2</v>
      </c>
      <c r="D192" t="inlineStr">
        <is>
          <t>Hub A</t>
        </is>
      </c>
      <c r="E192" t="n">
        <v>35</v>
      </c>
      <c r="F192" t="n">
        <v>19</v>
      </c>
    </row>
    <row r="193">
      <c r="A193" t="inlineStr">
        <is>
          <t>ORD00192</t>
        </is>
      </c>
      <c r="B193" t="inlineStr">
        <is>
          <t>C0192</t>
        </is>
      </c>
      <c r="C193" t="n">
        <v>3</v>
      </c>
      <c r="D193" t="inlineStr">
        <is>
          <t>Hub A</t>
        </is>
      </c>
      <c r="E193" t="n">
        <v>42</v>
      </c>
      <c r="F193" t="n">
        <v>19</v>
      </c>
    </row>
    <row r="194">
      <c r="A194" t="inlineStr">
        <is>
          <t>ORD00193</t>
        </is>
      </c>
      <c r="B194" t="inlineStr">
        <is>
          <t>C0193</t>
        </is>
      </c>
      <c r="C194" t="n">
        <v>1</v>
      </c>
      <c r="D194" t="inlineStr">
        <is>
          <t>Hub A</t>
        </is>
      </c>
      <c r="E194" t="n">
        <v>49</v>
      </c>
      <c r="F194" t="n">
        <v>19</v>
      </c>
    </row>
    <row r="195">
      <c r="A195" t="inlineStr">
        <is>
          <t>ORD00194</t>
        </is>
      </c>
      <c r="B195" t="inlineStr">
        <is>
          <t>C0194</t>
        </is>
      </c>
      <c r="C195" t="n">
        <v>2</v>
      </c>
      <c r="D195" t="inlineStr">
        <is>
          <t>Hub A</t>
        </is>
      </c>
      <c r="E195" t="n">
        <v>56</v>
      </c>
      <c r="F195" t="n">
        <v>19</v>
      </c>
    </row>
    <row r="196">
      <c r="A196" t="inlineStr">
        <is>
          <t>ORD00195</t>
        </is>
      </c>
      <c r="B196" t="inlineStr">
        <is>
          <t>C0195</t>
        </is>
      </c>
      <c r="C196" t="n">
        <v>3</v>
      </c>
      <c r="D196" t="inlineStr">
        <is>
          <t>Hub A</t>
        </is>
      </c>
      <c r="E196" t="n">
        <v>63</v>
      </c>
      <c r="F196" t="n">
        <v>19</v>
      </c>
    </row>
    <row r="197">
      <c r="A197" t="inlineStr">
        <is>
          <t>ORD00196</t>
        </is>
      </c>
      <c r="B197" t="inlineStr">
        <is>
          <t>C0196</t>
        </is>
      </c>
      <c r="C197" t="n">
        <v>1</v>
      </c>
      <c r="D197" t="inlineStr">
        <is>
          <t>Hub A</t>
        </is>
      </c>
      <c r="E197" t="n">
        <v>70</v>
      </c>
      <c r="F197" t="n">
        <v>19</v>
      </c>
    </row>
    <row r="198">
      <c r="A198" t="inlineStr">
        <is>
          <t>ORD00197</t>
        </is>
      </c>
      <c r="B198" t="inlineStr">
        <is>
          <t>C0197</t>
        </is>
      </c>
      <c r="C198" t="n">
        <v>2</v>
      </c>
      <c r="D198" t="inlineStr">
        <is>
          <t>Hub A</t>
        </is>
      </c>
      <c r="E198" t="n">
        <v>77</v>
      </c>
      <c r="F198" t="n">
        <v>19</v>
      </c>
    </row>
    <row r="199">
      <c r="A199" t="inlineStr">
        <is>
          <t>ORD00198</t>
        </is>
      </c>
      <c r="B199" t="inlineStr">
        <is>
          <t>C0198</t>
        </is>
      </c>
      <c r="C199" t="n">
        <v>3</v>
      </c>
      <c r="D199" t="inlineStr">
        <is>
          <t>Hub A</t>
        </is>
      </c>
      <c r="E199" t="n">
        <v>24</v>
      </c>
      <c r="F199" t="n">
        <v>19</v>
      </c>
    </row>
    <row r="200">
      <c r="A200" t="inlineStr">
        <is>
          <t>ORD00199</t>
        </is>
      </c>
      <c r="B200" t="inlineStr">
        <is>
          <t>C0199</t>
        </is>
      </c>
      <c r="C200" t="n">
        <v>1</v>
      </c>
      <c r="D200" t="inlineStr">
        <is>
          <t>Hub A</t>
        </is>
      </c>
      <c r="E200" t="n">
        <v>31</v>
      </c>
      <c r="F200" t="n">
        <v>19</v>
      </c>
    </row>
    <row r="201">
      <c r="A201" t="inlineStr">
        <is>
          <t>ORD00200</t>
        </is>
      </c>
      <c r="B201" t="inlineStr">
        <is>
          <t>C0200</t>
        </is>
      </c>
      <c r="C201" t="n">
        <v>2</v>
      </c>
      <c r="D201" t="inlineStr">
        <is>
          <t>Hub A</t>
        </is>
      </c>
      <c r="E201" t="n">
        <v>38</v>
      </c>
      <c r="F201" t="n">
        <v>19</v>
      </c>
    </row>
    <row r="202">
      <c r="A202" t="inlineStr">
        <is>
          <t>ORD00201</t>
        </is>
      </c>
      <c r="B202" t="inlineStr">
        <is>
          <t>C0201</t>
        </is>
      </c>
      <c r="C202" t="n">
        <v>3</v>
      </c>
      <c r="D202" t="inlineStr">
        <is>
          <t>Hub A</t>
        </is>
      </c>
      <c r="E202" t="n">
        <v>45</v>
      </c>
      <c r="F202" t="n">
        <v>19</v>
      </c>
    </row>
    <row r="203">
      <c r="A203" t="inlineStr">
        <is>
          <t>ORD00202</t>
        </is>
      </c>
      <c r="B203" t="inlineStr">
        <is>
          <t>C0202</t>
        </is>
      </c>
      <c r="C203" t="n">
        <v>1</v>
      </c>
      <c r="D203" t="inlineStr">
        <is>
          <t>Hub A</t>
        </is>
      </c>
      <c r="E203" t="n">
        <v>52</v>
      </c>
      <c r="F203" t="n">
        <v>19</v>
      </c>
    </row>
    <row r="204">
      <c r="A204" t="inlineStr">
        <is>
          <t>ORD00203</t>
        </is>
      </c>
      <c r="B204" t="inlineStr">
        <is>
          <t>C0203</t>
        </is>
      </c>
      <c r="C204" t="n">
        <v>2</v>
      </c>
      <c r="D204" t="inlineStr">
        <is>
          <t>Hub A</t>
        </is>
      </c>
      <c r="E204" t="n">
        <v>59</v>
      </c>
      <c r="F204" t="n">
        <v>19</v>
      </c>
    </row>
    <row r="205">
      <c r="A205" t="inlineStr">
        <is>
          <t>ORD00204</t>
        </is>
      </c>
      <c r="B205" t="inlineStr">
        <is>
          <t>C0204</t>
        </is>
      </c>
      <c r="C205" t="n">
        <v>3</v>
      </c>
      <c r="D205" t="inlineStr">
        <is>
          <t>Hub A</t>
        </is>
      </c>
      <c r="E205" t="n">
        <v>66</v>
      </c>
      <c r="F205" t="n">
        <v>19</v>
      </c>
    </row>
    <row r="206">
      <c r="A206" t="inlineStr">
        <is>
          <t>ORD00205</t>
        </is>
      </c>
      <c r="B206" t="inlineStr">
        <is>
          <t>C0205</t>
        </is>
      </c>
      <c r="C206" t="n">
        <v>1</v>
      </c>
      <c r="D206" t="inlineStr">
        <is>
          <t>Hub A</t>
        </is>
      </c>
      <c r="E206" t="n">
        <v>73</v>
      </c>
      <c r="F206" t="n">
        <v>19</v>
      </c>
    </row>
    <row r="207">
      <c r="A207" t="inlineStr">
        <is>
          <t>ORD00206</t>
        </is>
      </c>
      <c r="B207" t="inlineStr">
        <is>
          <t>C0206</t>
        </is>
      </c>
      <c r="C207" t="n">
        <v>2</v>
      </c>
      <c r="D207" t="inlineStr">
        <is>
          <t>Hub A</t>
        </is>
      </c>
      <c r="E207" t="n">
        <v>20</v>
      </c>
      <c r="F207" t="n">
        <v>19</v>
      </c>
    </row>
    <row r="208">
      <c r="A208" t="inlineStr">
        <is>
          <t>ORD00207</t>
        </is>
      </c>
      <c r="B208" t="inlineStr">
        <is>
          <t>C0207</t>
        </is>
      </c>
      <c r="C208" t="n">
        <v>3</v>
      </c>
      <c r="D208" t="inlineStr">
        <is>
          <t>Hub A</t>
        </is>
      </c>
      <c r="E208" t="n">
        <v>27</v>
      </c>
      <c r="F208" t="n">
        <v>19</v>
      </c>
    </row>
    <row r="209">
      <c r="A209" t="inlineStr">
        <is>
          <t>ORD00208</t>
        </is>
      </c>
      <c r="B209" t="inlineStr">
        <is>
          <t>C0208</t>
        </is>
      </c>
      <c r="C209" t="n">
        <v>1</v>
      </c>
      <c r="D209" t="inlineStr">
        <is>
          <t>Hub A</t>
        </is>
      </c>
      <c r="E209" t="n">
        <v>34</v>
      </c>
      <c r="F209" t="n">
        <v>19</v>
      </c>
    </row>
    <row r="210">
      <c r="A210" t="inlineStr">
        <is>
          <t>ORD00209</t>
        </is>
      </c>
      <c r="B210" t="inlineStr">
        <is>
          <t>C0209</t>
        </is>
      </c>
      <c r="C210" t="n">
        <v>2</v>
      </c>
      <c r="D210" t="inlineStr">
        <is>
          <t>Hub A</t>
        </is>
      </c>
      <c r="E210" t="n">
        <v>41</v>
      </c>
      <c r="F210" t="n">
        <v>19</v>
      </c>
    </row>
    <row r="211">
      <c r="A211" t="inlineStr">
        <is>
          <t>ORD00210</t>
        </is>
      </c>
      <c r="B211" t="inlineStr">
        <is>
          <t>C0210</t>
        </is>
      </c>
      <c r="C211" t="n">
        <v>3</v>
      </c>
      <c r="D211" t="inlineStr">
        <is>
          <t>Hub A</t>
        </is>
      </c>
      <c r="E211" t="n">
        <v>48</v>
      </c>
      <c r="F211" t="n">
        <v>19</v>
      </c>
    </row>
    <row r="212">
      <c r="A212" t="inlineStr">
        <is>
          <t>ORD00211</t>
        </is>
      </c>
      <c r="B212" t="inlineStr">
        <is>
          <t>C0211</t>
        </is>
      </c>
      <c r="C212" t="n">
        <v>1</v>
      </c>
      <c r="D212" t="inlineStr">
        <is>
          <t>Hub A</t>
        </is>
      </c>
      <c r="E212" t="n">
        <v>55</v>
      </c>
      <c r="F212" t="n">
        <v>19</v>
      </c>
    </row>
    <row r="213">
      <c r="A213" t="inlineStr">
        <is>
          <t>ORD00212</t>
        </is>
      </c>
      <c r="B213" t="inlineStr">
        <is>
          <t>C0212</t>
        </is>
      </c>
      <c r="C213" t="n">
        <v>2</v>
      </c>
      <c r="D213" t="inlineStr">
        <is>
          <t>Hub A</t>
        </is>
      </c>
      <c r="E213" t="n">
        <v>62</v>
      </c>
      <c r="F213" t="n">
        <v>19</v>
      </c>
    </row>
    <row r="214">
      <c r="A214" t="inlineStr">
        <is>
          <t>ORD00213</t>
        </is>
      </c>
      <c r="B214" t="inlineStr">
        <is>
          <t>C0213</t>
        </is>
      </c>
      <c r="C214" t="n">
        <v>3</v>
      </c>
      <c r="D214" t="inlineStr">
        <is>
          <t>Hub A</t>
        </is>
      </c>
      <c r="E214" t="n">
        <v>69</v>
      </c>
      <c r="F214" t="n">
        <v>19</v>
      </c>
    </row>
    <row r="215">
      <c r="A215" t="inlineStr">
        <is>
          <t>ORD00214</t>
        </is>
      </c>
      <c r="B215" t="inlineStr">
        <is>
          <t>C0214</t>
        </is>
      </c>
      <c r="C215" t="n">
        <v>1</v>
      </c>
      <c r="D215" t="inlineStr">
        <is>
          <t>Hub A</t>
        </is>
      </c>
      <c r="E215" t="n">
        <v>76</v>
      </c>
      <c r="F215" t="n">
        <v>19</v>
      </c>
    </row>
    <row r="216">
      <c r="A216" t="inlineStr">
        <is>
          <t>ORD00215</t>
        </is>
      </c>
      <c r="B216" t="inlineStr">
        <is>
          <t>C0215</t>
        </is>
      </c>
      <c r="C216" t="n">
        <v>2</v>
      </c>
      <c r="D216" t="inlineStr">
        <is>
          <t>Hub A</t>
        </is>
      </c>
      <c r="E216" t="n">
        <v>23</v>
      </c>
      <c r="F216" t="n">
        <v>19</v>
      </c>
    </row>
    <row r="217">
      <c r="A217" t="inlineStr">
        <is>
          <t>ORD00216</t>
        </is>
      </c>
      <c r="B217" t="inlineStr">
        <is>
          <t>C0216</t>
        </is>
      </c>
      <c r="C217" t="n">
        <v>3</v>
      </c>
      <c r="D217" t="inlineStr">
        <is>
          <t>Hub A</t>
        </is>
      </c>
      <c r="E217" t="n">
        <v>30</v>
      </c>
      <c r="F217" t="n">
        <v>19</v>
      </c>
    </row>
    <row r="218">
      <c r="A218" t="inlineStr">
        <is>
          <t>ORD00217</t>
        </is>
      </c>
      <c r="B218" t="inlineStr">
        <is>
          <t>C0217</t>
        </is>
      </c>
      <c r="C218" t="n">
        <v>1</v>
      </c>
      <c r="D218" t="inlineStr">
        <is>
          <t>Hub A</t>
        </is>
      </c>
      <c r="E218" t="n">
        <v>37</v>
      </c>
      <c r="F218" t="n">
        <v>19</v>
      </c>
    </row>
    <row r="219">
      <c r="A219" t="inlineStr">
        <is>
          <t>ORD00218</t>
        </is>
      </c>
      <c r="B219" t="inlineStr">
        <is>
          <t>C0218</t>
        </is>
      </c>
      <c r="C219" t="n">
        <v>2</v>
      </c>
      <c r="D219" t="inlineStr">
        <is>
          <t>Hub A</t>
        </is>
      </c>
      <c r="E219" t="n">
        <v>44</v>
      </c>
      <c r="F219" t="n">
        <v>19</v>
      </c>
    </row>
    <row r="220">
      <c r="A220" t="inlineStr">
        <is>
          <t>ORD00219</t>
        </is>
      </c>
      <c r="B220" t="inlineStr">
        <is>
          <t>C0219</t>
        </is>
      </c>
      <c r="C220" t="n">
        <v>3</v>
      </c>
      <c r="D220" t="inlineStr">
        <is>
          <t>Hub A</t>
        </is>
      </c>
      <c r="E220" t="n">
        <v>51</v>
      </c>
      <c r="F220" t="n">
        <v>19</v>
      </c>
    </row>
    <row r="221">
      <c r="A221" t="inlineStr">
        <is>
          <t>ORD00220</t>
        </is>
      </c>
      <c r="B221" t="inlineStr">
        <is>
          <t>C0220</t>
        </is>
      </c>
      <c r="C221" t="n">
        <v>1</v>
      </c>
      <c r="D221" t="inlineStr">
        <is>
          <t>Hub A</t>
        </is>
      </c>
      <c r="E221" t="n">
        <v>58</v>
      </c>
      <c r="F221" t="n">
        <v>19</v>
      </c>
    </row>
    <row r="222">
      <c r="A222" t="inlineStr">
        <is>
          <t>ORD00221</t>
        </is>
      </c>
      <c r="B222" t="inlineStr">
        <is>
          <t>C0221</t>
        </is>
      </c>
      <c r="C222" t="n">
        <v>2</v>
      </c>
      <c r="D222" t="inlineStr">
        <is>
          <t>Hub A</t>
        </is>
      </c>
      <c r="E222" t="n">
        <v>65</v>
      </c>
      <c r="F222" t="n">
        <v>19</v>
      </c>
    </row>
    <row r="223">
      <c r="A223" t="inlineStr">
        <is>
          <t>ORD00222</t>
        </is>
      </c>
      <c r="B223" t="inlineStr">
        <is>
          <t>C0222</t>
        </is>
      </c>
      <c r="C223" t="n">
        <v>3</v>
      </c>
      <c r="D223" t="inlineStr">
        <is>
          <t>Hub A</t>
        </is>
      </c>
      <c r="E223" t="n">
        <v>72</v>
      </c>
      <c r="F223" t="n">
        <v>19</v>
      </c>
    </row>
    <row r="224">
      <c r="A224" t="inlineStr">
        <is>
          <t>ORD00223</t>
        </is>
      </c>
      <c r="B224" t="inlineStr">
        <is>
          <t>C0223</t>
        </is>
      </c>
      <c r="C224" t="n">
        <v>1</v>
      </c>
      <c r="D224" t="inlineStr">
        <is>
          <t>Hub A</t>
        </is>
      </c>
      <c r="E224" t="n">
        <v>19</v>
      </c>
      <c r="F224" t="n">
        <v>19</v>
      </c>
    </row>
    <row r="225">
      <c r="A225" t="inlineStr">
        <is>
          <t>ORD00224</t>
        </is>
      </c>
      <c r="B225" t="inlineStr">
        <is>
          <t>C0224</t>
        </is>
      </c>
      <c r="C225" t="n">
        <v>2</v>
      </c>
      <c r="D225" t="inlineStr">
        <is>
          <t>Hub A</t>
        </is>
      </c>
      <c r="E225" t="n">
        <v>26</v>
      </c>
      <c r="F225" t="n">
        <v>19</v>
      </c>
    </row>
    <row r="226">
      <c r="A226" t="inlineStr">
        <is>
          <t>ORD00225</t>
        </is>
      </c>
      <c r="B226" t="inlineStr">
        <is>
          <t>C0225</t>
        </is>
      </c>
      <c r="C226" t="n">
        <v>3</v>
      </c>
      <c r="D226" t="inlineStr">
        <is>
          <t>Hub A</t>
        </is>
      </c>
      <c r="E226" t="n">
        <v>33</v>
      </c>
      <c r="F226" t="n">
        <v>19</v>
      </c>
    </row>
    <row r="227">
      <c r="A227" t="inlineStr">
        <is>
          <t>ORD00226</t>
        </is>
      </c>
      <c r="B227" t="inlineStr">
        <is>
          <t>C0226</t>
        </is>
      </c>
      <c r="C227" t="n">
        <v>1</v>
      </c>
      <c r="D227" t="inlineStr">
        <is>
          <t>Hub A</t>
        </is>
      </c>
      <c r="E227" t="n">
        <v>40</v>
      </c>
      <c r="F227" t="n">
        <v>19</v>
      </c>
    </row>
    <row r="228">
      <c r="A228" t="inlineStr">
        <is>
          <t>ORD00227</t>
        </is>
      </c>
      <c r="B228" t="inlineStr">
        <is>
          <t>C0227</t>
        </is>
      </c>
      <c r="C228" t="n">
        <v>2</v>
      </c>
      <c r="D228" t="inlineStr">
        <is>
          <t>Hub A</t>
        </is>
      </c>
      <c r="E228" t="n">
        <v>47</v>
      </c>
      <c r="F228" t="n">
        <v>19</v>
      </c>
    </row>
    <row r="229">
      <c r="A229" t="inlineStr">
        <is>
          <t>ORD00228</t>
        </is>
      </c>
      <c r="B229" t="inlineStr">
        <is>
          <t>C0228</t>
        </is>
      </c>
      <c r="C229" t="n">
        <v>3</v>
      </c>
      <c r="D229" t="inlineStr">
        <is>
          <t>Hub A</t>
        </is>
      </c>
      <c r="E229" t="n">
        <v>54</v>
      </c>
      <c r="F229" t="n">
        <v>19</v>
      </c>
    </row>
    <row r="230">
      <c r="A230" t="inlineStr">
        <is>
          <t>ORD00229</t>
        </is>
      </c>
      <c r="B230" t="inlineStr">
        <is>
          <t>C0229</t>
        </is>
      </c>
      <c r="C230" t="n">
        <v>1</v>
      </c>
      <c r="D230" t="inlineStr">
        <is>
          <t>Hub A</t>
        </is>
      </c>
      <c r="E230" t="n">
        <v>61</v>
      </c>
      <c r="F230" t="n">
        <v>19</v>
      </c>
    </row>
    <row r="231">
      <c r="A231" t="inlineStr">
        <is>
          <t>ORD00230</t>
        </is>
      </c>
      <c r="B231" t="inlineStr">
        <is>
          <t>C0230</t>
        </is>
      </c>
      <c r="C231" t="n">
        <v>2</v>
      </c>
      <c r="D231" t="inlineStr">
        <is>
          <t>Hub A</t>
        </is>
      </c>
      <c r="E231" t="n">
        <v>68</v>
      </c>
      <c r="F231" t="n">
        <v>19</v>
      </c>
    </row>
    <row r="232">
      <c r="A232" t="inlineStr">
        <is>
          <t>ORD00231</t>
        </is>
      </c>
      <c r="B232" t="inlineStr">
        <is>
          <t>C0231</t>
        </is>
      </c>
      <c r="C232" t="n">
        <v>3</v>
      </c>
      <c r="D232" t="inlineStr">
        <is>
          <t>Hub A</t>
        </is>
      </c>
      <c r="E232" t="n">
        <v>75</v>
      </c>
      <c r="F232" t="n">
        <v>19</v>
      </c>
    </row>
    <row r="233">
      <c r="A233" t="inlineStr">
        <is>
          <t>ORD00232</t>
        </is>
      </c>
      <c r="B233" t="inlineStr">
        <is>
          <t>C0232</t>
        </is>
      </c>
      <c r="C233" t="n">
        <v>1</v>
      </c>
      <c r="D233" t="inlineStr">
        <is>
          <t>Hub A</t>
        </is>
      </c>
      <c r="E233" t="n">
        <v>22</v>
      </c>
      <c r="F233" t="n">
        <v>19</v>
      </c>
    </row>
    <row r="234">
      <c r="A234" t="inlineStr">
        <is>
          <t>ORD00233</t>
        </is>
      </c>
      <c r="B234" t="inlineStr">
        <is>
          <t>C0233</t>
        </is>
      </c>
      <c r="C234" t="n">
        <v>2</v>
      </c>
      <c r="D234" t="inlineStr">
        <is>
          <t>Hub A</t>
        </is>
      </c>
      <c r="E234" t="n">
        <v>29</v>
      </c>
      <c r="F234" t="n">
        <v>19</v>
      </c>
    </row>
    <row r="235">
      <c r="A235" t="inlineStr">
        <is>
          <t>ORD00234</t>
        </is>
      </c>
      <c r="B235" t="inlineStr">
        <is>
          <t>C0234</t>
        </is>
      </c>
      <c r="C235" t="n">
        <v>3</v>
      </c>
      <c r="D235" t="inlineStr">
        <is>
          <t>Hub A</t>
        </is>
      </c>
      <c r="E235" t="n">
        <v>36</v>
      </c>
      <c r="F235" t="n">
        <v>19</v>
      </c>
    </row>
    <row r="236">
      <c r="A236" t="inlineStr">
        <is>
          <t>ORD00235</t>
        </is>
      </c>
      <c r="B236" t="inlineStr">
        <is>
          <t>C0235</t>
        </is>
      </c>
      <c r="C236" t="n">
        <v>1</v>
      </c>
      <c r="D236" t="inlineStr">
        <is>
          <t>Hub A</t>
        </is>
      </c>
      <c r="E236" t="n">
        <v>43</v>
      </c>
      <c r="F236" t="n">
        <v>19</v>
      </c>
    </row>
    <row r="237">
      <c r="A237" t="inlineStr">
        <is>
          <t>ORD00236</t>
        </is>
      </c>
      <c r="B237" t="inlineStr">
        <is>
          <t>C0236</t>
        </is>
      </c>
      <c r="C237" t="n">
        <v>2</v>
      </c>
      <c r="D237" t="inlineStr">
        <is>
          <t>Hub A</t>
        </is>
      </c>
      <c r="E237" t="n">
        <v>50</v>
      </c>
      <c r="F237" t="n">
        <v>19</v>
      </c>
    </row>
    <row r="238">
      <c r="A238" t="inlineStr">
        <is>
          <t>ORD00237</t>
        </is>
      </c>
      <c r="B238" t="inlineStr">
        <is>
          <t>C0237</t>
        </is>
      </c>
      <c r="C238" t="n">
        <v>3</v>
      </c>
      <c r="D238" t="inlineStr">
        <is>
          <t>Hub A</t>
        </is>
      </c>
      <c r="E238" t="n">
        <v>57</v>
      </c>
      <c r="F238" t="n">
        <v>19</v>
      </c>
    </row>
    <row r="239">
      <c r="A239" t="inlineStr">
        <is>
          <t>ORD00238</t>
        </is>
      </c>
      <c r="B239" t="inlineStr">
        <is>
          <t>C0238</t>
        </is>
      </c>
      <c r="C239" t="n">
        <v>1</v>
      </c>
      <c r="D239" t="inlineStr">
        <is>
          <t>Hub A</t>
        </is>
      </c>
      <c r="E239" t="n">
        <v>64</v>
      </c>
      <c r="F239" t="n">
        <v>19</v>
      </c>
    </row>
    <row r="240">
      <c r="A240" t="inlineStr">
        <is>
          <t>ORD00239</t>
        </is>
      </c>
      <c r="B240" t="inlineStr">
        <is>
          <t>C0239</t>
        </is>
      </c>
      <c r="C240" t="n">
        <v>2</v>
      </c>
      <c r="D240" t="inlineStr">
        <is>
          <t>Hub A</t>
        </is>
      </c>
      <c r="E240" t="n">
        <v>71</v>
      </c>
      <c r="F240" t="n">
        <v>19</v>
      </c>
    </row>
    <row r="241">
      <c r="A241" t="inlineStr">
        <is>
          <t>ORD00240</t>
        </is>
      </c>
      <c r="B241" t="inlineStr">
        <is>
          <t>C0240</t>
        </is>
      </c>
      <c r="C241" t="n">
        <v>3</v>
      </c>
      <c r="D241" t="inlineStr">
        <is>
          <t>Hub A</t>
        </is>
      </c>
      <c r="E241" t="n">
        <v>18</v>
      </c>
      <c r="F241" t="n">
        <v>19</v>
      </c>
    </row>
    <row r="242">
      <c r="A242" t="inlineStr">
        <is>
          <t>ORD00241</t>
        </is>
      </c>
      <c r="B242" t="inlineStr">
        <is>
          <t>C0241</t>
        </is>
      </c>
      <c r="C242" t="n">
        <v>1</v>
      </c>
      <c r="D242" t="inlineStr">
        <is>
          <t>Hub A</t>
        </is>
      </c>
      <c r="E242" t="n">
        <v>25</v>
      </c>
      <c r="F242" t="n">
        <v>19</v>
      </c>
    </row>
    <row r="243">
      <c r="A243" t="inlineStr">
        <is>
          <t>ORD00242</t>
        </is>
      </c>
      <c r="B243" t="inlineStr">
        <is>
          <t>C0242</t>
        </is>
      </c>
      <c r="C243" t="n">
        <v>2</v>
      </c>
      <c r="D243" t="inlineStr">
        <is>
          <t>Hub A</t>
        </is>
      </c>
      <c r="E243" t="n">
        <v>32</v>
      </c>
      <c r="F243" t="n">
        <v>19</v>
      </c>
    </row>
    <row r="244">
      <c r="A244" t="inlineStr">
        <is>
          <t>ORD00243</t>
        </is>
      </c>
      <c r="B244" t="inlineStr">
        <is>
          <t>C0243</t>
        </is>
      </c>
      <c r="C244" t="n">
        <v>3</v>
      </c>
      <c r="D244" t="inlineStr">
        <is>
          <t>Hub A</t>
        </is>
      </c>
      <c r="E244" t="n">
        <v>39</v>
      </c>
      <c r="F244" t="n">
        <v>19</v>
      </c>
    </row>
    <row r="245">
      <c r="A245" t="inlineStr">
        <is>
          <t>ORD00244</t>
        </is>
      </c>
      <c r="B245" t="inlineStr">
        <is>
          <t>C0244</t>
        </is>
      </c>
      <c r="C245" t="n">
        <v>1</v>
      </c>
      <c r="D245" t="inlineStr">
        <is>
          <t>Hub A</t>
        </is>
      </c>
      <c r="E245" t="n">
        <v>46</v>
      </c>
      <c r="F245" t="n">
        <v>19</v>
      </c>
    </row>
    <row r="246">
      <c r="A246" t="inlineStr">
        <is>
          <t>ORD00245</t>
        </is>
      </c>
      <c r="B246" t="inlineStr">
        <is>
          <t>C0245</t>
        </is>
      </c>
      <c r="C246" t="n">
        <v>2</v>
      </c>
      <c r="D246" t="inlineStr">
        <is>
          <t>Hub A</t>
        </is>
      </c>
      <c r="E246" t="n">
        <v>53</v>
      </c>
      <c r="F246" t="n">
        <v>19</v>
      </c>
    </row>
    <row r="247">
      <c r="A247" t="inlineStr">
        <is>
          <t>ORD00246</t>
        </is>
      </c>
      <c r="B247" t="inlineStr">
        <is>
          <t>C0246</t>
        </is>
      </c>
      <c r="C247" t="n">
        <v>3</v>
      </c>
      <c r="D247" t="inlineStr">
        <is>
          <t>Hub A</t>
        </is>
      </c>
      <c r="E247" t="n">
        <v>60</v>
      </c>
      <c r="F247" t="n">
        <v>19</v>
      </c>
    </row>
    <row r="248">
      <c r="A248" t="inlineStr">
        <is>
          <t>ORD00247</t>
        </is>
      </c>
      <c r="B248" t="inlineStr">
        <is>
          <t>C0247</t>
        </is>
      </c>
      <c r="C248" t="n">
        <v>1</v>
      </c>
      <c r="D248" t="inlineStr">
        <is>
          <t>Hub A</t>
        </is>
      </c>
      <c r="E248" t="n">
        <v>67</v>
      </c>
      <c r="F248" t="n">
        <v>19</v>
      </c>
    </row>
    <row r="249">
      <c r="A249" t="inlineStr">
        <is>
          <t>ORD00248</t>
        </is>
      </c>
      <c r="B249" t="inlineStr">
        <is>
          <t>C0248</t>
        </is>
      </c>
      <c r="C249" t="n">
        <v>2</v>
      </c>
      <c r="D249" t="inlineStr">
        <is>
          <t>Hub A</t>
        </is>
      </c>
      <c r="E249" t="n">
        <v>74</v>
      </c>
      <c r="F249" t="n">
        <v>19</v>
      </c>
    </row>
    <row r="250">
      <c r="A250" t="inlineStr">
        <is>
          <t>ORD00249</t>
        </is>
      </c>
      <c r="B250" t="inlineStr">
        <is>
          <t>C0249</t>
        </is>
      </c>
      <c r="C250" t="n">
        <v>3</v>
      </c>
      <c r="D250" t="inlineStr">
        <is>
          <t>Hub A</t>
        </is>
      </c>
      <c r="E250" t="n">
        <v>21</v>
      </c>
      <c r="F250" t="n">
        <v>19</v>
      </c>
    </row>
    <row r="251">
      <c r="A251" t="inlineStr">
        <is>
          <t>ORD00250</t>
        </is>
      </c>
      <c r="B251" t="inlineStr">
        <is>
          <t>C0250</t>
        </is>
      </c>
      <c r="C251" t="n">
        <v>1</v>
      </c>
      <c r="D251" t="inlineStr">
        <is>
          <t>Hub A</t>
        </is>
      </c>
      <c r="E251" t="n">
        <v>28</v>
      </c>
      <c r="F251" t="n">
        <v>19</v>
      </c>
    </row>
    <row r="252">
      <c r="A252" t="inlineStr">
        <is>
          <t>ORD00251</t>
        </is>
      </c>
      <c r="B252" t="inlineStr">
        <is>
          <t>C0251</t>
        </is>
      </c>
      <c r="C252" t="n">
        <v>2</v>
      </c>
      <c r="D252" t="inlineStr">
        <is>
          <t>Hub A</t>
        </is>
      </c>
      <c r="E252" t="n">
        <v>35</v>
      </c>
      <c r="F252" t="n">
        <v>19</v>
      </c>
    </row>
    <row r="253">
      <c r="A253" t="inlineStr">
        <is>
          <t>ORD00252</t>
        </is>
      </c>
      <c r="B253" t="inlineStr">
        <is>
          <t>C0252</t>
        </is>
      </c>
      <c r="C253" t="n">
        <v>3</v>
      </c>
      <c r="D253" t="inlineStr">
        <is>
          <t>Hub A</t>
        </is>
      </c>
      <c r="E253" t="n">
        <v>42</v>
      </c>
      <c r="F253" t="n">
        <v>19</v>
      </c>
    </row>
    <row r="254">
      <c r="A254" t="inlineStr">
        <is>
          <t>ORD00253</t>
        </is>
      </c>
      <c r="B254" t="inlineStr">
        <is>
          <t>C0253</t>
        </is>
      </c>
      <c r="C254" t="n">
        <v>1</v>
      </c>
      <c r="D254" t="inlineStr">
        <is>
          <t>Hub A</t>
        </is>
      </c>
      <c r="E254" t="n">
        <v>49</v>
      </c>
      <c r="F254" t="n">
        <v>19</v>
      </c>
    </row>
    <row r="255">
      <c r="A255" t="inlineStr">
        <is>
          <t>ORD00254</t>
        </is>
      </c>
      <c r="B255" t="inlineStr">
        <is>
          <t>C0254</t>
        </is>
      </c>
      <c r="C255" t="n">
        <v>2</v>
      </c>
      <c r="D255" t="inlineStr">
        <is>
          <t>Hub A</t>
        </is>
      </c>
      <c r="E255" t="n">
        <v>56</v>
      </c>
      <c r="F255" t="n">
        <v>19</v>
      </c>
    </row>
    <row r="256">
      <c r="A256" t="inlineStr">
        <is>
          <t>ORD00255</t>
        </is>
      </c>
      <c r="B256" t="inlineStr">
        <is>
          <t>C0255</t>
        </is>
      </c>
      <c r="C256" t="n">
        <v>3</v>
      </c>
      <c r="D256" t="inlineStr">
        <is>
          <t>Hub A</t>
        </is>
      </c>
      <c r="E256" t="n">
        <v>63</v>
      </c>
      <c r="F256" t="n">
        <v>19</v>
      </c>
    </row>
    <row r="257">
      <c r="A257" t="inlineStr">
        <is>
          <t>ORD00256</t>
        </is>
      </c>
      <c r="B257" t="inlineStr">
        <is>
          <t>C0256</t>
        </is>
      </c>
      <c r="C257" t="n">
        <v>1</v>
      </c>
      <c r="D257" t="inlineStr">
        <is>
          <t>Hub A</t>
        </is>
      </c>
      <c r="E257" t="n">
        <v>70</v>
      </c>
      <c r="F257" t="n">
        <v>19</v>
      </c>
    </row>
    <row r="258">
      <c r="A258" t="inlineStr">
        <is>
          <t>ORD00257</t>
        </is>
      </c>
      <c r="B258" t="inlineStr">
        <is>
          <t>C0257</t>
        </is>
      </c>
      <c r="C258" t="n">
        <v>2</v>
      </c>
      <c r="D258" t="inlineStr">
        <is>
          <t>Hub A</t>
        </is>
      </c>
      <c r="E258" t="n">
        <v>77</v>
      </c>
      <c r="F258" t="n">
        <v>19</v>
      </c>
    </row>
    <row r="259">
      <c r="A259" t="inlineStr">
        <is>
          <t>ORD00258</t>
        </is>
      </c>
      <c r="B259" t="inlineStr">
        <is>
          <t>C0258</t>
        </is>
      </c>
      <c r="C259" t="n">
        <v>3</v>
      </c>
      <c r="D259" t="inlineStr">
        <is>
          <t>Hub A</t>
        </is>
      </c>
      <c r="E259" t="n">
        <v>24</v>
      </c>
      <c r="F259" t="n">
        <v>19</v>
      </c>
    </row>
    <row r="260">
      <c r="A260" t="inlineStr">
        <is>
          <t>ORD00259</t>
        </is>
      </c>
      <c r="B260" t="inlineStr">
        <is>
          <t>C0259</t>
        </is>
      </c>
      <c r="C260" t="n">
        <v>1</v>
      </c>
      <c r="D260" t="inlineStr">
        <is>
          <t>Hub A</t>
        </is>
      </c>
      <c r="E260" t="n">
        <v>31</v>
      </c>
      <c r="F260" t="n">
        <v>19</v>
      </c>
    </row>
    <row r="261">
      <c r="A261" t="inlineStr">
        <is>
          <t>ORD00260</t>
        </is>
      </c>
      <c r="B261" t="inlineStr">
        <is>
          <t>C0260</t>
        </is>
      </c>
      <c r="C261" t="n">
        <v>2</v>
      </c>
      <c r="D261" t="inlineStr">
        <is>
          <t>Hub A</t>
        </is>
      </c>
      <c r="E261" t="n">
        <v>38</v>
      </c>
      <c r="F261" t="n">
        <v>19</v>
      </c>
    </row>
    <row r="262">
      <c r="A262" t="inlineStr">
        <is>
          <t>ORD00261</t>
        </is>
      </c>
      <c r="B262" t="inlineStr">
        <is>
          <t>C0261</t>
        </is>
      </c>
      <c r="C262" t="n">
        <v>3</v>
      </c>
      <c r="D262" t="inlineStr">
        <is>
          <t>Hub A</t>
        </is>
      </c>
      <c r="E262" t="n">
        <v>45</v>
      </c>
      <c r="F262" t="n">
        <v>19</v>
      </c>
    </row>
    <row r="263">
      <c r="A263" t="inlineStr">
        <is>
          <t>ORD00262</t>
        </is>
      </c>
      <c r="B263" t="inlineStr">
        <is>
          <t>C0262</t>
        </is>
      </c>
      <c r="C263" t="n">
        <v>1</v>
      </c>
      <c r="D263" t="inlineStr">
        <is>
          <t>Hub A</t>
        </is>
      </c>
      <c r="E263" t="n">
        <v>52</v>
      </c>
      <c r="F263" t="n">
        <v>19</v>
      </c>
    </row>
    <row r="264">
      <c r="A264" t="inlineStr">
        <is>
          <t>ORD00263</t>
        </is>
      </c>
      <c r="B264" t="inlineStr">
        <is>
          <t>C0263</t>
        </is>
      </c>
      <c r="C264" t="n">
        <v>2</v>
      </c>
      <c r="D264" t="inlineStr">
        <is>
          <t>Hub A</t>
        </is>
      </c>
      <c r="E264" t="n">
        <v>59</v>
      </c>
      <c r="F264" t="n">
        <v>19</v>
      </c>
    </row>
    <row r="265">
      <c r="A265" t="inlineStr">
        <is>
          <t>ORD00264</t>
        </is>
      </c>
      <c r="B265" t="inlineStr">
        <is>
          <t>C0264</t>
        </is>
      </c>
      <c r="C265" t="n">
        <v>3</v>
      </c>
      <c r="D265" t="inlineStr">
        <is>
          <t>Hub A</t>
        </is>
      </c>
      <c r="E265" t="n">
        <v>66</v>
      </c>
      <c r="F265" t="n">
        <v>19</v>
      </c>
    </row>
    <row r="266">
      <c r="A266" t="inlineStr">
        <is>
          <t>ORD00265</t>
        </is>
      </c>
      <c r="B266" t="inlineStr">
        <is>
          <t>C0265</t>
        </is>
      </c>
      <c r="C266" t="n">
        <v>1</v>
      </c>
      <c r="D266" t="inlineStr">
        <is>
          <t>Hub A</t>
        </is>
      </c>
      <c r="E266" t="n">
        <v>73</v>
      </c>
      <c r="F266" t="n">
        <v>19</v>
      </c>
    </row>
    <row r="267">
      <c r="A267" t="inlineStr">
        <is>
          <t>ORD00266</t>
        </is>
      </c>
      <c r="B267" t="inlineStr">
        <is>
          <t>C0266</t>
        </is>
      </c>
      <c r="C267" t="n">
        <v>2</v>
      </c>
      <c r="D267" t="inlineStr">
        <is>
          <t>Hub A</t>
        </is>
      </c>
      <c r="E267" t="n">
        <v>20</v>
      </c>
      <c r="F267" t="n">
        <v>19</v>
      </c>
    </row>
    <row r="268">
      <c r="A268" t="inlineStr">
        <is>
          <t>ORD00267</t>
        </is>
      </c>
      <c r="B268" t="inlineStr">
        <is>
          <t>C0267</t>
        </is>
      </c>
      <c r="C268" t="n">
        <v>3</v>
      </c>
      <c r="D268" t="inlineStr">
        <is>
          <t>Hub A</t>
        </is>
      </c>
      <c r="E268" t="n">
        <v>27</v>
      </c>
      <c r="F268" t="n">
        <v>19</v>
      </c>
    </row>
    <row r="269">
      <c r="A269" t="inlineStr">
        <is>
          <t>ORD00268</t>
        </is>
      </c>
      <c r="B269" t="inlineStr">
        <is>
          <t>C0268</t>
        </is>
      </c>
      <c r="C269" t="n">
        <v>1</v>
      </c>
      <c r="D269" t="inlineStr">
        <is>
          <t>Hub A</t>
        </is>
      </c>
      <c r="E269" t="n">
        <v>34</v>
      </c>
      <c r="F269" t="n">
        <v>19</v>
      </c>
    </row>
    <row r="270">
      <c r="A270" t="inlineStr">
        <is>
          <t>ORD00269</t>
        </is>
      </c>
      <c r="B270" t="inlineStr">
        <is>
          <t>C0269</t>
        </is>
      </c>
      <c r="C270" t="n">
        <v>2</v>
      </c>
      <c r="D270" t="inlineStr">
        <is>
          <t>Hub A</t>
        </is>
      </c>
      <c r="E270" t="n">
        <v>41</v>
      </c>
      <c r="F270" t="n">
        <v>19</v>
      </c>
    </row>
    <row r="271">
      <c r="A271" t="inlineStr">
        <is>
          <t>ORD00270</t>
        </is>
      </c>
      <c r="B271" t="inlineStr">
        <is>
          <t>C0270</t>
        </is>
      </c>
      <c r="C271" t="n">
        <v>3</v>
      </c>
      <c r="D271" t="inlineStr">
        <is>
          <t>Hub A</t>
        </is>
      </c>
      <c r="E271" t="n">
        <v>48</v>
      </c>
      <c r="F271" t="n">
        <v>19</v>
      </c>
    </row>
    <row r="272">
      <c r="A272" t="inlineStr">
        <is>
          <t>ORD00271</t>
        </is>
      </c>
      <c r="B272" t="inlineStr">
        <is>
          <t>C0271</t>
        </is>
      </c>
      <c r="C272" t="n">
        <v>1</v>
      </c>
      <c r="D272" t="inlineStr">
        <is>
          <t>Hub A</t>
        </is>
      </c>
      <c r="E272" t="n">
        <v>55</v>
      </c>
      <c r="F272" t="n">
        <v>19</v>
      </c>
    </row>
    <row r="273">
      <c r="A273" t="inlineStr">
        <is>
          <t>ORD00272</t>
        </is>
      </c>
      <c r="B273" t="inlineStr">
        <is>
          <t>C0272</t>
        </is>
      </c>
      <c r="C273" t="n">
        <v>2</v>
      </c>
      <c r="D273" t="inlineStr">
        <is>
          <t>Hub A</t>
        </is>
      </c>
      <c r="E273" t="n">
        <v>62</v>
      </c>
      <c r="F273" t="n">
        <v>19</v>
      </c>
    </row>
    <row r="274">
      <c r="A274" t="inlineStr">
        <is>
          <t>ORD00273</t>
        </is>
      </c>
      <c r="B274" t="inlineStr">
        <is>
          <t>C0273</t>
        </is>
      </c>
      <c r="C274" t="n">
        <v>3</v>
      </c>
      <c r="D274" t="inlineStr">
        <is>
          <t>Hub A</t>
        </is>
      </c>
      <c r="E274" t="n">
        <v>69</v>
      </c>
      <c r="F274" t="n">
        <v>19</v>
      </c>
    </row>
    <row r="275">
      <c r="A275" t="inlineStr">
        <is>
          <t>ORD00274</t>
        </is>
      </c>
      <c r="B275" t="inlineStr">
        <is>
          <t>C0274</t>
        </is>
      </c>
      <c r="C275" t="n">
        <v>1</v>
      </c>
      <c r="D275" t="inlineStr">
        <is>
          <t>Hub A</t>
        </is>
      </c>
      <c r="E275" t="n">
        <v>76</v>
      </c>
      <c r="F275" t="n">
        <v>19</v>
      </c>
    </row>
    <row r="276">
      <c r="A276" t="inlineStr">
        <is>
          <t>ORD00275</t>
        </is>
      </c>
      <c r="B276" t="inlineStr">
        <is>
          <t>C0275</t>
        </is>
      </c>
      <c r="C276" t="n">
        <v>2</v>
      </c>
      <c r="D276" t="inlineStr">
        <is>
          <t>Hub A</t>
        </is>
      </c>
      <c r="E276" t="n">
        <v>23</v>
      </c>
      <c r="F276" t="n">
        <v>19</v>
      </c>
    </row>
    <row r="277">
      <c r="A277" t="inlineStr">
        <is>
          <t>ORD00276</t>
        </is>
      </c>
      <c r="B277" t="inlineStr">
        <is>
          <t>C0276</t>
        </is>
      </c>
      <c r="C277" t="n">
        <v>3</v>
      </c>
      <c r="D277" t="inlineStr">
        <is>
          <t>Hub A</t>
        </is>
      </c>
      <c r="E277" t="n">
        <v>30</v>
      </c>
      <c r="F277" t="n">
        <v>19</v>
      </c>
    </row>
    <row r="278">
      <c r="A278" t="inlineStr">
        <is>
          <t>ORD00277</t>
        </is>
      </c>
      <c r="B278" t="inlineStr">
        <is>
          <t>C0277</t>
        </is>
      </c>
      <c r="C278" t="n">
        <v>1</v>
      </c>
      <c r="D278" t="inlineStr">
        <is>
          <t>Hub A</t>
        </is>
      </c>
      <c r="E278" t="n">
        <v>37</v>
      </c>
      <c r="F278" t="n">
        <v>19</v>
      </c>
    </row>
    <row r="279">
      <c r="A279" t="inlineStr">
        <is>
          <t>ORD00278</t>
        </is>
      </c>
      <c r="B279" t="inlineStr">
        <is>
          <t>C0278</t>
        </is>
      </c>
      <c r="C279" t="n">
        <v>2</v>
      </c>
      <c r="D279" t="inlineStr">
        <is>
          <t>Hub A</t>
        </is>
      </c>
      <c r="E279" t="n">
        <v>44</v>
      </c>
      <c r="F279" t="n">
        <v>19</v>
      </c>
    </row>
    <row r="280">
      <c r="A280" t="inlineStr">
        <is>
          <t>ORD00279</t>
        </is>
      </c>
      <c r="B280" t="inlineStr">
        <is>
          <t>C0279</t>
        </is>
      </c>
      <c r="C280" t="n">
        <v>3</v>
      </c>
      <c r="D280" t="inlineStr">
        <is>
          <t>Hub A</t>
        </is>
      </c>
      <c r="E280" t="n">
        <v>51</v>
      </c>
      <c r="F280" t="n">
        <v>19</v>
      </c>
    </row>
    <row r="281">
      <c r="A281" t="inlineStr">
        <is>
          <t>ORD00280</t>
        </is>
      </c>
      <c r="B281" t="inlineStr">
        <is>
          <t>C0280</t>
        </is>
      </c>
      <c r="C281" t="n">
        <v>1</v>
      </c>
      <c r="D281" t="inlineStr">
        <is>
          <t>Hub A</t>
        </is>
      </c>
      <c r="E281" t="n">
        <v>58</v>
      </c>
      <c r="F281" t="n">
        <v>19</v>
      </c>
    </row>
    <row r="282">
      <c r="A282" t="inlineStr">
        <is>
          <t>ORD00281</t>
        </is>
      </c>
      <c r="B282" t="inlineStr">
        <is>
          <t>C0281</t>
        </is>
      </c>
      <c r="C282" t="n">
        <v>2</v>
      </c>
      <c r="D282" t="inlineStr">
        <is>
          <t>Hub A</t>
        </is>
      </c>
      <c r="E282" t="n">
        <v>65</v>
      </c>
      <c r="F282" t="n">
        <v>19</v>
      </c>
    </row>
    <row r="283">
      <c r="A283" t="inlineStr">
        <is>
          <t>ORD00282</t>
        </is>
      </c>
      <c r="B283" t="inlineStr">
        <is>
          <t>C0282</t>
        </is>
      </c>
      <c r="C283" t="n">
        <v>3</v>
      </c>
      <c r="D283" t="inlineStr">
        <is>
          <t>Hub A</t>
        </is>
      </c>
      <c r="E283" t="n">
        <v>72</v>
      </c>
      <c r="F283" t="n">
        <v>19</v>
      </c>
    </row>
    <row r="284">
      <c r="A284" t="inlineStr">
        <is>
          <t>ORD00283</t>
        </is>
      </c>
      <c r="B284" t="inlineStr">
        <is>
          <t>C0283</t>
        </is>
      </c>
      <c r="C284" t="n">
        <v>1</v>
      </c>
      <c r="D284" t="inlineStr">
        <is>
          <t>Hub A</t>
        </is>
      </c>
      <c r="E284" t="n">
        <v>19</v>
      </c>
      <c r="F284" t="n">
        <v>19</v>
      </c>
    </row>
    <row r="285">
      <c r="A285" t="inlineStr">
        <is>
          <t>ORD00284</t>
        </is>
      </c>
      <c r="B285" t="inlineStr">
        <is>
          <t>C0284</t>
        </is>
      </c>
      <c r="C285" t="n">
        <v>2</v>
      </c>
      <c r="D285" t="inlineStr">
        <is>
          <t>Hub A</t>
        </is>
      </c>
      <c r="E285" t="n">
        <v>26</v>
      </c>
      <c r="F285" t="n">
        <v>19</v>
      </c>
    </row>
    <row r="286">
      <c r="A286" t="inlineStr">
        <is>
          <t>ORD00285</t>
        </is>
      </c>
      <c r="B286" t="inlineStr">
        <is>
          <t>C0285</t>
        </is>
      </c>
      <c r="C286" t="n">
        <v>3</v>
      </c>
      <c r="D286" t="inlineStr">
        <is>
          <t>Hub A</t>
        </is>
      </c>
      <c r="E286" t="n">
        <v>33</v>
      </c>
      <c r="F286" t="n">
        <v>19</v>
      </c>
    </row>
    <row r="287">
      <c r="A287" t="inlineStr">
        <is>
          <t>ORD00286</t>
        </is>
      </c>
      <c r="B287" t="inlineStr">
        <is>
          <t>C0286</t>
        </is>
      </c>
      <c r="C287" t="n">
        <v>1</v>
      </c>
      <c r="D287" t="inlineStr">
        <is>
          <t>Hub A</t>
        </is>
      </c>
      <c r="E287" t="n">
        <v>40</v>
      </c>
      <c r="F287" t="n">
        <v>19</v>
      </c>
    </row>
    <row r="288">
      <c r="A288" t="inlineStr">
        <is>
          <t>ORD00287</t>
        </is>
      </c>
      <c r="B288" t="inlineStr">
        <is>
          <t>C0287</t>
        </is>
      </c>
      <c r="C288" t="n">
        <v>2</v>
      </c>
      <c r="D288" t="inlineStr">
        <is>
          <t>Hub A</t>
        </is>
      </c>
      <c r="E288" t="n">
        <v>47</v>
      </c>
      <c r="F288" t="n">
        <v>19</v>
      </c>
    </row>
    <row r="289">
      <c r="A289" t="inlineStr">
        <is>
          <t>ORD00288</t>
        </is>
      </c>
      <c r="B289" t="inlineStr">
        <is>
          <t>C0288</t>
        </is>
      </c>
      <c r="C289" t="n">
        <v>3</v>
      </c>
      <c r="D289" t="inlineStr">
        <is>
          <t>Hub A</t>
        </is>
      </c>
      <c r="E289" t="n">
        <v>54</v>
      </c>
      <c r="F289" t="n">
        <v>19</v>
      </c>
    </row>
    <row r="290">
      <c r="A290" t="inlineStr">
        <is>
          <t>ORD00289</t>
        </is>
      </c>
      <c r="B290" t="inlineStr">
        <is>
          <t>C0289</t>
        </is>
      </c>
      <c r="C290" t="n">
        <v>1</v>
      </c>
      <c r="D290" t="inlineStr">
        <is>
          <t>Hub A</t>
        </is>
      </c>
      <c r="E290" t="n">
        <v>61</v>
      </c>
      <c r="F290" t="n">
        <v>19</v>
      </c>
    </row>
    <row r="291">
      <c r="A291" t="inlineStr">
        <is>
          <t>ORD00290</t>
        </is>
      </c>
      <c r="B291" t="inlineStr">
        <is>
          <t>C0290</t>
        </is>
      </c>
      <c r="C291" t="n">
        <v>2</v>
      </c>
      <c r="D291" t="inlineStr">
        <is>
          <t>Hub A</t>
        </is>
      </c>
      <c r="E291" t="n">
        <v>68</v>
      </c>
      <c r="F291" t="n">
        <v>19</v>
      </c>
    </row>
    <row r="292">
      <c r="A292" t="inlineStr">
        <is>
          <t>ORD00291</t>
        </is>
      </c>
      <c r="B292" t="inlineStr">
        <is>
          <t>C0291</t>
        </is>
      </c>
      <c r="C292" t="n">
        <v>3</v>
      </c>
      <c r="D292" t="inlineStr">
        <is>
          <t>Hub A</t>
        </is>
      </c>
      <c r="E292" t="n">
        <v>75</v>
      </c>
      <c r="F292" t="n">
        <v>19</v>
      </c>
    </row>
    <row r="293">
      <c r="A293" t="inlineStr">
        <is>
          <t>ORD00292</t>
        </is>
      </c>
      <c r="B293" t="inlineStr">
        <is>
          <t>C0292</t>
        </is>
      </c>
      <c r="C293" t="n">
        <v>1</v>
      </c>
      <c r="D293" t="inlineStr">
        <is>
          <t>Hub A</t>
        </is>
      </c>
      <c r="E293" t="n">
        <v>22</v>
      </c>
      <c r="F293" t="n">
        <v>19</v>
      </c>
    </row>
    <row r="294">
      <c r="A294" t="inlineStr">
        <is>
          <t>ORD00293</t>
        </is>
      </c>
      <c r="B294" t="inlineStr">
        <is>
          <t>C0293</t>
        </is>
      </c>
      <c r="C294" t="n">
        <v>2</v>
      </c>
      <c r="D294" t="inlineStr">
        <is>
          <t>Hub A</t>
        </is>
      </c>
      <c r="E294" t="n">
        <v>29</v>
      </c>
      <c r="F294" t="n">
        <v>19</v>
      </c>
    </row>
    <row r="295">
      <c r="A295" t="inlineStr">
        <is>
          <t>ORD00294</t>
        </is>
      </c>
      <c r="B295" t="inlineStr">
        <is>
          <t>C0294</t>
        </is>
      </c>
      <c r="C295" t="n">
        <v>3</v>
      </c>
      <c r="D295" t="inlineStr">
        <is>
          <t>Hub A</t>
        </is>
      </c>
      <c r="E295" t="n">
        <v>36</v>
      </c>
      <c r="F295" t="n">
        <v>19</v>
      </c>
    </row>
    <row r="296">
      <c r="A296" t="inlineStr">
        <is>
          <t>ORD00295</t>
        </is>
      </c>
      <c r="B296" t="inlineStr">
        <is>
          <t>C0295</t>
        </is>
      </c>
      <c r="C296" t="n">
        <v>1</v>
      </c>
      <c r="D296" t="inlineStr">
        <is>
          <t>Hub A</t>
        </is>
      </c>
      <c r="E296" t="n">
        <v>43</v>
      </c>
      <c r="F296" t="n">
        <v>19</v>
      </c>
    </row>
    <row r="297">
      <c r="A297" t="inlineStr">
        <is>
          <t>ORD00296</t>
        </is>
      </c>
      <c r="B297" t="inlineStr">
        <is>
          <t>C0296</t>
        </is>
      </c>
      <c r="C297" t="n">
        <v>2</v>
      </c>
      <c r="D297" t="inlineStr">
        <is>
          <t>Hub A</t>
        </is>
      </c>
      <c r="E297" t="n">
        <v>50</v>
      </c>
      <c r="F297" t="n">
        <v>19</v>
      </c>
    </row>
    <row r="298">
      <c r="A298" t="inlineStr">
        <is>
          <t>ORD00297</t>
        </is>
      </c>
      <c r="B298" t="inlineStr">
        <is>
          <t>C0297</t>
        </is>
      </c>
      <c r="C298" t="n">
        <v>3</v>
      </c>
      <c r="D298" t="inlineStr">
        <is>
          <t>Hub A</t>
        </is>
      </c>
      <c r="E298" t="n">
        <v>57</v>
      </c>
      <c r="F298" t="n">
        <v>19</v>
      </c>
    </row>
    <row r="299">
      <c r="A299" t="inlineStr">
        <is>
          <t>ORD00298</t>
        </is>
      </c>
      <c r="B299" t="inlineStr">
        <is>
          <t>C0298</t>
        </is>
      </c>
      <c r="C299" t="n">
        <v>1</v>
      </c>
      <c r="D299" t="inlineStr">
        <is>
          <t>Hub A</t>
        </is>
      </c>
      <c r="E299" t="n">
        <v>64</v>
      </c>
      <c r="F299" t="n">
        <v>19</v>
      </c>
    </row>
    <row r="300">
      <c r="A300" t="inlineStr">
        <is>
          <t>ORD00299</t>
        </is>
      </c>
      <c r="B300" t="inlineStr">
        <is>
          <t>C0299</t>
        </is>
      </c>
      <c r="C300" t="n">
        <v>2</v>
      </c>
      <c r="D300" t="inlineStr">
        <is>
          <t>Hub A</t>
        </is>
      </c>
      <c r="E300" t="n">
        <v>71</v>
      </c>
      <c r="F300" t="n">
        <v>19</v>
      </c>
    </row>
    <row r="301">
      <c r="A301" t="inlineStr">
        <is>
          <t>ORD00300</t>
        </is>
      </c>
      <c r="B301" t="inlineStr">
        <is>
          <t>C0300</t>
        </is>
      </c>
      <c r="C301" t="n">
        <v>3</v>
      </c>
      <c r="D301" t="inlineStr">
        <is>
          <t>Hub A</t>
        </is>
      </c>
      <c r="E301" t="n">
        <v>18</v>
      </c>
      <c r="F301" t="n">
        <v>19</v>
      </c>
    </row>
    <row r="302">
      <c r="A302" t="inlineStr">
        <is>
          <t>ORD00301</t>
        </is>
      </c>
      <c r="B302" t="inlineStr">
        <is>
          <t>C0301</t>
        </is>
      </c>
      <c r="C302" t="n">
        <v>1</v>
      </c>
      <c r="D302" t="inlineStr">
        <is>
          <t>Hub A</t>
        </is>
      </c>
      <c r="E302" t="n">
        <v>25</v>
      </c>
      <c r="F302" t="n">
        <v>19</v>
      </c>
    </row>
    <row r="303">
      <c r="A303" t="inlineStr">
        <is>
          <t>ORD00302</t>
        </is>
      </c>
      <c r="B303" t="inlineStr">
        <is>
          <t>C0302</t>
        </is>
      </c>
      <c r="C303" t="n">
        <v>2</v>
      </c>
      <c r="D303" t="inlineStr">
        <is>
          <t>Hub A</t>
        </is>
      </c>
      <c r="E303" t="n">
        <v>32</v>
      </c>
      <c r="F303" t="n">
        <v>19</v>
      </c>
    </row>
    <row r="304">
      <c r="A304" t="inlineStr">
        <is>
          <t>ORD00303</t>
        </is>
      </c>
      <c r="B304" t="inlineStr">
        <is>
          <t>C0303</t>
        </is>
      </c>
      <c r="C304" t="n">
        <v>3</v>
      </c>
      <c r="D304" t="inlineStr">
        <is>
          <t>Hub A</t>
        </is>
      </c>
      <c r="E304" t="n">
        <v>39</v>
      </c>
      <c r="F304" t="n">
        <v>19</v>
      </c>
    </row>
    <row r="305">
      <c r="A305" t="inlineStr">
        <is>
          <t>ORD00304</t>
        </is>
      </c>
      <c r="B305" t="inlineStr">
        <is>
          <t>C0304</t>
        </is>
      </c>
      <c r="C305" t="n">
        <v>1</v>
      </c>
      <c r="D305" t="inlineStr">
        <is>
          <t>Hub A</t>
        </is>
      </c>
      <c r="E305" t="n">
        <v>46</v>
      </c>
      <c r="F305" t="n">
        <v>19</v>
      </c>
    </row>
    <row r="306">
      <c r="A306" t="inlineStr">
        <is>
          <t>ORD00305</t>
        </is>
      </c>
      <c r="B306" t="inlineStr">
        <is>
          <t>C0305</t>
        </is>
      </c>
      <c r="C306" t="n">
        <v>2</v>
      </c>
      <c r="D306" t="inlineStr">
        <is>
          <t>Hub A</t>
        </is>
      </c>
      <c r="E306" t="n">
        <v>53</v>
      </c>
      <c r="F306" t="n">
        <v>19</v>
      </c>
    </row>
    <row r="307">
      <c r="A307" t="inlineStr">
        <is>
          <t>ORD00306</t>
        </is>
      </c>
      <c r="B307" t="inlineStr">
        <is>
          <t>C0306</t>
        </is>
      </c>
      <c r="C307" t="n">
        <v>3</v>
      </c>
      <c r="D307" t="inlineStr">
        <is>
          <t>Hub A</t>
        </is>
      </c>
      <c r="E307" t="n">
        <v>60</v>
      </c>
      <c r="F307" t="n">
        <v>19</v>
      </c>
    </row>
    <row r="308">
      <c r="A308" t="inlineStr">
        <is>
          <t>ORD00307</t>
        </is>
      </c>
      <c r="B308" t="inlineStr">
        <is>
          <t>C0307</t>
        </is>
      </c>
      <c r="C308" t="n">
        <v>1</v>
      </c>
      <c r="D308" t="inlineStr">
        <is>
          <t>Hub A</t>
        </is>
      </c>
      <c r="E308" t="n">
        <v>67</v>
      </c>
      <c r="F308" t="n">
        <v>19</v>
      </c>
    </row>
    <row r="309">
      <c r="A309" t="inlineStr">
        <is>
          <t>ORD00308</t>
        </is>
      </c>
      <c r="B309" t="inlineStr">
        <is>
          <t>C0308</t>
        </is>
      </c>
      <c r="C309" t="n">
        <v>2</v>
      </c>
      <c r="D309" t="inlineStr">
        <is>
          <t>Hub A</t>
        </is>
      </c>
      <c r="E309" t="n">
        <v>74</v>
      </c>
      <c r="F309" t="n">
        <v>19</v>
      </c>
    </row>
    <row r="310">
      <c r="A310" t="inlineStr">
        <is>
          <t>ORD00309</t>
        </is>
      </c>
      <c r="B310" t="inlineStr">
        <is>
          <t>C0309</t>
        </is>
      </c>
      <c r="C310" t="n">
        <v>3</v>
      </c>
      <c r="D310" t="inlineStr">
        <is>
          <t>Hub A</t>
        </is>
      </c>
      <c r="E310" t="n">
        <v>21</v>
      </c>
      <c r="F310" t="n">
        <v>19</v>
      </c>
    </row>
    <row r="311">
      <c r="A311" t="inlineStr">
        <is>
          <t>ORD00310</t>
        </is>
      </c>
      <c r="B311" t="inlineStr">
        <is>
          <t>C0310</t>
        </is>
      </c>
      <c r="C311" t="n">
        <v>1</v>
      </c>
      <c r="D311" t="inlineStr">
        <is>
          <t>Hub A</t>
        </is>
      </c>
      <c r="E311" t="n">
        <v>28</v>
      </c>
      <c r="F311" t="n">
        <v>19</v>
      </c>
    </row>
    <row r="312">
      <c r="A312" t="inlineStr">
        <is>
          <t>ORD00311</t>
        </is>
      </c>
      <c r="B312" t="inlineStr">
        <is>
          <t>C0311</t>
        </is>
      </c>
      <c r="C312" t="n">
        <v>2</v>
      </c>
      <c r="D312" t="inlineStr">
        <is>
          <t>Hub A</t>
        </is>
      </c>
      <c r="E312" t="n">
        <v>35</v>
      </c>
      <c r="F312" t="n">
        <v>19</v>
      </c>
    </row>
    <row r="313">
      <c r="A313" t="inlineStr">
        <is>
          <t>ORD00312</t>
        </is>
      </c>
      <c r="B313" t="inlineStr">
        <is>
          <t>C0312</t>
        </is>
      </c>
      <c r="C313" t="n">
        <v>3</v>
      </c>
      <c r="D313" t="inlineStr">
        <is>
          <t>Hub A</t>
        </is>
      </c>
      <c r="E313" t="n">
        <v>42</v>
      </c>
      <c r="F313" t="n">
        <v>19</v>
      </c>
    </row>
    <row r="314">
      <c r="A314" t="inlineStr">
        <is>
          <t>ORD00313</t>
        </is>
      </c>
      <c r="B314" t="inlineStr">
        <is>
          <t>C0313</t>
        </is>
      </c>
      <c r="C314" t="n">
        <v>1</v>
      </c>
      <c r="D314" t="inlineStr">
        <is>
          <t>Hub A</t>
        </is>
      </c>
      <c r="E314" t="n">
        <v>49</v>
      </c>
      <c r="F314" t="n">
        <v>19</v>
      </c>
    </row>
    <row r="315">
      <c r="A315" t="inlineStr">
        <is>
          <t>ORD00314</t>
        </is>
      </c>
      <c r="B315" t="inlineStr">
        <is>
          <t>C0314</t>
        </is>
      </c>
      <c r="C315" t="n">
        <v>2</v>
      </c>
      <c r="D315" t="inlineStr">
        <is>
          <t>Hub A</t>
        </is>
      </c>
      <c r="E315" t="n">
        <v>56</v>
      </c>
      <c r="F315" t="n">
        <v>19</v>
      </c>
    </row>
    <row r="316">
      <c r="A316" t="inlineStr">
        <is>
          <t>ORD00315</t>
        </is>
      </c>
      <c r="B316" t="inlineStr">
        <is>
          <t>C0315</t>
        </is>
      </c>
      <c r="C316" t="n">
        <v>3</v>
      </c>
      <c r="D316" t="inlineStr">
        <is>
          <t>Hub A</t>
        </is>
      </c>
      <c r="E316" t="n">
        <v>63</v>
      </c>
      <c r="F316" t="n">
        <v>19</v>
      </c>
    </row>
    <row r="317">
      <c r="A317" t="inlineStr">
        <is>
          <t>ORD00316</t>
        </is>
      </c>
      <c r="B317" t="inlineStr">
        <is>
          <t>C0316</t>
        </is>
      </c>
      <c r="C317" t="n">
        <v>1</v>
      </c>
      <c r="D317" t="inlineStr">
        <is>
          <t>Hub A</t>
        </is>
      </c>
      <c r="E317" t="n">
        <v>70</v>
      </c>
      <c r="F317" t="n">
        <v>19</v>
      </c>
    </row>
    <row r="318">
      <c r="A318" t="inlineStr">
        <is>
          <t>ORD00317</t>
        </is>
      </c>
      <c r="B318" t="inlineStr">
        <is>
          <t>C0317</t>
        </is>
      </c>
      <c r="C318" t="n">
        <v>2</v>
      </c>
      <c r="D318" t="inlineStr">
        <is>
          <t>Hub A</t>
        </is>
      </c>
      <c r="E318" t="n">
        <v>77</v>
      </c>
      <c r="F318" t="n">
        <v>19</v>
      </c>
    </row>
    <row r="319">
      <c r="A319" t="inlineStr">
        <is>
          <t>ORD00318</t>
        </is>
      </c>
      <c r="B319" t="inlineStr">
        <is>
          <t>C0318</t>
        </is>
      </c>
      <c r="C319" t="n">
        <v>3</v>
      </c>
      <c r="D319" t="inlineStr">
        <is>
          <t>Hub A</t>
        </is>
      </c>
      <c r="E319" t="n">
        <v>24</v>
      </c>
      <c r="F319" t="n">
        <v>19</v>
      </c>
    </row>
    <row r="320">
      <c r="A320" t="inlineStr">
        <is>
          <t>ORD00319</t>
        </is>
      </c>
      <c r="B320" t="inlineStr">
        <is>
          <t>C0319</t>
        </is>
      </c>
      <c r="C320" t="n">
        <v>1</v>
      </c>
      <c r="D320" t="inlineStr">
        <is>
          <t>Hub A</t>
        </is>
      </c>
      <c r="E320" t="n">
        <v>31</v>
      </c>
      <c r="F320" t="n">
        <v>19</v>
      </c>
    </row>
    <row r="321">
      <c r="A321" t="inlineStr">
        <is>
          <t>ORD00320</t>
        </is>
      </c>
      <c r="B321" t="inlineStr">
        <is>
          <t>C0320</t>
        </is>
      </c>
      <c r="C321" t="n">
        <v>2</v>
      </c>
      <c r="D321" t="inlineStr">
        <is>
          <t>Hub A</t>
        </is>
      </c>
      <c r="E321" t="n">
        <v>38</v>
      </c>
      <c r="F321" t="n">
        <v>19</v>
      </c>
    </row>
    <row r="322">
      <c r="A322" t="inlineStr">
        <is>
          <t>ORD00321</t>
        </is>
      </c>
      <c r="B322" t="inlineStr">
        <is>
          <t>C0321</t>
        </is>
      </c>
      <c r="C322" t="n">
        <v>3</v>
      </c>
      <c r="D322" t="inlineStr">
        <is>
          <t>Hub A</t>
        </is>
      </c>
      <c r="E322" t="n">
        <v>45</v>
      </c>
      <c r="F322" t="n">
        <v>19</v>
      </c>
    </row>
    <row r="323">
      <c r="A323" t="inlineStr">
        <is>
          <t>ORD00322</t>
        </is>
      </c>
      <c r="B323" t="inlineStr">
        <is>
          <t>C0322</t>
        </is>
      </c>
      <c r="C323" t="n">
        <v>1</v>
      </c>
      <c r="D323" t="inlineStr">
        <is>
          <t>Hub A</t>
        </is>
      </c>
      <c r="E323" t="n">
        <v>52</v>
      </c>
      <c r="F323" t="n">
        <v>19</v>
      </c>
    </row>
    <row r="324">
      <c r="A324" t="inlineStr">
        <is>
          <t>ORD00323</t>
        </is>
      </c>
      <c r="B324" t="inlineStr">
        <is>
          <t>C0323</t>
        </is>
      </c>
      <c r="C324" t="n">
        <v>2</v>
      </c>
      <c r="D324" t="inlineStr">
        <is>
          <t>Hub A</t>
        </is>
      </c>
      <c r="E324" t="n">
        <v>59</v>
      </c>
      <c r="F324" t="n">
        <v>19</v>
      </c>
    </row>
    <row r="325">
      <c r="A325" t="inlineStr">
        <is>
          <t>ORD00324</t>
        </is>
      </c>
      <c r="B325" t="inlineStr">
        <is>
          <t>C0324</t>
        </is>
      </c>
      <c r="C325" t="n">
        <v>3</v>
      </c>
      <c r="D325" t="inlineStr">
        <is>
          <t>Hub A</t>
        </is>
      </c>
      <c r="E325" t="n">
        <v>66</v>
      </c>
      <c r="F325" t="n">
        <v>19</v>
      </c>
    </row>
    <row r="326">
      <c r="A326" t="inlineStr">
        <is>
          <t>ORD00325</t>
        </is>
      </c>
      <c r="B326" t="inlineStr">
        <is>
          <t>C0325</t>
        </is>
      </c>
      <c r="C326" t="n">
        <v>1</v>
      </c>
      <c r="D326" t="inlineStr">
        <is>
          <t>Hub A</t>
        </is>
      </c>
      <c r="E326" t="n">
        <v>73</v>
      </c>
      <c r="F326" t="n">
        <v>19</v>
      </c>
    </row>
    <row r="327">
      <c r="A327" t="inlineStr">
        <is>
          <t>ORD00326</t>
        </is>
      </c>
      <c r="B327" t="inlineStr">
        <is>
          <t>C0326</t>
        </is>
      </c>
      <c r="C327" t="n">
        <v>2</v>
      </c>
      <c r="D327" t="inlineStr">
        <is>
          <t>Hub A</t>
        </is>
      </c>
      <c r="E327" t="n">
        <v>20</v>
      </c>
      <c r="F327" t="n">
        <v>19</v>
      </c>
    </row>
    <row r="328">
      <c r="A328" t="inlineStr">
        <is>
          <t>ORD00327</t>
        </is>
      </c>
      <c r="B328" t="inlineStr">
        <is>
          <t>C0327</t>
        </is>
      </c>
      <c r="C328" t="n">
        <v>3</v>
      </c>
      <c r="D328" t="inlineStr">
        <is>
          <t>Hub A</t>
        </is>
      </c>
      <c r="E328" t="n">
        <v>27</v>
      </c>
      <c r="F328" t="n">
        <v>19</v>
      </c>
    </row>
    <row r="329">
      <c r="A329" t="inlineStr">
        <is>
          <t>ORD00328</t>
        </is>
      </c>
      <c r="B329" t="inlineStr">
        <is>
          <t>C0328</t>
        </is>
      </c>
      <c r="C329" t="n">
        <v>1</v>
      </c>
      <c r="D329" t="inlineStr">
        <is>
          <t>Hub A</t>
        </is>
      </c>
      <c r="E329" t="n">
        <v>34</v>
      </c>
      <c r="F329" t="n">
        <v>19</v>
      </c>
    </row>
    <row r="330">
      <c r="A330" t="inlineStr">
        <is>
          <t>ORD00329</t>
        </is>
      </c>
      <c r="B330" t="inlineStr">
        <is>
          <t>C0329</t>
        </is>
      </c>
      <c r="C330" t="n">
        <v>2</v>
      </c>
      <c r="D330" t="inlineStr">
        <is>
          <t>Hub A</t>
        </is>
      </c>
      <c r="E330" t="n">
        <v>41</v>
      </c>
      <c r="F330" t="n">
        <v>19</v>
      </c>
    </row>
    <row r="331">
      <c r="A331" t="inlineStr">
        <is>
          <t>ORD00330</t>
        </is>
      </c>
      <c r="B331" t="inlineStr">
        <is>
          <t>C0330</t>
        </is>
      </c>
      <c r="C331" t="n">
        <v>3</v>
      </c>
      <c r="D331" t="inlineStr">
        <is>
          <t>Hub A</t>
        </is>
      </c>
      <c r="E331" t="n">
        <v>48</v>
      </c>
      <c r="F331" t="n">
        <v>19</v>
      </c>
    </row>
    <row r="332">
      <c r="A332" t="inlineStr">
        <is>
          <t>ORD00331</t>
        </is>
      </c>
      <c r="B332" t="inlineStr">
        <is>
          <t>C0331</t>
        </is>
      </c>
      <c r="C332" t="n">
        <v>1</v>
      </c>
      <c r="D332" t="inlineStr">
        <is>
          <t>Hub A</t>
        </is>
      </c>
      <c r="E332" t="n">
        <v>55</v>
      </c>
      <c r="F332" t="n">
        <v>19</v>
      </c>
    </row>
    <row r="333">
      <c r="A333" t="inlineStr">
        <is>
          <t>ORD00332</t>
        </is>
      </c>
      <c r="B333" t="inlineStr">
        <is>
          <t>C0332</t>
        </is>
      </c>
      <c r="C333" t="n">
        <v>2</v>
      </c>
      <c r="D333" t="inlineStr">
        <is>
          <t>Hub A</t>
        </is>
      </c>
      <c r="E333" t="n">
        <v>62</v>
      </c>
      <c r="F333" t="n">
        <v>19</v>
      </c>
    </row>
    <row r="334">
      <c r="A334" t="inlineStr">
        <is>
          <t>ORD00333</t>
        </is>
      </c>
      <c r="B334" t="inlineStr">
        <is>
          <t>C0333</t>
        </is>
      </c>
      <c r="C334" t="n">
        <v>3</v>
      </c>
      <c r="D334" t="inlineStr">
        <is>
          <t>Hub A</t>
        </is>
      </c>
      <c r="E334" t="n">
        <v>69</v>
      </c>
      <c r="F334" t="n">
        <v>19</v>
      </c>
    </row>
    <row r="335">
      <c r="A335" t="inlineStr">
        <is>
          <t>ORD00334</t>
        </is>
      </c>
      <c r="B335" t="inlineStr">
        <is>
          <t>C0334</t>
        </is>
      </c>
      <c r="C335" t="n">
        <v>1</v>
      </c>
      <c r="D335" t="inlineStr">
        <is>
          <t>Hub A</t>
        </is>
      </c>
      <c r="E335" t="n">
        <v>76</v>
      </c>
      <c r="F335" t="n">
        <v>19</v>
      </c>
    </row>
    <row r="336">
      <c r="A336" t="inlineStr">
        <is>
          <t>ORD00335</t>
        </is>
      </c>
      <c r="B336" t="inlineStr">
        <is>
          <t>C0335</t>
        </is>
      </c>
      <c r="C336" t="n">
        <v>2</v>
      </c>
      <c r="D336" t="inlineStr">
        <is>
          <t>Hub A</t>
        </is>
      </c>
      <c r="E336" t="n">
        <v>23</v>
      </c>
      <c r="F336" t="n">
        <v>19</v>
      </c>
    </row>
    <row r="337">
      <c r="A337" t="inlineStr">
        <is>
          <t>ORD00336</t>
        </is>
      </c>
      <c r="B337" t="inlineStr">
        <is>
          <t>C0336</t>
        </is>
      </c>
      <c r="C337" t="n">
        <v>3</v>
      </c>
      <c r="D337" t="inlineStr">
        <is>
          <t>Hub A</t>
        </is>
      </c>
      <c r="E337" t="n">
        <v>30</v>
      </c>
      <c r="F337" t="n">
        <v>19</v>
      </c>
    </row>
    <row r="338">
      <c r="A338" t="inlineStr">
        <is>
          <t>ORD00337</t>
        </is>
      </c>
      <c r="B338" t="inlineStr">
        <is>
          <t>C0337</t>
        </is>
      </c>
      <c r="C338" t="n">
        <v>1</v>
      </c>
      <c r="D338" t="inlineStr">
        <is>
          <t>Hub A</t>
        </is>
      </c>
      <c r="E338" t="n">
        <v>37</v>
      </c>
      <c r="F338" t="n">
        <v>19</v>
      </c>
    </row>
    <row r="339">
      <c r="A339" t="inlineStr">
        <is>
          <t>ORD00338</t>
        </is>
      </c>
      <c r="B339" t="inlineStr">
        <is>
          <t>C0338</t>
        </is>
      </c>
      <c r="C339" t="n">
        <v>2</v>
      </c>
      <c r="D339" t="inlineStr">
        <is>
          <t>Hub A</t>
        </is>
      </c>
      <c r="E339" t="n">
        <v>44</v>
      </c>
      <c r="F339" t="n">
        <v>19</v>
      </c>
    </row>
    <row r="340">
      <c r="A340" t="inlineStr">
        <is>
          <t>ORD00339</t>
        </is>
      </c>
      <c r="B340" t="inlineStr">
        <is>
          <t>C0339</t>
        </is>
      </c>
      <c r="C340" t="n">
        <v>3</v>
      </c>
      <c r="D340" t="inlineStr">
        <is>
          <t>Hub A</t>
        </is>
      </c>
      <c r="E340" t="n">
        <v>51</v>
      </c>
      <c r="F340" t="n">
        <v>19</v>
      </c>
    </row>
    <row r="341">
      <c r="A341" t="inlineStr">
        <is>
          <t>ORD00340</t>
        </is>
      </c>
      <c r="B341" t="inlineStr">
        <is>
          <t>C0340</t>
        </is>
      </c>
      <c r="C341" t="n">
        <v>1</v>
      </c>
      <c r="D341" t="inlineStr">
        <is>
          <t>Hub A</t>
        </is>
      </c>
      <c r="E341" t="n">
        <v>58</v>
      </c>
      <c r="F341" t="n">
        <v>19</v>
      </c>
    </row>
    <row r="342">
      <c r="A342" t="inlineStr">
        <is>
          <t>ORD00341</t>
        </is>
      </c>
      <c r="B342" t="inlineStr">
        <is>
          <t>C0341</t>
        </is>
      </c>
      <c r="C342" t="n">
        <v>2</v>
      </c>
      <c r="D342" t="inlineStr">
        <is>
          <t>Hub A</t>
        </is>
      </c>
      <c r="E342" t="n">
        <v>65</v>
      </c>
      <c r="F342" t="n">
        <v>19</v>
      </c>
    </row>
    <row r="343">
      <c r="A343" t="inlineStr">
        <is>
          <t>ORD00342</t>
        </is>
      </c>
      <c r="B343" t="inlineStr">
        <is>
          <t>C0342</t>
        </is>
      </c>
      <c r="C343" t="n">
        <v>3</v>
      </c>
      <c r="D343" t="inlineStr">
        <is>
          <t>Hub A</t>
        </is>
      </c>
      <c r="E343" t="n">
        <v>72</v>
      </c>
      <c r="F343" t="n">
        <v>19</v>
      </c>
    </row>
    <row r="344">
      <c r="A344" t="inlineStr">
        <is>
          <t>ORD00343</t>
        </is>
      </c>
      <c r="B344" t="inlineStr">
        <is>
          <t>C0343</t>
        </is>
      </c>
      <c r="C344" t="n">
        <v>1</v>
      </c>
      <c r="D344" t="inlineStr">
        <is>
          <t>Hub A</t>
        </is>
      </c>
      <c r="E344" t="n">
        <v>19</v>
      </c>
      <c r="F344" t="n">
        <v>19</v>
      </c>
    </row>
    <row r="345">
      <c r="A345" t="inlineStr">
        <is>
          <t>ORD00344</t>
        </is>
      </c>
      <c r="B345" t="inlineStr">
        <is>
          <t>C0344</t>
        </is>
      </c>
      <c r="C345" t="n">
        <v>2</v>
      </c>
      <c r="D345" t="inlineStr">
        <is>
          <t>Hub A</t>
        </is>
      </c>
      <c r="E345" t="n">
        <v>26</v>
      </c>
      <c r="F345" t="n">
        <v>19</v>
      </c>
    </row>
    <row r="346">
      <c r="A346" t="inlineStr">
        <is>
          <t>ORD00345</t>
        </is>
      </c>
      <c r="B346" t="inlineStr">
        <is>
          <t>C0345</t>
        </is>
      </c>
      <c r="C346" t="n">
        <v>3</v>
      </c>
      <c r="D346" t="inlineStr">
        <is>
          <t>Hub A</t>
        </is>
      </c>
      <c r="E346" t="n">
        <v>33</v>
      </c>
      <c r="F346" t="n">
        <v>19</v>
      </c>
    </row>
    <row r="347">
      <c r="A347" t="inlineStr">
        <is>
          <t>ORD00346</t>
        </is>
      </c>
      <c r="B347" t="inlineStr">
        <is>
          <t>C0346</t>
        </is>
      </c>
      <c r="C347" t="n">
        <v>1</v>
      </c>
      <c r="D347" t="inlineStr">
        <is>
          <t>Hub A</t>
        </is>
      </c>
      <c r="E347" t="n">
        <v>40</v>
      </c>
      <c r="F347" t="n">
        <v>19</v>
      </c>
    </row>
    <row r="348">
      <c r="A348" t="inlineStr">
        <is>
          <t>ORD00347</t>
        </is>
      </c>
      <c r="B348" t="inlineStr">
        <is>
          <t>C0347</t>
        </is>
      </c>
      <c r="C348" t="n">
        <v>2</v>
      </c>
      <c r="D348" t="inlineStr">
        <is>
          <t>Hub A</t>
        </is>
      </c>
      <c r="E348" t="n">
        <v>47</v>
      </c>
      <c r="F348" t="n">
        <v>19</v>
      </c>
    </row>
    <row r="349">
      <c r="A349" t="inlineStr">
        <is>
          <t>ORD00348</t>
        </is>
      </c>
      <c r="B349" t="inlineStr">
        <is>
          <t>C0348</t>
        </is>
      </c>
      <c r="C349" t="n">
        <v>3</v>
      </c>
      <c r="D349" t="inlineStr">
        <is>
          <t>Hub A</t>
        </is>
      </c>
      <c r="E349" t="n">
        <v>54</v>
      </c>
      <c r="F349" t="n">
        <v>19</v>
      </c>
    </row>
    <row r="350">
      <c r="A350" t="inlineStr">
        <is>
          <t>ORD00349</t>
        </is>
      </c>
      <c r="B350" t="inlineStr">
        <is>
          <t>C0349</t>
        </is>
      </c>
      <c r="C350" t="n">
        <v>1</v>
      </c>
      <c r="D350" t="inlineStr">
        <is>
          <t>Hub A</t>
        </is>
      </c>
      <c r="E350" t="n">
        <v>61</v>
      </c>
      <c r="F350" t="n">
        <v>19</v>
      </c>
    </row>
    <row r="351">
      <c r="A351" t="inlineStr">
        <is>
          <t>ORD00350</t>
        </is>
      </c>
      <c r="B351" t="inlineStr">
        <is>
          <t>C0350</t>
        </is>
      </c>
      <c r="C351" t="n">
        <v>2</v>
      </c>
      <c r="D351" t="inlineStr">
        <is>
          <t>Hub A</t>
        </is>
      </c>
      <c r="E351" t="n">
        <v>68</v>
      </c>
      <c r="F351" t="n">
        <v>19</v>
      </c>
    </row>
    <row r="352">
      <c r="A352" t="inlineStr">
        <is>
          <t>ORD00351</t>
        </is>
      </c>
      <c r="B352" t="inlineStr">
        <is>
          <t>C0351</t>
        </is>
      </c>
      <c r="C352" t="n">
        <v>3</v>
      </c>
      <c r="D352" t="inlineStr">
        <is>
          <t>Hub A</t>
        </is>
      </c>
      <c r="E352" t="n">
        <v>75</v>
      </c>
      <c r="F352" t="n">
        <v>19</v>
      </c>
    </row>
    <row r="353">
      <c r="A353" t="inlineStr">
        <is>
          <t>ORD00352</t>
        </is>
      </c>
      <c r="B353" t="inlineStr">
        <is>
          <t>C0352</t>
        </is>
      </c>
      <c r="C353" t="n">
        <v>1</v>
      </c>
      <c r="D353" t="inlineStr">
        <is>
          <t>Hub A</t>
        </is>
      </c>
      <c r="E353" t="n">
        <v>22</v>
      </c>
      <c r="F353" t="n">
        <v>19</v>
      </c>
    </row>
    <row r="354">
      <c r="A354" t="inlineStr">
        <is>
          <t>ORD00353</t>
        </is>
      </c>
      <c r="B354" t="inlineStr">
        <is>
          <t>C0353</t>
        </is>
      </c>
      <c r="C354" t="n">
        <v>2</v>
      </c>
      <c r="D354" t="inlineStr">
        <is>
          <t>Hub A</t>
        </is>
      </c>
      <c r="E354" t="n">
        <v>29</v>
      </c>
      <c r="F354" t="n">
        <v>19</v>
      </c>
    </row>
    <row r="355">
      <c r="A355" t="inlineStr">
        <is>
          <t>ORD00354</t>
        </is>
      </c>
      <c r="B355" t="inlineStr">
        <is>
          <t>C0354</t>
        </is>
      </c>
      <c r="C355" t="n">
        <v>3</v>
      </c>
      <c r="D355" t="inlineStr">
        <is>
          <t>Hub A</t>
        </is>
      </c>
      <c r="E355" t="n">
        <v>36</v>
      </c>
      <c r="F355" t="n">
        <v>19</v>
      </c>
    </row>
    <row r="356">
      <c r="A356" t="inlineStr">
        <is>
          <t>ORD00355</t>
        </is>
      </c>
      <c r="B356" t="inlineStr">
        <is>
          <t>C0355</t>
        </is>
      </c>
      <c r="C356" t="n">
        <v>1</v>
      </c>
      <c r="D356" t="inlineStr">
        <is>
          <t>Hub A</t>
        </is>
      </c>
      <c r="E356" t="n">
        <v>43</v>
      </c>
      <c r="F356" t="n">
        <v>19</v>
      </c>
    </row>
    <row r="357">
      <c r="A357" t="inlineStr">
        <is>
          <t>ORD00356</t>
        </is>
      </c>
      <c r="B357" t="inlineStr">
        <is>
          <t>C0356</t>
        </is>
      </c>
      <c r="C357" t="n">
        <v>2</v>
      </c>
      <c r="D357" t="inlineStr">
        <is>
          <t>Hub A</t>
        </is>
      </c>
      <c r="E357" t="n">
        <v>50</v>
      </c>
      <c r="F357" t="n">
        <v>19</v>
      </c>
    </row>
    <row r="358">
      <c r="A358" t="inlineStr">
        <is>
          <t>ORD00357</t>
        </is>
      </c>
      <c r="B358" t="inlineStr">
        <is>
          <t>C0357</t>
        </is>
      </c>
      <c r="C358" t="n">
        <v>3</v>
      </c>
      <c r="D358" t="inlineStr">
        <is>
          <t>Hub A</t>
        </is>
      </c>
      <c r="E358" t="n">
        <v>57</v>
      </c>
      <c r="F358" t="n">
        <v>19</v>
      </c>
    </row>
    <row r="359">
      <c r="A359" t="inlineStr">
        <is>
          <t>ORD00358</t>
        </is>
      </c>
      <c r="B359" t="inlineStr">
        <is>
          <t>C0358</t>
        </is>
      </c>
      <c r="C359" t="n">
        <v>1</v>
      </c>
      <c r="D359" t="inlineStr">
        <is>
          <t>Hub A</t>
        </is>
      </c>
      <c r="E359" t="n">
        <v>64</v>
      </c>
      <c r="F359" t="n">
        <v>19</v>
      </c>
    </row>
    <row r="360">
      <c r="A360" t="inlineStr">
        <is>
          <t>ORD00359</t>
        </is>
      </c>
      <c r="B360" t="inlineStr">
        <is>
          <t>C0359</t>
        </is>
      </c>
      <c r="C360" t="n">
        <v>2</v>
      </c>
      <c r="D360" t="inlineStr">
        <is>
          <t>Hub A</t>
        </is>
      </c>
      <c r="E360" t="n">
        <v>71</v>
      </c>
      <c r="F360" t="n">
        <v>19</v>
      </c>
    </row>
    <row r="361">
      <c r="A361" t="inlineStr">
        <is>
          <t>ORD00360</t>
        </is>
      </c>
      <c r="B361" t="inlineStr">
        <is>
          <t>C0360</t>
        </is>
      </c>
      <c r="C361" t="n">
        <v>3</v>
      </c>
      <c r="D361" t="inlineStr">
        <is>
          <t>Hub A</t>
        </is>
      </c>
      <c r="E361" t="n">
        <v>18</v>
      </c>
      <c r="F361" t="n">
        <v>19</v>
      </c>
    </row>
    <row r="362">
      <c r="A362" t="inlineStr">
        <is>
          <t>ORD00361</t>
        </is>
      </c>
      <c r="B362" t="inlineStr">
        <is>
          <t>C0361</t>
        </is>
      </c>
      <c r="C362" t="n">
        <v>1</v>
      </c>
      <c r="D362" t="inlineStr">
        <is>
          <t>Hub A</t>
        </is>
      </c>
      <c r="E362" t="n">
        <v>25</v>
      </c>
      <c r="F362" t="n">
        <v>19</v>
      </c>
    </row>
    <row r="363">
      <c r="A363" t="inlineStr">
        <is>
          <t>ORD00362</t>
        </is>
      </c>
      <c r="B363" t="inlineStr">
        <is>
          <t>C0362</t>
        </is>
      </c>
      <c r="C363" t="n">
        <v>2</v>
      </c>
      <c r="D363" t="inlineStr">
        <is>
          <t>Hub A</t>
        </is>
      </c>
      <c r="E363" t="n">
        <v>32</v>
      </c>
      <c r="F363" t="n">
        <v>19</v>
      </c>
    </row>
    <row r="364">
      <c r="A364" t="inlineStr">
        <is>
          <t>ORD00363</t>
        </is>
      </c>
      <c r="B364" t="inlineStr">
        <is>
          <t>C0363</t>
        </is>
      </c>
      <c r="C364" t="n">
        <v>3</v>
      </c>
      <c r="D364" t="inlineStr">
        <is>
          <t>Hub A</t>
        </is>
      </c>
      <c r="E364" t="n">
        <v>39</v>
      </c>
      <c r="F364" t="n">
        <v>19</v>
      </c>
    </row>
    <row r="365">
      <c r="A365" t="inlineStr">
        <is>
          <t>ORD00364</t>
        </is>
      </c>
      <c r="B365" t="inlineStr">
        <is>
          <t>C0364</t>
        </is>
      </c>
      <c r="C365" t="n">
        <v>1</v>
      </c>
      <c r="D365" t="inlineStr">
        <is>
          <t>Hub A</t>
        </is>
      </c>
      <c r="E365" t="n">
        <v>46</v>
      </c>
      <c r="F365" t="n">
        <v>19</v>
      </c>
    </row>
    <row r="366">
      <c r="A366" t="inlineStr">
        <is>
          <t>ORD00365</t>
        </is>
      </c>
      <c r="B366" t="inlineStr">
        <is>
          <t>C0365</t>
        </is>
      </c>
      <c r="C366" t="n">
        <v>2</v>
      </c>
      <c r="D366" t="inlineStr">
        <is>
          <t>Hub A</t>
        </is>
      </c>
      <c r="E366" t="n">
        <v>53</v>
      </c>
      <c r="F366" t="n">
        <v>19</v>
      </c>
    </row>
    <row r="367">
      <c r="A367" t="inlineStr">
        <is>
          <t>ORD00366</t>
        </is>
      </c>
      <c r="B367" t="inlineStr">
        <is>
          <t>C0366</t>
        </is>
      </c>
      <c r="C367" t="n">
        <v>3</v>
      </c>
      <c r="D367" t="inlineStr">
        <is>
          <t>Hub A</t>
        </is>
      </c>
      <c r="E367" t="n">
        <v>60</v>
      </c>
      <c r="F367" t="n">
        <v>19</v>
      </c>
    </row>
    <row r="368">
      <c r="A368" t="inlineStr">
        <is>
          <t>ORD00367</t>
        </is>
      </c>
      <c r="B368" t="inlineStr">
        <is>
          <t>C0367</t>
        </is>
      </c>
      <c r="C368" t="n">
        <v>1</v>
      </c>
      <c r="D368" t="inlineStr">
        <is>
          <t>Hub A</t>
        </is>
      </c>
      <c r="E368" t="n">
        <v>67</v>
      </c>
      <c r="F368" t="n">
        <v>19</v>
      </c>
    </row>
    <row r="369">
      <c r="A369" t="inlineStr">
        <is>
          <t>ORD00368</t>
        </is>
      </c>
      <c r="B369" t="inlineStr">
        <is>
          <t>C0368</t>
        </is>
      </c>
      <c r="C369" t="n">
        <v>2</v>
      </c>
      <c r="D369" t="inlineStr">
        <is>
          <t>Hub A</t>
        </is>
      </c>
      <c r="E369" t="n">
        <v>74</v>
      </c>
      <c r="F369" t="n">
        <v>19</v>
      </c>
    </row>
    <row r="370">
      <c r="A370" t="inlineStr">
        <is>
          <t>ORD00369</t>
        </is>
      </c>
      <c r="B370" t="inlineStr">
        <is>
          <t>C0369</t>
        </is>
      </c>
      <c r="C370" t="n">
        <v>3</v>
      </c>
      <c r="D370" t="inlineStr">
        <is>
          <t>Hub A</t>
        </is>
      </c>
      <c r="E370" t="n">
        <v>21</v>
      </c>
      <c r="F370" t="n">
        <v>19</v>
      </c>
    </row>
    <row r="371">
      <c r="A371" t="inlineStr">
        <is>
          <t>ORD00370</t>
        </is>
      </c>
      <c r="B371" t="inlineStr">
        <is>
          <t>C0370</t>
        </is>
      </c>
      <c r="C371" t="n">
        <v>1</v>
      </c>
      <c r="D371" t="inlineStr">
        <is>
          <t>Hub A</t>
        </is>
      </c>
      <c r="E371" t="n">
        <v>28</v>
      </c>
      <c r="F371" t="n">
        <v>19</v>
      </c>
    </row>
    <row r="372">
      <c r="A372" t="inlineStr">
        <is>
          <t>ORD00371</t>
        </is>
      </c>
      <c r="B372" t="inlineStr">
        <is>
          <t>C0371</t>
        </is>
      </c>
      <c r="C372" t="n">
        <v>2</v>
      </c>
      <c r="D372" t="inlineStr">
        <is>
          <t>Hub A</t>
        </is>
      </c>
      <c r="E372" t="n">
        <v>35</v>
      </c>
      <c r="F372" t="n">
        <v>19</v>
      </c>
    </row>
    <row r="373">
      <c r="A373" t="inlineStr">
        <is>
          <t>ORD00372</t>
        </is>
      </c>
      <c r="B373" t="inlineStr">
        <is>
          <t>C0372</t>
        </is>
      </c>
      <c r="C373" t="n">
        <v>3</v>
      </c>
      <c r="D373" t="inlineStr">
        <is>
          <t>Hub A</t>
        </is>
      </c>
      <c r="E373" t="n">
        <v>42</v>
      </c>
      <c r="F373" t="n">
        <v>19</v>
      </c>
    </row>
    <row r="374">
      <c r="A374" t="inlineStr">
        <is>
          <t>ORD00373</t>
        </is>
      </c>
      <c r="B374" t="inlineStr">
        <is>
          <t>C0373</t>
        </is>
      </c>
      <c r="C374" t="n">
        <v>1</v>
      </c>
      <c r="D374" t="inlineStr">
        <is>
          <t>Hub A</t>
        </is>
      </c>
      <c r="E374" t="n">
        <v>49</v>
      </c>
      <c r="F374" t="n">
        <v>19</v>
      </c>
    </row>
    <row r="375">
      <c r="A375" t="inlineStr">
        <is>
          <t>ORD00374</t>
        </is>
      </c>
      <c r="B375" t="inlineStr">
        <is>
          <t>C0374</t>
        </is>
      </c>
      <c r="C375" t="n">
        <v>2</v>
      </c>
      <c r="D375" t="inlineStr">
        <is>
          <t>Hub A</t>
        </is>
      </c>
      <c r="E375" t="n">
        <v>56</v>
      </c>
      <c r="F375" t="n">
        <v>19</v>
      </c>
    </row>
    <row r="376">
      <c r="A376" t="inlineStr">
        <is>
          <t>ORD00375</t>
        </is>
      </c>
      <c r="B376" t="inlineStr">
        <is>
          <t>C0375</t>
        </is>
      </c>
      <c r="C376" t="n">
        <v>3</v>
      </c>
      <c r="D376" t="inlineStr">
        <is>
          <t>Hub A</t>
        </is>
      </c>
      <c r="E376" t="n">
        <v>63</v>
      </c>
      <c r="F376" t="n">
        <v>19</v>
      </c>
    </row>
    <row r="377">
      <c r="A377" t="inlineStr">
        <is>
          <t>ORD00376</t>
        </is>
      </c>
      <c r="B377" t="inlineStr">
        <is>
          <t>C0376</t>
        </is>
      </c>
      <c r="C377" t="n">
        <v>1</v>
      </c>
      <c r="D377" t="inlineStr">
        <is>
          <t>Hub A</t>
        </is>
      </c>
      <c r="E377" t="n">
        <v>70</v>
      </c>
      <c r="F377" t="n">
        <v>19</v>
      </c>
    </row>
    <row r="378">
      <c r="A378" t="inlineStr">
        <is>
          <t>ORD00377</t>
        </is>
      </c>
      <c r="B378" t="inlineStr">
        <is>
          <t>C0377</t>
        </is>
      </c>
      <c r="C378" t="n">
        <v>2</v>
      </c>
      <c r="D378" t="inlineStr">
        <is>
          <t>Hub A</t>
        </is>
      </c>
      <c r="E378" t="n">
        <v>77</v>
      </c>
      <c r="F378" t="n">
        <v>19</v>
      </c>
    </row>
    <row r="379">
      <c r="A379" t="inlineStr">
        <is>
          <t>ORD00378</t>
        </is>
      </c>
      <c r="B379" t="inlineStr">
        <is>
          <t>C0378</t>
        </is>
      </c>
      <c r="C379" t="n">
        <v>3</v>
      </c>
      <c r="D379" t="inlineStr">
        <is>
          <t>Hub A</t>
        </is>
      </c>
      <c r="E379" t="n">
        <v>24</v>
      </c>
      <c r="F379" t="n">
        <v>19</v>
      </c>
    </row>
    <row r="380">
      <c r="A380" t="inlineStr">
        <is>
          <t>ORD00379</t>
        </is>
      </c>
      <c r="B380" t="inlineStr">
        <is>
          <t>C0379</t>
        </is>
      </c>
      <c r="C380" t="n">
        <v>1</v>
      </c>
      <c r="D380" t="inlineStr">
        <is>
          <t>Hub A</t>
        </is>
      </c>
      <c r="E380" t="n">
        <v>31</v>
      </c>
      <c r="F380" t="n">
        <v>19</v>
      </c>
    </row>
    <row r="381">
      <c r="A381" t="inlineStr">
        <is>
          <t>ORD00380</t>
        </is>
      </c>
      <c r="B381" t="inlineStr">
        <is>
          <t>C0380</t>
        </is>
      </c>
      <c r="C381" t="n">
        <v>2</v>
      </c>
      <c r="D381" t="inlineStr">
        <is>
          <t>Hub A</t>
        </is>
      </c>
      <c r="E381" t="n">
        <v>38</v>
      </c>
      <c r="F381" t="n">
        <v>19</v>
      </c>
    </row>
    <row r="382">
      <c r="A382" t="inlineStr">
        <is>
          <t>ORD00381</t>
        </is>
      </c>
      <c r="B382" t="inlineStr">
        <is>
          <t>C0381</t>
        </is>
      </c>
      <c r="C382" t="n">
        <v>3</v>
      </c>
      <c r="D382" t="inlineStr">
        <is>
          <t>Hub A</t>
        </is>
      </c>
      <c r="E382" t="n">
        <v>45</v>
      </c>
      <c r="F382" t="n">
        <v>19</v>
      </c>
    </row>
    <row r="383">
      <c r="A383" t="inlineStr">
        <is>
          <t>ORD00382</t>
        </is>
      </c>
      <c r="B383" t="inlineStr">
        <is>
          <t>C0382</t>
        </is>
      </c>
      <c r="C383" t="n">
        <v>1</v>
      </c>
      <c r="D383" t="inlineStr">
        <is>
          <t>Hub A</t>
        </is>
      </c>
      <c r="E383" t="n">
        <v>52</v>
      </c>
      <c r="F383" t="n">
        <v>19</v>
      </c>
    </row>
    <row r="384">
      <c r="A384" t="inlineStr">
        <is>
          <t>ORD00383</t>
        </is>
      </c>
      <c r="B384" t="inlineStr">
        <is>
          <t>C0383</t>
        </is>
      </c>
      <c r="C384" t="n">
        <v>2</v>
      </c>
      <c r="D384" t="inlineStr">
        <is>
          <t>Hub A</t>
        </is>
      </c>
      <c r="E384" t="n">
        <v>59</v>
      </c>
      <c r="F384" t="n">
        <v>19</v>
      </c>
    </row>
    <row r="385">
      <c r="A385" t="inlineStr">
        <is>
          <t>ORD00384</t>
        </is>
      </c>
      <c r="B385" t="inlineStr">
        <is>
          <t>C0384</t>
        </is>
      </c>
      <c r="C385" t="n">
        <v>3</v>
      </c>
      <c r="D385" t="inlineStr">
        <is>
          <t>Hub A</t>
        </is>
      </c>
      <c r="E385" t="n">
        <v>66</v>
      </c>
      <c r="F385" t="n">
        <v>19</v>
      </c>
    </row>
    <row r="386">
      <c r="A386" t="inlineStr">
        <is>
          <t>ORD00385</t>
        </is>
      </c>
      <c r="B386" t="inlineStr">
        <is>
          <t>C0385</t>
        </is>
      </c>
      <c r="C386" t="n">
        <v>1</v>
      </c>
      <c r="D386" t="inlineStr">
        <is>
          <t>Hub A</t>
        </is>
      </c>
      <c r="E386" t="n">
        <v>73</v>
      </c>
      <c r="F386" t="n">
        <v>19</v>
      </c>
    </row>
    <row r="387">
      <c r="A387" t="inlineStr">
        <is>
          <t>ORD00386</t>
        </is>
      </c>
      <c r="B387" t="inlineStr">
        <is>
          <t>C0386</t>
        </is>
      </c>
      <c r="C387" t="n">
        <v>2</v>
      </c>
      <c r="D387" t="inlineStr">
        <is>
          <t>Hub A</t>
        </is>
      </c>
      <c r="E387" t="n">
        <v>20</v>
      </c>
      <c r="F387" t="n">
        <v>19</v>
      </c>
    </row>
    <row r="388">
      <c r="A388" t="inlineStr">
        <is>
          <t>ORD00387</t>
        </is>
      </c>
      <c r="B388" t="inlineStr">
        <is>
          <t>C0387</t>
        </is>
      </c>
      <c r="C388" t="n">
        <v>3</v>
      </c>
      <c r="D388" t="inlineStr">
        <is>
          <t>Hub A</t>
        </is>
      </c>
      <c r="E388" t="n">
        <v>27</v>
      </c>
      <c r="F388" t="n">
        <v>19</v>
      </c>
    </row>
    <row r="389">
      <c r="A389" t="inlineStr">
        <is>
          <t>ORD00388</t>
        </is>
      </c>
      <c r="B389" t="inlineStr">
        <is>
          <t>C0388</t>
        </is>
      </c>
      <c r="C389" t="n">
        <v>1</v>
      </c>
      <c r="D389" t="inlineStr">
        <is>
          <t>Hub A</t>
        </is>
      </c>
      <c r="E389" t="n">
        <v>34</v>
      </c>
      <c r="F389" t="n">
        <v>19</v>
      </c>
    </row>
    <row r="390">
      <c r="A390" t="inlineStr">
        <is>
          <t>ORD00389</t>
        </is>
      </c>
      <c r="B390" t="inlineStr">
        <is>
          <t>C0389</t>
        </is>
      </c>
      <c r="C390" t="n">
        <v>2</v>
      </c>
      <c r="D390" t="inlineStr">
        <is>
          <t>Hub A</t>
        </is>
      </c>
      <c r="E390" t="n">
        <v>41</v>
      </c>
      <c r="F390" t="n">
        <v>19</v>
      </c>
    </row>
    <row r="391">
      <c r="A391" t="inlineStr">
        <is>
          <t>ORD00390</t>
        </is>
      </c>
      <c r="B391" t="inlineStr">
        <is>
          <t>C0390</t>
        </is>
      </c>
      <c r="C391" t="n">
        <v>3</v>
      </c>
      <c r="D391" t="inlineStr">
        <is>
          <t>Hub A</t>
        </is>
      </c>
      <c r="E391" t="n">
        <v>48</v>
      </c>
      <c r="F391" t="n">
        <v>19</v>
      </c>
    </row>
    <row r="392">
      <c r="A392" t="inlineStr">
        <is>
          <t>ORD00391</t>
        </is>
      </c>
      <c r="B392" t="inlineStr">
        <is>
          <t>C0391</t>
        </is>
      </c>
      <c r="C392" t="n">
        <v>1</v>
      </c>
      <c r="D392" t="inlineStr">
        <is>
          <t>Hub A</t>
        </is>
      </c>
      <c r="E392" t="n">
        <v>55</v>
      </c>
      <c r="F392" t="n">
        <v>19</v>
      </c>
    </row>
    <row r="393">
      <c r="A393" t="inlineStr">
        <is>
          <t>ORD00392</t>
        </is>
      </c>
      <c r="B393" t="inlineStr">
        <is>
          <t>C0392</t>
        </is>
      </c>
      <c r="C393" t="n">
        <v>2</v>
      </c>
      <c r="D393" t="inlineStr">
        <is>
          <t>Hub A</t>
        </is>
      </c>
      <c r="E393" t="n">
        <v>62</v>
      </c>
      <c r="F393" t="n">
        <v>19</v>
      </c>
    </row>
    <row r="394">
      <c r="A394" t="inlineStr">
        <is>
          <t>ORD00393</t>
        </is>
      </c>
      <c r="B394" t="inlineStr">
        <is>
          <t>C0393</t>
        </is>
      </c>
      <c r="C394" t="n">
        <v>3</v>
      </c>
      <c r="D394" t="inlineStr">
        <is>
          <t>Hub A</t>
        </is>
      </c>
      <c r="E394" t="n">
        <v>69</v>
      </c>
      <c r="F394" t="n">
        <v>19</v>
      </c>
    </row>
    <row r="395">
      <c r="A395" t="inlineStr">
        <is>
          <t>ORD00394</t>
        </is>
      </c>
      <c r="B395" t="inlineStr">
        <is>
          <t>C0394</t>
        </is>
      </c>
      <c r="C395" t="n">
        <v>1</v>
      </c>
      <c r="D395" t="inlineStr">
        <is>
          <t>Hub A</t>
        </is>
      </c>
      <c r="E395" t="n">
        <v>76</v>
      </c>
      <c r="F395" t="n">
        <v>19</v>
      </c>
    </row>
    <row r="396">
      <c r="A396" t="inlineStr">
        <is>
          <t>ORD00395</t>
        </is>
      </c>
      <c r="B396" t="inlineStr">
        <is>
          <t>C0395</t>
        </is>
      </c>
      <c r="C396" t="n">
        <v>2</v>
      </c>
      <c r="D396" t="inlineStr">
        <is>
          <t>Hub A</t>
        </is>
      </c>
      <c r="E396" t="n">
        <v>23</v>
      </c>
      <c r="F396" t="n">
        <v>19</v>
      </c>
    </row>
    <row r="397">
      <c r="A397" t="inlineStr">
        <is>
          <t>ORD00396</t>
        </is>
      </c>
      <c r="B397" t="inlineStr">
        <is>
          <t>C0396</t>
        </is>
      </c>
      <c r="C397" t="n">
        <v>3</v>
      </c>
      <c r="D397" t="inlineStr">
        <is>
          <t>Hub A</t>
        </is>
      </c>
      <c r="E397" t="n">
        <v>30</v>
      </c>
      <c r="F397" t="n">
        <v>19</v>
      </c>
    </row>
    <row r="398">
      <c r="A398" t="inlineStr">
        <is>
          <t>ORD00397</t>
        </is>
      </c>
      <c r="B398" t="inlineStr">
        <is>
          <t>C0397</t>
        </is>
      </c>
      <c r="C398" t="n">
        <v>1</v>
      </c>
      <c r="D398" t="inlineStr">
        <is>
          <t>Hub A</t>
        </is>
      </c>
      <c r="E398" t="n">
        <v>37</v>
      </c>
      <c r="F398" t="n">
        <v>19</v>
      </c>
    </row>
    <row r="399">
      <c r="A399" t="inlineStr">
        <is>
          <t>ORD00398</t>
        </is>
      </c>
      <c r="B399" t="inlineStr">
        <is>
          <t>C0398</t>
        </is>
      </c>
      <c r="C399" t="n">
        <v>2</v>
      </c>
      <c r="D399" t="inlineStr">
        <is>
          <t>Hub A</t>
        </is>
      </c>
      <c r="E399" t="n">
        <v>44</v>
      </c>
      <c r="F399" t="n">
        <v>19</v>
      </c>
    </row>
    <row r="400">
      <c r="A400" t="inlineStr">
        <is>
          <t>ORD00399</t>
        </is>
      </c>
      <c r="B400" t="inlineStr">
        <is>
          <t>C0399</t>
        </is>
      </c>
      <c r="C400" t="n">
        <v>3</v>
      </c>
      <c r="D400" t="inlineStr">
        <is>
          <t>Hub A</t>
        </is>
      </c>
      <c r="E400" t="n">
        <v>51</v>
      </c>
      <c r="F400" t="n">
        <v>19</v>
      </c>
    </row>
    <row r="401">
      <c r="A401" t="inlineStr">
        <is>
          <t>ORD00400</t>
        </is>
      </c>
      <c r="B401" t="inlineStr">
        <is>
          <t>C0400</t>
        </is>
      </c>
      <c r="C401" t="n">
        <v>1</v>
      </c>
      <c r="D401" t="inlineStr">
        <is>
          <t>Hub A</t>
        </is>
      </c>
      <c r="E401" t="n">
        <v>58</v>
      </c>
      <c r="F401" t="n">
        <v>19</v>
      </c>
    </row>
    <row r="402">
      <c r="A402" t="inlineStr">
        <is>
          <t>ORD00401</t>
        </is>
      </c>
      <c r="B402" t="inlineStr">
        <is>
          <t>C0401</t>
        </is>
      </c>
      <c r="C402" t="n">
        <v>2</v>
      </c>
      <c r="D402" t="inlineStr">
        <is>
          <t>Hub A</t>
        </is>
      </c>
      <c r="E402" t="n">
        <v>65</v>
      </c>
      <c r="F402" t="n">
        <v>19</v>
      </c>
    </row>
    <row r="403">
      <c r="A403" t="inlineStr">
        <is>
          <t>ORD00402</t>
        </is>
      </c>
      <c r="B403" t="inlineStr">
        <is>
          <t>C0402</t>
        </is>
      </c>
      <c r="C403" t="n">
        <v>3</v>
      </c>
      <c r="D403" t="inlineStr">
        <is>
          <t>Hub A</t>
        </is>
      </c>
      <c r="E403" t="n">
        <v>72</v>
      </c>
      <c r="F403" t="n">
        <v>19</v>
      </c>
    </row>
    <row r="404">
      <c r="A404" t="inlineStr">
        <is>
          <t>ORD00403</t>
        </is>
      </c>
      <c r="B404" t="inlineStr">
        <is>
          <t>C0403</t>
        </is>
      </c>
      <c r="C404" t="n">
        <v>1</v>
      </c>
      <c r="D404" t="inlineStr">
        <is>
          <t>Hub A</t>
        </is>
      </c>
      <c r="E404" t="n">
        <v>19</v>
      </c>
      <c r="F404" t="n">
        <v>19</v>
      </c>
    </row>
    <row r="405">
      <c r="A405" t="inlineStr">
        <is>
          <t>ORD00404</t>
        </is>
      </c>
      <c r="B405" t="inlineStr">
        <is>
          <t>C0404</t>
        </is>
      </c>
      <c r="C405" t="n">
        <v>2</v>
      </c>
      <c r="D405" t="inlineStr">
        <is>
          <t>Hub A</t>
        </is>
      </c>
      <c r="E405" t="n">
        <v>26</v>
      </c>
      <c r="F405" t="n">
        <v>19</v>
      </c>
    </row>
    <row r="406">
      <c r="A406" t="inlineStr">
        <is>
          <t>ORD00405</t>
        </is>
      </c>
      <c r="B406" t="inlineStr">
        <is>
          <t>C0405</t>
        </is>
      </c>
      <c r="C406" t="n">
        <v>3</v>
      </c>
      <c r="D406" t="inlineStr">
        <is>
          <t>Hub A</t>
        </is>
      </c>
      <c r="E406" t="n">
        <v>33</v>
      </c>
      <c r="F406" t="n">
        <v>19</v>
      </c>
    </row>
    <row r="407">
      <c r="A407" t="inlineStr">
        <is>
          <t>ORD00406</t>
        </is>
      </c>
      <c r="B407" t="inlineStr">
        <is>
          <t>C0406</t>
        </is>
      </c>
      <c r="C407" t="n">
        <v>1</v>
      </c>
      <c r="D407" t="inlineStr">
        <is>
          <t>Hub A</t>
        </is>
      </c>
      <c r="E407" t="n">
        <v>40</v>
      </c>
      <c r="F407" t="n">
        <v>19</v>
      </c>
    </row>
    <row r="408">
      <c r="A408" t="inlineStr">
        <is>
          <t>ORD00407</t>
        </is>
      </c>
      <c r="B408" t="inlineStr">
        <is>
          <t>C0407</t>
        </is>
      </c>
      <c r="C408" t="n">
        <v>2</v>
      </c>
      <c r="D408" t="inlineStr">
        <is>
          <t>Hub A</t>
        </is>
      </c>
      <c r="E408" t="n">
        <v>47</v>
      </c>
      <c r="F408" t="n">
        <v>19</v>
      </c>
    </row>
    <row r="409">
      <c r="A409" t="inlineStr">
        <is>
          <t>ORD00408</t>
        </is>
      </c>
      <c r="B409" t="inlineStr">
        <is>
          <t>C0408</t>
        </is>
      </c>
      <c r="C409" t="n">
        <v>3</v>
      </c>
      <c r="D409" t="inlineStr">
        <is>
          <t>Hub A</t>
        </is>
      </c>
      <c r="E409" t="n">
        <v>54</v>
      </c>
      <c r="F409" t="n">
        <v>19</v>
      </c>
    </row>
    <row r="410">
      <c r="A410" t="inlineStr">
        <is>
          <t>ORD00409</t>
        </is>
      </c>
      <c r="B410" t="inlineStr">
        <is>
          <t>C0409</t>
        </is>
      </c>
      <c r="C410" t="n">
        <v>1</v>
      </c>
      <c r="D410" t="inlineStr">
        <is>
          <t>Hub A</t>
        </is>
      </c>
      <c r="E410" t="n">
        <v>61</v>
      </c>
      <c r="F410" t="n">
        <v>19</v>
      </c>
    </row>
    <row r="411">
      <c r="A411" t="inlineStr">
        <is>
          <t>ORD00410</t>
        </is>
      </c>
      <c r="B411" t="inlineStr">
        <is>
          <t>C0410</t>
        </is>
      </c>
      <c r="C411" t="n">
        <v>2</v>
      </c>
      <c r="D411" t="inlineStr">
        <is>
          <t>Hub A</t>
        </is>
      </c>
      <c r="E411" t="n">
        <v>68</v>
      </c>
      <c r="F411" t="n">
        <v>19</v>
      </c>
    </row>
    <row r="412">
      <c r="A412" t="inlineStr">
        <is>
          <t>ORD00411</t>
        </is>
      </c>
      <c r="B412" t="inlineStr">
        <is>
          <t>C0411</t>
        </is>
      </c>
      <c r="C412" t="n">
        <v>3</v>
      </c>
      <c r="D412" t="inlineStr">
        <is>
          <t>Hub A</t>
        </is>
      </c>
      <c r="E412" t="n">
        <v>75</v>
      </c>
      <c r="F412" t="n">
        <v>19</v>
      </c>
    </row>
    <row r="413">
      <c r="A413" t="inlineStr">
        <is>
          <t>ORD00412</t>
        </is>
      </c>
      <c r="B413" t="inlineStr">
        <is>
          <t>C0412</t>
        </is>
      </c>
      <c r="C413" t="n">
        <v>1</v>
      </c>
      <c r="D413" t="inlineStr">
        <is>
          <t>Hub A</t>
        </is>
      </c>
      <c r="E413" t="n">
        <v>22</v>
      </c>
      <c r="F413" t="n">
        <v>19</v>
      </c>
    </row>
    <row r="414">
      <c r="A414" t="inlineStr">
        <is>
          <t>ORD00413</t>
        </is>
      </c>
      <c r="B414" t="inlineStr">
        <is>
          <t>C0413</t>
        </is>
      </c>
      <c r="C414" t="n">
        <v>2</v>
      </c>
      <c r="D414" t="inlineStr">
        <is>
          <t>Hub A</t>
        </is>
      </c>
      <c r="E414" t="n">
        <v>29</v>
      </c>
      <c r="F414" t="n">
        <v>19</v>
      </c>
    </row>
    <row r="415">
      <c r="A415" t="inlineStr">
        <is>
          <t>ORD00414</t>
        </is>
      </c>
      <c r="B415" t="inlineStr">
        <is>
          <t>C0414</t>
        </is>
      </c>
      <c r="C415" t="n">
        <v>3</v>
      </c>
      <c r="D415" t="inlineStr">
        <is>
          <t>Hub A</t>
        </is>
      </c>
      <c r="E415" t="n">
        <v>36</v>
      </c>
      <c r="F415" t="n">
        <v>19</v>
      </c>
    </row>
    <row r="416">
      <c r="A416" t="inlineStr">
        <is>
          <t>ORD00415</t>
        </is>
      </c>
      <c r="B416" t="inlineStr">
        <is>
          <t>C0415</t>
        </is>
      </c>
      <c r="C416" t="n">
        <v>1</v>
      </c>
      <c r="D416" t="inlineStr">
        <is>
          <t>Hub A</t>
        </is>
      </c>
      <c r="E416" t="n">
        <v>43</v>
      </c>
      <c r="F416" t="n">
        <v>19</v>
      </c>
    </row>
    <row r="417">
      <c r="A417" t="inlineStr">
        <is>
          <t>ORD00416</t>
        </is>
      </c>
      <c r="B417" t="inlineStr">
        <is>
          <t>C0416</t>
        </is>
      </c>
      <c r="C417" t="n">
        <v>2</v>
      </c>
      <c r="D417" t="inlineStr">
        <is>
          <t>Hub A</t>
        </is>
      </c>
      <c r="E417" t="n">
        <v>50</v>
      </c>
      <c r="F417" t="n">
        <v>19</v>
      </c>
    </row>
    <row r="418">
      <c r="A418" t="inlineStr">
        <is>
          <t>ORD00417</t>
        </is>
      </c>
      <c r="B418" t="inlineStr">
        <is>
          <t>C0417</t>
        </is>
      </c>
      <c r="C418" t="n">
        <v>3</v>
      </c>
      <c r="D418" t="inlineStr">
        <is>
          <t>Hub A</t>
        </is>
      </c>
      <c r="E418" t="n">
        <v>57</v>
      </c>
      <c r="F418" t="n">
        <v>19</v>
      </c>
    </row>
    <row r="419">
      <c r="A419" t="inlineStr">
        <is>
          <t>ORD00418</t>
        </is>
      </c>
      <c r="B419" t="inlineStr">
        <is>
          <t>C0418</t>
        </is>
      </c>
      <c r="C419" t="n">
        <v>1</v>
      </c>
      <c r="D419" t="inlineStr">
        <is>
          <t>Hub A</t>
        </is>
      </c>
      <c r="E419" t="n">
        <v>64</v>
      </c>
      <c r="F419" t="n">
        <v>19</v>
      </c>
    </row>
    <row r="420">
      <c r="A420" t="inlineStr">
        <is>
          <t>ORD00419</t>
        </is>
      </c>
      <c r="B420" t="inlineStr">
        <is>
          <t>C0419</t>
        </is>
      </c>
      <c r="C420" t="n">
        <v>2</v>
      </c>
      <c r="D420" t="inlineStr">
        <is>
          <t>Hub A</t>
        </is>
      </c>
      <c r="E420" t="n">
        <v>71</v>
      </c>
      <c r="F420" t="n">
        <v>19</v>
      </c>
    </row>
    <row r="421">
      <c r="A421" t="inlineStr">
        <is>
          <t>ORD00420</t>
        </is>
      </c>
      <c r="B421" t="inlineStr">
        <is>
          <t>C0420</t>
        </is>
      </c>
      <c r="C421" t="n">
        <v>3</v>
      </c>
      <c r="D421" t="inlineStr">
        <is>
          <t>Hub A</t>
        </is>
      </c>
      <c r="E421" t="n">
        <v>18</v>
      </c>
      <c r="F421" t="n">
        <v>19</v>
      </c>
    </row>
    <row r="422">
      <c r="A422" t="inlineStr">
        <is>
          <t>ORD00421</t>
        </is>
      </c>
      <c r="B422" t="inlineStr">
        <is>
          <t>C0421</t>
        </is>
      </c>
      <c r="C422" t="n">
        <v>1</v>
      </c>
      <c r="D422" t="inlineStr">
        <is>
          <t>Hub A</t>
        </is>
      </c>
      <c r="E422" t="n">
        <v>25</v>
      </c>
      <c r="F422" t="n">
        <v>19</v>
      </c>
    </row>
    <row r="423">
      <c r="A423" t="inlineStr">
        <is>
          <t>ORD00422</t>
        </is>
      </c>
      <c r="B423" t="inlineStr">
        <is>
          <t>C0422</t>
        </is>
      </c>
      <c r="C423" t="n">
        <v>2</v>
      </c>
      <c r="D423" t="inlineStr">
        <is>
          <t>Hub A</t>
        </is>
      </c>
      <c r="E423" t="n">
        <v>32</v>
      </c>
      <c r="F423" t="n">
        <v>19</v>
      </c>
    </row>
    <row r="424">
      <c r="A424" t="inlineStr">
        <is>
          <t>ORD00423</t>
        </is>
      </c>
      <c r="B424" t="inlineStr">
        <is>
          <t>C0423</t>
        </is>
      </c>
      <c r="C424" t="n">
        <v>3</v>
      </c>
      <c r="D424" t="inlineStr">
        <is>
          <t>Hub A</t>
        </is>
      </c>
      <c r="E424" t="n">
        <v>39</v>
      </c>
      <c r="F424" t="n">
        <v>19</v>
      </c>
    </row>
    <row r="425">
      <c r="A425" t="inlineStr">
        <is>
          <t>ORD00424</t>
        </is>
      </c>
      <c r="B425" t="inlineStr">
        <is>
          <t>C0424</t>
        </is>
      </c>
      <c r="C425" t="n">
        <v>1</v>
      </c>
      <c r="D425" t="inlineStr">
        <is>
          <t>Hub A</t>
        </is>
      </c>
      <c r="E425" t="n">
        <v>46</v>
      </c>
      <c r="F425" t="n">
        <v>19</v>
      </c>
    </row>
    <row r="426">
      <c r="A426" t="inlineStr">
        <is>
          <t>ORD00425</t>
        </is>
      </c>
      <c r="B426" t="inlineStr">
        <is>
          <t>C0425</t>
        </is>
      </c>
      <c r="C426" t="n">
        <v>2</v>
      </c>
      <c r="D426" t="inlineStr">
        <is>
          <t>Hub A</t>
        </is>
      </c>
      <c r="E426" t="n">
        <v>53</v>
      </c>
      <c r="F426" t="n">
        <v>19</v>
      </c>
    </row>
    <row r="427">
      <c r="A427" t="inlineStr">
        <is>
          <t>ORD00426</t>
        </is>
      </c>
      <c r="B427" t="inlineStr">
        <is>
          <t>C0426</t>
        </is>
      </c>
      <c r="C427" t="n">
        <v>3</v>
      </c>
      <c r="D427" t="inlineStr">
        <is>
          <t>Hub A</t>
        </is>
      </c>
      <c r="E427" t="n">
        <v>60</v>
      </c>
      <c r="F427" t="n">
        <v>19</v>
      </c>
    </row>
    <row r="428">
      <c r="A428" t="inlineStr">
        <is>
          <t>ORD00427</t>
        </is>
      </c>
      <c r="B428" t="inlineStr">
        <is>
          <t>C0427</t>
        </is>
      </c>
      <c r="C428" t="n">
        <v>1</v>
      </c>
      <c r="D428" t="inlineStr">
        <is>
          <t>Hub A</t>
        </is>
      </c>
      <c r="E428" t="n">
        <v>67</v>
      </c>
      <c r="F428" t="n">
        <v>19</v>
      </c>
    </row>
    <row r="429">
      <c r="A429" t="inlineStr">
        <is>
          <t>ORD00428</t>
        </is>
      </c>
      <c r="B429" t="inlineStr">
        <is>
          <t>C0428</t>
        </is>
      </c>
      <c r="C429" t="n">
        <v>2</v>
      </c>
      <c r="D429" t="inlineStr">
        <is>
          <t>Hub A</t>
        </is>
      </c>
      <c r="E429" t="n">
        <v>74</v>
      </c>
      <c r="F429" t="n">
        <v>19</v>
      </c>
    </row>
    <row r="430">
      <c r="A430" t="inlineStr">
        <is>
          <t>ORD00429</t>
        </is>
      </c>
      <c r="B430" t="inlineStr">
        <is>
          <t>C0429</t>
        </is>
      </c>
      <c r="C430" t="n">
        <v>3</v>
      </c>
      <c r="D430" t="inlineStr">
        <is>
          <t>Hub A</t>
        </is>
      </c>
      <c r="E430" t="n">
        <v>21</v>
      </c>
      <c r="F430" t="n">
        <v>19</v>
      </c>
    </row>
    <row r="431">
      <c r="A431" t="inlineStr">
        <is>
          <t>ORD00430</t>
        </is>
      </c>
      <c r="B431" t="inlineStr">
        <is>
          <t>C0430</t>
        </is>
      </c>
      <c r="C431" t="n">
        <v>1</v>
      </c>
      <c r="D431" t="inlineStr">
        <is>
          <t>Hub A</t>
        </is>
      </c>
      <c r="E431" t="n">
        <v>28</v>
      </c>
      <c r="F431" t="n">
        <v>19</v>
      </c>
    </row>
    <row r="432">
      <c r="A432" t="inlineStr">
        <is>
          <t>ORD00431</t>
        </is>
      </c>
      <c r="B432" t="inlineStr">
        <is>
          <t>C0431</t>
        </is>
      </c>
      <c r="C432" t="n">
        <v>2</v>
      </c>
      <c r="D432" t="inlineStr">
        <is>
          <t>Hub A</t>
        </is>
      </c>
      <c r="E432" t="n">
        <v>35</v>
      </c>
      <c r="F432" t="n">
        <v>19</v>
      </c>
    </row>
    <row r="433">
      <c r="A433" t="inlineStr">
        <is>
          <t>ORD00432</t>
        </is>
      </c>
      <c r="B433" t="inlineStr">
        <is>
          <t>C0432</t>
        </is>
      </c>
      <c r="C433" t="n">
        <v>3</v>
      </c>
      <c r="D433" t="inlineStr">
        <is>
          <t>Hub A</t>
        </is>
      </c>
      <c r="E433" t="n">
        <v>42</v>
      </c>
      <c r="F433" t="n">
        <v>19</v>
      </c>
    </row>
    <row r="434">
      <c r="A434" t="inlineStr">
        <is>
          <t>ORD00433</t>
        </is>
      </c>
      <c r="B434" t="inlineStr">
        <is>
          <t>C0433</t>
        </is>
      </c>
      <c r="C434" t="n">
        <v>1</v>
      </c>
      <c r="D434" t="inlineStr">
        <is>
          <t>Hub A</t>
        </is>
      </c>
      <c r="E434" t="n">
        <v>49</v>
      </c>
      <c r="F434" t="n">
        <v>19</v>
      </c>
    </row>
    <row r="435">
      <c r="A435" t="inlineStr">
        <is>
          <t>ORD00434</t>
        </is>
      </c>
      <c r="B435" t="inlineStr">
        <is>
          <t>C0434</t>
        </is>
      </c>
      <c r="C435" t="n">
        <v>2</v>
      </c>
      <c r="D435" t="inlineStr">
        <is>
          <t>Hub A</t>
        </is>
      </c>
      <c r="E435" t="n">
        <v>56</v>
      </c>
      <c r="F435" t="n">
        <v>19</v>
      </c>
    </row>
    <row r="436">
      <c r="A436" t="inlineStr">
        <is>
          <t>ORD00435</t>
        </is>
      </c>
      <c r="B436" t="inlineStr">
        <is>
          <t>C0435</t>
        </is>
      </c>
      <c r="C436" t="n">
        <v>3</v>
      </c>
      <c r="D436" t="inlineStr">
        <is>
          <t>Hub A</t>
        </is>
      </c>
      <c r="E436" t="n">
        <v>63</v>
      </c>
      <c r="F436" t="n">
        <v>19</v>
      </c>
    </row>
    <row r="437">
      <c r="A437" t="inlineStr">
        <is>
          <t>ORD00436</t>
        </is>
      </c>
      <c r="B437" t="inlineStr">
        <is>
          <t>C0436</t>
        </is>
      </c>
      <c r="C437" t="n">
        <v>1</v>
      </c>
      <c r="D437" t="inlineStr">
        <is>
          <t>Hub A</t>
        </is>
      </c>
      <c r="E437" t="n">
        <v>70</v>
      </c>
      <c r="F437" t="n">
        <v>19</v>
      </c>
    </row>
    <row r="438">
      <c r="A438" t="inlineStr">
        <is>
          <t>ORD00437</t>
        </is>
      </c>
      <c r="B438" t="inlineStr">
        <is>
          <t>C0437</t>
        </is>
      </c>
      <c r="C438" t="n">
        <v>2</v>
      </c>
      <c r="D438" t="inlineStr">
        <is>
          <t>Hub A</t>
        </is>
      </c>
      <c r="E438" t="n">
        <v>77</v>
      </c>
      <c r="F438" t="n">
        <v>19</v>
      </c>
    </row>
    <row r="439">
      <c r="A439" t="inlineStr">
        <is>
          <t>ORD00438</t>
        </is>
      </c>
      <c r="B439" t="inlineStr">
        <is>
          <t>C0438</t>
        </is>
      </c>
      <c r="C439" t="n">
        <v>3</v>
      </c>
      <c r="D439" t="inlineStr">
        <is>
          <t>Hub A</t>
        </is>
      </c>
      <c r="E439" t="n">
        <v>24</v>
      </c>
      <c r="F439" t="n">
        <v>19</v>
      </c>
    </row>
    <row r="440">
      <c r="A440" t="inlineStr">
        <is>
          <t>ORD00439</t>
        </is>
      </c>
      <c r="B440" t="inlineStr">
        <is>
          <t>C0439</t>
        </is>
      </c>
      <c r="C440" t="n">
        <v>1</v>
      </c>
      <c r="D440" t="inlineStr">
        <is>
          <t>Hub A</t>
        </is>
      </c>
      <c r="E440" t="n">
        <v>31</v>
      </c>
      <c r="F440" t="n">
        <v>19</v>
      </c>
    </row>
    <row r="441">
      <c r="A441" t="inlineStr">
        <is>
          <t>ORD00440</t>
        </is>
      </c>
      <c r="B441" t="inlineStr">
        <is>
          <t>C0440</t>
        </is>
      </c>
      <c r="C441" t="n">
        <v>2</v>
      </c>
      <c r="D441" t="inlineStr">
        <is>
          <t>Hub A</t>
        </is>
      </c>
      <c r="E441" t="n">
        <v>38</v>
      </c>
      <c r="F441" t="n">
        <v>19</v>
      </c>
    </row>
    <row r="442">
      <c r="A442" t="inlineStr">
        <is>
          <t>ORD00441</t>
        </is>
      </c>
      <c r="B442" t="inlineStr">
        <is>
          <t>C0441</t>
        </is>
      </c>
      <c r="C442" t="n">
        <v>3</v>
      </c>
      <c r="D442" t="inlineStr">
        <is>
          <t>Hub A</t>
        </is>
      </c>
      <c r="E442" t="n">
        <v>45</v>
      </c>
      <c r="F442" t="n">
        <v>19</v>
      </c>
    </row>
    <row r="443">
      <c r="A443" t="inlineStr">
        <is>
          <t>ORD00442</t>
        </is>
      </c>
      <c r="B443" t="inlineStr">
        <is>
          <t>C0442</t>
        </is>
      </c>
      <c r="C443" t="n">
        <v>1</v>
      </c>
      <c r="D443" t="inlineStr">
        <is>
          <t>Hub A</t>
        </is>
      </c>
      <c r="E443" t="n">
        <v>52</v>
      </c>
      <c r="F443" t="n">
        <v>19</v>
      </c>
    </row>
    <row r="444">
      <c r="A444" t="inlineStr">
        <is>
          <t>ORD00443</t>
        </is>
      </c>
      <c r="B444" t="inlineStr">
        <is>
          <t>C0443</t>
        </is>
      </c>
      <c r="C444" t="n">
        <v>2</v>
      </c>
      <c r="D444" t="inlineStr">
        <is>
          <t>Hub A</t>
        </is>
      </c>
      <c r="E444" t="n">
        <v>59</v>
      </c>
      <c r="F444" t="n">
        <v>19</v>
      </c>
    </row>
    <row r="445">
      <c r="A445" t="inlineStr">
        <is>
          <t>ORD00444</t>
        </is>
      </c>
      <c r="B445" t="inlineStr">
        <is>
          <t>C0444</t>
        </is>
      </c>
      <c r="C445" t="n">
        <v>3</v>
      </c>
      <c r="D445" t="inlineStr">
        <is>
          <t>Hub A</t>
        </is>
      </c>
      <c r="E445" t="n">
        <v>66</v>
      </c>
      <c r="F445" t="n">
        <v>19</v>
      </c>
    </row>
    <row r="446">
      <c r="A446" t="inlineStr">
        <is>
          <t>ORD00445</t>
        </is>
      </c>
      <c r="B446" t="inlineStr">
        <is>
          <t>C0445</t>
        </is>
      </c>
      <c r="C446" t="n">
        <v>1</v>
      </c>
      <c r="D446" t="inlineStr">
        <is>
          <t>Hub A</t>
        </is>
      </c>
      <c r="E446" t="n">
        <v>73</v>
      </c>
      <c r="F446" t="n">
        <v>19</v>
      </c>
    </row>
    <row r="447">
      <c r="A447" t="inlineStr">
        <is>
          <t>ORD00446</t>
        </is>
      </c>
      <c r="B447" t="inlineStr">
        <is>
          <t>C0446</t>
        </is>
      </c>
      <c r="C447" t="n">
        <v>2</v>
      </c>
      <c r="D447" t="inlineStr">
        <is>
          <t>Hub A</t>
        </is>
      </c>
      <c r="E447" t="n">
        <v>20</v>
      </c>
      <c r="F447" t="n">
        <v>19</v>
      </c>
    </row>
    <row r="448">
      <c r="A448" t="inlineStr">
        <is>
          <t>ORD00447</t>
        </is>
      </c>
      <c r="B448" t="inlineStr">
        <is>
          <t>C0447</t>
        </is>
      </c>
      <c r="C448" t="n">
        <v>3</v>
      </c>
      <c r="D448" t="inlineStr">
        <is>
          <t>Hub A</t>
        </is>
      </c>
      <c r="E448" t="n">
        <v>27</v>
      </c>
      <c r="F448" t="n">
        <v>19</v>
      </c>
    </row>
    <row r="449">
      <c r="A449" t="inlineStr">
        <is>
          <t>ORD00448</t>
        </is>
      </c>
      <c r="B449" t="inlineStr">
        <is>
          <t>C0448</t>
        </is>
      </c>
      <c r="C449" t="n">
        <v>1</v>
      </c>
      <c r="D449" t="inlineStr">
        <is>
          <t>Hub A</t>
        </is>
      </c>
      <c r="E449" t="n">
        <v>34</v>
      </c>
      <c r="F449" t="n">
        <v>19</v>
      </c>
    </row>
    <row r="450">
      <c r="A450" t="inlineStr">
        <is>
          <t>ORD00449</t>
        </is>
      </c>
      <c r="B450" t="inlineStr">
        <is>
          <t>C0449</t>
        </is>
      </c>
      <c r="C450" t="n">
        <v>2</v>
      </c>
      <c r="D450" t="inlineStr">
        <is>
          <t>Hub A</t>
        </is>
      </c>
      <c r="E450" t="n">
        <v>41</v>
      </c>
      <c r="F450" t="n">
        <v>19</v>
      </c>
    </row>
    <row r="451">
      <c r="A451" t="inlineStr">
        <is>
          <t>ORD00450</t>
        </is>
      </c>
      <c r="B451" t="inlineStr">
        <is>
          <t>C0450</t>
        </is>
      </c>
      <c r="C451" t="n">
        <v>3</v>
      </c>
      <c r="D451" t="inlineStr">
        <is>
          <t>Hub A</t>
        </is>
      </c>
      <c r="E451" t="n">
        <v>48</v>
      </c>
      <c r="F451" t="n">
        <v>19</v>
      </c>
    </row>
    <row r="452">
      <c r="A452" t="inlineStr">
        <is>
          <t>ORD00451</t>
        </is>
      </c>
      <c r="B452" t="inlineStr">
        <is>
          <t>C0451</t>
        </is>
      </c>
      <c r="C452" t="n">
        <v>1</v>
      </c>
      <c r="D452" t="inlineStr">
        <is>
          <t>Hub A</t>
        </is>
      </c>
      <c r="E452" t="n">
        <v>55</v>
      </c>
      <c r="F452" t="n">
        <v>19</v>
      </c>
    </row>
    <row r="453">
      <c r="A453" t="inlineStr">
        <is>
          <t>ORD00452</t>
        </is>
      </c>
      <c r="B453" t="inlineStr">
        <is>
          <t>C0452</t>
        </is>
      </c>
      <c r="C453" t="n">
        <v>2</v>
      </c>
      <c r="D453" t="inlineStr">
        <is>
          <t>Hub A</t>
        </is>
      </c>
      <c r="E453" t="n">
        <v>62</v>
      </c>
      <c r="F453" t="n">
        <v>19</v>
      </c>
    </row>
    <row r="454">
      <c r="A454" t="inlineStr">
        <is>
          <t>ORD00453</t>
        </is>
      </c>
      <c r="B454" t="inlineStr">
        <is>
          <t>C0453</t>
        </is>
      </c>
      <c r="C454" t="n">
        <v>3</v>
      </c>
      <c r="D454" t="inlineStr">
        <is>
          <t>Hub A</t>
        </is>
      </c>
      <c r="E454" t="n">
        <v>69</v>
      </c>
      <c r="F454" t="n">
        <v>19</v>
      </c>
    </row>
    <row r="455">
      <c r="A455" t="inlineStr">
        <is>
          <t>ORD00454</t>
        </is>
      </c>
      <c r="B455" t="inlineStr">
        <is>
          <t>C0454</t>
        </is>
      </c>
      <c r="C455" t="n">
        <v>1</v>
      </c>
      <c r="D455" t="inlineStr">
        <is>
          <t>Hub A</t>
        </is>
      </c>
      <c r="E455" t="n">
        <v>76</v>
      </c>
      <c r="F455" t="n">
        <v>19</v>
      </c>
    </row>
    <row r="456">
      <c r="A456" t="inlineStr">
        <is>
          <t>ORD00455</t>
        </is>
      </c>
      <c r="B456" t="inlineStr">
        <is>
          <t>C0455</t>
        </is>
      </c>
      <c r="C456" t="n">
        <v>2</v>
      </c>
      <c r="D456" t="inlineStr">
        <is>
          <t>Hub A</t>
        </is>
      </c>
      <c r="E456" t="n">
        <v>23</v>
      </c>
      <c r="F456" t="n">
        <v>19</v>
      </c>
    </row>
    <row r="457">
      <c r="A457" t="inlineStr">
        <is>
          <t>ORD00456</t>
        </is>
      </c>
      <c r="B457" t="inlineStr">
        <is>
          <t>C0456</t>
        </is>
      </c>
      <c r="C457" t="n">
        <v>3</v>
      </c>
      <c r="D457" t="inlineStr">
        <is>
          <t>Hub A</t>
        </is>
      </c>
      <c r="E457" t="n">
        <v>30</v>
      </c>
      <c r="F457" t="n">
        <v>19</v>
      </c>
    </row>
    <row r="458">
      <c r="A458" t="inlineStr">
        <is>
          <t>ORD00457</t>
        </is>
      </c>
      <c r="B458" t="inlineStr">
        <is>
          <t>C0457</t>
        </is>
      </c>
      <c r="C458" t="n">
        <v>1</v>
      </c>
      <c r="D458" t="inlineStr">
        <is>
          <t>Hub A</t>
        </is>
      </c>
      <c r="E458" t="n">
        <v>37</v>
      </c>
      <c r="F458" t="n">
        <v>19</v>
      </c>
    </row>
    <row r="459">
      <c r="A459" t="inlineStr">
        <is>
          <t>ORD00458</t>
        </is>
      </c>
      <c r="B459" t="inlineStr">
        <is>
          <t>C0458</t>
        </is>
      </c>
      <c r="C459" t="n">
        <v>2</v>
      </c>
      <c r="D459" t="inlineStr">
        <is>
          <t>Hub A</t>
        </is>
      </c>
      <c r="E459" t="n">
        <v>44</v>
      </c>
      <c r="F459" t="n">
        <v>19</v>
      </c>
    </row>
    <row r="460">
      <c r="A460" t="inlineStr">
        <is>
          <t>ORD00459</t>
        </is>
      </c>
      <c r="B460" t="inlineStr">
        <is>
          <t>C0459</t>
        </is>
      </c>
      <c r="C460" t="n">
        <v>3</v>
      </c>
      <c r="D460" t="inlineStr">
        <is>
          <t>Hub A</t>
        </is>
      </c>
      <c r="E460" t="n">
        <v>51</v>
      </c>
      <c r="F460" t="n">
        <v>19</v>
      </c>
    </row>
    <row r="461">
      <c r="A461" t="inlineStr">
        <is>
          <t>ORD00460</t>
        </is>
      </c>
      <c r="B461" t="inlineStr">
        <is>
          <t>C0460</t>
        </is>
      </c>
      <c r="C461" t="n">
        <v>1</v>
      </c>
      <c r="D461" t="inlineStr">
        <is>
          <t>Hub A</t>
        </is>
      </c>
      <c r="E461" t="n">
        <v>58</v>
      </c>
      <c r="F461" t="n">
        <v>19</v>
      </c>
    </row>
    <row r="462">
      <c r="A462" t="inlineStr">
        <is>
          <t>ORD00461</t>
        </is>
      </c>
      <c r="B462" t="inlineStr">
        <is>
          <t>C0461</t>
        </is>
      </c>
      <c r="C462" t="n">
        <v>2</v>
      </c>
      <c r="D462" t="inlineStr">
        <is>
          <t>Hub A</t>
        </is>
      </c>
      <c r="E462" t="n">
        <v>65</v>
      </c>
      <c r="F462" t="n">
        <v>19</v>
      </c>
    </row>
    <row r="463">
      <c r="A463" t="inlineStr">
        <is>
          <t>ORD00462</t>
        </is>
      </c>
      <c r="B463" t="inlineStr">
        <is>
          <t>C0462</t>
        </is>
      </c>
      <c r="C463" t="n">
        <v>3</v>
      </c>
      <c r="D463" t="inlineStr">
        <is>
          <t>Hub A</t>
        </is>
      </c>
      <c r="E463" t="n">
        <v>72</v>
      </c>
      <c r="F463" t="n">
        <v>19</v>
      </c>
    </row>
    <row r="464">
      <c r="A464" t="inlineStr">
        <is>
          <t>ORD00463</t>
        </is>
      </c>
      <c r="B464" t="inlineStr">
        <is>
          <t>C0463</t>
        </is>
      </c>
      <c r="C464" t="n">
        <v>1</v>
      </c>
      <c r="D464" t="inlineStr">
        <is>
          <t>Hub A</t>
        </is>
      </c>
      <c r="E464" t="n">
        <v>19</v>
      </c>
      <c r="F464" t="n">
        <v>19</v>
      </c>
    </row>
    <row r="465">
      <c r="A465" t="inlineStr">
        <is>
          <t>ORD00464</t>
        </is>
      </c>
      <c r="B465" t="inlineStr">
        <is>
          <t>C0464</t>
        </is>
      </c>
      <c r="C465" t="n">
        <v>2</v>
      </c>
      <c r="D465" t="inlineStr">
        <is>
          <t>Hub A</t>
        </is>
      </c>
      <c r="E465" t="n">
        <v>26</v>
      </c>
      <c r="F465" t="n">
        <v>19</v>
      </c>
    </row>
    <row r="466">
      <c r="A466" t="inlineStr">
        <is>
          <t>ORD00465</t>
        </is>
      </c>
      <c r="B466" t="inlineStr">
        <is>
          <t>C0465</t>
        </is>
      </c>
      <c r="C466" t="n">
        <v>3</v>
      </c>
      <c r="D466" t="inlineStr">
        <is>
          <t>Hub A</t>
        </is>
      </c>
      <c r="E466" t="n">
        <v>33</v>
      </c>
      <c r="F466" t="n">
        <v>19</v>
      </c>
    </row>
    <row r="467">
      <c r="A467" t="inlineStr">
        <is>
          <t>ORD00466</t>
        </is>
      </c>
      <c r="B467" t="inlineStr">
        <is>
          <t>C0466</t>
        </is>
      </c>
      <c r="C467" t="n">
        <v>1</v>
      </c>
      <c r="D467" t="inlineStr">
        <is>
          <t>Hub A</t>
        </is>
      </c>
      <c r="E467" t="n">
        <v>40</v>
      </c>
      <c r="F467" t="n">
        <v>19</v>
      </c>
    </row>
    <row r="468">
      <c r="A468" t="inlineStr">
        <is>
          <t>ORD00467</t>
        </is>
      </c>
      <c r="B468" t="inlineStr">
        <is>
          <t>C0467</t>
        </is>
      </c>
      <c r="C468" t="n">
        <v>2</v>
      </c>
      <c r="D468" t="inlineStr">
        <is>
          <t>Hub A</t>
        </is>
      </c>
      <c r="E468" t="n">
        <v>47</v>
      </c>
      <c r="F468" t="n">
        <v>19</v>
      </c>
    </row>
    <row r="469">
      <c r="A469" t="inlineStr">
        <is>
          <t>ORD00468</t>
        </is>
      </c>
      <c r="B469" t="inlineStr">
        <is>
          <t>C0468</t>
        </is>
      </c>
      <c r="C469" t="n">
        <v>3</v>
      </c>
      <c r="D469" t="inlineStr">
        <is>
          <t>Hub A</t>
        </is>
      </c>
      <c r="E469" t="n">
        <v>54</v>
      </c>
      <c r="F469" t="n">
        <v>19</v>
      </c>
    </row>
    <row r="470">
      <c r="A470" t="inlineStr">
        <is>
          <t>ORD00469</t>
        </is>
      </c>
      <c r="B470" t="inlineStr">
        <is>
          <t>C0469</t>
        </is>
      </c>
      <c r="C470" t="n">
        <v>1</v>
      </c>
      <c r="D470" t="inlineStr">
        <is>
          <t>Hub A</t>
        </is>
      </c>
      <c r="E470" t="n">
        <v>61</v>
      </c>
      <c r="F470" t="n">
        <v>19</v>
      </c>
    </row>
    <row r="471">
      <c r="A471" t="inlineStr">
        <is>
          <t>ORD00470</t>
        </is>
      </c>
      <c r="B471" t="inlineStr">
        <is>
          <t>C0470</t>
        </is>
      </c>
      <c r="C471" t="n">
        <v>2</v>
      </c>
      <c r="D471" t="inlineStr">
        <is>
          <t>Hub A</t>
        </is>
      </c>
      <c r="E471" t="n">
        <v>68</v>
      </c>
      <c r="F471" t="n">
        <v>19</v>
      </c>
    </row>
    <row r="472">
      <c r="A472" t="inlineStr">
        <is>
          <t>ORD00471</t>
        </is>
      </c>
      <c r="B472" t="inlineStr">
        <is>
          <t>C0471</t>
        </is>
      </c>
      <c r="C472" t="n">
        <v>3</v>
      </c>
      <c r="D472" t="inlineStr">
        <is>
          <t>Hub A</t>
        </is>
      </c>
      <c r="E472" t="n">
        <v>75</v>
      </c>
      <c r="F472" t="n">
        <v>19</v>
      </c>
    </row>
    <row r="473">
      <c r="A473" t="inlineStr">
        <is>
          <t>ORD00472</t>
        </is>
      </c>
      <c r="B473" t="inlineStr">
        <is>
          <t>C0472</t>
        </is>
      </c>
      <c r="C473" t="n">
        <v>1</v>
      </c>
      <c r="D473" t="inlineStr">
        <is>
          <t>Hub A</t>
        </is>
      </c>
      <c r="E473" t="n">
        <v>22</v>
      </c>
      <c r="F473" t="n">
        <v>19</v>
      </c>
    </row>
    <row r="474">
      <c r="A474" t="inlineStr">
        <is>
          <t>ORD00473</t>
        </is>
      </c>
      <c r="B474" t="inlineStr">
        <is>
          <t>C0473</t>
        </is>
      </c>
      <c r="C474" t="n">
        <v>2</v>
      </c>
      <c r="D474" t="inlineStr">
        <is>
          <t>Hub A</t>
        </is>
      </c>
      <c r="E474" t="n">
        <v>29</v>
      </c>
      <c r="F474" t="n">
        <v>19</v>
      </c>
    </row>
    <row r="475">
      <c r="A475" t="inlineStr">
        <is>
          <t>ORD00474</t>
        </is>
      </c>
      <c r="B475" t="inlineStr">
        <is>
          <t>C0474</t>
        </is>
      </c>
      <c r="C475" t="n">
        <v>3</v>
      </c>
      <c r="D475" t="inlineStr">
        <is>
          <t>Hub A</t>
        </is>
      </c>
      <c r="E475" t="n">
        <v>36</v>
      </c>
      <c r="F475" t="n">
        <v>19</v>
      </c>
    </row>
    <row r="476">
      <c r="A476" t="inlineStr">
        <is>
          <t>ORD00475</t>
        </is>
      </c>
      <c r="B476" t="inlineStr">
        <is>
          <t>C0475</t>
        </is>
      </c>
      <c r="C476" t="n">
        <v>1</v>
      </c>
      <c r="D476" t="inlineStr">
        <is>
          <t>Hub A</t>
        </is>
      </c>
      <c r="E476" t="n">
        <v>43</v>
      </c>
      <c r="F476" t="n">
        <v>19</v>
      </c>
    </row>
    <row r="477">
      <c r="A477" t="inlineStr">
        <is>
          <t>ORD00476</t>
        </is>
      </c>
      <c r="B477" t="inlineStr">
        <is>
          <t>C0476</t>
        </is>
      </c>
      <c r="C477" t="n">
        <v>2</v>
      </c>
      <c r="D477" t="inlineStr">
        <is>
          <t>Hub A</t>
        </is>
      </c>
      <c r="E477" t="n">
        <v>50</v>
      </c>
      <c r="F477" t="n">
        <v>19</v>
      </c>
    </row>
    <row r="478">
      <c r="A478" t="inlineStr">
        <is>
          <t>ORD00477</t>
        </is>
      </c>
      <c r="B478" t="inlineStr">
        <is>
          <t>C0477</t>
        </is>
      </c>
      <c r="C478" t="n">
        <v>3</v>
      </c>
      <c r="D478" t="inlineStr">
        <is>
          <t>Hub A</t>
        </is>
      </c>
      <c r="E478" t="n">
        <v>57</v>
      </c>
      <c r="F478" t="n">
        <v>19</v>
      </c>
    </row>
    <row r="479">
      <c r="A479" t="inlineStr">
        <is>
          <t>ORD00478</t>
        </is>
      </c>
      <c r="B479" t="inlineStr">
        <is>
          <t>C0478</t>
        </is>
      </c>
      <c r="C479" t="n">
        <v>1</v>
      </c>
      <c r="D479" t="inlineStr">
        <is>
          <t>Hub A</t>
        </is>
      </c>
      <c r="E479" t="n">
        <v>64</v>
      </c>
      <c r="F479" t="n">
        <v>19</v>
      </c>
    </row>
    <row r="480">
      <c r="A480" t="inlineStr">
        <is>
          <t>ORD00479</t>
        </is>
      </c>
      <c r="B480" t="inlineStr">
        <is>
          <t>C0479</t>
        </is>
      </c>
      <c r="C480" t="n">
        <v>2</v>
      </c>
      <c r="D480" t="inlineStr">
        <is>
          <t>Hub A</t>
        </is>
      </c>
      <c r="E480" t="n">
        <v>71</v>
      </c>
      <c r="F480" t="n">
        <v>19</v>
      </c>
    </row>
    <row r="481">
      <c r="A481" t="inlineStr">
        <is>
          <t>ORD00480</t>
        </is>
      </c>
      <c r="B481" t="inlineStr">
        <is>
          <t>C0480</t>
        </is>
      </c>
      <c r="C481" t="n">
        <v>3</v>
      </c>
      <c r="D481" t="inlineStr">
        <is>
          <t>Hub A</t>
        </is>
      </c>
      <c r="E481" t="n">
        <v>18</v>
      </c>
      <c r="F481" t="n">
        <v>19</v>
      </c>
    </row>
    <row r="482">
      <c r="A482" t="inlineStr">
        <is>
          <t>ORD00481</t>
        </is>
      </c>
      <c r="B482" t="inlineStr">
        <is>
          <t>C0481</t>
        </is>
      </c>
      <c r="C482" t="n">
        <v>1</v>
      </c>
      <c r="D482" t="inlineStr">
        <is>
          <t>Hub A</t>
        </is>
      </c>
      <c r="E482" t="n">
        <v>25</v>
      </c>
      <c r="F482" t="n">
        <v>19</v>
      </c>
    </row>
    <row r="483">
      <c r="A483" t="inlineStr">
        <is>
          <t>ORD00482</t>
        </is>
      </c>
      <c r="B483" t="inlineStr">
        <is>
          <t>C0482</t>
        </is>
      </c>
      <c r="C483" t="n">
        <v>2</v>
      </c>
      <c r="D483" t="inlineStr">
        <is>
          <t>Hub A</t>
        </is>
      </c>
      <c r="E483" t="n">
        <v>32</v>
      </c>
      <c r="F483" t="n">
        <v>19</v>
      </c>
    </row>
    <row r="484">
      <c r="A484" t="inlineStr">
        <is>
          <t>ORD00483</t>
        </is>
      </c>
      <c r="B484" t="inlineStr">
        <is>
          <t>C0483</t>
        </is>
      </c>
      <c r="C484" t="n">
        <v>3</v>
      </c>
      <c r="D484" t="inlineStr">
        <is>
          <t>Hub A</t>
        </is>
      </c>
      <c r="E484" t="n">
        <v>39</v>
      </c>
      <c r="F484" t="n">
        <v>19</v>
      </c>
    </row>
    <row r="485">
      <c r="A485" t="inlineStr">
        <is>
          <t>ORD00484</t>
        </is>
      </c>
      <c r="B485" t="inlineStr">
        <is>
          <t>C0484</t>
        </is>
      </c>
      <c r="C485" t="n">
        <v>1</v>
      </c>
      <c r="D485" t="inlineStr">
        <is>
          <t>Hub A</t>
        </is>
      </c>
      <c r="E485" t="n">
        <v>46</v>
      </c>
      <c r="F485" t="n">
        <v>19</v>
      </c>
    </row>
    <row r="486">
      <c r="A486" t="inlineStr">
        <is>
          <t>ORD00485</t>
        </is>
      </c>
      <c r="B486" t="inlineStr">
        <is>
          <t>C0485</t>
        </is>
      </c>
      <c r="C486" t="n">
        <v>2</v>
      </c>
      <c r="D486" t="inlineStr">
        <is>
          <t>Hub A</t>
        </is>
      </c>
      <c r="E486" t="n">
        <v>53</v>
      </c>
      <c r="F486" t="n">
        <v>19</v>
      </c>
    </row>
    <row r="487">
      <c r="A487" t="inlineStr">
        <is>
          <t>ORD00486</t>
        </is>
      </c>
      <c r="B487" t="inlineStr">
        <is>
          <t>C0486</t>
        </is>
      </c>
      <c r="C487" t="n">
        <v>3</v>
      </c>
      <c r="D487" t="inlineStr">
        <is>
          <t>Hub A</t>
        </is>
      </c>
      <c r="E487" t="n">
        <v>60</v>
      </c>
      <c r="F487" t="n">
        <v>19</v>
      </c>
    </row>
    <row r="488">
      <c r="A488" t="inlineStr">
        <is>
          <t>ORD00487</t>
        </is>
      </c>
      <c r="B488" t="inlineStr">
        <is>
          <t>C0487</t>
        </is>
      </c>
      <c r="C488" t="n">
        <v>1</v>
      </c>
      <c r="D488" t="inlineStr">
        <is>
          <t>Hub A</t>
        </is>
      </c>
      <c r="E488" t="n">
        <v>67</v>
      </c>
      <c r="F488" t="n">
        <v>19</v>
      </c>
    </row>
    <row r="489">
      <c r="A489" t="inlineStr">
        <is>
          <t>ORD00488</t>
        </is>
      </c>
      <c r="B489" t="inlineStr">
        <is>
          <t>C0488</t>
        </is>
      </c>
      <c r="C489" t="n">
        <v>2</v>
      </c>
      <c r="D489" t="inlineStr">
        <is>
          <t>Hub A</t>
        </is>
      </c>
      <c r="E489" t="n">
        <v>74</v>
      </c>
      <c r="F489" t="n">
        <v>19</v>
      </c>
    </row>
    <row r="490">
      <c r="A490" t="inlineStr">
        <is>
          <t>ORD00489</t>
        </is>
      </c>
      <c r="B490" t="inlineStr">
        <is>
          <t>C0489</t>
        </is>
      </c>
      <c r="C490" t="n">
        <v>3</v>
      </c>
      <c r="D490" t="inlineStr">
        <is>
          <t>Hub A</t>
        </is>
      </c>
      <c r="E490" t="n">
        <v>21</v>
      </c>
      <c r="F490" t="n">
        <v>19</v>
      </c>
    </row>
    <row r="491">
      <c r="A491" t="inlineStr">
        <is>
          <t>ORD00490</t>
        </is>
      </c>
      <c r="B491" t="inlineStr">
        <is>
          <t>C0490</t>
        </is>
      </c>
      <c r="C491" t="n">
        <v>1</v>
      </c>
      <c r="D491" t="inlineStr">
        <is>
          <t>Hub A</t>
        </is>
      </c>
      <c r="E491" t="n">
        <v>28</v>
      </c>
      <c r="F491" t="n">
        <v>19</v>
      </c>
    </row>
    <row r="492">
      <c r="A492" t="inlineStr">
        <is>
          <t>ORD00491</t>
        </is>
      </c>
      <c r="B492" t="inlineStr">
        <is>
          <t>C0491</t>
        </is>
      </c>
      <c r="C492" t="n">
        <v>2</v>
      </c>
      <c r="D492" t="inlineStr">
        <is>
          <t>Hub A</t>
        </is>
      </c>
      <c r="E492" t="n">
        <v>35</v>
      </c>
      <c r="F492" t="n">
        <v>19</v>
      </c>
    </row>
    <row r="493">
      <c r="A493" t="inlineStr">
        <is>
          <t>ORD00492</t>
        </is>
      </c>
      <c r="B493" t="inlineStr">
        <is>
          <t>C0492</t>
        </is>
      </c>
      <c r="C493" t="n">
        <v>3</v>
      </c>
      <c r="D493" t="inlineStr">
        <is>
          <t>Hub A</t>
        </is>
      </c>
      <c r="E493" t="n">
        <v>42</v>
      </c>
      <c r="F493" t="n">
        <v>19</v>
      </c>
    </row>
    <row r="494">
      <c r="A494" t="inlineStr">
        <is>
          <t>ORD00493</t>
        </is>
      </c>
      <c r="B494" t="inlineStr">
        <is>
          <t>C0493</t>
        </is>
      </c>
      <c r="C494" t="n">
        <v>1</v>
      </c>
      <c r="D494" t="inlineStr">
        <is>
          <t>Hub A</t>
        </is>
      </c>
      <c r="E494" t="n">
        <v>49</v>
      </c>
      <c r="F494" t="n">
        <v>19</v>
      </c>
    </row>
    <row r="495">
      <c r="A495" t="inlineStr">
        <is>
          <t>ORD00494</t>
        </is>
      </c>
      <c r="B495" t="inlineStr">
        <is>
          <t>C0494</t>
        </is>
      </c>
      <c r="C495" t="n">
        <v>2</v>
      </c>
      <c r="D495" t="inlineStr">
        <is>
          <t>Hub A</t>
        </is>
      </c>
      <c r="E495" t="n">
        <v>56</v>
      </c>
      <c r="F495" t="n">
        <v>19</v>
      </c>
    </row>
    <row r="496">
      <c r="A496" t="inlineStr">
        <is>
          <t>ORD00495</t>
        </is>
      </c>
      <c r="B496" t="inlineStr">
        <is>
          <t>C0495</t>
        </is>
      </c>
      <c r="C496" t="n">
        <v>3</v>
      </c>
      <c r="D496" t="inlineStr">
        <is>
          <t>Hub A</t>
        </is>
      </c>
      <c r="E496" t="n">
        <v>63</v>
      </c>
      <c r="F496" t="n">
        <v>19</v>
      </c>
    </row>
    <row r="497">
      <c r="A497" t="inlineStr">
        <is>
          <t>ORD00496</t>
        </is>
      </c>
      <c r="B497" t="inlineStr">
        <is>
          <t>C0496</t>
        </is>
      </c>
      <c r="C497" t="n">
        <v>1</v>
      </c>
      <c r="D497" t="inlineStr">
        <is>
          <t>Hub A</t>
        </is>
      </c>
      <c r="E497" t="n">
        <v>70</v>
      </c>
      <c r="F497" t="n">
        <v>19</v>
      </c>
    </row>
    <row r="498">
      <c r="A498" t="inlineStr">
        <is>
          <t>ORD00497</t>
        </is>
      </c>
      <c r="B498" t="inlineStr">
        <is>
          <t>C0497</t>
        </is>
      </c>
      <c r="C498" t="n">
        <v>2</v>
      </c>
      <c r="D498" t="inlineStr">
        <is>
          <t>Hub A</t>
        </is>
      </c>
      <c r="E498" t="n">
        <v>77</v>
      </c>
      <c r="F498" t="n">
        <v>19</v>
      </c>
    </row>
    <row r="499">
      <c r="A499" t="inlineStr">
        <is>
          <t>ORD00498</t>
        </is>
      </c>
      <c r="B499" t="inlineStr">
        <is>
          <t>C0498</t>
        </is>
      </c>
      <c r="C499" t="n">
        <v>3</v>
      </c>
      <c r="D499" t="inlineStr">
        <is>
          <t>Hub A</t>
        </is>
      </c>
      <c r="E499" t="n">
        <v>24</v>
      </c>
      <c r="F499" t="n">
        <v>19</v>
      </c>
    </row>
    <row r="500">
      <c r="A500" t="inlineStr">
        <is>
          <t>ORD00499</t>
        </is>
      </c>
      <c r="B500" t="inlineStr">
        <is>
          <t>C0499</t>
        </is>
      </c>
      <c r="C500" t="n">
        <v>1</v>
      </c>
      <c r="D500" t="inlineStr">
        <is>
          <t>Hub A</t>
        </is>
      </c>
      <c r="E500" t="n">
        <v>31</v>
      </c>
      <c r="F500" t="n">
        <v>19</v>
      </c>
    </row>
    <row r="501">
      <c r="A501" t="inlineStr">
        <is>
          <t>ORD00500</t>
        </is>
      </c>
      <c r="B501" t="inlineStr">
        <is>
          <t>C0500</t>
        </is>
      </c>
      <c r="C501" t="n">
        <v>2</v>
      </c>
      <c r="D501" t="inlineStr">
        <is>
          <t>Hub A</t>
        </is>
      </c>
      <c r="E501" t="n">
        <v>38</v>
      </c>
      <c r="F501" t="n">
        <v>19</v>
      </c>
    </row>
    <row r="502">
      <c r="A502" t="inlineStr">
        <is>
          <t>ORD00501</t>
        </is>
      </c>
      <c r="B502" t="inlineStr">
        <is>
          <t>C0501</t>
        </is>
      </c>
      <c r="C502" t="n">
        <v>3</v>
      </c>
      <c r="D502" t="inlineStr">
        <is>
          <t>Hub A</t>
        </is>
      </c>
      <c r="E502" t="n">
        <v>45</v>
      </c>
      <c r="F502" t="n">
        <v>19</v>
      </c>
    </row>
    <row r="503">
      <c r="A503" t="inlineStr">
        <is>
          <t>ORD00502</t>
        </is>
      </c>
      <c r="B503" t="inlineStr">
        <is>
          <t>C0502</t>
        </is>
      </c>
      <c r="C503" t="n">
        <v>1</v>
      </c>
      <c r="D503" t="inlineStr">
        <is>
          <t>Hub A</t>
        </is>
      </c>
      <c r="E503" t="n">
        <v>52</v>
      </c>
      <c r="F503" t="n">
        <v>19</v>
      </c>
    </row>
    <row r="504">
      <c r="A504" t="inlineStr">
        <is>
          <t>ORD00503</t>
        </is>
      </c>
      <c r="B504" t="inlineStr">
        <is>
          <t>C0503</t>
        </is>
      </c>
      <c r="C504" t="n">
        <v>2</v>
      </c>
      <c r="D504" t="inlineStr">
        <is>
          <t>Hub A</t>
        </is>
      </c>
      <c r="E504" t="n">
        <v>59</v>
      </c>
      <c r="F504" t="n">
        <v>19</v>
      </c>
    </row>
    <row r="505">
      <c r="A505" t="inlineStr">
        <is>
          <t>ORD00504</t>
        </is>
      </c>
      <c r="B505" t="inlineStr">
        <is>
          <t>C0504</t>
        </is>
      </c>
      <c r="C505" t="n">
        <v>3</v>
      </c>
      <c r="D505" t="inlineStr">
        <is>
          <t>Hub A</t>
        </is>
      </c>
      <c r="E505" t="n">
        <v>66</v>
      </c>
      <c r="F505" t="n">
        <v>19</v>
      </c>
    </row>
    <row r="506">
      <c r="A506" t="inlineStr">
        <is>
          <t>ORD00505</t>
        </is>
      </c>
      <c r="B506" t="inlineStr">
        <is>
          <t>C0505</t>
        </is>
      </c>
      <c r="C506" t="n">
        <v>1</v>
      </c>
      <c r="D506" t="inlineStr">
        <is>
          <t>Hub A</t>
        </is>
      </c>
      <c r="E506" t="n">
        <v>73</v>
      </c>
      <c r="F506" t="n">
        <v>19</v>
      </c>
    </row>
    <row r="507">
      <c r="A507" t="inlineStr">
        <is>
          <t>ORD00506</t>
        </is>
      </c>
      <c r="B507" t="inlineStr">
        <is>
          <t>C0506</t>
        </is>
      </c>
      <c r="C507" t="n">
        <v>2</v>
      </c>
      <c r="D507" t="inlineStr">
        <is>
          <t>Hub A</t>
        </is>
      </c>
      <c r="E507" t="n">
        <v>20</v>
      </c>
      <c r="F507" t="n">
        <v>19</v>
      </c>
    </row>
    <row r="508">
      <c r="A508" t="inlineStr">
        <is>
          <t>ORD00507</t>
        </is>
      </c>
      <c r="B508" t="inlineStr">
        <is>
          <t>C0507</t>
        </is>
      </c>
      <c r="C508" t="n">
        <v>3</v>
      </c>
      <c r="D508" t="inlineStr">
        <is>
          <t>Hub A</t>
        </is>
      </c>
      <c r="E508" t="n">
        <v>27</v>
      </c>
      <c r="F508" t="n">
        <v>19</v>
      </c>
    </row>
    <row r="509">
      <c r="A509" t="inlineStr">
        <is>
          <t>ORD00508</t>
        </is>
      </c>
      <c r="B509" t="inlineStr">
        <is>
          <t>C0508</t>
        </is>
      </c>
      <c r="C509" t="n">
        <v>1</v>
      </c>
      <c r="D509" t="inlineStr">
        <is>
          <t>Hub A</t>
        </is>
      </c>
      <c r="E509" t="n">
        <v>34</v>
      </c>
      <c r="F509" t="n">
        <v>19</v>
      </c>
    </row>
    <row r="510">
      <c r="A510" t="inlineStr">
        <is>
          <t>ORD00509</t>
        </is>
      </c>
      <c r="B510" t="inlineStr">
        <is>
          <t>C0509</t>
        </is>
      </c>
      <c r="C510" t="n">
        <v>2</v>
      </c>
      <c r="D510" t="inlineStr">
        <is>
          <t>Hub A</t>
        </is>
      </c>
      <c r="E510" t="n">
        <v>41</v>
      </c>
      <c r="F510" t="n">
        <v>19</v>
      </c>
    </row>
    <row r="511">
      <c r="A511" t="inlineStr">
        <is>
          <t>ORD00510</t>
        </is>
      </c>
      <c r="B511" t="inlineStr">
        <is>
          <t>C0510</t>
        </is>
      </c>
      <c r="C511" t="n">
        <v>3</v>
      </c>
      <c r="D511" t="inlineStr">
        <is>
          <t>Hub A</t>
        </is>
      </c>
      <c r="E511" t="n">
        <v>48</v>
      </c>
      <c r="F511" t="n">
        <v>19</v>
      </c>
    </row>
    <row r="512">
      <c r="A512" t="inlineStr">
        <is>
          <t>ORD00511</t>
        </is>
      </c>
      <c r="B512" t="inlineStr">
        <is>
          <t>C0511</t>
        </is>
      </c>
      <c r="C512" t="n">
        <v>1</v>
      </c>
      <c r="D512" t="inlineStr">
        <is>
          <t>Hub A</t>
        </is>
      </c>
      <c r="E512" t="n">
        <v>55</v>
      </c>
      <c r="F512" t="n">
        <v>19</v>
      </c>
    </row>
    <row r="513">
      <c r="A513" t="inlineStr">
        <is>
          <t>ORD00512</t>
        </is>
      </c>
      <c r="B513" t="inlineStr">
        <is>
          <t>C0512</t>
        </is>
      </c>
      <c r="C513" t="n">
        <v>2</v>
      </c>
      <c r="D513" t="inlineStr">
        <is>
          <t>Hub A</t>
        </is>
      </c>
      <c r="E513" t="n">
        <v>62</v>
      </c>
      <c r="F513" t="n">
        <v>19</v>
      </c>
    </row>
    <row r="514">
      <c r="A514" t="inlineStr">
        <is>
          <t>ORD00513</t>
        </is>
      </c>
      <c r="B514" t="inlineStr">
        <is>
          <t>C0513</t>
        </is>
      </c>
      <c r="C514" t="n">
        <v>3</v>
      </c>
      <c r="D514" t="inlineStr">
        <is>
          <t>Hub A</t>
        </is>
      </c>
      <c r="E514" t="n">
        <v>69</v>
      </c>
      <c r="F514" t="n">
        <v>19</v>
      </c>
    </row>
    <row r="515">
      <c r="A515" t="inlineStr">
        <is>
          <t>ORD00514</t>
        </is>
      </c>
      <c r="B515" t="inlineStr">
        <is>
          <t>C0514</t>
        </is>
      </c>
      <c r="C515" t="n">
        <v>1</v>
      </c>
      <c r="D515" t="inlineStr">
        <is>
          <t>Hub A</t>
        </is>
      </c>
      <c r="E515" t="n">
        <v>76</v>
      </c>
      <c r="F515" t="n">
        <v>19</v>
      </c>
    </row>
    <row r="516">
      <c r="A516" t="inlineStr">
        <is>
          <t>ORD00515</t>
        </is>
      </c>
      <c r="B516" t="inlineStr">
        <is>
          <t>C0515</t>
        </is>
      </c>
      <c r="C516" t="n">
        <v>2</v>
      </c>
      <c r="D516" t="inlineStr">
        <is>
          <t>Hub A</t>
        </is>
      </c>
      <c r="E516" t="n">
        <v>23</v>
      </c>
      <c r="F516" t="n">
        <v>19</v>
      </c>
    </row>
    <row r="517">
      <c r="A517" t="inlineStr">
        <is>
          <t>ORD00516</t>
        </is>
      </c>
      <c r="B517" t="inlineStr">
        <is>
          <t>C0516</t>
        </is>
      </c>
      <c r="C517" t="n">
        <v>3</v>
      </c>
      <c r="D517" t="inlineStr">
        <is>
          <t>Hub A</t>
        </is>
      </c>
      <c r="E517" t="n">
        <v>30</v>
      </c>
      <c r="F517" t="n">
        <v>19</v>
      </c>
    </row>
    <row r="518">
      <c r="A518" t="inlineStr">
        <is>
          <t>ORD00517</t>
        </is>
      </c>
      <c r="B518" t="inlineStr">
        <is>
          <t>C0517</t>
        </is>
      </c>
      <c r="C518" t="n">
        <v>1</v>
      </c>
      <c r="D518" t="inlineStr">
        <is>
          <t>Hub A</t>
        </is>
      </c>
      <c r="E518" t="n">
        <v>37</v>
      </c>
      <c r="F518" t="n">
        <v>19</v>
      </c>
    </row>
    <row r="519">
      <c r="A519" t="inlineStr">
        <is>
          <t>ORD00518</t>
        </is>
      </c>
      <c r="B519" t="inlineStr">
        <is>
          <t>C0518</t>
        </is>
      </c>
      <c r="C519" t="n">
        <v>2</v>
      </c>
      <c r="D519" t="inlineStr">
        <is>
          <t>Hub A</t>
        </is>
      </c>
      <c r="E519" t="n">
        <v>44</v>
      </c>
      <c r="F519" t="n">
        <v>19</v>
      </c>
    </row>
    <row r="520">
      <c r="A520" t="inlineStr">
        <is>
          <t>ORD00519</t>
        </is>
      </c>
      <c r="B520" t="inlineStr">
        <is>
          <t>C0519</t>
        </is>
      </c>
      <c r="C520" t="n">
        <v>3</v>
      </c>
      <c r="D520" t="inlineStr">
        <is>
          <t>Hub A</t>
        </is>
      </c>
      <c r="E520" t="n">
        <v>51</v>
      </c>
      <c r="F520" t="n">
        <v>19</v>
      </c>
    </row>
    <row r="521">
      <c r="A521" t="inlineStr">
        <is>
          <t>ORD00520</t>
        </is>
      </c>
      <c r="B521" t="inlineStr">
        <is>
          <t>C0520</t>
        </is>
      </c>
      <c r="C521" t="n">
        <v>1</v>
      </c>
      <c r="D521" t="inlineStr">
        <is>
          <t>Hub A</t>
        </is>
      </c>
      <c r="E521" t="n">
        <v>58</v>
      </c>
      <c r="F521" t="n">
        <v>19</v>
      </c>
    </row>
    <row r="522">
      <c r="A522" t="inlineStr">
        <is>
          <t>ORD00521</t>
        </is>
      </c>
      <c r="B522" t="inlineStr">
        <is>
          <t>C0521</t>
        </is>
      </c>
      <c r="C522" t="n">
        <v>2</v>
      </c>
      <c r="D522" t="inlineStr">
        <is>
          <t>Hub A</t>
        </is>
      </c>
      <c r="E522" t="n">
        <v>65</v>
      </c>
      <c r="F522" t="n">
        <v>19</v>
      </c>
    </row>
    <row r="523">
      <c r="A523" t="inlineStr">
        <is>
          <t>ORD00522</t>
        </is>
      </c>
      <c r="B523" t="inlineStr">
        <is>
          <t>C0522</t>
        </is>
      </c>
      <c r="C523" t="n">
        <v>3</v>
      </c>
      <c r="D523" t="inlineStr">
        <is>
          <t>Hub A</t>
        </is>
      </c>
      <c r="E523" t="n">
        <v>72</v>
      </c>
      <c r="F523" t="n">
        <v>19</v>
      </c>
    </row>
    <row r="524">
      <c r="A524" t="inlineStr">
        <is>
          <t>ORD00523</t>
        </is>
      </c>
      <c r="B524" t="inlineStr">
        <is>
          <t>C0523</t>
        </is>
      </c>
      <c r="C524" t="n">
        <v>1</v>
      </c>
      <c r="D524" t="inlineStr">
        <is>
          <t>Hub A</t>
        </is>
      </c>
      <c r="E524" t="n">
        <v>19</v>
      </c>
      <c r="F524" t="n">
        <v>19</v>
      </c>
    </row>
    <row r="525">
      <c r="A525" t="inlineStr">
        <is>
          <t>ORD00524</t>
        </is>
      </c>
      <c r="B525" t="inlineStr">
        <is>
          <t>C0524</t>
        </is>
      </c>
      <c r="C525" t="n">
        <v>2</v>
      </c>
      <c r="D525" t="inlineStr">
        <is>
          <t>Hub A</t>
        </is>
      </c>
      <c r="E525" t="n">
        <v>26</v>
      </c>
      <c r="F525" t="n">
        <v>19</v>
      </c>
    </row>
    <row r="526">
      <c r="A526" t="inlineStr">
        <is>
          <t>ORD00525</t>
        </is>
      </c>
      <c r="B526" t="inlineStr">
        <is>
          <t>C0525</t>
        </is>
      </c>
      <c r="C526" t="n">
        <v>3</v>
      </c>
      <c r="D526" t="inlineStr">
        <is>
          <t>Hub A</t>
        </is>
      </c>
      <c r="E526" t="n">
        <v>33</v>
      </c>
      <c r="F526" t="n">
        <v>19</v>
      </c>
    </row>
    <row r="527">
      <c r="A527" t="inlineStr">
        <is>
          <t>ORD00526</t>
        </is>
      </c>
      <c r="B527" t="inlineStr">
        <is>
          <t>C0526</t>
        </is>
      </c>
      <c r="C527" t="n">
        <v>1</v>
      </c>
      <c r="D527" t="inlineStr">
        <is>
          <t>Hub A</t>
        </is>
      </c>
      <c r="E527" t="n">
        <v>40</v>
      </c>
      <c r="F527" t="n">
        <v>19</v>
      </c>
    </row>
    <row r="528">
      <c r="A528" t="inlineStr">
        <is>
          <t>ORD00527</t>
        </is>
      </c>
      <c r="B528" t="inlineStr">
        <is>
          <t>C0527</t>
        </is>
      </c>
      <c r="C528" t="n">
        <v>2</v>
      </c>
      <c r="D528" t="inlineStr">
        <is>
          <t>Hub A</t>
        </is>
      </c>
      <c r="E528" t="n">
        <v>47</v>
      </c>
      <c r="F528" t="n">
        <v>19</v>
      </c>
    </row>
    <row r="529">
      <c r="A529" t="inlineStr">
        <is>
          <t>ORD00528</t>
        </is>
      </c>
      <c r="B529" t="inlineStr">
        <is>
          <t>C0528</t>
        </is>
      </c>
      <c r="C529" t="n">
        <v>3</v>
      </c>
      <c r="D529" t="inlineStr">
        <is>
          <t>Hub A</t>
        </is>
      </c>
      <c r="E529" t="n">
        <v>54</v>
      </c>
      <c r="F529" t="n">
        <v>19</v>
      </c>
    </row>
    <row r="530">
      <c r="A530" t="inlineStr">
        <is>
          <t>ORD00529</t>
        </is>
      </c>
      <c r="B530" t="inlineStr">
        <is>
          <t>C0529</t>
        </is>
      </c>
      <c r="C530" t="n">
        <v>1</v>
      </c>
      <c r="D530" t="inlineStr">
        <is>
          <t>Hub A</t>
        </is>
      </c>
      <c r="E530" t="n">
        <v>61</v>
      </c>
      <c r="F530" t="n">
        <v>19</v>
      </c>
    </row>
    <row r="531">
      <c r="A531" t="inlineStr">
        <is>
          <t>ORD00530</t>
        </is>
      </c>
      <c r="B531" t="inlineStr">
        <is>
          <t>C0530</t>
        </is>
      </c>
      <c r="C531" t="n">
        <v>2</v>
      </c>
      <c r="D531" t="inlineStr">
        <is>
          <t>Hub A</t>
        </is>
      </c>
      <c r="E531" t="n">
        <v>68</v>
      </c>
      <c r="F531" t="n">
        <v>19</v>
      </c>
    </row>
    <row r="532">
      <c r="A532" t="inlineStr">
        <is>
          <t>ORD00531</t>
        </is>
      </c>
      <c r="B532" t="inlineStr">
        <is>
          <t>C0531</t>
        </is>
      </c>
      <c r="C532" t="n">
        <v>3</v>
      </c>
      <c r="D532" t="inlineStr">
        <is>
          <t>Hub A</t>
        </is>
      </c>
      <c r="E532" t="n">
        <v>75</v>
      </c>
      <c r="F532" t="n">
        <v>19</v>
      </c>
    </row>
    <row r="533">
      <c r="A533" t="inlineStr">
        <is>
          <t>ORD00532</t>
        </is>
      </c>
      <c r="B533" t="inlineStr">
        <is>
          <t>C0532</t>
        </is>
      </c>
      <c r="C533" t="n">
        <v>1</v>
      </c>
      <c r="D533" t="inlineStr">
        <is>
          <t>Hub A</t>
        </is>
      </c>
      <c r="E533" t="n">
        <v>22</v>
      </c>
      <c r="F533" t="n">
        <v>19</v>
      </c>
    </row>
    <row r="534">
      <c r="A534" t="inlineStr">
        <is>
          <t>ORD00533</t>
        </is>
      </c>
      <c r="B534" t="inlineStr">
        <is>
          <t>C0533</t>
        </is>
      </c>
      <c r="C534" t="n">
        <v>2</v>
      </c>
      <c r="D534" t="inlineStr">
        <is>
          <t>Hub A</t>
        </is>
      </c>
      <c r="E534" t="n">
        <v>29</v>
      </c>
      <c r="F534" t="n">
        <v>19</v>
      </c>
    </row>
    <row r="535">
      <c r="A535" t="inlineStr">
        <is>
          <t>ORD00534</t>
        </is>
      </c>
      <c r="B535" t="inlineStr">
        <is>
          <t>C0534</t>
        </is>
      </c>
      <c r="C535" t="n">
        <v>3</v>
      </c>
      <c r="D535" t="inlineStr">
        <is>
          <t>Hub A</t>
        </is>
      </c>
      <c r="E535" t="n">
        <v>36</v>
      </c>
      <c r="F535" t="n">
        <v>19</v>
      </c>
    </row>
    <row r="536">
      <c r="A536" t="inlineStr">
        <is>
          <t>ORD00535</t>
        </is>
      </c>
      <c r="B536" t="inlineStr">
        <is>
          <t>C0535</t>
        </is>
      </c>
      <c r="C536" t="n">
        <v>1</v>
      </c>
      <c r="D536" t="inlineStr">
        <is>
          <t>Hub A</t>
        </is>
      </c>
      <c r="E536" t="n">
        <v>43</v>
      </c>
      <c r="F536" t="n">
        <v>19</v>
      </c>
    </row>
    <row r="537">
      <c r="A537" t="inlineStr">
        <is>
          <t>ORD00536</t>
        </is>
      </c>
      <c r="B537" t="inlineStr">
        <is>
          <t>C0536</t>
        </is>
      </c>
      <c r="C537" t="n">
        <v>2</v>
      </c>
      <c r="D537" t="inlineStr">
        <is>
          <t>Hub A</t>
        </is>
      </c>
      <c r="E537" t="n">
        <v>50</v>
      </c>
      <c r="F537" t="n">
        <v>19</v>
      </c>
    </row>
    <row r="538">
      <c r="A538" t="inlineStr">
        <is>
          <t>ORD00537</t>
        </is>
      </c>
      <c r="B538" t="inlineStr">
        <is>
          <t>C0537</t>
        </is>
      </c>
      <c r="C538" t="n">
        <v>3</v>
      </c>
      <c r="D538" t="inlineStr">
        <is>
          <t>Hub A</t>
        </is>
      </c>
      <c r="E538" t="n">
        <v>57</v>
      </c>
      <c r="F538" t="n">
        <v>19</v>
      </c>
    </row>
    <row r="539">
      <c r="A539" t="inlineStr">
        <is>
          <t>ORD00538</t>
        </is>
      </c>
      <c r="B539" t="inlineStr">
        <is>
          <t>C0538</t>
        </is>
      </c>
      <c r="C539" t="n">
        <v>1</v>
      </c>
      <c r="D539" t="inlineStr">
        <is>
          <t>Hub A</t>
        </is>
      </c>
      <c r="E539" t="n">
        <v>64</v>
      </c>
      <c r="F539" t="n">
        <v>19</v>
      </c>
    </row>
    <row r="540">
      <c r="A540" t="inlineStr">
        <is>
          <t>ORD00539</t>
        </is>
      </c>
      <c r="B540" t="inlineStr">
        <is>
          <t>C0539</t>
        </is>
      </c>
      <c r="C540" t="n">
        <v>2</v>
      </c>
      <c r="D540" t="inlineStr">
        <is>
          <t>Hub A</t>
        </is>
      </c>
      <c r="E540" t="n">
        <v>71</v>
      </c>
      <c r="F540" t="n">
        <v>19</v>
      </c>
    </row>
    <row r="541">
      <c r="A541" t="inlineStr">
        <is>
          <t>ORD00540</t>
        </is>
      </c>
      <c r="B541" t="inlineStr">
        <is>
          <t>C0540</t>
        </is>
      </c>
      <c r="C541" t="n">
        <v>3</v>
      </c>
      <c r="D541" t="inlineStr">
        <is>
          <t>Hub A</t>
        </is>
      </c>
      <c r="E541" t="n">
        <v>18</v>
      </c>
      <c r="F541" t="n">
        <v>19</v>
      </c>
    </row>
    <row r="542">
      <c r="A542" t="inlineStr">
        <is>
          <t>ORD00541</t>
        </is>
      </c>
      <c r="B542" t="inlineStr">
        <is>
          <t>C0541</t>
        </is>
      </c>
      <c r="C542" t="n">
        <v>1</v>
      </c>
      <c r="D542" t="inlineStr">
        <is>
          <t>Hub A</t>
        </is>
      </c>
      <c r="E542" t="n">
        <v>25</v>
      </c>
      <c r="F542" t="n">
        <v>19</v>
      </c>
    </row>
    <row r="543">
      <c r="A543" t="inlineStr">
        <is>
          <t>ORD00542</t>
        </is>
      </c>
      <c r="B543" t="inlineStr">
        <is>
          <t>C0542</t>
        </is>
      </c>
      <c r="C543" t="n">
        <v>2</v>
      </c>
      <c r="D543" t="inlineStr">
        <is>
          <t>Hub A</t>
        </is>
      </c>
      <c r="E543" t="n">
        <v>32</v>
      </c>
      <c r="F543" t="n">
        <v>19</v>
      </c>
    </row>
    <row r="544">
      <c r="A544" t="inlineStr">
        <is>
          <t>ORD00543</t>
        </is>
      </c>
      <c r="B544" t="inlineStr">
        <is>
          <t>C0543</t>
        </is>
      </c>
      <c r="C544" t="n">
        <v>3</v>
      </c>
      <c r="D544" t="inlineStr">
        <is>
          <t>Hub A</t>
        </is>
      </c>
      <c r="E544" t="n">
        <v>39</v>
      </c>
      <c r="F544" t="n">
        <v>19</v>
      </c>
    </row>
    <row r="545">
      <c r="A545" t="inlineStr">
        <is>
          <t>ORD00544</t>
        </is>
      </c>
      <c r="B545" t="inlineStr">
        <is>
          <t>C0544</t>
        </is>
      </c>
      <c r="C545" t="n">
        <v>1</v>
      </c>
      <c r="D545" t="inlineStr">
        <is>
          <t>Hub A</t>
        </is>
      </c>
      <c r="E545" t="n">
        <v>46</v>
      </c>
      <c r="F545" t="n">
        <v>19</v>
      </c>
    </row>
    <row r="546">
      <c r="A546" t="inlineStr">
        <is>
          <t>ORD00545</t>
        </is>
      </c>
      <c r="B546" t="inlineStr">
        <is>
          <t>C0545</t>
        </is>
      </c>
      <c r="C546" t="n">
        <v>2</v>
      </c>
      <c r="D546" t="inlineStr">
        <is>
          <t>Hub A</t>
        </is>
      </c>
      <c r="E546" t="n">
        <v>53</v>
      </c>
      <c r="F546" t="n">
        <v>19</v>
      </c>
    </row>
    <row r="547">
      <c r="A547" t="inlineStr">
        <is>
          <t>ORD00546</t>
        </is>
      </c>
      <c r="B547" t="inlineStr">
        <is>
          <t>C0546</t>
        </is>
      </c>
      <c r="C547" t="n">
        <v>3</v>
      </c>
      <c r="D547" t="inlineStr">
        <is>
          <t>Hub A</t>
        </is>
      </c>
      <c r="E547" t="n">
        <v>60</v>
      </c>
      <c r="F547" t="n">
        <v>19</v>
      </c>
    </row>
    <row r="548">
      <c r="A548" t="inlineStr">
        <is>
          <t>ORD00547</t>
        </is>
      </c>
      <c r="B548" t="inlineStr">
        <is>
          <t>C0547</t>
        </is>
      </c>
      <c r="C548" t="n">
        <v>1</v>
      </c>
      <c r="D548" t="inlineStr">
        <is>
          <t>Hub A</t>
        </is>
      </c>
      <c r="E548" t="n">
        <v>67</v>
      </c>
      <c r="F548" t="n">
        <v>19</v>
      </c>
    </row>
    <row r="549">
      <c r="A549" t="inlineStr">
        <is>
          <t>ORD00548</t>
        </is>
      </c>
      <c r="B549" t="inlineStr">
        <is>
          <t>C0548</t>
        </is>
      </c>
      <c r="C549" t="n">
        <v>2</v>
      </c>
      <c r="D549" t="inlineStr">
        <is>
          <t>Hub A</t>
        </is>
      </c>
      <c r="E549" t="n">
        <v>74</v>
      </c>
      <c r="F549" t="n">
        <v>19</v>
      </c>
    </row>
    <row r="550">
      <c r="A550" t="inlineStr">
        <is>
          <t>ORD00549</t>
        </is>
      </c>
      <c r="B550" t="inlineStr">
        <is>
          <t>C0549</t>
        </is>
      </c>
      <c r="C550" t="n">
        <v>3</v>
      </c>
      <c r="D550" t="inlineStr">
        <is>
          <t>Hub A</t>
        </is>
      </c>
      <c r="E550" t="n">
        <v>21</v>
      </c>
      <c r="F550" t="n">
        <v>19</v>
      </c>
    </row>
    <row r="551">
      <c r="A551" t="inlineStr">
        <is>
          <t>ORD00550</t>
        </is>
      </c>
      <c r="B551" t="inlineStr">
        <is>
          <t>C0550</t>
        </is>
      </c>
      <c r="C551" t="n">
        <v>1</v>
      </c>
      <c r="D551" t="inlineStr">
        <is>
          <t>Hub A</t>
        </is>
      </c>
      <c r="E551" t="n">
        <v>28</v>
      </c>
      <c r="F551" t="n">
        <v>19</v>
      </c>
    </row>
    <row r="552">
      <c r="A552" t="inlineStr">
        <is>
          <t>ORD00551</t>
        </is>
      </c>
      <c r="B552" t="inlineStr">
        <is>
          <t>C0551</t>
        </is>
      </c>
      <c r="C552" t="n">
        <v>2</v>
      </c>
      <c r="D552" t="inlineStr">
        <is>
          <t>Hub A</t>
        </is>
      </c>
      <c r="E552" t="n">
        <v>35</v>
      </c>
      <c r="F552" t="n">
        <v>19</v>
      </c>
    </row>
    <row r="553">
      <c r="A553" t="inlineStr">
        <is>
          <t>ORD00552</t>
        </is>
      </c>
      <c r="B553" t="inlineStr">
        <is>
          <t>C0552</t>
        </is>
      </c>
      <c r="C553" t="n">
        <v>3</v>
      </c>
      <c r="D553" t="inlineStr">
        <is>
          <t>Hub A</t>
        </is>
      </c>
      <c r="E553" t="n">
        <v>42</v>
      </c>
      <c r="F553" t="n">
        <v>19</v>
      </c>
    </row>
    <row r="554">
      <c r="A554" t="inlineStr">
        <is>
          <t>ORD00553</t>
        </is>
      </c>
      <c r="B554" t="inlineStr">
        <is>
          <t>C0553</t>
        </is>
      </c>
      <c r="C554" t="n">
        <v>1</v>
      </c>
      <c r="D554" t="inlineStr">
        <is>
          <t>Hub A</t>
        </is>
      </c>
      <c r="E554" t="n">
        <v>49</v>
      </c>
      <c r="F554" t="n">
        <v>19</v>
      </c>
    </row>
    <row r="555">
      <c r="A555" t="inlineStr">
        <is>
          <t>ORD00554</t>
        </is>
      </c>
      <c r="B555" t="inlineStr">
        <is>
          <t>C0554</t>
        </is>
      </c>
      <c r="C555" t="n">
        <v>2</v>
      </c>
      <c r="D555" t="inlineStr">
        <is>
          <t>Hub A</t>
        </is>
      </c>
      <c r="E555" t="n">
        <v>56</v>
      </c>
      <c r="F555" t="n">
        <v>19</v>
      </c>
    </row>
    <row r="556">
      <c r="A556" t="inlineStr">
        <is>
          <t>ORD00555</t>
        </is>
      </c>
      <c r="B556" t="inlineStr">
        <is>
          <t>C0555</t>
        </is>
      </c>
      <c r="C556" t="n">
        <v>3</v>
      </c>
      <c r="D556" t="inlineStr">
        <is>
          <t>Hub A</t>
        </is>
      </c>
      <c r="E556" t="n">
        <v>63</v>
      </c>
      <c r="F556" t="n">
        <v>19</v>
      </c>
    </row>
    <row r="557">
      <c r="A557" t="inlineStr">
        <is>
          <t>ORD00556</t>
        </is>
      </c>
      <c r="B557" t="inlineStr">
        <is>
          <t>C0556</t>
        </is>
      </c>
      <c r="C557" t="n">
        <v>1</v>
      </c>
      <c r="D557" t="inlineStr">
        <is>
          <t>Hub A</t>
        </is>
      </c>
      <c r="E557" t="n">
        <v>70</v>
      </c>
      <c r="F557" t="n">
        <v>19</v>
      </c>
    </row>
    <row r="558">
      <c r="A558" t="inlineStr">
        <is>
          <t>ORD00557</t>
        </is>
      </c>
      <c r="B558" t="inlineStr">
        <is>
          <t>C0557</t>
        </is>
      </c>
      <c r="C558" t="n">
        <v>2</v>
      </c>
      <c r="D558" t="inlineStr">
        <is>
          <t>Hub A</t>
        </is>
      </c>
      <c r="E558" t="n">
        <v>77</v>
      </c>
      <c r="F558" t="n">
        <v>19</v>
      </c>
    </row>
    <row r="559">
      <c r="A559" t="inlineStr">
        <is>
          <t>ORD00558</t>
        </is>
      </c>
      <c r="B559" t="inlineStr">
        <is>
          <t>C0558</t>
        </is>
      </c>
      <c r="C559" t="n">
        <v>3</v>
      </c>
      <c r="D559" t="inlineStr">
        <is>
          <t>Hub A</t>
        </is>
      </c>
      <c r="E559" t="n">
        <v>24</v>
      </c>
      <c r="F559" t="n">
        <v>19</v>
      </c>
    </row>
    <row r="560">
      <c r="A560" t="inlineStr">
        <is>
          <t>ORD00559</t>
        </is>
      </c>
      <c r="B560" t="inlineStr">
        <is>
          <t>C0559</t>
        </is>
      </c>
      <c r="C560" t="n">
        <v>1</v>
      </c>
      <c r="D560" t="inlineStr">
        <is>
          <t>Hub A</t>
        </is>
      </c>
      <c r="E560" t="n">
        <v>31</v>
      </c>
      <c r="F560" t="n">
        <v>19</v>
      </c>
    </row>
    <row r="561">
      <c r="A561" t="inlineStr">
        <is>
          <t>ORD00560</t>
        </is>
      </c>
      <c r="B561" t="inlineStr">
        <is>
          <t>C0560</t>
        </is>
      </c>
      <c r="C561" t="n">
        <v>2</v>
      </c>
      <c r="D561" t="inlineStr">
        <is>
          <t>Hub A</t>
        </is>
      </c>
      <c r="E561" t="n">
        <v>38</v>
      </c>
      <c r="F561" t="n">
        <v>19</v>
      </c>
    </row>
    <row r="562">
      <c r="A562" t="inlineStr">
        <is>
          <t>ORD00561</t>
        </is>
      </c>
      <c r="B562" t="inlineStr">
        <is>
          <t>C0561</t>
        </is>
      </c>
      <c r="C562" t="n">
        <v>3</v>
      </c>
      <c r="D562" t="inlineStr">
        <is>
          <t>Hub A</t>
        </is>
      </c>
      <c r="E562" t="n">
        <v>45</v>
      </c>
      <c r="F562" t="n">
        <v>19</v>
      </c>
    </row>
    <row r="563">
      <c r="A563" t="inlineStr">
        <is>
          <t>ORD00562</t>
        </is>
      </c>
      <c r="B563" t="inlineStr">
        <is>
          <t>C0562</t>
        </is>
      </c>
      <c r="C563" t="n">
        <v>1</v>
      </c>
      <c r="D563" t="inlineStr">
        <is>
          <t>Hub A</t>
        </is>
      </c>
      <c r="E563" t="n">
        <v>52</v>
      </c>
      <c r="F563" t="n">
        <v>19</v>
      </c>
    </row>
    <row r="564">
      <c r="A564" t="inlineStr">
        <is>
          <t>ORD00563</t>
        </is>
      </c>
      <c r="B564" t="inlineStr">
        <is>
          <t>C0563</t>
        </is>
      </c>
      <c r="C564" t="n">
        <v>2</v>
      </c>
      <c r="D564" t="inlineStr">
        <is>
          <t>Hub A</t>
        </is>
      </c>
      <c r="E564" t="n">
        <v>59</v>
      </c>
      <c r="F564" t="n">
        <v>19</v>
      </c>
    </row>
    <row r="565">
      <c r="A565" t="inlineStr">
        <is>
          <t>ORD00564</t>
        </is>
      </c>
      <c r="B565" t="inlineStr">
        <is>
          <t>C0564</t>
        </is>
      </c>
      <c r="C565" t="n">
        <v>3</v>
      </c>
      <c r="D565" t="inlineStr">
        <is>
          <t>Hub A</t>
        </is>
      </c>
      <c r="E565" t="n">
        <v>66</v>
      </c>
      <c r="F565" t="n">
        <v>19</v>
      </c>
    </row>
    <row r="566">
      <c r="A566" t="inlineStr">
        <is>
          <t>ORD00565</t>
        </is>
      </c>
      <c r="B566" t="inlineStr">
        <is>
          <t>C0565</t>
        </is>
      </c>
      <c r="C566" t="n">
        <v>1</v>
      </c>
      <c r="D566" t="inlineStr">
        <is>
          <t>Hub A</t>
        </is>
      </c>
      <c r="E566" t="n">
        <v>73</v>
      </c>
      <c r="F566" t="n">
        <v>19</v>
      </c>
    </row>
    <row r="567">
      <c r="A567" t="inlineStr">
        <is>
          <t>ORD00566</t>
        </is>
      </c>
      <c r="B567" t="inlineStr">
        <is>
          <t>C0566</t>
        </is>
      </c>
      <c r="C567" t="n">
        <v>2</v>
      </c>
      <c r="D567" t="inlineStr">
        <is>
          <t>Hub A</t>
        </is>
      </c>
      <c r="E567" t="n">
        <v>20</v>
      </c>
      <c r="F567" t="n">
        <v>19</v>
      </c>
    </row>
    <row r="568">
      <c r="A568" t="inlineStr">
        <is>
          <t>ORD00567</t>
        </is>
      </c>
      <c r="B568" t="inlineStr">
        <is>
          <t>C0567</t>
        </is>
      </c>
      <c r="C568" t="n">
        <v>3</v>
      </c>
      <c r="D568" t="inlineStr">
        <is>
          <t>Hub A</t>
        </is>
      </c>
      <c r="E568" t="n">
        <v>27</v>
      </c>
      <c r="F568" t="n">
        <v>19</v>
      </c>
    </row>
    <row r="569">
      <c r="A569" t="inlineStr">
        <is>
          <t>ORD00568</t>
        </is>
      </c>
      <c r="B569" t="inlineStr">
        <is>
          <t>C0568</t>
        </is>
      </c>
      <c r="C569" t="n">
        <v>1</v>
      </c>
      <c r="D569" t="inlineStr">
        <is>
          <t>Hub A</t>
        </is>
      </c>
      <c r="E569" t="n">
        <v>34</v>
      </c>
      <c r="F569" t="n">
        <v>19</v>
      </c>
    </row>
    <row r="570">
      <c r="A570" t="inlineStr">
        <is>
          <t>ORD00569</t>
        </is>
      </c>
      <c r="B570" t="inlineStr">
        <is>
          <t>C0569</t>
        </is>
      </c>
      <c r="C570" t="n">
        <v>2</v>
      </c>
      <c r="D570" t="inlineStr">
        <is>
          <t>Hub A</t>
        </is>
      </c>
      <c r="E570" t="n">
        <v>41</v>
      </c>
      <c r="F570" t="n">
        <v>19</v>
      </c>
    </row>
    <row r="571">
      <c r="A571" t="inlineStr">
        <is>
          <t>ORD00570</t>
        </is>
      </c>
      <c r="B571" t="inlineStr">
        <is>
          <t>C0570</t>
        </is>
      </c>
      <c r="C571" t="n">
        <v>3</v>
      </c>
      <c r="D571" t="inlineStr">
        <is>
          <t>Hub A</t>
        </is>
      </c>
      <c r="E571" t="n">
        <v>48</v>
      </c>
      <c r="F571" t="n">
        <v>19</v>
      </c>
    </row>
    <row r="572">
      <c r="A572" t="inlineStr">
        <is>
          <t>ORD00571</t>
        </is>
      </c>
      <c r="B572" t="inlineStr">
        <is>
          <t>C0571</t>
        </is>
      </c>
      <c r="C572" t="n">
        <v>1</v>
      </c>
      <c r="D572" t="inlineStr">
        <is>
          <t>Hub A</t>
        </is>
      </c>
      <c r="E572" t="n">
        <v>55</v>
      </c>
      <c r="F572" t="n">
        <v>19</v>
      </c>
    </row>
    <row r="573">
      <c r="A573" t="inlineStr">
        <is>
          <t>ORD00572</t>
        </is>
      </c>
      <c r="B573" t="inlineStr">
        <is>
          <t>C0572</t>
        </is>
      </c>
      <c r="C573" t="n">
        <v>2</v>
      </c>
      <c r="D573" t="inlineStr">
        <is>
          <t>Hub A</t>
        </is>
      </c>
      <c r="E573" t="n">
        <v>62</v>
      </c>
      <c r="F573" t="n">
        <v>19</v>
      </c>
    </row>
    <row r="574">
      <c r="A574" t="inlineStr">
        <is>
          <t>ORD00573</t>
        </is>
      </c>
      <c r="B574" t="inlineStr">
        <is>
          <t>C0573</t>
        </is>
      </c>
      <c r="C574" t="n">
        <v>3</v>
      </c>
      <c r="D574" t="inlineStr">
        <is>
          <t>Hub A</t>
        </is>
      </c>
      <c r="E574" t="n">
        <v>69</v>
      </c>
      <c r="F574" t="n">
        <v>19</v>
      </c>
    </row>
    <row r="575">
      <c r="A575" t="inlineStr">
        <is>
          <t>ORD00574</t>
        </is>
      </c>
      <c r="B575" t="inlineStr">
        <is>
          <t>C0574</t>
        </is>
      </c>
      <c r="C575" t="n">
        <v>1</v>
      </c>
      <c r="D575" t="inlineStr">
        <is>
          <t>Hub A</t>
        </is>
      </c>
      <c r="E575" t="n">
        <v>76</v>
      </c>
      <c r="F575" t="n">
        <v>19</v>
      </c>
    </row>
    <row r="576">
      <c r="A576" t="inlineStr">
        <is>
          <t>ORD00575</t>
        </is>
      </c>
      <c r="B576" t="inlineStr">
        <is>
          <t>C0575</t>
        </is>
      </c>
      <c r="C576" t="n">
        <v>2</v>
      </c>
      <c r="D576" t="inlineStr">
        <is>
          <t>Hub A</t>
        </is>
      </c>
      <c r="E576" t="n">
        <v>23</v>
      </c>
      <c r="F576" t="n">
        <v>19</v>
      </c>
    </row>
    <row r="577">
      <c r="A577" t="inlineStr">
        <is>
          <t>ORD00576</t>
        </is>
      </c>
      <c r="B577" t="inlineStr">
        <is>
          <t>C0576</t>
        </is>
      </c>
      <c r="C577" t="n">
        <v>3</v>
      </c>
      <c r="D577" t="inlineStr">
        <is>
          <t>Hub A</t>
        </is>
      </c>
      <c r="E577" t="n">
        <v>30</v>
      </c>
      <c r="F577" t="n">
        <v>19</v>
      </c>
    </row>
    <row r="578">
      <c r="A578" t="inlineStr">
        <is>
          <t>ORD00577</t>
        </is>
      </c>
      <c r="B578" t="inlineStr">
        <is>
          <t>C0577</t>
        </is>
      </c>
      <c r="C578" t="n">
        <v>1</v>
      </c>
      <c r="D578" t="inlineStr">
        <is>
          <t>Hub A</t>
        </is>
      </c>
      <c r="E578" t="n">
        <v>37</v>
      </c>
      <c r="F578" t="n">
        <v>19</v>
      </c>
    </row>
    <row r="579">
      <c r="A579" t="inlineStr">
        <is>
          <t>ORD00578</t>
        </is>
      </c>
      <c r="B579" t="inlineStr">
        <is>
          <t>C0578</t>
        </is>
      </c>
      <c r="C579" t="n">
        <v>2</v>
      </c>
      <c r="D579" t="inlineStr">
        <is>
          <t>Hub A</t>
        </is>
      </c>
      <c r="E579" t="n">
        <v>44</v>
      </c>
      <c r="F579" t="n">
        <v>19</v>
      </c>
    </row>
    <row r="580">
      <c r="A580" t="inlineStr">
        <is>
          <t>ORD00579</t>
        </is>
      </c>
      <c r="B580" t="inlineStr">
        <is>
          <t>C0579</t>
        </is>
      </c>
      <c r="C580" t="n">
        <v>3</v>
      </c>
      <c r="D580" t="inlineStr">
        <is>
          <t>Hub A</t>
        </is>
      </c>
      <c r="E580" t="n">
        <v>51</v>
      </c>
      <c r="F580" t="n">
        <v>19</v>
      </c>
    </row>
    <row r="581">
      <c r="A581" t="inlineStr">
        <is>
          <t>ORD00580</t>
        </is>
      </c>
      <c r="B581" t="inlineStr">
        <is>
          <t>C0580</t>
        </is>
      </c>
      <c r="C581" t="n">
        <v>1</v>
      </c>
      <c r="D581" t="inlineStr">
        <is>
          <t>Hub A</t>
        </is>
      </c>
      <c r="E581" t="n">
        <v>58</v>
      </c>
      <c r="F581" t="n">
        <v>19</v>
      </c>
    </row>
    <row r="582">
      <c r="A582" t="inlineStr">
        <is>
          <t>ORD00581</t>
        </is>
      </c>
      <c r="B582" t="inlineStr">
        <is>
          <t>C0581</t>
        </is>
      </c>
      <c r="C582" t="n">
        <v>2</v>
      </c>
      <c r="D582" t="inlineStr">
        <is>
          <t>Hub A</t>
        </is>
      </c>
      <c r="E582" t="n">
        <v>65</v>
      </c>
      <c r="F582" t="n">
        <v>19</v>
      </c>
    </row>
    <row r="583">
      <c r="A583" t="inlineStr">
        <is>
          <t>ORD00582</t>
        </is>
      </c>
      <c r="B583" t="inlineStr">
        <is>
          <t>C0582</t>
        </is>
      </c>
      <c r="C583" t="n">
        <v>3</v>
      </c>
      <c r="D583" t="inlineStr">
        <is>
          <t>Hub A</t>
        </is>
      </c>
      <c r="E583" t="n">
        <v>72</v>
      </c>
      <c r="F583" t="n">
        <v>19</v>
      </c>
    </row>
    <row r="584">
      <c r="A584" t="inlineStr">
        <is>
          <t>ORD00583</t>
        </is>
      </c>
      <c r="B584" t="inlineStr">
        <is>
          <t>C0583</t>
        </is>
      </c>
      <c r="C584" t="n">
        <v>1</v>
      </c>
      <c r="D584" t="inlineStr">
        <is>
          <t>Hub A</t>
        </is>
      </c>
      <c r="E584" t="n">
        <v>19</v>
      </c>
      <c r="F584" t="n">
        <v>19</v>
      </c>
    </row>
    <row r="585">
      <c r="A585" t="inlineStr">
        <is>
          <t>ORD00584</t>
        </is>
      </c>
      <c r="B585" t="inlineStr">
        <is>
          <t>C0584</t>
        </is>
      </c>
      <c r="C585" t="n">
        <v>2</v>
      </c>
      <c r="D585" t="inlineStr">
        <is>
          <t>Hub A</t>
        </is>
      </c>
      <c r="E585" t="n">
        <v>26</v>
      </c>
      <c r="F585" t="n">
        <v>19</v>
      </c>
    </row>
    <row r="586">
      <c r="A586" t="inlineStr">
        <is>
          <t>ORD00585</t>
        </is>
      </c>
      <c r="B586" t="inlineStr">
        <is>
          <t>C0585</t>
        </is>
      </c>
      <c r="C586" t="n">
        <v>3</v>
      </c>
      <c r="D586" t="inlineStr">
        <is>
          <t>Hub A</t>
        </is>
      </c>
      <c r="E586" t="n">
        <v>33</v>
      </c>
      <c r="F586" t="n">
        <v>19</v>
      </c>
    </row>
    <row r="587">
      <c r="A587" t="inlineStr">
        <is>
          <t>ORD00586</t>
        </is>
      </c>
      <c r="B587" t="inlineStr">
        <is>
          <t>C0586</t>
        </is>
      </c>
      <c r="C587" t="n">
        <v>1</v>
      </c>
      <c r="D587" t="inlineStr">
        <is>
          <t>Hub A</t>
        </is>
      </c>
      <c r="E587" t="n">
        <v>40</v>
      </c>
      <c r="F587" t="n">
        <v>19</v>
      </c>
    </row>
    <row r="588">
      <c r="A588" t="inlineStr">
        <is>
          <t>ORD00587</t>
        </is>
      </c>
      <c r="B588" t="inlineStr">
        <is>
          <t>C0587</t>
        </is>
      </c>
      <c r="C588" t="n">
        <v>2</v>
      </c>
      <c r="D588" t="inlineStr">
        <is>
          <t>Hub A</t>
        </is>
      </c>
      <c r="E588" t="n">
        <v>47</v>
      </c>
      <c r="F588" t="n">
        <v>19</v>
      </c>
    </row>
    <row r="589">
      <c r="A589" t="inlineStr">
        <is>
          <t>ORD00588</t>
        </is>
      </c>
      <c r="B589" t="inlineStr">
        <is>
          <t>C0588</t>
        </is>
      </c>
      <c r="C589" t="n">
        <v>3</v>
      </c>
      <c r="D589" t="inlineStr">
        <is>
          <t>Hub A</t>
        </is>
      </c>
      <c r="E589" t="n">
        <v>54</v>
      </c>
      <c r="F589" t="n">
        <v>19</v>
      </c>
    </row>
    <row r="590">
      <c r="A590" t="inlineStr">
        <is>
          <t>ORD00589</t>
        </is>
      </c>
      <c r="B590" t="inlineStr">
        <is>
          <t>C0589</t>
        </is>
      </c>
      <c r="C590" t="n">
        <v>1</v>
      </c>
      <c r="D590" t="inlineStr">
        <is>
          <t>Hub A</t>
        </is>
      </c>
      <c r="E590" t="n">
        <v>61</v>
      </c>
      <c r="F590" t="n">
        <v>19</v>
      </c>
    </row>
    <row r="591">
      <c r="A591" t="inlineStr">
        <is>
          <t>ORD00590</t>
        </is>
      </c>
      <c r="B591" t="inlineStr">
        <is>
          <t>C0590</t>
        </is>
      </c>
      <c r="C591" t="n">
        <v>2</v>
      </c>
      <c r="D591" t="inlineStr">
        <is>
          <t>Hub A</t>
        </is>
      </c>
      <c r="E591" t="n">
        <v>68</v>
      </c>
      <c r="F591" t="n">
        <v>19</v>
      </c>
    </row>
    <row r="592">
      <c r="A592" t="inlineStr">
        <is>
          <t>ORD00591</t>
        </is>
      </c>
      <c r="B592" t="inlineStr">
        <is>
          <t>C0591</t>
        </is>
      </c>
      <c r="C592" t="n">
        <v>3</v>
      </c>
      <c r="D592" t="inlineStr">
        <is>
          <t>Hub A</t>
        </is>
      </c>
      <c r="E592" t="n">
        <v>75</v>
      </c>
      <c r="F592" t="n">
        <v>19</v>
      </c>
    </row>
    <row r="593">
      <c r="A593" t="inlineStr">
        <is>
          <t>ORD00592</t>
        </is>
      </c>
      <c r="B593" t="inlineStr">
        <is>
          <t>C0592</t>
        </is>
      </c>
      <c r="C593" t="n">
        <v>1</v>
      </c>
      <c r="D593" t="inlineStr">
        <is>
          <t>Hub A</t>
        </is>
      </c>
      <c r="E593" t="n">
        <v>22</v>
      </c>
      <c r="F593" t="n">
        <v>19</v>
      </c>
    </row>
    <row r="594">
      <c r="A594" t="inlineStr">
        <is>
          <t>ORD00593</t>
        </is>
      </c>
      <c r="B594" t="inlineStr">
        <is>
          <t>C0593</t>
        </is>
      </c>
      <c r="C594" t="n">
        <v>2</v>
      </c>
      <c r="D594" t="inlineStr">
        <is>
          <t>Hub A</t>
        </is>
      </c>
      <c r="E594" t="n">
        <v>29</v>
      </c>
      <c r="F594" t="n">
        <v>19</v>
      </c>
    </row>
    <row r="595">
      <c r="A595" t="inlineStr">
        <is>
          <t>ORD00594</t>
        </is>
      </c>
      <c r="B595" t="inlineStr">
        <is>
          <t>C0594</t>
        </is>
      </c>
      <c r="C595" t="n">
        <v>3</v>
      </c>
      <c r="D595" t="inlineStr">
        <is>
          <t>Hub A</t>
        </is>
      </c>
      <c r="E595" t="n">
        <v>36</v>
      </c>
      <c r="F595" t="n">
        <v>19</v>
      </c>
    </row>
    <row r="596">
      <c r="A596" t="inlineStr">
        <is>
          <t>ORD00595</t>
        </is>
      </c>
      <c r="B596" t="inlineStr">
        <is>
          <t>C0595</t>
        </is>
      </c>
      <c r="C596" t="n">
        <v>1</v>
      </c>
      <c r="D596" t="inlineStr">
        <is>
          <t>Hub A</t>
        </is>
      </c>
      <c r="E596" t="n">
        <v>43</v>
      </c>
      <c r="F596" t="n">
        <v>19</v>
      </c>
    </row>
    <row r="597">
      <c r="A597" t="inlineStr">
        <is>
          <t>ORD00596</t>
        </is>
      </c>
      <c r="B597" t="inlineStr">
        <is>
          <t>C0596</t>
        </is>
      </c>
      <c r="C597" t="n">
        <v>2</v>
      </c>
      <c r="D597" t="inlineStr">
        <is>
          <t>Hub A</t>
        </is>
      </c>
      <c r="E597" t="n">
        <v>50</v>
      </c>
      <c r="F597" t="n">
        <v>19</v>
      </c>
    </row>
    <row r="598">
      <c r="A598" t="inlineStr">
        <is>
          <t>ORD00597</t>
        </is>
      </c>
      <c r="B598" t="inlineStr">
        <is>
          <t>C0597</t>
        </is>
      </c>
      <c r="C598" t="n">
        <v>3</v>
      </c>
      <c r="D598" t="inlineStr">
        <is>
          <t>Hub A</t>
        </is>
      </c>
      <c r="E598" t="n">
        <v>57</v>
      </c>
      <c r="F598" t="n">
        <v>19</v>
      </c>
    </row>
    <row r="599">
      <c r="A599" t="inlineStr">
        <is>
          <t>ORD00598</t>
        </is>
      </c>
      <c r="B599" t="inlineStr">
        <is>
          <t>C0598</t>
        </is>
      </c>
      <c r="C599" t="n">
        <v>1</v>
      </c>
      <c r="D599" t="inlineStr">
        <is>
          <t>Hub A</t>
        </is>
      </c>
      <c r="E599" t="n">
        <v>64</v>
      </c>
      <c r="F599" t="n">
        <v>19</v>
      </c>
    </row>
    <row r="600">
      <c r="A600" t="inlineStr">
        <is>
          <t>ORD00599</t>
        </is>
      </c>
      <c r="B600" t="inlineStr">
        <is>
          <t>C0599</t>
        </is>
      </c>
      <c r="C600" t="n">
        <v>2</v>
      </c>
      <c r="D600" t="inlineStr">
        <is>
          <t>Hub A</t>
        </is>
      </c>
      <c r="E600" t="n">
        <v>71</v>
      </c>
      <c r="F600" t="n">
        <v>19</v>
      </c>
    </row>
    <row r="601">
      <c r="A601" t="inlineStr">
        <is>
          <t>ORD00600</t>
        </is>
      </c>
      <c r="B601" t="inlineStr">
        <is>
          <t>C0600</t>
        </is>
      </c>
      <c r="C601" t="n">
        <v>3</v>
      </c>
      <c r="D601" t="inlineStr">
        <is>
          <t>Hub A</t>
        </is>
      </c>
      <c r="E601" t="n">
        <v>18</v>
      </c>
      <c r="F601" t="n">
        <v>19</v>
      </c>
    </row>
    <row r="602">
      <c r="A602" t="inlineStr">
        <is>
          <t>ORD00601</t>
        </is>
      </c>
      <c r="B602" t="inlineStr">
        <is>
          <t>C0601</t>
        </is>
      </c>
      <c r="C602" t="n">
        <v>1</v>
      </c>
      <c r="D602" t="inlineStr">
        <is>
          <t>Hub A</t>
        </is>
      </c>
      <c r="E602" t="n">
        <v>25</v>
      </c>
      <c r="F602" t="n">
        <v>19</v>
      </c>
    </row>
    <row r="603">
      <c r="A603" t="inlineStr">
        <is>
          <t>ORD00602</t>
        </is>
      </c>
      <c r="B603" t="inlineStr">
        <is>
          <t>C0602</t>
        </is>
      </c>
      <c r="C603" t="n">
        <v>2</v>
      </c>
      <c r="D603" t="inlineStr">
        <is>
          <t>Hub A</t>
        </is>
      </c>
      <c r="E603" t="n">
        <v>32</v>
      </c>
      <c r="F603" t="n">
        <v>19</v>
      </c>
    </row>
    <row r="604">
      <c r="A604" t="inlineStr">
        <is>
          <t>ORD00603</t>
        </is>
      </c>
      <c r="B604" t="inlineStr">
        <is>
          <t>C0603</t>
        </is>
      </c>
      <c r="C604" t="n">
        <v>3</v>
      </c>
      <c r="D604" t="inlineStr">
        <is>
          <t>Hub A</t>
        </is>
      </c>
      <c r="E604" t="n">
        <v>39</v>
      </c>
      <c r="F604" t="n">
        <v>19</v>
      </c>
    </row>
    <row r="605">
      <c r="A605" t="inlineStr">
        <is>
          <t>ORD00604</t>
        </is>
      </c>
      <c r="B605" t="inlineStr">
        <is>
          <t>C0604</t>
        </is>
      </c>
      <c r="C605" t="n">
        <v>1</v>
      </c>
      <c r="D605" t="inlineStr">
        <is>
          <t>Hub A</t>
        </is>
      </c>
      <c r="E605" t="n">
        <v>46</v>
      </c>
      <c r="F605" t="n">
        <v>19</v>
      </c>
    </row>
    <row r="606">
      <c r="A606" t="inlineStr">
        <is>
          <t>ORD00605</t>
        </is>
      </c>
      <c r="B606" t="inlineStr">
        <is>
          <t>C0605</t>
        </is>
      </c>
      <c r="C606" t="n">
        <v>2</v>
      </c>
      <c r="D606" t="inlineStr">
        <is>
          <t>Hub A</t>
        </is>
      </c>
      <c r="E606" t="n">
        <v>53</v>
      </c>
      <c r="F606" t="n">
        <v>19</v>
      </c>
    </row>
    <row r="607">
      <c r="A607" t="inlineStr">
        <is>
          <t>ORD00606</t>
        </is>
      </c>
      <c r="B607" t="inlineStr">
        <is>
          <t>C0606</t>
        </is>
      </c>
      <c r="C607" t="n">
        <v>3</v>
      </c>
      <c r="D607" t="inlineStr">
        <is>
          <t>Hub A</t>
        </is>
      </c>
      <c r="E607" t="n">
        <v>60</v>
      </c>
      <c r="F607" t="n">
        <v>19</v>
      </c>
    </row>
    <row r="608">
      <c r="A608" t="inlineStr">
        <is>
          <t>ORD00607</t>
        </is>
      </c>
      <c r="B608" t="inlineStr">
        <is>
          <t>C0607</t>
        </is>
      </c>
      <c r="C608" t="n">
        <v>1</v>
      </c>
      <c r="D608" t="inlineStr">
        <is>
          <t>Hub A</t>
        </is>
      </c>
      <c r="E608" t="n">
        <v>67</v>
      </c>
      <c r="F608" t="n">
        <v>19</v>
      </c>
    </row>
    <row r="609">
      <c r="A609" t="inlineStr">
        <is>
          <t>ORD00608</t>
        </is>
      </c>
      <c r="B609" t="inlineStr">
        <is>
          <t>C0608</t>
        </is>
      </c>
      <c r="C609" t="n">
        <v>2</v>
      </c>
      <c r="D609" t="inlineStr">
        <is>
          <t>Hub A</t>
        </is>
      </c>
      <c r="E609" t="n">
        <v>74</v>
      </c>
      <c r="F609" t="n">
        <v>19</v>
      </c>
    </row>
    <row r="610">
      <c r="A610" t="inlineStr">
        <is>
          <t>ORD00609</t>
        </is>
      </c>
      <c r="B610" t="inlineStr">
        <is>
          <t>C0609</t>
        </is>
      </c>
      <c r="C610" t="n">
        <v>3</v>
      </c>
      <c r="D610" t="inlineStr">
        <is>
          <t>Hub A</t>
        </is>
      </c>
      <c r="E610" t="n">
        <v>21</v>
      </c>
      <c r="F610" t="n">
        <v>19</v>
      </c>
    </row>
    <row r="611">
      <c r="A611" t="inlineStr">
        <is>
          <t>ORD00610</t>
        </is>
      </c>
      <c r="B611" t="inlineStr">
        <is>
          <t>C0610</t>
        </is>
      </c>
      <c r="C611" t="n">
        <v>1</v>
      </c>
      <c r="D611" t="inlineStr">
        <is>
          <t>Hub A</t>
        </is>
      </c>
      <c r="E611" t="n">
        <v>28</v>
      </c>
      <c r="F611" t="n">
        <v>19</v>
      </c>
    </row>
    <row r="612">
      <c r="A612" t="inlineStr">
        <is>
          <t>ORD00611</t>
        </is>
      </c>
      <c r="B612" t="inlineStr">
        <is>
          <t>C0611</t>
        </is>
      </c>
      <c r="C612" t="n">
        <v>2</v>
      </c>
      <c r="D612" t="inlineStr">
        <is>
          <t>Hub A</t>
        </is>
      </c>
      <c r="E612" t="n">
        <v>35</v>
      </c>
      <c r="F612" t="n">
        <v>19</v>
      </c>
    </row>
    <row r="613">
      <c r="A613" t="inlineStr">
        <is>
          <t>ORD00612</t>
        </is>
      </c>
      <c r="B613" t="inlineStr">
        <is>
          <t>C0612</t>
        </is>
      </c>
      <c r="C613" t="n">
        <v>3</v>
      </c>
      <c r="D613" t="inlineStr">
        <is>
          <t>Hub A</t>
        </is>
      </c>
      <c r="E613" t="n">
        <v>42</v>
      </c>
      <c r="F613" t="n">
        <v>19</v>
      </c>
    </row>
    <row r="614">
      <c r="A614" t="inlineStr">
        <is>
          <t>ORD00613</t>
        </is>
      </c>
      <c r="B614" t="inlineStr">
        <is>
          <t>C0613</t>
        </is>
      </c>
      <c r="C614" t="n">
        <v>1</v>
      </c>
      <c r="D614" t="inlineStr">
        <is>
          <t>Hub A</t>
        </is>
      </c>
      <c r="E614" t="n">
        <v>49</v>
      </c>
      <c r="F614" t="n">
        <v>19</v>
      </c>
    </row>
    <row r="615">
      <c r="A615" t="inlineStr">
        <is>
          <t>ORD00614</t>
        </is>
      </c>
      <c r="B615" t="inlineStr">
        <is>
          <t>C0614</t>
        </is>
      </c>
      <c r="C615" t="n">
        <v>2</v>
      </c>
      <c r="D615" t="inlineStr">
        <is>
          <t>Hub A</t>
        </is>
      </c>
      <c r="E615" t="n">
        <v>56</v>
      </c>
      <c r="F615" t="n">
        <v>19</v>
      </c>
    </row>
    <row r="616">
      <c r="A616" t="inlineStr">
        <is>
          <t>ORD00615</t>
        </is>
      </c>
      <c r="B616" t="inlineStr">
        <is>
          <t>C0615</t>
        </is>
      </c>
      <c r="C616" t="n">
        <v>3</v>
      </c>
      <c r="D616" t="inlineStr">
        <is>
          <t>Hub A</t>
        </is>
      </c>
      <c r="E616" t="n">
        <v>63</v>
      </c>
      <c r="F616" t="n">
        <v>19</v>
      </c>
    </row>
    <row r="617">
      <c r="A617" t="inlineStr">
        <is>
          <t>ORD00616</t>
        </is>
      </c>
      <c r="B617" t="inlineStr">
        <is>
          <t>C0616</t>
        </is>
      </c>
      <c r="C617" t="n">
        <v>1</v>
      </c>
      <c r="D617" t="inlineStr">
        <is>
          <t>Hub A</t>
        </is>
      </c>
      <c r="E617" t="n">
        <v>70</v>
      </c>
      <c r="F617" t="n">
        <v>19</v>
      </c>
    </row>
    <row r="618">
      <c r="A618" t="inlineStr">
        <is>
          <t>ORD00617</t>
        </is>
      </c>
      <c r="B618" t="inlineStr">
        <is>
          <t>C0617</t>
        </is>
      </c>
      <c r="C618" t="n">
        <v>2</v>
      </c>
      <c r="D618" t="inlineStr">
        <is>
          <t>Hub A</t>
        </is>
      </c>
      <c r="E618" t="n">
        <v>77</v>
      </c>
      <c r="F618" t="n">
        <v>19</v>
      </c>
    </row>
    <row r="619">
      <c r="A619" t="inlineStr">
        <is>
          <t>ORD00618</t>
        </is>
      </c>
      <c r="B619" t="inlineStr">
        <is>
          <t>C0618</t>
        </is>
      </c>
      <c r="C619" t="n">
        <v>3</v>
      </c>
      <c r="D619" t="inlineStr">
        <is>
          <t>Hub A</t>
        </is>
      </c>
      <c r="E619" t="n">
        <v>24</v>
      </c>
      <c r="F619" t="n">
        <v>19</v>
      </c>
    </row>
    <row r="620">
      <c r="A620" t="inlineStr">
        <is>
          <t>ORD00619</t>
        </is>
      </c>
      <c r="B620" t="inlineStr">
        <is>
          <t>C0619</t>
        </is>
      </c>
      <c r="C620" t="n">
        <v>1</v>
      </c>
      <c r="D620" t="inlineStr">
        <is>
          <t>Hub A</t>
        </is>
      </c>
      <c r="E620" t="n">
        <v>31</v>
      </c>
      <c r="F620" t="n">
        <v>19</v>
      </c>
    </row>
    <row r="621">
      <c r="A621" t="inlineStr">
        <is>
          <t>ORD00620</t>
        </is>
      </c>
      <c r="B621" t="inlineStr">
        <is>
          <t>C0620</t>
        </is>
      </c>
      <c r="C621" t="n">
        <v>2</v>
      </c>
      <c r="D621" t="inlineStr">
        <is>
          <t>Hub A</t>
        </is>
      </c>
      <c r="E621" t="n">
        <v>38</v>
      </c>
      <c r="F621" t="n">
        <v>19</v>
      </c>
    </row>
    <row r="622">
      <c r="A622" t="inlineStr">
        <is>
          <t>ORD00621</t>
        </is>
      </c>
      <c r="B622" t="inlineStr">
        <is>
          <t>C0621</t>
        </is>
      </c>
      <c r="C622" t="n">
        <v>3</v>
      </c>
      <c r="D622" t="inlineStr">
        <is>
          <t>Hub A</t>
        </is>
      </c>
      <c r="E622" t="n">
        <v>45</v>
      </c>
      <c r="F622" t="n">
        <v>19</v>
      </c>
    </row>
    <row r="623">
      <c r="A623" t="inlineStr">
        <is>
          <t>ORD00622</t>
        </is>
      </c>
      <c r="B623" t="inlineStr">
        <is>
          <t>C0622</t>
        </is>
      </c>
      <c r="C623" t="n">
        <v>1</v>
      </c>
      <c r="D623" t="inlineStr">
        <is>
          <t>Hub A</t>
        </is>
      </c>
      <c r="E623" t="n">
        <v>52</v>
      </c>
      <c r="F623" t="n">
        <v>19</v>
      </c>
    </row>
    <row r="624">
      <c r="A624" t="inlineStr">
        <is>
          <t>ORD00623</t>
        </is>
      </c>
      <c r="B624" t="inlineStr">
        <is>
          <t>C0623</t>
        </is>
      </c>
      <c r="C624" t="n">
        <v>2</v>
      </c>
      <c r="D624" t="inlineStr">
        <is>
          <t>Hub A</t>
        </is>
      </c>
      <c r="E624" t="n">
        <v>59</v>
      </c>
      <c r="F624" t="n">
        <v>19</v>
      </c>
    </row>
    <row r="625">
      <c r="A625" t="inlineStr">
        <is>
          <t>ORD00624</t>
        </is>
      </c>
      <c r="B625" t="inlineStr">
        <is>
          <t>C0624</t>
        </is>
      </c>
      <c r="C625" t="n">
        <v>3</v>
      </c>
      <c r="D625" t="inlineStr">
        <is>
          <t>Hub A</t>
        </is>
      </c>
      <c r="E625" t="n">
        <v>66</v>
      </c>
      <c r="F625" t="n">
        <v>19</v>
      </c>
    </row>
    <row r="626">
      <c r="A626" t="inlineStr">
        <is>
          <t>ORD00625</t>
        </is>
      </c>
      <c r="B626" t="inlineStr">
        <is>
          <t>C0625</t>
        </is>
      </c>
      <c r="C626" t="n">
        <v>1</v>
      </c>
      <c r="D626" t="inlineStr">
        <is>
          <t>Hub A</t>
        </is>
      </c>
      <c r="E626" t="n">
        <v>73</v>
      </c>
      <c r="F626" t="n">
        <v>19</v>
      </c>
    </row>
    <row r="627">
      <c r="A627" t="inlineStr">
        <is>
          <t>ORD00626</t>
        </is>
      </c>
      <c r="B627" t="inlineStr">
        <is>
          <t>C0626</t>
        </is>
      </c>
      <c r="C627" t="n">
        <v>2</v>
      </c>
      <c r="D627" t="inlineStr">
        <is>
          <t>Hub A</t>
        </is>
      </c>
      <c r="E627" t="n">
        <v>20</v>
      </c>
      <c r="F627" t="n">
        <v>19</v>
      </c>
    </row>
    <row r="628">
      <c r="A628" t="inlineStr">
        <is>
          <t>ORD00627</t>
        </is>
      </c>
      <c r="B628" t="inlineStr">
        <is>
          <t>C0627</t>
        </is>
      </c>
      <c r="C628" t="n">
        <v>3</v>
      </c>
      <c r="D628" t="inlineStr">
        <is>
          <t>Hub A</t>
        </is>
      </c>
      <c r="E628" t="n">
        <v>27</v>
      </c>
      <c r="F628" t="n">
        <v>19</v>
      </c>
    </row>
    <row r="629">
      <c r="A629" t="inlineStr">
        <is>
          <t>ORD00628</t>
        </is>
      </c>
      <c r="B629" t="inlineStr">
        <is>
          <t>C0628</t>
        </is>
      </c>
      <c r="C629" t="n">
        <v>1</v>
      </c>
      <c r="D629" t="inlineStr">
        <is>
          <t>Hub A</t>
        </is>
      </c>
      <c r="E629" t="n">
        <v>34</v>
      </c>
      <c r="F629" t="n">
        <v>19</v>
      </c>
    </row>
    <row r="630">
      <c r="A630" t="inlineStr">
        <is>
          <t>ORD00629</t>
        </is>
      </c>
      <c r="B630" t="inlineStr">
        <is>
          <t>C0629</t>
        </is>
      </c>
      <c r="C630" t="n">
        <v>2</v>
      </c>
      <c r="D630" t="inlineStr">
        <is>
          <t>Hub A</t>
        </is>
      </c>
      <c r="E630" t="n">
        <v>41</v>
      </c>
      <c r="F630" t="n">
        <v>19</v>
      </c>
    </row>
    <row r="631">
      <c r="A631" t="inlineStr">
        <is>
          <t>ORD00630</t>
        </is>
      </c>
      <c r="B631" t="inlineStr">
        <is>
          <t>C0630</t>
        </is>
      </c>
      <c r="C631" t="n">
        <v>3</v>
      </c>
      <c r="D631" t="inlineStr">
        <is>
          <t>Hub A</t>
        </is>
      </c>
      <c r="E631" t="n">
        <v>48</v>
      </c>
      <c r="F631" t="n">
        <v>19</v>
      </c>
    </row>
    <row r="632">
      <c r="A632" t="inlineStr">
        <is>
          <t>ORD00631</t>
        </is>
      </c>
      <c r="B632" t="inlineStr">
        <is>
          <t>C0631</t>
        </is>
      </c>
      <c r="C632" t="n">
        <v>1</v>
      </c>
      <c r="D632" t="inlineStr">
        <is>
          <t>Hub A</t>
        </is>
      </c>
      <c r="E632" t="n">
        <v>55</v>
      </c>
      <c r="F632" t="n">
        <v>19</v>
      </c>
    </row>
    <row r="633">
      <c r="A633" t="inlineStr">
        <is>
          <t>ORD00632</t>
        </is>
      </c>
      <c r="B633" t="inlineStr">
        <is>
          <t>C0632</t>
        </is>
      </c>
      <c r="C633" t="n">
        <v>2</v>
      </c>
      <c r="D633" t="inlineStr">
        <is>
          <t>Hub A</t>
        </is>
      </c>
      <c r="E633" t="n">
        <v>62</v>
      </c>
      <c r="F633" t="n">
        <v>19</v>
      </c>
    </row>
    <row r="634">
      <c r="A634" t="inlineStr">
        <is>
          <t>ORD00633</t>
        </is>
      </c>
      <c r="B634" t="inlineStr">
        <is>
          <t>C0633</t>
        </is>
      </c>
      <c r="C634" t="n">
        <v>3</v>
      </c>
      <c r="D634" t="inlineStr">
        <is>
          <t>Hub A</t>
        </is>
      </c>
      <c r="E634" t="n">
        <v>69</v>
      </c>
      <c r="F634" t="n">
        <v>19</v>
      </c>
    </row>
    <row r="635">
      <c r="A635" t="inlineStr">
        <is>
          <t>ORD00634</t>
        </is>
      </c>
      <c r="B635" t="inlineStr">
        <is>
          <t>C0634</t>
        </is>
      </c>
      <c r="C635" t="n">
        <v>1</v>
      </c>
      <c r="D635" t="inlineStr">
        <is>
          <t>Hub A</t>
        </is>
      </c>
      <c r="E635" t="n">
        <v>76</v>
      </c>
      <c r="F635" t="n">
        <v>19</v>
      </c>
    </row>
    <row r="636">
      <c r="A636" t="inlineStr">
        <is>
          <t>ORD00635</t>
        </is>
      </c>
      <c r="B636" t="inlineStr">
        <is>
          <t>C0635</t>
        </is>
      </c>
      <c r="C636" t="n">
        <v>2</v>
      </c>
      <c r="D636" t="inlineStr">
        <is>
          <t>Hub A</t>
        </is>
      </c>
      <c r="E636" t="n">
        <v>23</v>
      </c>
      <c r="F636" t="n">
        <v>19</v>
      </c>
    </row>
    <row r="637">
      <c r="A637" t="inlineStr">
        <is>
          <t>ORD00636</t>
        </is>
      </c>
      <c r="B637" t="inlineStr">
        <is>
          <t>C0636</t>
        </is>
      </c>
      <c r="C637" t="n">
        <v>3</v>
      </c>
      <c r="D637" t="inlineStr">
        <is>
          <t>Hub A</t>
        </is>
      </c>
      <c r="E637" t="n">
        <v>30</v>
      </c>
      <c r="F637" t="n">
        <v>19</v>
      </c>
    </row>
    <row r="638">
      <c r="A638" t="inlineStr">
        <is>
          <t>ORD00637</t>
        </is>
      </c>
      <c r="B638" t="inlineStr">
        <is>
          <t>C0637</t>
        </is>
      </c>
      <c r="C638" t="n">
        <v>1</v>
      </c>
      <c r="D638" t="inlineStr">
        <is>
          <t>Hub A</t>
        </is>
      </c>
      <c r="E638" t="n">
        <v>37</v>
      </c>
      <c r="F638" t="n">
        <v>19</v>
      </c>
    </row>
    <row r="639">
      <c r="A639" t="inlineStr">
        <is>
          <t>ORD00638</t>
        </is>
      </c>
      <c r="B639" t="inlineStr">
        <is>
          <t>C0638</t>
        </is>
      </c>
      <c r="C639" t="n">
        <v>2</v>
      </c>
      <c r="D639" t="inlineStr">
        <is>
          <t>Hub A</t>
        </is>
      </c>
      <c r="E639" t="n">
        <v>44</v>
      </c>
      <c r="F639" t="n">
        <v>19</v>
      </c>
    </row>
    <row r="640">
      <c r="A640" t="inlineStr">
        <is>
          <t>ORD00639</t>
        </is>
      </c>
      <c r="B640" t="inlineStr">
        <is>
          <t>C0639</t>
        </is>
      </c>
      <c r="C640" t="n">
        <v>3</v>
      </c>
      <c r="D640" t="inlineStr">
        <is>
          <t>Hub A</t>
        </is>
      </c>
      <c r="E640" t="n">
        <v>51</v>
      </c>
      <c r="F640" t="n">
        <v>19</v>
      </c>
    </row>
    <row r="641">
      <c r="A641" t="inlineStr">
        <is>
          <t>ORD00640</t>
        </is>
      </c>
      <c r="B641" t="inlineStr">
        <is>
          <t>C0640</t>
        </is>
      </c>
      <c r="C641" t="n">
        <v>1</v>
      </c>
      <c r="D641" t="inlineStr">
        <is>
          <t>Hub A</t>
        </is>
      </c>
      <c r="E641" t="n">
        <v>58</v>
      </c>
      <c r="F641" t="n">
        <v>19</v>
      </c>
    </row>
    <row r="642">
      <c r="A642" t="inlineStr">
        <is>
          <t>ORD00641</t>
        </is>
      </c>
      <c r="B642" t="inlineStr">
        <is>
          <t>C0641</t>
        </is>
      </c>
      <c r="C642" t="n">
        <v>2</v>
      </c>
      <c r="D642" t="inlineStr">
        <is>
          <t>Hub A</t>
        </is>
      </c>
      <c r="E642" t="n">
        <v>65</v>
      </c>
      <c r="F642" t="n">
        <v>19</v>
      </c>
    </row>
    <row r="643">
      <c r="A643" t="inlineStr">
        <is>
          <t>ORD00642</t>
        </is>
      </c>
      <c r="B643" t="inlineStr">
        <is>
          <t>C0642</t>
        </is>
      </c>
      <c r="C643" t="n">
        <v>3</v>
      </c>
      <c r="D643" t="inlineStr">
        <is>
          <t>Hub A</t>
        </is>
      </c>
      <c r="E643" t="n">
        <v>72</v>
      </c>
      <c r="F643" t="n">
        <v>19</v>
      </c>
    </row>
    <row r="644">
      <c r="A644" t="inlineStr">
        <is>
          <t>ORD00643</t>
        </is>
      </c>
      <c r="B644" t="inlineStr">
        <is>
          <t>C0643</t>
        </is>
      </c>
      <c r="C644" t="n">
        <v>1</v>
      </c>
      <c r="D644" t="inlineStr">
        <is>
          <t>Hub A</t>
        </is>
      </c>
      <c r="E644" t="n">
        <v>19</v>
      </c>
      <c r="F644" t="n">
        <v>19</v>
      </c>
    </row>
    <row r="645">
      <c r="A645" t="inlineStr">
        <is>
          <t>ORD00644</t>
        </is>
      </c>
      <c r="B645" t="inlineStr">
        <is>
          <t>C0644</t>
        </is>
      </c>
      <c r="C645" t="n">
        <v>2</v>
      </c>
      <c r="D645" t="inlineStr">
        <is>
          <t>Hub A</t>
        </is>
      </c>
      <c r="E645" t="n">
        <v>26</v>
      </c>
      <c r="F645" t="n">
        <v>19</v>
      </c>
    </row>
    <row r="646">
      <c r="A646" t="inlineStr">
        <is>
          <t>ORD00645</t>
        </is>
      </c>
      <c r="B646" t="inlineStr">
        <is>
          <t>C0645</t>
        </is>
      </c>
      <c r="C646" t="n">
        <v>3</v>
      </c>
      <c r="D646" t="inlineStr">
        <is>
          <t>Hub A</t>
        </is>
      </c>
      <c r="E646" t="n">
        <v>33</v>
      </c>
      <c r="F646" t="n">
        <v>19</v>
      </c>
    </row>
    <row r="647">
      <c r="A647" t="inlineStr">
        <is>
          <t>ORD00646</t>
        </is>
      </c>
      <c r="B647" t="inlineStr">
        <is>
          <t>C0646</t>
        </is>
      </c>
      <c r="C647" t="n">
        <v>1</v>
      </c>
      <c r="D647" t="inlineStr">
        <is>
          <t>Hub A</t>
        </is>
      </c>
      <c r="E647" t="n">
        <v>40</v>
      </c>
      <c r="F647" t="n">
        <v>19</v>
      </c>
    </row>
    <row r="648">
      <c r="A648" t="inlineStr">
        <is>
          <t>ORD00647</t>
        </is>
      </c>
      <c r="B648" t="inlineStr">
        <is>
          <t>C0647</t>
        </is>
      </c>
      <c r="C648" t="n">
        <v>2</v>
      </c>
      <c r="D648" t="inlineStr">
        <is>
          <t>Hub A</t>
        </is>
      </c>
      <c r="E648" t="n">
        <v>47</v>
      </c>
      <c r="F648" t="n">
        <v>19</v>
      </c>
    </row>
    <row r="649">
      <c r="A649" t="inlineStr">
        <is>
          <t>ORD00648</t>
        </is>
      </c>
      <c r="B649" t="inlineStr">
        <is>
          <t>C0648</t>
        </is>
      </c>
      <c r="C649" t="n">
        <v>3</v>
      </c>
      <c r="D649" t="inlineStr">
        <is>
          <t>Hub A</t>
        </is>
      </c>
      <c r="E649" t="n">
        <v>54</v>
      </c>
      <c r="F649" t="n">
        <v>19</v>
      </c>
    </row>
    <row r="650">
      <c r="A650" t="inlineStr">
        <is>
          <t>ORD00649</t>
        </is>
      </c>
      <c r="B650" t="inlineStr">
        <is>
          <t>C0649</t>
        </is>
      </c>
      <c r="C650" t="n">
        <v>1</v>
      </c>
      <c r="D650" t="inlineStr">
        <is>
          <t>Hub A</t>
        </is>
      </c>
      <c r="E650" t="n">
        <v>61</v>
      </c>
      <c r="F650" t="n">
        <v>19</v>
      </c>
    </row>
    <row r="651">
      <c r="A651" t="inlineStr">
        <is>
          <t>ORD00650</t>
        </is>
      </c>
      <c r="B651" t="inlineStr">
        <is>
          <t>C0650</t>
        </is>
      </c>
      <c r="C651" t="n">
        <v>2</v>
      </c>
      <c r="D651" t="inlineStr">
        <is>
          <t>Hub A</t>
        </is>
      </c>
      <c r="E651" t="n">
        <v>68</v>
      </c>
      <c r="F651" t="n">
        <v>19</v>
      </c>
    </row>
    <row r="652">
      <c r="A652" t="inlineStr">
        <is>
          <t>ORD00651</t>
        </is>
      </c>
      <c r="B652" t="inlineStr">
        <is>
          <t>C0651</t>
        </is>
      </c>
      <c r="C652" t="n">
        <v>3</v>
      </c>
      <c r="D652" t="inlineStr">
        <is>
          <t>Hub A</t>
        </is>
      </c>
      <c r="E652" t="n">
        <v>75</v>
      </c>
      <c r="F652" t="n">
        <v>19</v>
      </c>
    </row>
    <row r="653">
      <c r="A653" t="inlineStr">
        <is>
          <t>ORD00652</t>
        </is>
      </c>
      <c r="B653" t="inlineStr">
        <is>
          <t>C0652</t>
        </is>
      </c>
      <c r="C653" t="n">
        <v>1</v>
      </c>
      <c r="D653" t="inlineStr">
        <is>
          <t>Hub A</t>
        </is>
      </c>
      <c r="E653" t="n">
        <v>22</v>
      </c>
      <c r="F653" t="n">
        <v>19</v>
      </c>
    </row>
    <row r="654">
      <c r="A654" t="inlineStr">
        <is>
          <t>ORD00653</t>
        </is>
      </c>
      <c r="B654" t="inlineStr">
        <is>
          <t>C0653</t>
        </is>
      </c>
      <c r="C654" t="n">
        <v>2</v>
      </c>
      <c r="D654" t="inlineStr">
        <is>
          <t>Hub A</t>
        </is>
      </c>
      <c r="E654" t="n">
        <v>29</v>
      </c>
      <c r="F654" t="n">
        <v>19</v>
      </c>
    </row>
    <row r="655">
      <c r="A655" t="inlineStr">
        <is>
          <t>ORD00654</t>
        </is>
      </c>
      <c r="B655" t="inlineStr">
        <is>
          <t>C0654</t>
        </is>
      </c>
      <c r="C655" t="n">
        <v>3</v>
      </c>
      <c r="D655" t="inlineStr">
        <is>
          <t>Hub A</t>
        </is>
      </c>
      <c r="E655" t="n">
        <v>36</v>
      </c>
      <c r="F655" t="n">
        <v>19</v>
      </c>
    </row>
    <row r="656">
      <c r="A656" t="inlineStr">
        <is>
          <t>ORD00655</t>
        </is>
      </c>
      <c r="B656" t="inlineStr">
        <is>
          <t>C0655</t>
        </is>
      </c>
      <c r="C656" t="n">
        <v>1</v>
      </c>
      <c r="D656" t="inlineStr">
        <is>
          <t>Hub A</t>
        </is>
      </c>
      <c r="E656" t="n">
        <v>43</v>
      </c>
      <c r="F656" t="n">
        <v>19</v>
      </c>
    </row>
    <row r="657">
      <c r="A657" t="inlineStr">
        <is>
          <t>ORD00656</t>
        </is>
      </c>
      <c r="B657" t="inlineStr">
        <is>
          <t>C0656</t>
        </is>
      </c>
      <c r="C657" t="n">
        <v>2</v>
      </c>
      <c r="D657" t="inlineStr">
        <is>
          <t>Hub A</t>
        </is>
      </c>
      <c r="E657" t="n">
        <v>50</v>
      </c>
      <c r="F657" t="n">
        <v>19</v>
      </c>
    </row>
    <row r="658">
      <c r="A658" t="inlineStr">
        <is>
          <t>ORD00657</t>
        </is>
      </c>
      <c r="B658" t="inlineStr">
        <is>
          <t>C0657</t>
        </is>
      </c>
      <c r="C658" t="n">
        <v>3</v>
      </c>
      <c r="D658" t="inlineStr">
        <is>
          <t>Hub A</t>
        </is>
      </c>
      <c r="E658" t="n">
        <v>57</v>
      </c>
      <c r="F658" t="n">
        <v>19</v>
      </c>
    </row>
    <row r="659">
      <c r="A659" t="inlineStr">
        <is>
          <t>ORD00658</t>
        </is>
      </c>
      <c r="B659" t="inlineStr">
        <is>
          <t>C0658</t>
        </is>
      </c>
      <c r="C659" t="n">
        <v>1</v>
      </c>
      <c r="D659" t="inlineStr">
        <is>
          <t>Hub A</t>
        </is>
      </c>
      <c r="E659" t="n">
        <v>64</v>
      </c>
      <c r="F659" t="n">
        <v>19</v>
      </c>
    </row>
    <row r="660">
      <c r="A660" t="inlineStr">
        <is>
          <t>ORD00659</t>
        </is>
      </c>
      <c r="B660" t="inlineStr">
        <is>
          <t>C0659</t>
        </is>
      </c>
      <c r="C660" t="n">
        <v>2</v>
      </c>
      <c r="D660" t="inlineStr">
        <is>
          <t>Hub A</t>
        </is>
      </c>
      <c r="E660" t="n">
        <v>71</v>
      </c>
      <c r="F660" t="n">
        <v>19</v>
      </c>
    </row>
    <row r="661">
      <c r="A661" t="inlineStr">
        <is>
          <t>ORD00660</t>
        </is>
      </c>
      <c r="B661" t="inlineStr">
        <is>
          <t>C0660</t>
        </is>
      </c>
      <c r="C661" t="n">
        <v>3</v>
      </c>
      <c r="D661" t="inlineStr">
        <is>
          <t>Hub A</t>
        </is>
      </c>
      <c r="E661" t="n">
        <v>18</v>
      </c>
      <c r="F661" t="n">
        <v>19</v>
      </c>
    </row>
    <row r="662">
      <c r="A662" t="inlineStr">
        <is>
          <t>ORD00661</t>
        </is>
      </c>
      <c r="B662" t="inlineStr">
        <is>
          <t>C0661</t>
        </is>
      </c>
      <c r="C662" t="n">
        <v>1</v>
      </c>
      <c r="D662" t="inlineStr">
        <is>
          <t>Hub A</t>
        </is>
      </c>
      <c r="E662" t="n">
        <v>25</v>
      </c>
      <c r="F662" t="n">
        <v>19</v>
      </c>
    </row>
    <row r="663">
      <c r="A663" t="inlineStr">
        <is>
          <t>ORD00662</t>
        </is>
      </c>
      <c r="B663" t="inlineStr">
        <is>
          <t>C0662</t>
        </is>
      </c>
      <c r="C663" t="n">
        <v>2</v>
      </c>
      <c r="D663" t="inlineStr">
        <is>
          <t>Hub A</t>
        </is>
      </c>
      <c r="E663" t="n">
        <v>32</v>
      </c>
      <c r="F663" t="n">
        <v>19</v>
      </c>
    </row>
    <row r="664">
      <c r="A664" t="inlineStr">
        <is>
          <t>ORD00663</t>
        </is>
      </c>
      <c r="B664" t="inlineStr">
        <is>
          <t>C0663</t>
        </is>
      </c>
      <c r="C664" t="n">
        <v>3</v>
      </c>
      <c r="D664" t="inlineStr">
        <is>
          <t>Hub A</t>
        </is>
      </c>
      <c r="E664" t="n">
        <v>39</v>
      </c>
      <c r="F664" t="n">
        <v>19</v>
      </c>
    </row>
    <row r="665">
      <c r="A665" t="inlineStr">
        <is>
          <t>ORD00664</t>
        </is>
      </c>
      <c r="B665" t="inlineStr">
        <is>
          <t>C0664</t>
        </is>
      </c>
      <c r="C665" t="n">
        <v>1</v>
      </c>
      <c r="D665" t="inlineStr">
        <is>
          <t>Hub A</t>
        </is>
      </c>
      <c r="E665" t="n">
        <v>46</v>
      </c>
      <c r="F665" t="n">
        <v>19</v>
      </c>
    </row>
    <row r="666">
      <c r="A666" t="inlineStr">
        <is>
          <t>ORD00665</t>
        </is>
      </c>
      <c r="B666" t="inlineStr">
        <is>
          <t>C0665</t>
        </is>
      </c>
      <c r="C666" t="n">
        <v>2</v>
      </c>
      <c r="D666" t="inlineStr">
        <is>
          <t>Hub A</t>
        </is>
      </c>
      <c r="E666" t="n">
        <v>53</v>
      </c>
      <c r="F666" t="n">
        <v>19</v>
      </c>
    </row>
    <row r="667">
      <c r="A667" t="inlineStr">
        <is>
          <t>ORD00666</t>
        </is>
      </c>
      <c r="B667" t="inlineStr">
        <is>
          <t>C0666</t>
        </is>
      </c>
      <c r="C667" t="n">
        <v>3</v>
      </c>
      <c r="D667" t="inlineStr">
        <is>
          <t>Hub A</t>
        </is>
      </c>
      <c r="E667" t="n">
        <v>60</v>
      </c>
      <c r="F667" t="n">
        <v>19</v>
      </c>
    </row>
    <row r="668">
      <c r="A668" t="inlineStr">
        <is>
          <t>ORD00667</t>
        </is>
      </c>
      <c r="B668" t="inlineStr">
        <is>
          <t>C0667</t>
        </is>
      </c>
      <c r="C668" t="n">
        <v>1</v>
      </c>
      <c r="D668" t="inlineStr">
        <is>
          <t>Hub A</t>
        </is>
      </c>
      <c r="E668" t="n">
        <v>67</v>
      </c>
      <c r="F668" t="n">
        <v>19</v>
      </c>
    </row>
    <row r="669">
      <c r="A669" t="inlineStr">
        <is>
          <t>ORD00668</t>
        </is>
      </c>
      <c r="B669" t="inlineStr">
        <is>
          <t>C0668</t>
        </is>
      </c>
      <c r="C669" t="n">
        <v>2</v>
      </c>
      <c r="D669" t="inlineStr">
        <is>
          <t>Hub A</t>
        </is>
      </c>
      <c r="E669" t="n">
        <v>74</v>
      </c>
      <c r="F669" t="n">
        <v>19</v>
      </c>
    </row>
    <row r="670">
      <c r="A670" t="inlineStr">
        <is>
          <t>ORD00669</t>
        </is>
      </c>
      <c r="B670" t="inlineStr">
        <is>
          <t>C0669</t>
        </is>
      </c>
      <c r="C670" t="n">
        <v>3</v>
      </c>
      <c r="D670" t="inlineStr">
        <is>
          <t>Hub A</t>
        </is>
      </c>
      <c r="E670" t="n">
        <v>21</v>
      </c>
      <c r="F670" t="n">
        <v>19</v>
      </c>
    </row>
    <row r="671">
      <c r="A671" t="inlineStr">
        <is>
          <t>ORD00670</t>
        </is>
      </c>
      <c r="B671" t="inlineStr">
        <is>
          <t>C0670</t>
        </is>
      </c>
      <c r="C671" t="n">
        <v>1</v>
      </c>
      <c r="D671" t="inlineStr">
        <is>
          <t>Hub A</t>
        </is>
      </c>
      <c r="E671" t="n">
        <v>28</v>
      </c>
      <c r="F671" t="n">
        <v>19</v>
      </c>
    </row>
    <row r="672">
      <c r="A672" t="inlineStr">
        <is>
          <t>ORD00671</t>
        </is>
      </c>
      <c r="B672" t="inlineStr">
        <is>
          <t>C0671</t>
        </is>
      </c>
      <c r="C672" t="n">
        <v>2</v>
      </c>
      <c r="D672" t="inlineStr">
        <is>
          <t>Hub A</t>
        </is>
      </c>
      <c r="E672" t="n">
        <v>35</v>
      </c>
      <c r="F672" t="n">
        <v>19</v>
      </c>
    </row>
    <row r="673">
      <c r="A673" t="inlineStr">
        <is>
          <t>ORD00672</t>
        </is>
      </c>
      <c r="B673" t="inlineStr">
        <is>
          <t>C0672</t>
        </is>
      </c>
      <c r="C673" t="n">
        <v>3</v>
      </c>
      <c r="D673" t="inlineStr">
        <is>
          <t>Hub A</t>
        </is>
      </c>
      <c r="E673" t="n">
        <v>42</v>
      </c>
      <c r="F673" t="n">
        <v>19</v>
      </c>
    </row>
    <row r="674">
      <c r="A674" t="inlineStr">
        <is>
          <t>ORD00673</t>
        </is>
      </c>
      <c r="B674" t="inlineStr">
        <is>
          <t>C0673</t>
        </is>
      </c>
      <c r="C674" t="n">
        <v>1</v>
      </c>
      <c r="D674" t="inlineStr">
        <is>
          <t>Hub A</t>
        </is>
      </c>
      <c r="E674" t="n">
        <v>49</v>
      </c>
      <c r="F674" t="n">
        <v>19</v>
      </c>
    </row>
    <row r="675">
      <c r="A675" t="inlineStr">
        <is>
          <t>ORD00674</t>
        </is>
      </c>
      <c r="B675" t="inlineStr">
        <is>
          <t>C0674</t>
        </is>
      </c>
      <c r="C675" t="n">
        <v>2</v>
      </c>
      <c r="D675" t="inlineStr">
        <is>
          <t>Hub A</t>
        </is>
      </c>
      <c r="E675" t="n">
        <v>56</v>
      </c>
      <c r="F675" t="n">
        <v>19</v>
      </c>
    </row>
    <row r="676">
      <c r="A676" t="inlineStr">
        <is>
          <t>ORD00675</t>
        </is>
      </c>
      <c r="B676" t="inlineStr">
        <is>
          <t>C0675</t>
        </is>
      </c>
      <c r="C676" t="n">
        <v>3</v>
      </c>
      <c r="D676" t="inlineStr">
        <is>
          <t>Hub A</t>
        </is>
      </c>
      <c r="E676" t="n">
        <v>63</v>
      </c>
      <c r="F676" t="n">
        <v>19</v>
      </c>
    </row>
    <row r="677">
      <c r="A677" t="inlineStr">
        <is>
          <t>ORD00676</t>
        </is>
      </c>
      <c r="B677" t="inlineStr">
        <is>
          <t>C0676</t>
        </is>
      </c>
      <c r="C677" t="n">
        <v>1</v>
      </c>
      <c r="D677" t="inlineStr">
        <is>
          <t>Hub A</t>
        </is>
      </c>
      <c r="E677" t="n">
        <v>70</v>
      </c>
      <c r="F677" t="n">
        <v>19</v>
      </c>
    </row>
    <row r="678">
      <c r="A678" t="inlineStr">
        <is>
          <t>ORD00677</t>
        </is>
      </c>
      <c r="B678" t="inlineStr">
        <is>
          <t>C0677</t>
        </is>
      </c>
      <c r="C678" t="n">
        <v>2</v>
      </c>
      <c r="D678" t="inlineStr">
        <is>
          <t>Hub A</t>
        </is>
      </c>
      <c r="E678" t="n">
        <v>77</v>
      </c>
      <c r="F678" t="n">
        <v>19</v>
      </c>
    </row>
    <row r="679">
      <c r="A679" t="inlineStr">
        <is>
          <t>ORD00678</t>
        </is>
      </c>
      <c r="B679" t="inlineStr">
        <is>
          <t>C0678</t>
        </is>
      </c>
      <c r="C679" t="n">
        <v>3</v>
      </c>
      <c r="D679" t="inlineStr">
        <is>
          <t>Hub A</t>
        </is>
      </c>
      <c r="E679" t="n">
        <v>24</v>
      </c>
      <c r="F679" t="n">
        <v>19</v>
      </c>
    </row>
    <row r="680">
      <c r="A680" t="inlineStr">
        <is>
          <t>ORD00679</t>
        </is>
      </c>
      <c r="B680" t="inlineStr">
        <is>
          <t>C0679</t>
        </is>
      </c>
      <c r="C680" t="n">
        <v>1</v>
      </c>
      <c r="D680" t="inlineStr">
        <is>
          <t>Hub A</t>
        </is>
      </c>
      <c r="E680" t="n">
        <v>31</v>
      </c>
      <c r="F680" t="n">
        <v>19</v>
      </c>
    </row>
    <row r="681">
      <c r="A681" t="inlineStr">
        <is>
          <t>ORD00680</t>
        </is>
      </c>
      <c r="B681" t="inlineStr">
        <is>
          <t>C0680</t>
        </is>
      </c>
      <c r="C681" t="n">
        <v>2</v>
      </c>
      <c r="D681" t="inlineStr">
        <is>
          <t>Hub A</t>
        </is>
      </c>
      <c r="E681" t="n">
        <v>38</v>
      </c>
      <c r="F681" t="n">
        <v>19</v>
      </c>
    </row>
    <row r="682">
      <c r="A682" t="inlineStr">
        <is>
          <t>ORD00681</t>
        </is>
      </c>
      <c r="B682" t="inlineStr">
        <is>
          <t>C0681</t>
        </is>
      </c>
      <c r="C682" t="n">
        <v>3</v>
      </c>
      <c r="D682" t="inlineStr">
        <is>
          <t>Hub A</t>
        </is>
      </c>
      <c r="E682" t="n">
        <v>45</v>
      </c>
      <c r="F682" t="n">
        <v>19</v>
      </c>
    </row>
    <row r="683">
      <c r="A683" t="inlineStr">
        <is>
          <t>ORD00682</t>
        </is>
      </c>
      <c r="B683" t="inlineStr">
        <is>
          <t>C0682</t>
        </is>
      </c>
      <c r="C683" t="n">
        <v>1</v>
      </c>
      <c r="D683" t="inlineStr">
        <is>
          <t>Hub A</t>
        </is>
      </c>
      <c r="E683" t="n">
        <v>52</v>
      </c>
      <c r="F683" t="n">
        <v>19</v>
      </c>
    </row>
    <row r="684">
      <c r="A684" t="inlineStr">
        <is>
          <t>ORD00683</t>
        </is>
      </c>
      <c r="B684" t="inlineStr">
        <is>
          <t>C0683</t>
        </is>
      </c>
      <c r="C684" t="n">
        <v>2</v>
      </c>
      <c r="D684" t="inlineStr">
        <is>
          <t>Hub A</t>
        </is>
      </c>
      <c r="E684" t="n">
        <v>59</v>
      </c>
      <c r="F684" t="n">
        <v>19</v>
      </c>
    </row>
    <row r="685">
      <c r="A685" t="inlineStr">
        <is>
          <t>ORD00684</t>
        </is>
      </c>
      <c r="B685" t="inlineStr">
        <is>
          <t>C0684</t>
        </is>
      </c>
      <c r="C685" t="n">
        <v>3</v>
      </c>
      <c r="D685" t="inlineStr">
        <is>
          <t>Hub A</t>
        </is>
      </c>
      <c r="E685" t="n">
        <v>66</v>
      </c>
      <c r="F685" t="n">
        <v>19</v>
      </c>
    </row>
    <row r="686">
      <c r="A686" t="inlineStr">
        <is>
          <t>ORD00685</t>
        </is>
      </c>
      <c r="B686" t="inlineStr">
        <is>
          <t>C0685</t>
        </is>
      </c>
      <c r="C686" t="n">
        <v>1</v>
      </c>
      <c r="D686" t="inlineStr">
        <is>
          <t>Hub A</t>
        </is>
      </c>
      <c r="E686" t="n">
        <v>73</v>
      </c>
      <c r="F686" t="n">
        <v>19</v>
      </c>
    </row>
    <row r="687">
      <c r="A687" t="inlineStr">
        <is>
          <t>ORD00686</t>
        </is>
      </c>
      <c r="B687" t="inlineStr">
        <is>
          <t>C0686</t>
        </is>
      </c>
      <c r="C687" t="n">
        <v>2</v>
      </c>
      <c r="D687" t="inlineStr">
        <is>
          <t>Hub A</t>
        </is>
      </c>
      <c r="E687" t="n">
        <v>20</v>
      </c>
      <c r="F687" t="n">
        <v>19</v>
      </c>
    </row>
    <row r="688">
      <c r="A688" t="inlineStr">
        <is>
          <t>ORD00687</t>
        </is>
      </c>
      <c r="B688" t="inlineStr">
        <is>
          <t>C0687</t>
        </is>
      </c>
      <c r="C688" t="n">
        <v>3</v>
      </c>
      <c r="D688" t="inlineStr">
        <is>
          <t>Hub A</t>
        </is>
      </c>
      <c r="E688" t="n">
        <v>27</v>
      </c>
      <c r="F688" t="n">
        <v>19</v>
      </c>
    </row>
    <row r="689">
      <c r="A689" t="inlineStr">
        <is>
          <t>ORD00688</t>
        </is>
      </c>
      <c r="B689" t="inlineStr">
        <is>
          <t>C0688</t>
        </is>
      </c>
      <c r="C689" t="n">
        <v>1</v>
      </c>
      <c r="D689" t="inlineStr">
        <is>
          <t>Hub A</t>
        </is>
      </c>
      <c r="E689" t="n">
        <v>34</v>
      </c>
      <c r="F689" t="n">
        <v>19</v>
      </c>
    </row>
    <row r="690">
      <c r="A690" t="inlineStr">
        <is>
          <t>ORD00689</t>
        </is>
      </c>
      <c r="B690" t="inlineStr">
        <is>
          <t>C0689</t>
        </is>
      </c>
      <c r="C690" t="n">
        <v>2</v>
      </c>
      <c r="D690" t="inlineStr">
        <is>
          <t>Hub A</t>
        </is>
      </c>
      <c r="E690" t="n">
        <v>41</v>
      </c>
      <c r="F690" t="n">
        <v>19</v>
      </c>
    </row>
    <row r="691">
      <c r="A691" t="inlineStr">
        <is>
          <t>ORD00690</t>
        </is>
      </c>
      <c r="B691" t="inlineStr">
        <is>
          <t>C0690</t>
        </is>
      </c>
      <c r="C691" t="n">
        <v>3</v>
      </c>
      <c r="D691" t="inlineStr">
        <is>
          <t>Hub A</t>
        </is>
      </c>
      <c r="E691" t="n">
        <v>48</v>
      </c>
      <c r="F691" t="n">
        <v>19</v>
      </c>
    </row>
    <row r="692">
      <c r="A692" t="inlineStr">
        <is>
          <t>ORD00691</t>
        </is>
      </c>
      <c r="B692" t="inlineStr">
        <is>
          <t>C0691</t>
        </is>
      </c>
      <c r="C692" t="n">
        <v>1</v>
      </c>
      <c r="D692" t="inlineStr">
        <is>
          <t>Hub A</t>
        </is>
      </c>
      <c r="E692" t="n">
        <v>55</v>
      </c>
      <c r="F692" t="n">
        <v>19</v>
      </c>
    </row>
    <row r="693">
      <c r="A693" t="inlineStr">
        <is>
          <t>ORD00692</t>
        </is>
      </c>
      <c r="B693" t="inlineStr">
        <is>
          <t>C0692</t>
        </is>
      </c>
      <c r="C693" t="n">
        <v>2</v>
      </c>
      <c r="D693" t="inlineStr">
        <is>
          <t>Hub A</t>
        </is>
      </c>
      <c r="E693" t="n">
        <v>62</v>
      </c>
      <c r="F693" t="n">
        <v>19</v>
      </c>
    </row>
    <row r="694">
      <c r="A694" t="inlineStr">
        <is>
          <t>ORD00693</t>
        </is>
      </c>
      <c r="B694" t="inlineStr">
        <is>
          <t>C0693</t>
        </is>
      </c>
      <c r="C694" t="n">
        <v>3</v>
      </c>
      <c r="D694" t="inlineStr">
        <is>
          <t>Hub A</t>
        </is>
      </c>
      <c r="E694" t="n">
        <v>69</v>
      </c>
      <c r="F694" t="n">
        <v>19</v>
      </c>
    </row>
    <row r="695">
      <c r="A695" t="inlineStr">
        <is>
          <t>ORD00694</t>
        </is>
      </c>
      <c r="B695" t="inlineStr">
        <is>
          <t>C0694</t>
        </is>
      </c>
      <c r="C695" t="n">
        <v>1</v>
      </c>
      <c r="D695" t="inlineStr">
        <is>
          <t>Hub A</t>
        </is>
      </c>
      <c r="E695" t="n">
        <v>76</v>
      </c>
      <c r="F695" t="n">
        <v>19</v>
      </c>
    </row>
    <row r="696">
      <c r="A696" t="inlineStr">
        <is>
          <t>ORD00695</t>
        </is>
      </c>
      <c r="B696" t="inlineStr">
        <is>
          <t>C0695</t>
        </is>
      </c>
      <c r="C696" t="n">
        <v>2</v>
      </c>
      <c r="D696" t="inlineStr">
        <is>
          <t>Hub A</t>
        </is>
      </c>
      <c r="E696" t="n">
        <v>23</v>
      </c>
      <c r="F696" t="n">
        <v>19</v>
      </c>
    </row>
    <row r="697">
      <c r="A697" t="inlineStr">
        <is>
          <t>ORD00696</t>
        </is>
      </c>
      <c r="B697" t="inlineStr">
        <is>
          <t>C0696</t>
        </is>
      </c>
      <c r="C697" t="n">
        <v>3</v>
      </c>
      <c r="D697" t="inlineStr">
        <is>
          <t>Hub A</t>
        </is>
      </c>
      <c r="E697" t="n">
        <v>30</v>
      </c>
      <c r="F697" t="n">
        <v>19</v>
      </c>
    </row>
    <row r="698">
      <c r="A698" t="inlineStr">
        <is>
          <t>ORD00697</t>
        </is>
      </c>
      <c r="B698" t="inlineStr">
        <is>
          <t>C0697</t>
        </is>
      </c>
      <c r="C698" t="n">
        <v>1</v>
      </c>
      <c r="D698" t="inlineStr">
        <is>
          <t>Hub A</t>
        </is>
      </c>
      <c r="E698" t="n">
        <v>37</v>
      </c>
      <c r="F698" t="n">
        <v>19</v>
      </c>
    </row>
    <row r="699">
      <c r="A699" t="inlineStr">
        <is>
          <t>ORD00698</t>
        </is>
      </c>
      <c r="B699" t="inlineStr">
        <is>
          <t>C0698</t>
        </is>
      </c>
      <c r="C699" t="n">
        <v>2</v>
      </c>
      <c r="D699" t="inlineStr">
        <is>
          <t>Hub A</t>
        </is>
      </c>
      <c r="E699" t="n">
        <v>44</v>
      </c>
      <c r="F699" t="n">
        <v>19</v>
      </c>
    </row>
    <row r="700">
      <c r="A700" t="inlineStr">
        <is>
          <t>ORD00699</t>
        </is>
      </c>
      <c r="B700" t="inlineStr">
        <is>
          <t>C0699</t>
        </is>
      </c>
      <c r="C700" t="n">
        <v>3</v>
      </c>
      <c r="D700" t="inlineStr">
        <is>
          <t>Hub A</t>
        </is>
      </c>
      <c r="E700" t="n">
        <v>51</v>
      </c>
      <c r="F700" t="n">
        <v>19</v>
      </c>
    </row>
    <row r="701">
      <c r="A701" t="inlineStr">
        <is>
          <t>ORD00700</t>
        </is>
      </c>
      <c r="B701" t="inlineStr">
        <is>
          <t>C0700</t>
        </is>
      </c>
      <c r="C701" t="n">
        <v>1</v>
      </c>
      <c r="D701" t="inlineStr">
        <is>
          <t>Hub A</t>
        </is>
      </c>
      <c r="E701" t="n">
        <v>58</v>
      </c>
      <c r="F701" t="n">
        <v>19</v>
      </c>
    </row>
    <row r="702">
      <c r="A702" t="inlineStr">
        <is>
          <t>ORD00701</t>
        </is>
      </c>
      <c r="B702" t="inlineStr">
        <is>
          <t>C0701</t>
        </is>
      </c>
      <c r="C702" t="n">
        <v>2</v>
      </c>
      <c r="D702" t="inlineStr">
        <is>
          <t>Hub A</t>
        </is>
      </c>
      <c r="E702" t="n">
        <v>65</v>
      </c>
      <c r="F702" t="n">
        <v>19</v>
      </c>
    </row>
    <row r="703">
      <c r="A703" t="inlineStr">
        <is>
          <t>ORD00702</t>
        </is>
      </c>
      <c r="B703" t="inlineStr">
        <is>
          <t>C0702</t>
        </is>
      </c>
      <c r="C703" t="n">
        <v>3</v>
      </c>
      <c r="D703" t="inlineStr">
        <is>
          <t>Hub A</t>
        </is>
      </c>
      <c r="E703" t="n">
        <v>72</v>
      </c>
      <c r="F703" t="n">
        <v>19</v>
      </c>
    </row>
    <row r="704">
      <c r="A704" t="inlineStr">
        <is>
          <t>ORD00703</t>
        </is>
      </c>
      <c r="B704" t="inlineStr">
        <is>
          <t>C0703</t>
        </is>
      </c>
      <c r="C704" t="n">
        <v>1</v>
      </c>
      <c r="D704" t="inlineStr">
        <is>
          <t>Hub A</t>
        </is>
      </c>
      <c r="E704" t="n">
        <v>19</v>
      </c>
      <c r="F704" t="n">
        <v>19</v>
      </c>
    </row>
    <row r="705">
      <c r="A705" t="inlineStr">
        <is>
          <t>ORD00704</t>
        </is>
      </c>
      <c r="B705" t="inlineStr">
        <is>
          <t>C0704</t>
        </is>
      </c>
      <c r="C705" t="n">
        <v>2</v>
      </c>
      <c r="D705" t="inlineStr">
        <is>
          <t>Hub A</t>
        </is>
      </c>
      <c r="E705" t="n">
        <v>26</v>
      </c>
      <c r="F705" t="n">
        <v>19</v>
      </c>
    </row>
    <row r="706">
      <c r="A706" t="inlineStr">
        <is>
          <t>ORD00705</t>
        </is>
      </c>
      <c r="B706" t="inlineStr">
        <is>
          <t>C0705</t>
        </is>
      </c>
      <c r="C706" t="n">
        <v>3</v>
      </c>
      <c r="D706" t="inlineStr">
        <is>
          <t>Hub A</t>
        </is>
      </c>
      <c r="E706" t="n">
        <v>33</v>
      </c>
      <c r="F706" t="n">
        <v>19</v>
      </c>
    </row>
    <row r="707">
      <c r="A707" t="inlineStr">
        <is>
          <t>ORD00706</t>
        </is>
      </c>
      <c r="B707" t="inlineStr">
        <is>
          <t>C0706</t>
        </is>
      </c>
      <c r="C707" t="n">
        <v>1</v>
      </c>
      <c r="D707" t="inlineStr">
        <is>
          <t>Hub A</t>
        </is>
      </c>
      <c r="E707" t="n">
        <v>40</v>
      </c>
      <c r="F707" t="n">
        <v>19</v>
      </c>
    </row>
    <row r="708">
      <c r="A708" t="inlineStr">
        <is>
          <t>ORD00707</t>
        </is>
      </c>
      <c r="B708" t="inlineStr">
        <is>
          <t>C0707</t>
        </is>
      </c>
      <c r="C708" t="n">
        <v>2</v>
      </c>
      <c r="D708" t="inlineStr">
        <is>
          <t>Hub A</t>
        </is>
      </c>
      <c r="E708" t="n">
        <v>47</v>
      </c>
      <c r="F708" t="n">
        <v>19</v>
      </c>
    </row>
    <row r="709">
      <c r="A709" t="inlineStr">
        <is>
          <t>ORD00708</t>
        </is>
      </c>
      <c r="B709" t="inlineStr">
        <is>
          <t>C0708</t>
        </is>
      </c>
      <c r="C709" t="n">
        <v>3</v>
      </c>
      <c r="D709" t="inlineStr">
        <is>
          <t>Hub A</t>
        </is>
      </c>
      <c r="E709" t="n">
        <v>54</v>
      </c>
      <c r="F709" t="n">
        <v>19</v>
      </c>
    </row>
    <row r="710">
      <c r="A710" t="inlineStr">
        <is>
          <t>ORD00709</t>
        </is>
      </c>
      <c r="B710" t="inlineStr">
        <is>
          <t>C0709</t>
        </is>
      </c>
      <c r="C710" t="n">
        <v>1</v>
      </c>
      <c r="D710" t="inlineStr">
        <is>
          <t>Hub A</t>
        </is>
      </c>
      <c r="E710" t="n">
        <v>61</v>
      </c>
      <c r="F710" t="n">
        <v>19</v>
      </c>
    </row>
    <row r="711">
      <c r="A711" t="inlineStr">
        <is>
          <t>ORD00710</t>
        </is>
      </c>
      <c r="B711" t="inlineStr">
        <is>
          <t>C0710</t>
        </is>
      </c>
      <c r="C711" t="n">
        <v>2</v>
      </c>
      <c r="D711" t="inlineStr">
        <is>
          <t>Hub A</t>
        </is>
      </c>
      <c r="E711" t="n">
        <v>68</v>
      </c>
      <c r="F711" t="n">
        <v>19</v>
      </c>
    </row>
    <row r="712">
      <c r="A712" t="inlineStr">
        <is>
          <t>ORD00711</t>
        </is>
      </c>
      <c r="B712" t="inlineStr">
        <is>
          <t>C0711</t>
        </is>
      </c>
      <c r="C712" t="n">
        <v>3</v>
      </c>
      <c r="D712" t="inlineStr">
        <is>
          <t>Hub A</t>
        </is>
      </c>
      <c r="E712" t="n">
        <v>75</v>
      </c>
      <c r="F712" t="n">
        <v>19</v>
      </c>
    </row>
    <row r="713">
      <c r="A713" t="inlineStr">
        <is>
          <t>ORD00712</t>
        </is>
      </c>
      <c r="B713" t="inlineStr">
        <is>
          <t>C0712</t>
        </is>
      </c>
      <c r="C713" t="n">
        <v>1</v>
      </c>
      <c r="D713" t="inlineStr">
        <is>
          <t>Hub A</t>
        </is>
      </c>
      <c r="E713" t="n">
        <v>22</v>
      </c>
      <c r="F713" t="n">
        <v>19</v>
      </c>
    </row>
    <row r="714">
      <c r="A714" t="inlineStr">
        <is>
          <t>ORD00713</t>
        </is>
      </c>
      <c r="B714" t="inlineStr">
        <is>
          <t>C0713</t>
        </is>
      </c>
      <c r="C714" t="n">
        <v>2</v>
      </c>
      <c r="D714" t="inlineStr">
        <is>
          <t>Hub A</t>
        </is>
      </c>
      <c r="E714" t="n">
        <v>29</v>
      </c>
      <c r="F714" t="n">
        <v>19</v>
      </c>
    </row>
    <row r="715">
      <c r="A715" t="inlineStr">
        <is>
          <t>ORD00714</t>
        </is>
      </c>
      <c r="B715" t="inlineStr">
        <is>
          <t>C0714</t>
        </is>
      </c>
      <c r="C715" t="n">
        <v>3</v>
      </c>
      <c r="D715" t="inlineStr">
        <is>
          <t>Hub A</t>
        </is>
      </c>
      <c r="E715" t="n">
        <v>36</v>
      </c>
      <c r="F715" t="n">
        <v>19</v>
      </c>
    </row>
    <row r="716">
      <c r="A716" t="inlineStr">
        <is>
          <t>ORD00715</t>
        </is>
      </c>
      <c r="B716" t="inlineStr">
        <is>
          <t>C0715</t>
        </is>
      </c>
      <c r="C716" t="n">
        <v>1</v>
      </c>
      <c r="D716" t="inlineStr">
        <is>
          <t>Hub A</t>
        </is>
      </c>
      <c r="E716" t="n">
        <v>43</v>
      </c>
      <c r="F716" t="n">
        <v>19</v>
      </c>
    </row>
    <row r="717">
      <c r="A717" t="inlineStr">
        <is>
          <t>ORD00716</t>
        </is>
      </c>
      <c r="B717" t="inlineStr">
        <is>
          <t>C0716</t>
        </is>
      </c>
      <c r="C717" t="n">
        <v>2</v>
      </c>
      <c r="D717" t="inlineStr">
        <is>
          <t>Hub A</t>
        </is>
      </c>
      <c r="E717" t="n">
        <v>50</v>
      </c>
      <c r="F717" t="n">
        <v>19</v>
      </c>
    </row>
    <row r="718">
      <c r="A718" t="inlineStr">
        <is>
          <t>ORD00717</t>
        </is>
      </c>
      <c r="B718" t="inlineStr">
        <is>
          <t>C0717</t>
        </is>
      </c>
      <c r="C718" t="n">
        <v>3</v>
      </c>
      <c r="D718" t="inlineStr">
        <is>
          <t>Hub A</t>
        </is>
      </c>
      <c r="E718" t="n">
        <v>57</v>
      </c>
      <c r="F718" t="n">
        <v>19</v>
      </c>
    </row>
    <row r="719">
      <c r="A719" t="inlineStr">
        <is>
          <t>ORD00718</t>
        </is>
      </c>
      <c r="B719" t="inlineStr">
        <is>
          <t>C0718</t>
        </is>
      </c>
      <c r="C719" t="n">
        <v>1</v>
      </c>
      <c r="D719" t="inlineStr">
        <is>
          <t>Hub A</t>
        </is>
      </c>
      <c r="E719" t="n">
        <v>64</v>
      </c>
      <c r="F719" t="n">
        <v>19</v>
      </c>
    </row>
    <row r="720">
      <c r="A720" t="inlineStr">
        <is>
          <t>ORD00719</t>
        </is>
      </c>
      <c r="B720" t="inlineStr">
        <is>
          <t>C0719</t>
        </is>
      </c>
      <c r="C720" t="n">
        <v>2</v>
      </c>
      <c r="D720" t="inlineStr">
        <is>
          <t>Hub A</t>
        </is>
      </c>
      <c r="E720" t="n">
        <v>71</v>
      </c>
      <c r="F720" t="n">
        <v>19</v>
      </c>
    </row>
    <row r="721">
      <c r="A721" t="inlineStr">
        <is>
          <t>ORD00720</t>
        </is>
      </c>
      <c r="B721" t="inlineStr">
        <is>
          <t>C0720</t>
        </is>
      </c>
      <c r="C721" t="n">
        <v>3</v>
      </c>
      <c r="D721" t="inlineStr">
        <is>
          <t>Hub A</t>
        </is>
      </c>
      <c r="E721" t="n">
        <v>18</v>
      </c>
      <c r="F721" t="n">
        <v>19</v>
      </c>
    </row>
    <row r="722">
      <c r="A722" t="inlineStr">
        <is>
          <t>ORD00721</t>
        </is>
      </c>
      <c r="B722" t="inlineStr">
        <is>
          <t>C0721</t>
        </is>
      </c>
      <c r="C722" t="n">
        <v>1</v>
      </c>
      <c r="D722" t="inlineStr">
        <is>
          <t>Hub A</t>
        </is>
      </c>
      <c r="E722" t="n">
        <v>25</v>
      </c>
      <c r="F722" t="n">
        <v>19</v>
      </c>
    </row>
    <row r="723">
      <c r="A723" t="inlineStr">
        <is>
          <t>ORD00722</t>
        </is>
      </c>
      <c r="B723" t="inlineStr">
        <is>
          <t>C0722</t>
        </is>
      </c>
      <c r="C723" t="n">
        <v>2</v>
      </c>
      <c r="D723" t="inlineStr">
        <is>
          <t>Hub A</t>
        </is>
      </c>
      <c r="E723" t="n">
        <v>32</v>
      </c>
      <c r="F723" t="n">
        <v>19</v>
      </c>
    </row>
    <row r="724">
      <c r="A724" t="inlineStr">
        <is>
          <t>ORD00723</t>
        </is>
      </c>
      <c r="B724" t="inlineStr">
        <is>
          <t>C0723</t>
        </is>
      </c>
      <c r="C724" t="n">
        <v>3</v>
      </c>
      <c r="D724" t="inlineStr">
        <is>
          <t>Hub A</t>
        </is>
      </c>
      <c r="E724" t="n">
        <v>39</v>
      </c>
      <c r="F724" t="n">
        <v>19</v>
      </c>
    </row>
    <row r="725">
      <c r="A725" t="inlineStr">
        <is>
          <t>ORD00724</t>
        </is>
      </c>
      <c r="B725" t="inlineStr">
        <is>
          <t>C0724</t>
        </is>
      </c>
      <c r="C725" t="n">
        <v>1</v>
      </c>
      <c r="D725" t="inlineStr">
        <is>
          <t>Hub A</t>
        </is>
      </c>
      <c r="E725" t="n">
        <v>46</v>
      </c>
      <c r="F725" t="n">
        <v>19</v>
      </c>
    </row>
    <row r="726">
      <c r="A726" t="inlineStr">
        <is>
          <t>ORD00725</t>
        </is>
      </c>
      <c r="B726" t="inlineStr">
        <is>
          <t>C0725</t>
        </is>
      </c>
      <c r="C726" t="n">
        <v>2</v>
      </c>
      <c r="D726" t="inlineStr">
        <is>
          <t>Hub A</t>
        </is>
      </c>
      <c r="E726" t="n">
        <v>53</v>
      </c>
      <c r="F726" t="n">
        <v>19</v>
      </c>
    </row>
    <row r="727">
      <c r="A727" t="inlineStr">
        <is>
          <t>ORD00726</t>
        </is>
      </c>
      <c r="B727" t="inlineStr">
        <is>
          <t>C0726</t>
        </is>
      </c>
      <c r="C727" t="n">
        <v>3</v>
      </c>
      <c r="D727" t="inlineStr">
        <is>
          <t>Hub A</t>
        </is>
      </c>
      <c r="E727" t="n">
        <v>60</v>
      </c>
      <c r="F727" t="n">
        <v>19</v>
      </c>
    </row>
    <row r="728">
      <c r="A728" t="inlineStr">
        <is>
          <t>ORD00727</t>
        </is>
      </c>
      <c r="B728" t="inlineStr">
        <is>
          <t>C0727</t>
        </is>
      </c>
      <c r="C728" t="n">
        <v>1</v>
      </c>
      <c r="D728" t="inlineStr">
        <is>
          <t>Hub A</t>
        </is>
      </c>
      <c r="E728" t="n">
        <v>67</v>
      </c>
      <c r="F728" t="n">
        <v>19</v>
      </c>
    </row>
    <row r="729">
      <c r="A729" t="inlineStr">
        <is>
          <t>ORD00728</t>
        </is>
      </c>
      <c r="B729" t="inlineStr">
        <is>
          <t>C0728</t>
        </is>
      </c>
      <c r="C729" t="n">
        <v>2</v>
      </c>
      <c r="D729" t="inlineStr">
        <is>
          <t>Hub A</t>
        </is>
      </c>
      <c r="E729" t="n">
        <v>74</v>
      </c>
      <c r="F729" t="n">
        <v>19</v>
      </c>
    </row>
    <row r="730">
      <c r="A730" t="inlineStr">
        <is>
          <t>ORD00729</t>
        </is>
      </c>
      <c r="B730" t="inlineStr">
        <is>
          <t>C0729</t>
        </is>
      </c>
      <c r="C730" t="n">
        <v>3</v>
      </c>
      <c r="D730" t="inlineStr">
        <is>
          <t>Hub A</t>
        </is>
      </c>
      <c r="E730" t="n">
        <v>21</v>
      </c>
      <c r="F730" t="n">
        <v>19</v>
      </c>
    </row>
    <row r="731">
      <c r="A731" t="inlineStr">
        <is>
          <t>ORD00730</t>
        </is>
      </c>
      <c r="B731" t="inlineStr">
        <is>
          <t>C0730</t>
        </is>
      </c>
      <c r="C731" t="n">
        <v>1</v>
      </c>
      <c r="D731" t="inlineStr">
        <is>
          <t>Hub A</t>
        </is>
      </c>
      <c r="E731" t="n">
        <v>28</v>
      </c>
      <c r="F731" t="n">
        <v>19</v>
      </c>
    </row>
    <row r="732">
      <c r="A732" t="inlineStr">
        <is>
          <t>ORD00731</t>
        </is>
      </c>
      <c r="B732" t="inlineStr">
        <is>
          <t>C0731</t>
        </is>
      </c>
      <c r="C732" t="n">
        <v>2</v>
      </c>
      <c r="D732" t="inlineStr">
        <is>
          <t>Hub A</t>
        </is>
      </c>
      <c r="E732" t="n">
        <v>35</v>
      </c>
      <c r="F732" t="n">
        <v>19</v>
      </c>
    </row>
    <row r="733">
      <c r="A733" t="inlineStr">
        <is>
          <t>ORD00732</t>
        </is>
      </c>
      <c r="B733" t="inlineStr">
        <is>
          <t>C0732</t>
        </is>
      </c>
      <c r="C733" t="n">
        <v>3</v>
      </c>
      <c r="D733" t="inlineStr">
        <is>
          <t>Hub A</t>
        </is>
      </c>
      <c r="E733" t="n">
        <v>42</v>
      </c>
      <c r="F733" t="n">
        <v>19</v>
      </c>
    </row>
    <row r="734">
      <c r="A734" t="inlineStr">
        <is>
          <t>ORD00733</t>
        </is>
      </c>
      <c r="B734" t="inlineStr">
        <is>
          <t>C0733</t>
        </is>
      </c>
      <c r="C734" t="n">
        <v>1</v>
      </c>
      <c r="D734" t="inlineStr">
        <is>
          <t>Hub A</t>
        </is>
      </c>
      <c r="E734" t="n">
        <v>49</v>
      </c>
      <c r="F734" t="n">
        <v>19</v>
      </c>
    </row>
    <row r="735">
      <c r="A735" t="inlineStr">
        <is>
          <t>ORD00734</t>
        </is>
      </c>
      <c r="B735" t="inlineStr">
        <is>
          <t>C0734</t>
        </is>
      </c>
      <c r="C735" t="n">
        <v>2</v>
      </c>
      <c r="D735" t="inlineStr">
        <is>
          <t>Hub A</t>
        </is>
      </c>
      <c r="E735" t="n">
        <v>56</v>
      </c>
      <c r="F735" t="n">
        <v>19</v>
      </c>
    </row>
    <row r="736">
      <c r="A736" t="inlineStr">
        <is>
          <t>ORD00735</t>
        </is>
      </c>
      <c r="B736" t="inlineStr">
        <is>
          <t>C0735</t>
        </is>
      </c>
      <c r="C736" t="n">
        <v>3</v>
      </c>
      <c r="D736" t="inlineStr">
        <is>
          <t>Hub A</t>
        </is>
      </c>
      <c r="E736" t="n">
        <v>63</v>
      </c>
      <c r="F736" t="n">
        <v>19</v>
      </c>
    </row>
    <row r="737">
      <c r="A737" t="inlineStr">
        <is>
          <t>ORD00736</t>
        </is>
      </c>
      <c r="B737" t="inlineStr">
        <is>
          <t>C0736</t>
        </is>
      </c>
      <c r="C737" t="n">
        <v>1</v>
      </c>
      <c r="D737" t="inlineStr">
        <is>
          <t>Hub A</t>
        </is>
      </c>
      <c r="E737" t="n">
        <v>70</v>
      </c>
      <c r="F737" t="n">
        <v>19</v>
      </c>
    </row>
    <row r="738">
      <c r="A738" t="inlineStr">
        <is>
          <t>ORD00737</t>
        </is>
      </c>
      <c r="B738" t="inlineStr">
        <is>
          <t>C0737</t>
        </is>
      </c>
      <c r="C738" t="n">
        <v>2</v>
      </c>
      <c r="D738" t="inlineStr">
        <is>
          <t>Hub A</t>
        </is>
      </c>
      <c r="E738" t="n">
        <v>77</v>
      </c>
      <c r="F738" t="n">
        <v>19</v>
      </c>
    </row>
    <row r="739">
      <c r="A739" t="inlineStr">
        <is>
          <t>ORD00738</t>
        </is>
      </c>
      <c r="B739" t="inlineStr">
        <is>
          <t>C0738</t>
        </is>
      </c>
      <c r="C739" t="n">
        <v>3</v>
      </c>
      <c r="D739" t="inlineStr">
        <is>
          <t>Hub A</t>
        </is>
      </c>
      <c r="E739" t="n">
        <v>24</v>
      </c>
      <c r="F739" t="n">
        <v>19</v>
      </c>
    </row>
    <row r="740">
      <c r="A740" t="inlineStr">
        <is>
          <t>ORD00739</t>
        </is>
      </c>
      <c r="B740" t="inlineStr">
        <is>
          <t>C0739</t>
        </is>
      </c>
      <c r="C740" t="n">
        <v>1</v>
      </c>
      <c r="D740" t="inlineStr">
        <is>
          <t>Hub A</t>
        </is>
      </c>
      <c r="E740" t="n">
        <v>31</v>
      </c>
      <c r="F740" t="n">
        <v>19</v>
      </c>
    </row>
    <row r="741">
      <c r="A741" t="inlineStr">
        <is>
          <t>ORD00740</t>
        </is>
      </c>
      <c r="B741" t="inlineStr">
        <is>
          <t>C0740</t>
        </is>
      </c>
      <c r="C741" t="n">
        <v>2</v>
      </c>
      <c r="D741" t="inlineStr">
        <is>
          <t>Hub A</t>
        </is>
      </c>
      <c r="E741" t="n">
        <v>38</v>
      </c>
      <c r="F741" t="n">
        <v>19</v>
      </c>
    </row>
    <row r="742">
      <c r="A742" t="inlineStr">
        <is>
          <t>ORD00741</t>
        </is>
      </c>
      <c r="B742" t="inlineStr">
        <is>
          <t>C0741</t>
        </is>
      </c>
      <c r="C742" t="n">
        <v>3</v>
      </c>
      <c r="D742" t="inlineStr">
        <is>
          <t>Hub A</t>
        </is>
      </c>
      <c r="E742" t="n">
        <v>45</v>
      </c>
      <c r="F742" t="n">
        <v>19</v>
      </c>
    </row>
    <row r="743">
      <c r="A743" t="inlineStr">
        <is>
          <t>ORD00742</t>
        </is>
      </c>
      <c r="B743" t="inlineStr">
        <is>
          <t>C0742</t>
        </is>
      </c>
      <c r="C743" t="n">
        <v>1</v>
      </c>
      <c r="D743" t="inlineStr">
        <is>
          <t>Hub A</t>
        </is>
      </c>
      <c r="E743" t="n">
        <v>52</v>
      </c>
      <c r="F743" t="n">
        <v>19</v>
      </c>
    </row>
    <row r="744">
      <c r="A744" t="inlineStr">
        <is>
          <t>ORD00743</t>
        </is>
      </c>
      <c r="B744" t="inlineStr">
        <is>
          <t>C0743</t>
        </is>
      </c>
      <c r="C744" t="n">
        <v>2</v>
      </c>
      <c r="D744" t="inlineStr">
        <is>
          <t>Hub A</t>
        </is>
      </c>
      <c r="E744" t="n">
        <v>59</v>
      </c>
      <c r="F744" t="n">
        <v>19</v>
      </c>
    </row>
    <row r="745">
      <c r="A745" t="inlineStr">
        <is>
          <t>ORD00744</t>
        </is>
      </c>
      <c r="B745" t="inlineStr">
        <is>
          <t>C0744</t>
        </is>
      </c>
      <c r="C745" t="n">
        <v>3</v>
      </c>
      <c r="D745" t="inlineStr">
        <is>
          <t>Hub A</t>
        </is>
      </c>
      <c r="E745" t="n">
        <v>66</v>
      </c>
      <c r="F745" t="n">
        <v>19</v>
      </c>
    </row>
    <row r="746">
      <c r="A746" t="inlineStr">
        <is>
          <t>ORD00745</t>
        </is>
      </c>
      <c r="B746" t="inlineStr">
        <is>
          <t>C0745</t>
        </is>
      </c>
      <c r="C746" t="n">
        <v>1</v>
      </c>
      <c r="D746" t="inlineStr">
        <is>
          <t>Hub A</t>
        </is>
      </c>
      <c r="E746" t="n">
        <v>73</v>
      </c>
      <c r="F746" t="n">
        <v>19</v>
      </c>
    </row>
    <row r="747">
      <c r="A747" t="inlineStr">
        <is>
          <t>ORD00746</t>
        </is>
      </c>
      <c r="B747" t="inlineStr">
        <is>
          <t>C0746</t>
        </is>
      </c>
      <c r="C747" t="n">
        <v>2</v>
      </c>
      <c r="D747" t="inlineStr">
        <is>
          <t>Hub A</t>
        </is>
      </c>
      <c r="E747" t="n">
        <v>20</v>
      </c>
      <c r="F747" t="n">
        <v>19</v>
      </c>
    </row>
    <row r="748">
      <c r="A748" t="inlineStr">
        <is>
          <t>ORD00747</t>
        </is>
      </c>
      <c r="B748" t="inlineStr">
        <is>
          <t>C0747</t>
        </is>
      </c>
      <c r="C748" t="n">
        <v>3</v>
      </c>
      <c r="D748" t="inlineStr">
        <is>
          <t>Hub A</t>
        </is>
      </c>
      <c r="E748" t="n">
        <v>27</v>
      </c>
      <c r="F748" t="n">
        <v>19</v>
      </c>
    </row>
    <row r="749">
      <c r="A749" t="inlineStr">
        <is>
          <t>ORD00748</t>
        </is>
      </c>
      <c r="B749" t="inlineStr">
        <is>
          <t>C0748</t>
        </is>
      </c>
      <c r="C749" t="n">
        <v>1</v>
      </c>
      <c r="D749" t="inlineStr">
        <is>
          <t>Hub A</t>
        </is>
      </c>
      <c r="E749" t="n">
        <v>34</v>
      </c>
      <c r="F749" t="n">
        <v>19</v>
      </c>
    </row>
    <row r="750">
      <c r="A750" t="inlineStr">
        <is>
          <t>ORD00749</t>
        </is>
      </c>
      <c r="B750" t="inlineStr">
        <is>
          <t>C0749</t>
        </is>
      </c>
      <c r="C750" t="n">
        <v>2</v>
      </c>
      <c r="D750" t="inlineStr">
        <is>
          <t>Hub A</t>
        </is>
      </c>
      <c r="E750" t="n">
        <v>41</v>
      </c>
      <c r="F750" t="n">
        <v>19</v>
      </c>
    </row>
    <row r="751">
      <c r="A751" t="inlineStr">
        <is>
          <t>ORD00750</t>
        </is>
      </c>
      <c r="B751" t="inlineStr">
        <is>
          <t>C0750</t>
        </is>
      </c>
      <c r="C751" t="n">
        <v>3</v>
      </c>
      <c r="D751" t="inlineStr">
        <is>
          <t>Hub A</t>
        </is>
      </c>
      <c r="E751" t="n">
        <v>48</v>
      </c>
      <c r="F751" t="n">
        <v>19</v>
      </c>
    </row>
    <row r="752">
      <c r="A752" t="inlineStr">
        <is>
          <t>ORD00751</t>
        </is>
      </c>
      <c r="B752" t="inlineStr">
        <is>
          <t>C0751</t>
        </is>
      </c>
      <c r="C752" t="n">
        <v>1</v>
      </c>
      <c r="D752" t="inlineStr">
        <is>
          <t>Hub A</t>
        </is>
      </c>
      <c r="E752" t="n">
        <v>55</v>
      </c>
      <c r="F752" t="n">
        <v>19</v>
      </c>
    </row>
    <row r="753">
      <c r="A753" t="inlineStr">
        <is>
          <t>ORD00752</t>
        </is>
      </c>
      <c r="B753" t="inlineStr">
        <is>
          <t>C0752</t>
        </is>
      </c>
      <c r="C753" t="n">
        <v>2</v>
      </c>
      <c r="D753" t="inlineStr">
        <is>
          <t>Hub A</t>
        </is>
      </c>
      <c r="E753" t="n">
        <v>62</v>
      </c>
      <c r="F753" t="n">
        <v>19</v>
      </c>
    </row>
    <row r="754">
      <c r="A754" t="inlineStr">
        <is>
          <t>ORD00753</t>
        </is>
      </c>
      <c r="B754" t="inlineStr">
        <is>
          <t>C0753</t>
        </is>
      </c>
      <c r="C754" t="n">
        <v>3</v>
      </c>
      <c r="D754" t="inlineStr">
        <is>
          <t>Hub A</t>
        </is>
      </c>
      <c r="E754" t="n">
        <v>69</v>
      </c>
      <c r="F754" t="n">
        <v>19</v>
      </c>
    </row>
    <row r="755">
      <c r="A755" t="inlineStr">
        <is>
          <t>ORD00754</t>
        </is>
      </c>
      <c r="B755" t="inlineStr">
        <is>
          <t>C0754</t>
        </is>
      </c>
      <c r="C755" t="n">
        <v>1</v>
      </c>
      <c r="D755" t="inlineStr">
        <is>
          <t>Hub A</t>
        </is>
      </c>
      <c r="E755" t="n">
        <v>76</v>
      </c>
      <c r="F755" t="n">
        <v>19</v>
      </c>
    </row>
    <row r="756">
      <c r="A756" t="inlineStr">
        <is>
          <t>ORD00755</t>
        </is>
      </c>
      <c r="B756" t="inlineStr">
        <is>
          <t>C0755</t>
        </is>
      </c>
      <c r="C756" t="n">
        <v>2</v>
      </c>
      <c r="D756" t="inlineStr">
        <is>
          <t>Hub A</t>
        </is>
      </c>
      <c r="E756" t="n">
        <v>23</v>
      </c>
      <c r="F756" t="n">
        <v>19</v>
      </c>
    </row>
    <row r="757">
      <c r="A757" t="inlineStr">
        <is>
          <t>ORD00756</t>
        </is>
      </c>
      <c r="B757" t="inlineStr">
        <is>
          <t>C0756</t>
        </is>
      </c>
      <c r="C757" t="n">
        <v>3</v>
      </c>
      <c r="D757" t="inlineStr">
        <is>
          <t>Hub A</t>
        </is>
      </c>
      <c r="E757" t="n">
        <v>30</v>
      </c>
      <c r="F757" t="n">
        <v>19</v>
      </c>
    </row>
    <row r="758">
      <c r="A758" t="inlineStr">
        <is>
          <t>ORD00757</t>
        </is>
      </c>
      <c r="B758" t="inlineStr">
        <is>
          <t>C0757</t>
        </is>
      </c>
      <c r="C758" t="n">
        <v>1</v>
      </c>
      <c r="D758" t="inlineStr">
        <is>
          <t>Hub A</t>
        </is>
      </c>
      <c r="E758" t="n">
        <v>37</v>
      </c>
      <c r="F758" t="n">
        <v>19</v>
      </c>
    </row>
    <row r="759">
      <c r="A759" t="inlineStr">
        <is>
          <t>ORD00758</t>
        </is>
      </c>
      <c r="B759" t="inlineStr">
        <is>
          <t>C0758</t>
        </is>
      </c>
      <c r="C759" t="n">
        <v>2</v>
      </c>
      <c r="D759" t="inlineStr">
        <is>
          <t>Hub A</t>
        </is>
      </c>
      <c r="E759" t="n">
        <v>44</v>
      </c>
      <c r="F759" t="n">
        <v>19</v>
      </c>
    </row>
    <row r="760">
      <c r="A760" t="inlineStr">
        <is>
          <t>ORD00759</t>
        </is>
      </c>
      <c r="B760" t="inlineStr">
        <is>
          <t>C0759</t>
        </is>
      </c>
      <c r="C760" t="n">
        <v>3</v>
      </c>
      <c r="D760" t="inlineStr">
        <is>
          <t>Hub A</t>
        </is>
      </c>
      <c r="E760" t="n">
        <v>51</v>
      </c>
      <c r="F760" t="n">
        <v>19</v>
      </c>
    </row>
    <row r="761">
      <c r="A761" t="inlineStr">
        <is>
          <t>ORD00760</t>
        </is>
      </c>
      <c r="B761" t="inlineStr">
        <is>
          <t>C0760</t>
        </is>
      </c>
      <c r="C761" t="n">
        <v>1</v>
      </c>
      <c r="D761" t="inlineStr">
        <is>
          <t>Hub A</t>
        </is>
      </c>
      <c r="E761" t="n">
        <v>58</v>
      </c>
      <c r="F761" t="n">
        <v>19</v>
      </c>
    </row>
    <row r="762">
      <c r="A762" t="inlineStr">
        <is>
          <t>ORD00761</t>
        </is>
      </c>
      <c r="B762" t="inlineStr">
        <is>
          <t>C0761</t>
        </is>
      </c>
      <c r="C762" t="n">
        <v>2</v>
      </c>
      <c r="D762" t="inlineStr">
        <is>
          <t>Hub A</t>
        </is>
      </c>
      <c r="E762" t="n">
        <v>65</v>
      </c>
      <c r="F762" t="n">
        <v>19</v>
      </c>
    </row>
    <row r="763">
      <c r="A763" t="inlineStr">
        <is>
          <t>ORD00762</t>
        </is>
      </c>
      <c r="B763" t="inlineStr">
        <is>
          <t>C0762</t>
        </is>
      </c>
      <c r="C763" t="n">
        <v>3</v>
      </c>
      <c r="D763" t="inlineStr">
        <is>
          <t>Hub A</t>
        </is>
      </c>
      <c r="E763" t="n">
        <v>72</v>
      </c>
      <c r="F763" t="n">
        <v>19</v>
      </c>
    </row>
    <row r="764">
      <c r="A764" t="inlineStr">
        <is>
          <t>ORD00763</t>
        </is>
      </c>
      <c r="B764" t="inlineStr">
        <is>
          <t>C0763</t>
        </is>
      </c>
      <c r="C764" t="n">
        <v>1</v>
      </c>
      <c r="D764" t="inlineStr">
        <is>
          <t>Hub A</t>
        </is>
      </c>
      <c r="E764" t="n">
        <v>19</v>
      </c>
      <c r="F764" t="n">
        <v>19</v>
      </c>
    </row>
    <row r="765">
      <c r="A765" t="inlineStr">
        <is>
          <t>ORD00764</t>
        </is>
      </c>
      <c r="B765" t="inlineStr">
        <is>
          <t>C0764</t>
        </is>
      </c>
      <c r="C765" t="n">
        <v>2</v>
      </c>
      <c r="D765" t="inlineStr">
        <is>
          <t>Hub A</t>
        </is>
      </c>
      <c r="E765" t="n">
        <v>26</v>
      </c>
      <c r="F765" t="n">
        <v>19</v>
      </c>
    </row>
    <row r="766">
      <c r="A766" t="inlineStr">
        <is>
          <t>ORD00765</t>
        </is>
      </c>
      <c r="B766" t="inlineStr">
        <is>
          <t>C0765</t>
        </is>
      </c>
      <c r="C766" t="n">
        <v>3</v>
      </c>
      <c r="D766" t="inlineStr">
        <is>
          <t>Hub A</t>
        </is>
      </c>
      <c r="E766" t="n">
        <v>33</v>
      </c>
      <c r="F766" t="n">
        <v>19</v>
      </c>
    </row>
    <row r="767">
      <c r="A767" t="inlineStr">
        <is>
          <t>ORD00766</t>
        </is>
      </c>
      <c r="B767" t="inlineStr">
        <is>
          <t>C0766</t>
        </is>
      </c>
      <c r="C767" t="n">
        <v>1</v>
      </c>
      <c r="D767" t="inlineStr">
        <is>
          <t>Hub A</t>
        </is>
      </c>
      <c r="E767" t="n">
        <v>40</v>
      </c>
      <c r="F767" t="n">
        <v>19</v>
      </c>
    </row>
    <row r="768">
      <c r="A768" t="inlineStr">
        <is>
          <t>ORD00767</t>
        </is>
      </c>
      <c r="B768" t="inlineStr">
        <is>
          <t>C0767</t>
        </is>
      </c>
      <c r="C768" t="n">
        <v>2</v>
      </c>
      <c r="D768" t="inlineStr">
        <is>
          <t>Hub A</t>
        </is>
      </c>
      <c r="E768" t="n">
        <v>47</v>
      </c>
      <c r="F768" t="n">
        <v>19</v>
      </c>
    </row>
    <row r="769">
      <c r="A769" t="inlineStr">
        <is>
          <t>ORD00768</t>
        </is>
      </c>
      <c r="B769" t="inlineStr">
        <is>
          <t>C0768</t>
        </is>
      </c>
      <c r="C769" t="n">
        <v>3</v>
      </c>
      <c r="D769" t="inlineStr">
        <is>
          <t>Hub A</t>
        </is>
      </c>
      <c r="E769" t="n">
        <v>54</v>
      </c>
      <c r="F769" t="n">
        <v>19</v>
      </c>
    </row>
    <row r="770">
      <c r="A770" t="inlineStr">
        <is>
          <t>ORD00769</t>
        </is>
      </c>
      <c r="B770" t="inlineStr">
        <is>
          <t>C0769</t>
        </is>
      </c>
      <c r="C770" t="n">
        <v>1</v>
      </c>
      <c r="D770" t="inlineStr">
        <is>
          <t>Hub A</t>
        </is>
      </c>
      <c r="E770" t="n">
        <v>61</v>
      </c>
      <c r="F770" t="n">
        <v>19</v>
      </c>
    </row>
    <row r="771">
      <c r="A771" t="inlineStr">
        <is>
          <t>ORD00770</t>
        </is>
      </c>
      <c r="B771" t="inlineStr">
        <is>
          <t>C0770</t>
        </is>
      </c>
      <c r="C771" t="n">
        <v>2</v>
      </c>
      <c r="D771" t="inlineStr">
        <is>
          <t>Hub A</t>
        </is>
      </c>
      <c r="E771" t="n">
        <v>68</v>
      </c>
      <c r="F771" t="n">
        <v>19</v>
      </c>
    </row>
    <row r="772">
      <c r="A772" t="inlineStr">
        <is>
          <t>ORD00771</t>
        </is>
      </c>
      <c r="B772" t="inlineStr">
        <is>
          <t>C0771</t>
        </is>
      </c>
      <c r="C772" t="n">
        <v>3</v>
      </c>
      <c r="D772" t="inlineStr">
        <is>
          <t>Hub A</t>
        </is>
      </c>
      <c r="E772" t="n">
        <v>75</v>
      </c>
      <c r="F772" t="n">
        <v>19</v>
      </c>
    </row>
    <row r="773">
      <c r="A773" t="inlineStr">
        <is>
          <t>ORD00772</t>
        </is>
      </c>
      <c r="B773" t="inlineStr">
        <is>
          <t>C0772</t>
        </is>
      </c>
      <c r="C773" t="n">
        <v>1</v>
      </c>
      <c r="D773" t="inlineStr">
        <is>
          <t>Hub A</t>
        </is>
      </c>
      <c r="E773" t="n">
        <v>22</v>
      </c>
      <c r="F773" t="n">
        <v>19</v>
      </c>
    </row>
    <row r="774">
      <c r="A774" t="inlineStr">
        <is>
          <t>ORD00773</t>
        </is>
      </c>
      <c r="B774" t="inlineStr">
        <is>
          <t>C0773</t>
        </is>
      </c>
      <c r="C774" t="n">
        <v>2</v>
      </c>
      <c r="D774" t="inlineStr">
        <is>
          <t>Hub A</t>
        </is>
      </c>
      <c r="E774" t="n">
        <v>29</v>
      </c>
      <c r="F774" t="n">
        <v>19</v>
      </c>
    </row>
    <row r="775">
      <c r="A775" t="inlineStr">
        <is>
          <t>ORD00774</t>
        </is>
      </c>
      <c r="B775" t="inlineStr">
        <is>
          <t>C0774</t>
        </is>
      </c>
      <c r="C775" t="n">
        <v>3</v>
      </c>
      <c r="D775" t="inlineStr">
        <is>
          <t>Hub A</t>
        </is>
      </c>
      <c r="E775" t="n">
        <v>36</v>
      </c>
      <c r="F775" t="n">
        <v>19</v>
      </c>
    </row>
    <row r="776">
      <c r="A776" t="inlineStr">
        <is>
          <t>ORD00775</t>
        </is>
      </c>
      <c r="B776" t="inlineStr">
        <is>
          <t>C0775</t>
        </is>
      </c>
      <c r="C776" t="n">
        <v>1</v>
      </c>
      <c r="D776" t="inlineStr">
        <is>
          <t>Hub A</t>
        </is>
      </c>
      <c r="E776" t="n">
        <v>43</v>
      </c>
      <c r="F776" t="n">
        <v>19</v>
      </c>
    </row>
    <row r="777">
      <c r="A777" t="inlineStr">
        <is>
          <t>ORD00776</t>
        </is>
      </c>
      <c r="B777" t="inlineStr">
        <is>
          <t>C0776</t>
        </is>
      </c>
      <c r="C777" t="n">
        <v>2</v>
      </c>
      <c r="D777" t="inlineStr">
        <is>
          <t>Hub A</t>
        </is>
      </c>
      <c r="E777" t="n">
        <v>50</v>
      </c>
      <c r="F777" t="n">
        <v>19</v>
      </c>
    </row>
    <row r="778">
      <c r="A778" t="inlineStr">
        <is>
          <t>ORD00777</t>
        </is>
      </c>
      <c r="B778" t="inlineStr">
        <is>
          <t>C0777</t>
        </is>
      </c>
      <c r="C778" t="n">
        <v>3</v>
      </c>
      <c r="D778" t="inlineStr">
        <is>
          <t>Hub A</t>
        </is>
      </c>
      <c r="E778" t="n">
        <v>57</v>
      </c>
      <c r="F778" t="n">
        <v>19</v>
      </c>
    </row>
    <row r="779">
      <c r="A779" t="inlineStr">
        <is>
          <t>ORD00778</t>
        </is>
      </c>
      <c r="B779" t="inlineStr">
        <is>
          <t>C0778</t>
        </is>
      </c>
      <c r="C779" t="n">
        <v>1</v>
      </c>
      <c r="D779" t="inlineStr">
        <is>
          <t>Hub A</t>
        </is>
      </c>
      <c r="E779" t="n">
        <v>64</v>
      </c>
      <c r="F779" t="n">
        <v>19</v>
      </c>
    </row>
    <row r="780">
      <c r="A780" t="inlineStr">
        <is>
          <t>ORD00779</t>
        </is>
      </c>
      <c r="B780" t="inlineStr">
        <is>
          <t>C0779</t>
        </is>
      </c>
      <c r="C780" t="n">
        <v>2</v>
      </c>
      <c r="D780" t="inlineStr">
        <is>
          <t>Hub A</t>
        </is>
      </c>
      <c r="E780" t="n">
        <v>71</v>
      </c>
      <c r="F780" t="n">
        <v>19</v>
      </c>
    </row>
    <row r="781">
      <c r="A781" t="inlineStr">
        <is>
          <t>ORD00780</t>
        </is>
      </c>
      <c r="B781" t="inlineStr">
        <is>
          <t>C0780</t>
        </is>
      </c>
      <c r="C781" t="n">
        <v>3</v>
      </c>
      <c r="D781" t="inlineStr">
        <is>
          <t>Hub A</t>
        </is>
      </c>
      <c r="E781" t="n">
        <v>18</v>
      </c>
      <c r="F781" t="n">
        <v>19</v>
      </c>
    </row>
    <row r="782">
      <c r="A782" t="inlineStr">
        <is>
          <t>ORD00781</t>
        </is>
      </c>
      <c r="B782" t="inlineStr">
        <is>
          <t>C0781</t>
        </is>
      </c>
      <c r="C782" t="n">
        <v>1</v>
      </c>
      <c r="D782" t="inlineStr">
        <is>
          <t>Hub A</t>
        </is>
      </c>
      <c r="E782" t="n">
        <v>25</v>
      </c>
      <c r="F782" t="n">
        <v>19</v>
      </c>
    </row>
    <row r="783">
      <c r="A783" t="inlineStr">
        <is>
          <t>ORD00782</t>
        </is>
      </c>
      <c r="B783" t="inlineStr">
        <is>
          <t>C0782</t>
        </is>
      </c>
      <c r="C783" t="n">
        <v>2</v>
      </c>
      <c r="D783" t="inlineStr">
        <is>
          <t>Hub A</t>
        </is>
      </c>
      <c r="E783" t="n">
        <v>32</v>
      </c>
      <c r="F783" t="n">
        <v>19</v>
      </c>
    </row>
    <row r="784">
      <c r="A784" t="inlineStr">
        <is>
          <t>ORD00783</t>
        </is>
      </c>
      <c r="B784" t="inlineStr">
        <is>
          <t>C0783</t>
        </is>
      </c>
      <c r="C784" t="n">
        <v>3</v>
      </c>
      <c r="D784" t="inlineStr">
        <is>
          <t>Hub A</t>
        </is>
      </c>
      <c r="E784" t="n">
        <v>39</v>
      </c>
      <c r="F784" t="n">
        <v>19</v>
      </c>
    </row>
    <row r="785">
      <c r="A785" t="inlineStr">
        <is>
          <t>ORD00784</t>
        </is>
      </c>
      <c r="B785" t="inlineStr">
        <is>
          <t>C0784</t>
        </is>
      </c>
      <c r="C785" t="n">
        <v>1</v>
      </c>
      <c r="D785" t="inlineStr">
        <is>
          <t>Hub A</t>
        </is>
      </c>
      <c r="E785" t="n">
        <v>46</v>
      </c>
      <c r="F785" t="n">
        <v>19</v>
      </c>
    </row>
    <row r="786">
      <c r="A786" t="inlineStr">
        <is>
          <t>ORD00785</t>
        </is>
      </c>
      <c r="B786" t="inlineStr">
        <is>
          <t>C0785</t>
        </is>
      </c>
      <c r="C786" t="n">
        <v>2</v>
      </c>
      <c r="D786" t="inlineStr">
        <is>
          <t>Hub A</t>
        </is>
      </c>
      <c r="E786" t="n">
        <v>53</v>
      </c>
      <c r="F786" t="n">
        <v>19</v>
      </c>
    </row>
    <row r="787">
      <c r="A787" t="inlineStr">
        <is>
          <t>ORD00786</t>
        </is>
      </c>
      <c r="B787" t="inlineStr">
        <is>
          <t>C0786</t>
        </is>
      </c>
      <c r="C787" t="n">
        <v>3</v>
      </c>
      <c r="D787" t="inlineStr">
        <is>
          <t>Hub A</t>
        </is>
      </c>
      <c r="E787" t="n">
        <v>60</v>
      </c>
      <c r="F787" t="n">
        <v>19</v>
      </c>
    </row>
    <row r="788">
      <c r="A788" t="inlineStr">
        <is>
          <t>ORD00787</t>
        </is>
      </c>
      <c r="B788" t="inlineStr">
        <is>
          <t>C0787</t>
        </is>
      </c>
      <c r="C788" t="n">
        <v>1</v>
      </c>
      <c r="D788" t="inlineStr">
        <is>
          <t>Hub A</t>
        </is>
      </c>
      <c r="E788" t="n">
        <v>67</v>
      </c>
      <c r="F788" t="n">
        <v>19</v>
      </c>
    </row>
    <row r="789">
      <c r="A789" t="inlineStr">
        <is>
          <t>ORD00788</t>
        </is>
      </c>
      <c r="B789" t="inlineStr">
        <is>
          <t>C0788</t>
        </is>
      </c>
      <c r="C789" t="n">
        <v>2</v>
      </c>
      <c r="D789" t="inlineStr">
        <is>
          <t>Hub A</t>
        </is>
      </c>
      <c r="E789" t="n">
        <v>74</v>
      </c>
      <c r="F789" t="n">
        <v>19</v>
      </c>
    </row>
    <row r="790">
      <c r="A790" t="inlineStr">
        <is>
          <t>ORD00789</t>
        </is>
      </c>
      <c r="B790" t="inlineStr">
        <is>
          <t>C0789</t>
        </is>
      </c>
      <c r="C790" t="n">
        <v>3</v>
      </c>
      <c r="D790" t="inlineStr">
        <is>
          <t>Hub A</t>
        </is>
      </c>
      <c r="E790" t="n">
        <v>21</v>
      </c>
      <c r="F790" t="n">
        <v>19</v>
      </c>
    </row>
    <row r="791">
      <c r="A791" t="inlineStr">
        <is>
          <t>ORD00790</t>
        </is>
      </c>
      <c r="B791" t="inlineStr">
        <is>
          <t>C0790</t>
        </is>
      </c>
      <c r="C791" t="n">
        <v>1</v>
      </c>
      <c r="D791" t="inlineStr">
        <is>
          <t>Hub A</t>
        </is>
      </c>
      <c r="E791" t="n">
        <v>28</v>
      </c>
      <c r="F791" t="n">
        <v>19</v>
      </c>
    </row>
    <row r="792">
      <c r="A792" t="inlineStr">
        <is>
          <t>ORD00791</t>
        </is>
      </c>
      <c r="B792" t="inlineStr">
        <is>
          <t>C0791</t>
        </is>
      </c>
      <c r="C792" t="n">
        <v>2</v>
      </c>
      <c r="D792" t="inlineStr">
        <is>
          <t>Hub A</t>
        </is>
      </c>
      <c r="E792" t="n">
        <v>35</v>
      </c>
      <c r="F792" t="n">
        <v>19</v>
      </c>
    </row>
    <row r="793">
      <c r="A793" t="inlineStr">
        <is>
          <t>ORD00792</t>
        </is>
      </c>
      <c r="B793" t="inlineStr">
        <is>
          <t>C0792</t>
        </is>
      </c>
      <c r="C793" t="n">
        <v>3</v>
      </c>
      <c r="D793" t="inlineStr">
        <is>
          <t>Hub A</t>
        </is>
      </c>
      <c r="E793" t="n">
        <v>42</v>
      </c>
      <c r="F793" t="n">
        <v>19</v>
      </c>
    </row>
    <row r="794">
      <c r="A794" t="inlineStr">
        <is>
          <t>ORD00793</t>
        </is>
      </c>
      <c r="B794" t="inlineStr">
        <is>
          <t>C0793</t>
        </is>
      </c>
      <c r="C794" t="n">
        <v>1</v>
      </c>
      <c r="D794" t="inlineStr">
        <is>
          <t>Hub A</t>
        </is>
      </c>
      <c r="E794" t="n">
        <v>49</v>
      </c>
      <c r="F794" t="n">
        <v>19</v>
      </c>
    </row>
    <row r="795">
      <c r="A795" t="inlineStr">
        <is>
          <t>ORD00794</t>
        </is>
      </c>
      <c r="B795" t="inlineStr">
        <is>
          <t>C0794</t>
        </is>
      </c>
      <c r="C795" t="n">
        <v>2</v>
      </c>
      <c r="D795" t="inlineStr">
        <is>
          <t>Hub A</t>
        </is>
      </c>
      <c r="E795" t="n">
        <v>56</v>
      </c>
      <c r="F795" t="n">
        <v>19</v>
      </c>
    </row>
    <row r="796">
      <c r="A796" t="inlineStr">
        <is>
          <t>ORD00795</t>
        </is>
      </c>
      <c r="B796" t="inlineStr">
        <is>
          <t>C0795</t>
        </is>
      </c>
      <c r="C796" t="n">
        <v>3</v>
      </c>
      <c r="D796" t="inlineStr">
        <is>
          <t>Hub A</t>
        </is>
      </c>
      <c r="E796" t="n">
        <v>63</v>
      </c>
      <c r="F796" t="n">
        <v>19</v>
      </c>
    </row>
    <row r="797">
      <c r="A797" t="inlineStr">
        <is>
          <t>ORD00796</t>
        </is>
      </c>
      <c r="B797" t="inlineStr">
        <is>
          <t>C0796</t>
        </is>
      </c>
      <c r="C797" t="n">
        <v>1</v>
      </c>
      <c r="D797" t="inlineStr">
        <is>
          <t>Hub A</t>
        </is>
      </c>
      <c r="E797" t="n">
        <v>70</v>
      </c>
      <c r="F797" t="n">
        <v>19</v>
      </c>
    </row>
    <row r="798">
      <c r="A798" t="inlineStr">
        <is>
          <t>ORD00797</t>
        </is>
      </c>
      <c r="B798" t="inlineStr">
        <is>
          <t>C0797</t>
        </is>
      </c>
      <c r="C798" t="n">
        <v>2</v>
      </c>
      <c r="D798" t="inlineStr">
        <is>
          <t>Hub A</t>
        </is>
      </c>
      <c r="E798" t="n">
        <v>77</v>
      </c>
      <c r="F798" t="n">
        <v>19</v>
      </c>
    </row>
    <row r="799">
      <c r="A799" t="inlineStr">
        <is>
          <t>ORD00798</t>
        </is>
      </c>
      <c r="B799" t="inlineStr">
        <is>
          <t>C0798</t>
        </is>
      </c>
      <c r="C799" t="n">
        <v>3</v>
      </c>
      <c r="D799" t="inlineStr">
        <is>
          <t>Hub A</t>
        </is>
      </c>
      <c r="E799" t="n">
        <v>24</v>
      </c>
      <c r="F799" t="n">
        <v>19</v>
      </c>
    </row>
    <row r="800">
      <c r="A800" t="inlineStr">
        <is>
          <t>ORD00799</t>
        </is>
      </c>
      <c r="B800" t="inlineStr">
        <is>
          <t>C0799</t>
        </is>
      </c>
      <c r="C800" t="n">
        <v>1</v>
      </c>
      <c r="D800" t="inlineStr">
        <is>
          <t>Hub A</t>
        </is>
      </c>
      <c r="E800" t="n">
        <v>31</v>
      </c>
      <c r="F800" t="n">
        <v>19</v>
      </c>
    </row>
    <row r="801">
      <c r="A801" t="inlineStr">
        <is>
          <t>ORD00800</t>
        </is>
      </c>
      <c r="B801" t="inlineStr">
        <is>
          <t>C0800</t>
        </is>
      </c>
      <c r="C801" t="n">
        <v>2</v>
      </c>
      <c r="D801" t="inlineStr">
        <is>
          <t>Hub A</t>
        </is>
      </c>
      <c r="E801" t="n">
        <v>38</v>
      </c>
      <c r="F801" t="n">
        <v>19</v>
      </c>
    </row>
    <row r="802">
      <c r="A802" t="inlineStr">
        <is>
          <t>ORD00801</t>
        </is>
      </c>
      <c r="B802" t="inlineStr">
        <is>
          <t>C0801</t>
        </is>
      </c>
      <c r="C802" t="n">
        <v>3</v>
      </c>
      <c r="D802" t="inlineStr">
        <is>
          <t>Hub A</t>
        </is>
      </c>
      <c r="E802" t="n">
        <v>45</v>
      </c>
      <c r="F802" t="n">
        <v>19</v>
      </c>
    </row>
    <row r="803">
      <c r="A803" t="inlineStr">
        <is>
          <t>ORD00802</t>
        </is>
      </c>
      <c r="B803" t="inlineStr">
        <is>
          <t>C0802</t>
        </is>
      </c>
      <c r="C803" t="n">
        <v>1</v>
      </c>
      <c r="D803" t="inlineStr">
        <is>
          <t>Hub A</t>
        </is>
      </c>
      <c r="E803" t="n">
        <v>52</v>
      </c>
      <c r="F803" t="n">
        <v>19</v>
      </c>
    </row>
    <row r="804">
      <c r="A804" t="inlineStr">
        <is>
          <t>ORD00803</t>
        </is>
      </c>
      <c r="B804" t="inlineStr">
        <is>
          <t>C0803</t>
        </is>
      </c>
      <c r="C804" t="n">
        <v>2</v>
      </c>
      <c r="D804" t="inlineStr">
        <is>
          <t>Hub A</t>
        </is>
      </c>
      <c r="E804" t="n">
        <v>59</v>
      </c>
      <c r="F804" t="n">
        <v>19</v>
      </c>
    </row>
    <row r="805">
      <c r="A805" t="inlineStr">
        <is>
          <t>ORD00804</t>
        </is>
      </c>
      <c r="B805" t="inlineStr">
        <is>
          <t>C0804</t>
        </is>
      </c>
      <c r="C805" t="n">
        <v>3</v>
      </c>
      <c r="D805" t="inlineStr">
        <is>
          <t>Hub A</t>
        </is>
      </c>
      <c r="E805" t="n">
        <v>66</v>
      </c>
      <c r="F805" t="n">
        <v>19</v>
      </c>
    </row>
    <row r="806">
      <c r="A806" t="inlineStr">
        <is>
          <t>ORD00805</t>
        </is>
      </c>
      <c r="B806" t="inlineStr">
        <is>
          <t>C0805</t>
        </is>
      </c>
      <c r="C806" t="n">
        <v>1</v>
      </c>
      <c r="D806" t="inlineStr">
        <is>
          <t>Hub A</t>
        </is>
      </c>
      <c r="E806" t="n">
        <v>73</v>
      </c>
      <c r="F806" t="n">
        <v>19</v>
      </c>
    </row>
    <row r="807">
      <c r="A807" t="inlineStr">
        <is>
          <t>ORD00806</t>
        </is>
      </c>
      <c r="B807" t="inlineStr">
        <is>
          <t>C0806</t>
        </is>
      </c>
      <c r="C807" t="n">
        <v>2</v>
      </c>
      <c r="D807" t="inlineStr">
        <is>
          <t>Hub A</t>
        </is>
      </c>
      <c r="E807" t="n">
        <v>20</v>
      </c>
      <c r="F807" t="n">
        <v>19</v>
      </c>
    </row>
    <row r="808">
      <c r="A808" t="inlineStr">
        <is>
          <t>ORD00807</t>
        </is>
      </c>
      <c r="B808" t="inlineStr">
        <is>
          <t>C0807</t>
        </is>
      </c>
      <c r="C808" t="n">
        <v>3</v>
      </c>
      <c r="D808" t="inlineStr">
        <is>
          <t>Hub A</t>
        </is>
      </c>
      <c r="E808" t="n">
        <v>27</v>
      </c>
      <c r="F808" t="n">
        <v>19</v>
      </c>
    </row>
    <row r="809">
      <c r="A809" t="inlineStr">
        <is>
          <t>ORD00808</t>
        </is>
      </c>
      <c r="B809" t="inlineStr">
        <is>
          <t>C0808</t>
        </is>
      </c>
      <c r="C809" t="n">
        <v>1</v>
      </c>
      <c r="D809" t="inlineStr">
        <is>
          <t>Hub A</t>
        </is>
      </c>
      <c r="E809" t="n">
        <v>34</v>
      </c>
      <c r="F809" t="n">
        <v>19</v>
      </c>
    </row>
    <row r="810">
      <c r="A810" t="inlineStr">
        <is>
          <t>ORD00809</t>
        </is>
      </c>
      <c r="B810" t="inlineStr">
        <is>
          <t>C0809</t>
        </is>
      </c>
      <c r="C810" t="n">
        <v>2</v>
      </c>
      <c r="D810" t="inlineStr">
        <is>
          <t>Hub A</t>
        </is>
      </c>
      <c r="E810" t="n">
        <v>41</v>
      </c>
      <c r="F810" t="n">
        <v>19</v>
      </c>
    </row>
    <row r="811">
      <c r="A811" t="inlineStr">
        <is>
          <t>ORD00810</t>
        </is>
      </c>
      <c r="B811" t="inlineStr">
        <is>
          <t>C0810</t>
        </is>
      </c>
      <c r="C811" t="n">
        <v>3</v>
      </c>
      <c r="D811" t="inlineStr">
        <is>
          <t>Hub A</t>
        </is>
      </c>
      <c r="E811" t="n">
        <v>48</v>
      </c>
      <c r="F811" t="n">
        <v>19</v>
      </c>
    </row>
    <row r="812">
      <c r="A812" t="inlineStr">
        <is>
          <t>ORD00811</t>
        </is>
      </c>
      <c r="B812" t="inlineStr">
        <is>
          <t>C0811</t>
        </is>
      </c>
      <c r="C812" t="n">
        <v>1</v>
      </c>
      <c r="D812" t="inlineStr">
        <is>
          <t>Hub A</t>
        </is>
      </c>
      <c r="E812" t="n">
        <v>55</v>
      </c>
      <c r="F812" t="n">
        <v>19</v>
      </c>
    </row>
    <row r="813">
      <c r="A813" t="inlineStr">
        <is>
          <t>ORD00812</t>
        </is>
      </c>
      <c r="B813" t="inlineStr">
        <is>
          <t>C0812</t>
        </is>
      </c>
      <c r="C813" t="n">
        <v>2</v>
      </c>
      <c r="D813" t="inlineStr">
        <is>
          <t>Hub A</t>
        </is>
      </c>
      <c r="E813" t="n">
        <v>62</v>
      </c>
      <c r="F813" t="n">
        <v>19</v>
      </c>
    </row>
    <row r="814">
      <c r="A814" t="inlineStr">
        <is>
          <t>ORD00813</t>
        </is>
      </c>
      <c r="B814" t="inlineStr">
        <is>
          <t>C0813</t>
        </is>
      </c>
      <c r="C814" t="n">
        <v>3</v>
      </c>
      <c r="D814" t="inlineStr">
        <is>
          <t>Hub A</t>
        </is>
      </c>
      <c r="E814" t="n">
        <v>69</v>
      </c>
      <c r="F814" t="n">
        <v>19</v>
      </c>
    </row>
    <row r="815">
      <c r="A815" t="inlineStr">
        <is>
          <t>ORD00814</t>
        </is>
      </c>
      <c r="B815" t="inlineStr">
        <is>
          <t>C0814</t>
        </is>
      </c>
      <c r="C815" t="n">
        <v>1</v>
      </c>
      <c r="D815" t="inlineStr">
        <is>
          <t>Hub A</t>
        </is>
      </c>
      <c r="E815" t="n">
        <v>76</v>
      </c>
      <c r="F815" t="n">
        <v>19</v>
      </c>
    </row>
    <row r="816">
      <c r="A816" t="inlineStr">
        <is>
          <t>ORD00815</t>
        </is>
      </c>
      <c r="B816" t="inlineStr">
        <is>
          <t>C0815</t>
        </is>
      </c>
      <c r="C816" t="n">
        <v>2</v>
      </c>
      <c r="D816" t="inlineStr">
        <is>
          <t>Hub A</t>
        </is>
      </c>
      <c r="E816" t="n">
        <v>23</v>
      </c>
      <c r="F816" t="n">
        <v>19</v>
      </c>
    </row>
    <row r="817">
      <c r="A817" t="inlineStr">
        <is>
          <t>ORD00816</t>
        </is>
      </c>
      <c r="B817" t="inlineStr">
        <is>
          <t>C0816</t>
        </is>
      </c>
      <c r="C817" t="n">
        <v>3</v>
      </c>
      <c r="D817" t="inlineStr">
        <is>
          <t>Hub A</t>
        </is>
      </c>
      <c r="E817" t="n">
        <v>30</v>
      </c>
      <c r="F817" t="n">
        <v>19</v>
      </c>
    </row>
    <row r="818">
      <c r="A818" t="inlineStr">
        <is>
          <t>ORD00817</t>
        </is>
      </c>
      <c r="B818" t="inlineStr">
        <is>
          <t>C0817</t>
        </is>
      </c>
      <c r="C818" t="n">
        <v>1</v>
      </c>
      <c r="D818" t="inlineStr">
        <is>
          <t>Hub A</t>
        </is>
      </c>
      <c r="E818" t="n">
        <v>37</v>
      </c>
      <c r="F818" t="n">
        <v>19</v>
      </c>
    </row>
    <row r="819">
      <c r="A819" t="inlineStr">
        <is>
          <t>ORD00818</t>
        </is>
      </c>
      <c r="B819" t="inlineStr">
        <is>
          <t>C0818</t>
        </is>
      </c>
      <c r="C819" t="n">
        <v>2</v>
      </c>
      <c r="D819" t="inlineStr">
        <is>
          <t>Hub A</t>
        </is>
      </c>
      <c r="E819" t="n">
        <v>44</v>
      </c>
      <c r="F819" t="n">
        <v>19</v>
      </c>
    </row>
    <row r="820">
      <c r="A820" t="inlineStr">
        <is>
          <t>ORD00819</t>
        </is>
      </c>
      <c r="B820" t="inlineStr">
        <is>
          <t>C0819</t>
        </is>
      </c>
      <c r="C820" t="n">
        <v>3</v>
      </c>
      <c r="D820" t="inlineStr">
        <is>
          <t>Hub A</t>
        </is>
      </c>
      <c r="E820" t="n">
        <v>51</v>
      </c>
      <c r="F820" t="n">
        <v>19</v>
      </c>
    </row>
    <row r="821">
      <c r="A821" t="inlineStr">
        <is>
          <t>ORD00820</t>
        </is>
      </c>
      <c r="B821" t="inlineStr">
        <is>
          <t>C0820</t>
        </is>
      </c>
      <c r="C821" t="n">
        <v>1</v>
      </c>
      <c r="D821" t="inlineStr">
        <is>
          <t>Hub A</t>
        </is>
      </c>
      <c r="E821" t="n">
        <v>58</v>
      </c>
      <c r="F821" t="n">
        <v>19</v>
      </c>
    </row>
    <row r="822">
      <c r="A822" t="inlineStr">
        <is>
          <t>ORD00821</t>
        </is>
      </c>
      <c r="B822" t="inlineStr">
        <is>
          <t>C0821</t>
        </is>
      </c>
      <c r="C822" t="n">
        <v>2</v>
      </c>
      <c r="D822" t="inlineStr">
        <is>
          <t>Hub A</t>
        </is>
      </c>
      <c r="E822" t="n">
        <v>65</v>
      </c>
      <c r="F822" t="n">
        <v>19</v>
      </c>
    </row>
    <row r="823">
      <c r="A823" t="inlineStr">
        <is>
          <t>ORD00822</t>
        </is>
      </c>
      <c r="B823" t="inlineStr">
        <is>
          <t>C0822</t>
        </is>
      </c>
      <c r="C823" t="n">
        <v>3</v>
      </c>
      <c r="D823" t="inlineStr">
        <is>
          <t>Hub A</t>
        </is>
      </c>
      <c r="E823" t="n">
        <v>72</v>
      </c>
      <c r="F823" t="n">
        <v>19</v>
      </c>
    </row>
    <row r="824">
      <c r="A824" t="inlineStr">
        <is>
          <t>ORD00823</t>
        </is>
      </c>
      <c r="B824" t="inlineStr">
        <is>
          <t>C0823</t>
        </is>
      </c>
      <c r="C824" t="n">
        <v>1</v>
      </c>
      <c r="D824" t="inlineStr">
        <is>
          <t>Hub A</t>
        </is>
      </c>
      <c r="E824" t="n">
        <v>19</v>
      </c>
      <c r="F824" t="n">
        <v>19</v>
      </c>
    </row>
    <row r="825">
      <c r="A825" t="inlineStr">
        <is>
          <t>ORD00824</t>
        </is>
      </c>
      <c r="B825" t="inlineStr">
        <is>
          <t>C0824</t>
        </is>
      </c>
      <c r="C825" t="n">
        <v>2</v>
      </c>
      <c r="D825" t="inlineStr">
        <is>
          <t>Hub A</t>
        </is>
      </c>
      <c r="E825" t="n">
        <v>26</v>
      </c>
      <c r="F825" t="n">
        <v>19</v>
      </c>
    </row>
    <row r="826">
      <c r="A826" t="inlineStr">
        <is>
          <t>ORD00825</t>
        </is>
      </c>
      <c r="B826" t="inlineStr">
        <is>
          <t>C0825</t>
        </is>
      </c>
      <c r="C826" t="n">
        <v>3</v>
      </c>
      <c r="D826" t="inlineStr">
        <is>
          <t>Hub A</t>
        </is>
      </c>
      <c r="E826" t="n">
        <v>33</v>
      </c>
      <c r="F826" t="n">
        <v>19</v>
      </c>
    </row>
    <row r="827">
      <c r="A827" t="inlineStr">
        <is>
          <t>ORD00826</t>
        </is>
      </c>
      <c r="B827" t="inlineStr">
        <is>
          <t>C0826</t>
        </is>
      </c>
      <c r="C827" t="n">
        <v>1</v>
      </c>
      <c r="D827" t="inlineStr">
        <is>
          <t>Hub A</t>
        </is>
      </c>
      <c r="E827" t="n">
        <v>40</v>
      </c>
      <c r="F827" t="n">
        <v>19</v>
      </c>
    </row>
    <row r="828">
      <c r="A828" t="inlineStr">
        <is>
          <t>ORD00827</t>
        </is>
      </c>
      <c r="B828" t="inlineStr">
        <is>
          <t>C0827</t>
        </is>
      </c>
      <c r="C828" t="n">
        <v>2</v>
      </c>
      <c r="D828" t="inlineStr">
        <is>
          <t>Hub A</t>
        </is>
      </c>
      <c r="E828" t="n">
        <v>47</v>
      </c>
      <c r="F828" t="n">
        <v>19</v>
      </c>
    </row>
    <row r="829">
      <c r="A829" t="inlineStr">
        <is>
          <t>ORD00828</t>
        </is>
      </c>
      <c r="B829" t="inlineStr">
        <is>
          <t>C0828</t>
        </is>
      </c>
      <c r="C829" t="n">
        <v>3</v>
      </c>
      <c r="D829" t="inlineStr">
        <is>
          <t>Hub A</t>
        </is>
      </c>
      <c r="E829" t="n">
        <v>54</v>
      </c>
      <c r="F829" t="n">
        <v>19</v>
      </c>
    </row>
    <row r="830">
      <c r="A830" t="inlineStr">
        <is>
          <t>ORD00829</t>
        </is>
      </c>
      <c r="B830" t="inlineStr">
        <is>
          <t>C0829</t>
        </is>
      </c>
      <c r="C830" t="n">
        <v>1</v>
      </c>
      <c r="D830" t="inlineStr">
        <is>
          <t>Hub A</t>
        </is>
      </c>
      <c r="E830" t="n">
        <v>61</v>
      </c>
      <c r="F830" t="n">
        <v>19</v>
      </c>
    </row>
    <row r="831">
      <c r="A831" t="inlineStr">
        <is>
          <t>ORD00830</t>
        </is>
      </c>
      <c r="B831" t="inlineStr">
        <is>
          <t>C0830</t>
        </is>
      </c>
      <c r="C831" t="n">
        <v>2</v>
      </c>
      <c r="D831" t="inlineStr">
        <is>
          <t>Hub A</t>
        </is>
      </c>
      <c r="E831" t="n">
        <v>68</v>
      </c>
      <c r="F831" t="n">
        <v>19</v>
      </c>
    </row>
    <row r="832">
      <c r="A832" t="inlineStr">
        <is>
          <t>ORD00831</t>
        </is>
      </c>
      <c r="B832" t="inlineStr">
        <is>
          <t>C0831</t>
        </is>
      </c>
      <c r="C832" t="n">
        <v>3</v>
      </c>
      <c r="D832" t="inlineStr">
        <is>
          <t>Hub A</t>
        </is>
      </c>
      <c r="E832" t="n">
        <v>75</v>
      </c>
      <c r="F832" t="n">
        <v>22</v>
      </c>
    </row>
    <row r="833">
      <c r="A833" t="inlineStr">
        <is>
          <t>ORD00832</t>
        </is>
      </c>
      <c r="B833" t="inlineStr">
        <is>
          <t>C0832</t>
        </is>
      </c>
      <c r="C833" t="n">
        <v>1</v>
      </c>
      <c r="D833" t="inlineStr">
        <is>
          <t>Hub A</t>
        </is>
      </c>
      <c r="E833" t="n">
        <v>22</v>
      </c>
      <c r="F833" t="n">
        <v>22</v>
      </c>
    </row>
    <row r="834">
      <c r="A834" t="inlineStr">
        <is>
          <t>ORD00833</t>
        </is>
      </c>
      <c r="B834" t="inlineStr">
        <is>
          <t>C0833</t>
        </is>
      </c>
      <c r="C834" t="n">
        <v>2</v>
      </c>
      <c r="D834" t="inlineStr">
        <is>
          <t>Hub A</t>
        </is>
      </c>
      <c r="E834" t="n">
        <v>29</v>
      </c>
      <c r="F834" t="n">
        <v>22</v>
      </c>
    </row>
    <row r="835">
      <c r="A835" t="inlineStr">
        <is>
          <t>ORD00834</t>
        </is>
      </c>
      <c r="B835" t="inlineStr">
        <is>
          <t>C0834</t>
        </is>
      </c>
      <c r="C835" t="n">
        <v>3</v>
      </c>
      <c r="D835" t="inlineStr">
        <is>
          <t>Hub A</t>
        </is>
      </c>
      <c r="E835" t="n">
        <v>36</v>
      </c>
      <c r="F835" t="n">
        <v>22</v>
      </c>
    </row>
    <row r="836">
      <c r="A836" t="inlineStr">
        <is>
          <t>ORD00835</t>
        </is>
      </c>
      <c r="B836" t="inlineStr">
        <is>
          <t>C0835</t>
        </is>
      </c>
      <c r="C836" t="n">
        <v>1</v>
      </c>
      <c r="D836" t="inlineStr">
        <is>
          <t>Hub A</t>
        </is>
      </c>
      <c r="E836" t="n">
        <v>43</v>
      </c>
      <c r="F836" t="n">
        <v>22</v>
      </c>
    </row>
    <row r="837">
      <c r="A837" t="inlineStr">
        <is>
          <t>ORD00836</t>
        </is>
      </c>
      <c r="B837" t="inlineStr">
        <is>
          <t>C0836</t>
        </is>
      </c>
      <c r="C837" t="n">
        <v>2</v>
      </c>
      <c r="D837" t="inlineStr">
        <is>
          <t>Hub A</t>
        </is>
      </c>
      <c r="E837" t="n">
        <v>50</v>
      </c>
      <c r="F837" t="n">
        <v>22</v>
      </c>
    </row>
    <row r="838">
      <c r="A838" t="inlineStr">
        <is>
          <t>ORD00837</t>
        </is>
      </c>
      <c r="B838" t="inlineStr">
        <is>
          <t>C0837</t>
        </is>
      </c>
      <c r="C838" t="n">
        <v>3</v>
      </c>
      <c r="D838" t="inlineStr">
        <is>
          <t>Hub A</t>
        </is>
      </c>
      <c r="E838" t="n">
        <v>57</v>
      </c>
      <c r="F838" t="n">
        <v>22</v>
      </c>
    </row>
    <row r="839">
      <c r="A839" t="inlineStr">
        <is>
          <t>ORD00838</t>
        </is>
      </c>
      <c r="B839" t="inlineStr">
        <is>
          <t>C0838</t>
        </is>
      </c>
      <c r="C839" t="n">
        <v>1</v>
      </c>
      <c r="D839" t="inlineStr">
        <is>
          <t>Hub A</t>
        </is>
      </c>
      <c r="E839" t="n">
        <v>64</v>
      </c>
      <c r="F839" t="n">
        <v>22</v>
      </c>
    </row>
    <row r="840">
      <c r="A840" t="inlineStr">
        <is>
          <t>ORD00839</t>
        </is>
      </c>
      <c r="B840" t="inlineStr">
        <is>
          <t>C0839</t>
        </is>
      </c>
      <c r="C840" t="n">
        <v>2</v>
      </c>
      <c r="D840" t="inlineStr">
        <is>
          <t>Hub A</t>
        </is>
      </c>
      <c r="E840" t="n">
        <v>71</v>
      </c>
      <c r="F840" t="n">
        <v>22</v>
      </c>
    </row>
    <row r="841">
      <c r="A841" t="inlineStr">
        <is>
          <t>ORD00840</t>
        </is>
      </c>
      <c r="B841" t="inlineStr">
        <is>
          <t>C0840</t>
        </is>
      </c>
      <c r="C841" t="n">
        <v>3</v>
      </c>
      <c r="D841" t="inlineStr">
        <is>
          <t>Hub A</t>
        </is>
      </c>
      <c r="E841" t="n">
        <v>18</v>
      </c>
      <c r="F841" t="n">
        <v>22</v>
      </c>
    </row>
    <row r="842">
      <c r="A842" t="inlineStr">
        <is>
          <t>ORD00841</t>
        </is>
      </c>
      <c r="B842" t="inlineStr">
        <is>
          <t>C0841</t>
        </is>
      </c>
      <c r="C842" t="n">
        <v>1</v>
      </c>
      <c r="D842" t="inlineStr">
        <is>
          <t>Hub A</t>
        </is>
      </c>
      <c r="E842" t="n">
        <v>25</v>
      </c>
      <c r="F842" t="n">
        <v>22</v>
      </c>
    </row>
    <row r="843">
      <c r="A843" t="inlineStr">
        <is>
          <t>ORD00842</t>
        </is>
      </c>
      <c r="B843" t="inlineStr">
        <is>
          <t>C0842</t>
        </is>
      </c>
      <c r="C843" t="n">
        <v>2</v>
      </c>
      <c r="D843" t="inlineStr">
        <is>
          <t>Hub A</t>
        </is>
      </c>
      <c r="E843" t="n">
        <v>32</v>
      </c>
      <c r="F843" t="n">
        <v>22</v>
      </c>
    </row>
    <row r="844">
      <c r="A844" t="inlineStr">
        <is>
          <t>ORD00843</t>
        </is>
      </c>
      <c r="B844" t="inlineStr">
        <is>
          <t>C0843</t>
        </is>
      </c>
      <c r="C844" t="n">
        <v>3</v>
      </c>
      <c r="D844" t="inlineStr">
        <is>
          <t>Hub A</t>
        </is>
      </c>
      <c r="E844" t="n">
        <v>39</v>
      </c>
      <c r="F844" t="n">
        <v>22</v>
      </c>
    </row>
    <row r="845">
      <c r="A845" t="inlineStr">
        <is>
          <t>ORD00844</t>
        </is>
      </c>
      <c r="B845" t="inlineStr">
        <is>
          <t>C0844</t>
        </is>
      </c>
      <c r="C845" t="n">
        <v>1</v>
      </c>
      <c r="D845" t="inlineStr">
        <is>
          <t>Hub A</t>
        </is>
      </c>
      <c r="E845" t="n">
        <v>46</v>
      </c>
      <c r="F845" t="n">
        <v>22</v>
      </c>
    </row>
    <row r="846">
      <c r="A846" t="inlineStr">
        <is>
          <t>ORD00845</t>
        </is>
      </c>
      <c r="B846" t="inlineStr">
        <is>
          <t>C0845</t>
        </is>
      </c>
      <c r="C846" t="n">
        <v>2</v>
      </c>
      <c r="D846" t="inlineStr">
        <is>
          <t>Hub A</t>
        </is>
      </c>
      <c r="E846" t="n">
        <v>53</v>
      </c>
      <c r="F846" t="n">
        <v>22</v>
      </c>
    </row>
    <row r="847">
      <c r="A847" t="inlineStr">
        <is>
          <t>ORD00846</t>
        </is>
      </c>
      <c r="B847" t="inlineStr">
        <is>
          <t>C0846</t>
        </is>
      </c>
      <c r="C847" t="n">
        <v>3</v>
      </c>
      <c r="D847" t="inlineStr">
        <is>
          <t>Hub A</t>
        </is>
      </c>
      <c r="E847" t="n">
        <v>60</v>
      </c>
      <c r="F847" t="n">
        <v>22</v>
      </c>
    </row>
    <row r="848">
      <c r="A848" t="inlineStr">
        <is>
          <t>ORD00847</t>
        </is>
      </c>
      <c r="B848" t="inlineStr">
        <is>
          <t>C0847</t>
        </is>
      </c>
      <c r="C848" t="n">
        <v>1</v>
      </c>
      <c r="D848" t="inlineStr">
        <is>
          <t>Hub A</t>
        </is>
      </c>
      <c r="E848" t="n">
        <v>67</v>
      </c>
      <c r="F848" t="n">
        <v>22</v>
      </c>
    </row>
    <row r="849">
      <c r="A849" t="inlineStr">
        <is>
          <t>ORD00848</t>
        </is>
      </c>
      <c r="B849" t="inlineStr">
        <is>
          <t>C0848</t>
        </is>
      </c>
      <c r="C849" t="n">
        <v>2</v>
      </c>
      <c r="D849" t="inlineStr">
        <is>
          <t>Hub A</t>
        </is>
      </c>
      <c r="E849" t="n">
        <v>74</v>
      </c>
      <c r="F849" t="n">
        <v>22</v>
      </c>
    </row>
    <row r="850">
      <c r="A850" t="inlineStr">
        <is>
          <t>ORD00849</t>
        </is>
      </c>
      <c r="B850" t="inlineStr">
        <is>
          <t>C0849</t>
        </is>
      </c>
      <c r="C850" t="n">
        <v>3</v>
      </c>
      <c r="D850" t="inlineStr">
        <is>
          <t>Hub A</t>
        </is>
      </c>
      <c r="E850" t="n">
        <v>21</v>
      </c>
      <c r="F850" t="n">
        <v>22</v>
      </c>
    </row>
    <row r="851">
      <c r="A851" t="inlineStr">
        <is>
          <t>ORD00850</t>
        </is>
      </c>
      <c r="B851" t="inlineStr">
        <is>
          <t>C0850</t>
        </is>
      </c>
      <c r="C851" t="n">
        <v>1</v>
      </c>
      <c r="D851" t="inlineStr">
        <is>
          <t>Hub A</t>
        </is>
      </c>
      <c r="E851" t="n">
        <v>28</v>
      </c>
      <c r="F851" t="n">
        <v>22</v>
      </c>
    </row>
    <row r="852">
      <c r="A852" t="inlineStr">
        <is>
          <t>ORD00851</t>
        </is>
      </c>
      <c r="B852" t="inlineStr">
        <is>
          <t>C0851</t>
        </is>
      </c>
      <c r="C852" t="n">
        <v>2</v>
      </c>
      <c r="D852" t="inlineStr">
        <is>
          <t>Hub A</t>
        </is>
      </c>
      <c r="E852" t="n">
        <v>35</v>
      </c>
      <c r="F852" t="n">
        <v>22</v>
      </c>
    </row>
    <row r="853">
      <c r="A853" t="inlineStr">
        <is>
          <t>ORD00852</t>
        </is>
      </c>
      <c r="B853" t="inlineStr">
        <is>
          <t>C0852</t>
        </is>
      </c>
      <c r="C853" t="n">
        <v>3</v>
      </c>
      <c r="D853" t="inlineStr">
        <is>
          <t>Hub A</t>
        </is>
      </c>
      <c r="E853" t="n">
        <v>42</v>
      </c>
      <c r="F853" t="n">
        <v>22</v>
      </c>
    </row>
    <row r="854">
      <c r="A854" t="inlineStr">
        <is>
          <t>ORD00853</t>
        </is>
      </c>
      <c r="B854" t="inlineStr">
        <is>
          <t>C0853</t>
        </is>
      </c>
      <c r="C854" t="n">
        <v>1</v>
      </c>
      <c r="D854" t="inlineStr">
        <is>
          <t>Hub A</t>
        </is>
      </c>
      <c r="E854" t="n">
        <v>49</v>
      </c>
      <c r="F854" t="n">
        <v>22</v>
      </c>
    </row>
    <row r="855">
      <c r="A855" t="inlineStr">
        <is>
          <t>ORD00854</t>
        </is>
      </c>
      <c r="B855" t="inlineStr">
        <is>
          <t>C0854</t>
        </is>
      </c>
      <c r="C855" t="n">
        <v>2</v>
      </c>
      <c r="D855" t="inlineStr">
        <is>
          <t>Hub A</t>
        </is>
      </c>
      <c r="E855" t="n">
        <v>56</v>
      </c>
      <c r="F855" t="n">
        <v>22</v>
      </c>
    </row>
    <row r="856">
      <c r="A856" t="inlineStr">
        <is>
          <t>ORD00855</t>
        </is>
      </c>
      <c r="B856" t="inlineStr">
        <is>
          <t>C0855</t>
        </is>
      </c>
      <c r="C856" t="n">
        <v>3</v>
      </c>
      <c r="D856" t="inlineStr">
        <is>
          <t>Hub A</t>
        </is>
      </c>
      <c r="E856" t="n">
        <v>63</v>
      </c>
      <c r="F856" t="n">
        <v>22</v>
      </c>
    </row>
    <row r="857">
      <c r="A857" t="inlineStr">
        <is>
          <t>ORD00856</t>
        </is>
      </c>
      <c r="B857" t="inlineStr">
        <is>
          <t>C0856</t>
        </is>
      </c>
      <c r="C857" t="n">
        <v>1</v>
      </c>
      <c r="D857" t="inlineStr">
        <is>
          <t>Hub A</t>
        </is>
      </c>
      <c r="E857" t="n">
        <v>70</v>
      </c>
      <c r="F857" t="n">
        <v>22</v>
      </c>
    </row>
    <row r="858">
      <c r="A858" t="inlineStr">
        <is>
          <t>ORD00857</t>
        </is>
      </c>
      <c r="B858" t="inlineStr">
        <is>
          <t>C0857</t>
        </is>
      </c>
      <c r="C858" t="n">
        <v>2</v>
      </c>
      <c r="D858" t="inlineStr">
        <is>
          <t>Hub A</t>
        </is>
      </c>
      <c r="E858" t="n">
        <v>77</v>
      </c>
      <c r="F858" t="n">
        <v>22</v>
      </c>
    </row>
    <row r="859">
      <c r="A859" t="inlineStr">
        <is>
          <t>ORD00858</t>
        </is>
      </c>
      <c r="B859" t="inlineStr">
        <is>
          <t>C0858</t>
        </is>
      </c>
      <c r="C859" t="n">
        <v>3</v>
      </c>
      <c r="D859" t="inlineStr">
        <is>
          <t>Hub A</t>
        </is>
      </c>
      <c r="E859" t="n">
        <v>24</v>
      </c>
      <c r="F859" t="n">
        <v>22</v>
      </c>
    </row>
    <row r="860">
      <c r="A860" t="inlineStr">
        <is>
          <t>ORD00859</t>
        </is>
      </c>
      <c r="B860" t="inlineStr">
        <is>
          <t>C0859</t>
        </is>
      </c>
      <c r="C860" t="n">
        <v>1</v>
      </c>
      <c r="D860" t="inlineStr">
        <is>
          <t>Hub A</t>
        </is>
      </c>
      <c r="E860" t="n">
        <v>31</v>
      </c>
      <c r="F860" t="n">
        <v>22</v>
      </c>
    </row>
    <row r="861">
      <c r="A861" t="inlineStr">
        <is>
          <t>ORD00860</t>
        </is>
      </c>
      <c r="B861" t="inlineStr">
        <is>
          <t>C0860</t>
        </is>
      </c>
      <c r="C861" t="n">
        <v>2</v>
      </c>
      <c r="D861" t="inlineStr">
        <is>
          <t>Hub A</t>
        </is>
      </c>
      <c r="E861" t="n">
        <v>38</v>
      </c>
      <c r="F861" t="n">
        <v>22</v>
      </c>
    </row>
    <row r="862">
      <c r="A862" t="inlineStr">
        <is>
          <t>ORD00861</t>
        </is>
      </c>
      <c r="B862" t="inlineStr">
        <is>
          <t>C0861</t>
        </is>
      </c>
      <c r="C862" t="n">
        <v>3</v>
      </c>
      <c r="D862" t="inlineStr">
        <is>
          <t>Hub A</t>
        </is>
      </c>
      <c r="E862" t="n">
        <v>45</v>
      </c>
      <c r="F862" t="n">
        <v>22</v>
      </c>
    </row>
    <row r="863">
      <c r="A863" t="inlineStr">
        <is>
          <t>ORD00862</t>
        </is>
      </c>
      <c r="B863" t="inlineStr">
        <is>
          <t>C0862</t>
        </is>
      </c>
      <c r="C863" t="n">
        <v>1</v>
      </c>
      <c r="D863" t="inlineStr">
        <is>
          <t>Hub A</t>
        </is>
      </c>
      <c r="E863" t="n">
        <v>52</v>
      </c>
      <c r="F863" t="n">
        <v>22</v>
      </c>
    </row>
    <row r="864">
      <c r="A864" t="inlineStr">
        <is>
          <t>ORD00863</t>
        </is>
      </c>
      <c r="B864" t="inlineStr">
        <is>
          <t>C0863</t>
        </is>
      </c>
      <c r="C864" t="n">
        <v>2</v>
      </c>
      <c r="D864" t="inlineStr">
        <is>
          <t>Hub A</t>
        </is>
      </c>
      <c r="E864" t="n">
        <v>59</v>
      </c>
      <c r="F864" t="n">
        <v>22</v>
      </c>
    </row>
    <row r="865">
      <c r="A865" t="inlineStr">
        <is>
          <t>ORD00864</t>
        </is>
      </c>
      <c r="B865" t="inlineStr">
        <is>
          <t>C0864</t>
        </is>
      </c>
      <c r="C865" t="n">
        <v>3</v>
      </c>
      <c r="D865" t="inlineStr">
        <is>
          <t>Hub A</t>
        </is>
      </c>
      <c r="E865" t="n">
        <v>66</v>
      </c>
      <c r="F865" t="n">
        <v>22</v>
      </c>
    </row>
    <row r="866">
      <c r="A866" t="inlineStr">
        <is>
          <t>ORD00865</t>
        </is>
      </c>
      <c r="B866" t="inlineStr">
        <is>
          <t>C0865</t>
        </is>
      </c>
      <c r="C866" t="n">
        <v>1</v>
      </c>
      <c r="D866" t="inlineStr">
        <is>
          <t>Hub A</t>
        </is>
      </c>
      <c r="E866" t="n">
        <v>73</v>
      </c>
      <c r="F866" t="n">
        <v>22</v>
      </c>
    </row>
    <row r="867">
      <c r="A867" t="inlineStr">
        <is>
          <t>ORD00866</t>
        </is>
      </c>
      <c r="B867" t="inlineStr">
        <is>
          <t>C0866</t>
        </is>
      </c>
      <c r="C867" t="n">
        <v>2</v>
      </c>
      <c r="D867" t="inlineStr">
        <is>
          <t>Hub A</t>
        </is>
      </c>
      <c r="E867" t="n">
        <v>20</v>
      </c>
      <c r="F867" t="n">
        <v>22</v>
      </c>
    </row>
    <row r="868">
      <c r="A868" t="inlineStr">
        <is>
          <t>ORD00867</t>
        </is>
      </c>
      <c r="B868" t="inlineStr">
        <is>
          <t>C0867</t>
        </is>
      </c>
      <c r="C868" t="n">
        <v>3</v>
      </c>
      <c r="D868" t="inlineStr">
        <is>
          <t>Hub A</t>
        </is>
      </c>
      <c r="E868" t="n">
        <v>27</v>
      </c>
      <c r="F868" t="n">
        <v>22</v>
      </c>
    </row>
    <row r="869">
      <c r="A869" t="inlineStr">
        <is>
          <t>ORD00868</t>
        </is>
      </c>
      <c r="B869" t="inlineStr">
        <is>
          <t>C0868</t>
        </is>
      </c>
      <c r="C869" t="n">
        <v>1</v>
      </c>
      <c r="D869" t="inlineStr">
        <is>
          <t>Hub A</t>
        </is>
      </c>
      <c r="E869" t="n">
        <v>34</v>
      </c>
      <c r="F869" t="n">
        <v>22</v>
      </c>
    </row>
    <row r="870">
      <c r="A870" t="inlineStr">
        <is>
          <t>ORD00869</t>
        </is>
      </c>
      <c r="B870" t="inlineStr">
        <is>
          <t>C0869</t>
        </is>
      </c>
      <c r="C870" t="n">
        <v>2</v>
      </c>
      <c r="D870" t="inlineStr">
        <is>
          <t>Hub A</t>
        </is>
      </c>
      <c r="E870" t="n">
        <v>41</v>
      </c>
      <c r="F870" t="n">
        <v>22</v>
      </c>
    </row>
    <row r="871">
      <c r="A871" t="inlineStr">
        <is>
          <t>ORD00870</t>
        </is>
      </c>
      <c r="B871" t="inlineStr">
        <is>
          <t>C0870</t>
        </is>
      </c>
      <c r="C871" t="n">
        <v>3</v>
      </c>
      <c r="D871" t="inlineStr">
        <is>
          <t>Hub A</t>
        </is>
      </c>
      <c r="E871" t="n">
        <v>48</v>
      </c>
      <c r="F871" t="n">
        <v>22</v>
      </c>
    </row>
    <row r="872">
      <c r="A872" t="inlineStr">
        <is>
          <t>ORD00871</t>
        </is>
      </c>
      <c r="B872" t="inlineStr">
        <is>
          <t>C0871</t>
        </is>
      </c>
      <c r="C872" t="n">
        <v>1</v>
      </c>
      <c r="D872" t="inlineStr">
        <is>
          <t>Hub A</t>
        </is>
      </c>
      <c r="E872" t="n">
        <v>55</v>
      </c>
      <c r="F872" t="n">
        <v>22</v>
      </c>
    </row>
    <row r="873">
      <c r="A873" t="inlineStr">
        <is>
          <t>ORD00872</t>
        </is>
      </c>
      <c r="B873" t="inlineStr">
        <is>
          <t>C0872</t>
        </is>
      </c>
      <c r="C873" t="n">
        <v>2</v>
      </c>
      <c r="D873" t="inlineStr">
        <is>
          <t>Hub A</t>
        </is>
      </c>
      <c r="E873" t="n">
        <v>62</v>
      </c>
      <c r="F873" t="n">
        <v>22</v>
      </c>
    </row>
    <row r="874">
      <c r="A874" t="inlineStr">
        <is>
          <t>ORD00873</t>
        </is>
      </c>
      <c r="B874" t="inlineStr">
        <is>
          <t>C0873</t>
        </is>
      </c>
      <c r="C874" t="n">
        <v>3</v>
      </c>
      <c r="D874" t="inlineStr">
        <is>
          <t>Hub A</t>
        </is>
      </c>
      <c r="E874" t="n">
        <v>69</v>
      </c>
      <c r="F874" t="n">
        <v>22</v>
      </c>
    </row>
    <row r="875">
      <c r="A875" t="inlineStr">
        <is>
          <t>ORD00874</t>
        </is>
      </c>
      <c r="B875" t="inlineStr">
        <is>
          <t>C0874</t>
        </is>
      </c>
      <c r="C875" t="n">
        <v>1</v>
      </c>
      <c r="D875" t="inlineStr">
        <is>
          <t>Hub A</t>
        </is>
      </c>
      <c r="E875" t="n">
        <v>76</v>
      </c>
      <c r="F875" t="n">
        <v>22</v>
      </c>
    </row>
    <row r="876">
      <c r="A876" t="inlineStr">
        <is>
          <t>ORD00875</t>
        </is>
      </c>
      <c r="B876" t="inlineStr">
        <is>
          <t>C0875</t>
        </is>
      </c>
      <c r="C876" t="n">
        <v>2</v>
      </c>
      <c r="D876" t="inlineStr">
        <is>
          <t>Hub A</t>
        </is>
      </c>
      <c r="E876" t="n">
        <v>23</v>
      </c>
      <c r="F876" t="n">
        <v>22</v>
      </c>
    </row>
    <row r="877">
      <c r="A877" t="inlineStr">
        <is>
          <t>ORD00876</t>
        </is>
      </c>
      <c r="B877" t="inlineStr">
        <is>
          <t>C0876</t>
        </is>
      </c>
      <c r="C877" t="n">
        <v>3</v>
      </c>
      <c r="D877" t="inlineStr">
        <is>
          <t>Hub A</t>
        </is>
      </c>
      <c r="E877" t="n">
        <v>30</v>
      </c>
      <c r="F877" t="n">
        <v>22</v>
      </c>
    </row>
    <row r="878">
      <c r="A878" t="inlineStr">
        <is>
          <t>ORD00877</t>
        </is>
      </c>
      <c r="B878" t="inlineStr">
        <is>
          <t>C0877</t>
        </is>
      </c>
      <c r="C878" t="n">
        <v>1</v>
      </c>
      <c r="D878" t="inlineStr">
        <is>
          <t>Hub A</t>
        </is>
      </c>
      <c r="E878" t="n">
        <v>37</v>
      </c>
      <c r="F878" t="n">
        <v>22</v>
      </c>
    </row>
    <row r="879">
      <c r="A879" t="inlineStr">
        <is>
          <t>ORD00878</t>
        </is>
      </c>
      <c r="B879" t="inlineStr">
        <is>
          <t>C0878</t>
        </is>
      </c>
      <c r="C879" t="n">
        <v>2</v>
      </c>
      <c r="D879" t="inlineStr">
        <is>
          <t>Hub A</t>
        </is>
      </c>
      <c r="E879" t="n">
        <v>44</v>
      </c>
      <c r="F879" t="n">
        <v>22</v>
      </c>
    </row>
    <row r="880">
      <c r="A880" t="inlineStr">
        <is>
          <t>ORD00879</t>
        </is>
      </c>
      <c r="B880" t="inlineStr">
        <is>
          <t>C0879</t>
        </is>
      </c>
      <c r="C880" t="n">
        <v>3</v>
      </c>
      <c r="D880" t="inlineStr">
        <is>
          <t>Hub A</t>
        </is>
      </c>
      <c r="E880" t="n">
        <v>51</v>
      </c>
      <c r="F880" t="n">
        <v>22</v>
      </c>
    </row>
    <row r="881">
      <c r="A881" t="inlineStr">
        <is>
          <t>ORD00880</t>
        </is>
      </c>
      <c r="B881" t="inlineStr">
        <is>
          <t>C0880</t>
        </is>
      </c>
      <c r="C881" t="n">
        <v>1</v>
      </c>
      <c r="D881" t="inlineStr">
        <is>
          <t>Hub A</t>
        </is>
      </c>
      <c r="E881" t="n">
        <v>58</v>
      </c>
      <c r="F881" t="n">
        <v>22</v>
      </c>
    </row>
    <row r="882">
      <c r="A882" t="inlineStr">
        <is>
          <t>ORD00881</t>
        </is>
      </c>
      <c r="B882" t="inlineStr">
        <is>
          <t>C0881</t>
        </is>
      </c>
      <c r="C882" t="n">
        <v>2</v>
      </c>
      <c r="D882" t="inlineStr">
        <is>
          <t>Hub A</t>
        </is>
      </c>
      <c r="E882" t="n">
        <v>65</v>
      </c>
      <c r="F882" t="n">
        <v>22</v>
      </c>
    </row>
    <row r="883">
      <c r="A883" t="inlineStr">
        <is>
          <t>ORD00882</t>
        </is>
      </c>
      <c r="B883" t="inlineStr">
        <is>
          <t>C0882</t>
        </is>
      </c>
      <c r="C883" t="n">
        <v>3</v>
      </c>
      <c r="D883" t="inlineStr">
        <is>
          <t>Hub A</t>
        </is>
      </c>
      <c r="E883" t="n">
        <v>72</v>
      </c>
      <c r="F883" t="n">
        <v>22</v>
      </c>
    </row>
    <row r="884">
      <c r="A884" t="inlineStr">
        <is>
          <t>ORD00883</t>
        </is>
      </c>
      <c r="B884" t="inlineStr">
        <is>
          <t>C0883</t>
        </is>
      </c>
      <c r="C884" t="n">
        <v>1</v>
      </c>
      <c r="D884" t="inlineStr">
        <is>
          <t>Hub A</t>
        </is>
      </c>
      <c r="E884" t="n">
        <v>19</v>
      </c>
      <c r="F884" t="n">
        <v>22</v>
      </c>
    </row>
    <row r="885">
      <c r="A885" t="inlineStr">
        <is>
          <t>ORD00884</t>
        </is>
      </c>
      <c r="B885" t="inlineStr">
        <is>
          <t>C0884</t>
        </is>
      </c>
      <c r="C885" t="n">
        <v>2</v>
      </c>
      <c r="D885" t="inlineStr">
        <is>
          <t>Hub A</t>
        </is>
      </c>
      <c r="E885" t="n">
        <v>26</v>
      </c>
      <c r="F885" t="n">
        <v>22</v>
      </c>
    </row>
    <row r="886">
      <c r="A886" t="inlineStr">
        <is>
          <t>ORD00885</t>
        </is>
      </c>
      <c r="B886" t="inlineStr">
        <is>
          <t>C0885</t>
        </is>
      </c>
      <c r="C886" t="n">
        <v>3</v>
      </c>
      <c r="D886" t="inlineStr">
        <is>
          <t>Hub A</t>
        </is>
      </c>
      <c r="E886" t="n">
        <v>33</v>
      </c>
      <c r="F886" t="n">
        <v>22</v>
      </c>
    </row>
    <row r="887">
      <c r="A887" t="inlineStr">
        <is>
          <t>ORD00886</t>
        </is>
      </c>
      <c r="B887" t="inlineStr">
        <is>
          <t>C0886</t>
        </is>
      </c>
      <c r="C887" t="n">
        <v>1</v>
      </c>
      <c r="D887" t="inlineStr">
        <is>
          <t>Hub A</t>
        </is>
      </c>
      <c r="E887" t="n">
        <v>40</v>
      </c>
      <c r="F887" t="n">
        <v>22</v>
      </c>
    </row>
    <row r="888">
      <c r="A888" t="inlineStr">
        <is>
          <t>ORD00887</t>
        </is>
      </c>
      <c r="B888" t="inlineStr">
        <is>
          <t>C0887</t>
        </is>
      </c>
      <c r="C888" t="n">
        <v>2</v>
      </c>
      <c r="D888" t="inlineStr">
        <is>
          <t>Hub A</t>
        </is>
      </c>
      <c r="E888" t="n">
        <v>47</v>
      </c>
      <c r="F888" t="n">
        <v>22</v>
      </c>
    </row>
    <row r="889">
      <c r="A889" t="inlineStr">
        <is>
          <t>ORD00888</t>
        </is>
      </c>
      <c r="B889" t="inlineStr">
        <is>
          <t>C0888</t>
        </is>
      </c>
      <c r="C889" t="n">
        <v>3</v>
      </c>
      <c r="D889" t="inlineStr">
        <is>
          <t>Hub A</t>
        </is>
      </c>
      <c r="E889" t="n">
        <v>54</v>
      </c>
      <c r="F889" t="n">
        <v>22</v>
      </c>
    </row>
    <row r="890">
      <c r="A890" t="inlineStr">
        <is>
          <t>ORD00889</t>
        </is>
      </c>
      <c r="B890" t="inlineStr">
        <is>
          <t>C0889</t>
        </is>
      </c>
      <c r="C890" t="n">
        <v>1</v>
      </c>
      <c r="D890" t="inlineStr">
        <is>
          <t>Hub A</t>
        </is>
      </c>
      <c r="E890" t="n">
        <v>61</v>
      </c>
      <c r="F890" t="n">
        <v>22</v>
      </c>
    </row>
    <row r="891">
      <c r="A891" t="inlineStr">
        <is>
          <t>ORD00890</t>
        </is>
      </c>
      <c r="B891" t="inlineStr">
        <is>
          <t>C0890</t>
        </is>
      </c>
      <c r="C891" t="n">
        <v>2</v>
      </c>
      <c r="D891" t="inlineStr">
        <is>
          <t>Hub A</t>
        </is>
      </c>
      <c r="E891" t="n">
        <v>68</v>
      </c>
      <c r="F891" t="n">
        <v>22</v>
      </c>
    </row>
    <row r="892">
      <c r="A892" t="inlineStr">
        <is>
          <t>ORD00891</t>
        </is>
      </c>
      <c r="B892" t="inlineStr">
        <is>
          <t>C0891</t>
        </is>
      </c>
      <c r="C892" t="n">
        <v>3</v>
      </c>
      <c r="D892" t="inlineStr">
        <is>
          <t>Hub A</t>
        </is>
      </c>
      <c r="E892" t="n">
        <v>75</v>
      </c>
      <c r="F892" t="n">
        <v>22</v>
      </c>
    </row>
    <row r="893">
      <c r="A893" t="inlineStr">
        <is>
          <t>ORD00892</t>
        </is>
      </c>
      <c r="B893" t="inlineStr">
        <is>
          <t>C0892</t>
        </is>
      </c>
      <c r="C893" t="n">
        <v>1</v>
      </c>
      <c r="D893" t="inlineStr">
        <is>
          <t>Hub A</t>
        </is>
      </c>
      <c r="E893" t="n">
        <v>22</v>
      </c>
      <c r="F893" t="n">
        <v>22</v>
      </c>
    </row>
    <row r="894">
      <c r="A894" t="inlineStr">
        <is>
          <t>ORD00893</t>
        </is>
      </c>
      <c r="B894" t="inlineStr">
        <is>
          <t>C0893</t>
        </is>
      </c>
      <c r="C894" t="n">
        <v>2</v>
      </c>
      <c r="D894" t="inlineStr">
        <is>
          <t>Hub A</t>
        </is>
      </c>
      <c r="E894" t="n">
        <v>29</v>
      </c>
      <c r="F894" t="n">
        <v>22</v>
      </c>
    </row>
    <row r="895">
      <c r="A895" t="inlineStr">
        <is>
          <t>ORD00894</t>
        </is>
      </c>
      <c r="B895" t="inlineStr">
        <is>
          <t>C0894</t>
        </is>
      </c>
      <c r="C895" t="n">
        <v>3</v>
      </c>
      <c r="D895" t="inlineStr">
        <is>
          <t>Hub A</t>
        </is>
      </c>
      <c r="E895" t="n">
        <v>36</v>
      </c>
      <c r="F895" t="n">
        <v>22</v>
      </c>
    </row>
    <row r="896">
      <c r="A896" t="inlineStr">
        <is>
          <t>ORD00895</t>
        </is>
      </c>
      <c r="B896" t="inlineStr">
        <is>
          <t>C0895</t>
        </is>
      </c>
      <c r="C896" t="n">
        <v>1</v>
      </c>
      <c r="D896" t="inlineStr">
        <is>
          <t>Hub A</t>
        </is>
      </c>
      <c r="E896" t="n">
        <v>43</v>
      </c>
      <c r="F896" t="n">
        <v>22</v>
      </c>
    </row>
    <row r="897">
      <c r="A897" t="inlineStr">
        <is>
          <t>ORD00896</t>
        </is>
      </c>
      <c r="B897" t="inlineStr">
        <is>
          <t>C0896</t>
        </is>
      </c>
      <c r="C897" t="n">
        <v>2</v>
      </c>
      <c r="D897" t="inlineStr">
        <is>
          <t>Hub A</t>
        </is>
      </c>
      <c r="E897" t="n">
        <v>50</v>
      </c>
      <c r="F897" t="n">
        <v>22</v>
      </c>
    </row>
    <row r="898">
      <c r="A898" t="inlineStr">
        <is>
          <t>ORD00897</t>
        </is>
      </c>
      <c r="B898" t="inlineStr">
        <is>
          <t>C0897</t>
        </is>
      </c>
      <c r="C898" t="n">
        <v>3</v>
      </c>
      <c r="D898" t="inlineStr">
        <is>
          <t>Hub A</t>
        </is>
      </c>
      <c r="E898" t="n">
        <v>57</v>
      </c>
      <c r="F898" t="n">
        <v>22</v>
      </c>
    </row>
    <row r="899">
      <c r="A899" t="inlineStr">
        <is>
          <t>ORD00898</t>
        </is>
      </c>
      <c r="B899" t="inlineStr">
        <is>
          <t>C0898</t>
        </is>
      </c>
      <c r="C899" t="n">
        <v>1</v>
      </c>
      <c r="D899" t="inlineStr">
        <is>
          <t>Hub A</t>
        </is>
      </c>
      <c r="E899" t="n">
        <v>64</v>
      </c>
      <c r="F899" t="n">
        <v>22</v>
      </c>
    </row>
    <row r="900">
      <c r="A900" t="inlineStr">
        <is>
          <t>ORD00899</t>
        </is>
      </c>
      <c r="B900" t="inlineStr">
        <is>
          <t>C0899</t>
        </is>
      </c>
      <c r="C900" t="n">
        <v>2</v>
      </c>
      <c r="D900" t="inlineStr">
        <is>
          <t>Hub A</t>
        </is>
      </c>
      <c r="E900" t="n">
        <v>71</v>
      </c>
      <c r="F900" t="n">
        <v>22</v>
      </c>
    </row>
    <row r="901">
      <c r="A901" t="inlineStr">
        <is>
          <t>ORD00900</t>
        </is>
      </c>
      <c r="B901" t="inlineStr">
        <is>
          <t>C0900</t>
        </is>
      </c>
      <c r="C901" t="n">
        <v>3</v>
      </c>
      <c r="D901" t="inlineStr">
        <is>
          <t>Hub A</t>
        </is>
      </c>
      <c r="E901" t="n">
        <v>18</v>
      </c>
      <c r="F901" t="n">
        <v>22</v>
      </c>
    </row>
    <row r="902">
      <c r="A902" t="inlineStr">
        <is>
          <t>ORD00901</t>
        </is>
      </c>
      <c r="B902" t="inlineStr">
        <is>
          <t>C0901</t>
        </is>
      </c>
      <c r="C902" t="n">
        <v>1</v>
      </c>
      <c r="D902" t="inlineStr">
        <is>
          <t>Hub A</t>
        </is>
      </c>
      <c r="E902" t="n">
        <v>25</v>
      </c>
      <c r="F902" t="n">
        <v>22</v>
      </c>
    </row>
    <row r="903">
      <c r="A903" t="inlineStr">
        <is>
          <t>ORD00902</t>
        </is>
      </c>
      <c r="B903" t="inlineStr">
        <is>
          <t>C0902</t>
        </is>
      </c>
      <c r="C903" t="n">
        <v>2</v>
      </c>
      <c r="D903" t="inlineStr">
        <is>
          <t>Hub A</t>
        </is>
      </c>
      <c r="E903" t="n">
        <v>32</v>
      </c>
      <c r="F903" t="n">
        <v>22</v>
      </c>
    </row>
    <row r="904">
      <c r="A904" t="inlineStr">
        <is>
          <t>ORD00903</t>
        </is>
      </c>
      <c r="B904" t="inlineStr">
        <is>
          <t>C0903</t>
        </is>
      </c>
      <c r="C904" t="n">
        <v>3</v>
      </c>
      <c r="D904" t="inlineStr">
        <is>
          <t>Hub A</t>
        </is>
      </c>
      <c r="E904" t="n">
        <v>39</v>
      </c>
      <c r="F904" t="n">
        <v>22</v>
      </c>
    </row>
    <row r="905">
      <c r="A905" t="inlineStr">
        <is>
          <t>ORD00904</t>
        </is>
      </c>
      <c r="B905" t="inlineStr">
        <is>
          <t>C0904</t>
        </is>
      </c>
      <c r="C905" t="n">
        <v>1</v>
      </c>
      <c r="D905" t="inlineStr">
        <is>
          <t>Hub A</t>
        </is>
      </c>
      <c r="E905" t="n">
        <v>46</v>
      </c>
      <c r="F905" t="n">
        <v>22</v>
      </c>
    </row>
    <row r="906">
      <c r="A906" t="inlineStr">
        <is>
          <t>ORD00905</t>
        </is>
      </c>
      <c r="B906" t="inlineStr">
        <is>
          <t>C0905</t>
        </is>
      </c>
      <c r="C906" t="n">
        <v>2</v>
      </c>
      <c r="D906" t="inlineStr">
        <is>
          <t>Hub A</t>
        </is>
      </c>
      <c r="E906" t="n">
        <v>53</v>
      </c>
      <c r="F906" t="n">
        <v>22</v>
      </c>
    </row>
    <row r="907">
      <c r="A907" t="inlineStr">
        <is>
          <t>ORD00906</t>
        </is>
      </c>
      <c r="B907" t="inlineStr">
        <is>
          <t>C0906</t>
        </is>
      </c>
      <c r="C907" t="n">
        <v>3</v>
      </c>
      <c r="D907" t="inlineStr">
        <is>
          <t>Hub A</t>
        </is>
      </c>
      <c r="E907" t="n">
        <v>60</v>
      </c>
      <c r="F907" t="n">
        <v>22</v>
      </c>
    </row>
    <row r="908">
      <c r="A908" t="inlineStr">
        <is>
          <t>ORD00907</t>
        </is>
      </c>
      <c r="B908" t="inlineStr">
        <is>
          <t>C0907</t>
        </is>
      </c>
      <c r="C908" t="n">
        <v>1</v>
      </c>
      <c r="D908" t="inlineStr">
        <is>
          <t>Hub A</t>
        </is>
      </c>
      <c r="E908" t="n">
        <v>67</v>
      </c>
      <c r="F908" t="n">
        <v>22</v>
      </c>
    </row>
    <row r="909">
      <c r="A909" t="inlineStr">
        <is>
          <t>ORD00908</t>
        </is>
      </c>
      <c r="B909" t="inlineStr">
        <is>
          <t>C0908</t>
        </is>
      </c>
      <c r="C909" t="n">
        <v>2</v>
      </c>
      <c r="D909" t="inlineStr">
        <is>
          <t>Hub A</t>
        </is>
      </c>
      <c r="E909" t="n">
        <v>74</v>
      </c>
      <c r="F909" t="n">
        <v>22</v>
      </c>
    </row>
    <row r="910">
      <c r="A910" t="inlineStr">
        <is>
          <t>ORD00909</t>
        </is>
      </c>
      <c r="B910" t="inlineStr">
        <is>
          <t>C0909</t>
        </is>
      </c>
      <c r="C910" t="n">
        <v>3</v>
      </c>
      <c r="D910" t="inlineStr">
        <is>
          <t>Hub A</t>
        </is>
      </c>
      <c r="E910" t="n">
        <v>21</v>
      </c>
      <c r="F910" t="n">
        <v>22</v>
      </c>
    </row>
    <row r="911">
      <c r="A911" t="inlineStr">
        <is>
          <t>ORD00910</t>
        </is>
      </c>
      <c r="B911" t="inlineStr">
        <is>
          <t>C0910</t>
        </is>
      </c>
      <c r="C911" t="n">
        <v>1</v>
      </c>
      <c r="D911" t="inlineStr">
        <is>
          <t>Hub A</t>
        </is>
      </c>
      <c r="E911" t="n">
        <v>28</v>
      </c>
      <c r="F911" t="n">
        <v>22</v>
      </c>
    </row>
    <row r="912">
      <c r="A912" t="inlineStr">
        <is>
          <t>ORD00911</t>
        </is>
      </c>
      <c r="B912" t="inlineStr">
        <is>
          <t>C0911</t>
        </is>
      </c>
      <c r="C912" t="n">
        <v>2</v>
      </c>
      <c r="D912" t="inlineStr">
        <is>
          <t>Hub A</t>
        </is>
      </c>
      <c r="E912" t="n">
        <v>35</v>
      </c>
      <c r="F912" t="n">
        <v>22</v>
      </c>
    </row>
    <row r="913">
      <c r="A913" t="inlineStr">
        <is>
          <t>ORD00912</t>
        </is>
      </c>
      <c r="B913" t="inlineStr">
        <is>
          <t>C0912</t>
        </is>
      </c>
      <c r="C913" t="n">
        <v>3</v>
      </c>
      <c r="D913" t="inlineStr">
        <is>
          <t>Hub A</t>
        </is>
      </c>
      <c r="E913" t="n">
        <v>42</v>
      </c>
      <c r="F913" t="n">
        <v>22</v>
      </c>
    </row>
    <row r="914">
      <c r="A914" t="inlineStr">
        <is>
          <t>ORD00913</t>
        </is>
      </c>
      <c r="B914" t="inlineStr">
        <is>
          <t>C0913</t>
        </is>
      </c>
      <c r="C914" t="n">
        <v>1</v>
      </c>
      <c r="D914" t="inlineStr">
        <is>
          <t>Hub A</t>
        </is>
      </c>
      <c r="E914" t="n">
        <v>49</v>
      </c>
      <c r="F914" t="n">
        <v>22</v>
      </c>
    </row>
    <row r="915">
      <c r="A915" t="inlineStr">
        <is>
          <t>ORD00914</t>
        </is>
      </c>
      <c r="B915" t="inlineStr">
        <is>
          <t>C0914</t>
        </is>
      </c>
      <c r="C915" t="n">
        <v>2</v>
      </c>
      <c r="D915" t="inlineStr">
        <is>
          <t>Hub A</t>
        </is>
      </c>
      <c r="E915" t="n">
        <v>56</v>
      </c>
      <c r="F915" t="n">
        <v>22</v>
      </c>
    </row>
    <row r="916">
      <c r="A916" t="inlineStr">
        <is>
          <t>ORD00915</t>
        </is>
      </c>
      <c r="B916" t="inlineStr">
        <is>
          <t>C0915</t>
        </is>
      </c>
      <c r="C916" t="n">
        <v>3</v>
      </c>
      <c r="D916" t="inlineStr">
        <is>
          <t>Hub A</t>
        </is>
      </c>
      <c r="E916" t="n">
        <v>63</v>
      </c>
      <c r="F916" t="n">
        <v>22</v>
      </c>
    </row>
    <row r="917">
      <c r="A917" t="inlineStr">
        <is>
          <t>ORD00916</t>
        </is>
      </c>
      <c r="B917" t="inlineStr">
        <is>
          <t>C0916</t>
        </is>
      </c>
      <c r="C917" t="n">
        <v>1</v>
      </c>
      <c r="D917" t="inlineStr">
        <is>
          <t>Hub A</t>
        </is>
      </c>
      <c r="E917" t="n">
        <v>70</v>
      </c>
      <c r="F917" t="n">
        <v>22</v>
      </c>
    </row>
    <row r="918">
      <c r="A918" t="inlineStr">
        <is>
          <t>ORD00917</t>
        </is>
      </c>
      <c r="B918" t="inlineStr">
        <is>
          <t>C0917</t>
        </is>
      </c>
      <c r="C918" t="n">
        <v>2</v>
      </c>
      <c r="D918" t="inlineStr">
        <is>
          <t>Hub A</t>
        </is>
      </c>
      <c r="E918" t="n">
        <v>77</v>
      </c>
      <c r="F918" t="n">
        <v>22</v>
      </c>
    </row>
    <row r="919">
      <c r="A919" t="inlineStr">
        <is>
          <t>ORD00918</t>
        </is>
      </c>
      <c r="B919" t="inlineStr">
        <is>
          <t>C0918</t>
        </is>
      </c>
      <c r="C919" t="n">
        <v>3</v>
      </c>
      <c r="D919" t="inlineStr">
        <is>
          <t>Hub A</t>
        </is>
      </c>
      <c r="E919" t="n">
        <v>24</v>
      </c>
      <c r="F919" t="n">
        <v>22</v>
      </c>
    </row>
    <row r="920">
      <c r="A920" t="inlineStr">
        <is>
          <t>ORD00919</t>
        </is>
      </c>
      <c r="B920" t="inlineStr">
        <is>
          <t>C0919</t>
        </is>
      </c>
      <c r="C920" t="n">
        <v>1</v>
      </c>
      <c r="D920" t="inlineStr">
        <is>
          <t>Hub A</t>
        </is>
      </c>
      <c r="E920" t="n">
        <v>31</v>
      </c>
      <c r="F920" t="n">
        <v>22</v>
      </c>
    </row>
    <row r="921">
      <c r="A921" t="inlineStr">
        <is>
          <t>ORD00920</t>
        </is>
      </c>
      <c r="B921" t="inlineStr">
        <is>
          <t>C0920</t>
        </is>
      </c>
      <c r="C921" t="n">
        <v>2</v>
      </c>
      <c r="D921" t="inlineStr">
        <is>
          <t>Hub A</t>
        </is>
      </c>
      <c r="E921" t="n">
        <v>38</v>
      </c>
      <c r="F921" t="n">
        <v>22</v>
      </c>
    </row>
    <row r="922">
      <c r="A922" t="inlineStr">
        <is>
          <t>ORD00921</t>
        </is>
      </c>
      <c r="B922" t="inlineStr">
        <is>
          <t>C0921</t>
        </is>
      </c>
      <c r="C922" t="n">
        <v>3</v>
      </c>
      <c r="D922" t="inlineStr">
        <is>
          <t>Hub A</t>
        </is>
      </c>
      <c r="E922" t="n">
        <v>45</v>
      </c>
      <c r="F922" t="n">
        <v>22</v>
      </c>
    </row>
    <row r="923">
      <c r="A923" t="inlineStr">
        <is>
          <t>ORD00922</t>
        </is>
      </c>
      <c r="B923" t="inlineStr">
        <is>
          <t>C0922</t>
        </is>
      </c>
      <c r="C923" t="n">
        <v>1</v>
      </c>
      <c r="D923" t="inlineStr">
        <is>
          <t>Hub A</t>
        </is>
      </c>
      <c r="E923" t="n">
        <v>52</v>
      </c>
      <c r="F923" t="n">
        <v>22</v>
      </c>
    </row>
    <row r="924">
      <c r="A924" t="inlineStr">
        <is>
          <t>ORD00923</t>
        </is>
      </c>
      <c r="B924" t="inlineStr">
        <is>
          <t>C0923</t>
        </is>
      </c>
      <c r="C924" t="n">
        <v>2</v>
      </c>
      <c r="D924" t="inlineStr">
        <is>
          <t>Hub A</t>
        </is>
      </c>
      <c r="E924" t="n">
        <v>59</v>
      </c>
      <c r="F924" t="n">
        <v>22</v>
      </c>
    </row>
    <row r="925">
      <c r="A925" t="inlineStr">
        <is>
          <t>ORD00924</t>
        </is>
      </c>
      <c r="B925" t="inlineStr">
        <is>
          <t>C0924</t>
        </is>
      </c>
      <c r="C925" t="n">
        <v>3</v>
      </c>
      <c r="D925" t="inlineStr">
        <is>
          <t>Hub A</t>
        </is>
      </c>
      <c r="E925" t="n">
        <v>66</v>
      </c>
      <c r="F925" t="n">
        <v>22</v>
      </c>
    </row>
    <row r="926">
      <c r="A926" t="inlineStr">
        <is>
          <t>ORD00925</t>
        </is>
      </c>
      <c r="B926" t="inlineStr">
        <is>
          <t>C0925</t>
        </is>
      </c>
      <c r="C926" t="n">
        <v>1</v>
      </c>
      <c r="D926" t="inlineStr">
        <is>
          <t>Hub A</t>
        </is>
      </c>
      <c r="E926" t="n">
        <v>73</v>
      </c>
      <c r="F926" t="n">
        <v>22</v>
      </c>
    </row>
    <row r="927">
      <c r="A927" t="inlineStr">
        <is>
          <t>ORD00926</t>
        </is>
      </c>
      <c r="B927" t="inlineStr">
        <is>
          <t>C0926</t>
        </is>
      </c>
      <c r="C927" t="n">
        <v>2</v>
      </c>
      <c r="D927" t="inlineStr">
        <is>
          <t>Hub A</t>
        </is>
      </c>
      <c r="E927" t="n">
        <v>20</v>
      </c>
      <c r="F927" t="n">
        <v>22</v>
      </c>
    </row>
    <row r="928">
      <c r="A928" t="inlineStr">
        <is>
          <t>ORD00927</t>
        </is>
      </c>
      <c r="B928" t="inlineStr">
        <is>
          <t>C0927</t>
        </is>
      </c>
      <c r="C928" t="n">
        <v>3</v>
      </c>
      <c r="D928" t="inlineStr">
        <is>
          <t>Hub A</t>
        </is>
      </c>
      <c r="E928" t="n">
        <v>27</v>
      </c>
      <c r="F928" t="n">
        <v>22</v>
      </c>
    </row>
    <row r="929">
      <c r="A929" t="inlineStr">
        <is>
          <t>ORD00928</t>
        </is>
      </c>
      <c r="B929" t="inlineStr">
        <is>
          <t>C0928</t>
        </is>
      </c>
      <c r="C929" t="n">
        <v>1</v>
      </c>
      <c r="D929" t="inlineStr">
        <is>
          <t>Hub A</t>
        </is>
      </c>
      <c r="E929" t="n">
        <v>34</v>
      </c>
      <c r="F929" t="n">
        <v>22</v>
      </c>
    </row>
    <row r="930">
      <c r="A930" t="inlineStr">
        <is>
          <t>ORD00929</t>
        </is>
      </c>
      <c r="B930" t="inlineStr">
        <is>
          <t>C0929</t>
        </is>
      </c>
      <c r="C930" t="n">
        <v>2</v>
      </c>
      <c r="D930" t="inlineStr">
        <is>
          <t>Hub A</t>
        </is>
      </c>
      <c r="E930" t="n">
        <v>41</v>
      </c>
      <c r="F930" t="n">
        <v>22</v>
      </c>
    </row>
    <row r="931">
      <c r="A931" t="inlineStr">
        <is>
          <t>ORD00930</t>
        </is>
      </c>
      <c r="B931" t="inlineStr">
        <is>
          <t>C0930</t>
        </is>
      </c>
      <c r="C931" t="n">
        <v>3</v>
      </c>
      <c r="D931" t="inlineStr">
        <is>
          <t>Hub A</t>
        </is>
      </c>
      <c r="E931" t="n">
        <v>48</v>
      </c>
      <c r="F931" t="n">
        <v>22</v>
      </c>
    </row>
    <row r="932">
      <c r="A932" t="inlineStr">
        <is>
          <t>ORD00931</t>
        </is>
      </c>
      <c r="B932" t="inlineStr">
        <is>
          <t>C0931</t>
        </is>
      </c>
      <c r="C932" t="n">
        <v>1</v>
      </c>
      <c r="D932" t="inlineStr">
        <is>
          <t>Hub A</t>
        </is>
      </c>
      <c r="E932" t="n">
        <v>55</v>
      </c>
      <c r="F932" t="n">
        <v>22</v>
      </c>
    </row>
    <row r="933">
      <c r="A933" t="inlineStr">
        <is>
          <t>ORD00932</t>
        </is>
      </c>
      <c r="B933" t="inlineStr">
        <is>
          <t>C0932</t>
        </is>
      </c>
      <c r="C933" t="n">
        <v>2</v>
      </c>
      <c r="D933" t="inlineStr">
        <is>
          <t>Hub A</t>
        </is>
      </c>
      <c r="E933" t="n">
        <v>62</v>
      </c>
      <c r="F933" t="n">
        <v>22</v>
      </c>
    </row>
    <row r="934">
      <c r="A934" t="inlineStr">
        <is>
          <t>ORD00933</t>
        </is>
      </c>
      <c r="B934" t="inlineStr">
        <is>
          <t>C0933</t>
        </is>
      </c>
      <c r="C934" t="n">
        <v>3</v>
      </c>
      <c r="D934" t="inlineStr">
        <is>
          <t>Hub A</t>
        </is>
      </c>
      <c r="E934" t="n">
        <v>69</v>
      </c>
      <c r="F934" t="n">
        <v>22</v>
      </c>
    </row>
    <row r="935">
      <c r="A935" t="inlineStr">
        <is>
          <t>ORD00934</t>
        </is>
      </c>
      <c r="B935" t="inlineStr">
        <is>
          <t>C0934</t>
        </is>
      </c>
      <c r="C935" t="n">
        <v>1</v>
      </c>
      <c r="D935" t="inlineStr">
        <is>
          <t>Hub A</t>
        </is>
      </c>
      <c r="E935" t="n">
        <v>76</v>
      </c>
      <c r="F935" t="n">
        <v>22</v>
      </c>
    </row>
    <row r="936">
      <c r="A936" t="inlineStr">
        <is>
          <t>ORD00935</t>
        </is>
      </c>
      <c r="B936" t="inlineStr">
        <is>
          <t>C0935</t>
        </is>
      </c>
      <c r="C936" t="n">
        <v>2</v>
      </c>
      <c r="D936" t="inlineStr">
        <is>
          <t>Hub A</t>
        </is>
      </c>
      <c r="E936" t="n">
        <v>23</v>
      </c>
      <c r="F936" t="n">
        <v>22</v>
      </c>
    </row>
    <row r="937">
      <c r="A937" t="inlineStr">
        <is>
          <t>ORD00936</t>
        </is>
      </c>
      <c r="B937" t="inlineStr">
        <is>
          <t>C0936</t>
        </is>
      </c>
      <c r="C937" t="n">
        <v>3</v>
      </c>
      <c r="D937" t="inlineStr">
        <is>
          <t>Hub A</t>
        </is>
      </c>
      <c r="E937" t="n">
        <v>30</v>
      </c>
      <c r="F937" t="n">
        <v>22</v>
      </c>
    </row>
    <row r="938">
      <c r="A938" t="inlineStr">
        <is>
          <t>ORD00937</t>
        </is>
      </c>
      <c r="B938" t="inlineStr">
        <is>
          <t>C0937</t>
        </is>
      </c>
      <c r="C938" t="n">
        <v>1</v>
      </c>
      <c r="D938" t="inlineStr">
        <is>
          <t>Hub A</t>
        </is>
      </c>
      <c r="E938" t="n">
        <v>37</v>
      </c>
      <c r="F938" t="n">
        <v>22</v>
      </c>
    </row>
    <row r="939">
      <c r="A939" t="inlineStr">
        <is>
          <t>ORD00938</t>
        </is>
      </c>
      <c r="B939" t="inlineStr">
        <is>
          <t>C0938</t>
        </is>
      </c>
      <c r="C939" t="n">
        <v>2</v>
      </c>
      <c r="D939" t="inlineStr">
        <is>
          <t>Hub A</t>
        </is>
      </c>
      <c r="E939" t="n">
        <v>44</v>
      </c>
      <c r="F939" t="n">
        <v>22</v>
      </c>
    </row>
    <row r="940">
      <c r="A940" t="inlineStr">
        <is>
          <t>ORD00939</t>
        </is>
      </c>
      <c r="B940" t="inlineStr">
        <is>
          <t>C0939</t>
        </is>
      </c>
      <c r="C940" t="n">
        <v>3</v>
      </c>
      <c r="D940" t="inlineStr">
        <is>
          <t>Hub A</t>
        </is>
      </c>
      <c r="E940" t="n">
        <v>51</v>
      </c>
      <c r="F940" t="n">
        <v>22</v>
      </c>
    </row>
    <row r="941">
      <c r="A941" t="inlineStr">
        <is>
          <t>ORD00940</t>
        </is>
      </c>
      <c r="B941" t="inlineStr">
        <is>
          <t>C0940</t>
        </is>
      </c>
      <c r="C941" t="n">
        <v>1</v>
      </c>
      <c r="D941" t="inlineStr">
        <is>
          <t>Hub A</t>
        </is>
      </c>
      <c r="E941" t="n">
        <v>58</v>
      </c>
      <c r="F941" t="n">
        <v>22</v>
      </c>
    </row>
    <row r="942">
      <c r="A942" t="inlineStr">
        <is>
          <t>ORD00941</t>
        </is>
      </c>
      <c r="B942" t="inlineStr">
        <is>
          <t>C0941</t>
        </is>
      </c>
      <c r="C942" t="n">
        <v>2</v>
      </c>
      <c r="D942" t="inlineStr">
        <is>
          <t>Hub A</t>
        </is>
      </c>
      <c r="E942" t="n">
        <v>65</v>
      </c>
      <c r="F942" t="n">
        <v>22</v>
      </c>
    </row>
    <row r="943">
      <c r="A943" t="inlineStr">
        <is>
          <t>ORD00942</t>
        </is>
      </c>
      <c r="B943" t="inlineStr">
        <is>
          <t>C0942</t>
        </is>
      </c>
      <c r="C943" t="n">
        <v>3</v>
      </c>
      <c r="D943" t="inlineStr">
        <is>
          <t>Hub A</t>
        </is>
      </c>
      <c r="E943" t="n">
        <v>72</v>
      </c>
      <c r="F943" t="n">
        <v>22</v>
      </c>
    </row>
    <row r="944">
      <c r="A944" t="inlineStr">
        <is>
          <t>ORD00943</t>
        </is>
      </c>
      <c r="B944" t="inlineStr">
        <is>
          <t>C0943</t>
        </is>
      </c>
      <c r="C944" t="n">
        <v>1</v>
      </c>
      <c r="D944" t="inlineStr">
        <is>
          <t>Hub A</t>
        </is>
      </c>
      <c r="E944" t="n">
        <v>19</v>
      </c>
      <c r="F944" t="n">
        <v>22</v>
      </c>
    </row>
    <row r="945">
      <c r="A945" t="inlineStr">
        <is>
          <t>ORD00944</t>
        </is>
      </c>
      <c r="B945" t="inlineStr">
        <is>
          <t>C0944</t>
        </is>
      </c>
      <c r="C945" t="n">
        <v>2</v>
      </c>
      <c r="D945" t="inlineStr">
        <is>
          <t>Hub A</t>
        </is>
      </c>
      <c r="E945" t="n">
        <v>26</v>
      </c>
      <c r="F945" t="n">
        <v>22</v>
      </c>
    </row>
    <row r="946">
      <c r="A946" t="inlineStr">
        <is>
          <t>ORD00945</t>
        </is>
      </c>
      <c r="B946" t="inlineStr">
        <is>
          <t>C0945</t>
        </is>
      </c>
      <c r="C946" t="n">
        <v>3</v>
      </c>
      <c r="D946" t="inlineStr">
        <is>
          <t>Hub A</t>
        </is>
      </c>
      <c r="E946" t="n">
        <v>33</v>
      </c>
      <c r="F946" t="n">
        <v>22</v>
      </c>
    </row>
    <row r="947">
      <c r="A947" t="inlineStr">
        <is>
          <t>ORD00946</t>
        </is>
      </c>
      <c r="B947" t="inlineStr">
        <is>
          <t>C0946</t>
        </is>
      </c>
      <c r="C947" t="n">
        <v>1</v>
      </c>
      <c r="D947" t="inlineStr">
        <is>
          <t>Hub A</t>
        </is>
      </c>
      <c r="E947" t="n">
        <v>40</v>
      </c>
      <c r="F947" t="n">
        <v>22</v>
      </c>
    </row>
    <row r="948">
      <c r="A948" t="inlineStr">
        <is>
          <t>ORD00947</t>
        </is>
      </c>
      <c r="B948" t="inlineStr">
        <is>
          <t>C0947</t>
        </is>
      </c>
      <c r="C948" t="n">
        <v>2</v>
      </c>
      <c r="D948" t="inlineStr">
        <is>
          <t>Hub A</t>
        </is>
      </c>
      <c r="E948" t="n">
        <v>47</v>
      </c>
      <c r="F948" t="n">
        <v>22</v>
      </c>
    </row>
    <row r="949">
      <c r="A949" t="inlineStr">
        <is>
          <t>ORD00948</t>
        </is>
      </c>
      <c r="B949" t="inlineStr">
        <is>
          <t>C0948</t>
        </is>
      </c>
      <c r="C949" t="n">
        <v>3</v>
      </c>
      <c r="D949" t="inlineStr">
        <is>
          <t>Hub A</t>
        </is>
      </c>
      <c r="E949" t="n">
        <v>54</v>
      </c>
      <c r="F949" t="n">
        <v>22</v>
      </c>
    </row>
    <row r="950">
      <c r="A950" t="inlineStr">
        <is>
          <t>ORD00949</t>
        </is>
      </c>
      <c r="B950" t="inlineStr">
        <is>
          <t>C0949</t>
        </is>
      </c>
      <c r="C950" t="n">
        <v>1</v>
      </c>
      <c r="D950" t="inlineStr">
        <is>
          <t>Hub A</t>
        </is>
      </c>
      <c r="E950" t="n">
        <v>61</v>
      </c>
      <c r="F950" t="n">
        <v>22</v>
      </c>
    </row>
    <row r="951">
      <c r="A951" t="inlineStr">
        <is>
          <t>ORD00950</t>
        </is>
      </c>
      <c r="B951" t="inlineStr">
        <is>
          <t>C0950</t>
        </is>
      </c>
      <c r="C951" t="n">
        <v>2</v>
      </c>
      <c r="D951" t="inlineStr">
        <is>
          <t>Hub A</t>
        </is>
      </c>
      <c r="E951" t="n">
        <v>68</v>
      </c>
      <c r="F951" t="n">
        <v>22</v>
      </c>
    </row>
    <row r="952">
      <c r="A952" t="inlineStr">
        <is>
          <t>ORD00951</t>
        </is>
      </c>
      <c r="B952" t="inlineStr">
        <is>
          <t>C0951</t>
        </is>
      </c>
      <c r="C952" t="n">
        <v>3</v>
      </c>
      <c r="D952" t="inlineStr">
        <is>
          <t>Hub A</t>
        </is>
      </c>
      <c r="E952" t="n">
        <v>75</v>
      </c>
      <c r="F952" t="n">
        <v>22</v>
      </c>
    </row>
    <row r="953">
      <c r="A953" t="inlineStr">
        <is>
          <t>ORD00952</t>
        </is>
      </c>
      <c r="B953" t="inlineStr">
        <is>
          <t>C0952</t>
        </is>
      </c>
      <c r="C953" t="n">
        <v>1</v>
      </c>
      <c r="D953" t="inlineStr">
        <is>
          <t>Hub A</t>
        </is>
      </c>
      <c r="E953" t="n">
        <v>22</v>
      </c>
      <c r="F953" t="n">
        <v>22</v>
      </c>
    </row>
    <row r="954">
      <c r="A954" t="inlineStr">
        <is>
          <t>ORD00953</t>
        </is>
      </c>
      <c r="B954" t="inlineStr">
        <is>
          <t>C0953</t>
        </is>
      </c>
      <c r="C954" t="n">
        <v>2</v>
      </c>
      <c r="D954" t="inlineStr">
        <is>
          <t>Hub A</t>
        </is>
      </c>
      <c r="E954" t="n">
        <v>29</v>
      </c>
      <c r="F954" t="n">
        <v>22</v>
      </c>
    </row>
    <row r="955">
      <c r="A955" t="inlineStr">
        <is>
          <t>ORD00954</t>
        </is>
      </c>
      <c r="B955" t="inlineStr">
        <is>
          <t>C0954</t>
        </is>
      </c>
      <c r="C955" t="n">
        <v>3</v>
      </c>
      <c r="D955" t="inlineStr">
        <is>
          <t>Hub A</t>
        </is>
      </c>
      <c r="E955" t="n">
        <v>36</v>
      </c>
      <c r="F955" t="n">
        <v>22</v>
      </c>
    </row>
    <row r="956">
      <c r="A956" t="inlineStr">
        <is>
          <t>ORD00955</t>
        </is>
      </c>
      <c r="B956" t="inlineStr">
        <is>
          <t>C0955</t>
        </is>
      </c>
      <c r="C956" t="n">
        <v>1</v>
      </c>
      <c r="D956" t="inlineStr">
        <is>
          <t>Hub A</t>
        </is>
      </c>
      <c r="E956" t="n">
        <v>43</v>
      </c>
      <c r="F956" t="n">
        <v>22</v>
      </c>
    </row>
    <row r="957">
      <c r="A957" t="inlineStr">
        <is>
          <t>ORD00956</t>
        </is>
      </c>
      <c r="B957" t="inlineStr">
        <is>
          <t>C0956</t>
        </is>
      </c>
      <c r="C957" t="n">
        <v>2</v>
      </c>
      <c r="D957" t="inlineStr">
        <is>
          <t>Hub A</t>
        </is>
      </c>
      <c r="E957" t="n">
        <v>50</v>
      </c>
      <c r="F957" t="n">
        <v>22</v>
      </c>
    </row>
    <row r="958">
      <c r="A958" t="inlineStr">
        <is>
          <t>ORD00957</t>
        </is>
      </c>
      <c r="B958" t="inlineStr">
        <is>
          <t>C0957</t>
        </is>
      </c>
      <c r="C958" t="n">
        <v>3</v>
      </c>
      <c r="D958" t="inlineStr">
        <is>
          <t>Hub A</t>
        </is>
      </c>
      <c r="E958" t="n">
        <v>57</v>
      </c>
      <c r="F958" t="n">
        <v>22</v>
      </c>
    </row>
    <row r="959">
      <c r="A959" t="inlineStr">
        <is>
          <t>ORD00958</t>
        </is>
      </c>
      <c r="B959" t="inlineStr">
        <is>
          <t>C0958</t>
        </is>
      </c>
      <c r="C959" t="n">
        <v>1</v>
      </c>
      <c r="D959" t="inlineStr">
        <is>
          <t>Hub A</t>
        </is>
      </c>
      <c r="E959" t="n">
        <v>64</v>
      </c>
      <c r="F959" t="n">
        <v>22</v>
      </c>
    </row>
    <row r="960">
      <c r="A960" t="inlineStr">
        <is>
          <t>ORD00959</t>
        </is>
      </c>
      <c r="B960" t="inlineStr">
        <is>
          <t>C0959</t>
        </is>
      </c>
      <c r="C960" t="n">
        <v>2</v>
      </c>
      <c r="D960" t="inlineStr">
        <is>
          <t>Hub A</t>
        </is>
      </c>
      <c r="E960" t="n">
        <v>71</v>
      </c>
      <c r="F960" t="n">
        <v>22</v>
      </c>
    </row>
    <row r="961">
      <c r="A961" t="inlineStr">
        <is>
          <t>ORD00960</t>
        </is>
      </c>
      <c r="B961" t="inlineStr">
        <is>
          <t>C0960</t>
        </is>
      </c>
      <c r="C961" t="n">
        <v>3</v>
      </c>
      <c r="D961" t="inlineStr">
        <is>
          <t>Hub A</t>
        </is>
      </c>
      <c r="E961" t="n">
        <v>18</v>
      </c>
      <c r="F961" t="n">
        <v>22</v>
      </c>
    </row>
    <row r="962">
      <c r="A962" t="inlineStr">
        <is>
          <t>ORD00961</t>
        </is>
      </c>
      <c r="B962" t="inlineStr">
        <is>
          <t>C0961</t>
        </is>
      </c>
      <c r="C962" t="n">
        <v>1</v>
      </c>
      <c r="D962" t="inlineStr">
        <is>
          <t>Hub A</t>
        </is>
      </c>
      <c r="E962" t="n">
        <v>25</v>
      </c>
      <c r="F962" t="n">
        <v>22</v>
      </c>
    </row>
    <row r="963">
      <c r="A963" t="inlineStr">
        <is>
          <t>ORD00962</t>
        </is>
      </c>
      <c r="B963" t="inlineStr">
        <is>
          <t>C0962</t>
        </is>
      </c>
      <c r="C963" t="n">
        <v>2</v>
      </c>
      <c r="D963" t="inlineStr">
        <is>
          <t>Hub A</t>
        </is>
      </c>
      <c r="E963" t="n">
        <v>32</v>
      </c>
      <c r="F963" t="n">
        <v>22</v>
      </c>
    </row>
    <row r="964">
      <c r="A964" t="inlineStr">
        <is>
          <t>ORD00963</t>
        </is>
      </c>
      <c r="B964" t="inlineStr">
        <is>
          <t>C0963</t>
        </is>
      </c>
      <c r="C964" t="n">
        <v>3</v>
      </c>
      <c r="D964" t="inlineStr">
        <is>
          <t>Hub A</t>
        </is>
      </c>
      <c r="E964" t="n">
        <v>39</v>
      </c>
      <c r="F964" t="n">
        <v>22</v>
      </c>
    </row>
    <row r="965">
      <c r="A965" t="inlineStr">
        <is>
          <t>ORD00964</t>
        </is>
      </c>
      <c r="B965" t="inlineStr">
        <is>
          <t>C0964</t>
        </is>
      </c>
      <c r="C965" t="n">
        <v>1</v>
      </c>
      <c r="D965" t="inlineStr">
        <is>
          <t>Hub A</t>
        </is>
      </c>
      <c r="E965" t="n">
        <v>46</v>
      </c>
      <c r="F965" t="n">
        <v>22</v>
      </c>
    </row>
    <row r="966">
      <c r="A966" t="inlineStr">
        <is>
          <t>ORD00965</t>
        </is>
      </c>
      <c r="B966" t="inlineStr">
        <is>
          <t>C0965</t>
        </is>
      </c>
      <c r="C966" t="n">
        <v>2</v>
      </c>
      <c r="D966" t="inlineStr">
        <is>
          <t>Hub A</t>
        </is>
      </c>
      <c r="E966" t="n">
        <v>53</v>
      </c>
      <c r="F966" t="n">
        <v>22</v>
      </c>
    </row>
    <row r="967">
      <c r="A967" t="inlineStr">
        <is>
          <t>ORD00966</t>
        </is>
      </c>
      <c r="B967" t="inlineStr">
        <is>
          <t>C0966</t>
        </is>
      </c>
      <c r="C967" t="n">
        <v>3</v>
      </c>
      <c r="D967" t="inlineStr">
        <is>
          <t>Hub A</t>
        </is>
      </c>
      <c r="E967" t="n">
        <v>60</v>
      </c>
      <c r="F967" t="n">
        <v>22</v>
      </c>
    </row>
    <row r="968">
      <c r="A968" t="inlineStr">
        <is>
          <t>ORD00967</t>
        </is>
      </c>
      <c r="B968" t="inlineStr">
        <is>
          <t>C0967</t>
        </is>
      </c>
      <c r="C968" t="n">
        <v>1</v>
      </c>
      <c r="D968" t="inlineStr">
        <is>
          <t>Hub A</t>
        </is>
      </c>
      <c r="E968" t="n">
        <v>67</v>
      </c>
      <c r="F968" t="n">
        <v>22</v>
      </c>
    </row>
    <row r="969">
      <c r="A969" t="inlineStr">
        <is>
          <t>ORD00968</t>
        </is>
      </c>
      <c r="B969" t="inlineStr">
        <is>
          <t>C0968</t>
        </is>
      </c>
      <c r="C969" t="n">
        <v>2</v>
      </c>
      <c r="D969" t="inlineStr">
        <is>
          <t>Hub A</t>
        </is>
      </c>
      <c r="E969" t="n">
        <v>74</v>
      </c>
      <c r="F969" t="n">
        <v>22</v>
      </c>
    </row>
    <row r="970">
      <c r="A970" t="inlineStr">
        <is>
          <t>ORD00969</t>
        </is>
      </c>
      <c r="B970" t="inlineStr">
        <is>
          <t>C0969</t>
        </is>
      </c>
      <c r="C970" t="n">
        <v>3</v>
      </c>
      <c r="D970" t="inlineStr">
        <is>
          <t>Hub A</t>
        </is>
      </c>
      <c r="E970" t="n">
        <v>21</v>
      </c>
      <c r="F970" t="n">
        <v>22</v>
      </c>
    </row>
    <row r="971">
      <c r="A971" t="inlineStr">
        <is>
          <t>ORD00970</t>
        </is>
      </c>
      <c r="B971" t="inlineStr">
        <is>
          <t>C0970</t>
        </is>
      </c>
      <c r="C971" t="n">
        <v>1</v>
      </c>
      <c r="D971" t="inlineStr">
        <is>
          <t>Hub A</t>
        </is>
      </c>
      <c r="E971" t="n">
        <v>28</v>
      </c>
      <c r="F971" t="n">
        <v>22</v>
      </c>
    </row>
    <row r="972">
      <c r="A972" t="inlineStr">
        <is>
          <t>ORD00971</t>
        </is>
      </c>
      <c r="B972" t="inlineStr">
        <is>
          <t>C0971</t>
        </is>
      </c>
      <c r="C972" t="n">
        <v>2</v>
      </c>
      <c r="D972" t="inlineStr">
        <is>
          <t>Hub A</t>
        </is>
      </c>
      <c r="E972" t="n">
        <v>35</v>
      </c>
      <c r="F972" t="n">
        <v>22</v>
      </c>
    </row>
    <row r="973">
      <c r="A973" t="inlineStr">
        <is>
          <t>ORD00972</t>
        </is>
      </c>
      <c r="B973" t="inlineStr">
        <is>
          <t>C0972</t>
        </is>
      </c>
      <c r="C973" t="n">
        <v>3</v>
      </c>
      <c r="D973" t="inlineStr">
        <is>
          <t>Hub A</t>
        </is>
      </c>
      <c r="E973" t="n">
        <v>42</v>
      </c>
      <c r="F973" t="n">
        <v>22</v>
      </c>
    </row>
    <row r="974">
      <c r="A974" t="inlineStr">
        <is>
          <t>ORD00973</t>
        </is>
      </c>
      <c r="B974" t="inlineStr">
        <is>
          <t>C0973</t>
        </is>
      </c>
      <c r="C974" t="n">
        <v>1</v>
      </c>
      <c r="D974" t="inlineStr">
        <is>
          <t>Hub A</t>
        </is>
      </c>
      <c r="E974" t="n">
        <v>49</v>
      </c>
      <c r="F974" t="n">
        <v>22</v>
      </c>
    </row>
    <row r="975">
      <c r="A975" t="inlineStr">
        <is>
          <t>ORD00974</t>
        </is>
      </c>
      <c r="B975" t="inlineStr">
        <is>
          <t>C0974</t>
        </is>
      </c>
      <c r="C975" t="n">
        <v>2</v>
      </c>
      <c r="D975" t="inlineStr">
        <is>
          <t>Hub A</t>
        </is>
      </c>
      <c r="E975" t="n">
        <v>56</v>
      </c>
      <c r="F975" t="n">
        <v>22</v>
      </c>
    </row>
    <row r="976">
      <c r="A976" t="inlineStr">
        <is>
          <t>ORD00975</t>
        </is>
      </c>
      <c r="B976" t="inlineStr">
        <is>
          <t>C0975</t>
        </is>
      </c>
      <c r="C976" t="n">
        <v>3</v>
      </c>
      <c r="D976" t="inlineStr">
        <is>
          <t>Hub A</t>
        </is>
      </c>
      <c r="E976" t="n">
        <v>63</v>
      </c>
      <c r="F976" t="n">
        <v>22</v>
      </c>
    </row>
    <row r="977">
      <c r="A977" t="inlineStr">
        <is>
          <t>ORD00976</t>
        </is>
      </c>
      <c r="B977" t="inlineStr">
        <is>
          <t>C0976</t>
        </is>
      </c>
      <c r="C977" t="n">
        <v>1</v>
      </c>
      <c r="D977" t="inlineStr">
        <is>
          <t>Hub A</t>
        </is>
      </c>
      <c r="E977" t="n">
        <v>70</v>
      </c>
      <c r="F977" t="n">
        <v>22</v>
      </c>
    </row>
    <row r="978">
      <c r="A978" t="inlineStr">
        <is>
          <t>ORD00977</t>
        </is>
      </c>
      <c r="B978" t="inlineStr">
        <is>
          <t>C0977</t>
        </is>
      </c>
      <c r="C978" t="n">
        <v>2</v>
      </c>
      <c r="D978" t="inlineStr">
        <is>
          <t>Hub A</t>
        </is>
      </c>
      <c r="E978" t="n">
        <v>77</v>
      </c>
      <c r="F978" t="n">
        <v>22</v>
      </c>
    </row>
    <row r="979">
      <c r="A979" t="inlineStr">
        <is>
          <t>ORD00978</t>
        </is>
      </c>
      <c r="B979" t="inlineStr">
        <is>
          <t>C0978</t>
        </is>
      </c>
      <c r="C979" t="n">
        <v>3</v>
      </c>
      <c r="D979" t="inlineStr">
        <is>
          <t>Hub A</t>
        </is>
      </c>
      <c r="E979" t="n">
        <v>24</v>
      </c>
      <c r="F979" t="n">
        <v>22</v>
      </c>
    </row>
    <row r="980">
      <c r="A980" t="inlineStr">
        <is>
          <t>ORD00979</t>
        </is>
      </c>
      <c r="B980" t="inlineStr">
        <is>
          <t>C0979</t>
        </is>
      </c>
      <c r="C980" t="n">
        <v>1</v>
      </c>
      <c r="D980" t="inlineStr">
        <is>
          <t>Hub A</t>
        </is>
      </c>
      <c r="E980" t="n">
        <v>31</v>
      </c>
      <c r="F980" t="n">
        <v>22</v>
      </c>
    </row>
    <row r="981">
      <c r="A981" t="inlineStr">
        <is>
          <t>ORD00980</t>
        </is>
      </c>
      <c r="B981" t="inlineStr">
        <is>
          <t>C0980</t>
        </is>
      </c>
      <c r="C981" t="n">
        <v>2</v>
      </c>
      <c r="D981" t="inlineStr">
        <is>
          <t>Hub A</t>
        </is>
      </c>
      <c r="E981" t="n">
        <v>38</v>
      </c>
      <c r="F981" t="n">
        <v>22</v>
      </c>
    </row>
    <row r="982">
      <c r="A982" t="inlineStr">
        <is>
          <t>ORD00981</t>
        </is>
      </c>
      <c r="B982" t="inlineStr">
        <is>
          <t>C0981</t>
        </is>
      </c>
      <c r="C982" t="n">
        <v>3</v>
      </c>
      <c r="D982" t="inlineStr">
        <is>
          <t>Hub A</t>
        </is>
      </c>
      <c r="E982" t="n">
        <v>45</v>
      </c>
      <c r="F982" t="n">
        <v>22</v>
      </c>
    </row>
    <row r="983">
      <c r="A983" t="inlineStr">
        <is>
          <t>ORD00982</t>
        </is>
      </c>
      <c r="B983" t="inlineStr">
        <is>
          <t>C0982</t>
        </is>
      </c>
      <c r="C983" t="n">
        <v>1</v>
      </c>
      <c r="D983" t="inlineStr">
        <is>
          <t>Hub A</t>
        </is>
      </c>
      <c r="E983" t="n">
        <v>52</v>
      </c>
      <c r="F983" t="n">
        <v>22</v>
      </c>
    </row>
    <row r="984">
      <c r="A984" t="inlineStr">
        <is>
          <t>ORD00983</t>
        </is>
      </c>
      <c r="B984" t="inlineStr">
        <is>
          <t>C0983</t>
        </is>
      </c>
      <c r="C984" t="n">
        <v>2</v>
      </c>
      <c r="D984" t="inlineStr">
        <is>
          <t>Hub A</t>
        </is>
      </c>
      <c r="E984" t="n">
        <v>59</v>
      </c>
      <c r="F984" t="n">
        <v>22</v>
      </c>
    </row>
    <row r="985">
      <c r="A985" t="inlineStr">
        <is>
          <t>ORD00984</t>
        </is>
      </c>
      <c r="B985" t="inlineStr">
        <is>
          <t>C0984</t>
        </is>
      </c>
      <c r="C985" t="n">
        <v>3</v>
      </c>
      <c r="D985" t="inlineStr">
        <is>
          <t>Hub A</t>
        </is>
      </c>
      <c r="E985" t="n">
        <v>66</v>
      </c>
      <c r="F985" t="n">
        <v>22</v>
      </c>
    </row>
    <row r="986">
      <c r="A986" t="inlineStr">
        <is>
          <t>ORD00985</t>
        </is>
      </c>
      <c r="B986" t="inlineStr">
        <is>
          <t>C0985</t>
        </is>
      </c>
      <c r="C986" t="n">
        <v>1</v>
      </c>
      <c r="D986" t="inlineStr">
        <is>
          <t>Hub A</t>
        </is>
      </c>
      <c r="E986" t="n">
        <v>73</v>
      </c>
      <c r="F986" t="n">
        <v>22</v>
      </c>
    </row>
    <row r="987">
      <c r="A987" t="inlineStr">
        <is>
          <t>ORD00986</t>
        </is>
      </c>
      <c r="B987" t="inlineStr">
        <is>
          <t>C0986</t>
        </is>
      </c>
      <c r="C987" t="n">
        <v>2</v>
      </c>
      <c r="D987" t="inlineStr">
        <is>
          <t>Hub A</t>
        </is>
      </c>
      <c r="E987" t="n">
        <v>20</v>
      </c>
      <c r="F987" t="n">
        <v>22</v>
      </c>
    </row>
    <row r="988">
      <c r="A988" t="inlineStr">
        <is>
          <t>ORD00987</t>
        </is>
      </c>
      <c r="B988" t="inlineStr">
        <is>
          <t>C0987</t>
        </is>
      </c>
      <c r="C988" t="n">
        <v>3</v>
      </c>
      <c r="D988" t="inlineStr">
        <is>
          <t>Hub A</t>
        </is>
      </c>
      <c r="E988" t="n">
        <v>27</v>
      </c>
      <c r="F988" t="n">
        <v>22</v>
      </c>
    </row>
    <row r="989">
      <c r="A989" t="inlineStr">
        <is>
          <t>ORD00988</t>
        </is>
      </c>
      <c r="B989" t="inlineStr">
        <is>
          <t>C0988</t>
        </is>
      </c>
      <c r="C989" t="n">
        <v>1</v>
      </c>
      <c r="D989" t="inlineStr">
        <is>
          <t>Hub A</t>
        </is>
      </c>
      <c r="E989" t="n">
        <v>34</v>
      </c>
      <c r="F989" t="n">
        <v>22</v>
      </c>
    </row>
    <row r="990">
      <c r="A990" t="inlineStr">
        <is>
          <t>ORD00989</t>
        </is>
      </c>
      <c r="B990" t="inlineStr">
        <is>
          <t>C0989</t>
        </is>
      </c>
      <c r="C990" t="n">
        <v>2</v>
      </c>
      <c r="D990" t="inlineStr">
        <is>
          <t>Hub A</t>
        </is>
      </c>
      <c r="E990" t="n">
        <v>41</v>
      </c>
      <c r="F990" t="n">
        <v>22</v>
      </c>
    </row>
    <row r="991">
      <c r="A991" t="inlineStr">
        <is>
          <t>ORD00990</t>
        </is>
      </c>
      <c r="B991" t="inlineStr">
        <is>
          <t>C0990</t>
        </is>
      </c>
      <c r="C991" t="n">
        <v>3</v>
      </c>
      <c r="D991" t="inlineStr">
        <is>
          <t>Hub A</t>
        </is>
      </c>
      <c r="E991" t="n">
        <v>48</v>
      </c>
      <c r="F991" t="n">
        <v>22</v>
      </c>
    </row>
    <row r="992">
      <c r="A992" t="inlineStr">
        <is>
          <t>ORD00991</t>
        </is>
      </c>
      <c r="B992" t="inlineStr">
        <is>
          <t>C0991</t>
        </is>
      </c>
      <c r="C992" t="n">
        <v>1</v>
      </c>
      <c r="D992" t="inlineStr">
        <is>
          <t>Hub A</t>
        </is>
      </c>
      <c r="E992" t="n">
        <v>55</v>
      </c>
      <c r="F992" t="n">
        <v>22</v>
      </c>
    </row>
    <row r="993">
      <c r="A993" t="inlineStr">
        <is>
          <t>ORD00992</t>
        </is>
      </c>
      <c r="B993" t="inlineStr">
        <is>
          <t>C0992</t>
        </is>
      </c>
      <c r="C993" t="n">
        <v>2</v>
      </c>
      <c r="D993" t="inlineStr">
        <is>
          <t>Hub A</t>
        </is>
      </c>
      <c r="E993" t="n">
        <v>62</v>
      </c>
      <c r="F993" t="n">
        <v>22</v>
      </c>
    </row>
    <row r="994">
      <c r="A994" t="inlineStr">
        <is>
          <t>ORD00993</t>
        </is>
      </c>
      <c r="B994" t="inlineStr">
        <is>
          <t>C0993</t>
        </is>
      </c>
      <c r="C994" t="n">
        <v>3</v>
      </c>
      <c r="D994" t="inlineStr">
        <is>
          <t>Hub A</t>
        </is>
      </c>
      <c r="E994" t="n">
        <v>69</v>
      </c>
      <c r="F994" t="n">
        <v>22</v>
      </c>
    </row>
    <row r="995">
      <c r="A995" t="inlineStr">
        <is>
          <t>ORD00994</t>
        </is>
      </c>
      <c r="B995" t="inlineStr">
        <is>
          <t>C0994</t>
        </is>
      </c>
      <c r="C995" t="n">
        <v>1</v>
      </c>
      <c r="D995" t="inlineStr">
        <is>
          <t>Hub A</t>
        </is>
      </c>
      <c r="E995" t="n">
        <v>76</v>
      </c>
      <c r="F995" t="n">
        <v>22</v>
      </c>
    </row>
    <row r="996">
      <c r="A996" t="inlineStr">
        <is>
          <t>ORD00995</t>
        </is>
      </c>
      <c r="B996" t="inlineStr">
        <is>
          <t>C0995</t>
        </is>
      </c>
      <c r="C996" t="n">
        <v>2</v>
      </c>
      <c r="D996" t="inlineStr">
        <is>
          <t>Hub A</t>
        </is>
      </c>
      <c r="E996" t="n">
        <v>23</v>
      </c>
      <c r="F996" t="n">
        <v>22</v>
      </c>
    </row>
    <row r="997">
      <c r="A997" t="inlineStr">
        <is>
          <t>ORD00996</t>
        </is>
      </c>
      <c r="B997" t="inlineStr">
        <is>
          <t>C0996</t>
        </is>
      </c>
      <c r="C997" t="n">
        <v>3</v>
      </c>
      <c r="D997" t="inlineStr">
        <is>
          <t>Hub A</t>
        </is>
      </c>
      <c r="E997" t="n">
        <v>30</v>
      </c>
      <c r="F997" t="n">
        <v>22</v>
      </c>
    </row>
    <row r="998">
      <c r="A998" t="inlineStr">
        <is>
          <t>ORD00997</t>
        </is>
      </c>
      <c r="B998" t="inlineStr">
        <is>
          <t>C0997</t>
        </is>
      </c>
      <c r="C998" t="n">
        <v>1</v>
      </c>
      <c r="D998" t="inlineStr">
        <is>
          <t>Hub A</t>
        </is>
      </c>
      <c r="E998" t="n">
        <v>37</v>
      </c>
      <c r="F998" t="n">
        <v>22</v>
      </c>
    </row>
    <row r="999">
      <c r="A999" t="inlineStr">
        <is>
          <t>ORD00998</t>
        </is>
      </c>
      <c r="B999" t="inlineStr">
        <is>
          <t>C0998</t>
        </is>
      </c>
      <c r="C999" t="n">
        <v>2</v>
      </c>
      <c r="D999" t="inlineStr">
        <is>
          <t>Hub A</t>
        </is>
      </c>
      <c r="E999" t="n">
        <v>44</v>
      </c>
      <c r="F999" t="n">
        <v>22</v>
      </c>
    </row>
    <row r="1000">
      <c r="A1000" t="inlineStr">
        <is>
          <t>ORD00999</t>
        </is>
      </c>
      <c r="B1000" t="inlineStr">
        <is>
          <t>C0999</t>
        </is>
      </c>
      <c r="C1000" t="n">
        <v>3</v>
      </c>
      <c r="D1000" t="inlineStr">
        <is>
          <t>Hub A</t>
        </is>
      </c>
      <c r="E1000" t="n">
        <v>51</v>
      </c>
      <c r="F1000" t="n">
        <v>22</v>
      </c>
    </row>
    <row r="1001">
      <c r="A1001" t="inlineStr">
        <is>
          <t>ORD01000</t>
        </is>
      </c>
      <c r="B1001" t="inlineStr">
        <is>
          <t>C1000</t>
        </is>
      </c>
      <c r="C1001" t="n">
        <v>1</v>
      </c>
      <c r="D1001" t="inlineStr">
        <is>
          <t>Hub A</t>
        </is>
      </c>
      <c r="E1001" t="n">
        <v>58</v>
      </c>
      <c r="F1001" t="n">
        <v>22</v>
      </c>
    </row>
    <row r="1002">
      <c r="A1002" t="inlineStr">
        <is>
          <t>ORD01001</t>
        </is>
      </c>
      <c r="B1002" t="inlineStr">
        <is>
          <t>C1001</t>
        </is>
      </c>
      <c r="C1002" t="n">
        <v>2</v>
      </c>
      <c r="D1002" t="inlineStr">
        <is>
          <t>Hub A</t>
        </is>
      </c>
      <c r="E1002" t="n">
        <v>65</v>
      </c>
      <c r="F1002" t="n">
        <v>22</v>
      </c>
    </row>
    <row r="1003">
      <c r="A1003" t="inlineStr">
        <is>
          <t>ORD01002</t>
        </is>
      </c>
      <c r="B1003" t="inlineStr">
        <is>
          <t>C1002</t>
        </is>
      </c>
      <c r="C1003" t="n">
        <v>3</v>
      </c>
      <c r="D1003" t="inlineStr">
        <is>
          <t>Hub A</t>
        </is>
      </c>
      <c r="E1003" t="n">
        <v>72</v>
      </c>
      <c r="F1003" t="n">
        <v>22</v>
      </c>
    </row>
    <row r="1004">
      <c r="A1004" t="inlineStr">
        <is>
          <t>ORD01003</t>
        </is>
      </c>
      <c r="B1004" t="inlineStr">
        <is>
          <t>C1003</t>
        </is>
      </c>
      <c r="C1004" t="n">
        <v>1</v>
      </c>
      <c r="D1004" t="inlineStr">
        <is>
          <t>Hub A</t>
        </is>
      </c>
      <c r="E1004" t="n">
        <v>19</v>
      </c>
      <c r="F1004" t="n">
        <v>22</v>
      </c>
    </row>
    <row r="1005">
      <c r="A1005" t="inlineStr">
        <is>
          <t>ORD01004</t>
        </is>
      </c>
      <c r="B1005" t="inlineStr">
        <is>
          <t>C1004</t>
        </is>
      </c>
      <c r="C1005" t="n">
        <v>2</v>
      </c>
      <c r="D1005" t="inlineStr">
        <is>
          <t>Hub A</t>
        </is>
      </c>
      <c r="E1005" t="n">
        <v>26</v>
      </c>
      <c r="F1005" t="n">
        <v>22</v>
      </c>
    </row>
    <row r="1006">
      <c r="A1006" t="inlineStr">
        <is>
          <t>ORD01005</t>
        </is>
      </c>
      <c r="B1006" t="inlineStr">
        <is>
          <t>C1005</t>
        </is>
      </c>
      <c r="C1006" t="n">
        <v>3</v>
      </c>
      <c r="D1006" t="inlineStr">
        <is>
          <t>Hub A</t>
        </is>
      </c>
      <c r="E1006" t="n">
        <v>33</v>
      </c>
      <c r="F1006" t="n">
        <v>22</v>
      </c>
    </row>
    <row r="1007">
      <c r="A1007" t="inlineStr">
        <is>
          <t>ORD01006</t>
        </is>
      </c>
      <c r="B1007" t="inlineStr">
        <is>
          <t>C1006</t>
        </is>
      </c>
      <c r="C1007" t="n">
        <v>1</v>
      </c>
      <c r="D1007" t="inlineStr">
        <is>
          <t>Hub A</t>
        </is>
      </c>
      <c r="E1007" t="n">
        <v>40</v>
      </c>
      <c r="F1007" t="n">
        <v>22</v>
      </c>
    </row>
    <row r="1008">
      <c r="A1008" t="inlineStr">
        <is>
          <t>ORD01007</t>
        </is>
      </c>
      <c r="B1008" t="inlineStr">
        <is>
          <t>C1007</t>
        </is>
      </c>
      <c r="C1008" t="n">
        <v>2</v>
      </c>
      <c r="D1008" t="inlineStr">
        <is>
          <t>Hub A</t>
        </is>
      </c>
      <c r="E1008" t="n">
        <v>47</v>
      </c>
      <c r="F1008" t="n">
        <v>22</v>
      </c>
    </row>
    <row r="1009">
      <c r="A1009" t="inlineStr">
        <is>
          <t>ORD01008</t>
        </is>
      </c>
      <c r="B1009" t="inlineStr">
        <is>
          <t>C1008</t>
        </is>
      </c>
      <c r="C1009" t="n">
        <v>3</v>
      </c>
      <c r="D1009" t="inlineStr">
        <is>
          <t>Hub A</t>
        </is>
      </c>
      <c r="E1009" t="n">
        <v>54</v>
      </c>
      <c r="F1009" t="n">
        <v>22</v>
      </c>
    </row>
    <row r="1010">
      <c r="A1010" t="inlineStr">
        <is>
          <t>ORD01009</t>
        </is>
      </c>
      <c r="B1010" t="inlineStr">
        <is>
          <t>C1009</t>
        </is>
      </c>
      <c r="C1010" t="n">
        <v>1</v>
      </c>
      <c r="D1010" t="inlineStr">
        <is>
          <t>Hub A</t>
        </is>
      </c>
      <c r="E1010" t="n">
        <v>61</v>
      </c>
      <c r="F1010" t="n">
        <v>22</v>
      </c>
    </row>
    <row r="1011">
      <c r="A1011" t="inlineStr">
        <is>
          <t>ORD01010</t>
        </is>
      </c>
      <c r="B1011" t="inlineStr">
        <is>
          <t>C1010</t>
        </is>
      </c>
      <c r="C1011" t="n">
        <v>2</v>
      </c>
      <c r="D1011" t="inlineStr">
        <is>
          <t>Hub A</t>
        </is>
      </c>
      <c r="E1011" t="n">
        <v>68</v>
      </c>
      <c r="F1011" t="n">
        <v>22</v>
      </c>
    </row>
    <row r="1012">
      <c r="A1012" t="inlineStr">
        <is>
          <t>ORD01011</t>
        </is>
      </c>
      <c r="B1012" t="inlineStr">
        <is>
          <t>C1011</t>
        </is>
      </c>
      <c r="C1012" t="n">
        <v>3</v>
      </c>
      <c r="D1012" t="inlineStr">
        <is>
          <t>Hub A</t>
        </is>
      </c>
      <c r="E1012" t="n">
        <v>75</v>
      </c>
      <c r="F1012" t="n">
        <v>22</v>
      </c>
    </row>
    <row r="1013">
      <c r="A1013" t="inlineStr">
        <is>
          <t>ORD01012</t>
        </is>
      </c>
      <c r="B1013" t="inlineStr">
        <is>
          <t>C1012</t>
        </is>
      </c>
      <c r="C1013" t="n">
        <v>1</v>
      </c>
      <c r="D1013" t="inlineStr">
        <is>
          <t>Hub A</t>
        </is>
      </c>
      <c r="E1013" t="n">
        <v>22</v>
      </c>
      <c r="F1013" t="n">
        <v>22</v>
      </c>
    </row>
    <row r="1014">
      <c r="A1014" t="inlineStr">
        <is>
          <t>ORD01013</t>
        </is>
      </c>
      <c r="B1014" t="inlineStr">
        <is>
          <t>C1013</t>
        </is>
      </c>
      <c r="C1014" t="n">
        <v>2</v>
      </c>
      <c r="D1014" t="inlineStr">
        <is>
          <t>Hub A</t>
        </is>
      </c>
      <c r="E1014" t="n">
        <v>29</v>
      </c>
      <c r="F1014" t="n">
        <v>22</v>
      </c>
    </row>
    <row r="1015">
      <c r="A1015" t="inlineStr">
        <is>
          <t>ORD01014</t>
        </is>
      </c>
      <c r="B1015" t="inlineStr">
        <is>
          <t>C1014</t>
        </is>
      </c>
      <c r="C1015" t="n">
        <v>3</v>
      </c>
      <c r="D1015" t="inlineStr">
        <is>
          <t>Hub A</t>
        </is>
      </c>
      <c r="E1015" t="n">
        <v>36</v>
      </c>
      <c r="F1015" t="n">
        <v>22</v>
      </c>
    </row>
    <row r="1016">
      <c r="A1016" t="inlineStr">
        <is>
          <t>ORD01015</t>
        </is>
      </c>
      <c r="B1016" t="inlineStr">
        <is>
          <t>C1015</t>
        </is>
      </c>
      <c r="C1016" t="n">
        <v>1</v>
      </c>
      <c r="D1016" t="inlineStr">
        <is>
          <t>Hub A</t>
        </is>
      </c>
      <c r="E1016" t="n">
        <v>43</v>
      </c>
      <c r="F1016" t="n">
        <v>22</v>
      </c>
    </row>
    <row r="1017">
      <c r="A1017" t="inlineStr">
        <is>
          <t>ORD01016</t>
        </is>
      </c>
      <c r="B1017" t="inlineStr">
        <is>
          <t>C1016</t>
        </is>
      </c>
      <c r="C1017" t="n">
        <v>2</v>
      </c>
      <c r="D1017" t="inlineStr">
        <is>
          <t>Hub A</t>
        </is>
      </c>
      <c r="E1017" t="n">
        <v>50</v>
      </c>
      <c r="F1017" t="n">
        <v>22</v>
      </c>
    </row>
    <row r="1018">
      <c r="A1018" t="inlineStr">
        <is>
          <t>ORD01017</t>
        </is>
      </c>
      <c r="B1018" t="inlineStr">
        <is>
          <t>C1017</t>
        </is>
      </c>
      <c r="C1018" t="n">
        <v>3</v>
      </c>
      <c r="D1018" t="inlineStr">
        <is>
          <t>Hub A</t>
        </is>
      </c>
      <c r="E1018" t="n">
        <v>57</v>
      </c>
      <c r="F1018" t="n">
        <v>22</v>
      </c>
    </row>
    <row r="1019">
      <c r="A1019" t="inlineStr">
        <is>
          <t>ORD01018</t>
        </is>
      </c>
      <c r="B1019" t="inlineStr">
        <is>
          <t>C1018</t>
        </is>
      </c>
      <c r="C1019" t="n">
        <v>1</v>
      </c>
      <c r="D1019" t="inlineStr">
        <is>
          <t>Hub A</t>
        </is>
      </c>
      <c r="E1019" t="n">
        <v>64</v>
      </c>
      <c r="F1019" t="n">
        <v>22</v>
      </c>
    </row>
    <row r="1020">
      <c r="A1020" t="inlineStr">
        <is>
          <t>ORD01019</t>
        </is>
      </c>
      <c r="B1020" t="inlineStr">
        <is>
          <t>C1019</t>
        </is>
      </c>
      <c r="C1020" t="n">
        <v>2</v>
      </c>
      <c r="D1020" t="inlineStr">
        <is>
          <t>Hub A</t>
        </is>
      </c>
      <c r="E1020" t="n">
        <v>71</v>
      </c>
      <c r="F1020" t="n">
        <v>22</v>
      </c>
    </row>
    <row r="1021">
      <c r="A1021" t="inlineStr">
        <is>
          <t>ORD01020</t>
        </is>
      </c>
      <c r="B1021" t="inlineStr">
        <is>
          <t>C1020</t>
        </is>
      </c>
      <c r="C1021" t="n">
        <v>3</v>
      </c>
      <c r="D1021" t="inlineStr">
        <is>
          <t>Hub A</t>
        </is>
      </c>
      <c r="E1021" t="n">
        <v>18</v>
      </c>
      <c r="F1021" t="n">
        <v>22</v>
      </c>
    </row>
    <row r="1022">
      <c r="A1022" t="inlineStr">
        <is>
          <t>ORD01021</t>
        </is>
      </c>
      <c r="B1022" t="inlineStr">
        <is>
          <t>C1021</t>
        </is>
      </c>
      <c r="C1022" t="n">
        <v>1</v>
      </c>
      <c r="D1022" t="inlineStr">
        <is>
          <t>Hub A</t>
        </is>
      </c>
      <c r="E1022" t="n">
        <v>25</v>
      </c>
      <c r="F1022" t="n">
        <v>22</v>
      </c>
    </row>
    <row r="1023">
      <c r="A1023" t="inlineStr">
        <is>
          <t>ORD01022</t>
        </is>
      </c>
      <c r="B1023" t="inlineStr">
        <is>
          <t>C1022</t>
        </is>
      </c>
      <c r="C1023" t="n">
        <v>2</v>
      </c>
      <c r="D1023" t="inlineStr">
        <is>
          <t>Hub A</t>
        </is>
      </c>
      <c r="E1023" t="n">
        <v>32</v>
      </c>
      <c r="F1023" t="n">
        <v>22</v>
      </c>
    </row>
    <row r="1024">
      <c r="A1024" t="inlineStr">
        <is>
          <t>ORD01023</t>
        </is>
      </c>
      <c r="B1024" t="inlineStr">
        <is>
          <t>C1023</t>
        </is>
      </c>
      <c r="C1024" t="n">
        <v>3</v>
      </c>
      <c r="D1024" t="inlineStr">
        <is>
          <t>Hub A</t>
        </is>
      </c>
      <c r="E1024" t="n">
        <v>39</v>
      </c>
      <c r="F1024" t="n">
        <v>22</v>
      </c>
    </row>
    <row r="1025">
      <c r="A1025" t="inlineStr">
        <is>
          <t>ORD01024</t>
        </is>
      </c>
      <c r="B1025" t="inlineStr">
        <is>
          <t>C1024</t>
        </is>
      </c>
      <c r="C1025" t="n">
        <v>1</v>
      </c>
      <c r="D1025" t="inlineStr">
        <is>
          <t>Hub A</t>
        </is>
      </c>
      <c r="E1025" t="n">
        <v>46</v>
      </c>
      <c r="F1025" t="n">
        <v>22</v>
      </c>
    </row>
    <row r="1026">
      <c r="A1026" t="inlineStr">
        <is>
          <t>ORD01025</t>
        </is>
      </c>
      <c r="B1026" t="inlineStr">
        <is>
          <t>C1025</t>
        </is>
      </c>
      <c r="C1026" t="n">
        <v>2</v>
      </c>
      <c r="D1026" t="inlineStr">
        <is>
          <t>Hub A</t>
        </is>
      </c>
      <c r="E1026" t="n">
        <v>53</v>
      </c>
      <c r="F1026" t="n">
        <v>22</v>
      </c>
    </row>
    <row r="1027">
      <c r="A1027" t="inlineStr">
        <is>
          <t>ORD01026</t>
        </is>
      </c>
      <c r="B1027" t="inlineStr">
        <is>
          <t>C1026</t>
        </is>
      </c>
      <c r="C1027" t="n">
        <v>3</v>
      </c>
      <c r="D1027" t="inlineStr">
        <is>
          <t>Hub A</t>
        </is>
      </c>
      <c r="E1027" t="n">
        <v>60</v>
      </c>
      <c r="F1027" t="n">
        <v>22</v>
      </c>
    </row>
    <row r="1028">
      <c r="A1028" t="inlineStr">
        <is>
          <t>ORD01027</t>
        </is>
      </c>
      <c r="B1028" t="inlineStr">
        <is>
          <t>C1027</t>
        </is>
      </c>
      <c r="C1028" t="n">
        <v>1</v>
      </c>
      <c r="D1028" t="inlineStr">
        <is>
          <t>Hub A</t>
        </is>
      </c>
      <c r="E1028" t="n">
        <v>67</v>
      </c>
      <c r="F1028" t="n">
        <v>22</v>
      </c>
    </row>
    <row r="1029">
      <c r="A1029" t="inlineStr">
        <is>
          <t>ORD01028</t>
        </is>
      </c>
      <c r="B1029" t="inlineStr">
        <is>
          <t>C1028</t>
        </is>
      </c>
      <c r="C1029" t="n">
        <v>2</v>
      </c>
      <c r="D1029" t="inlineStr">
        <is>
          <t>Hub A</t>
        </is>
      </c>
      <c r="E1029" t="n">
        <v>74</v>
      </c>
      <c r="F1029" t="n">
        <v>22</v>
      </c>
    </row>
    <row r="1030">
      <c r="A1030" t="inlineStr">
        <is>
          <t>ORD01029</t>
        </is>
      </c>
      <c r="B1030" t="inlineStr">
        <is>
          <t>C1029</t>
        </is>
      </c>
      <c r="C1030" t="n">
        <v>3</v>
      </c>
      <c r="D1030" t="inlineStr">
        <is>
          <t>Hub A</t>
        </is>
      </c>
      <c r="E1030" t="n">
        <v>21</v>
      </c>
      <c r="F1030" t="n">
        <v>22</v>
      </c>
    </row>
    <row r="1031">
      <c r="A1031" t="inlineStr">
        <is>
          <t>ORD01030</t>
        </is>
      </c>
      <c r="B1031" t="inlineStr">
        <is>
          <t>C1030</t>
        </is>
      </c>
      <c r="C1031" t="n">
        <v>1</v>
      </c>
      <c r="D1031" t="inlineStr">
        <is>
          <t>Hub A</t>
        </is>
      </c>
      <c r="E1031" t="n">
        <v>28</v>
      </c>
      <c r="F1031" t="n">
        <v>22</v>
      </c>
    </row>
    <row r="1032">
      <c r="A1032" t="inlineStr">
        <is>
          <t>ORD01031</t>
        </is>
      </c>
      <c r="B1032" t="inlineStr">
        <is>
          <t>C1031</t>
        </is>
      </c>
      <c r="C1032" t="n">
        <v>2</v>
      </c>
      <c r="D1032" t="inlineStr">
        <is>
          <t>Hub A</t>
        </is>
      </c>
      <c r="E1032" t="n">
        <v>35</v>
      </c>
      <c r="F1032" t="n">
        <v>22</v>
      </c>
    </row>
    <row r="1033">
      <c r="A1033" t="inlineStr">
        <is>
          <t>ORD01032</t>
        </is>
      </c>
      <c r="B1033" t="inlineStr">
        <is>
          <t>C1032</t>
        </is>
      </c>
      <c r="C1033" t="n">
        <v>3</v>
      </c>
      <c r="D1033" t="inlineStr">
        <is>
          <t>Hub A</t>
        </is>
      </c>
      <c r="E1033" t="n">
        <v>42</v>
      </c>
      <c r="F1033" t="n">
        <v>22</v>
      </c>
    </row>
    <row r="1034">
      <c r="A1034" t="inlineStr">
        <is>
          <t>ORD01033</t>
        </is>
      </c>
      <c r="B1034" t="inlineStr">
        <is>
          <t>C1033</t>
        </is>
      </c>
      <c r="C1034" t="n">
        <v>1</v>
      </c>
      <c r="D1034" t="inlineStr">
        <is>
          <t>Hub A</t>
        </is>
      </c>
      <c r="E1034" t="n">
        <v>49</v>
      </c>
      <c r="F1034" t="n">
        <v>22</v>
      </c>
    </row>
    <row r="1035">
      <c r="A1035" t="inlineStr">
        <is>
          <t>ORD01034</t>
        </is>
      </c>
      <c r="B1035" t="inlineStr">
        <is>
          <t>C1034</t>
        </is>
      </c>
      <c r="C1035" t="n">
        <v>2</v>
      </c>
      <c r="D1035" t="inlineStr">
        <is>
          <t>Hub A</t>
        </is>
      </c>
      <c r="E1035" t="n">
        <v>56</v>
      </c>
      <c r="F1035" t="n">
        <v>22</v>
      </c>
    </row>
    <row r="1036">
      <c r="A1036" t="inlineStr">
        <is>
          <t>ORD01035</t>
        </is>
      </c>
      <c r="B1036" t="inlineStr">
        <is>
          <t>C1035</t>
        </is>
      </c>
      <c r="C1036" t="n">
        <v>3</v>
      </c>
      <c r="D1036" t="inlineStr">
        <is>
          <t>Hub A</t>
        </is>
      </c>
      <c r="E1036" t="n">
        <v>63</v>
      </c>
      <c r="F1036" t="n">
        <v>22</v>
      </c>
    </row>
    <row r="1037">
      <c r="A1037" t="inlineStr">
        <is>
          <t>ORD01036</t>
        </is>
      </c>
      <c r="B1037" t="inlineStr">
        <is>
          <t>C1036</t>
        </is>
      </c>
      <c r="C1037" t="n">
        <v>1</v>
      </c>
      <c r="D1037" t="inlineStr">
        <is>
          <t>Hub A</t>
        </is>
      </c>
      <c r="E1037" t="n">
        <v>70</v>
      </c>
      <c r="F1037" t="n">
        <v>22</v>
      </c>
    </row>
    <row r="1038">
      <c r="A1038" t="inlineStr">
        <is>
          <t>ORD01037</t>
        </is>
      </c>
      <c r="B1038" t="inlineStr">
        <is>
          <t>C1037</t>
        </is>
      </c>
      <c r="C1038" t="n">
        <v>2</v>
      </c>
      <c r="D1038" t="inlineStr">
        <is>
          <t>Hub A</t>
        </is>
      </c>
      <c r="E1038" t="n">
        <v>77</v>
      </c>
      <c r="F1038" t="n">
        <v>22</v>
      </c>
    </row>
    <row r="1039">
      <c r="A1039" t="inlineStr">
        <is>
          <t>ORD01038</t>
        </is>
      </c>
      <c r="B1039" t="inlineStr">
        <is>
          <t>C1038</t>
        </is>
      </c>
      <c r="C1039" t="n">
        <v>3</v>
      </c>
      <c r="D1039" t="inlineStr">
        <is>
          <t>Hub A</t>
        </is>
      </c>
      <c r="E1039" t="n">
        <v>24</v>
      </c>
      <c r="F1039" t="n">
        <v>22</v>
      </c>
    </row>
    <row r="1040">
      <c r="A1040" t="inlineStr">
        <is>
          <t>ORD01039</t>
        </is>
      </c>
      <c r="B1040" t="inlineStr">
        <is>
          <t>C1039</t>
        </is>
      </c>
      <c r="C1040" t="n">
        <v>1</v>
      </c>
      <c r="D1040" t="inlineStr">
        <is>
          <t>Hub A</t>
        </is>
      </c>
      <c r="E1040" t="n">
        <v>31</v>
      </c>
      <c r="F1040" t="n">
        <v>22</v>
      </c>
    </row>
    <row r="1041">
      <c r="A1041" t="inlineStr">
        <is>
          <t>ORD01040</t>
        </is>
      </c>
      <c r="B1041" t="inlineStr">
        <is>
          <t>C1040</t>
        </is>
      </c>
      <c r="C1041" t="n">
        <v>2</v>
      </c>
      <c r="D1041" t="inlineStr">
        <is>
          <t>Hub A</t>
        </is>
      </c>
      <c r="E1041" t="n">
        <v>38</v>
      </c>
      <c r="F1041" t="n">
        <v>22</v>
      </c>
    </row>
    <row r="1042">
      <c r="A1042" t="inlineStr">
        <is>
          <t>ORD01041</t>
        </is>
      </c>
      <c r="B1042" t="inlineStr">
        <is>
          <t>C1041</t>
        </is>
      </c>
      <c r="C1042" t="n">
        <v>3</v>
      </c>
      <c r="D1042" t="inlineStr">
        <is>
          <t>Hub A</t>
        </is>
      </c>
      <c r="E1042" t="n">
        <v>45</v>
      </c>
      <c r="F1042" t="n">
        <v>22</v>
      </c>
    </row>
    <row r="1043">
      <c r="A1043" t="inlineStr">
        <is>
          <t>ORD01042</t>
        </is>
      </c>
      <c r="B1043" t="inlineStr">
        <is>
          <t>C1042</t>
        </is>
      </c>
      <c r="C1043" t="n">
        <v>1</v>
      </c>
      <c r="D1043" t="inlineStr">
        <is>
          <t>Hub A</t>
        </is>
      </c>
      <c r="E1043" t="n">
        <v>52</v>
      </c>
      <c r="F1043" t="n">
        <v>22</v>
      </c>
    </row>
    <row r="1044">
      <c r="A1044" t="inlineStr">
        <is>
          <t>ORD01043</t>
        </is>
      </c>
      <c r="B1044" t="inlineStr">
        <is>
          <t>C1043</t>
        </is>
      </c>
      <c r="C1044" t="n">
        <v>2</v>
      </c>
      <c r="D1044" t="inlineStr">
        <is>
          <t>Hub A</t>
        </is>
      </c>
      <c r="E1044" t="n">
        <v>59</v>
      </c>
      <c r="F1044" t="n">
        <v>22</v>
      </c>
    </row>
    <row r="1045">
      <c r="A1045" t="inlineStr">
        <is>
          <t>ORD01044</t>
        </is>
      </c>
      <c r="B1045" t="inlineStr">
        <is>
          <t>C1044</t>
        </is>
      </c>
      <c r="C1045" t="n">
        <v>3</v>
      </c>
      <c r="D1045" t="inlineStr">
        <is>
          <t>Hub A</t>
        </is>
      </c>
      <c r="E1045" t="n">
        <v>66</v>
      </c>
      <c r="F1045" t="n">
        <v>22</v>
      </c>
    </row>
    <row r="1046">
      <c r="A1046" t="inlineStr">
        <is>
          <t>ORD01045</t>
        </is>
      </c>
      <c r="B1046" t="inlineStr">
        <is>
          <t>C1045</t>
        </is>
      </c>
      <c r="C1046" t="n">
        <v>1</v>
      </c>
      <c r="D1046" t="inlineStr">
        <is>
          <t>Hub A</t>
        </is>
      </c>
      <c r="E1046" t="n">
        <v>73</v>
      </c>
      <c r="F1046" t="n">
        <v>22</v>
      </c>
    </row>
    <row r="1047">
      <c r="A1047" t="inlineStr">
        <is>
          <t>ORD01046</t>
        </is>
      </c>
      <c r="B1047" t="inlineStr">
        <is>
          <t>C1046</t>
        </is>
      </c>
      <c r="C1047" t="n">
        <v>2</v>
      </c>
      <c r="D1047" t="inlineStr">
        <is>
          <t>Hub A</t>
        </is>
      </c>
      <c r="E1047" t="n">
        <v>20</v>
      </c>
      <c r="F1047" t="n">
        <v>22</v>
      </c>
    </row>
    <row r="1048">
      <c r="A1048" t="inlineStr">
        <is>
          <t>ORD01047</t>
        </is>
      </c>
      <c r="B1048" t="inlineStr">
        <is>
          <t>C1047</t>
        </is>
      </c>
      <c r="C1048" t="n">
        <v>3</v>
      </c>
      <c r="D1048" t="inlineStr">
        <is>
          <t>Hub A</t>
        </is>
      </c>
      <c r="E1048" t="n">
        <v>27</v>
      </c>
      <c r="F1048" t="n">
        <v>22</v>
      </c>
    </row>
    <row r="1049">
      <c r="A1049" t="inlineStr">
        <is>
          <t>ORD01048</t>
        </is>
      </c>
      <c r="B1049" t="inlineStr">
        <is>
          <t>C1048</t>
        </is>
      </c>
      <c r="C1049" t="n">
        <v>1</v>
      </c>
      <c r="D1049" t="inlineStr">
        <is>
          <t>Hub A</t>
        </is>
      </c>
      <c r="E1049" t="n">
        <v>34</v>
      </c>
      <c r="F1049" t="n">
        <v>22</v>
      </c>
    </row>
    <row r="1050">
      <c r="A1050" t="inlineStr">
        <is>
          <t>ORD01049</t>
        </is>
      </c>
      <c r="B1050" t="inlineStr">
        <is>
          <t>C1049</t>
        </is>
      </c>
      <c r="C1050" t="n">
        <v>2</v>
      </c>
      <c r="D1050" t="inlineStr">
        <is>
          <t>Hub A</t>
        </is>
      </c>
      <c r="E1050" t="n">
        <v>41</v>
      </c>
      <c r="F1050" t="n">
        <v>22</v>
      </c>
    </row>
    <row r="1051">
      <c r="A1051" t="inlineStr">
        <is>
          <t>ORD01050</t>
        </is>
      </c>
      <c r="B1051" t="inlineStr">
        <is>
          <t>C1050</t>
        </is>
      </c>
      <c r="C1051" t="n">
        <v>3</v>
      </c>
      <c r="D1051" t="inlineStr">
        <is>
          <t>Hub A</t>
        </is>
      </c>
      <c r="E1051" t="n">
        <v>48</v>
      </c>
      <c r="F1051" t="n">
        <v>22</v>
      </c>
    </row>
    <row r="1052">
      <c r="A1052" t="inlineStr">
        <is>
          <t>ORD01051</t>
        </is>
      </c>
      <c r="B1052" t="inlineStr">
        <is>
          <t>C1051</t>
        </is>
      </c>
      <c r="C1052" t="n">
        <v>1</v>
      </c>
      <c r="D1052" t="inlineStr">
        <is>
          <t>Hub A</t>
        </is>
      </c>
      <c r="E1052" t="n">
        <v>55</v>
      </c>
      <c r="F1052" t="n">
        <v>22</v>
      </c>
    </row>
    <row r="1053">
      <c r="A1053" t="inlineStr">
        <is>
          <t>ORD01052</t>
        </is>
      </c>
      <c r="B1053" t="inlineStr">
        <is>
          <t>C1052</t>
        </is>
      </c>
      <c r="C1053" t="n">
        <v>2</v>
      </c>
      <c r="D1053" t="inlineStr">
        <is>
          <t>Hub A</t>
        </is>
      </c>
      <c r="E1053" t="n">
        <v>62</v>
      </c>
      <c r="F1053" t="n">
        <v>22</v>
      </c>
    </row>
    <row r="1054">
      <c r="A1054" t="inlineStr">
        <is>
          <t>ORD01053</t>
        </is>
      </c>
      <c r="B1054" t="inlineStr">
        <is>
          <t>C1053</t>
        </is>
      </c>
      <c r="C1054" t="n">
        <v>3</v>
      </c>
      <c r="D1054" t="inlineStr">
        <is>
          <t>Hub A</t>
        </is>
      </c>
      <c r="E1054" t="n">
        <v>69</v>
      </c>
      <c r="F1054" t="n">
        <v>22</v>
      </c>
    </row>
    <row r="1055">
      <c r="A1055" t="inlineStr">
        <is>
          <t>ORD01054</t>
        </is>
      </c>
      <c r="B1055" t="inlineStr">
        <is>
          <t>C1054</t>
        </is>
      </c>
      <c r="C1055" t="n">
        <v>1</v>
      </c>
      <c r="D1055" t="inlineStr">
        <is>
          <t>Hub A</t>
        </is>
      </c>
      <c r="E1055" t="n">
        <v>76</v>
      </c>
      <c r="F1055" t="n">
        <v>22</v>
      </c>
    </row>
    <row r="1056">
      <c r="A1056" t="inlineStr">
        <is>
          <t>ORD01055</t>
        </is>
      </c>
      <c r="B1056" t="inlineStr">
        <is>
          <t>C1055</t>
        </is>
      </c>
      <c r="C1056" t="n">
        <v>2</v>
      </c>
      <c r="D1056" t="inlineStr">
        <is>
          <t>Hub A</t>
        </is>
      </c>
      <c r="E1056" t="n">
        <v>23</v>
      </c>
      <c r="F1056" t="n">
        <v>22</v>
      </c>
    </row>
    <row r="1057">
      <c r="A1057" t="inlineStr">
        <is>
          <t>ORD01056</t>
        </is>
      </c>
      <c r="B1057" t="inlineStr">
        <is>
          <t>C1056</t>
        </is>
      </c>
      <c r="C1057" t="n">
        <v>3</v>
      </c>
      <c r="D1057" t="inlineStr">
        <is>
          <t>Hub A</t>
        </is>
      </c>
      <c r="E1057" t="n">
        <v>30</v>
      </c>
      <c r="F1057" t="n">
        <v>22</v>
      </c>
    </row>
    <row r="1058">
      <c r="A1058" t="inlineStr">
        <is>
          <t>ORD01057</t>
        </is>
      </c>
      <c r="B1058" t="inlineStr">
        <is>
          <t>C1057</t>
        </is>
      </c>
      <c r="C1058" t="n">
        <v>1</v>
      </c>
      <c r="D1058" t="inlineStr">
        <is>
          <t>Hub A</t>
        </is>
      </c>
      <c r="E1058" t="n">
        <v>37</v>
      </c>
      <c r="F1058" t="n">
        <v>22</v>
      </c>
    </row>
    <row r="1059">
      <c r="A1059" t="inlineStr">
        <is>
          <t>ORD01058</t>
        </is>
      </c>
      <c r="B1059" t="inlineStr">
        <is>
          <t>C1058</t>
        </is>
      </c>
      <c r="C1059" t="n">
        <v>2</v>
      </c>
      <c r="D1059" t="inlineStr">
        <is>
          <t>Hub A</t>
        </is>
      </c>
      <c r="E1059" t="n">
        <v>44</v>
      </c>
      <c r="F1059" t="n">
        <v>22</v>
      </c>
    </row>
    <row r="1060">
      <c r="A1060" t="inlineStr">
        <is>
          <t>ORD01059</t>
        </is>
      </c>
      <c r="B1060" t="inlineStr">
        <is>
          <t>C1059</t>
        </is>
      </c>
      <c r="C1060" t="n">
        <v>3</v>
      </c>
      <c r="D1060" t="inlineStr">
        <is>
          <t>Hub A</t>
        </is>
      </c>
      <c r="E1060" t="n">
        <v>51</v>
      </c>
      <c r="F1060" t="n">
        <v>22</v>
      </c>
    </row>
    <row r="1061">
      <c r="A1061" t="inlineStr">
        <is>
          <t>ORD01060</t>
        </is>
      </c>
      <c r="B1061" t="inlineStr">
        <is>
          <t>C1060</t>
        </is>
      </c>
      <c r="C1061" t="n">
        <v>1</v>
      </c>
      <c r="D1061" t="inlineStr">
        <is>
          <t>Hub A</t>
        </is>
      </c>
      <c r="E1061" t="n">
        <v>58</v>
      </c>
      <c r="F1061" t="n">
        <v>22</v>
      </c>
    </row>
    <row r="1062">
      <c r="A1062" t="inlineStr">
        <is>
          <t>ORD01061</t>
        </is>
      </c>
      <c r="B1062" t="inlineStr">
        <is>
          <t>C1061</t>
        </is>
      </c>
      <c r="C1062" t="n">
        <v>2</v>
      </c>
      <c r="D1062" t="inlineStr">
        <is>
          <t>Hub A</t>
        </is>
      </c>
      <c r="E1062" t="n">
        <v>65</v>
      </c>
      <c r="F1062" t="n">
        <v>22</v>
      </c>
    </row>
    <row r="1063">
      <c r="A1063" t="inlineStr">
        <is>
          <t>ORD01062</t>
        </is>
      </c>
      <c r="B1063" t="inlineStr">
        <is>
          <t>C1062</t>
        </is>
      </c>
      <c r="C1063" t="n">
        <v>3</v>
      </c>
      <c r="D1063" t="inlineStr">
        <is>
          <t>Hub A</t>
        </is>
      </c>
      <c r="E1063" t="n">
        <v>72</v>
      </c>
      <c r="F1063" t="n">
        <v>22</v>
      </c>
    </row>
    <row r="1064">
      <c r="A1064" t="inlineStr">
        <is>
          <t>ORD01063</t>
        </is>
      </c>
      <c r="B1064" t="inlineStr">
        <is>
          <t>C1063</t>
        </is>
      </c>
      <c r="C1064" t="n">
        <v>1</v>
      </c>
      <c r="D1064" t="inlineStr">
        <is>
          <t>Hub A</t>
        </is>
      </c>
      <c r="E1064" t="n">
        <v>19</v>
      </c>
      <c r="F1064" t="n">
        <v>22</v>
      </c>
    </row>
    <row r="1065">
      <c r="A1065" t="inlineStr">
        <is>
          <t>ORD01064</t>
        </is>
      </c>
      <c r="B1065" t="inlineStr">
        <is>
          <t>C1064</t>
        </is>
      </c>
      <c r="C1065" t="n">
        <v>2</v>
      </c>
      <c r="D1065" t="inlineStr">
        <is>
          <t>Hub A</t>
        </is>
      </c>
      <c r="E1065" t="n">
        <v>26</v>
      </c>
      <c r="F1065" t="n">
        <v>22</v>
      </c>
    </row>
    <row r="1066">
      <c r="A1066" t="inlineStr">
        <is>
          <t>ORD01065</t>
        </is>
      </c>
      <c r="B1066" t="inlineStr">
        <is>
          <t>C1065</t>
        </is>
      </c>
      <c r="C1066" t="n">
        <v>3</v>
      </c>
      <c r="D1066" t="inlineStr">
        <is>
          <t>Hub A</t>
        </is>
      </c>
      <c r="E1066" t="n">
        <v>33</v>
      </c>
      <c r="F1066" t="n">
        <v>22</v>
      </c>
    </row>
    <row r="1067">
      <c r="A1067" t="inlineStr">
        <is>
          <t>ORD01066</t>
        </is>
      </c>
      <c r="B1067" t="inlineStr">
        <is>
          <t>C1066</t>
        </is>
      </c>
      <c r="C1067" t="n">
        <v>1</v>
      </c>
      <c r="D1067" t="inlineStr">
        <is>
          <t>Hub A</t>
        </is>
      </c>
      <c r="E1067" t="n">
        <v>40</v>
      </c>
      <c r="F1067" t="n">
        <v>22</v>
      </c>
    </row>
    <row r="1068">
      <c r="A1068" t="inlineStr">
        <is>
          <t>ORD01067</t>
        </is>
      </c>
      <c r="B1068" t="inlineStr">
        <is>
          <t>C1067</t>
        </is>
      </c>
      <c r="C1068" t="n">
        <v>2</v>
      </c>
      <c r="D1068" t="inlineStr">
        <is>
          <t>Hub A</t>
        </is>
      </c>
      <c r="E1068" t="n">
        <v>47</v>
      </c>
      <c r="F1068" t="n">
        <v>22</v>
      </c>
    </row>
    <row r="1069">
      <c r="A1069" t="inlineStr">
        <is>
          <t>ORD01068</t>
        </is>
      </c>
      <c r="B1069" t="inlineStr">
        <is>
          <t>C1068</t>
        </is>
      </c>
      <c r="C1069" t="n">
        <v>3</v>
      </c>
      <c r="D1069" t="inlineStr">
        <is>
          <t>Hub A</t>
        </is>
      </c>
      <c r="E1069" t="n">
        <v>54</v>
      </c>
      <c r="F1069" t="n">
        <v>22</v>
      </c>
    </row>
    <row r="1070">
      <c r="A1070" t="inlineStr">
        <is>
          <t>ORD01069</t>
        </is>
      </c>
      <c r="B1070" t="inlineStr">
        <is>
          <t>C1069</t>
        </is>
      </c>
      <c r="C1070" t="n">
        <v>1</v>
      </c>
      <c r="D1070" t="inlineStr">
        <is>
          <t>Hub A</t>
        </is>
      </c>
      <c r="E1070" t="n">
        <v>61</v>
      </c>
      <c r="F1070" t="n">
        <v>22</v>
      </c>
    </row>
    <row r="1071">
      <c r="A1071" t="inlineStr">
        <is>
          <t>ORD01070</t>
        </is>
      </c>
      <c r="B1071" t="inlineStr">
        <is>
          <t>C1070</t>
        </is>
      </c>
      <c r="C1071" t="n">
        <v>2</v>
      </c>
      <c r="D1071" t="inlineStr">
        <is>
          <t>Hub A</t>
        </is>
      </c>
      <c r="E1071" t="n">
        <v>68</v>
      </c>
      <c r="F1071" t="n">
        <v>22</v>
      </c>
    </row>
    <row r="1072">
      <c r="A1072" t="inlineStr">
        <is>
          <t>ORD01071</t>
        </is>
      </c>
      <c r="B1072" t="inlineStr">
        <is>
          <t>C1071</t>
        </is>
      </c>
      <c r="C1072" t="n">
        <v>3</v>
      </c>
      <c r="D1072" t="inlineStr">
        <is>
          <t>Hub A</t>
        </is>
      </c>
      <c r="E1072" t="n">
        <v>75</v>
      </c>
      <c r="F1072" t="n">
        <v>22</v>
      </c>
    </row>
    <row r="1073">
      <c r="A1073" t="inlineStr">
        <is>
          <t>ORD01072</t>
        </is>
      </c>
      <c r="B1073" t="inlineStr">
        <is>
          <t>C1072</t>
        </is>
      </c>
      <c r="C1073" t="n">
        <v>1</v>
      </c>
      <c r="D1073" t="inlineStr">
        <is>
          <t>Hub A</t>
        </is>
      </c>
      <c r="E1073" t="n">
        <v>22</v>
      </c>
      <c r="F1073" t="n">
        <v>22</v>
      </c>
    </row>
    <row r="1074">
      <c r="A1074" t="inlineStr">
        <is>
          <t>ORD01073</t>
        </is>
      </c>
      <c r="B1074" t="inlineStr">
        <is>
          <t>C1073</t>
        </is>
      </c>
      <c r="C1074" t="n">
        <v>2</v>
      </c>
      <c r="D1074" t="inlineStr">
        <is>
          <t>Hub A</t>
        </is>
      </c>
      <c r="E1074" t="n">
        <v>29</v>
      </c>
      <c r="F1074" t="n">
        <v>22</v>
      </c>
    </row>
    <row r="1075">
      <c r="A1075" t="inlineStr">
        <is>
          <t>ORD01074</t>
        </is>
      </c>
      <c r="B1075" t="inlineStr">
        <is>
          <t>C1074</t>
        </is>
      </c>
      <c r="C1075" t="n">
        <v>3</v>
      </c>
      <c r="D1075" t="inlineStr">
        <is>
          <t>Hub A</t>
        </is>
      </c>
      <c r="E1075" t="n">
        <v>36</v>
      </c>
      <c r="F1075" t="n">
        <v>22</v>
      </c>
    </row>
    <row r="1076">
      <c r="A1076" t="inlineStr">
        <is>
          <t>ORD01075</t>
        </is>
      </c>
      <c r="B1076" t="inlineStr">
        <is>
          <t>C1075</t>
        </is>
      </c>
      <c r="C1076" t="n">
        <v>1</v>
      </c>
      <c r="D1076" t="inlineStr">
        <is>
          <t>Hub A</t>
        </is>
      </c>
      <c r="E1076" t="n">
        <v>43</v>
      </c>
      <c r="F1076" t="n">
        <v>22</v>
      </c>
    </row>
    <row r="1077">
      <c r="A1077" t="inlineStr">
        <is>
          <t>ORD01076</t>
        </is>
      </c>
      <c r="B1077" t="inlineStr">
        <is>
          <t>C1076</t>
        </is>
      </c>
      <c r="C1077" t="n">
        <v>2</v>
      </c>
      <c r="D1077" t="inlineStr">
        <is>
          <t>Hub A</t>
        </is>
      </c>
      <c r="E1077" t="n">
        <v>50</v>
      </c>
      <c r="F1077" t="n">
        <v>22</v>
      </c>
    </row>
    <row r="1078">
      <c r="A1078" t="inlineStr">
        <is>
          <t>ORD01077</t>
        </is>
      </c>
      <c r="B1078" t="inlineStr">
        <is>
          <t>C1077</t>
        </is>
      </c>
      <c r="C1078" t="n">
        <v>3</v>
      </c>
      <c r="D1078" t="inlineStr">
        <is>
          <t>Hub A</t>
        </is>
      </c>
      <c r="E1078" t="n">
        <v>57</v>
      </c>
      <c r="F1078" t="n">
        <v>22</v>
      </c>
    </row>
    <row r="1079">
      <c r="A1079" t="inlineStr">
        <is>
          <t>ORD01078</t>
        </is>
      </c>
      <c r="B1079" t="inlineStr">
        <is>
          <t>C1078</t>
        </is>
      </c>
      <c r="C1079" t="n">
        <v>1</v>
      </c>
      <c r="D1079" t="inlineStr">
        <is>
          <t>Hub A</t>
        </is>
      </c>
      <c r="E1079" t="n">
        <v>64</v>
      </c>
      <c r="F1079" t="n">
        <v>22</v>
      </c>
    </row>
    <row r="1080">
      <c r="A1080" t="inlineStr">
        <is>
          <t>ORD01079</t>
        </is>
      </c>
      <c r="B1080" t="inlineStr">
        <is>
          <t>C1079</t>
        </is>
      </c>
      <c r="C1080" t="n">
        <v>2</v>
      </c>
      <c r="D1080" t="inlineStr">
        <is>
          <t>Hub A</t>
        </is>
      </c>
      <c r="E1080" t="n">
        <v>71</v>
      </c>
      <c r="F1080" t="n">
        <v>22</v>
      </c>
    </row>
    <row r="1081">
      <c r="A1081" t="inlineStr">
        <is>
          <t>ORD01080</t>
        </is>
      </c>
      <c r="B1081" t="inlineStr">
        <is>
          <t>C1080</t>
        </is>
      </c>
      <c r="C1081" t="n">
        <v>3</v>
      </c>
      <c r="D1081" t="inlineStr">
        <is>
          <t>Hub A</t>
        </is>
      </c>
      <c r="E1081" t="n">
        <v>18</v>
      </c>
      <c r="F1081" t="n">
        <v>22</v>
      </c>
    </row>
    <row r="1082">
      <c r="A1082" t="inlineStr">
        <is>
          <t>ORD01081</t>
        </is>
      </c>
      <c r="B1082" t="inlineStr">
        <is>
          <t>C1081</t>
        </is>
      </c>
      <c r="C1082" t="n">
        <v>1</v>
      </c>
      <c r="D1082" t="inlineStr">
        <is>
          <t>Hub A</t>
        </is>
      </c>
      <c r="E1082" t="n">
        <v>25</v>
      </c>
      <c r="F1082" t="n">
        <v>22</v>
      </c>
    </row>
    <row r="1083">
      <c r="A1083" t="inlineStr">
        <is>
          <t>ORD01082</t>
        </is>
      </c>
      <c r="B1083" t="inlineStr">
        <is>
          <t>C1082</t>
        </is>
      </c>
      <c r="C1083" t="n">
        <v>2</v>
      </c>
      <c r="D1083" t="inlineStr">
        <is>
          <t>Hub A</t>
        </is>
      </c>
      <c r="E1083" t="n">
        <v>32</v>
      </c>
      <c r="F1083" t="n">
        <v>22</v>
      </c>
    </row>
    <row r="1084">
      <c r="A1084" t="inlineStr">
        <is>
          <t>ORD01083</t>
        </is>
      </c>
      <c r="B1084" t="inlineStr">
        <is>
          <t>C1083</t>
        </is>
      </c>
      <c r="C1084" t="n">
        <v>3</v>
      </c>
      <c r="D1084" t="inlineStr">
        <is>
          <t>Hub A</t>
        </is>
      </c>
      <c r="E1084" t="n">
        <v>39</v>
      </c>
      <c r="F1084" t="n">
        <v>22</v>
      </c>
    </row>
    <row r="1085">
      <c r="A1085" t="inlineStr">
        <is>
          <t>ORD01084</t>
        </is>
      </c>
      <c r="B1085" t="inlineStr">
        <is>
          <t>C1084</t>
        </is>
      </c>
      <c r="C1085" t="n">
        <v>1</v>
      </c>
      <c r="D1085" t="inlineStr">
        <is>
          <t>Hub A</t>
        </is>
      </c>
      <c r="E1085" t="n">
        <v>46</v>
      </c>
      <c r="F1085" t="n">
        <v>22</v>
      </c>
    </row>
    <row r="1086">
      <c r="A1086" t="inlineStr">
        <is>
          <t>ORD01085</t>
        </is>
      </c>
      <c r="B1086" t="inlineStr">
        <is>
          <t>C1085</t>
        </is>
      </c>
      <c r="C1086" t="n">
        <v>2</v>
      </c>
      <c r="D1086" t="inlineStr">
        <is>
          <t>Hub A</t>
        </is>
      </c>
      <c r="E1086" t="n">
        <v>53</v>
      </c>
      <c r="F1086" t="n">
        <v>22</v>
      </c>
    </row>
    <row r="1087">
      <c r="A1087" t="inlineStr">
        <is>
          <t>ORD01086</t>
        </is>
      </c>
      <c r="B1087" t="inlineStr">
        <is>
          <t>C1086</t>
        </is>
      </c>
      <c r="C1087" t="n">
        <v>3</v>
      </c>
      <c r="D1087" t="inlineStr">
        <is>
          <t>Hub A</t>
        </is>
      </c>
      <c r="E1087" t="n">
        <v>60</v>
      </c>
      <c r="F1087" t="n">
        <v>22</v>
      </c>
    </row>
    <row r="1088">
      <c r="A1088" t="inlineStr">
        <is>
          <t>ORD01087</t>
        </is>
      </c>
      <c r="B1088" t="inlineStr">
        <is>
          <t>C1087</t>
        </is>
      </c>
      <c r="C1088" t="n">
        <v>1</v>
      </c>
      <c r="D1088" t="inlineStr">
        <is>
          <t>Hub A</t>
        </is>
      </c>
      <c r="E1088" t="n">
        <v>67</v>
      </c>
      <c r="F1088" t="n">
        <v>22</v>
      </c>
    </row>
    <row r="1089">
      <c r="A1089" t="inlineStr">
        <is>
          <t>ORD01088</t>
        </is>
      </c>
      <c r="B1089" t="inlineStr">
        <is>
          <t>C1088</t>
        </is>
      </c>
      <c r="C1089" t="n">
        <v>2</v>
      </c>
      <c r="D1089" t="inlineStr">
        <is>
          <t>Hub A</t>
        </is>
      </c>
      <c r="E1089" t="n">
        <v>74</v>
      </c>
      <c r="F1089" t="n">
        <v>22</v>
      </c>
    </row>
    <row r="1090">
      <c r="A1090" t="inlineStr">
        <is>
          <t>ORD01089</t>
        </is>
      </c>
      <c r="B1090" t="inlineStr">
        <is>
          <t>C1089</t>
        </is>
      </c>
      <c r="C1090" t="n">
        <v>3</v>
      </c>
      <c r="D1090" t="inlineStr">
        <is>
          <t>Hub A</t>
        </is>
      </c>
      <c r="E1090" t="n">
        <v>21</v>
      </c>
      <c r="F1090" t="n">
        <v>22</v>
      </c>
    </row>
    <row r="1091">
      <c r="A1091" t="inlineStr">
        <is>
          <t>ORD01090</t>
        </is>
      </c>
      <c r="B1091" t="inlineStr">
        <is>
          <t>C1090</t>
        </is>
      </c>
      <c r="C1091" t="n">
        <v>1</v>
      </c>
      <c r="D1091" t="inlineStr">
        <is>
          <t>Hub A</t>
        </is>
      </c>
      <c r="E1091" t="n">
        <v>28</v>
      </c>
      <c r="F1091" t="n">
        <v>22</v>
      </c>
    </row>
    <row r="1092">
      <c r="A1092" t="inlineStr">
        <is>
          <t>ORD01091</t>
        </is>
      </c>
      <c r="B1092" t="inlineStr">
        <is>
          <t>C1091</t>
        </is>
      </c>
      <c r="C1092" t="n">
        <v>2</v>
      </c>
      <c r="D1092" t="inlineStr">
        <is>
          <t>Hub A</t>
        </is>
      </c>
      <c r="E1092" t="n">
        <v>35</v>
      </c>
      <c r="F1092" t="n">
        <v>22</v>
      </c>
    </row>
    <row r="1093">
      <c r="A1093" t="inlineStr">
        <is>
          <t>ORD01092</t>
        </is>
      </c>
      <c r="B1093" t="inlineStr">
        <is>
          <t>C1092</t>
        </is>
      </c>
      <c r="C1093" t="n">
        <v>3</v>
      </c>
      <c r="D1093" t="inlineStr">
        <is>
          <t>Hub A</t>
        </is>
      </c>
      <c r="E1093" t="n">
        <v>42</v>
      </c>
      <c r="F1093" t="n">
        <v>22</v>
      </c>
    </row>
    <row r="1094">
      <c r="A1094" t="inlineStr">
        <is>
          <t>ORD01093</t>
        </is>
      </c>
      <c r="B1094" t="inlineStr">
        <is>
          <t>C1093</t>
        </is>
      </c>
      <c r="C1094" t="n">
        <v>1</v>
      </c>
      <c r="D1094" t="inlineStr">
        <is>
          <t>Hub A</t>
        </is>
      </c>
      <c r="E1094" t="n">
        <v>49</v>
      </c>
      <c r="F1094" t="n">
        <v>22</v>
      </c>
    </row>
    <row r="1095">
      <c r="A1095" t="inlineStr">
        <is>
          <t>ORD01094</t>
        </is>
      </c>
      <c r="B1095" t="inlineStr">
        <is>
          <t>C1094</t>
        </is>
      </c>
      <c r="C1095" t="n">
        <v>2</v>
      </c>
      <c r="D1095" t="inlineStr">
        <is>
          <t>Hub A</t>
        </is>
      </c>
      <c r="E1095" t="n">
        <v>56</v>
      </c>
      <c r="F1095" t="n">
        <v>22</v>
      </c>
    </row>
    <row r="1096">
      <c r="A1096" t="inlineStr">
        <is>
          <t>ORD01095</t>
        </is>
      </c>
      <c r="B1096" t="inlineStr">
        <is>
          <t>C1095</t>
        </is>
      </c>
      <c r="C1096" t="n">
        <v>3</v>
      </c>
      <c r="D1096" t="inlineStr">
        <is>
          <t>Hub A</t>
        </is>
      </c>
      <c r="E1096" t="n">
        <v>63</v>
      </c>
      <c r="F1096" t="n">
        <v>22</v>
      </c>
    </row>
    <row r="1097">
      <c r="A1097" t="inlineStr">
        <is>
          <t>ORD01096</t>
        </is>
      </c>
      <c r="B1097" t="inlineStr">
        <is>
          <t>C1096</t>
        </is>
      </c>
      <c r="C1097" t="n">
        <v>1</v>
      </c>
      <c r="D1097" t="inlineStr">
        <is>
          <t>Hub A</t>
        </is>
      </c>
      <c r="E1097" t="n">
        <v>70</v>
      </c>
      <c r="F1097" t="n">
        <v>22</v>
      </c>
    </row>
    <row r="1098">
      <c r="A1098" t="inlineStr">
        <is>
          <t>ORD01097</t>
        </is>
      </c>
      <c r="B1098" t="inlineStr">
        <is>
          <t>C1097</t>
        </is>
      </c>
      <c r="C1098" t="n">
        <v>2</v>
      </c>
      <c r="D1098" t="inlineStr">
        <is>
          <t>Hub A</t>
        </is>
      </c>
      <c r="E1098" t="n">
        <v>77</v>
      </c>
      <c r="F1098" t="n">
        <v>22</v>
      </c>
    </row>
    <row r="1099">
      <c r="A1099" t="inlineStr">
        <is>
          <t>ORD01098</t>
        </is>
      </c>
      <c r="B1099" t="inlineStr">
        <is>
          <t>C1098</t>
        </is>
      </c>
      <c r="C1099" t="n">
        <v>3</v>
      </c>
      <c r="D1099" t="inlineStr">
        <is>
          <t>Hub A</t>
        </is>
      </c>
      <c r="E1099" t="n">
        <v>24</v>
      </c>
      <c r="F1099" t="n">
        <v>22</v>
      </c>
    </row>
    <row r="1100">
      <c r="A1100" t="inlineStr">
        <is>
          <t>ORD01099</t>
        </is>
      </c>
      <c r="B1100" t="inlineStr">
        <is>
          <t>C1099</t>
        </is>
      </c>
      <c r="C1100" t="n">
        <v>1</v>
      </c>
      <c r="D1100" t="inlineStr">
        <is>
          <t>Hub A</t>
        </is>
      </c>
      <c r="E1100" t="n">
        <v>31</v>
      </c>
      <c r="F1100" t="n">
        <v>22</v>
      </c>
    </row>
    <row r="1101">
      <c r="A1101" t="inlineStr">
        <is>
          <t>ORD01100</t>
        </is>
      </c>
      <c r="B1101" t="inlineStr">
        <is>
          <t>C1100</t>
        </is>
      </c>
      <c r="C1101" t="n">
        <v>2</v>
      </c>
      <c r="D1101" t="inlineStr">
        <is>
          <t>Hub A</t>
        </is>
      </c>
      <c r="E1101" t="n">
        <v>38</v>
      </c>
      <c r="F1101" t="n">
        <v>22</v>
      </c>
    </row>
    <row r="1102">
      <c r="A1102" t="inlineStr">
        <is>
          <t>ORD01101</t>
        </is>
      </c>
      <c r="B1102" t="inlineStr">
        <is>
          <t>C1101</t>
        </is>
      </c>
      <c r="C1102" t="n">
        <v>3</v>
      </c>
      <c r="D1102" t="inlineStr">
        <is>
          <t>Hub A</t>
        </is>
      </c>
      <c r="E1102" t="n">
        <v>45</v>
      </c>
      <c r="F1102" t="n">
        <v>22</v>
      </c>
    </row>
    <row r="1103">
      <c r="A1103" t="inlineStr">
        <is>
          <t>ORD01102</t>
        </is>
      </c>
      <c r="B1103" t="inlineStr">
        <is>
          <t>C1102</t>
        </is>
      </c>
      <c r="C1103" t="n">
        <v>1</v>
      </c>
      <c r="D1103" t="inlineStr">
        <is>
          <t>Hub A</t>
        </is>
      </c>
      <c r="E1103" t="n">
        <v>52</v>
      </c>
      <c r="F1103" t="n">
        <v>22</v>
      </c>
    </row>
    <row r="1104">
      <c r="A1104" t="inlineStr">
        <is>
          <t>ORD01103</t>
        </is>
      </c>
      <c r="B1104" t="inlineStr">
        <is>
          <t>C1103</t>
        </is>
      </c>
      <c r="C1104" t="n">
        <v>2</v>
      </c>
      <c r="D1104" t="inlineStr">
        <is>
          <t>Hub A</t>
        </is>
      </c>
      <c r="E1104" t="n">
        <v>59</v>
      </c>
      <c r="F1104" t="n">
        <v>22</v>
      </c>
    </row>
    <row r="1105">
      <c r="A1105" t="inlineStr">
        <is>
          <t>ORD01104</t>
        </is>
      </c>
      <c r="B1105" t="inlineStr">
        <is>
          <t>C1104</t>
        </is>
      </c>
      <c r="C1105" t="n">
        <v>3</v>
      </c>
      <c r="D1105" t="inlineStr">
        <is>
          <t>Hub A</t>
        </is>
      </c>
      <c r="E1105" t="n">
        <v>66</v>
      </c>
      <c r="F1105" t="n">
        <v>22</v>
      </c>
    </row>
    <row r="1106">
      <c r="A1106" t="inlineStr">
        <is>
          <t>ORD01105</t>
        </is>
      </c>
      <c r="B1106" t="inlineStr">
        <is>
          <t>C1105</t>
        </is>
      </c>
      <c r="C1106" t="n">
        <v>1</v>
      </c>
      <c r="D1106" t="inlineStr">
        <is>
          <t>Hub A</t>
        </is>
      </c>
      <c r="E1106" t="n">
        <v>73</v>
      </c>
      <c r="F1106" t="n">
        <v>22</v>
      </c>
    </row>
    <row r="1107">
      <c r="A1107" t="inlineStr">
        <is>
          <t>ORD01106</t>
        </is>
      </c>
      <c r="B1107" t="inlineStr">
        <is>
          <t>C1106</t>
        </is>
      </c>
      <c r="C1107" t="n">
        <v>2</v>
      </c>
      <c r="D1107" t="inlineStr">
        <is>
          <t>Hub A</t>
        </is>
      </c>
      <c r="E1107" t="n">
        <v>20</v>
      </c>
      <c r="F1107" t="n">
        <v>22</v>
      </c>
    </row>
    <row r="1108">
      <c r="A1108" t="inlineStr">
        <is>
          <t>ORD01107</t>
        </is>
      </c>
      <c r="B1108" t="inlineStr">
        <is>
          <t>C1107</t>
        </is>
      </c>
      <c r="C1108" t="n">
        <v>3</v>
      </c>
      <c r="D1108" t="inlineStr">
        <is>
          <t>Hub A</t>
        </is>
      </c>
      <c r="E1108" t="n">
        <v>27</v>
      </c>
      <c r="F1108" t="n">
        <v>22</v>
      </c>
    </row>
    <row r="1109">
      <c r="A1109" t="inlineStr">
        <is>
          <t>ORD01108</t>
        </is>
      </c>
      <c r="B1109" t="inlineStr">
        <is>
          <t>C1108</t>
        </is>
      </c>
      <c r="C1109" t="n">
        <v>1</v>
      </c>
      <c r="D1109" t="inlineStr">
        <is>
          <t>Hub A</t>
        </is>
      </c>
      <c r="E1109" t="n">
        <v>34</v>
      </c>
      <c r="F1109" t="n">
        <v>22</v>
      </c>
    </row>
    <row r="1110">
      <c r="A1110" t="inlineStr">
        <is>
          <t>ORD01109</t>
        </is>
      </c>
      <c r="B1110" t="inlineStr">
        <is>
          <t>C1109</t>
        </is>
      </c>
      <c r="C1110" t="n">
        <v>2</v>
      </c>
      <c r="D1110" t="inlineStr">
        <is>
          <t>Hub A</t>
        </is>
      </c>
      <c r="E1110" t="n">
        <v>41</v>
      </c>
      <c r="F1110" t="n">
        <v>22</v>
      </c>
    </row>
    <row r="1111">
      <c r="A1111" t="inlineStr">
        <is>
          <t>ORD01110</t>
        </is>
      </c>
      <c r="B1111" t="inlineStr">
        <is>
          <t>C1110</t>
        </is>
      </c>
      <c r="C1111" t="n">
        <v>3</v>
      </c>
      <c r="D1111" t="inlineStr">
        <is>
          <t>Hub A</t>
        </is>
      </c>
      <c r="E1111" t="n">
        <v>48</v>
      </c>
      <c r="F1111" t="n">
        <v>22</v>
      </c>
    </row>
    <row r="1112">
      <c r="A1112" t="inlineStr">
        <is>
          <t>ORD01111</t>
        </is>
      </c>
      <c r="B1112" t="inlineStr">
        <is>
          <t>C1111</t>
        </is>
      </c>
      <c r="C1112" t="n">
        <v>1</v>
      </c>
      <c r="D1112" t="inlineStr">
        <is>
          <t>Hub A</t>
        </is>
      </c>
      <c r="E1112" t="n">
        <v>55</v>
      </c>
      <c r="F1112" t="n">
        <v>22</v>
      </c>
    </row>
    <row r="1113">
      <c r="A1113" t="inlineStr">
        <is>
          <t>ORD01112</t>
        </is>
      </c>
      <c r="B1113" t="inlineStr">
        <is>
          <t>C1112</t>
        </is>
      </c>
      <c r="C1113" t="n">
        <v>2</v>
      </c>
      <c r="D1113" t="inlineStr">
        <is>
          <t>Hub A</t>
        </is>
      </c>
      <c r="E1113" t="n">
        <v>62</v>
      </c>
      <c r="F1113" t="n">
        <v>22</v>
      </c>
    </row>
    <row r="1114">
      <c r="A1114" t="inlineStr">
        <is>
          <t>ORD01113</t>
        </is>
      </c>
      <c r="B1114" t="inlineStr">
        <is>
          <t>C1113</t>
        </is>
      </c>
      <c r="C1114" t="n">
        <v>3</v>
      </c>
      <c r="D1114" t="inlineStr">
        <is>
          <t>Hub A</t>
        </is>
      </c>
      <c r="E1114" t="n">
        <v>69</v>
      </c>
      <c r="F1114" t="n">
        <v>22</v>
      </c>
    </row>
    <row r="1115">
      <c r="A1115" t="inlineStr">
        <is>
          <t>ORD01114</t>
        </is>
      </c>
      <c r="B1115" t="inlineStr">
        <is>
          <t>C1114</t>
        </is>
      </c>
      <c r="C1115" t="n">
        <v>1</v>
      </c>
      <c r="D1115" t="inlineStr">
        <is>
          <t>Hub A</t>
        </is>
      </c>
      <c r="E1115" t="n">
        <v>76</v>
      </c>
      <c r="F1115" t="n">
        <v>22</v>
      </c>
    </row>
    <row r="1116">
      <c r="A1116" t="inlineStr">
        <is>
          <t>ORD01115</t>
        </is>
      </c>
      <c r="B1116" t="inlineStr">
        <is>
          <t>C1115</t>
        </is>
      </c>
      <c r="C1116" t="n">
        <v>2</v>
      </c>
      <c r="D1116" t="inlineStr">
        <is>
          <t>Hub A</t>
        </is>
      </c>
      <c r="E1116" t="n">
        <v>23</v>
      </c>
      <c r="F1116" t="n">
        <v>22</v>
      </c>
    </row>
    <row r="1117">
      <c r="A1117" t="inlineStr">
        <is>
          <t>ORD01116</t>
        </is>
      </c>
      <c r="B1117" t="inlineStr">
        <is>
          <t>C1116</t>
        </is>
      </c>
      <c r="C1117" t="n">
        <v>3</v>
      </c>
      <c r="D1117" t="inlineStr">
        <is>
          <t>Hub A</t>
        </is>
      </c>
      <c r="E1117" t="n">
        <v>30</v>
      </c>
      <c r="F1117" t="n">
        <v>22</v>
      </c>
    </row>
    <row r="1118">
      <c r="A1118" t="inlineStr">
        <is>
          <t>ORD01117</t>
        </is>
      </c>
      <c r="B1118" t="inlineStr">
        <is>
          <t>C1117</t>
        </is>
      </c>
      <c r="C1118" t="n">
        <v>1</v>
      </c>
      <c r="D1118" t="inlineStr">
        <is>
          <t>Hub A</t>
        </is>
      </c>
      <c r="E1118" t="n">
        <v>37</v>
      </c>
      <c r="F1118" t="n">
        <v>22</v>
      </c>
    </row>
    <row r="1119">
      <c r="A1119" t="inlineStr">
        <is>
          <t>ORD01118</t>
        </is>
      </c>
      <c r="B1119" t="inlineStr">
        <is>
          <t>C1118</t>
        </is>
      </c>
      <c r="C1119" t="n">
        <v>2</v>
      </c>
      <c r="D1119" t="inlineStr">
        <is>
          <t>Hub A</t>
        </is>
      </c>
      <c r="E1119" t="n">
        <v>44</v>
      </c>
      <c r="F1119" t="n">
        <v>22</v>
      </c>
    </row>
    <row r="1120">
      <c r="A1120" t="inlineStr">
        <is>
          <t>ORD01119</t>
        </is>
      </c>
      <c r="B1120" t="inlineStr">
        <is>
          <t>C1119</t>
        </is>
      </c>
      <c r="C1120" t="n">
        <v>3</v>
      </c>
      <c r="D1120" t="inlineStr">
        <is>
          <t>Hub A</t>
        </is>
      </c>
      <c r="E1120" t="n">
        <v>51</v>
      </c>
      <c r="F1120" t="n">
        <v>22</v>
      </c>
    </row>
    <row r="1121">
      <c r="A1121" t="inlineStr">
        <is>
          <t>ORD01120</t>
        </is>
      </c>
      <c r="B1121" t="inlineStr">
        <is>
          <t>C1120</t>
        </is>
      </c>
      <c r="C1121" t="n">
        <v>1</v>
      </c>
      <c r="D1121" t="inlineStr">
        <is>
          <t>Hub A</t>
        </is>
      </c>
      <c r="E1121" t="n">
        <v>58</v>
      </c>
      <c r="F1121" t="n">
        <v>22</v>
      </c>
    </row>
    <row r="1122">
      <c r="A1122" t="inlineStr">
        <is>
          <t>ORD01121</t>
        </is>
      </c>
      <c r="B1122" t="inlineStr">
        <is>
          <t>C1121</t>
        </is>
      </c>
      <c r="C1122" t="n">
        <v>2</v>
      </c>
      <c r="D1122" t="inlineStr">
        <is>
          <t>Hub A</t>
        </is>
      </c>
      <c r="E1122" t="n">
        <v>65</v>
      </c>
      <c r="F1122" t="n">
        <v>22</v>
      </c>
    </row>
    <row r="1123">
      <c r="A1123" t="inlineStr">
        <is>
          <t>ORD01122</t>
        </is>
      </c>
      <c r="B1123" t="inlineStr">
        <is>
          <t>C1122</t>
        </is>
      </c>
      <c r="C1123" t="n">
        <v>3</v>
      </c>
      <c r="D1123" t="inlineStr">
        <is>
          <t>Hub A</t>
        </is>
      </c>
      <c r="E1123" t="n">
        <v>72</v>
      </c>
      <c r="F1123" t="n">
        <v>22</v>
      </c>
    </row>
    <row r="1124">
      <c r="A1124" t="inlineStr">
        <is>
          <t>ORD01123</t>
        </is>
      </c>
      <c r="B1124" t="inlineStr">
        <is>
          <t>C1123</t>
        </is>
      </c>
      <c r="C1124" t="n">
        <v>1</v>
      </c>
      <c r="D1124" t="inlineStr">
        <is>
          <t>Hub A</t>
        </is>
      </c>
      <c r="E1124" t="n">
        <v>19</v>
      </c>
      <c r="F1124" t="n">
        <v>22</v>
      </c>
    </row>
    <row r="1125">
      <c r="A1125" t="inlineStr">
        <is>
          <t>ORD01124</t>
        </is>
      </c>
      <c r="B1125" t="inlineStr">
        <is>
          <t>C1124</t>
        </is>
      </c>
      <c r="C1125" t="n">
        <v>2</v>
      </c>
      <c r="D1125" t="inlineStr">
        <is>
          <t>Hub A</t>
        </is>
      </c>
      <c r="E1125" t="n">
        <v>26</v>
      </c>
      <c r="F1125" t="n">
        <v>22</v>
      </c>
    </row>
    <row r="1126">
      <c r="A1126" t="inlineStr">
        <is>
          <t>ORD01125</t>
        </is>
      </c>
      <c r="B1126" t="inlineStr">
        <is>
          <t>C1125</t>
        </is>
      </c>
      <c r="C1126" t="n">
        <v>3</v>
      </c>
      <c r="D1126" t="inlineStr">
        <is>
          <t>Hub A</t>
        </is>
      </c>
      <c r="E1126" t="n">
        <v>33</v>
      </c>
      <c r="F1126" t="n">
        <v>22</v>
      </c>
    </row>
    <row r="1127">
      <c r="A1127" t="inlineStr">
        <is>
          <t>ORD01126</t>
        </is>
      </c>
      <c r="B1127" t="inlineStr">
        <is>
          <t>C1126</t>
        </is>
      </c>
      <c r="C1127" t="n">
        <v>1</v>
      </c>
      <c r="D1127" t="inlineStr">
        <is>
          <t>Hub A</t>
        </is>
      </c>
      <c r="E1127" t="n">
        <v>40</v>
      </c>
      <c r="F1127" t="n">
        <v>22</v>
      </c>
    </row>
    <row r="1128">
      <c r="A1128" t="inlineStr">
        <is>
          <t>ORD01127</t>
        </is>
      </c>
      <c r="B1128" t="inlineStr">
        <is>
          <t>C1127</t>
        </is>
      </c>
      <c r="C1128" t="n">
        <v>2</v>
      </c>
      <c r="D1128" t="inlineStr">
        <is>
          <t>Hub A</t>
        </is>
      </c>
      <c r="E1128" t="n">
        <v>47</v>
      </c>
      <c r="F1128" t="n">
        <v>22</v>
      </c>
    </row>
    <row r="1129">
      <c r="A1129" t="inlineStr">
        <is>
          <t>ORD01128</t>
        </is>
      </c>
      <c r="B1129" t="inlineStr">
        <is>
          <t>C1128</t>
        </is>
      </c>
      <c r="C1129" t="n">
        <v>3</v>
      </c>
      <c r="D1129" t="inlineStr">
        <is>
          <t>Hub A</t>
        </is>
      </c>
      <c r="E1129" t="n">
        <v>54</v>
      </c>
      <c r="F1129" t="n">
        <v>22</v>
      </c>
    </row>
    <row r="1130">
      <c r="A1130" t="inlineStr">
        <is>
          <t>ORD01129</t>
        </is>
      </c>
      <c r="B1130" t="inlineStr">
        <is>
          <t>C1129</t>
        </is>
      </c>
      <c r="C1130" t="n">
        <v>1</v>
      </c>
      <c r="D1130" t="inlineStr">
        <is>
          <t>Hub A</t>
        </is>
      </c>
      <c r="E1130" t="n">
        <v>61</v>
      </c>
      <c r="F1130" t="n">
        <v>22</v>
      </c>
    </row>
    <row r="1131">
      <c r="A1131" t="inlineStr">
        <is>
          <t>ORD01130</t>
        </is>
      </c>
      <c r="B1131" t="inlineStr">
        <is>
          <t>C1130</t>
        </is>
      </c>
      <c r="C1131" t="n">
        <v>2</v>
      </c>
      <c r="D1131" t="inlineStr">
        <is>
          <t>Hub A</t>
        </is>
      </c>
      <c r="E1131" t="n">
        <v>68</v>
      </c>
      <c r="F1131" t="n">
        <v>22</v>
      </c>
    </row>
    <row r="1132">
      <c r="A1132" t="inlineStr">
        <is>
          <t>ORD01131</t>
        </is>
      </c>
      <c r="B1132" t="inlineStr">
        <is>
          <t>C1131</t>
        </is>
      </c>
      <c r="C1132" t="n">
        <v>3</v>
      </c>
      <c r="D1132" t="inlineStr">
        <is>
          <t>Hub A</t>
        </is>
      </c>
      <c r="E1132" t="n">
        <v>75</v>
      </c>
      <c r="F1132" t="n">
        <v>22</v>
      </c>
    </row>
    <row r="1133">
      <c r="A1133" t="inlineStr">
        <is>
          <t>ORD01132</t>
        </is>
      </c>
      <c r="B1133" t="inlineStr">
        <is>
          <t>C1132</t>
        </is>
      </c>
      <c r="C1133" t="n">
        <v>1</v>
      </c>
      <c r="D1133" t="inlineStr">
        <is>
          <t>Hub A</t>
        </is>
      </c>
      <c r="E1133" t="n">
        <v>22</v>
      </c>
      <c r="F1133" t="n">
        <v>22</v>
      </c>
    </row>
    <row r="1134">
      <c r="A1134" t="inlineStr">
        <is>
          <t>ORD01133</t>
        </is>
      </c>
      <c r="B1134" t="inlineStr">
        <is>
          <t>C1133</t>
        </is>
      </c>
      <c r="C1134" t="n">
        <v>2</v>
      </c>
      <c r="D1134" t="inlineStr">
        <is>
          <t>Hub A</t>
        </is>
      </c>
      <c r="E1134" t="n">
        <v>29</v>
      </c>
      <c r="F1134" t="n">
        <v>22</v>
      </c>
    </row>
    <row r="1135">
      <c r="A1135" t="inlineStr">
        <is>
          <t>ORD01134</t>
        </is>
      </c>
      <c r="B1135" t="inlineStr">
        <is>
          <t>C1134</t>
        </is>
      </c>
      <c r="C1135" t="n">
        <v>3</v>
      </c>
      <c r="D1135" t="inlineStr">
        <is>
          <t>Hub A</t>
        </is>
      </c>
      <c r="E1135" t="n">
        <v>36</v>
      </c>
      <c r="F1135" t="n">
        <v>22</v>
      </c>
    </row>
    <row r="1136">
      <c r="A1136" t="inlineStr">
        <is>
          <t>ORD01135</t>
        </is>
      </c>
      <c r="B1136" t="inlineStr">
        <is>
          <t>C1135</t>
        </is>
      </c>
      <c r="C1136" t="n">
        <v>1</v>
      </c>
      <c r="D1136" t="inlineStr">
        <is>
          <t>Hub A</t>
        </is>
      </c>
      <c r="E1136" t="n">
        <v>43</v>
      </c>
      <c r="F1136" t="n">
        <v>22</v>
      </c>
    </row>
    <row r="1137">
      <c r="A1137" t="inlineStr">
        <is>
          <t>ORD01136</t>
        </is>
      </c>
      <c r="B1137" t="inlineStr">
        <is>
          <t>C1136</t>
        </is>
      </c>
      <c r="C1137" t="n">
        <v>2</v>
      </c>
      <c r="D1137" t="inlineStr">
        <is>
          <t>Hub A</t>
        </is>
      </c>
      <c r="E1137" t="n">
        <v>50</v>
      </c>
      <c r="F1137" t="n">
        <v>22</v>
      </c>
    </row>
    <row r="1138">
      <c r="A1138" t="inlineStr">
        <is>
          <t>ORD01137</t>
        </is>
      </c>
      <c r="B1138" t="inlineStr">
        <is>
          <t>C1137</t>
        </is>
      </c>
      <c r="C1138" t="n">
        <v>3</v>
      </c>
      <c r="D1138" t="inlineStr">
        <is>
          <t>Hub A</t>
        </is>
      </c>
      <c r="E1138" t="n">
        <v>57</v>
      </c>
      <c r="F1138" t="n">
        <v>22</v>
      </c>
    </row>
    <row r="1139">
      <c r="A1139" t="inlineStr">
        <is>
          <t>ORD01138</t>
        </is>
      </c>
      <c r="B1139" t="inlineStr">
        <is>
          <t>C1138</t>
        </is>
      </c>
      <c r="C1139" t="n">
        <v>1</v>
      </c>
      <c r="D1139" t="inlineStr">
        <is>
          <t>Hub A</t>
        </is>
      </c>
      <c r="E1139" t="n">
        <v>64</v>
      </c>
      <c r="F1139" t="n">
        <v>22</v>
      </c>
    </row>
    <row r="1140">
      <c r="A1140" t="inlineStr">
        <is>
          <t>ORD01139</t>
        </is>
      </c>
      <c r="B1140" t="inlineStr">
        <is>
          <t>C1139</t>
        </is>
      </c>
      <c r="C1140" t="n">
        <v>2</v>
      </c>
      <c r="D1140" t="inlineStr">
        <is>
          <t>Hub A</t>
        </is>
      </c>
      <c r="E1140" t="n">
        <v>71</v>
      </c>
      <c r="F1140" t="n">
        <v>22</v>
      </c>
    </row>
    <row r="1141">
      <c r="A1141" t="inlineStr">
        <is>
          <t>ORD01140</t>
        </is>
      </c>
      <c r="B1141" t="inlineStr">
        <is>
          <t>C1140</t>
        </is>
      </c>
      <c r="C1141" t="n">
        <v>3</v>
      </c>
      <c r="D1141" t="inlineStr">
        <is>
          <t>Hub A</t>
        </is>
      </c>
      <c r="E1141" t="n">
        <v>18</v>
      </c>
      <c r="F1141" t="n">
        <v>22</v>
      </c>
    </row>
    <row r="1142">
      <c r="A1142" t="inlineStr">
        <is>
          <t>ORD01141</t>
        </is>
      </c>
      <c r="B1142" t="inlineStr">
        <is>
          <t>C1141</t>
        </is>
      </c>
      <c r="C1142" t="n">
        <v>1</v>
      </c>
      <c r="D1142" t="inlineStr">
        <is>
          <t>Hub A</t>
        </is>
      </c>
      <c r="E1142" t="n">
        <v>25</v>
      </c>
      <c r="F1142" t="n">
        <v>22</v>
      </c>
    </row>
    <row r="1143">
      <c r="A1143" t="inlineStr">
        <is>
          <t>ORD01142</t>
        </is>
      </c>
      <c r="B1143" t="inlineStr">
        <is>
          <t>C1142</t>
        </is>
      </c>
      <c r="C1143" t="n">
        <v>2</v>
      </c>
      <c r="D1143" t="inlineStr">
        <is>
          <t>Hub A</t>
        </is>
      </c>
      <c r="E1143" t="n">
        <v>32</v>
      </c>
      <c r="F1143" t="n">
        <v>22</v>
      </c>
    </row>
    <row r="1144">
      <c r="A1144" t="inlineStr">
        <is>
          <t>ORD01143</t>
        </is>
      </c>
      <c r="B1144" t="inlineStr">
        <is>
          <t>C1143</t>
        </is>
      </c>
      <c r="C1144" t="n">
        <v>3</v>
      </c>
      <c r="D1144" t="inlineStr">
        <is>
          <t>Hub A</t>
        </is>
      </c>
      <c r="E1144" t="n">
        <v>39</v>
      </c>
      <c r="F1144" t="n">
        <v>22</v>
      </c>
    </row>
    <row r="1145">
      <c r="A1145" t="inlineStr">
        <is>
          <t>ORD01144</t>
        </is>
      </c>
      <c r="B1145" t="inlineStr">
        <is>
          <t>C1144</t>
        </is>
      </c>
      <c r="C1145" t="n">
        <v>1</v>
      </c>
      <c r="D1145" t="inlineStr">
        <is>
          <t>Hub A</t>
        </is>
      </c>
      <c r="E1145" t="n">
        <v>46</v>
      </c>
      <c r="F1145" t="n">
        <v>22</v>
      </c>
    </row>
    <row r="1146">
      <c r="A1146" t="inlineStr">
        <is>
          <t>ORD01145</t>
        </is>
      </c>
      <c r="B1146" t="inlineStr">
        <is>
          <t>C1145</t>
        </is>
      </c>
      <c r="C1146" t="n">
        <v>2</v>
      </c>
      <c r="D1146" t="inlineStr">
        <is>
          <t>Hub A</t>
        </is>
      </c>
      <c r="E1146" t="n">
        <v>53</v>
      </c>
      <c r="F1146" t="n">
        <v>22</v>
      </c>
    </row>
    <row r="1147">
      <c r="A1147" t="inlineStr">
        <is>
          <t>ORD01146</t>
        </is>
      </c>
      <c r="B1147" t="inlineStr">
        <is>
          <t>C1146</t>
        </is>
      </c>
      <c r="C1147" t="n">
        <v>3</v>
      </c>
      <c r="D1147" t="inlineStr">
        <is>
          <t>Hub A</t>
        </is>
      </c>
      <c r="E1147" t="n">
        <v>60</v>
      </c>
      <c r="F1147" t="n">
        <v>22</v>
      </c>
    </row>
    <row r="1148">
      <c r="A1148" t="inlineStr">
        <is>
          <t>ORD01147</t>
        </is>
      </c>
      <c r="B1148" t="inlineStr">
        <is>
          <t>C1147</t>
        </is>
      </c>
      <c r="C1148" t="n">
        <v>1</v>
      </c>
      <c r="D1148" t="inlineStr">
        <is>
          <t>Hub A</t>
        </is>
      </c>
      <c r="E1148" t="n">
        <v>67</v>
      </c>
      <c r="F1148" t="n">
        <v>22</v>
      </c>
    </row>
    <row r="1149">
      <c r="A1149" t="inlineStr">
        <is>
          <t>ORD01148</t>
        </is>
      </c>
      <c r="B1149" t="inlineStr">
        <is>
          <t>C1148</t>
        </is>
      </c>
      <c r="C1149" t="n">
        <v>2</v>
      </c>
      <c r="D1149" t="inlineStr">
        <is>
          <t>Hub A</t>
        </is>
      </c>
      <c r="E1149" t="n">
        <v>74</v>
      </c>
      <c r="F1149" t="n">
        <v>22</v>
      </c>
    </row>
    <row r="1150">
      <c r="A1150" t="inlineStr">
        <is>
          <t>ORD01149</t>
        </is>
      </c>
      <c r="B1150" t="inlineStr">
        <is>
          <t>C1149</t>
        </is>
      </c>
      <c r="C1150" t="n">
        <v>3</v>
      </c>
      <c r="D1150" t="inlineStr">
        <is>
          <t>Hub A</t>
        </is>
      </c>
      <c r="E1150" t="n">
        <v>21</v>
      </c>
      <c r="F1150" t="n">
        <v>22</v>
      </c>
    </row>
    <row r="1151">
      <c r="A1151" t="inlineStr">
        <is>
          <t>ORD01150</t>
        </is>
      </c>
      <c r="B1151" t="inlineStr">
        <is>
          <t>C1150</t>
        </is>
      </c>
      <c r="C1151" t="n">
        <v>1</v>
      </c>
      <c r="D1151" t="inlineStr">
        <is>
          <t>Hub A</t>
        </is>
      </c>
      <c r="E1151" t="n">
        <v>28</v>
      </c>
      <c r="F1151" t="n">
        <v>22</v>
      </c>
    </row>
    <row r="1152">
      <c r="A1152" t="inlineStr">
        <is>
          <t>ORD01151</t>
        </is>
      </c>
      <c r="B1152" t="inlineStr">
        <is>
          <t>C1151</t>
        </is>
      </c>
      <c r="C1152" t="n">
        <v>2</v>
      </c>
      <c r="D1152" t="inlineStr">
        <is>
          <t>Hub A</t>
        </is>
      </c>
      <c r="E1152" t="n">
        <v>35</v>
      </c>
      <c r="F1152" t="n">
        <v>22</v>
      </c>
    </row>
    <row r="1153">
      <c r="A1153" t="inlineStr">
        <is>
          <t>ORD01152</t>
        </is>
      </c>
      <c r="B1153" t="inlineStr">
        <is>
          <t>C1152</t>
        </is>
      </c>
      <c r="C1153" t="n">
        <v>3</v>
      </c>
      <c r="D1153" t="inlineStr">
        <is>
          <t>Hub A</t>
        </is>
      </c>
      <c r="E1153" t="n">
        <v>42</v>
      </c>
      <c r="F1153" t="n">
        <v>22</v>
      </c>
    </row>
    <row r="1154">
      <c r="A1154" t="inlineStr">
        <is>
          <t>ORD01153</t>
        </is>
      </c>
      <c r="B1154" t="inlineStr">
        <is>
          <t>C1153</t>
        </is>
      </c>
      <c r="C1154" t="n">
        <v>1</v>
      </c>
      <c r="D1154" t="inlineStr">
        <is>
          <t>Hub A</t>
        </is>
      </c>
      <c r="E1154" t="n">
        <v>49</v>
      </c>
      <c r="F1154" t="n">
        <v>22</v>
      </c>
    </row>
    <row r="1155">
      <c r="A1155" t="inlineStr">
        <is>
          <t>ORD01154</t>
        </is>
      </c>
      <c r="B1155" t="inlineStr">
        <is>
          <t>C1154</t>
        </is>
      </c>
      <c r="C1155" t="n">
        <v>2</v>
      </c>
      <c r="D1155" t="inlineStr">
        <is>
          <t>Hub A</t>
        </is>
      </c>
      <c r="E1155" t="n">
        <v>56</v>
      </c>
      <c r="F1155" t="n">
        <v>22</v>
      </c>
    </row>
    <row r="1156">
      <c r="A1156" t="inlineStr">
        <is>
          <t>ORD01155</t>
        </is>
      </c>
      <c r="B1156" t="inlineStr">
        <is>
          <t>C1155</t>
        </is>
      </c>
      <c r="C1156" t="n">
        <v>3</v>
      </c>
      <c r="D1156" t="inlineStr">
        <is>
          <t>Hub A</t>
        </is>
      </c>
      <c r="E1156" t="n">
        <v>63</v>
      </c>
      <c r="F1156" t="n">
        <v>22</v>
      </c>
    </row>
    <row r="1157">
      <c r="A1157" t="inlineStr">
        <is>
          <t>ORD01156</t>
        </is>
      </c>
      <c r="B1157" t="inlineStr">
        <is>
          <t>C1156</t>
        </is>
      </c>
      <c r="C1157" t="n">
        <v>1</v>
      </c>
      <c r="D1157" t="inlineStr">
        <is>
          <t>Hub A</t>
        </is>
      </c>
      <c r="E1157" t="n">
        <v>70</v>
      </c>
      <c r="F1157" t="n">
        <v>22</v>
      </c>
    </row>
    <row r="1158">
      <c r="A1158" t="inlineStr">
        <is>
          <t>ORD01157</t>
        </is>
      </c>
      <c r="B1158" t="inlineStr">
        <is>
          <t>C1157</t>
        </is>
      </c>
      <c r="C1158" t="n">
        <v>2</v>
      </c>
      <c r="D1158" t="inlineStr">
        <is>
          <t>Hub A</t>
        </is>
      </c>
      <c r="E1158" t="n">
        <v>77</v>
      </c>
      <c r="F1158" t="n">
        <v>22</v>
      </c>
    </row>
    <row r="1159">
      <c r="A1159" t="inlineStr">
        <is>
          <t>ORD01158</t>
        </is>
      </c>
      <c r="B1159" t="inlineStr">
        <is>
          <t>C1158</t>
        </is>
      </c>
      <c r="C1159" t="n">
        <v>3</v>
      </c>
      <c r="D1159" t="inlineStr">
        <is>
          <t>Hub A</t>
        </is>
      </c>
      <c r="E1159" t="n">
        <v>24</v>
      </c>
      <c r="F1159" t="n">
        <v>22</v>
      </c>
    </row>
    <row r="1160">
      <c r="A1160" t="inlineStr">
        <is>
          <t>ORD01159</t>
        </is>
      </c>
      <c r="B1160" t="inlineStr">
        <is>
          <t>C1159</t>
        </is>
      </c>
      <c r="C1160" t="n">
        <v>1</v>
      </c>
      <c r="D1160" t="inlineStr">
        <is>
          <t>Hub A</t>
        </is>
      </c>
      <c r="E1160" t="n">
        <v>31</v>
      </c>
      <c r="F1160" t="n">
        <v>22</v>
      </c>
    </row>
    <row r="1161">
      <c r="A1161" t="inlineStr">
        <is>
          <t>ORD01160</t>
        </is>
      </c>
      <c r="B1161" t="inlineStr">
        <is>
          <t>C1160</t>
        </is>
      </c>
      <c r="C1161" t="n">
        <v>2</v>
      </c>
      <c r="D1161" t="inlineStr">
        <is>
          <t>Hub A</t>
        </is>
      </c>
      <c r="E1161" t="n">
        <v>38</v>
      </c>
      <c r="F1161" t="n">
        <v>22</v>
      </c>
    </row>
    <row r="1162">
      <c r="A1162" t="inlineStr">
        <is>
          <t>ORD01161</t>
        </is>
      </c>
      <c r="B1162" t="inlineStr">
        <is>
          <t>C1161</t>
        </is>
      </c>
      <c r="C1162" t="n">
        <v>3</v>
      </c>
      <c r="D1162" t="inlineStr">
        <is>
          <t>Hub A</t>
        </is>
      </c>
      <c r="E1162" t="n">
        <v>45</v>
      </c>
      <c r="F1162" t="n">
        <v>22</v>
      </c>
    </row>
    <row r="1163">
      <c r="A1163" t="inlineStr">
        <is>
          <t>ORD01162</t>
        </is>
      </c>
      <c r="B1163" t="inlineStr">
        <is>
          <t>C1162</t>
        </is>
      </c>
      <c r="C1163" t="n">
        <v>1</v>
      </c>
      <c r="D1163" t="inlineStr">
        <is>
          <t>Hub A</t>
        </is>
      </c>
      <c r="E1163" t="n">
        <v>52</v>
      </c>
      <c r="F1163" t="n">
        <v>22</v>
      </c>
    </row>
    <row r="1164">
      <c r="A1164" t="inlineStr">
        <is>
          <t>ORD01163</t>
        </is>
      </c>
      <c r="B1164" t="inlineStr">
        <is>
          <t>C1163</t>
        </is>
      </c>
      <c r="C1164" t="n">
        <v>2</v>
      </c>
      <c r="D1164" t="inlineStr">
        <is>
          <t>Hub A</t>
        </is>
      </c>
      <c r="E1164" t="n">
        <v>59</v>
      </c>
      <c r="F1164" t="n">
        <v>22</v>
      </c>
    </row>
    <row r="1165">
      <c r="A1165" t="inlineStr">
        <is>
          <t>ORD01164</t>
        </is>
      </c>
      <c r="B1165" t="inlineStr">
        <is>
          <t>C1164</t>
        </is>
      </c>
      <c r="C1165" t="n">
        <v>3</v>
      </c>
      <c r="D1165" t="inlineStr">
        <is>
          <t>Hub A</t>
        </is>
      </c>
      <c r="E1165" t="n">
        <v>66</v>
      </c>
      <c r="F1165" t="n">
        <v>22</v>
      </c>
    </row>
    <row r="1166">
      <c r="A1166" t="inlineStr">
        <is>
          <t>ORD01165</t>
        </is>
      </c>
      <c r="B1166" t="inlineStr">
        <is>
          <t>C1165</t>
        </is>
      </c>
      <c r="C1166" t="n">
        <v>1</v>
      </c>
      <c r="D1166" t="inlineStr">
        <is>
          <t>Hub A</t>
        </is>
      </c>
      <c r="E1166" t="n">
        <v>73</v>
      </c>
      <c r="F1166" t="n">
        <v>22</v>
      </c>
    </row>
    <row r="1167">
      <c r="A1167" t="inlineStr">
        <is>
          <t>ORD01166</t>
        </is>
      </c>
      <c r="B1167" t="inlineStr">
        <is>
          <t>C1166</t>
        </is>
      </c>
      <c r="C1167" t="n">
        <v>2</v>
      </c>
      <c r="D1167" t="inlineStr">
        <is>
          <t>Hub A</t>
        </is>
      </c>
      <c r="E1167" t="n">
        <v>20</v>
      </c>
      <c r="F1167" t="n">
        <v>22</v>
      </c>
    </row>
    <row r="1168">
      <c r="A1168" t="inlineStr">
        <is>
          <t>ORD01167</t>
        </is>
      </c>
      <c r="B1168" t="inlineStr">
        <is>
          <t>C1167</t>
        </is>
      </c>
      <c r="C1168" t="n">
        <v>3</v>
      </c>
      <c r="D1168" t="inlineStr">
        <is>
          <t>Hub A</t>
        </is>
      </c>
      <c r="E1168" t="n">
        <v>27</v>
      </c>
      <c r="F1168" t="n">
        <v>22</v>
      </c>
    </row>
    <row r="1169">
      <c r="A1169" t="inlineStr">
        <is>
          <t>ORD01168</t>
        </is>
      </c>
      <c r="B1169" t="inlineStr">
        <is>
          <t>C1168</t>
        </is>
      </c>
      <c r="C1169" t="n">
        <v>1</v>
      </c>
      <c r="D1169" t="inlineStr">
        <is>
          <t>Hub A</t>
        </is>
      </c>
      <c r="E1169" t="n">
        <v>34</v>
      </c>
      <c r="F1169" t="n">
        <v>22</v>
      </c>
    </row>
    <row r="1170">
      <c r="A1170" t="inlineStr">
        <is>
          <t>ORD01169</t>
        </is>
      </c>
      <c r="B1170" t="inlineStr">
        <is>
          <t>C1169</t>
        </is>
      </c>
      <c r="C1170" t="n">
        <v>2</v>
      </c>
      <c r="D1170" t="inlineStr">
        <is>
          <t>Hub A</t>
        </is>
      </c>
      <c r="E1170" t="n">
        <v>41</v>
      </c>
      <c r="F1170" t="n">
        <v>22</v>
      </c>
    </row>
    <row r="1171">
      <c r="A1171" t="inlineStr">
        <is>
          <t>ORD01170</t>
        </is>
      </c>
      <c r="B1171" t="inlineStr">
        <is>
          <t>C1170</t>
        </is>
      </c>
      <c r="C1171" t="n">
        <v>3</v>
      </c>
      <c r="D1171" t="inlineStr">
        <is>
          <t>Hub A</t>
        </is>
      </c>
      <c r="E1171" t="n">
        <v>48</v>
      </c>
      <c r="F1171" t="n">
        <v>22</v>
      </c>
    </row>
    <row r="1172">
      <c r="A1172" t="inlineStr">
        <is>
          <t>ORD01171</t>
        </is>
      </c>
      <c r="B1172" t="inlineStr">
        <is>
          <t>C1171</t>
        </is>
      </c>
      <c r="C1172" t="n">
        <v>1</v>
      </c>
      <c r="D1172" t="inlineStr">
        <is>
          <t>Hub A</t>
        </is>
      </c>
      <c r="E1172" t="n">
        <v>55</v>
      </c>
      <c r="F1172" t="n">
        <v>22</v>
      </c>
    </row>
    <row r="1173">
      <c r="A1173" t="inlineStr">
        <is>
          <t>ORD01172</t>
        </is>
      </c>
      <c r="B1173" t="inlineStr">
        <is>
          <t>C1172</t>
        </is>
      </c>
      <c r="C1173" t="n">
        <v>2</v>
      </c>
      <c r="D1173" t="inlineStr">
        <is>
          <t>Hub A</t>
        </is>
      </c>
      <c r="E1173" t="n">
        <v>62</v>
      </c>
      <c r="F1173" t="n">
        <v>22</v>
      </c>
    </row>
    <row r="1174">
      <c r="A1174" t="inlineStr">
        <is>
          <t>ORD01173</t>
        </is>
      </c>
      <c r="B1174" t="inlineStr">
        <is>
          <t>C1173</t>
        </is>
      </c>
      <c r="C1174" t="n">
        <v>3</v>
      </c>
      <c r="D1174" t="inlineStr">
        <is>
          <t>Hub A</t>
        </is>
      </c>
      <c r="E1174" t="n">
        <v>69</v>
      </c>
      <c r="F1174" t="n">
        <v>22</v>
      </c>
    </row>
    <row r="1175">
      <c r="A1175" t="inlineStr">
        <is>
          <t>ORD01174</t>
        </is>
      </c>
      <c r="B1175" t="inlineStr">
        <is>
          <t>C1174</t>
        </is>
      </c>
      <c r="C1175" t="n">
        <v>1</v>
      </c>
      <c r="D1175" t="inlineStr">
        <is>
          <t>Hub A</t>
        </is>
      </c>
      <c r="E1175" t="n">
        <v>76</v>
      </c>
      <c r="F1175" t="n">
        <v>22</v>
      </c>
    </row>
    <row r="1176">
      <c r="A1176" t="inlineStr">
        <is>
          <t>ORD01175</t>
        </is>
      </c>
      <c r="B1176" t="inlineStr">
        <is>
          <t>C1175</t>
        </is>
      </c>
      <c r="C1176" t="n">
        <v>2</v>
      </c>
      <c r="D1176" t="inlineStr">
        <is>
          <t>Hub A</t>
        </is>
      </c>
      <c r="E1176" t="n">
        <v>23</v>
      </c>
      <c r="F1176" t="n">
        <v>22</v>
      </c>
    </row>
    <row r="1177">
      <c r="A1177" t="inlineStr">
        <is>
          <t>ORD01176</t>
        </is>
      </c>
      <c r="B1177" t="inlineStr">
        <is>
          <t>C1176</t>
        </is>
      </c>
      <c r="C1177" t="n">
        <v>3</v>
      </c>
      <c r="D1177" t="inlineStr">
        <is>
          <t>Hub A</t>
        </is>
      </c>
      <c r="E1177" t="n">
        <v>30</v>
      </c>
      <c r="F1177" t="n">
        <v>22</v>
      </c>
    </row>
    <row r="1178">
      <c r="A1178" t="inlineStr">
        <is>
          <t>ORD01177</t>
        </is>
      </c>
      <c r="B1178" t="inlineStr">
        <is>
          <t>C1177</t>
        </is>
      </c>
      <c r="C1178" t="n">
        <v>1</v>
      </c>
      <c r="D1178" t="inlineStr">
        <is>
          <t>Hub A</t>
        </is>
      </c>
      <c r="E1178" t="n">
        <v>37</v>
      </c>
      <c r="F1178" t="n">
        <v>22</v>
      </c>
    </row>
    <row r="1179">
      <c r="A1179" t="inlineStr">
        <is>
          <t>ORD01178</t>
        </is>
      </c>
      <c r="B1179" t="inlineStr">
        <is>
          <t>C1178</t>
        </is>
      </c>
      <c r="C1179" t="n">
        <v>2</v>
      </c>
      <c r="D1179" t="inlineStr">
        <is>
          <t>Hub A</t>
        </is>
      </c>
      <c r="E1179" t="n">
        <v>44</v>
      </c>
      <c r="F1179" t="n">
        <v>22</v>
      </c>
    </row>
    <row r="1180">
      <c r="A1180" t="inlineStr">
        <is>
          <t>ORD01179</t>
        </is>
      </c>
      <c r="B1180" t="inlineStr">
        <is>
          <t>C1179</t>
        </is>
      </c>
      <c r="C1180" t="n">
        <v>3</v>
      </c>
      <c r="D1180" t="inlineStr">
        <is>
          <t>Hub A</t>
        </is>
      </c>
      <c r="E1180" t="n">
        <v>51</v>
      </c>
      <c r="F1180" t="n">
        <v>22</v>
      </c>
    </row>
    <row r="1181">
      <c r="A1181" t="inlineStr">
        <is>
          <t>ORD01180</t>
        </is>
      </c>
      <c r="B1181" t="inlineStr">
        <is>
          <t>C1180</t>
        </is>
      </c>
      <c r="C1181" t="n">
        <v>1</v>
      </c>
      <c r="D1181" t="inlineStr">
        <is>
          <t>Hub A</t>
        </is>
      </c>
      <c r="E1181" t="n">
        <v>58</v>
      </c>
      <c r="F1181" t="n">
        <v>22</v>
      </c>
    </row>
    <row r="1182">
      <c r="A1182" t="inlineStr">
        <is>
          <t>ORD01181</t>
        </is>
      </c>
      <c r="B1182" t="inlineStr">
        <is>
          <t>C1181</t>
        </is>
      </c>
      <c r="C1182" t="n">
        <v>2</v>
      </c>
      <c r="D1182" t="inlineStr">
        <is>
          <t>Hub A</t>
        </is>
      </c>
      <c r="E1182" t="n">
        <v>65</v>
      </c>
      <c r="F1182" t="n">
        <v>22</v>
      </c>
    </row>
    <row r="1183">
      <c r="A1183" t="inlineStr">
        <is>
          <t>ORD01182</t>
        </is>
      </c>
      <c r="B1183" t="inlineStr">
        <is>
          <t>C1182</t>
        </is>
      </c>
      <c r="C1183" t="n">
        <v>3</v>
      </c>
      <c r="D1183" t="inlineStr">
        <is>
          <t>Hub A</t>
        </is>
      </c>
      <c r="E1183" t="n">
        <v>72</v>
      </c>
      <c r="F1183" t="n">
        <v>22</v>
      </c>
    </row>
    <row r="1184">
      <c r="A1184" t="inlineStr">
        <is>
          <t>ORD01183</t>
        </is>
      </c>
      <c r="B1184" t="inlineStr">
        <is>
          <t>C1183</t>
        </is>
      </c>
      <c r="C1184" t="n">
        <v>1</v>
      </c>
      <c r="D1184" t="inlineStr">
        <is>
          <t>Hub A</t>
        </is>
      </c>
      <c r="E1184" t="n">
        <v>19</v>
      </c>
      <c r="F1184" t="n">
        <v>22</v>
      </c>
    </row>
    <row r="1185">
      <c r="A1185" t="inlineStr">
        <is>
          <t>ORD01184</t>
        </is>
      </c>
      <c r="B1185" t="inlineStr">
        <is>
          <t>C1184</t>
        </is>
      </c>
      <c r="C1185" t="n">
        <v>2</v>
      </c>
      <c r="D1185" t="inlineStr">
        <is>
          <t>Hub A</t>
        </is>
      </c>
      <c r="E1185" t="n">
        <v>26</v>
      </c>
      <c r="F1185" t="n">
        <v>22</v>
      </c>
    </row>
    <row r="1186">
      <c r="A1186" t="inlineStr">
        <is>
          <t>ORD01185</t>
        </is>
      </c>
      <c r="B1186" t="inlineStr">
        <is>
          <t>C1185</t>
        </is>
      </c>
      <c r="C1186" t="n">
        <v>3</v>
      </c>
      <c r="D1186" t="inlineStr">
        <is>
          <t>Hub A</t>
        </is>
      </c>
      <c r="E1186" t="n">
        <v>33</v>
      </c>
      <c r="F1186" t="n">
        <v>22</v>
      </c>
    </row>
    <row r="1187">
      <c r="A1187" t="inlineStr">
        <is>
          <t>ORD01186</t>
        </is>
      </c>
      <c r="B1187" t="inlineStr">
        <is>
          <t>C1186</t>
        </is>
      </c>
      <c r="C1187" t="n">
        <v>1</v>
      </c>
      <c r="D1187" t="inlineStr">
        <is>
          <t>Hub A</t>
        </is>
      </c>
      <c r="E1187" t="n">
        <v>40</v>
      </c>
      <c r="F1187" t="n">
        <v>22</v>
      </c>
    </row>
    <row r="1188">
      <c r="A1188" t="inlineStr">
        <is>
          <t>ORD01187</t>
        </is>
      </c>
      <c r="B1188" t="inlineStr">
        <is>
          <t>C1187</t>
        </is>
      </c>
      <c r="C1188" t="n">
        <v>2</v>
      </c>
      <c r="D1188" t="inlineStr">
        <is>
          <t>Hub A</t>
        </is>
      </c>
      <c r="E1188" t="n">
        <v>47</v>
      </c>
      <c r="F1188" t="n">
        <v>22</v>
      </c>
    </row>
    <row r="1189">
      <c r="A1189" t="inlineStr">
        <is>
          <t>ORD01188</t>
        </is>
      </c>
      <c r="B1189" t="inlineStr">
        <is>
          <t>C1188</t>
        </is>
      </c>
      <c r="C1189" t="n">
        <v>3</v>
      </c>
      <c r="D1189" t="inlineStr">
        <is>
          <t>Hub A</t>
        </is>
      </c>
      <c r="E1189" t="n">
        <v>54</v>
      </c>
      <c r="F1189" t="n">
        <v>22</v>
      </c>
    </row>
    <row r="1190">
      <c r="A1190" t="inlineStr">
        <is>
          <t>ORD01189</t>
        </is>
      </c>
      <c r="B1190" t="inlineStr">
        <is>
          <t>C1189</t>
        </is>
      </c>
      <c r="C1190" t="n">
        <v>1</v>
      </c>
      <c r="D1190" t="inlineStr">
        <is>
          <t>Hub A</t>
        </is>
      </c>
      <c r="E1190" t="n">
        <v>61</v>
      </c>
      <c r="F1190" t="n">
        <v>22</v>
      </c>
    </row>
    <row r="1191">
      <c r="A1191" t="inlineStr">
        <is>
          <t>ORD01190</t>
        </is>
      </c>
      <c r="B1191" t="inlineStr">
        <is>
          <t>C1190</t>
        </is>
      </c>
      <c r="C1191" t="n">
        <v>2</v>
      </c>
      <c r="D1191" t="inlineStr">
        <is>
          <t>Hub A</t>
        </is>
      </c>
      <c r="E1191" t="n">
        <v>68</v>
      </c>
      <c r="F1191" t="n">
        <v>22</v>
      </c>
    </row>
    <row r="1192">
      <c r="A1192" t="inlineStr">
        <is>
          <t>ORD01191</t>
        </is>
      </c>
      <c r="B1192" t="inlineStr">
        <is>
          <t>C1191</t>
        </is>
      </c>
      <c r="C1192" t="n">
        <v>3</v>
      </c>
      <c r="D1192" t="inlineStr">
        <is>
          <t>Hub A</t>
        </is>
      </c>
      <c r="E1192" t="n">
        <v>75</v>
      </c>
      <c r="F1192" t="n">
        <v>22</v>
      </c>
    </row>
    <row r="1193">
      <c r="A1193" t="inlineStr">
        <is>
          <t>ORD01192</t>
        </is>
      </c>
      <c r="B1193" t="inlineStr">
        <is>
          <t>C1192</t>
        </is>
      </c>
      <c r="C1193" t="n">
        <v>1</v>
      </c>
      <c r="D1193" t="inlineStr">
        <is>
          <t>Hub A</t>
        </is>
      </c>
      <c r="E1193" t="n">
        <v>22</v>
      </c>
      <c r="F1193" t="n">
        <v>22</v>
      </c>
    </row>
    <row r="1194">
      <c r="A1194" t="inlineStr">
        <is>
          <t>ORD01193</t>
        </is>
      </c>
      <c r="B1194" t="inlineStr">
        <is>
          <t>C1193</t>
        </is>
      </c>
      <c r="C1194" t="n">
        <v>2</v>
      </c>
      <c r="D1194" t="inlineStr">
        <is>
          <t>Hub A</t>
        </is>
      </c>
      <c r="E1194" t="n">
        <v>29</v>
      </c>
      <c r="F1194" t="n">
        <v>22</v>
      </c>
    </row>
    <row r="1195">
      <c r="A1195" t="inlineStr">
        <is>
          <t>ORD01194</t>
        </is>
      </c>
      <c r="B1195" t="inlineStr">
        <is>
          <t>C1194</t>
        </is>
      </c>
      <c r="C1195" t="n">
        <v>3</v>
      </c>
      <c r="D1195" t="inlineStr">
        <is>
          <t>Hub A</t>
        </is>
      </c>
      <c r="E1195" t="n">
        <v>36</v>
      </c>
      <c r="F1195" t="n">
        <v>22</v>
      </c>
    </row>
    <row r="1196">
      <c r="A1196" t="inlineStr">
        <is>
          <t>ORD01195</t>
        </is>
      </c>
      <c r="B1196" t="inlineStr">
        <is>
          <t>C1195</t>
        </is>
      </c>
      <c r="C1196" t="n">
        <v>1</v>
      </c>
      <c r="D1196" t="inlineStr">
        <is>
          <t>Hub A</t>
        </is>
      </c>
      <c r="E1196" t="n">
        <v>43</v>
      </c>
      <c r="F1196" t="n">
        <v>22</v>
      </c>
    </row>
    <row r="1197">
      <c r="A1197" t="inlineStr">
        <is>
          <t>ORD01196</t>
        </is>
      </c>
      <c r="B1197" t="inlineStr">
        <is>
          <t>C1196</t>
        </is>
      </c>
      <c r="C1197" t="n">
        <v>2</v>
      </c>
      <c r="D1197" t="inlineStr">
        <is>
          <t>Hub A</t>
        </is>
      </c>
      <c r="E1197" t="n">
        <v>50</v>
      </c>
      <c r="F1197" t="n">
        <v>22</v>
      </c>
    </row>
    <row r="1198">
      <c r="A1198" t="inlineStr">
        <is>
          <t>ORD01197</t>
        </is>
      </c>
      <c r="B1198" t="inlineStr">
        <is>
          <t>C1197</t>
        </is>
      </c>
      <c r="C1198" t="n">
        <v>3</v>
      </c>
      <c r="D1198" t="inlineStr">
        <is>
          <t>Hub A</t>
        </is>
      </c>
      <c r="E1198" t="n">
        <v>57</v>
      </c>
      <c r="F1198" t="n">
        <v>22</v>
      </c>
    </row>
    <row r="1199">
      <c r="A1199" t="inlineStr">
        <is>
          <t>ORD01198</t>
        </is>
      </c>
      <c r="B1199" t="inlineStr">
        <is>
          <t>C1198</t>
        </is>
      </c>
      <c r="C1199" t="n">
        <v>1</v>
      </c>
      <c r="D1199" t="inlineStr">
        <is>
          <t>Hub A</t>
        </is>
      </c>
      <c r="E1199" t="n">
        <v>64</v>
      </c>
      <c r="F1199" t="n">
        <v>22</v>
      </c>
    </row>
    <row r="1200">
      <c r="A1200" t="inlineStr">
        <is>
          <t>ORD01199</t>
        </is>
      </c>
      <c r="B1200" t="inlineStr">
        <is>
          <t>C1199</t>
        </is>
      </c>
      <c r="C1200" t="n">
        <v>2</v>
      </c>
      <c r="D1200" t="inlineStr">
        <is>
          <t>Hub A</t>
        </is>
      </c>
      <c r="E1200" t="n">
        <v>71</v>
      </c>
      <c r="F1200" t="n">
        <v>22</v>
      </c>
    </row>
    <row r="1201">
      <c r="A1201" t="inlineStr">
        <is>
          <t>ORD01200</t>
        </is>
      </c>
      <c r="B1201" t="inlineStr">
        <is>
          <t>C1200</t>
        </is>
      </c>
      <c r="C1201" t="n">
        <v>3</v>
      </c>
      <c r="D1201" t="inlineStr">
        <is>
          <t>Hub A</t>
        </is>
      </c>
      <c r="E1201" t="n">
        <v>18</v>
      </c>
      <c r="F1201" t="n">
        <v>22</v>
      </c>
    </row>
    <row r="1202">
      <c r="A1202" t="inlineStr">
        <is>
          <t>ORD01201</t>
        </is>
      </c>
      <c r="B1202" t="inlineStr">
        <is>
          <t>C1201</t>
        </is>
      </c>
      <c r="C1202" t="n">
        <v>1</v>
      </c>
      <c r="D1202" t="inlineStr">
        <is>
          <t>Hub A</t>
        </is>
      </c>
      <c r="E1202" t="n">
        <v>25</v>
      </c>
      <c r="F1202" t="n">
        <v>22</v>
      </c>
    </row>
    <row r="1203">
      <c r="A1203" t="inlineStr">
        <is>
          <t>ORD01202</t>
        </is>
      </c>
      <c r="B1203" t="inlineStr">
        <is>
          <t>C1202</t>
        </is>
      </c>
      <c r="C1203" t="n">
        <v>2</v>
      </c>
      <c r="D1203" t="inlineStr">
        <is>
          <t>Hub A</t>
        </is>
      </c>
      <c r="E1203" t="n">
        <v>32</v>
      </c>
      <c r="F1203" t="n">
        <v>22</v>
      </c>
    </row>
    <row r="1204">
      <c r="A1204" t="inlineStr">
        <is>
          <t>ORD01203</t>
        </is>
      </c>
      <c r="B1204" t="inlineStr">
        <is>
          <t>C1203</t>
        </is>
      </c>
      <c r="C1204" t="n">
        <v>3</v>
      </c>
      <c r="D1204" t="inlineStr">
        <is>
          <t>Hub A</t>
        </is>
      </c>
      <c r="E1204" t="n">
        <v>39</v>
      </c>
      <c r="F1204" t="n">
        <v>22</v>
      </c>
    </row>
    <row r="1205">
      <c r="A1205" t="inlineStr">
        <is>
          <t>ORD01204</t>
        </is>
      </c>
      <c r="B1205" t="inlineStr">
        <is>
          <t>C1204</t>
        </is>
      </c>
      <c r="C1205" t="n">
        <v>1</v>
      </c>
      <c r="D1205" t="inlineStr">
        <is>
          <t>Hub A</t>
        </is>
      </c>
      <c r="E1205" t="n">
        <v>46</v>
      </c>
      <c r="F1205" t="n">
        <v>22</v>
      </c>
    </row>
    <row r="1206">
      <c r="A1206" t="inlineStr">
        <is>
          <t>ORD01205</t>
        </is>
      </c>
      <c r="B1206" t="inlineStr">
        <is>
          <t>C1205</t>
        </is>
      </c>
      <c r="C1206" t="n">
        <v>2</v>
      </c>
      <c r="D1206" t="inlineStr">
        <is>
          <t>Hub A</t>
        </is>
      </c>
      <c r="E1206" t="n">
        <v>53</v>
      </c>
      <c r="F1206" t="n">
        <v>22</v>
      </c>
    </row>
    <row r="1207">
      <c r="A1207" t="inlineStr">
        <is>
          <t>ORD01206</t>
        </is>
      </c>
      <c r="B1207" t="inlineStr">
        <is>
          <t>C1206</t>
        </is>
      </c>
      <c r="C1207" t="n">
        <v>3</v>
      </c>
      <c r="D1207" t="inlineStr">
        <is>
          <t>Hub A</t>
        </is>
      </c>
      <c r="E1207" t="n">
        <v>60</v>
      </c>
      <c r="F1207" t="n">
        <v>22</v>
      </c>
    </row>
    <row r="1208">
      <c r="A1208" t="inlineStr">
        <is>
          <t>ORD01207</t>
        </is>
      </c>
      <c r="B1208" t="inlineStr">
        <is>
          <t>C1207</t>
        </is>
      </c>
      <c r="C1208" t="n">
        <v>1</v>
      </c>
      <c r="D1208" t="inlineStr">
        <is>
          <t>Hub A</t>
        </is>
      </c>
      <c r="E1208" t="n">
        <v>67</v>
      </c>
      <c r="F1208" t="n">
        <v>22</v>
      </c>
    </row>
    <row r="1209">
      <c r="A1209" t="inlineStr">
        <is>
          <t>ORD01208</t>
        </is>
      </c>
      <c r="B1209" t="inlineStr">
        <is>
          <t>C1208</t>
        </is>
      </c>
      <c r="C1209" t="n">
        <v>2</v>
      </c>
      <c r="D1209" t="inlineStr">
        <is>
          <t>Hub A</t>
        </is>
      </c>
      <c r="E1209" t="n">
        <v>74</v>
      </c>
      <c r="F1209" t="n">
        <v>22</v>
      </c>
    </row>
    <row r="1210">
      <c r="A1210" t="inlineStr">
        <is>
          <t>ORD01209</t>
        </is>
      </c>
      <c r="B1210" t="inlineStr">
        <is>
          <t>C1209</t>
        </is>
      </c>
      <c r="C1210" t="n">
        <v>3</v>
      </c>
      <c r="D1210" t="inlineStr">
        <is>
          <t>Hub A</t>
        </is>
      </c>
      <c r="E1210" t="n">
        <v>21</v>
      </c>
      <c r="F1210" t="n">
        <v>22</v>
      </c>
    </row>
    <row r="1211">
      <c r="A1211" t="inlineStr">
        <is>
          <t>ORD01210</t>
        </is>
      </c>
      <c r="B1211" t="inlineStr">
        <is>
          <t>C1210</t>
        </is>
      </c>
      <c r="C1211" t="n">
        <v>1</v>
      </c>
      <c r="D1211" t="inlineStr">
        <is>
          <t>Hub A</t>
        </is>
      </c>
      <c r="E1211" t="n">
        <v>28</v>
      </c>
      <c r="F1211" t="n">
        <v>22</v>
      </c>
    </row>
    <row r="1212">
      <c r="A1212" t="inlineStr">
        <is>
          <t>ORD01211</t>
        </is>
      </c>
      <c r="B1212" t="inlineStr">
        <is>
          <t>C1211</t>
        </is>
      </c>
      <c r="C1212" t="n">
        <v>2</v>
      </c>
      <c r="D1212" t="inlineStr">
        <is>
          <t>Hub A</t>
        </is>
      </c>
      <c r="E1212" t="n">
        <v>35</v>
      </c>
      <c r="F1212" t="n">
        <v>22</v>
      </c>
    </row>
    <row r="1213">
      <c r="A1213" t="inlineStr">
        <is>
          <t>ORD01212</t>
        </is>
      </c>
      <c r="B1213" t="inlineStr">
        <is>
          <t>C1212</t>
        </is>
      </c>
      <c r="C1213" t="n">
        <v>3</v>
      </c>
      <c r="D1213" t="inlineStr">
        <is>
          <t>Hub A</t>
        </is>
      </c>
      <c r="E1213" t="n">
        <v>42</v>
      </c>
      <c r="F1213" t="n">
        <v>22</v>
      </c>
    </row>
    <row r="1214">
      <c r="A1214" t="inlineStr">
        <is>
          <t>ORD01213</t>
        </is>
      </c>
      <c r="B1214" t="inlineStr">
        <is>
          <t>C1213</t>
        </is>
      </c>
      <c r="C1214" t="n">
        <v>1</v>
      </c>
      <c r="D1214" t="inlineStr">
        <is>
          <t>Hub A</t>
        </is>
      </c>
      <c r="E1214" t="n">
        <v>49</v>
      </c>
      <c r="F1214" t="n">
        <v>22</v>
      </c>
    </row>
    <row r="1215">
      <c r="A1215" t="inlineStr">
        <is>
          <t>ORD01214</t>
        </is>
      </c>
      <c r="B1215" t="inlineStr">
        <is>
          <t>C1214</t>
        </is>
      </c>
      <c r="C1215" t="n">
        <v>2</v>
      </c>
      <c r="D1215" t="inlineStr">
        <is>
          <t>Hub A</t>
        </is>
      </c>
      <c r="E1215" t="n">
        <v>56</v>
      </c>
      <c r="F1215" t="n">
        <v>22</v>
      </c>
    </row>
    <row r="1216">
      <c r="A1216" t="inlineStr">
        <is>
          <t>ORD01215</t>
        </is>
      </c>
      <c r="B1216" t="inlineStr">
        <is>
          <t>C1215</t>
        </is>
      </c>
      <c r="C1216" t="n">
        <v>3</v>
      </c>
      <c r="D1216" t="inlineStr">
        <is>
          <t>Hub A</t>
        </is>
      </c>
      <c r="E1216" t="n">
        <v>63</v>
      </c>
      <c r="F1216" t="n">
        <v>22</v>
      </c>
    </row>
    <row r="1217">
      <c r="A1217" t="inlineStr">
        <is>
          <t>ORD01216</t>
        </is>
      </c>
      <c r="B1217" t="inlineStr">
        <is>
          <t>C1216</t>
        </is>
      </c>
      <c r="C1217" t="n">
        <v>1</v>
      </c>
      <c r="D1217" t="inlineStr">
        <is>
          <t>Hub A</t>
        </is>
      </c>
      <c r="E1217" t="n">
        <v>70</v>
      </c>
      <c r="F1217" t="n">
        <v>22</v>
      </c>
    </row>
    <row r="1218">
      <c r="A1218" t="inlineStr">
        <is>
          <t>ORD01217</t>
        </is>
      </c>
      <c r="B1218" t="inlineStr">
        <is>
          <t>C1217</t>
        </is>
      </c>
      <c r="C1218" t="n">
        <v>2</v>
      </c>
      <c r="D1218" t="inlineStr">
        <is>
          <t>Hub A</t>
        </is>
      </c>
      <c r="E1218" t="n">
        <v>77</v>
      </c>
      <c r="F1218" t="n">
        <v>22</v>
      </c>
    </row>
    <row r="1219">
      <c r="A1219" t="inlineStr">
        <is>
          <t>ORD01218</t>
        </is>
      </c>
      <c r="B1219" t="inlineStr">
        <is>
          <t>C1218</t>
        </is>
      </c>
      <c r="C1219" t="n">
        <v>3</v>
      </c>
      <c r="D1219" t="inlineStr">
        <is>
          <t>Hub A</t>
        </is>
      </c>
      <c r="E1219" t="n">
        <v>24</v>
      </c>
      <c r="F1219" t="n">
        <v>22</v>
      </c>
    </row>
    <row r="1220">
      <c r="A1220" t="inlineStr">
        <is>
          <t>ORD01219</t>
        </is>
      </c>
      <c r="B1220" t="inlineStr">
        <is>
          <t>C1219</t>
        </is>
      </c>
      <c r="C1220" t="n">
        <v>1</v>
      </c>
      <c r="D1220" t="inlineStr">
        <is>
          <t>Hub A</t>
        </is>
      </c>
      <c r="E1220" t="n">
        <v>31</v>
      </c>
      <c r="F1220" t="n">
        <v>22</v>
      </c>
    </row>
    <row r="1221">
      <c r="A1221" t="inlineStr">
        <is>
          <t>ORD01220</t>
        </is>
      </c>
      <c r="B1221" t="inlineStr">
        <is>
          <t>C1220</t>
        </is>
      </c>
      <c r="C1221" t="n">
        <v>2</v>
      </c>
      <c r="D1221" t="inlineStr">
        <is>
          <t>Hub A</t>
        </is>
      </c>
      <c r="E1221" t="n">
        <v>38</v>
      </c>
      <c r="F1221" t="n">
        <v>22</v>
      </c>
    </row>
    <row r="1222">
      <c r="A1222" t="inlineStr">
        <is>
          <t>ORD01221</t>
        </is>
      </c>
      <c r="B1222" t="inlineStr">
        <is>
          <t>C1221</t>
        </is>
      </c>
      <c r="C1222" t="n">
        <v>3</v>
      </c>
      <c r="D1222" t="inlineStr">
        <is>
          <t>Hub A</t>
        </is>
      </c>
      <c r="E1222" t="n">
        <v>45</v>
      </c>
      <c r="F1222" t="n">
        <v>22</v>
      </c>
    </row>
    <row r="1223">
      <c r="A1223" t="inlineStr">
        <is>
          <t>ORD01222</t>
        </is>
      </c>
      <c r="B1223" t="inlineStr">
        <is>
          <t>C1222</t>
        </is>
      </c>
      <c r="C1223" t="n">
        <v>1</v>
      </c>
      <c r="D1223" t="inlineStr">
        <is>
          <t>Hub A</t>
        </is>
      </c>
      <c r="E1223" t="n">
        <v>52</v>
      </c>
      <c r="F1223" t="n">
        <v>22</v>
      </c>
    </row>
    <row r="1224">
      <c r="A1224" t="inlineStr">
        <is>
          <t>ORD01223</t>
        </is>
      </c>
      <c r="B1224" t="inlineStr">
        <is>
          <t>C1223</t>
        </is>
      </c>
      <c r="C1224" t="n">
        <v>2</v>
      </c>
      <c r="D1224" t="inlineStr">
        <is>
          <t>Hub A</t>
        </is>
      </c>
      <c r="E1224" t="n">
        <v>59</v>
      </c>
      <c r="F1224" t="n">
        <v>22</v>
      </c>
    </row>
    <row r="1225">
      <c r="A1225" t="inlineStr">
        <is>
          <t>ORD01224</t>
        </is>
      </c>
      <c r="B1225" t="inlineStr">
        <is>
          <t>C1224</t>
        </is>
      </c>
      <c r="C1225" t="n">
        <v>3</v>
      </c>
      <c r="D1225" t="inlineStr">
        <is>
          <t>Hub A</t>
        </is>
      </c>
      <c r="E1225" t="n">
        <v>66</v>
      </c>
      <c r="F1225" t="n">
        <v>22</v>
      </c>
    </row>
    <row r="1226">
      <c r="A1226" t="inlineStr">
        <is>
          <t>ORD01225</t>
        </is>
      </c>
      <c r="B1226" t="inlineStr">
        <is>
          <t>C1225</t>
        </is>
      </c>
      <c r="C1226" t="n">
        <v>1</v>
      </c>
      <c r="D1226" t="inlineStr">
        <is>
          <t>Hub A</t>
        </is>
      </c>
      <c r="E1226" t="n">
        <v>73</v>
      </c>
      <c r="F1226" t="n">
        <v>22</v>
      </c>
    </row>
    <row r="1227">
      <c r="A1227" t="inlineStr">
        <is>
          <t>ORD01226</t>
        </is>
      </c>
      <c r="B1227" t="inlineStr">
        <is>
          <t>C1226</t>
        </is>
      </c>
      <c r="C1227" t="n">
        <v>2</v>
      </c>
      <c r="D1227" t="inlineStr">
        <is>
          <t>Hub A</t>
        </is>
      </c>
      <c r="E1227" t="n">
        <v>20</v>
      </c>
      <c r="F1227" t="n">
        <v>22</v>
      </c>
    </row>
    <row r="1228">
      <c r="A1228" t="inlineStr">
        <is>
          <t>ORD01227</t>
        </is>
      </c>
      <c r="B1228" t="inlineStr">
        <is>
          <t>C1227</t>
        </is>
      </c>
      <c r="C1228" t="n">
        <v>3</v>
      </c>
      <c r="D1228" t="inlineStr">
        <is>
          <t>Hub A</t>
        </is>
      </c>
      <c r="E1228" t="n">
        <v>27</v>
      </c>
      <c r="F1228" t="n">
        <v>22</v>
      </c>
    </row>
    <row r="1229">
      <c r="A1229" t="inlineStr">
        <is>
          <t>ORD01228</t>
        </is>
      </c>
      <c r="B1229" t="inlineStr">
        <is>
          <t>C1228</t>
        </is>
      </c>
      <c r="C1229" t="n">
        <v>1</v>
      </c>
      <c r="D1229" t="inlineStr">
        <is>
          <t>Hub A</t>
        </is>
      </c>
      <c r="E1229" t="n">
        <v>34</v>
      </c>
      <c r="F1229" t="n">
        <v>22</v>
      </c>
    </row>
    <row r="1230">
      <c r="A1230" t="inlineStr">
        <is>
          <t>ORD01229</t>
        </is>
      </c>
      <c r="B1230" t="inlineStr">
        <is>
          <t>C1229</t>
        </is>
      </c>
      <c r="C1230" t="n">
        <v>2</v>
      </c>
      <c r="D1230" t="inlineStr">
        <is>
          <t>Hub A</t>
        </is>
      </c>
      <c r="E1230" t="n">
        <v>41</v>
      </c>
      <c r="F1230" t="n">
        <v>22</v>
      </c>
    </row>
    <row r="1231">
      <c r="A1231" t="inlineStr">
        <is>
          <t>ORD01230</t>
        </is>
      </c>
      <c r="B1231" t="inlineStr">
        <is>
          <t>C1230</t>
        </is>
      </c>
      <c r="C1231" t="n">
        <v>3</v>
      </c>
      <c r="D1231" t="inlineStr">
        <is>
          <t>Hub A</t>
        </is>
      </c>
      <c r="E1231" t="n">
        <v>48</v>
      </c>
      <c r="F1231" t="n">
        <v>22</v>
      </c>
    </row>
    <row r="1232">
      <c r="A1232" t="inlineStr">
        <is>
          <t>ORD01231</t>
        </is>
      </c>
      <c r="B1232" t="inlineStr">
        <is>
          <t>C1231</t>
        </is>
      </c>
      <c r="C1232" t="n">
        <v>1</v>
      </c>
      <c r="D1232" t="inlineStr">
        <is>
          <t>Hub A</t>
        </is>
      </c>
      <c r="E1232" t="n">
        <v>55</v>
      </c>
      <c r="F1232" t="n">
        <v>22</v>
      </c>
    </row>
    <row r="1233">
      <c r="A1233" t="inlineStr">
        <is>
          <t>ORD01232</t>
        </is>
      </c>
      <c r="B1233" t="inlineStr">
        <is>
          <t>C1232</t>
        </is>
      </c>
      <c r="C1233" t="n">
        <v>2</v>
      </c>
      <c r="D1233" t="inlineStr">
        <is>
          <t>Hub A</t>
        </is>
      </c>
      <c r="E1233" t="n">
        <v>62</v>
      </c>
      <c r="F1233" t="n">
        <v>22</v>
      </c>
    </row>
    <row r="1234">
      <c r="A1234" t="inlineStr">
        <is>
          <t>ORD01233</t>
        </is>
      </c>
      <c r="B1234" t="inlineStr">
        <is>
          <t>C1233</t>
        </is>
      </c>
      <c r="C1234" t="n">
        <v>3</v>
      </c>
      <c r="D1234" t="inlineStr">
        <is>
          <t>Hub A</t>
        </is>
      </c>
      <c r="E1234" t="n">
        <v>69</v>
      </c>
      <c r="F1234" t="n">
        <v>22</v>
      </c>
    </row>
    <row r="1235">
      <c r="A1235" t="inlineStr">
        <is>
          <t>ORD01234</t>
        </is>
      </c>
      <c r="B1235" t="inlineStr">
        <is>
          <t>C1234</t>
        </is>
      </c>
      <c r="C1235" t="n">
        <v>1</v>
      </c>
      <c r="D1235" t="inlineStr">
        <is>
          <t>Hub A</t>
        </is>
      </c>
      <c r="E1235" t="n">
        <v>76</v>
      </c>
      <c r="F1235" t="n">
        <v>22</v>
      </c>
    </row>
    <row r="1236">
      <c r="A1236" t="inlineStr">
        <is>
          <t>ORD01235</t>
        </is>
      </c>
      <c r="B1236" t="inlineStr">
        <is>
          <t>C1235</t>
        </is>
      </c>
      <c r="C1236" t="n">
        <v>2</v>
      </c>
      <c r="D1236" t="inlineStr">
        <is>
          <t>Hub A</t>
        </is>
      </c>
      <c r="E1236" t="n">
        <v>23</v>
      </c>
      <c r="F1236" t="n">
        <v>22</v>
      </c>
    </row>
    <row r="1237">
      <c r="A1237" t="inlineStr">
        <is>
          <t>ORD01236</t>
        </is>
      </c>
      <c r="B1237" t="inlineStr">
        <is>
          <t>C1236</t>
        </is>
      </c>
      <c r="C1237" t="n">
        <v>3</v>
      </c>
      <c r="D1237" t="inlineStr">
        <is>
          <t>Hub A</t>
        </is>
      </c>
      <c r="E1237" t="n">
        <v>30</v>
      </c>
      <c r="F1237" t="n">
        <v>22</v>
      </c>
    </row>
    <row r="1238">
      <c r="A1238" t="inlineStr">
        <is>
          <t>ORD01237</t>
        </is>
      </c>
      <c r="B1238" t="inlineStr">
        <is>
          <t>C1237</t>
        </is>
      </c>
      <c r="C1238" t="n">
        <v>1</v>
      </c>
      <c r="D1238" t="inlineStr">
        <is>
          <t>Hub A</t>
        </is>
      </c>
      <c r="E1238" t="n">
        <v>37</v>
      </c>
      <c r="F1238" t="n">
        <v>22</v>
      </c>
    </row>
    <row r="1239">
      <c r="A1239" t="inlineStr">
        <is>
          <t>ORD01238</t>
        </is>
      </c>
      <c r="B1239" t="inlineStr">
        <is>
          <t>C1238</t>
        </is>
      </c>
      <c r="C1239" t="n">
        <v>2</v>
      </c>
      <c r="D1239" t="inlineStr">
        <is>
          <t>Hub A</t>
        </is>
      </c>
      <c r="E1239" t="n">
        <v>44</v>
      </c>
      <c r="F1239" t="n">
        <v>22</v>
      </c>
    </row>
    <row r="1240">
      <c r="A1240" t="inlineStr">
        <is>
          <t>ORD01239</t>
        </is>
      </c>
      <c r="B1240" t="inlineStr">
        <is>
          <t>C1239</t>
        </is>
      </c>
      <c r="C1240" t="n">
        <v>3</v>
      </c>
      <c r="D1240" t="inlineStr">
        <is>
          <t>Hub A</t>
        </is>
      </c>
      <c r="E1240" t="n">
        <v>51</v>
      </c>
      <c r="F1240" t="n">
        <v>22</v>
      </c>
    </row>
    <row r="1241">
      <c r="A1241" t="inlineStr">
        <is>
          <t>ORD01240</t>
        </is>
      </c>
      <c r="B1241" t="inlineStr">
        <is>
          <t>C1240</t>
        </is>
      </c>
      <c r="C1241" t="n">
        <v>1</v>
      </c>
      <c r="D1241" t="inlineStr">
        <is>
          <t>Hub A</t>
        </is>
      </c>
      <c r="E1241" t="n">
        <v>58</v>
      </c>
      <c r="F1241" t="n">
        <v>22</v>
      </c>
    </row>
    <row r="1242">
      <c r="A1242" t="inlineStr">
        <is>
          <t>ORD01241</t>
        </is>
      </c>
      <c r="B1242" t="inlineStr">
        <is>
          <t>C1241</t>
        </is>
      </c>
      <c r="C1242" t="n">
        <v>2</v>
      </c>
      <c r="D1242" t="inlineStr">
        <is>
          <t>Hub A</t>
        </is>
      </c>
      <c r="E1242" t="n">
        <v>65</v>
      </c>
      <c r="F1242" t="n">
        <v>22</v>
      </c>
    </row>
    <row r="1243">
      <c r="A1243" t="inlineStr">
        <is>
          <t>ORD01242</t>
        </is>
      </c>
      <c r="B1243" t="inlineStr">
        <is>
          <t>C1242</t>
        </is>
      </c>
      <c r="C1243" t="n">
        <v>3</v>
      </c>
      <c r="D1243" t="inlineStr">
        <is>
          <t>Hub A</t>
        </is>
      </c>
      <c r="E1243" t="n">
        <v>72</v>
      </c>
      <c r="F1243" t="n">
        <v>22</v>
      </c>
    </row>
    <row r="1244">
      <c r="A1244" t="inlineStr">
        <is>
          <t>ORD01243</t>
        </is>
      </c>
      <c r="B1244" t="inlineStr">
        <is>
          <t>C1243</t>
        </is>
      </c>
      <c r="C1244" t="n">
        <v>1</v>
      </c>
      <c r="D1244" t="inlineStr">
        <is>
          <t>Hub A</t>
        </is>
      </c>
      <c r="E1244" t="n">
        <v>19</v>
      </c>
      <c r="F1244" t="n">
        <v>22</v>
      </c>
    </row>
    <row r="1245">
      <c r="A1245" t="inlineStr">
        <is>
          <t>ORD01244</t>
        </is>
      </c>
      <c r="B1245" t="inlineStr">
        <is>
          <t>C1244</t>
        </is>
      </c>
      <c r="C1245" t="n">
        <v>2</v>
      </c>
      <c r="D1245" t="inlineStr">
        <is>
          <t>Hub A</t>
        </is>
      </c>
      <c r="E1245" t="n">
        <v>26</v>
      </c>
      <c r="F1245" t="n">
        <v>22</v>
      </c>
    </row>
    <row r="1246">
      <c r="A1246" t="inlineStr">
        <is>
          <t>ORD01245</t>
        </is>
      </c>
      <c r="B1246" t="inlineStr">
        <is>
          <t>C1245</t>
        </is>
      </c>
      <c r="C1246" t="n">
        <v>3</v>
      </c>
      <c r="D1246" t="inlineStr">
        <is>
          <t>Hub A</t>
        </is>
      </c>
      <c r="E1246" t="n">
        <v>33</v>
      </c>
      <c r="F1246" t="n">
        <v>22</v>
      </c>
    </row>
    <row r="1247">
      <c r="A1247" t="inlineStr">
        <is>
          <t>ORD01246</t>
        </is>
      </c>
      <c r="B1247" t="inlineStr">
        <is>
          <t>C1246</t>
        </is>
      </c>
      <c r="C1247" t="n">
        <v>1</v>
      </c>
      <c r="D1247" t="inlineStr">
        <is>
          <t>Hub A</t>
        </is>
      </c>
      <c r="E1247" t="n">
        <v>40</v>
      </c>
      <c r="F1247" t="n">
        <v>22</v>
      </c>
    </row>
    <row r="1248">
      <c r="A1248" t="inlineStr">
        <is>
          <t>ORD01247</t>
        </is>
      </c>
      <c r="B1248" t="inlineStr">
        <is>
          <t>C1247</t>
        </is>
      </c>
      <c r="C1248" t="n">
        <v>2</v>
      </c>
      <c r="D1248" t="inlineStr">
        <is>
          <t>Hub A</t>
        </is>
      </c>
      <c r="E1248" t="n">
        <v>47</v>
      </c>
      <c r="F1248" t="n">
        <v>22</v>
      </c>
    </row>
    <row r="1249">
      <c r="A1249" t="inlineStr">
        <is>
          <t>ORD01248</t>
        </is>
      </c>
      <c r="B1249" t="inlineStr">
        <is>
          <t>C1248</t>
        </is>
      </c>
      <c r="C1249" t="n">
        <v>3</v>
      </c>
      <c r="D1249" t="inlineStr">
        <is>
          <t>Hub A</t>
        </is>
      </c>
      <c r="E1249" t="n">
        <v>54</v>
      </c>
      <c r="F1249" t="n">
        <v>22</v>
      </c>
    </row>
    <row r="1250">
      <c r="A1250" t="inlineStr">
        <is>
          <t>ORD01249</t>
        </is>
      </c>
      <c r="B1250" t="inlineStr">
        <is>
          <t>C1249</t>
        </is>
      </c>
      <c r="C1250" t="n">
        <v>1</v>
      </c>
      <c r="D1250" t="inlineStr">
        <is>
          <t>Hub A</t>
        </is>
      </c>
      <c r="E1250" t="n">
        <v>61</v>
      </c>
      <c r="F1250" t="n">
        <v>22</v>
      </c>
    </row>
    <row r="1251">
      <c r="A1251" t="inlineStr">
        <is>
          <t>ORD01250</t>
        </is>
      </c>
      <c r="B1251" t="inlineStr">
        <is>
          <t>C1250</t>
        </is>
      </c>
      <c r="C1251" t="n">
        <v>2</v>
      </c>
      <c r="D1251" t="inlineStr">
        <is>
          <t>Hub A</t>
        </is>
      </c>
      <c r="E1251" t="n">
        <v>68</v>
      </c>
      <c r="F1251" t="n">
        <v>22</v>
      </c>
    </row>
    <row r="1252">
      <c r="A1252" t="inlineStr">
        <is>
          <t>ORD01251</t>
        </is>
      </c>
      <c r="B1252" t="inlineStr">
        <is>
          <t>C1251</t>
        </is>
      </c>
      <c r="C1252" t="n">
        <v>3</v>
      </c>
      <c r="D1252" t="inlineStr">
        <is>
          <t>Hub A</t>
        </is>
      </c>
      <c r="E1252" t="n">
        <v>75</v>
      </c>
      <c r="F1252" t="n">
        <v>22</v>
      </c>
    </row>
    <row r="1253">
      <c r="A1253" t="inlineStr">
        <is>
          <t>ORD01252</t>
        </is>
      </c>
      <c r="B1253" t="inlineStr">
        <is>
          <t>C1252</t>
        </is>
      </c>
      <c r="C1253" t="n">
        <v>1</v>
      </c>
      <c r="D1253" t="inlineStr">
        <is>
          <t>Hub A</t>
        </is>
      </c>
      <c r="E1253" t="n">
        <v>22</v>
      </c>
      <c r="F1253" t="n">
        <v>22</v>
      </c>
    </row>
    <row r="1254">
      <c r="A1254" t="inlineStr">
        <is>
          <t>ORD01253</t>
        </is>
      </c>
      <c r="B1254" t="inlineStr">
        <is>
          <t>C1253</t>
        </is>
      </c>
      <c r="C1254" t="n">
        <v>2</v>
      </c>
      <c r="D1254" t="inlineStr">
        <is>
          <t>Hub A</t>
        </is>
      </c>
      <c r="E1254" t="n">
        <v>29</v>
      </c>
      <c r="F1254" t="n">
        <v>22</v>
      </c>
    </row>
    <row r="1255">
      <c r="A1255" t="inlineStr">
        <is>
          <t>ORD01254</t>
        </is>
      </c>
      <c r="B1255" t="inlineStr">
        <is>
          <t>C1254</t>
        </is>
      </c>
      <c r="C1255" t="n">
        <v>3</v>
      </c>
      <c r="D1255" t="inlineStr">
        <is>
          <t>Hub A</t>
        </is>
      </c>
      <c r="E1255" t="n">
        <v>36</v>
      </c>
      <c r="F1255" t="n">
        <v>22</v>
      </c>
    </row>
    <row r="1256">
      <c r="A1256" t="inlineStr">
        <is>
          <t>ORD01255</t>
        </is>
      </c>
      <c r="B1256" t="inlineStr">
        <is>
          <t>C1255</t>
        </is>
      </c>
      <c r="C1256" t="n">
        <v>1</v>
      </c>
      <c r="D1256" t="inlineStr">
        <is>
          <t>Hub A</t>
        </is>
      </c>
      <c r="E1256" t="n">
        <v>43</v>
      </c>
      <c r="F1256" t="n">
        <v>22</v>
      </c>
    </row>
    <row r="1257">
      <c r="A1257" t="inlineStr">
        <is>
          <t>ORD01256</t>
        </is>
      </c>
      <c r="B1257" t="inlineStr">
        <is>
          <t>C1256</t>
        </is>
      </c>
      <c r="C1257" t="n">
        <v>2</v>
      </c>
      <c r="D1257" t="inlineStr">
        <is>
          <t>Hub A</t>
        </is>
      </c>
      <c r="E1257" t="n">
        <v>50</v>
      </c>
      <c r="F1257" t="n">
        <v>22</v>
      </c>
    </row>
    <row r="1258">
      <c r="A1258" t="inlineStr">
        <is>
          <t>ORD01257</t>
        </is>
      </c>
      <c r="B1258" t="inlineStr">
        <is>
          <t>C1257</t>
        </is>
      </c>
      <c r="C1258" t="n">
        <v>3</v>
      </c>
      <c r="D1258" t="inlineStr">
        <is>
          <t>Hub A</t>
        </is>
      </c>
      <c r="E1258" t="n">
        <v>57</v>
      </c>
      <c r="F1258" t="n">
        <v>22</v>
      </c>
    </row>
    <row r="1259">
      <c r="A1259" t="inlineStr">
        <is>
          <t>ORD01258</t>
        </is>
      </c>
      <c r="B1259" t="inlineStr">
        <is>
          <t>C1258</t>
        </is>
      </c>
      <c r="C1259" t="n">
        <v>1</v>
      </c>
      <c r="D1259" t="inlineStr">
        <is>
          <t>Hub A</t>
        </is>
      </c>
      <c r="E1259" t="n">
        <v>64</v>
      </c>
      <c r="F1259" t="n">
        <v>22</v>
      </c>
    </row>
    <row r="1260">
      <c r="A1260" t="inlineStr">
        <is>
          <t>ORD01259</t>
        </is>
      </c>
      <c r="B1260" t="inlineStr">
        <is>
          <t>C1259</t>
        </is>
      </c>
      <c r="C1260" t="n">
        <v>2</v>
      </c>
      <c r="D1260" t="inlineStr">
        <is>
          <t>Hub A</t>
        </is>
      </c>
      <c r="E1260" t="n">
        <v>71</v>
      </c>
      <c r="F1260" t="n">
        <v>22</v>
      </c>
    </row>
    <row r="1261">
      <c r="A1261" t="inlineStr">
        <is>
          <t>ORD01260</t>
        </is>
      </c>
      <c r="B1261" t="inlineStr">
        <is>
          <t>C1260</t>
        </is>
      </c>
      <c r="C1261" t="n">
        <v>3</v>
      </c>
      <c r="D1261" t="inlineStr">
        <is>
          <t>Hub A</t>
        </is>
      </c>
      <c r="E1261" t="n">
        <v>18</v>
      </c>
      <c r="F1261" t="n">
        <v>22</v>
      </c>
    </row>
    <row r="1262">
      <c r="A1262" t="inlineStr">
        <is>
          <t>ORD01261</t>
        </is>
      </c>
      <c r="B1262" t="inlineStr">
        <is>
          <t>C1261</t>
        </is>
      </c>
      <c r="C1262" t="n">
        <v>1</v>
      </c>
      <c r="D1262" t="inlineStr">
        <is>
          <t>Hub A</t>
        </is>
      </c>
      <c r="E1262" t="n">
        <v>25</v>
      </c>
      <c r="F1262" t="n">
        <v>22</v>
      </c>
    </row>
    <row r="1263">
      <c r="A1263" t="inlineStr">
        <is>
          <t>ORD01262</t>
        </is>
      </c>
      <c r="B1263" t="inlineStr">
        <is>
          <t>C1262</t>
        </is>
      </c>
      <c r="C1263" t="n">
        <v>2</v>
      </c>
      <c r="D1263" t="inlineStr">
        <is>
          <t>Hub A</t>
        </is>
      </c>
      <c r="E1263" t="n">
        <v>32</v>
      </c>
      <c r="F1263" t="n">
        <v>22</v>
      </c>
    </row>
    <row r="1264">
      <c r="A1264" t="inlineStr">
        <is>
          <t>ORD01263</t>
        </is>
      </c>
      <c r="B1264" t="inlineStr">
        <is>
          <t>C1263</t>
        </is>
      </c>
      <c r="C1264" t="n">
        <v>3</v>
      </c>
      <c r="D1264" t="inlineStr">
        <is>
          <t>Hub A</t>
        </is>
      </c>
      <c r="E1264" t="n">
        <v>39</v>
      </c>
      <c r="F1264" t="n">
        <v>22</v>
      </c>
    </row>
    <row r="1265">
      <c r="A1265" t="inlineStr">
        <is>
          <t>ORD01264</t>
        </is>
      </c>
      <c r="B1265" t="inlineStr">
        <is>
          <t>C1264</t>
        </is>
      </c>
      <c r="C1265" t="n">
        <v>1</v>
      </c>
      <c r="D1265" t="inlineStr">
        <is>
          <t>Hub A</t>
        </is>
      </c>
      <c r="E1265" t="n">
        <v>46</v>
      </c>
      <c r="F1265" t="n">
        <v>22</v>
      </c>
    </row>
    <row r="1266">
      <c r="A1266" t="inlineStr">
        <is>
          <t>ORD01265</t>
        </is>
      </c>
      <c r="B1266" t="inlineStr">
        <is>
          <t>C1265</t>
        </is>
      </c>
      <c r="C1266" t="n">
        <v>2</v>
      </c>
      <c r="D1266" t="inlineStr">
        <is>
          <t>Hub A</t>
        </is>
      </c>
      <c r="E1266" t="n">
        <v>53</v>
      </c>
      <c r="F1266" t="n">
        <v>22</v>
      </c>
    </row>
    <row r="1267">
      <c r="A1267" t="inlineStr">
        <is>
          <t>ORD01266</t>
        </is>
      </c>
      <c r="B1267" t="inlineStr">
        <is>
          <t>C1266</t>
        </is>
      </c>
      <c r="C1267" t="n">
        <v>3</v>
      </c>
      <c r="D1267" t="inlineStr">
        <is>
          <t>Hub A</t>
        </is>
      </c>
      <c r="E1267" t="n">
        <v>60</v>
      </c>
      <c r="F1267" t="n">
        <v>22</v>
      </c>
    </row>
    <row r="1268">
      <c r="A1268" t="inlineStr">
        <is>
          <t>ORD01267</t>
        </is>
      </c>
      <c r="B1268" t="inlineStr">
        <is>
          <t>C1267</t>
        </is>
      </c>
      <c r="C1268" t="n">
        <v>1</v>
      </c>
      <c r="D1268" t="inlineStr">
        <is>
          <t>Hub A</t>
        </is>
      </c>
      <c r="E1268" t="n">
        <v>67</v>
      </c>
      <c r="F1268" t="n">
        <v>22</v>
      </c>
    </row>
    <row r="1269">
      <c r="A1269" t="inlineStr">
        <is>
          <t>ORD01268</t>
        </is>
      </c>
      <c r="B1269" t="inlineStr">
        <is>
          <t>C1268</t>
        </is>
      </c>
      <c r="C1269" t="n">
        <v>2</v>
      </c>
      <c r="D1269" t="inlineStr">
        <is>
          <t>Hub A</t>
        </is>
      </c>
      <c r="E1269" t="n">
        <v>74</v>
      </c>
      <c r="F1269" t="n">
        <v>22</v>
      </c>
    </row>
    <row r="1270">
      <c r="A1270" t="inlineStr">
        <is>
          <t>ORD01269</t>
        </is>
      </c>
      <c r="B1270" t="inlineStr">
        <is>
          <t>C1269</t>
        </is>
      </c>
      <c r="C1270" t="n">
        <v>3</v>
      </c>
      <c r="D1270" t="inlineStr">
        <is>
          <t>Hub A</t>
        </is>
      </c>
      <c r="E1270" t="n">
        <v>21</v>
      </c>
      <c r="F1270" t="n">
        <v>22</v>
      </c>
    </row>
    <row r="1271">
      <c r="A1271" t="inlineStr">
        <is>
          <t>ORD01270</t>
        </is>
      </c>
      <c r="B1271" t="inlineStr">
        <is>
          <t>C1270</t>
        </is>
      </c>
      <c r="C1271" t="n">
        <v>1</v>
      </c>
      <c r="D1271" t="inlineStr">
        <is>
          <t>Hub A</t>
        </is>
      </c>
      <c r="E1271" t="n">
        <v>28</v>
      </c>
      <c r="F1271" t="n">
        <v>22</v>
      </c>
    </row>
    <row r="1272">
      <c r="A1272" t="inlineStr">
        <is>
          <t>ORD01271</t>
        </is>
      </c>
      <c r="B1272" t="inlineStr">
        <is>
          <t>C1271</t>
        </is>
      </c>
      <c r="C1272" t="n">
        <v>2</v>
      </c>
      <c r="D1272" t="inlineStr">
        <is>
          <t>Hub A</t>
        </is>
      </c>
      <c r="E1272" t="n">
        <v>35</v>
      </c>
      <c r="F1272" t="n">
        <v>22</v>
      </c>
    </row>
    <row r="1273">
      <c r="A1273" t="inlineStr">
        <is>
          <t>ORD01272</t>
        </is>
      </c>
      <c r="B1273" t="inlineStr">
        <is>
          <t>C1272</t>
        </is>
      </c>
      <c r="C1273" t="n">
        <v>3</v>
      </c>
      <c r="D1273" t="inlineStr">
        <is>
          <t>Hub A</t>
        </is>
      </c>
      <c r="E1273" t="n">
        <v>42</v>
      </c>
      <c r="F1273" t="n">
        <v>22</v>
      </c>
    </row>
    <row r="1274">
      <c r="A1274" t="inlineStr">
        <is>
          <t>ORD01273</t>
        </is>
      </c>
      <c r="B1274" t="inlineStr">
        <is>
          <t>C1273</t>
        </is>
      </c>
      <c r="C1274" t="n">
        <v>1</v>
      </c>
      <c r="D1274" t="inlineStr">
        <is>
          <t>Hub A</t>
        </is>
      </c>
      <c r="E1274" t="n">
        <v>49</v>
      </c>
      <c r="F1274" t="n">
        <v>22</v>
      </c>
    </row>
    <row r="1275">
      <c r="A1275" t="inlineStr">
        <is>
          <t>ORD01274</t>
        </is>
      </c>
      <c r="B1275" t="inlineStr">
        <is>
          <t>C1274</t>
        </is>
      </c>
      <c r="C1275" t="n">
        <v>2</v>
      </c>
      <c r="D1275" t="inlineStr">
        <is>
          <t>Hub A</t>
        </is>
      </c>
      <c r="E1275" t="n">
        <v>56</v>
      </c>
      <c r="F1275" t="n">
        <v>22</v>
      </c>
    </row>
    <row r="1276">
      <c r="A1276" t="inlineStr">
        <is>
          <t>ORD01275</t>
        </is>
      </c>
      <c r="B1276" t="inlineStr">
        <is>
          <t>C1275</t>
        </is>
      </c>
      <c r="C1276" t="n">
        <v>3</v>
      </c>
      <c r="D1276" t="inlineStr">
        <is>
          <t>Hub A</t>
        </is>
      </c>
      <c r="E1276" t="n">
        <v>63</v>
      </c>
      <c r="F1276" t="n">
        <v>22</v>
      </c>
    </row>
    <row r="1277">
      <c r="A1277" t="inlineStr">
        <is>
          <t>ORD01276</t>
        </is>
      </c>
      <c r="B1277" t="inlineStr">
        <is>
          <t>C1276</t>
        </is>
      </c>
      <c r="C1277" t="n">
        <v>1</v>
      </c>
      <c r="D1277" t="inlineStr">
        <is>
          <t>Hub A</t>
        </is>
      </c>
      <c r="E1277" t="n">
        <v>70</v>
      </c>
      <c r="F1277" t="n">
        <v>22</v>
      </c>
    </row>
    <row r="1278">
      <c r="A1278" t="inlineStr">
        <is>
          <t>ORD01277</t>
        </is>
      </c>
      <c r="B1278" t="inlineStr">
        <is>
          <t>C1277</t>
        </is>
      </c>
      <c r="C1278" t="n">
        <v>2</v>
      </c>
      <c r="D1278" t="inlineStr">
        <is>
          <t>Hub A</t>
        </is>
      </c>
      <c r="E1278" t="n">
        <v>77</v>
      </c>
      <c r="F1278" t="n">
        <v>22</v>
      </c>
    </row>
    <row r="1279">
      <c r="A1279" t="inlineStr">
        <is>
          <t>ORD01278</t>
        </is>
      </c>
      <c r="B1279" t="inlineStr">
        <is>
          <t>C1278</t>
        </is>
      </c>
      <c r="C1279" t="n">
        <v>3</v>
      </c>
      <c r="D1279" t="inlineStr">
        <is>
          <t>Hub A</t>
        </is>
      </c>
      <c r="E1279" t="n">
        <v>24</v>
      </c>
      <c r="F1279" t="n">
        <v>22</v>
      </c>
    </row>
    <row r="1280">
      <c r="A1280" t="inlineStr">
        <is>
          <t>ORD01279</t>
        </is>
      </c>
      <c r="B1280" t="inlineStr">
        <is>
          <t>C1279</t>
        </is>
      </c>
      <c r="C1280" t="n">
        <v>1</v>
      </c>
      <c r="D1280" t="inlineStr">
        <is>
          <t>Hub A</t>
        </is>
      </c>
      <c r="E1280" t="n">
        <v>31</v>
      </c>
      <c r="F1280" t="n">
        <v>22</v>
      </c>
    </row>
    <row r="1281">
      <c r="A1281" t="inlineStr">
        <is>
          <t>ORD01280</t>
        </is>
      </c>
      <c r="B1281" t="inlineStr">
        <is>
          <t>C1280</t>
        </is>
      </c>
      <c r="C1281" t="n">
        <v>2</v>
      </c>
      <c r="D1281" t="inlineStr">
        <is>
          <t>Hub A</t>
        </is>
      </c>
      <c r="E1281" t="n">
        <v>38</v>
      </c>
      <c r="F1281" t="n">
        <v>22</v>
      </c>
    </row>
    <row r="1282">
      <c r="A1282" t="inlineStr">
        <is>
          <t>ORD01281</t>
        </is>
      </c>
      <c r="B1282" t="inlineStr">
        <is>
          <t>C1281</t>
        </is>
      </c>
      <c r="C1282" t="n">
        <v>3</v>
      </c>
      <c r="D1282" t="inlineStr">
        <is>
          <t>Hub A</t>
        </is>
      </c>
      <c r="E1282" t="n">
        <v>45</v>
      </c>
      <c r="F1282" t="n">
        <v>22</v>
      </c>
    </row>
    <row r="1283">
      <c r="A1283" t="inlineStr">
        <is>
          <t>ORD01282</t>
        </is>
      </c>
      <c r="B1283" t="inlineStr">
        <is>
          <t>C1282</t>
        </is>
      </c>
      <c r="C1283" t="n">
        <v>1</v>
      </c>
      <c r="D1283" t="inlineStr">
        <is>
          <t>Hub A</t>
        </is>
      </c>
      <c r="E1283" t="n">
        <v>52</v>
      </c>
      <c r="F1283" t="n">
        <v>22</v>
      </c>
    </row>
    <row r="1284">
      <c r="A1284" t="inlineStr">
        <is>
          <t>ORD01283</t>
        </is>
      </c>
      <c r="B1284" t="inlineStr">
        <is>
          <t>C1283</t>
        </is>
      </c>
      <c r="C1284" t="n">
        <v>2</v>
      </c>
      <c r="D1284" t="inlineStr">
        <is>
          <t>Hub A</t>
        </is>
      </c>
      <c r="E1284" t="n">
        <v>59</v>
      </c>
      <c r="F1284" t="n">
        <v>22</v>
      </c>
    </row>
    <row r="1285">
      <c r="A1285" t="inlineStr">
        <is>
          <t>ORD01284</t>
        </is>
      </c>
      <c r="B1285" t="inlineStr">
        <is>
          <t>C1284</t>
        </is>
      </c>
      <c r="C1285" t="n">
        <v>3</v>
      </c>
      <c r="D1285" t="inlineStr">
        <is>
          <t>Hub A</t>
        </is>
      </c>
      <c r="E1285" t="n">
        <v>66</v>
      </c>
      <c r="F1285" t="n">
        <v>22</v>
      </c>
    </row>
    <row r="1286">
      <c r="A1286" t="inlineStr">
        <is>
          <t>ORD01285</t>
        </is>
      </c>
      <c r="B1286" t="inlineStr">
        <is>
          <t>C1285</t>
        </is>
      </c>
      <c r="C1286" t="n">
        <v>1</v>
      </c>
      <c r="D1286" t="inlineStr">
        <is>
          <t>Hub A</t>
        </is>
      </c>
      <c r="E1286" t="n">
        <v>73</v>
      </c>
      <c r="F1286" t="n">
        <v>22</v>
      </c>
    </row>
    <row r="1287">
      <c r="A1287" t="inlineStr">
        <is>
          <t>ORD01286</t>
        </is>
      </c>
      <c r="B1287" t="inlineStr">
        <is>
          <t>C1286</t>
        </is>
      </c>
      <c r="C1287" t="n">
        <v>2</v>
      </c>
      <c r="D1287" t="inlineStr">
        <is>
          <t>Hub A</t>
        </is>
      </c>
      <c r="E1287" t="n">
        <v>20</v>
      </c>
      <c r="F1287" t="n">
        <v>22</v>
      </c>
    </row>
    <row r="1288">
      <c r="A1288" t="inlineStr">
        <is>
          <t>ORD01287</t>
        </is>
      </c>
      <c r="B1288" t="inlineStr">
        <is>
          <t>C1287</t>
        </is>
      </c>
      <c r="C1288" t="n">
        <v>3</v>
      </c>
      <c r="D1288" t="inlineStr">
        <is>
          <t>Hub A</t>
        </is>
      </c>
      <c r="E1288" t="n">
        <v>27</v>
      </c>
      <c r="F1288" t="n">
        <v>22</v>
      </c>
    </row>
    <row r="1289">
      <c r="A1289" t="inlineStr">
        <is>
          <t>ORD01288</t>
        </is>
      </c>
      <c r="B1289" t="inlineStr">
        <is>
          <t>C1288</t>
        </is>
      </c>
      <c r="C1289" t="n">
        <v>1</v>
      </c>
      <c r="D1289" t="inlineStr">
        <is>
          <t>Hub A</t>
        </is>
      </c>
      <c r="E1289" t="n">
        <v>34</v>
      </c>
      <c r="F1289" t="n">
        <v>22</v>
      </c>
    </row>
    <row r="1290">
      <c r="A1290" t="inlineStr">
        <is>
          <t>ORD01289</t>
        </is>
      </c>
      <c r="B1290" t="inlineStr">
        <is>
          <t>C1289</t>
        </is>
      </c>
      <c r="C1290" t="n">
        <v>2</v>
      </c>
      <c r="D1290" t="inlineStr">
        <is>
          <t>Hub A</t>
        </is>
      </c>
      <c r="E1290" t="n">
        <v>41</v>
      </c>
      <c r="F1290" t="n">
        <v>22</v>
      </c>
    </row>
    <row r="1291">
      <c r="A1291" t="inlineStr">
        <is>
          <t>ORD01290</t>
        </is>
      </c>
      <c r="B1291" t="inlineStr">
        <is>
          <t>C1290</t>
        </is>
      </c>
      <c r="C1291" t="n">
        <v>3</v>
      </c>
      <c r="D1291" t="inlineStr">
        <is>
          <t>Hub A</t>
        </is>
      </c>
      <c r="E1291" t="n">
        <v>48</v>
      </c>
      <c r="F1291" t="n">
        <v>22</v>
      </c>
    </row>
    <row r="1292">
      <c r="A1292" t="inlineStr">
        <is>
          <t>ORD01291</t>
        </is>
      </c>
      <c r="B1292" t="inlineStr">
        <is>
          <t>C1291</t>
        </is>
      </c>
      <c r="C1292" t="n">
        <v>1</v>
      </c>
      <c r="D1292" t="inlineStr">
        <is>
          <t>Hub A</t>
        </is>
      </c>
      <c r="E1292" t="n">
        <v>55</v>
      </c>
      <c r="F1292" t="n">
        <v>22</v>
      </c>
    </row>
    <row r="1293">
      <c r="A1293" t="inlineStr">
        <is>
          <t>ORD01292</t>
        </is>
      </c>
      <c r="B1293" t="inlineStr">
        <is>
          <t>C1292</t>
        </is>
      </c>
      <c r="C1293" t="n">
        <v>2</v>
      </c>
      <c r="D1293" t="inlineStr">
        <is>
          <t>Hub A</t>
        </is>
      </c>
      <c r="E1293" t="n">
        <v>62</v>
      </c>
      <c r="F1293" t="n">
        <v>22</v>
      </c>
    </row>
    <row r="1294">
      <c r="A1294" t="inlineStr">
        <is>
          <t>ORD01293</t>
        </is>
      </c>
      <c r="B1294" t="inlineStr">
        <is>
          <t>C1293</t>
        </is>
      </c>
      <c r="C1294" t="n">
        <v>3</v>
      </c>
      <c r="D1294" t="inlineStr">
        <is>
          <t>Hub A</t>
        </is>
      </c>
      <c r="E1294" t="n">
        <v>69</v>
      </c>
      <c r="F1294" t="n">
        <v>22</v>
      </c>
    </row>
    <row r="1295">
      <c r="A1295" t="inlineStr">
        <is>
          <t>ORD01294</t>
        </is>
      </c>
      <c r="B1295" t="inlineStr">
        <is>
          <t>C1294</t>
        </is>
      </c>
      <c r="C1295" t="n">
        <v>1</v>
      </c>
      <c r="D1295" t="inlineStr">
        <is>
          <t>Hub A</t>
        </is>
      </c>
      <c r="E1295" t="n">
        <v>76</v>
      </c>
      <c r="F1295" t="n">
        <v>22</v>
      </c>
    </row>
    <row r="1296">
      <c r="A1296" t="inlineStr">
        <is>
          <t>ORD01295</t>
        </is>
      </c>
      <c r="B1296" t="inlineStr">
        <is>
          <t>C1295</t>
        </is>
      </c>
      <c r="C1296" t="n">
        <v>2</v>
      </c>
      <c r="D1296" t="inlineStr">
        <is>
          <t>Hub A</t>
        </is>
      </c>
      <c r="E1296" t="n">
        <v>23</v>
      </c>
      <c r="F1296" t="n">
        <v>22</v>
      </c>
    </row>
    <row r="1297">
      <c r="A1297" t="inlineStr">
        <is>
          <t>ORD01296</t>
        </is>
      </c>
      <c r="B1297" t="inlineStr">
        <is>
          <t>C1296</t>
        </is>
      </c>
      <c r="C1297" t="n">
        <v>3</v>
      </c>
      <c r="D1297" t="inlineStr">
        <is>
          <t>Hub A</t>
        </is>
      </c>
      <c r="E1297" t="n">
        <v>30</v>
      </c>
      <c r="F1297" t="n">
        <v>22</v>
      </c>
    </row>
    <row r="1298">
      <c r="A1298" t="inlineStr">
        <is>
          <t>ORD01297</t>
        </is>
      </c>
      <c r="B1298" t="inlineStr">
        <is>
          <t>C1297</t>
        </is>
      </c>
      <c r="C1298" t="n">
        <v>1</v>
      </c>
      <c r="D1298" t="inlineStr">
        <is>
          <t>Hub A</t>
        </is>
      </c>
      <c r="E1298" t="n">
        <v>37</v>
      </c>
      <c r="F1298" t="n">
        <v>22</v>
      </c>
    </row>
    <row r="1299">
      <c r="A1299" t="inlineStr">
        <is>
          <t>ORD01298</t>
        </is>
      </c>
      <c r="B1299" t="inlineStr">
        <is>
          <t>C1298</t>
        </is>
      </c>
      <c r="C1299" t="n">
        <v>2</v>
      </c>
      <c r="D1299" t="inlineStr">
        <is>
          <t>Hub A</t>
        </is>
      </c>
      <c r="E1299" t="n">
        <v>44</v>
      </c>
      <c r="F1299" t="n">
        <v>22</v>
      </c>
    </row>
    <row r="1300">
      <c r="A1300" t="inlineStr">
        <is>
          <t>ORD01299</t>
        </is>
      </c>
      <c r="B1300" t="inlineStr">
        <is>
          <t>C1299</t>
        </is>
      </c>
      <c r="C1300" t="n">
        <v>3</v>
      </c>
      <c r="D1300" t="inlineStr">
        <is>
          <t>Hub A</t>
        </is>
      </c>
      <c r="E1300" t="n">
        <v>51</v>
      </c>
      <c r="F1300" t="n">
        <v>22</v>
      </c>
    </row>
    <row r="1301">
      <c r="A1301" t="inlineStr">
        <is>
          <t>ORD01300</t>
        </is>
      </c>
      <c r="B1301" t="inlineStr">
        <is>
          <t>C1300</t>
        </is>
      </c>
      <c r="C1301" t="n">
        <v>1</v>
      </c>
      <c r="D1301" t="inlineStr">
        <is>
          <t>Hub A</t>
        </is>
      </c>
      <c r="E1301" t="n">
        <v>58</v>
      </c>
      <c r="F1301" t="n">
        <v>22</v>
      </c>
    </row>
    <row r="1302">
      <c r="A1302" t="inlineStr">
        <is>
          <t>ORD01301</t>
        </is>
      </c>
      <c r="B1302" t="inlineStr">
        <is>
          <t>C1301</t>
        </is>
      </c>
      <c r="C1302" t="n">
        <v>2</v>
      </c>
      <c r="D1302" t="inlineStr">
        <is>
          <t>Hub A</t>
        </is>
      </c>
      <c r="E1302" t="n">
        <v>65</v>
      </c>
      <c r="F1302" t="n">
        <v>22</v>
      </c>
    </row>
    <row r="1303">
      <c r="A1303" t="inlineStr">
        <is>
          <t>ORD01302</t>
        </is>
      </c>
      <c r="B1303" t="inlineStr">
        <is>
          <t>C1302</t>
        </is>
      </c>
      <c r="C1303" t="n">
        <v>3</v>
      </c>
      <c r="D1303" t="inlineStr">
        <is>
          <t>Hub A</t>
        </is>
      </c>
      <c r="E1303" t="n">
        <v>72</v>
      </c>
      <c r="F1303" t="n">
        <v>22</v>
      </c>
    </row>
    <row r="1304">
      <c r="A1304" t="inlineStr">
        <is>
          <t>ORD01303</t>
        </is>
      </c>
      <c r="B1304" t="inlineStr">
        <is>
          <t>C1303</t>
        </is>
      </c>
      <c r="C1304" t="n">
        <v>1</v>
      </c>
      <c r="D1304" t="inlineStr">
        <is>
          <t>Hub A</t>
        </is>
      </c>
      <c r="E1304" t="n">
        <v>19</v>
      </c>
      <c r="F1304" t="n">
        <v>22</v>
      </c>
    </row>
    <row r="1305">
      <c r="A1305" t="inlineStr">
        <is>
          <t>ORD01304</t>
        </is>
      </c>
      <c r="B1305" t="inlineStr">
        <is>
          <t>C1304</t>
        </is>
      </c>
      <c r="C1305" t="n">
        <v>2</v>
      </c>
      <c r="D1305" t="inlineStr">
        <is>
          <t>Hub A</t>
        </is>
      </c>
      <c r="E1305" t="n">
        <v>26</v>
      </c>
      <c r="F1305" t="n">
        <v>22</v>
      </c>
    </row>
    <row r="1306">
      <c r="A1306" t="inlineStr">
        <is>
          <t>ORD01305</t>
        </is>
      </c>
      <c r="B1306" t="inlineStr">
        <is>
          <t>C1305</t>
        </is>
      </c>
      <c r="C1306" t="n">
        <v>3</v>
      </c>
      <c r="D1306" t="inlineStr">
        <is>
          <t>Hub A</t>
        </is>
      </c>
      <c r="E1306" t="n">
        <v>33</v>
      </c>
      <c r="F1306" t="n">
        <v>22</v>
      </c>
    </row>
    <row r="1307">
      <c r="A1307" t="inlineStr">
        <is>
          <t>ORD01306</t>
        </is>
      </c>
      <c r="B1307" t="inlineStr">
        <is>
          <t>C1306</t>
        </is>
      </c>
      <c r="C1307" t="n">
        <v>1</v>
      </c>
      <c r="D1307" t="inlineStr">
        <is>
          <t>Hub A</t>
        </is>
      </c>
      <c r="E1307" t="n">
        <v>40</v>
      </c>
      <c r="F1307" t="n">
        <v>22</v>
      </c>
    </row>
    <row r="1308">
      <c r="A1308" t="inlineStr">
        <is>
          <t>ORD01307</t>
        </is>
      </c>
      <c r="B1308" t="inlineStr">
        <is>
          <t>C1307</t>
        </is>
      </c>
      <c r="C1308" t="n">
        <v>2</v>
      </c>
      <c r="D1308" t="inlineStr">
        <is>
          <t>Hub A</t>
        </is>
      </c>
      <c r="E1308" t="n">
        <v>47</v>
      </c>
      <c r="F1308" t="n">
        <v>22</v>
      </c>
    </row>
    <row r="1309">
      <c r="A1309" t="inlineStr">
        <is>
          <t>ORD01308</t>
        </is>
      </c>
      <c r="B1309" t="inlineStr">
        <is>
          <t>C1308</t>
        </is>
      </c>
      <c r="C1309" t="n">
        <v>3</v>
      </c>
      <c r="D1309" t="inlineStr">
        <is>
          <t>Hub A</t>
        </is>
      </c>
      <c r="E1309" t="n">
        <v>54</v>
      </c>
      <c r="F1309" t="n">
        <v>22</v>
      </c>
    </row>
    <row r="1310">
      <c r="A1310" t="inlineStr">
        <is>
          <t>ORD01309</t>
        </is>
      </c>
      <c r="B1310" t="inlineStr">
        <is>
          <t>C1309</t>
        </is>
      </c>
      <c r="C1310" t="n">
        <v>1</v>
      </c>
      <c r="D1310" t="inlineStr">
        <is>
          <t>Hub A</t>
        </is>
      </c>
      <c r="E1310" t="n">
        <v>61</v>
      </c>
      <c r="F1310" t="n">
        <v>22</v>
      </c>
    </row>
    <row r="1311">
      <c r="A1311" t="inlineStr">
        <is>
          <t>ORD01310</t>
        </is>
      </c>
      <c r="B1311" t="inlineStr">
        <is>
          <t>C1310</t>
        </is>
      </c>
      <c r="C1311" t="n">
        <v>2</v>
      </c>
      <c r="D1311" t="inlineStr">
        <is>
          <t>Hub A</t>
        </is>
      </c>
      <c r="E1311" t="n">
        <v>68</v>
      </c>
      <c r="F1311" t="n">
        <v>22</v>
      </c>
    </row>
    <row r="1312">
      <c r="A1312" t="inlineStr">
        <is>
          <t>ORD01311</t>
        </is>
      </c>
      <c r="B1312" t="inlineStr">
        <is>
          <t>C1311</t>
        </is>
      </c>
      <c r="C1312" t="n">
        <v>3</v>
      </c>
      <c r="D1312" t="inlineStr">
        <is>
          <t>Hub A</t>
        </is>
      </c>
      <c r="E1312" t="n">
        <v>75</v>
      </c>
      <c r="F1312" t="n">
        <v>22</v>
      </c>
    </row>
    <row r="1313">
      <c r="A1313" t="inlineStr">
        <is>
          <t>ORD01312</t>
        </is>
      </c>
      <c r="B1313" t="inlineStr">
        <is>
          <t>C1312</t>
        </is>
      </c>
      <c r="C1313" t="n">
        <v>1</v>
      </c>
      <c r="D1313" t="inlineStr">
        <is>
          <t>Hub A</t>
        </is>
      </c>
      <c r="E1313" t="n">
        <v>22</v>
      </c>
      <c r="F1313" t="n">
        <v>22</v>
      </c>
    </row>
    <row r="1314">
      <c r="A1314" t="inlineStr">
        <is>
          <t>ORD01313</t>
        </is>
      </c>
      <c r="B1314" t="inlineStr">
        <is>
          <t>C1313</t>
        </is>
      </c>
      <c r="C1314" t="n">
        <v>2</v>
      </c>
      <c r="D1314" t="inlineStr">
        <is>
          <t>Hub A</t>
        </is>
      </c>
      <c r="E1314" t="n">
        <v>29</v>
      </c>
      <c r="F1314" t="n">
        <v>22</v>
      </c>
    </row>
    <row r="1315">
      <c r="A1315" t="inlineStr">
        <is>
          <t>ORD01314</t>
        </is>
      </c>
      <c r="B1315" t="inlineStr">
        <is>
          <t>C1314</t>
        </is>
      </c>
      <c r="C1315" t="n">
        <v>3</v>
      </c>
      <c r="D1315" t="inlineStr">
        <is>
          <t>Hub A</t>
        </is>
      </c>
      <c r="E1315" t="n">
        <v>36</v>
      </c>
      <c r="F1315" t="n">
        <v>22</v>
      </c>
    </row>
    <row r="1316">
      <c r="A1316" t="inlineStr">
        <is>
          <t>ORD01315</t>
        </is>
      </c>
      <c r="B1316" t="inlineStr">
        <is>
          <t>C1315</t>
        </is>
      </c>
      <c r="C1316" t="n">
        <v>1</v>
      </c>
      <c r="D1316" t="inlineStr">
        <is>
          <t>Hub A</t>
        </is>
      </c>
      <c r="E1316" t="n">
        <v>43</v>
      </c>
      <c r="F1316" t="n">
        <v>22</v>
      </c>
    </row>
    <row r="1317">
      <c r="A1317" t="inlineStr">
        <is>
          <t>ORD01316</t>
        </is>
      </c>
      <c r="B1317" t="inlineStr">
        <is>
          <t>C1316</t>
        </is>
      </c>
      <c r="C1317" t="n">
        <v>2</v>
      </c>
      <c r="D1317" t="inlineStr">
        <is>
          <t>Hub A</t>
        </is>
      </c>
      <c r="E1317" t="n">
        <v>50</v>
      </c>
      <c r="F1317" t="n">
        <v>22</v>
      </c>
    </row>
    <row r="1318">
      <c r="A1318" t="inlineStr">
        <is>
          <t>ORD01317</t>
        </is>
      </c>
      <c r="B1318" t="inlineStr">
        <is>
          <t>C1317</t>
        </is>
      </c>
      <c r="C1318" t="n">
        <v>3</v>
      </c>
      <c r="D1318" t="inlineStr">
        <is>
          <t>Hub A</t>
        </is>
      </c>
      <c r="E1318" t="n">
        <v>57</v>
      </c>
      <c r="F1318" t="n">
        <v>22</v>
      </c>
    </row>
    <row r="1319">
      <c r="A1319" t="inlineStr">
        <is>
          <t>ORD01318</t>
        </is>
      </c>
      <c r="B1319" t="inlineStr">
        <is>
          <t>C1318</t>
        </is>
      </c>
      <c r="C1319" t="n">
        <v>1</v>
      </c>
      <c r="D1319" t="inlineStr">
        <is>
          <t>Hub A</t>
        </is>
      </c>
      <c r="E1319" t="n">
        <v>64</v>
      </c>
      <c r="F1319" t="n">
        <v>22</v>
      </c>
    </row>
    <row r="1320">
      <c r="A1320" t="inlineStr">
        <is>
          <t>ORD01319</t>
        </is>
      </c>
      <c r="B1320" t="inlineStr">
        <is>
          <t>C1319</t>
        </is>
      </c>
      <c r="C1320" t="n">
        <v>2</v>
      </c>
      <c r="D1320" t="inlineStr">
        <is>
          <t>Hub A</t>
        </is>
      </c>
      <c r="E1320" t="n">
        <v>71</v>
      </c>
      <c r="F1320" t="n">
        <v>22</v>
      </c>
    </row>
    <row r="1321">
      <c r="A1321" t="inlineStr">
        <is>
          <t>ORD01320</t>
        </is>
      </c>
      <c r="B1321" t="inlineStr">
        <is>
          <t>C1320</t>
        </is>
      </c>
      <c r="C1321" t="n">
        <v>3</v>
      </c>
      <c r="D1321" t="inlineStr">
        <is>
          <t>Hub A</t>
        </is>
      </c>
      <c r="E1321" t="n">
        <v>18</v>
      </c>
      <c r="F1321" t="n">
        <v>22</v>
      </c>
    </row>
    <row r="1322">
      <c r="A1322" t="inlineStr">
        <is>
          <t>ORD01321</t>
        </is>
      </c>
      <c r="B1322" t="inlineStr">
        <is>
          <t>C1321</t>
        </is>
      </c>
      <c r="C1322" t="n">
        <v>1</v>
      </c>
      <c r="D1322" t="inlineStr">
        <is>
          <t>Hub A</t>
        </is>
      </c>
      <c r="E1322" t="n">
        <v>25</v>
      </c>
      <c r="F1322" t="n">
        <v>22</v>
      </c>
    </row>
    <row r="1323">
      <c r="A1323" t="inlineStr">
        <is>
          <t>ORD01322</t>
        </is>
      </c>
      <c r="B1323" t="inlineStr">
        <is>
          <t>C1322</t>
        </is>
      </c>
      <c r="C1323" t="n">
        <v>2</v>
      </c>
      <c r="D1323" t="inlineStr">
        <is>
          <t>Hub A</t>
        </is>
      </c>
      <c r="E1323" t="n">
        <v>32</v>
      </c>
      <c r="F1323" t="n">
        <v>22</v>
      </c>
    </row>
    <row r="1324">
      <c r="A1324" t="inlineStr">
        <is>
          <t>ORD01323</t>
        </is>
      </c>
      <c r="B1324" t="inlineStr">
        <is>
          <t>C1323</t>
        </is>
      </c>
      <c r="C1324" t="n">
        <v>3</v>
      </c>
      <c r="D1324" t="inlineStr">
        <is>
          <t>Hub A</t>
        </is>
      </c>
      <c r="E1324" t="n">
        <v>39</v>
      </c>
      <c r="F1324" t="n">
        <v>22</v>
      </c>
    </row>
    <row r="1325">
      <c r="A1325" t="inlineStr">
        <is>
          <t>ORD01324</t>
        </is>
      </c>
      <c r="B1325" t="inlineStr">
        <is>
          <t>C1324</t>
        </is>
      </c>
      <c r="C1325" t="n">
        <v>1</v>
      </c>
      <c r="D1325" t="inlineStr">
        <is>
          <t>Hub A</t>
        </is>
      </c>
      <c r="E1325" t="n">
        <v>46</v>
      </c>
      <c r="F1325" t="n">
        <v>22</v>
      </c>
    </row>
    <row r="1326">
      <c r="A1326" t="inlineStr">
        <is>
          <t>ORD01325</t>
        </is>
      </c>
      <c r="B1326" t="inlineStr">
        <is>
          <t>C1325</t>
        </is>
      </c>
      <c r="C1326" t="n">
        <v>2</v>
      </c>
      <c r="D1326" t="inlineStr">
        <is>
          <t>Hub A</t>
        </is>
      </c>
      <c r="E1326" t="n">
        <v>53</v>
      </c>
      <c r="F1326" t="n">
        <v>22</v>
      </c>
    </row>
    <row r="1327">
      <c r="A1327" t="inlineStr">
        <is>
          <t>ORD01326</t>
        </is>
      </c>
      <c r="B1327" t="inlineStr">
        <is>
          <t>C1326</t>
        </is>
      </c>
      <c r="C1327" t="n">
        <v>3</v>
      </c>
      <c r="D1327" t="inlineStr">
        <is>
          <t>Hub A</t>
        </is>
      </c>
      <c r="E1327" t="n">
        <v>60</v>
      </c>
      <c r="F1327" t="n">
        <v>22</v>
      </c>
    </row>
    <row r="1328">
      <c r="A1328" t="inlineStr">
        <is>
          <t>ORD01327</t>
        </is>
      </c>
      <c r="B1328" t="inlineStr">
        <is>
          <t>C1327</t>
        </is>
      </c>
      <c r="C1328" t="n">
        <v>1</v>
      </c>
      <c r="D1328" t="inlineStr">
        <is>
          <t>Hub A</t>
        </is>
      </c>
      <c r="E1328" t="n">
        <v>67</v>
      </c>
      <c r="F1328" t="n">
        <v>22</v>
      </c>
    </row>
    <row r="1329">
      <c r="A1329" t="inlineStr">
        <is>
          <t>ORD01328</t>
        </is>
      </c>
      <c r="B1329" t="inlineStr">
        <is>
          <t>C1328</t>
        </is>
      </c>
      <c r="C1329" t="n">
        <v>2</v>
      </c>
      <c r="D1329" t="inlineStr">
        <is>
          <t>Hub A</t>
        </is>
      </c>
      <c r="E1329" t="n">
        <v>74</v>
      </c>
      <c r="F1329" t="n">
        <v>22</v>
      </c>
    </row>
    <row r="1330">
      <c r="A1330" t="inlineStr">
        <is>
          <t>ORD01329</t>
        </is>
      </c>
      <c r="B1330" t="inlineStr">
        <is>
          <t>C1329</t>
        </is>
      </c>
      <c r="C1330" t="n">
        <v>3</v>
      </c>
      <c r="D1330" t="inlineStr">
        <is>
          <t>Hub A</t>
        </is>
      </c>
      <c r="E1330" t="n">
        <v>21</v>
      </c>
      <c r="F1330" t="n">
        <v>22</v>
      </c>
    </row>
    <row r="1331">
      <c r="A1331" t="inlineStr">
        <is>
          <t>ORD01330</t>
        </is>
      </c>
      <c r="B1331" t="inlineStr">
        <is>
          <t>C1330</t>
        </is>
      </c>
      <c r="C1331" t="n">
        <v>1</v>
      </c>
      <c r="D1331" t="inlineStr">
        <is>
          <t>Hub A</t>
        </is>
      </c>
      <c r="E1331" t="n">
        <v>28</v>
      </c>
      <c r="F1331" t="n">
        <v>22</v>
      </c>
    </row>
    <row r="1332">
      <c r="A1332" t="inlineStr">
        <is>
          <t>ORD01331</t>
        </is>
      </c>
      <c r="B1332" t="inlineStr">
        <is>
          <t>C1331</t>
        </is>
      </c>
      <c r="C1332" t="n">
        <v>2</v>
      </c>
      <c r="D1332" t="inlineStr">
        <is>
          <t>Hub A</t>
        </is>
      </c>
      <c r="E1332" t="n">
        <v>35</v>
      </c>
      <c r="F1332" t="n">
        <v>22</v>
      </c>
    </row>
    <row r="1333">
      <c r="A1333" t="inlineStr">
        <is>
          <t>ORD01332</t>
        </is>
      </c>
      <c r="B1333" t="inlineStr">
        <is>
          <t>C1332</t>
        </is>
      </c>
      <c r="C1333" t="n">
        <v>3</v>
      </c>
      <c r="D1333" t="inlineStr">
        <is>
          <t>Hub A</t>
        </is>
      </c>
      <c r="E1333" t="n">
        <v>42</v>
      </c>
      <c r="F1333" t="n">
        <v>22</v>
      </c>
    </row>
    <row r="1334">
      <c r="A1334" t="inlineStr">
        <is>
          <t>ORD01333</t>
        </is>
      </c>
      <c r="B1334" t="inlineStr">
        <is>
          <t>C1333</t>
        </is>
      </c>
      <c r="C1334" t="n">
        <v>1</v>
      </c>
      <c r="D1334" t="inlineStr">
        <is>
          <t>Hub A</t>
        </is>
      </c>
      <c r="E1334" t="n">
        <v>49</v>
      </c>
      <c r="F1334" t="n">
        <v>22</v>
      </c>
    </row>
    <row r="1335">
      <c r="A1335" t="inlineStr">
        <is>
          <t>ORD01334</t>
        </is>
      </c>
      <c r="B1335" t="inlineStr">
        <is>
          <t>C1334</t>
        </is>
      </c>
      <c r="C1335" t="n">
        <v>2</v>
      </c>
      <c r="D1335" t="inlineStr">
        <is>
          <t>Hub A</t>
        </is>
      </c>
      <c r="E1335" t="n">
        <v>56</v>
      </c>
      <c r="F1335" t="n">
        <v>22</v>
      </c>
    </row>
    <row r="1336">
      <c r="A1336" t="inlineStr">
        <is>
          <t>ORD01335</t>
        </is>
      </c>
      <c r="B1336" t="inlineStr">
        <is>
          <t>C1335</t>
        </is>
      </c>
      <c r="C1336" t="n">
        <v>3</v>
      </c>
      <c r="D1336" t="inlineStr">
        <is>
          <t>Hub A</t>
        </is>
      </c>
      <c r="E1336" t="n">
        <v>63</v>
      </c>
      <c r="F1336" t="n">
        <v>22</v>
      </c>
    </row>
    <row r="1337">
      <c r="A1337" t="inlineStr">
        <is>
          <t>ORD01336</t>
        </is>
      </c>
      <c r="B1337" t="inlineStr">
        <is>
          <t>C1336</t>
        </is>
      </c>
      <c r="C1337" t="n">
        <v>1</v>
      </c>
      <c r="D1337" t="inlineStr">
        <is>
          <t>Hub A</t>
        </is>
      </c>
      <c r="E1337" t="n">
        <v>70</v>
      </c>
      <c r="F1337" t="n">
        <v>22</v>
      </c>
    </row>
    <row r="1338">
      <c r="A1338" t="inlineStr">
        <is>
          <t>ORD01337</t>
        </is>
      </c>
      <c r="B1338" t="inlineStr">
        <is>
          <t>C1337</t>
        </is>
      </c>
      <c r="C1338" t="n">
        <v>2</v>
      </c>
      <c r="D1338" t="inlineStr">
        <is>
          <t>Hub A</t>
        </is>
      </c>
      <c r="E1338" t="n">
        <v>77</v>
      </c>
      <c r="F1338" t="n">
        <v>22</v>
      </c>
    </row>
    <row r="1339">
      <c r="A1339" t="inlineStr">
        <is>
          <t>ORD01338</t>
        </is>
      </c>
      <c r="B1339" t="inlineStr">
        <is>
          <t>C1338</t>
        </is>
      </c>
      <c r="C1339" t="n">
        <v>3</v>
      </c>
      <c r="D1339" t="inlineStr">
        <is>
          <t>Hub A</t>
        </is>
      </c>
      <c r="E1339" t="n">
        <v>24</v>
      </c>
      <c r="F1339" t="n">
        <v>22</v>
      </c>
    </row>
    <row r="1340">
      <c r="A1340" t="inlineStr">
        <is>
          <t>ORD01339</t>
        </is>
      </c>
      <c r="B1340" t="inlineStr">
        <is>
          <t>C1339</t>
        </is>
      </c>
      <c r="C1340" t="n">
        <v>1</v>
      </c>
      <c r="D1340" t="inlineStr">
        <is>
          <t>Hub A</t>
        </is>
      </c>
      <c r="E1340" t="n">
        <v>31</v>
      </c>
      <c r="F1340" t="n">
        <v>22</v>
      </c>
    </row>
    <row r="1341">
      <c r="A1341" t="inlineStr">
        <is>
          <t>ORD01340</t>
        </is>
      </c>
      <c r="B1341" t="inlineStr">
        <is>
          <t>C1340</t>
        </is>
      </c>
      <c r="C1341" t="n">
        <v>2</v>
      </c>
      <c r="D1341" t="inlineStr">
        <is>
          <t>Hub A</t>
        </is>
      </c>
      <c r="E1341" t="n">
        <v>38</v>
      </c>
      <c r="F1341" t="n">
        <v>22</v>
      </c>
    </row>
    <row r="1342">
      <c r="A1342" t="inlineStr">
        <is>
          <t>ORD01341</t>
        </is>
      </c>
      <c r="B1342" t="inlineStr">
        <is>
          <t>C1341</t>
        </is>
      </c>
      <c r="C1342" t="n">
        <v>3</v>
      </c>
      <c r="D1342" t="inlineStr">
        <is>
          <t>Hub A</t>
        </is>
      </c>
      <c r="E1342" t="n">
        <v>45</v>
      </c>
      <c r="F1342" t="n">
        <v>22</v>
      </c>
    </row>
    <row r="1343">
      <c r="A1343" t="inlineStr">
        <is>
          <t>ORD01342</t>
        </is>
      </c>
      <c r="B1343" t="inlineStr">
        <is>
          <t>C1342</t>
        </is>
      </c>
      <c r="C1343" t="n">
        <v>1</v>
      </c>
      <c r="D1343" t="inlineStr">
        <is>
          <t>Hub A</t>
        </is>
      </c>
      <c r="E1343" t="n">
        <v>52</v>
      </c>
      <c r="F1343" t="n">
        <v>22</v>
      </c>
    </row>
    <row r="1344">
      <c r="A1344" t="inlineStr">
        <is>
          <t>ORD01343</t>
        </is>
      </c>
      <c r="B1344" t="inlineStr">
        <is>
          <t>C1343</t>
        </is>
      </c>
      <c r="C1344" t="n">
        <v>2</v>
      </c>
      <c r="D1344" t="inlineStr">
        <is>
          <t>Hub A</t>
        </is>
      </c>
      <c r="E1344" t="n">
        <v>59</v>
      </c>
      <c r="F1344" t="n">
        <v>22</v>
      </c>
    </row>
    <row r="1345">
      <c r="A1345" t="inlineStr">
        <is>
          <t>ORD01344</t>
        </is>
      </c>
      <c r="B1345" t="inlineStr">
        <is>
          <t>C1344</t>
        </is>
      </c>
      <c r="C1345" t="n">
        <v>3</v>
      </c>
      <c r="D1345" t="inlineStr">
        <is>
          <t>Hub A</t>
        </is>
      </c>
      <c r="E1345" t="n">
        <v>66</v>
      </c>
      <c r="F1345" t="n">
        <v>22</v>
      </c>
    </row>
    <row r="1346">
      <c r="A1346" t="inlineStr">
        <is>
          <t>ORD01345</t>
        </is>
      </c>
      <c r="B1346" t="inlineStr">
        <is>
          <t>C1345</t>
        </is>
      </c>
      <c r="C1346" t="n">
        <v>1</v>
      </c>
      <c r="D1346" t="inlineStr">
        <is>
          <t>Hub A</t>
        </is>
      </c>
      <c r="E1346" t="n">
        <v>73</v>
      </c>
      <c r="F1346" t="n">
        <v>22</v>
      </c>
    </row>
    <row r="1347">
      <c r="A1347" t="inlineStr">
        <is>
          <t>ORD01346</t>
        </is>
      </c>
      <c r="B1347" t="inlineStr">
        <is>
          <t>C1346</t>
        </is>
      </c>
      <c r="C1347" t="n">
        <v>2</v>
      </c>
      <c r="D1347" t="inlineStr">
        <is>
          <t>Hub A</t>
        </is>
      </c>
      <c r="E1347" t="n">
        <v>20</v>
      </c>
      <c r="F1347" t="n">
        <v>22</v>
      </c>
    </row>
    <row r="1348">
      <c r="A1348" t="inlineStr">
        <is>
          <t>ORD01347</t>
        </is>
      </c>
      <c r="B1348" t="inlineStr">
        <is>
          <t>C1347</t>
        </is>
      </c>
      <c r="C1348" t="n">
        <v>3</v>
      </c>
      <c r="D1348" t="inlineStr">
        <is>
          <t>Hub A</t>
        </is>
      </c>
      <c r="E1348" t="n">
        <v>27</v>
      </c>
      <c r="F1348" t="n">
        <v>22</v>
      </c>
    </row>
    <row r="1349">
      <c r="A1349" t="inlineStr">
        <is>
          <t>ORD01348</t>
        </is>
      </c>
      <c r="B1349" t="inlineStr">
        <is>
          <t>C1348</t>
        </is>
      </c>
      <c r="C1349" t="n">
        <v>1</v>
      </c>
      <c r="D1349" t="inlineStr">
        <is>
          <t>Hub A</t>
        </is>
      </c>
      <c r="E1349" t="n">
        <v>34</v>
      </c>
      <c r="F1349" t="n">
        <v>22</v>
      </c>
    </row>
    <row r="1350">
      <c r="A1350" t="inlineStr">
        <is>
          <t>ORD01349</t>
        </is>
      </c>
      <c r="B1350" t="inlineStr">
        <is>
          <t>C1349</t>
        </is>
      </c>
      <c r="C1350" t="n">
        <v>2</v>
      </c>
      <c r="D1350" t="inlineStr">
        <is>
          <t>Hub A</t>
        </is>
      </c>
      <c r="E1350" t="n">
        <v>41</v>
      </c>
      <c r="F1350" t="n">
        <v>22</v>
      </c>
    </row>
    <row r="1351">
      <c r="A1351" t="inlineStr">
        <is>
          <t>ORD01350</t>
        </is>
      </c>
      <c r="B1351" t="inlineStr">
        <is>
          <t>C1350</t>
        </is>
      </c>
      <c r="C1351" t="n">
        <v>3</v>
      </c>
      <c r="D1351" t="inlineStr">
        <is>
          <t>Hub A</t>
        </is>
      </c>
      <c r="E1351" t="n">
        <v>48</v>
      </c>
      <c r="F1351" t="n">
        <v>22</v>
      </c>
    </row>
    <row r="1352">
      <c r="A1352" t="inlineStr">
        <is>
          <t>ORD01351</t>
        </is>
      </c>
      <c r="B1352" t="inlineStr">
        <is>
          <t>C1351</t>
        </is>
      </c>
      <c r="C1352" t="n">
        <v>1</v>
      </c>
      <c r="D1352" t="inlineStr">
        <is>
          <t>Hub A</t>
        </is>
      </c>
      <c r="E1352" t="n">
        <v>55</v>
      </c>
      <c r="F1352" t="n">
        <v>22</v>
      </c>
    </row>
    <row r="1353">
      <c r="A1353" t="inlineStr">
        <is>
          <t>ORD01352</t>
        </is>
      </c>
      <c r="B1353" t="inlineStr">
        <is>
          <t>C1352</t>
        </is>
      </c>
      <c r="C1353" t="n">
        <v>2</v>
      </c>
      <c r="D1353" t="inlineStr">
        <is>
          <t>Hub A</t>
        </is>
      </c>
      <c r="E1353" t="n">
        <v>62</v>
      </c>
      <c r="F1353" t="n">
        <v>22</v>
      </c>
    </row>
    <row r="1354">
      <c r="A1354" t="inlineStr">
        <is>
          <t>ORD01353</t>
        </is>
      </c>
      <c r="B1354" t="inlineStr">
        <is>
          <t>C1353</t>
        </is>
      </c>
      <c r="C1354" t="n">
        <v>3</v>
      </c>
      <c r="D1354" t="inlineStr">
        <is>
          <t>Hub A</t>
        </is>
      </c>
      <c r="E1354" t="n">
        <v>69</v>
      </c>
      <c r="F1354" t="n">
        <v>22</v>
      </c>
    </row>
    <row r="1355">
      <c r="A1355" t="inlineStr">
        <is>
          <t>ORD01354</t>
        </is>
      </c>
      <c r="B1355" t="inlineStr">
        <is>
          <t>C1354</t>
        </is>
      </c>
      <c r="C1355" t="n">
        <v>1</v>
      </c>
      <c r="D1355" t="inlineStr">
        <is>
          <t>Hub A</t>
        </is>
      </c>
      <c r="E1355" t="n">
        <v>76</v>
      </c>
      <c r="F1355" t="n">
        <v>22</v>
      </c>
    </row>
    <row r="1356">
      <c r="A1356" t="inlineStr">
        <is>
          <t>ORD01355</t>
        </is>
      </c>
      <c r="B1356" t="inlineStr">
        <is>
          <t>C1355</t>
        </is>
      </c>
      <c r="C1356" t="n">
        <v>2</v>
      </c>
      <c r="D1356" t="inlineStr">
        <is>
          <t>Hub A</t>
        </is>
      </c>
      <c r="E1356" t="n">
        <v>23</v>
      </c>
      <c r="F1356" t="n">
        <v>22</v>
      </c>
    </row>
    <row r="1357">
      <c r="A1357" t="inlineStr">
        <is>
          <t>ORD01356</t>
        </is>
      </c>
      <c r="B1357" t="inlineStr">
        <is>
          <t>C1356</t>
        </is>
      </c>
      <c r="C1357" t="n">
        <v>3</v>
      </c>
      <c r="D1357" t="inlineStr">
        <is>
          <t>Hub A</t>
        </is>
      </c>
      <c r="E1357" t="n">
        <v>30</v>
      </c>
      <c r="F1357" t="n">
        <v>22</v>
      </c>
    </row>
    <row r="1358">
      <c r="A1358" t="inlineStr">
        <is>
          <t>ORD01357</t>
        </is>
      </c>
      <c r="B1358" t="inlineStr">
        <is>
          <t>C1357</t>
        </is>
      </c>
      <c r="C1358" t="n">
        <v>1</v>
      </c>
      <c r="D1358" t="inlineStr">
        <is>
          <t>Hub A</t>
        </is>
      </c>
      <c r="E1358" t="n">
        <v>37</v>
      </c>
      <c r="F1358" t="n">
        <v>22</v>
      </c>
    </row>
    <row r="1359">
      <c r="A1359" t="inlineStr">
        <is>
          <t>ORD01358</t>
        </is>
      </c>
      <c r="B1359" t="inlineStr">
        <is>
          <t>C1358</t>
        </is>
      </c>
      <c r="C1359" t="n">
        <v>2</v>
      </c>
      <c r="D1359" t="inlineStr">
        <is>
          <t>Hub A</t>
        </is>
      </c>
      <c r="E1359" t="n">
        <v>44</v>
      </c>
      <c r="F1359" t="n">
        <v>22</v>
      </c>
    </row>
    <row r="1360">
      <c r="A1360" t="inlineStr">
        <is>
          <t>ORD01359</t>
        </is>
      </c>
      <c r="B1360" t="inlineStr">
        <is>
          <t>C1359</t>
        </is>
      </c>
      <c r="C1360" t="n">
        <v>3</v>
      </c>
      <c r="D1360" t="inlineStr">
        <is>
          <t>Hub A</t>
        </is>
      </c>
      <c r="E1360" t="n">
        <v>51</v>
      </c>
      <c r="F1360" t="n">
        <v>22</v>
      </c>
    </row>
    <row r="1361">
      <c r="A1361" t="inlineStr">
        <is>
          <t>ORD01360</t>
        </is>
      </c>
      <c r="B1361" t="inlineStr">
        <is>
          <t>C1360</t>
        </is>
      </c>
      <c r="C1361" t="n">
        <v>1</v>
      </c>
      <c r="D1361" t="inlineStr">
        <is>
          <t>Hub A</t>
        </is>
      </c>
      <c r="E1361" t="n">
        <v>58</v>
      </c>
      <c r="F1361" t="n">
        <v>22</v>
      </c>
    </row>
    <row r="1362">
      <c r="A1362" t="inlineStr">
        <is>
          <t>ORD01361</t>
        </is>
      </c>
      <c r="B1362" t="inlineStr">
        <is>
          <t>C1361</t>
        </is>
      </c>
      <c r="C1362" t="n">
        <v>2</v>
      </c>
      <c r="D1362" t="inlineStr">
        <is>
          <t>Hub A</t>
        </is>
      </c>
      <c r="E1362" t="n">
        <v>65</v>
      </c>
      <c r="F1362" t="n">
        <v>22</v>
      </c>
    </row>
    <row r="1363">
      <c r="A1363" t="inlineStr">
        <is>
          <t>ORD01362</t>
        </is>
      </c>
      <c r="B1363" t="inlineStr">
        <is>
          <t>C1362</t>
        </is>
      </c>
      <c r="C1363" t="n">
        <v>3</v>
      </c>
      <c r="D1363" t="inlineStr">
        <is>
          <t>Hub A</t>
        </is>
      </c>
      <c r="E1363" t="n">
        <v>72</v>
      </c>
      <c r="F1363" t="n">
        <v>22</v>
      </c>
    </row>
    <row r="1364">
      <c r="A1364" t="inlineStr">
        <is>
          <t>ORD01363</t>
        </is>
      </c>
      <c r="B1364" t="inlineStr">
        <is>
          <t>C1363</t>
        </is>
      </c>
      <c r="C1364" t="n">
        <v>1</v>
      </c>
      <c r="D1364" t="inlineStr">
        <is>
          <t>Hub A</t>
        </is>
      </c>
      <c r="E1364" t="n">
        <v>19</v>
      </c>
      <c r="F1364" t="n">
        <v>22</v>
      </c>
    </row>
    <row r="1365">
      <c r="A1365" t="inlineStr">
        <is>
          <t>ORD01364</t>
        </is>
      </c>
      <c r="B1365" t="inlineStr">
        <is>
          <t>C1364</t>
        </is>
      </c>
      <c r="C1365" t="n">
        <v>2</v>
      </c>
      <c r="D1365" t="inlineStr">
        <is>
          <t>Hub A</t>
        </is>
      </c>
      <c r="E1365" t="n">
        <v>26</v>
      </c>
      <c r="F1365" t="n">
        <v>22</v>
      </c>
    </row>
    <row r="1366">
      <c r="A1366" t="inlineStr">
        <is>
          <t>ORD01365</t>
        </is>
      </c>
      <c r="B1366" t="inlineStr">
        <is>
          <t>C1365</t>
        </is>
      </c>
      <c r="C1366" t="n">
        <v>3</v>
      </c>
      <c r="D1366" t="inlineStr">
        <is>
          <t>Hub A</t>
        </is>
      </c>
      <c r="E1366" t="n">
        <v>33</v>
      </c>
      <c r="F1366" t="n">
        <v>22</v>
      </c>
    </row>
    <row r="1367">
      <c r="A1367" t="inlineStr">
        <is>
          <t>ORD01366</t>
        </is>
      </c>
      <c r="B1367" t="inlineStr">
        <is>
          <t>C1366</t>
        </is>
      </c>
      <c r="C1367" t="n">
        <v>1</v>
      </c>
      <c r="D1367" t="inlineStr">
        <is>
          <t>Hub A</t>
        </is>
      </c>
      <c r="E1367" t="n">
        <v>40</v>
      </c>
      <c r="F1367" t="n">
        <v>22</v>
      </c>
    </row>
    <row r="1368">
      <c r="A1368" t="inlineStr">
        <is>
          <t>ORD01367</t>
        </is>
      </c>
      <c r="B1368" t="inlineStr">
        <is>
          <t>C1367</t>
        </is>
      </c>
      <c r="C1368" t="n">
        <v>2</v>
      </c>
      <c r="D1368" t="inlineStr">
        <is>
          <t>Hub A</t>
        </is>
      </c>
      <c r="E1368" t="n">
        <v>47</v>
      </c>
      <c r="F1368" t="n">
        <v>22</v>
      </c>
    </row>
    <row r="1369">
      <c r="A1369" t="inlineStr">
        <is>
          <t>ORD01368</t>
        </is>
      </c>
      <c r="B1369" t="inlineStr">
        <is>
          <t>C1368</t>
        </is>
      </c>
      <c r="C1369" t="n">
        <v>3</v>
      </c>
      <c r="D1369" t="inlineStr">
        <is>
          <t>Hub A</t>
        </is>
      </c>
      <c r="E1369" t="n">
        <v>54</v>
      </c>
      <c r="F1369" t="n">
        <v>22</v>
      </c>
    </row>
    <row r="1370">
      <c r="A1370" t="inlineStr">
        <is>
          <t>ORD01369</t>
        </is>
      </c>
      <c r="B1370" t="inlineStr">
        <is>
          <t>C1369</t>
        </is>
      </c>
      <c r="C1370" t="n">
        <v>1</v>
      </c>
      <c r="D1370" t="inlineStr">
        <is>
          <t>Hub A</t>
        </is>
      </c>
      <c r="E1370" t="n">
        <v>61</v>
      </c>
      <c r="F1370" t="n">
        <v>22</v>
      </c>
    </row>
    <row r="1371">
      <c r="A1371" t="inlineStr">
        <is>
          <t>ORD01370</t>
        </is>
      </c>
      <c r="B1371" t="inlineStr">
        <is>
          <t>C1370</t>
        </is>
      </c>
      <c r="C1371" t="n">
        <v>2</v>
      </c>
      <c r="D1371" t="inlineStr">
        <is>
          <t>Hub A</t>
        </is>
      </c>
      <c r="E1371" t="n">
        <v>68</v>
      </c>
      <c r="F1371" t="n">
        <v>22</v>
      </c>
    </row>
    <row r="1372">
      <c r="A1372" t="inlineStr">
        <is>
          <t>ORD01371</t>
        </is>
      </c>
      <c r="B1372" t="inlineStr">
        <is>
          <t>C1371</t>
        </is>
      </c>
      <c r="C1372" t="n">
        <v>3</v>
      </c>
      <c r="D1372" t="inlineStr">
        <is>
          <t>Hub A</t>
        </is>
      </c>
      <c r="E1372" t="n">
        <v>75</v>
      </c>
      <c r="F1372" t="n">
        <v>22</v>
      </c>
    </row>
    <row r="1373">
      <c r="A1373" t="inlineStr">
        <is>
          <t>ORD01372</t>
        </is>
      </c>
      <c r="B1373" t="inlineStr">
        <is>
          <t>C1372</t>
        </is>
      </c>
      <c r="C1373" t="n">
        <v>1</v>
      </c>
      <c r="D1373" t="inlineStr">
        <is>
          <t>Hub A</t>
        </is>
      </c>
      <c r="E1373" t="n">
        <v>22</v>
      </c>
      <c r="F1373" t="n">
        <v>22</v>
      </c>
    </row>
    <row r="1374">
      <c r="A1374" t="inlineStr">
        <is>
          <t>ORD01373</t>
        </is>
      </c>
      <c r="B1374" t="inlineStr">
        <is>
          <t>C1373</t>
        </is>
      </c>
      <c r="C1374" t="n">
        <v>2</v>
      </c>
      <c r="D1374" t="inlineStr">
        <is>
          <t>Hub A</t>
        </is>
      </c>
      <c r="E1374" t="n">
        <v>29</v>
      </c>
      <c r="F1374" t="n">
        <v>22</v>
      </c>
    </row>
    <row r="1375">
      <c r="A1375" t="inlineStr">
        <is>
          <t>ORD01374</t>
        </is>
      </c>
      <c r="B1375" t="inlineStr">
        <is>
          <t>C1374</t>
        </is>
      </c>
      <c r="C1375" t="n">
        <v>3</v>
      </c>
      <c r="D1375" t="inlineStr">
        <is>
          <t>Hub A</t>
        </is>
      </c>
      <c r="E1375" t="n">
        <v>36</v>
      </c>
      <c r="F1375" t="n">
        <v>22</v>
      </c>
    </row>
    <row r="1376">
      <c r="A1376" t="inlineStr">
        <is>
          <t>ORD01375</t>
        </is>
      </c>
      <c r="B1376" t="inlineStr">
        <is>
          <t>C1375</t>
        </is>
      </c>
      <c r="C1376" t="n">
        <v>1</v>
      </c>
      <c r="D1376" t="inlineStr">
        <is>
          <t>Hub A</t>
        </is>
      </c>
      <c r="E1376" t="n">
        <v>43</v>
      </c>
      <c r="F1376" t="n">
        <v>22</v>
      </c>
    </row>
    <row r="1377">
      <c r="A1377" t="inlineStr">
        <is>
          <t>ORD01376</t>
        </is>
      </c>
      <c r="B1377" t="inlineStr">
        <is>
          <t>C1376</t>
        </is>
      </c>
      <c r="C1377" t="n">
        <v>2</v>
      </c>
      <c r="D1377" t="inlineStr">
        <is>
          <t>Hub A</t>
        </is>
      </c>
      <c r="E1377" t="n">
        <v>50</v>
      </c>
      <c r="F1377" t="n">
        <v>22</v>
      </c>
    </row>
    <row r="1378">
      <c r="A1378" t="inlineStr">
        <is>
          <t>ORD01377</t>
        </is>
      </c>
      <c r="B1378" t="inlineStr">
        <is>
          <t>C1377</t>
        </is>
      </c>
      <c r="C1378" t="n">
        <v>3</v>
      </c>
      <c r="D1378" t="inlineStr">
        <is>
          <t>Hub A</t>
        </is>
      </c>
      <c r="E1378" t="n">
        <v>57</v>
      </c>
      <c r="F1378" t="n">
        <v>22</v>
      </c>
    </row>
    <row r="1379">
      <c r="A1379" t="inlineStr">
        <is>
          <t>ORD01378</t>
        </is>
      </c>
      <c r="B1379" t="inlineStr">
        <is>
          <t>C1378</t>
        </is>
      </c>
      <c r="C1379" t="n">
        <v>1</v>
      </c>
      <c r="D1379" t="inlineStr">
        <is>
          <t>Hub A</t>
        </is>
      </c>
      <c r="E1379" t="n">
        <v>64</v>
      </c>
      <c r="F1379" t="n">
        <v>22</v>
      </c>
    </row>
    <row r="1380">
      <c r="A1380" t="inlineStr">
        <is>
          <t>ORD01379</t>
        </is>
      </c>
      <c r="B1380" t="inlineStr">
        <is>
          <t>C1379</t>
        </is>
      </c>
      <c r="C1380" t="n">
        <v>2</v>
      </c>
      <c r="D1380" t="inlineStr">
        <is>
          <t>Hub A</t>
        </is>
      </c>
      <c r="E1380" t="n">
        <v>71</v>
      </c>
      <c r="F1380" t="n">
        <v>22</v>
      </c>
    </row>
    <row r="1381">
      <c r="A1381" t="inlineStr">
        <is>
          <t>ORD01380</t>
        </is>
      </c>
      <c r="B1381" t="inlineStr">
        <is>
          <t>C1380</t>
        </is>
      </c>
      <c r="C1381" t="n">
        <v>3</v>
      </c>
      <c r="D1381" t="inlineStr">
        <is>
          <t>Hub A</t>
        </is>
      </c>
      <c r="E1381" t="n">
        <v>18</v>
      </c>
      <c r="F1381" t="n">
        <v>22</v>
      </c>
    </row>
    <row r="1382">
      <c r="A1382" t="inlineStr">
        <is>
          <t>ORD01381</t>
        </is>
      </c>
      <c r="B1382" t="inlineStr">
        <is>
          <t>C1381</t>
        </is>
      </c>
      <c r="C1382" t="n">
        <v>1</v>
      </c>
      <c r="D1382" t="inlineStr">
        <is>
          <t>Hub A</t>
        </is>
      </c>
      <c r="E1382" t="n">
        <v>25</v>
      </c>
      <c r="F1382" t="n">
        <v>22</v>
      </c>
    </row>
    <row r="1383">
      <c r="A1383" t="inlineStr">
        <is>
          <t>ORD01382</t>
        </is>
      </c>
      <c r="B1383" t="inlineStr">
        <is>
          <t>C1382</t>
        </is>
      </c>
      <c r="C1383" t="n">
        <v>2</v>
      </c>
      <c r="D1383" t="inlineStr">
        <is>
          <t>Hub A</t>
        </is>
      </c>
      <c r="E1383" t="n">
        <v>32</v>
      </c>
      <c r="F1383" t="n">
        <v>22</v>
      </c>
    </row>
    <row r="1384">
      <c r="A1384" t="inlineStr">
        <is>
          <t>ORD01383</t>
        </is>
      </c>
      <c r="B1384" t="inlineStr">
        <is>
          <t>C1383</t>
        </is>
      </c>
      <c r="C1384" t="n">
        <v>3</v>
      </c>
      <c r="D1384" t="inlineStr">
        <is>
          <t>Hub A</t>
        </is>
      </c>
      <c r="E1384" t="n">
        <v>39</v>
      </c>
      <c r="F1384" t="n">
        <v>22</v>
      </c>
    </row>
    <row r="1385">
      <c r="A1385" t="inlineStr">
        <is>
          <t>ORD01384</t>
        </is>
      </c>
      <c r="B1385" t="inlineStr">
        <is>
          <t>C1384</t>
        </is>
      </c>
      <c r="C1385" t="n">
        <v>1</v>
      </c>
      <c r="D1385" t="inlineStr">
        <is>
          <t>Hub A</t>
        </is>
      </c>
      <c r="E1385" t="n">
        <v>46</v>
      </c>
      <c r="F1385" t="n">
        <v>22</v>
      </c>
    </row>
    <row r="1386">
      <c r="A1386" t="inlineStr">
        <is>
          <t>ORD01385</t>
        </is>
      </c>
      <c r="B1386" t="inlineStr">
        <is>
          <t>C1385</t>
        </is>
      </c>
      <c r="C1386" t="n">
        <v>2</v>
      </c>
      <c r="D1386" t="inlineStr">
        <is>
          <t>Hub A</t>
        </is>
      </c>
      <c r="E1386" t="n">
        <v>53</v>
      </c>
      <c r="F1386" t="n">
        <v>22</v>
      </c>
    </row>
    <row r="1387">
      <c r="A1387" t="inlineStr">
        <is>
          <t>ORD01386</t>
        </is>
      </c>
      <c r="B1387" t="inlineStr">
        <is>
          <t>C1386</t>
        </is>
      </c>
      <c r="C1387" t="n">
        <v>3</v>
      </c>
      <c r="D1387" t="inlineStr">
        <is>
          <t>Hub A</t>
        </is>
      </c>
      <c r="E1387" t="n">
        <v>60</v>
      </c>
      <c r="F1387" t="n">
        <v>22</v>
      </c>
    </row>
    <row r="1388">
      <c r="A1388" t="inlineStr">
        <is>
          <t>ORD01387</t>
        </is>
      </c>
      <c r="B1388" t="inlineStr">
        <is>
          <t>C1387</t>
        </is>
      </c>
      <c r="C1388" t="n">
        <v>1</v>
      </c>
      <c r="D1388" t="inlineStr">
        <is>
          <t>Hub A</t>
        </is>
      </c>
      <c r="E1388" t="n">
        <v>67</v>
      </c>
      <c r="F1388" t="n">
        <v>22</v>
      </c>
    </row>
    <row r="1389">
      <c r="A1389" t="inlineStr">
        <is>
          <t>ORD01388</t>
        </is>
      </c>
      <c r="B1389" t="inlineStr">
        <is>
          <t>C1388</t>
        </is>
      </c>
      <c r="C1389" t="n">
        <v>2</v>
      </c>
      <c r="D1389" t="inlineStr">
        <is>
          <t>Hub A</t>
        </is>
      </c>
      <c r="E1389" t="n">
        <v>74</v>
      </c>
      <c r="F1389" t="n">
        <v>22</v>
      </c>
    </row>
    <row r="1390">
      <c r="A1390" t="inlineStr">
        <is>
          <t>ORD01389</t>
        </is>
      </c>
      <c r="B1390" t="inlineStr">
        <is>
          <t>C1389</t>
        </is>
      </c>
      <c r="C1390" t="n">
        <v>3</v>
      </c>
      <c r="D1390" t="inlineStr">
        <is>
          <t>Hub A</t>
        </is>
      </c>
      <c r="E1390" t="n">
        <v>21</v>
      </c>
      <c r="F1390" t="n">
        <v>22</v>
      </c>
    </row>
    <row r="1391">
      <c r="A1391" t="inlineStr">
        <is>
          <t>ORD01390</t>
        </is>
      </c>
      <c r="B1391" t="inlineStr">
        <is>
          <t>C1390</t>
        </is>
      </c>
      <c r="C1391" t="n">
        <v>1</v>
      </c>
      <c r="D1391" t="inlineStr">
        <is>
          <t>Hub A</t>
        </is>
      </c>
      <c r="E1391" t="n">
        <v>28</v>
      </c>
      <c r="F1391" t="n">
        <v>22</v>
      </c>
    </row>
    <row r="1392">
      <c r="A1392" t="inlineStr">
        <is>
          <t>ORD01391</t>
        </is>
      </c>
      <c r="B1392" t="inlineStr">
        <is>
          <t>C1391</t>
        </is>
      </c>
      <c r="C1392" t="n">
        <v>2</v>
      </c>
      <c r="D1392" t="inlineStr">
        <is>
          <t>Hub A</t>
        </is>
      </c>
      <c r="E1392" t="n">
        <v>35</v>
      </c>
      <c r="F1392" t="n">
        <v>22</v>
      </c>
    </row>
    <row r="1393">
      <c r="A1393" t="inlineStr">
        <is>
          <t>ORD01392</t>
        </is>
      </c>
      <c r="B1393" t="inlineStr">
        <is>
          <t>C1392</t>
        </is>
      </c>
      <c r="C1393" t="n">
        <v>3</v>
      </c>
      <c r="D1393" t="inlineStr">
        <is>
          <t>Hub A</t>
        </is>
      </c>
      <c r="E1393" t="n">
        <v>42</v>
      </c>
      <c r="F1393" t="n">
        <v>22</v>
      </c>
    </row>
    <row r="1394">
      <c r="A1394" t="inlineStr">
        <is>
          <t>ORD01393</t>
        </is>
      </c>
      <c r="B1394" t="inlineStr">
        <is>
          <t>C1393</t>
        </is>
      </c>
      <c r="C1394" t="n">
        <v>1</v>
      </c>
      <c r="D1394" t="inlineStr">
        <is>
          <t>Hub A</t>
        </is>
      </c>
      <c r="E1394" t="n">
        <v>49</v>
      </c>
      <c r="F1394" t="n">
        <v>22</v>
      </c>
    </row>
    <row r="1395">
      <c r="A1395" t="inlineStr">
        <is>
          <t>ORD01394</t>
        </is>
      </c>
      <c r="B1395" t="inlineStr">
        <is>
          <t>C1394</t>
        </is>
      </c>
      <c r="C1395" t="n">
        <v>2</v>
      </c>
      <c r="D1395" t="inlineStr">
        <is>
          <t>Hub A</t>
        </is>
      </c>
      <c r="E1395" t="n">
        <v>56</v>
      </c>
      <c r="F1395" t="n">
        <v>22</v>
      </c>
    </row>
    <row r="1396">
      <c r="A1396" t="inlineStr">
        <is>
          <t>ORD01395</t>
        </is>
      </c>
      <c r="B1396" t="inlineStr">
        <is>
          <t>C1395</t>
        </is>
      </c>
      <c r="C1396" t="n">
        <v>3</v>
      </c>
      <c r="D1396" t="inlineStr">
        <is>
          <t>Hub A</t>
        </is>
      </c>
      <c r="E1396" t="n">
        <v>63</v>
      </c>
      <c r="F1396" t="n">
        <v>22</v>
      </c>
    </row>
    <row r="1397">
      <c r="A1397" t="inlineStr">
        <is>
          <t>ORD01396</t>
        </is>
      </c>
      <c r="B1397" t="inlineStr">
        <is>
          <t>C1396</t>
        </is>
      </c>
      <c r="C1397" t="n">
        <v>1</v>
      </c>
      <c r="D1397" t="inlineStr">
        <is>
          <t>Hub A</t>
        </is>
      </c>
      <c r="E1397" t="n">
        <v>70</v>
      </c>
      <c r="F1397" t="n">
        <v>22</v>
      </c>
    </row>
    <row r="1398">
      <c r="A1398" t="inlineStr">
        <is>
          <t>ORD01397</t>
        </is>
      </c>
      <c r="B1398" t="inlineStr">
        <is>
          <t>C1397</t>
        </is>
      </c>
      <c r="C1398" t="n">
        <v>2</v>
      </c>
      <c r="D1398" t="inlineStr">
        <is>
          <t>Hub A</t>
        </is>
      </c>
      <c r="E1398" t="n">
        <v>77</v>
      </c>
      <c r="F1398" t="n">
        <v>22</v>
      </c>
    </row>
    <row r="1399">
      <c r="A1399" t="inlineStr">
        <is>
          <t>ORD01398</t>
        </is>
      </c>
      <c r="B1399" t="inlineStr">
        <is>
          <t>C1398</t>
        </is>
      </c>
      <c r="C1399" t="n">
        <v>3</v>
      </c>
      <c r="D1399" t="inlineStr">
        <is>
          <t>Hub A</t>
        </is>
      </c>
      <c r="E1399" t="n">
        <v>24</v>
      </c>
      <c r="F1399" t="n">
        <v>22</v>
      </c>
    </row>
    <row r="1400">
      <c r="A1400" t="inlineStr">
        <is>
          <t>ORD01399</t>
        </is>
      </c>
      <c r="B1400" t="inlineStr">
        <is>
          <t>C1399</t>
        </is>
      </c>
      <c r="C1400" t="n">
        <v>1</v>
      </c>
      <c r="D1400" t="inlineStr">
        <is>
          <t>Hub A</t>
        </is>
      </c>
      <c r="E1400" t="n">
        <v>31</v>
      </c>
      <c r="F1400" t="n">
        <v>22</v>
      </c>
    </row>
    <row r="1401">
      <c r="A1401" t="inlineStr">
        <is>
          <t>ORD01400</t>
        </is>
      </c>
      <c r="B1401" t="inlineStr">
        <is>
          <t>C1400</t>
        </is>
      </c>
      <c r="C1401" t="n">
        <v>2</v>
      </c>
      <c r="D1401" t="inlineStr">
        <is>
          <t>Hub A</t>
        </is>
      </c>
      <c r="E1401" t="n">
        <v>38</v>
      </c>
      <c r="F1401" t="n">
        <v>22</v>
      </c>
    </row>
    <row r="1402">
      <c r="A1402" t="inlineStr">
        <is>
          <t>ORD01401</t>
        </is>
      </c>
      <c r="B1402" t="inlineStr">
        <is>
          <t>C1401</t>
        </is>
      </c>
      <c r="C1402" t="n">
        <v>3</v>
      </c>
      <c r="D1402" t="inlineStr">
        <is>
          <t>Hub A</t>
        </is>
      </c>
      <c r="E1402" t="n">
        <v>45</v>
      </c>
      <c r="F1402" t="n">
        <v>22</v>
      </c>
    </row>
    <row r="1403">
      <c r="A1403" t="inlineStr">
        <is>
          <t>ORD01402</t>
        </is>
      </c>
      <c r="B1403" t="inlineStr">
        <is>
          <t>C1402</t>
        </is>
      </c>
      <c r="C1403" t="n">
        <v>1</v>
      </c>
      <c r="D1403" t="inlineStr">
        <is>
          <t>Hub A</t>
        </is>
      </c>
      <c r="E1403" t="n">
        <v>52</v>
      </c>
      <c r="F1403" t="n">
        <v>22</v>
      </c>
    </row>
    <row r="1404">
      <c r="A1404" t="inlineStr">
        <is>
          <t>ORD01403</t>
        </is>
      </c>
      <c r="B1404" t="inlineStr">
        <is>
          <t>C1403</t>
        </is>
      </c>
      <c r="C1404" t="n">
        <v>2</v>
      </c>
      <c r="D1404" t="inlineStr">
        <is>
          <t>Hub A</t>
        </is>
      </c>
      <c r="E1404" t="n">
        <v>59</v>
      </c>
      <c r="F1404" t="n">
        <v>22</v>
      </c>
    </row>
    <row r="1405">
      <c r="A1405" t="inlineStr">
        <is>
          <t>ORD01404</t>
        </is>
      </c>
      <c r="B1405" t="inlineStr">
        <is>
          <t>C1404</t>
        </is>
      </c>
      <c r="C1405" t="n">
        <v>3</v>
      </c>
      <c r="D1405" t="inlineStr">
        <is>
          <t>Hub A</t>
        </is>
      </c>
      <c r="E1405" t="n">
        <v>66</v>
      </c>
      <c r="F1405" t="n">
        <v>22</v>
      </c>
    </row>
    <row r="1406">
      <c r="A1406" t="inlineStr">
        <is>
          <t>ORD01405</t>
        </is>
      </c>
      <c r="B1406" t="inlineStr">
        <is>
          <t>C1405</t>
        </is>
      </c>
      <c r="C1406" t="n">
        <v>1</v>
      </c>
      <c r="D1406" t="inlineStr">
        <is>
          <t>Hub A</t>
        </is>
      </c>
      <c r="E1406" t="n">
        <v>73</v>
      </c>
      <c r="F1406" t="n">
        <v>22</v>
      </c>
    </row>
    <row r="1407">
      <c r="A1407" t="inlineStr">
        <is>
          <t>ORD01406</t>
        </is>
      </c>
      <c r="B1407" t="inlineStr">
        <is>
          <t>C1406</t>
        </is>
      </c>
      <c r="C1407" t="n">
        <v>2</v>
      </c>
      <c r="D1407" t="inlineStr">
        <is>
          <t>Hub A</t>
        </is>
      </c>
      <c r="E1407" t="n">
        <v>20</v>
      </c>
      <c r="F1407" t="n">
        <v>22</v>
      </c>
    </row>
    <row r="1408">
      <c r="A1408" t="inlineStr">
        <is>
          <t>ORD01407</t>
        </is>
      </c>
      <c r="B1408" t="inlineStr">
        <is>
          <t>C1407</t>
        </is>
      </c>
      <c r="C1408" t="n">
        <v>3</v>
      </c>
      <c r="D1408" t="inlineStr">
        <is>
          <t>Hub A</t>
        </is>
      </c>
      <c r="E1408" t="n">
        <v>27</v>
      </c>
      <c r="F1408" t="n">
        <v>22</v>
      </c>
    </row>
    <row r="1409">
      <c r="A1409" t="inlineStr">
        <is>
          <t>ORD01408</t>
        </is>
      </c>
      <c r="B1409" t="inlineStr">
        <is>
          <t>C1408</t>
        </is>
      </c>
      <c r="C1409" t="n">
        <v>1</v>
      </c>
      <c r="D1409" t="inlineStr">
        <is>
          <t>Hub A</t>
        </is>
      </c>
      <c r="E1409" t="n">
        <v>34</v>
      </c>
      <c r="F1409" t="n">
        <v>22</v>
      </c>
    </row>
    <row r="1410">
      <c r="A1410" t="inlineStr">
        <is>
          <t>ORD01409</t>
        </is>
      </c>
      <c r="B1410" t="inlineStr">
        <is>
          <t>C1409</t>
        </is>
      </c>
      <c r="C1410" t="n">
        <v>2</v>
      </c>
      <c r="D1410" t="inlineStr">
        <is>
          <t>Hub A</t>
        </is>
      </c>
      <c r="E1410" t="n">
        <v>41</v>
      </c>
      <c r="F1410" t="n">
        <v>22</v>
      </c>
    </row>
    <row r="1411">
      <c r="A1411" t="inlineStr">
        <is>
          <t>ORD01410</t>
        </is>
      </c>
      <c r="B1411" t="inlineStr">
        <is>
          <t>C1410</t>
        </is>
      </c>
      <c r="C1411" t="n">
        <v>3</v>
      </c>
      <c r="D1411" t="inlineStr">
        <is>
          <t>Hub A</t>
        </is>
      </c>
      <c r="E1411" t="n">
        <v>48</v>
      </c>
      <c r="F1411" t="n">
        <v>22</v>
      </c>
    </row>
    <row r="1412">
      <c r="A1412" t="inlineStr">
        <is>
          <t>ORD01411</t>
        </is>
      </c>
      <c r="B1412" t="inlineStr">
        <is>
          <t>C1411</t>
        </is>
      </c>
      <c r="C1412" t="n">
        <v>1</v>
      </c>
      <c r="D1412" t="inlineStr">
        <is>
          <t>Hub A</t>
        </is>
      </c>
      <c r="E1412" t="n">
        <v>55</v>
      </c>
      <c r="F1412" t="n">
        <v>22</v>
      </c>
    </row>
    <row r="1413">
      <c r="A1413" t="inlineStr">
        <is>
          <t>ORD01412</t>
        </is>
      </c>
      <c r="B1413" t="inlineStr">
        <is>
          <t>C1412</t>
        </is>
      </c>
      <c r="C1413" t="n">
        <v>2</v>
      </c>
      <c r="D1413" t="inlineStr">
        <is>
          <t>Hub A</t>
        </is>
      </c>
      <c r="E1413" t="n">
        <v>62</v>
      </c>
      <c r="F1413" t="n">
        <v>22</v>
      </c>
    </row>
    <row r="1414">
      <c r="A1414" t="inlineStr">
        <is>
          <t>ORD01413</t>
        </is>
      </c>
      <c r="B1414" t="inlineStr">
        <is>
          <t>C1413</t>
        </is>
      </c>
      <c r="C1414" t="n">
        <v>3</v>
      </c>
      <c r="D1414" t="inlineStr">
        <is>
          <t>Hub A</t>
        </is>
      </c>
      <c r="E1414" t="n">
        <v>69</v>
      </c>
      <c r="F1414" t="n">
        <v>22</v>
      </c>
    </row>
    <row r="1415">
      <c r="A1415" t="inlineStr">
        <is>
          <t>ORD01414</t>
        </is>
      </c>
      <c r="B1415" t="inlineStr">
        <is>
          <t>C1414</t>
        </is>
      </c>
      <c r="C1415" t="n">
        <v>1</v>
      </c>
      <c r="D1415" t="inlineStr">
        <is>
          <t>Hub A</t>
        </is>
      </c>
      <c r="E1415" t="n">
        <v>76</v>
      </c>
      <c r="F1415" t="n">
        <v>22</v>
      </c>
    </row>
    <row r="1416">
      <c r="A1416" t="inlineStr">
        <is>
          <t>ORD01415</t>
        </is>
      </c>
      <c r="B1416" t="inlineStr">
        <is>
          <t>C1415</t>
        </is>
      </c>
      <c r="C1416" t="n">
        <v>2</v>
      </c>
      <c r="D1416" t="inlineStr">
        <is>
          <t>Hub A</t>
        </is>
      </c>
      <c r="E1416" t="n">
        <v>23</v>
      </c>
      <c r="F1416" t="n">
        <v>22</v>
      </c>
    </row>
    <row r="1417">
      <c r="A1417" t="inlineStr">
        <is>
          <t>ORD01416</t>
        </is>
      </c>
      <c r="B1417" t="inlineStr">
        <is>
          <t>C1416</t>
        </is>
      </c>
      <c r="C1417" t="n">
        <v>3</v>
      </c>
      <c r="D1417" t="inlineStr">
        <is>
          <t>Hub A</t>
        </is>
      </c>
      <c r="E1417" t="n">
        <v>30</v>
      </c>
      <c r="F1417" t="n">
        <v>22</v>
      </c>
    </row>
    <row r="1418">
      <c r="A1418" t="inlineStr">
        <is>
          <t>ORD01417</t>
        </is>
      </c>
      <c r="B1418" t="inlineStr">
        <is>
          <t>C1417</t>
        </is>
      </c>
      <c r="C1418" t="n">
        <v>1</v>
      </c>
      <c r="D1418" t="inlineStr">
        <is>
          <t>Hub A</t>
        </is>
      </c>
      <c r="E1418" t="n">
        <v>37</v>
      </c>
      <c r="F1418" t="n">
        <v>22</v>
      </c>
    </row>
    <row r="1419">
      <c r="A1419" t="inlineStr">
        <is>
          <t>ORD01418</t>
        </is>
      </c>
      <c r="B1419" t="inlineStr">
        <is>
          <t>C1418</t>
        </is>
      </c>
      <c r="C1419" t="n">
        <v>2</v>
      </c>
      <c r="D1419" t="inlineStr">
        <is>
          <t>Hub A</t>
        </is>
      </c>
      <c r="E1419" t="n">
        <v>44</v>
      </c>
      <c r="F1419" t="n">
        <v>22</v>
      </c>
    </row>
    <row r="1420">
      <c r="A1420" t="inlineStr">
        <is>
          <t>ORD01419</t>
        </is>
      </c>
      <c r="B1420" t="inlineStr">
        <is>
          <t>C1419</t>
        </is>
      </c>
      <c r="C1420" t="n">
        <v>3</v>
      </c>
      <c r="D1420" t="inlineStr">
        <is>
          <t>Hub A</t>
        </is>
      </c>
      <c r="E1420" t="n">
        <v>51</v>
      </c>
      <c r="F1420" t="n">
        <v>22</v>
      </c>
    </row>
    <row r="1421">
      <c r="A1421" t="inlineStr">
        <is>
          <t>ORD01420</t>
        </is>
      </c>
      <c r="B1421" t="inlineStr">
        <is>
          <t>C1420</t>
        </is>
      </c>
      <c r="C1421" t="n">
        <v>1</v>
      </c>
      <c r="D1421" t="inlineStr">
        <is>
          <t>Hub A</t>
        </is>
      </c>
      <c r="E1421" t="n">
        <v>58</v>
      </c>
      <c r="F1421" t="n">
        <v>22</v>
      </c>
    </row>
    <row r="1422">
      <c r="A1422" t="inlineStr">
        <is>
          <t>ORD01421</t>
        </is>
      </c>
      <c r="B1422" t="inlineStr">
        <is>
          <t>C1421</t>
        </is>
      </c>
      <c r="C1422" t="n">
        <v>2</v>
      </c>
      <c r="D1422" t="inlineStr">
        <is>
          <t>Hub A</t>
        </is>
      </c>
      <c r="E1422" t="n">
        <v>65</v>
      </c>
      <c r="F1422" t="n">
        <v>22</v>
      </c>
    </row>
    <row r="1423">
      <c r="A1423" t="inlineStr">
        <is>
          <t>ORD01422</t>
        </is>
      </c>
      <c r="B1423" t="inlineStr">
        <is>
          <t>C1422</t>
        </is>
      </c>
      <c r="C1423" t="n">
        <v>3</v>
      </c>
      <c r="D1423" t="inlineStr">
        <is>
          <t>Hub A</t>
        </is>
      </c>
      <c r="E1423" t="n">
        <v>72</v>
      </c>
      <c r="F1423" t="n">
        <v>22</v>
      </c>
    </row>
    <row r="1424">
      <c r="A1424" t="inlineStr">
        <is>
          <t>ORD01423</t>
        </is>
      </c>
      <c r="B1424" t="inlineStr">
        <is>
          <t>C1423</t>
        </is>
      </c>
      <c r="C1424" t="n">
        <v>1</v>
      </c>
      <c r="D1424" t="inlineStr">
        <is>
          <t>Hub A</t>
        </is>
      </c>
      <c r="E1424" t="n">
        <v>19</v>
      </c>
      <c r="F1424" t="n">
        <v>22</v>
      </c>
    </row>
    <row r="1425">
      <c r="A1425" t="inlineStr">
        <is>
          <t>ORD01424</t>
        </is>
      </c>
      <c r="B1425" t="inlineStr">
        <is>
          <t>C1424</t>
        </is>
      </c>
      <c r="C1425" t="n">
        <v>2</v>
      </c>
      <c r="D1425" t="inlineStr">
        <is>
          <t>Hub A</t>
        </is>
      </c>
      <c r="E1425" t="n">
        <v>26</v>
      </c>
      <c r="F1425" t="n">
        <v>22</v>
      </c>
    </row>
    <row r="1426">
      <c r="A1426" t="inlineStr">
        <is>
          <t>ORD01425</t>
        </is>
      </c>
      <c r="B1426" t="inlineStr">
        <is>
          <t>C1425</t>
        </is>
      </c>
      <c r="C1426" t="n">
        <v>3</v>
      </c>
      <c r="D1426" t="inlineStr">
        <is>
          <t>Hub A</t>
        </is>
      </c>
      <c r="E1426" t="n">
        <v>33</v>
      </c>
      <c r="F1426" t="n">
        <v>22</v>
      </c>
    </row>
    <row r="1427">
      <c r="A1427" t="inlineStr">
        <is>
          <t>ORD01426</t>
        </is>
      </c>
      <c r="B1427" t="inlineStr">
        <is>
          <t>C1426</t>
        </is>
      </c>
      <c r="C1427" t="n">
        <v>1</v>
      </c>
      <c r="D1427" t="inlineStr">
        <is>
          <t>Hub A</t>
        </is>
      </c>
      <c r="E1427" t="n">
        <v>40</v>
      </c>
      <c r="F1427" t="n">
        <v>22</v>
      </c>
    </row>
    <row r="1428">
      <c r="A1428" t="inlineStr">
        <is>
          <t>ORD01427</t>
        </is>
      </c>
      <c r="B1428" t="inlineStr">
        <is>
          <t>C1427</t>
        </is>
      </c>
      <c r="C1428" t="n">
        <v>2</v>
      </c>
      <c r="D1428" t="inlineStr">
        <is>
          <t>Hub A</t>
        </is>
      </c>
      <c r="E1428" t="n">
        <v>47</v>
      </c>
      <c r="F1428" t="n">
        <v>22</v>
      </c>
    </row>
    <row r="1429">
      <c r="A1429" t="inlineStr">
        <is>
          <t>ORD01428</t>
        </is>
      </c>
      <c r="B1429" t="inlineStr">
        <is>
          <t>C1428</t>
        </is>
      </c>
      <c r="C1429" t="n">
        <v>3</v>
      </c>
      <c r="D1429" t="inlineStr">
        <is>
          <t>Hub A</t>
        </is>
      </c>
      <c r="E1429" t="n">
        <v>54</v>
      </c>
      <c r="F1429" t="n">
        <v>22</v>
      </c>
    </row>
    <row r="1430">
      <c r="A1430" t="inlineStr">
        <is>
          <t>ORD01429</t>
        </is>
      </c>
      <c r="B1430" t="inlineStr">
        <is>
          <t>C1429</t>
        </is>
      </c>
      <c r="C1430" t="n">
        <v>1</v>
      </c>
      <c r="D1430" t="inlineStr">
        <is>
          <t>Hub A</t>
        </is>
      </c>
      <c r="E1430" t="n">
        <v>61</v>
      </c>
      <c r="F1430" t="n">
        <v>22</v>
      </c>
    </row>
    <row r="1431">
      <c r="A1431" t="inlineStr">
        <is>
          <t>ORD01430</t>
        </is>
      </c>
      <c r="B1431" t="inlineStr">
        <is>
          <t>C1430</t>
        </is>
      </c>
      <c r="C1431" t="n">
        <v>2</v>
      </c>
      <c r="D1431" t="inlineStr">
        <is>
          <t>Hub A</t>
        </is>
      </c>
      <c r="E1431" t="n">
        <v>68</v>
      </c>
      <c r="F1431" t="n">
        <v>22</v>
      </c>
    </row>
    <row r="1432">
      <c r="A1432" t="inlineStr">
        <is>
          <t>ORD01431</t>
        </is>
      </c>
      <c r="B1432" t="inlineStr">
        <is>
          <t>C1431</t>
        </is>
      </c>
      <c r="C1432" t="n">
        <v>3</v>
      </c>
      <c r="D1432" t="inlineStr">
        <is>
          <t>Hub A</t>
        </is>
      </c>
      <c r="E1432" t="n">
        <v>75</v>
      </c>
      <c r="F1432" t="n">
        <v>22</v>
      </c>
    </row>
    <row r="1433">
      <c r="A1433" t="inlineStr">
        <is>
          <t>ORD01432</t>
        </is>
      </c>
      <c r="B1433" t="inlineStr">
        <is>
          <t>C1432</t>
        </is>
      </c>
      <c r="C1433" t="n">
        <v>1</v>
      </c>
      <c r="D1433" t="inlineStr">
        <is>
          <t>Hub A</t>
        </is>
      </c>
      <c r="E1433" t="n">
        <v>22</v>
      </c>
      <c r="F1433" t="n">
        <v>22</v>
      </c>
    </row>
    <row r="1434">
      <c r="A1434" t="inlineStr">
        <is>
          <t>ORD01433</t>
        </is>
      </c>
      <c r="B1434" t="inlineStr">
        <is>
          <t>C1433</t>
        </is>
      </c>
      <c r="C1434" t="n">
        <v>2</v>
      </c>
      <c r="D1434" t="inlineStr">
        <is>
          <t>Hub A</t>
        </is>
      </c>
      <c r="E1434" t="n">
        <v>29</v>
      </c>
      <c r="F1434" t="n">
        <v>22</v>
      </c>
    </row>
    <row r="1435">
      <c r="A1435" t="inlineStr">
        <is>
          <t>ORD01434</t>
        </is>
      </c>
      <c r="B1435" t="inlineStr">
        <is>
          <t>C1434</t>
        </is>
      </c>
      <c r="C1435" t="n">
        <v>3</v>
      </c>
      <c r="D1435" t="inlineStr">
        <is>
          <t>Hub A</t>
        </is>
      </c>
      <c r="E1435" t="n">
        <v>36</v>
      </c>
      <c r="F1435" t="n">
        <v>22</v>
      </c>
    </row>
    <row r="1436">
      <c r="A1436" t="inlineStr">
        <is>
          <t>ORD01435</t>
        </is>
      </c>
      <c r="B1436" t="inlineStr">
        <is>
          <t>C1435</t>
        </is>
      </c>
      <c r="C1436" t="n">
        <v>1</v>
      </c>
      <c r="D1436" t="inlineStr">
        <is>
          <t>Hub A</t>
        </is>
      </c>
      <c r="E1436" t="n">
        <v>43</v>
      </c>
      <c r="F1436" t="n">
        <v>22</v>
      </c>
    </row>
    <row r="1437">
      <c r="A1437" t="inlineStr">
        <is>
          <t>ORD01436</t>
        </is>
      </c>
      <c r="B1437" t="inlineStr">
        <is>
          <t>C1436</t>
        </is>
      </c>
      <c r="C1437" t="n">
        <v>2</v>
      </c>
      <c r="D1437" t="inlineStr">
        <is>
          <t>Hub A</t>
        </is>
      </c>
      <c r="E1437" t="n">
        <v>50</v>
      </c>
      <c r="F1437" t="n">
        <v>22</v>
      </c>
    </row>
    <row r="1438">
      <c r="A1438" t="inlineStr">
        <is>
          <t>ORD01437</t>
        </is>
      </c>
      <c r="B1438" t="inlineStr">
        <is>
          <t>C1437</t>
        </is>
      </c>
      <c r="C1438" t="n">
        <v>3</v>
      </c>
      <c r="D1438" t="inlineStr">
        <is>
          <t>Hub A</t>
        </is>
      </c>
      <c r="E1438" t="n">
        <v>57</v>
      </c>
      <c r="F1438" t="n">
        <v>22</v>
      </c>
    </row>
    <row r="1439">
      <c r="A1439" t="inlineStr">
        <is>
          <t>ORD01438</t>
        </is>
      </c>
      <c r="B1439" t="inlineStr">
        <is>
          <t>C1438</t>
        </is>
      </c>
      <c r="C1439" t="n">
        <v>1</v>
      </c>
      <c r="D1439" t="inlineStr">
        <is>
          <t>Hub A</t>
        </is>
      </c>
      <c r="E1439" t="n">
        <v>64</v>
      </c>
      <c r="F1439" t="n">
        <v>22</v>
      </c>
    </row>
    <row r="1440">
      <c r="A1440" t="inlineStr">
        <is>
          <t>ORD01439</t>
        </is>
      </c>
      <c r="B1440" t="inlineStr">
        <is>
          <t>C1439</t>
        </is>
      </c>
      <c r="C1440" t="n">
        <v>2</v>
      </c>
      <c r="D1440" t="inlineStr">
        <is>
          <t>Hub A</t>
        </is>
      </c>
      <c r="E1440" t="n">
        <v>71</v>
      </c>
      <c r="F1440" t="n">
        <v>22</v>
      </c>
    </row>
    <row r="1441">
      <c r="A1441" t="inlineStr">
        <is>
          <t>ORD01440</t>
        </is>
      </c>
      <c r="B1441" t="inlineStr">
        <is>
          <t>C1440</t>
        </is>
      </c>
      <c r="C1441" t="n">
        <v>3</v>
      </c>
      <c r="D1441" t="inlineStr">
        <is>
          <t>Hub A</t>
        </is>
      </c>
      <c r="E1441" t="n">
        <v>18</v>
      </c>
      <c r="F1441" t="n">
        <v>22</v>
      </c>
    </row>
    <row r="1442">
      <c r="A1442" t="inlineStr">
        <is>
          <t>ORD01441</t>
        </is>
      </c>
      <c r="B1442" t="inlineStr">
        <is>
          <t>C1441</t>
        </is>
      </c>
      <c r="C1442" t="n">
        <v>1</v>
      </c>
      <c r="D1442" t="inlineStr">
        <is>
          <t>Hub A</t>
        </is>
      </c>
      <c r="E1442" t="n">
        <v>25</v>
      </c>
      <c r="F1442" t="n">
        <v>22</v>
      </c>
    </row>
    <row r="1443">
      <c r="A1443" t="inlineStr">
        <is>
          <t>ORD01442</t>
        </is>
      </c>
      <c r="B1443" t="inlineStr">
        <is>
          <t>C1442</t>
        </is>
      </c>
      <c r="C1443" t="n">
        <v>2</v>
      </c>
      <c r="D1443" t="inlineStr">
        <is>
          <t>Hub A</t>
        </is>
      </c>
      <c r="E1443" t="n">
        <v>32</v>
      </c>
      <c r="F1443" t="n">
        <v>22</v>
      </c>
    </row>
    <row r="1444">
      <c r="A1444" t="inlineStr">
        <is>
          <t>ORD01443</t>
        </is>
      </c>
      <c r="B1444" t="inlineStr">
        <is>
          <t>C1443</t>
        </is>
      </c>
      <c r="C1444" t="n">
        <v>3</v>
      </c>
      <c r="D1444" t="inlineStr">
        <is>
          <t>Hub A</t>
        </is>
      </c>
      <c r="E1444" t="n">
        <v>39</v>
      </c>
      <c r="F1444" t="n">
        <v>22</v>
      </c>
    </row>
    <row r="1445">
      <c r="A1445" t="inlineStr">
        <is>
          <t>ORD01444</t>
        </is>
      </c>
      <c r="B1445" t="inlineStr">
        <is>
          <t>C1444</t>
        </is>
      </c>
      <c r="C1445" t="n">
        <v>1</v>
      </c>
      <c r="D1445" t="inlineStr">
        <is>
          <t>Hub A</t>
        </is>
      </c>
      <c r="E1445" t="n">
        <v>46</v>
      </c>
      <c r="F1445" t="n">
        <v>22</v>
      </c>
    </row>
    <row r="1446">
      <c r="A1446" t="inlineStr">
        <is>
          <t>ORD01445</t>
        </is>
      </c>
      <c r="B1446" t="inlineStr">
        <is>
          <t>C1445</t>
        </is>
      </c>
      <c r="C1446" t="n">
        <v>2</v>
      </c>
      <c r="D1446" t="inlineStr">
        <is>
          <t>Hub A</t>
        </is>
      </c>
      <c r="E1446" t="n">
        <v>53</v>
      </c>
      <c r="F1446" t="n">
        <v>22</v>
      </c>
    </row>
    <row r="1447">
      <c r="A1447" t="inlineStr">
        <is>
          <t>ORD01446</t>
        </is>
      </c>
      <c r="B1447" t="inlineStr">
        <is>
          <t>C1446</t>
        </is>
      </c>
      <c r="C1447" t="n">
        <v>3</v>
      </c>
      <c r="D1447" t="inlineStr">
        <is>
          <t>Hub A</t>
        </is>
      </c>
      <c r="E1447" t="n">
        <v>60</v>
      </c>
      <c r="F1447" t="n">
        <v>22</v>
      </c>
    </row>
    <row r="1448">
      <c r="A1448" t="inlineStr">
        <is>
          <t>ORD01447</t>
        </is>
      </c>
      <c r="B1448" t="inlineStr">
        <is>
          <t>C1447</t>
        </is>
      </c>
      <c r="C1448" t="n">
        <v>1</v>
      </c>
      <c r="D1448" t="inlineStr">
        <is>
          <t>Hub A</t>
        </is>
      </c>
      <c r="E1448" t="n">
        <v>67</v>
      </c>
      <c r="F1448" t="n">
        <v>22</v>
      </c>
    </row>
    <row r="1449">
      <c r="A1449" t="inlineStr">
        <is>
          <t>ORD01448</t>
        </is>
      </c>
      <c r="B1449" t="inlineStr">
        <is>
          <t>C1448</t>
        </is>
      </c>
      <c r="C1449" t="n">
        <v>2</v>
      </c>
      <c r="D1449" t="inlineStr">
        <is>
          <t>Hub A</t>
        </is>
      </c>
      <c r="E1449" t="n">
        <v>74</v>
      </c>
      <c r="F1449" t="n">
        <v>22</v>
      </c>
    </row>
    <row r="1450">
      <c r="A1450" t="inlineStr">
        <is>
          <t>ORD01449</t>
        </is>
      </c>
      <c r="B1450" t="inlineStr">
        <is>
          <t>C1449</t>
        </is>
      </c>
      <c r="C1450" t="n">
        <v>3</v>
      </c>
      <c r="D1450" t="inlineStr">
        <is>
          <t>Hub A</t>
        </is>
      </c>
      <c r="E1450" t="n">
        <v>21</v>
      </c>
      <c r="F1450" t="n">
        <v>22</v>
      </c>
    </row>
    <row r="1451">
      <c r="A1451" t="inlineStr">
        <is>
          <t>ORD01450</t>
        </is>
      </c>
      <c r="B1451" t="inlineStr">
        <is>
          <t>C1450</t>
        </is>
      </c>
      <c r="C1451" t="n">
        <v>1</v>
      </c>
      <c r="D1451" t="inlineStr">
        <is>
          <t>Hub A</t>
        </is>
      </c>
      <c r="E1451" t="n">
        <v>28</v>
      </c>
      <c r="F1451" t="n">
        <v>22</v>
      </c>
    </row>
    <row r="1452">
      <c r="A1452" t="inlineStr">
        <is>
          <t>ORD01451</t>
        </is>
      </c>
      <c r="B1452" t="inlineStr">
        <is>
          <t>C1451</t>
        </is>
      </c>
      <c r="C1452" t="n">
        <v>2</v>
      </c>
      <c r="D1452" t="inlineStr">
        <is>
          <t>Hub A</t>
        </is>
      </c>
      <c r="E1452" t="n">
        <v>35</v>
      </c>
      <c r="F1452" t="n">
        <v>22</v>
      </c>
    </row>
    <row r="1453">
      <c r="A1453" t="inlineStr">
        <is>
          <t>ORD01452</t>
        </is>
      </c>
      <c r="B1453" t="inlineStr">
        <is>
          <t>C1452</t>
        </is>
      </c>
      <c r="C1453" t="n">
        <v>3</v>
      </c>
      <c r="D1453" t="inlineStr">
        <is>
          <t>Hub A</t>
        </is>
      </c>
      <c r="E1453" t="n">
        <v>42</v>
      </c>
      <c r="F1453" t="n">
        <v>22</v>
      </c>
    </row>
    <row r="1454">
      <c r="A1454" t="inlineStr">
        <is>
          <t>ORD01453</t>
        </is>
      </c>
      <c r="B1454" t="inlineStr">
        <is>
          <t>C1453</t>
        </is>
      </c>
      <c r="C1454" t="n">
        <v>1</v>
      </c>
      <c r="D1454" t="inlineStr">
        <is>
          <t>Hub A</t>
        </is>
      </c>
      <c r="E1454" t="n">
        <v>49</v>
      </c>
      <c r="F1454" t="n">
        <v>22</v>
      </c>
    </row>
    <row r="1455">
      <c r="A1455" t="inlineStr">
        <is>
          <t>ORD01454</t>
        </is>
      </c>
      <c r="B1455" t="inlineStr">
        <is>
          <t>C1454</t>
        </is>
      </c>
      <c r="C1455" t="n">
        <v>2</v>
      </c>
      <c r="D1455" t="inlineStr">
        <is>
          <t>Hub A</t>
        </is>
      </c>
      <c r="E1455" t="n">
        <v>56</v>
      </c>
      <c r="F1455" t="n">
        <v>22</v>
      </c>
    </row>
    <row r="1456">
      <c r="A1456" t="inlineStr">
        <is>
          <t>ORD01455</t>
        </is>
      </c>
      <c r="B1456" t="inlineStr">
        <is>
          <t>C1455</t>
        </is>
      </c>
      <c r="C1456" t="n">
        <v>3</v>
      </c>
      <c r="D1456" t="inlineStr">
        <is>
          <t>Hub A</t>
        </is>
      </c>
      <c r="E1456" t="n">
        <v>63</v>
      </c>
      <c r="F1456" t="n">
        <v>22</v>
      </c>
    </row>
    <row r="1457">
      <c r="A1457" t="inlineStr">
        <is>
          <t>ORD01456</t>
        </is>
      </c>
      <c r="B1457" t="inlineStr">
        <is>
          <t>C1456</t>
        </is>
      </c>
      <c r="C1457" t="n">
        <v>1</v>
      </c>
      <c r="D1457" t="inlineStr">
        <is>
          <t>Hub A</t>
        </is>
      </c>
      <c r="E1457" t="n">
        <v>70</v>
      </c>
      <c r="F1457" t="n">
        <v>22</v>
      </c>
    </row>
    <row r="1458">
      <c r="A1458" t="inlineStr">
        <is>
          <t>ORD01457</t>
        </is>
      </c>
      <c r="B1458" t="inlineStr">
        <is>
          <t>C1457</t>
        </is>
      </c>
      <c r="C1458" t="n">
        <v>2</v>
      </c>
      <c r="D1458" t="inlineStr">
        <is>
          <t>Hub A</t>
        </is>
      </c>
      <c r="E1458" t="n">
        <v>77</v>
      </c>
      <c r="F1458" t="n">
        <v>22</v>
      </c>
    </row>
    <row r="1459">
      <c r="A1459" t="inlineStr">
        <is>
          <t>ORD01458</t>
        </is>
      </c>
      <c r="B1459" t="inlineStr">
        <is>
          <t>C1458</t>
        </is>
      </c>
      <c r="C1459" t="n">
        <v>3</v>
      </c>
      <c r="D1459" t="inlineStr">
        <is>
          <t>Hub A</t>
        </is>
      </c>
      <c r="E1459" t="n">
        <v>24</v>
      </c>
      <c r="F1459" t="n">
        <v>22</v>
      </c>
    </row>
    <row r="1460">
      <c r="A1460" t="inlineStr">
        <is>
          <t>ORD01459</t>
        </is>
      </c>
      <c r="B1460" t="inlineStr">
        <is>
          <t>C1459</t>
        </is>
      </c>
      <c r="C1460" t="n">
        <v>1</v>
      </c>
      <c r="D1460" t="inlineStr">
        <is>
          <t>Hub A</t>
        </is>
      </c>
      <c r="E1460" t="n">
        <v>31</v>
      </c>
      <c r="F1460" t="n">
        <v>22</v>
      </c>
    </row>
    <row r="1461">
      <c r="A1461" t="inlineStr">
        <is>
          <t>ORD01460</t>
        </is>
      </c>
      <c r="B1461" t="inlineStr">
        <is>
          <t>C1460</t>
        </is>
      </c>
      <c r="C1461" t="n">
        <v>2</v>
      </c>
      <c r="D1461" t="inlineStr">
        <is>
          <t>Hub A</t>
        </is>
      </c>
      <c r="E1461" t="n">
        <v>38</v>
      </c>
      <c r="F1461" t="n">
        <v>22</v>
      </c>
    </row>
    <row r="1462">
      <c r="A1462" t="inlineStr">
        <is>
          <t>ORD01461</t>
        </is>
      </c>
      <c r="B1462" t="inlineStr">
        <is>
          <t>C1461</t>
        </is>
      </c>
      <c r="C1462" t="n">
        <v>3</v>
      </c>
      <c r="D1462" t="inlineStr">
        <is>
          <t>Hub A</t>
        </is>
      </c>
      <c r="E1462" t="n">
        <v>45</v>
      </c>
      <c r="F1462" t="n">
        <v>22</v>
      </c>
    </row>
    <row r="1463">
      <c r="A1463" t="inlineStr">
        <is>
          <t>ORD01462</t>
        </is>
      </c>
      <c r="B1463" t="inlineStr">
        <is>
          <t>C1462</t>
        </is>
      </c>
      <c r="C1463" t="n">
        <v>1</v>
      </c>
      <c r="D1463" t="inlineStr">
        <is>
          <t>Hub A</t>
        </is>
      </c>
      <c r="E1463" t="n">
        <v>52</v>
      </c>
      <c r="F1463" t="n">
        <v>22</v>
      </c>
    </row>
    <row r="1464">
      <c r="A1464" t="inlineStr">
        <is>
          <t>ORD01463</t>
        </is>
      </c>
      <c r="B1464" t="inlineStr">
        <is>
          <t>C1463</t>
        </is>
      </c>
      <c r="C1464" t="n">
        <v>2</v>
      </c>
      <c r="D1464" t="inlineStr">
        <is>
          <t>Hub A</t>
        </is>
      </c>
      <c r="E1464" t="n">
        <v>59</v>
      </c>
      <c r="F1464" t="n">
        <v>22</v>
      </c>
    </row>
    <row r="1465">
      <c r="A1465" t="inlineStr">
        <is>
          <t>ORD01464</t>
        </is>
      </c>
      <c r="B1465" t="inlineStr">
        <is>
          <t>C1464</t>
        </is>
      </c>
      <c r="C1465" t="n">
        <v>3</v>
      </c>
      <c r="D1465" t="inlineStr">
        <is>
          <t>Hub A</t>
        </is>
      </c>
      <c r="E1465" t="n">
        <v>66</v>
      </c>
      <c r="F1465" t="n">
        <v>22</v>
      </c>
    </row>
    <row r="1466">
      <c r="A1466" t="inlineStr">
        <is>
          <t>ORD01465</t>
        </is>
      </c>
      <c r="B1466" t="inlineStr">
        <is>
          <t>C1465</t>
        </is>
      </c>
      <c r="C1466" t="n">
        <v>1</v>
      </c>
      <c r="D1466" t="inlineStr">
        <is>
          <t>Hub A</t>
        </is>
      </c>
      <c r="E1466" t="n">
        <v>73</v>
      </c>
      <c r="F1466" t="n">
        <v>22</v>
      </c>
    </row>
    <row r="1467">
      <c r="A1467" t="inlineStr">
        <is>
          <t>ORD01466</t>
        </is>
      </c>
      <c r="B1467" t="inlineStr">
        <is>
          <t>C1466</t>
        </is>
      </c>
      <c r="C1467" t="n">
        <v>2</v>
      </c>
      <c r="D1467" t="inlineStr">
        <is>
          <t>Hub A</t>
        </is>
      </c>
      <c r="E1467" t="n">
        <v>20</v>
      </c>
      <c r="F1467" t="n">
        <v>22</v>
      </c>
    </row>
    <row r="1468">
      <c r="A1468" t="inlineStr">
        <is>
          <t>ORD01467</t>
        </is>
      </c>
      <c r="B1468" t="inlineStr">
        <is>
          <t>C1467</t>
        </is>
      </c>
      <c r="C1468" t="n">
        <v>3</v>
      </c>
      <c r="D1468" t="inlineStr">
        <is>
          <t>Hub A</t>
        </is>
      </c>
      <c r="E1468" t="n">
        <v>27</v>
      </c>
      <c r="F1468" t="n">
        <v>22</v>
      </c>
    </row>
    <row r="1469">
      <c r="A1469" t="inlineStr">
        <is>
          <t>ORD01468</t>
        </is>
      </c>
      <c r="B1469" t="inlineStr">
        <is>
          <t>C1468</t>
        </is>
      </c>
      <c r="C1469" t="n">
        <v>1</v>
      </c>
      <c r="D1469" t="inlineStr">
        <is>
          <t>Hub A</t>
        </is>
      </c>
      <c r="E1469" t="n">
        <v>34</v>
      </c>
      <c r="F1469" t="n">
        <v>22</v>
      </c>
    </row>
    <row r="1470">
      <c r="A1470" t="inlineStr">
        <is>
          <t>ORD01469</t>
        </is>
      </c>
      <c r="B1470" t="inlineStr">
        <is>
          <t>C1469</t>
        </is>
      </c>
      <c r="C1470" t="n">
        <v>2</v>
      </c>
      <c r="D1470" t="inlineStr">
        <is>
          <t>Hub A</t>
        </is>
      </c>
      <c r="E1470" t="n">
        <v>41</v>
      </c>
      <c r="F1470" t="n">
        <v>22</v>
      </c>
    </row>
    <row r="1471">
      <c r="A1471" t="inlineStr">
        <is>
          <t>ORD01470</t>
        </is>
      </c>
      <c r="B1471" t="inlineStr">
        <is>
          <t>C1470</t>
        </is>
      </c>
      <c r="C1471" t="n">
        <v>3</v>
      </c>
      <c r="D1471" t="inlineStr">
        <is>
          <t>Hub A</t>
        </is>
      </c>
      <c r="E1471" t="n">
        <v>48</v>
      </c>
      <c r="F1471" t="n">
        <v>22</v>
      </c>
    </row>
    <row r="1472">
      <c r="A1472" t="inlineStr">
        <is>
          <t>ORD01471</t>
        </is>
      </c>
      <c r="B1472" t="inlineStr">
        <is>
          <t>C1471</t>
        </is>
      </c>
      <c r="C1472" t="n">
        <v>1</v>
      </c>
      <c r="D1472" t="inlineStr">
        <is>
          <t>Hub A</t>
        </is>
      </c>
      <c r="E1472" t="n">
        <v>55</v>
      </c>
      <c r="F1472" t="n">
        <v>22</v>
      </c>
    </row>
    <row r="1473">
      <c r="A1473" t="inlineStr">
        <is>
          <t>ORD01472</t>
        </is>
      </c>
      <c r="B1473" t="inlineStr">
        <is>
          <t>C1472</t>
        </is>
      </c>
      <c r="C1473" t="n">
        <v>2</v>
      </c>
      <c r="D1473" t="inlineStr">
        <is>
          <t>Hub A</t>
        </is>
      </c>
      <c r="E1473" t="n">
        <v>62</v>
      </c>
      <c r="F1473" t="n">
        <v>22</v>
      </c>
    </row>
    <row r="1474">
      <c r="A1474" t="inlineStr">
        <is>
          <t>ORD01473</t>
        </is>
      </c>
      <c r="B1474" t="inlineStr">
        <is>
          <t>C1473</t>
        </is>
      </c>
      <c r="C1474" t="n">
        <v>3</v>
      </c>
      <c r="D1474" t="inlineStr">
        <is>
          <t>Hub A</t>
        </is>
      </c>
      <c r="E1474" t="n">
        <v>69</v>
      </c>
      <c r="F1474" t="n">
        <v>22</v>
      </c>
    </row>
    <row r="1475">
      <c r="A1475" t="inlineStr">
        <is>
          <t>ORD01474</t>
        </is>
      </c>
      <c r="B1475" t="inlineStr">
        <is>
          <t>C1474</t>
        </is>
      </c>
      <c r="C1475" t="n">
        <v>1</v>
      </c>
      <c r="D1475" t="inlineStr">
        <is>
          <t>Hub A</t>
        </is>
      </c>
      <c r="E1475" t="n">
        <v>76</v>
      </c>
      <c r="F1475" t="n">
        <v>22</v>
      </c>
    </row>
    <row r="1476">
      <c r="A1476" t="inlineStr">
        <is>
          <t>ORD01475</t>
        </is>
      </c>
      <c r="B1476" t="inlineStr">
        <is>
          <t>C1475</t>
        </is>
      </c>
      <c r="C1476" t="n">
        <v>2</v>
      </c>
      <c r="D1476" t="inlineStr">
        <is>
          <t>Hub A</t>
        </is>
      </c>
      <c r="E1476" t="n">
        <v>23</v>
      </c>
      <c r="F1476" t="n">
        <v>22</v>
      </c>
    </row>
    <row r="1477">
      <c r="A1477" t="inlineStr">
        <is>
          <t>ORD01476</t>
        </is>
      </c>
      <c r="B1477" t="inlineStr">
        <is>
          <t>C1476</t>
        </is>
      </c>
      <c r="C1477" t="n">
        <v>3</v>
      </c>
      <c r="D1477" t="inlineStr">
        <is>
          <t>Hub A</t>
        </is>
      </c>
      <c r="E1477" t="n">
        <v>30</v>
      </c>
      <c r="F1477" t="n">
        <v>22</v>
      </c>
    </row>
    <row r="1478">
      <c r="A1478" t="inlineStr">
        <is>
          <t>ORD01477</t>
        </is>
      </c>
      <c r="B1478" t="inlineStr">
        <is>
          <t>C1477</t>
        </is>
      </c>
      <c r="C1478" t="n">
        <v>1</v>
      </c>
      <c r="D1478" t="inlineStr">
        <is>
          <t>Hub A</t>
        </is>
      </c>
      <c r="E1478" t="n">
        <v>37</v>
      </c>
      <c r="F1478" t="n">
        <v>22</v>
      </c>
    </row>
    <row r="1479">
      <c r="A1479" t="inlineStr">
        <is>
          <t>ORD01478</t>
        </is>
      </c>
      <c r="B1479" t="inlineStr">
        <is>
          <t>C1478</t>
        </is>
      </c>
      <c r="C1479" t="n">
        <v>2</v>
      </c>
      <c r="D1479" t="inlineStr">
        <is>
          <t>Hub A</t>
        </is>
      </c>
      <c r="E1479" t="n">
        <v>44</v>
      </c>
      <c r="F1479" t="n">
        <v>22</v>
      </c>
    </row>
    <row r="1480">
      <c r="A1480" t="inlineStr">
        <is>
          <t>ORD01479</t>
        </is>
      </c>
      <c r="B1480" t="inlineStr">
        <is>
          <t>C1479</t>
        </is>
      </c>
      <c r="C1480" t="n">
        <v>3</v>
      </c>
      <c r="D1480" t="inlineStr">
        <is>
          <t>Hub A</t>
        </is>
      </c>
      <c r="E1480" t="n">
        <v>51</v>
      </c>
      <c r="F1480" t="n">
        <v>22</v>
      </c>
    </row>
    <row r="1481">
      <c r="A1481" t="inlineStr">
        <is>
          <t>ORD01480</t>
        </is>
      </c>
      <c r="B1481" t="inlineStr">
        <is>
          <t>C1480</t>
        </is>
      </c>
      <c r="C1481" t="n">
        <v>1</v>
      </c>
      <c r="D1481" t="inlineStr">
        <is>
          <t>Hub A</t>
        </is>
      </c>
      <c r="E1481" t="n">
        <v>58</v>
      </c>
      <c r="F1481" t="n">
        <v>22</v>
      </c>
    </row>
    <row r="1482">
      <c r="A1482" t="inlineStr">
        <is>
          <t>ORD01481</t>
        </is>
      </c>
      <c r="B1482" t="inlineStr">
        <is>
          <t>C1481</t>
        </is>
      </c>
      <c r="C1482" t="n">
        <v>2</v>
      </c>
      <c r="D1482" t="inlineStr">
        <is>
          <t>Hub A</t>
        </is>
      </c>
      <c r="E1482" t="n">
        <v>65</v>
      </c>
      <c r="F1482" t="n">
        <v>22</v>
      </c>
    </row>
    <row r="1483">
      <c r="A1483" t="inlineStr">
        <is>
          <t>ORD01482</t>
        </is>
      </c>
      <c r="B1483" t="inlineStr">
        <is>
          <t>C1482</t>
        </is>
      </c>
      <c r="C1483" t="n">
        <v>3</v>
      </c>
      <c r="D1483" t="inlineStr">
        <is>
          <t>Hub A</t>
        </is>
      </c>
      <c r="E1483" t="n">
        <v>72</v>
      </c>
      <c r="F1483" t="n">
        <v>22</v>
      </c>
    </row>
    <row r="1484">
      <c r="A1484" t="inlineStr">
        <is>
          <t>ORD01483</t>
        </is>
      </c>
      <c r="B1484" t="inlineStr">
        <is>
          <t>C1483</t>
        </is>
      </c>
      <c r="C1484" t="n">
        <v>1</v>
      </c>
      <c r="D1484" t="inlineStr">
        <is>
          <t>Hub A</t>
        </is>
      </c>
      <c r="E1484" t="n">
        <v>19</v>
      </c>
      <c r="F1484" t="n">
        <v>22</v>
      </c>
    </row>
    <row r="1485">
      <c r="A1485" t="inlineStr">
        <is>
          <t>ORD01484</t>
        </is>
      </c>
      <c r="B1485" t="inlineStr">
        <is>
          <t>C1484</t>
        </is>
      </c>
      <c r="C1485" t="n">
        <v>2</v>
      </c>
      <c r="D1485" t="inlineStr">
        <is>
          <t>Hub A</t>
        </is>
      </c>
      <c r="E1485" t="n">
        <v>26</v>
      </c>
      <c r="F1485" t="n">
        <v>22</v>
      </c>
    </row>
    <row r="1486">
      <c r="A1486" t="inlineStr">
        <is>
          <t>ORD01485</t>
        </is>
      </c>
      <c r="B1486" t="inlineStr">
        <is>
          <t>C1485</t>
        </is>
      </c>
      <c r="C1486" t="n">
        <v>3</v>
      </c>
      <c r="D1486" t="inlineStr">
        <is>
          <t>Hub A</t>
        </is>
      </c>
      <c r="E1486" t="n">
        <v>33</v>
      </c>
      <c r="F1486" t="n">
        <v>22</v>
      </c>
    </row>
    <row r="1487">
      <c r="A1487" t="inlineStr">
        <is>
          <t>ORD01486</t>
        </is>
      </c>
      <c r="B1487" t="inlineStr">
        <is>
          <t>C1486</t>
        </is>
      </c>
      <c r="C1487" t="n">
        <v>1</v>
      </c>
      <c r="D1487" t="inlineStr">
        <is>
          <t>Hub A</t>
        </is>
      </c>
      <c r="E1487" t="n">
        <v>40</v>
      </c>
      <c r="F1487" t="n">
        <v>22</v>
      </c>
    </row>
    <row r="1488">
      <c r="A1488" t="inlineStr">
        <is>
          <t>ORD01487</t>
        </is>
      </c>
      <c r="B1488" t="inlineStr">
        <is>
          <t>C1487</t>
        </is>
      </c>
      <c r="C1488" t="n">
        <v>2</v>
      </c>
      <c r="D1488" t="inlineStr">
        <is>
          <t>Hub A</t>
        </is>
      </c>
      <c r="E1488" t="n">
        <v>47</v>
      </c>
      <c r="F1488" t="n">
        <v>22</v>
      </c>
    </row>
    <row r="1489">
      <c r="A1489" t="inlineStr">
        <is>
          <t>ORD01488</t>
        </is>
      </c>
      <c r="B1489" t="inlineStr">
        <is>
          <t>C1488</t>
        </is>
      </c>
      <c r="C1489" t="n">
        <v>3</v>
      </c>
      <c r="D1489" t="inlineStr">
        <is>
          <t>Hub A</t>
        </is>
      </c>
      <c r="E1489" t="n">
        <v>54</v>
      </c>
      <c r="F1489" t="n">
        <v>22</v>
      </c>
    </row>
    <row r="1490">
      <c r="A1490" t="inlineStr">
        <is>
          <t>ORD01489</t>
        </is>
      </c>
      <c r="B1490" t="inlineStr">
        <is>
          <t>C1489</t>
        </is>
      </c>
      <c r="C1490" t="n">
        <v>1</v>
      </c>
      <c r="D1490" t="inlineStr">
        <is>
          <t>Hub A</t>
        </is>
      </c>
      <c r="E1490" t="n">
        <v>61</v>
      </c>
      <c r="F1490" t="n">
        <v>22</v>
      </c>
    </row>
    <row r="1491">
      <c r="A1491" t="inlineStr">
        <is>
          <t>ORD01490</t>
        </is>
      </c>
      <c r="B1491" t="inlineStr">
        <is>
          <t>C1490</t>
        </is>
      </c>
      <c r="C1491" t="n">
        <v>2</v>
      </c>
      <c r="D1491" t="inlineStr">
        <is>
          <t>Hub A</t>
        </is>
      </c>
      <c r="E1491" t="n">
        <v>68</v>
      </c>
      <c r="F1491" t="n">
        <v>22</v>
      </c>
    </row>
    <row r="1492">
      <c r="A1492" t="inlineStr">
        <is>
          <t>ORD01491</t>
        </is>
      </c>
      <c r="B1492" t="inlineStr">
        <is>
          <t>C1491</t>
        </is>
      </c>
      <c r="C1492" t="n">
        <v>3</v>
      </c>
      <c r="D1492" t="inlineStr">
        <is>
          <t>Hub A</t>
        </is>
      </c>
      <c r="E1492" t="n">
        <v>75</v>
      </c>
      <c r="F1492" t="n">
        <v>22</v>
      </c>
    </row>
    <row r="1493">
      <c r="A1493" t="inlineStr">
        <is>
          <t>ORD01492</t>
        </is>
      </c>
      <c r="B1493" t="inlineStr">
        <is>
          <t>C1492</t>
        </is>
      </c>
      <c r="C1493" t="n">
        <v>1</v>
      </c>
      <c r="D1493" t="inlineStr">
        <is>
          <t>Hub A</t>
        </is>
      </c>
      <c r="E1493" t="n">
        <v>22</v>
      </c>
      <c r="F1493" t="n">
        <v>22</v>
      </c>
    </row>
    <row r="1494">
      <c r="A1494" t="inlineStr">
        <is>
          <t>ORD01493</t>
        </is>
      </c>
      <c r="B1494" t="inlineStr">
        <is>
          <t>C1493</t>
        </is>
      </c>
      <c r="C1494" t="n">
        <v>2</v>
      </c>
      <c r="D1494" t="inlineStr">
        <is>
          <t>Hub A</t>
        </is>
      </c>
      <c r="E1494" t="n">
        <v>29</v>
      </c>
      <c r="F1494" t="n">
        <v>22</v>
      </c>
    </row>
    <row r="1495">
      <c r="A1495" t="inlineStr">
        <is>
          <t>ORD01494</t>
        </is>
      </c>
      <c r="B1495" t="inlineStr">
        <is>
          <t>C1494</t>
        </is>
      </c>
      <c r="C1495" t="n">
        <v>3</v>
      </c>
      <c r="D1495" t="inlineStr">
        <is>
          <t>Hub A</t>
        </is>
      </c>
      <c r="E1495" t="n">
        <v>36</v>
      </c>
      <c r="F1495" t="n">
        <v>22</v>
      </c>
    </row>
    <row r="1496">
      <c r="A1496" t="inlineStr">
        <is>
          <t>ORD01495</t>
        </is>
      </c>
      <c r="B1496" t="inlineStr">
        <is>
          <t>C1495</t>
        </is>
      </c>
      <c r="C1496" t="n">
        <v>1</v>
      </c>
      <c r="D1496" t="inlineStr">
        <is>
          <t>Hub A</t>
        </is>
      </c>
      <c r="E1496" t="n">
        <v>43</v>
      </c>
      <c r="F1496" t="n">
        <v>22</v>
      </c>
    </row>
    <row r="1497">
      <c r="A1497" t="inlineStr">
        <is>
          <t>ORD01496</t>
        </is>
      </c>
      <c r="B1497" t="inlineStr">
        <is>
          <t>C1496</t>
        </is>
      </c>
      <c r="C1497" t="n">
        <v>2</v>
      </c>
      <c r="D1497" t="inlineStr">
        <is>
          <t>Hub A</t>
        </is>
      </c>
      <c r="E1497" t="n">
        <v>50</v>
      </c>
      <c r="F1497" t="n">
        <v>22</v>
      </c>
    </row>
    <row r="1498">
      <c r="A1498" t="inlineStr">
        <is>
          <t>ORD01497</t>
        </is>
      </c>
      <c r="B1498" t="inlineStr">
        <is>
          <t>C1497</t>
        </is>
      </c>
      <c r="C1498" t="n">
        <v>3</v>
      </c>
      <c r="D1498" t="inlineStr">
        <is>
          <t>Hub A</t>
        </is>
      </c>
      <c r="E1498" t="n">
        <v>57</v>
      </c>
      <c r="F1498" t="n">
        <v>22</v>
      </c>
    </row>
    <row r="1499">
      <c r="A1499" t="inlineStr">
        <is>
          <t>ORD01498</t>
        </is>
      </c>
      <c r="B1499" t="inlineStr">
        <is>
          <t>C1498</t>
        </is>
      </c>
      <c r="C1499" t="n">
        <v>1</v>
      </c>
      <c r="D1499" t="inlineStr">
        <is>
          <t>Hub A</t>
        </is>
      </c>
      <c r="E1499" t="n">
        <v>64</v>
      </c>
      <c r="F1499" t="n">
        <v>22</v>
      </c>
    </row>
    <row r="1500">
      <c r="A1500" t="inlineStr">
        <is>
          <t>ORD01499</t>
        </is>
      </c>
      <c r="B1500" t="inlineStr">
        <is>
          <t>C1499</t>
        </is>
      </c>
      <c r="C1500" t="n">
        <v>2</v>
      </c>
      <c r="D1500" t="inlineStr">
        <is>
          <t>Hub A</t>
        </is>
      </c>
      <c r="E1500" t="n">
        <v>71</v>
      </c>
      <c r="F1500" t="n">
        <v>22</v>
      </c>
    </row>
    <row r="1501">
      <c r="A1501" t="inlineStr">
        <is>
          <t>ORD01500</t>
        </is>
      </c>
      <c r="B1501" t="inlineStr">
        <is>
          <t>C1500</t>
        </is>
      </c>
      <c r="C1501" t="n">
        <v>3</v>
      </c>
      <c r="D1501" t="inlineStr">
        <is>
          <t>Hub A</t>
        </is>
      </c>
      <c r="E1501" t="n">
        <v>18</v>
      </c>
      <c r="F1501" t="n">
        <v>22</v>
      </c>
    </row>
    <row r="1502">
      <c r="A1502" t="inlineStr">
        <is>
          <t>ORD01501</t>
        </is>
      </c>
      <c r="B1502" t="inlineStr">
        <is>
          <t>C1501</t>
        </is>
      </c>
      <c r="C1502" t="n">
        <v>1</v>
      </c>
      <c r="D1502" t="inlineStr">
        <is>
          <t>Hub A</t>
        </is>
      </c>
      <c r="E1502" t="n">
        <v>25</v>
      </c>
      <c r="F1502" t="n">
        <v>22</v>
      </c>
    </row>
    <row r="1503">
      <c r="A1503" t="inlineStr">
        <is>
          <t>ORD01502</t>
        </is>
      </c>
      <c r="B1503" t="inlineStr">
        <is>
          <t>C1502</t>
        </is>
      </c>
      <c r="C1503" t="n">
        <v>2</v>
      </c>
      <c r="D1503" t="inlineStr">
        <is>
          <t>Hub A</t>
        </is>
      </c>
      <c r="E1503" t="n">
        <v>32</v>
      </c>
      <c r="F1503" t="n">
        <v>22</v>
      </c>
    </row>
    <row r="1504">
      <c r="A1504" t="inlineStr">
        <is>
          <t>ORD01503</t>
        </is>
      </c>
      <c r="B1504" t="inlineStr">
        <is>
          <t>C1503</t>
        </is>
      </c>
      <c r="C1504" t="n">
        <v>3</v>
      </c>
      <c r="D1504" t="inlineStr">
        <is>
          <t>Hub A</t>
        </is>
      </c>
      <c r="E1504" t="n">
        <v>39</v>
      </c>
      <c r="F1504" t="n">
        <v>22</v>
      </c>
    </row>
    <row r="1505">
      <c r="A1505" t="inlineStr">
        <is>
          <t>ORD01504</t>
        </is>
      </c>
      <c r="B1505" t="inlineStr">
        <is>
          <t>C1504</t>
        </is>
      </c>
      <c r="C1505" t="n">
        <v>1</v>
      </c>
      <c r="D1505" t="inlineStr">
        <is>
          <t>Hub A</t>
        </is>
      </c>
      <c r="E1505" t="n">
        <v>46</v>
      </c>
      <c r="F1505" t="n">
        <v>22</v>
      </c>
    </row>
    <row r="1506">
      <c r="A1506" t="inlineStr">
        <is>
          <t>ORD01505</t>
        </is>
      </c>
      <c r="B1506" t="inlineStr">
        <is>
          <t>C1505</t>
        </is>
      </c>
      <c r="C1506" t="n">
        <v>2</v>
      </c>
      <c r="D1506" t="inlineStr">
        <is>
          <t>Hub A</t>
        </is>
      </c>
      <c r="E1506" t="n">
        <v>53</v>
      </c>
      <c r="F1506" t="n">
        <v>22</v>
      </c>
    </row>
    <row r="1507">
      <c r="A1507" t="inlineStr">
        <is>
          <t>ORD01506</t>
        </is>
      </c>
      <c r="B1507" t="inlineStr">
        <is>
          <t>C1506</t>
        </is>
      </c>
      <c r="C1507" t="n">
        <v>3</v>
      </c>
      <c r="D1507" t="inlineStr">
        <is>
          <t>Hub A</t>
        </is>
      </c>
      <c r="E1507" t="n">
        <v>60</v>
      </c>
      <c r="F1507" t="n">
        <v>22</v>
      </c>
    </row>
    <row r="1508">
      <c r="A1508" t="inlineStr">
        <is>
          <t>ORD01507</t>
        </is>
      </c>
      <c r="B1508" t="inlineStr">
        <is>
          <t>C1507</t>
        </is>
      </c>
      <c r="C1508" t="n">
        <v>1</v>
      </c>
      <c r="D1508" t="inlineStr">
        <is>
          <t>Hub A</t>
        </is>
      </c>
      <c r="E1508" t="n">
        <v>67</v>
      </c>
      <c r="F1508" t="n">
        <v>22</v>
      </c>
    </row>
    <row r="1509">
      <c r="A1509" t="inlineStr">
        <is>
          <t>ORD01508</t>
        </is>
      </c>
      <c r="B1509" t="inlineStr">
        <is>
          <t>C1508</t>
        </is>
      </c>
      <c r="C1509" t="n">
        <v>2</v>
      </c>
      <c r="D1509" t="inlineStr">
        <is>
          <t>Hub A</t>
        </is>
      </c>
      <c r="E1509" t="n">
        <v>74</v>
      </c>
      <c r="F1509" t="n">
        <v>22</v>
      </c>
    </row>
    <row r="1510">
      <c r="A1510" t="inlineStr">
        <is>
          <t>ORD01509</t>
        </is>
      </c>
      <c r="B1510" t="inlineStr">
        <is>
          <t>C1509</t>
        </is>
      </c>
      <c r="C1510" t="n">
        <v>3</v>
      </c>
      <c r="D1510" t="inlineStr">
        <is>
          <t>Hub A</t>
        </is>
      </c>
      <c r="E1510" t="n">
        <v>21</v>
      </c>
      <c r="F1510" t="n">
        <v>22</v>
      </c>
    </row>
    <row r="1511">
      <c r="A1511" t="inlineStr">
        <is>
          <t>ORD01510</t>
        </is>
      </c>
      <c r="B1511" t="inlineStr">
        <is>
          <t>C1510</t>
        </is>
      </c>
      <c r="C1511" t="n">
        <v>1</v>
      </c>
      <c r="D1511" t="inlineStr">
        <is>
          <t>Hub A</t>
        </is>
      </c>
      <c r="E1511" t="n">
        <v>28</v>
      </c>
      <c r="F1511" t="n">
        <v>22</v>
      </c>
    </row>
    <row r="1512">
      <c r="A1512" t="inlineStr">
        <is>
          <t>ORD01511</t>
        </is>
      </c>
      <c r="B1512" t="inlineStr">
        <is>
          <t>C1511</t>
        </is>
      </c>
      <c r="C1512" t="n">
        <v>2</v>
      </c>
      <c r="D1512" t="inlineStr">
        <is>
          <t>Hub A</t>
        </is>
      </c>
      <c r="E1512" t="n">
        <v>35</v>
      </c>
      <c r="F1512" t="n">
        <v>22</v>
      </c>
    </row>
    <row r="1513">
      <c r="A1513" t="inlineStr">
        <is>
          <t>ORD01512</t>
        </is>
      </c>
      <c r="B1513" t="inlineStr">
        <is>
          <t>C1512</t>
        </is>
      </c>
      <c r="C1513" t="n">
        <v>3</v>
      </c>
      <c r="D1513" t="inlineStr">
        <is>
          <t>Hub A</t>
        </is>
      </c>
      <c r="E1513" t="n">
        <v>42</v>
      </c>
      <c r="F1513" t="n">
        <v>22</v>
      </c>
    </row>
    <row r="1514">
      <c r="A1514" t="inlineStr">
        <is>
          <t>ORD01513</t>
        </is>
      </c>
      <c r="B1514" t="inlineStr">
        <is>
          <t>C1513</t>
        </is>
      </c>
      <c r="C1514" t="n">
        <v>1</v>
      </c>
      <c r="D1514" t="inlineStr">
        <is>
          <t>Hub A</t>
        </is>
      </c>
      <c r="E1514" t="n">
        <v>49</v>
      </c>
      <c r="F1514" t="n">
        <v>22</v>
      </c>
    </row>
    <row r="1515">
      <c r="A1515" t="inlineStr">
        <is>
          <t>ORD01514</t>
        </is>
      </c>
      <c r="B1515" t="inlineStr">
        <is>
          <t>C1514</t>
        </is>
      </c>
      <c r="C1515" t="n">
        <v>2</v>
      </c>
      <c r="D1515" t="inlineStr">
        <is>
          <t>Hub A</t>
        </is>
      </c>
      <c r="E1515" t="n">
        <v>56</v>
      </c>
      <c r="F1515" t="n">
        <v>22</v>
      </c>
    </row>
    <row r="1516">
      <c r="A1516" t="inlineStr">
        <is>
          <t>ORD01515</t>
        </is>
      </c>
      <c r="B1516" t="inlineStr">
        <is>
          <t>C1515</t>
        </is>
      </c>
      <c r="C1516" t="n">
        <v>3</v>
      </c>
      <c r="D1516" t="inlineStr">
        <is>
          <t>Hub A</t>
        </is>
      </c>
      <c r="E1516" t="n">
        <v>63</v>
      </c>
      <c r="F1516" t="n">
        <v>22</v>
      </c>
    </row>
    <row r="1517">
      <c r="A1517" t="inlineStr">
        <is>
          <t>ORD01516</t>
        </is>
      </c>
      <c r="B1517" t="inlineStr">
        <is>
          <t>C1516</t>
        </is>
      </c>
      <c r="C1517" t="n">
        <v>1</v>
      </c>
      <c r="D1517" t="inlineStr">
        <is>
          <t>Hub A</t>
        </is>
      </c>
      <c r="E1517" t="n">
        <v>70</v>
      </c>
      <c r="F1517" t="n">
        <v>22</v>
      </c>
    </row>
    <row r="1518">
      <c r="A1518" t="inlineStr">
        <is>
          <t>ORD01517</t>
        </is>
      </c>
      <c r="B1518" t="inlineStr">
        <is>
          <t>C1517</t>
        </is>
      </c>
      <c r="C1518" t="n">
        <v>2</v>
      </c>
      <c r="D1518" t="inlineStr">
        <is>
          <t>Hub A</t>
        </is>
      </c>
      <c r="E1518" t="n">
        <v>77</v>
      </c>
      <c r="F1518" t="n">
        <v>22</v>
      </c>
    </row>
    <row r="1519">
      <c r="A1519" t="inlineStr">
        <is>
          <t>ORD01518</t>
        </is>
      </c>
      <c r="B1519" t="inlineStr">
        <is>
          <t>C1518</t>
        </is>
      </c>
      <c r="C1519" t="n">
        <v>3</v>
      </c>
      <c r="D1519" t="inlineStr">
        <is>
          <t>Hub A</t>
        </is>
      </c>
      <c r="E1519" t="n">
        <v>24</v>
      </c>
      <c r="F1519" t="n">
        <v>22</v>
      </c>
    </row>
    <row r="1520">
      <c r="A1520" t="inlineStr">
        <is>
          <t>ORD01519</t>
        </is>
      </c>
      <c r="B1520" t="inlineStr">
        <is>
          <t>C1519</t>
        </is>
      </c>
      <c r="C1520" t="n">
        <v>1</v>
      </c>
      <c r="D1520" t="inlineStr">
        <is>
          <t>Hub A</t>
        </is>
      </c>
      <c r="E1520" t="n">
        <v>31</v>
      </c>
      <c r="F1520" t="n">
        <v>22</v>
      </c>
    </row>
    <row r="1521">
      <c r="A1521" t="inlineStr">
        <is>
          <t>ORD01520</t>
        </is>
      </c>
      <c r="B1521" t="inlineStr">
        <is>
          <t>C1520</t>
        </is>
      </c>
      <c r="C1521" t="n">
        <v>2</v>
      </c>
      <c r="D1521" t="inlineStr">
        <is>
          <t>Hub A</t>
        </is>
      </c>
      <c r="E1521" t="n">
        <v>38</v>
      </c>
      <c r="F1521" t="n">
        <v>22</v>
      </c>
    </row>
    <row r="1522">
      <c r="A1522" t="inlineStr">
        <is>
          <t>ORD01521</t>
        </is>
      </c>
      <c r="B1522" t="inlineStr">
        <is>
          <t>C1521</t>
        </is>
      </c>
      <c r="C1522" t="n">
        <v>3</v>
      </c>
      <c r="D1522" t="inlineStr">
        <is>
          <t>Hub A</t>
        </is>
      </c>
      <c r="E1522" t="n">
        <v>45</v>
      </c>
      <c r="F1522" t="n">
        <v>22</v>
      </c>
    </row>
    <row r="1523">
      <c r="A1523" t="inlineStr">
        <is>
          <t>ORD01522</t>
        </is>
      </c>
      <c r="B1523" t="inlineStr">
        <is>
          <t>C1522</t>
        </is>
      </c>
      <c r="C1523" t="n">
        <v>1</v>
      </c>
      <c r="D1523" t="inlineStr">
        <is>
          <t>Hub A</t>
        </is>
      </c>
      <c r="E1523" t="n">
        <v>52</v>
      </c>
      <c r="F1523" t="n">
        <v>22</v>
      </c>
    </row>
    <row r="1524">
      <c r="A1524" t="inlineStr">
        <is>
          <t>ORD01523</t>
        </is>
      </c>
      <c r="B1524" t="inlineStr">
        <is>
          <t>C1523</t>
        </is>
      </c>
      <c r="C1524" t="n">
        <v>2</v>
      </c>
      <c r="D1524" t="inlineStr">
        <is>
          <t>Hub A</t>
        </is>
      </c>
      <c r="E1524" t="n">
        <v>59</v>
      </c>
      <c r="F1524" t="n">
        <v>22</v>
      </c>
    </row>
    <row r="1525">
      <c r="A1525" t="inlineStr">
        <is>
          <t>ORD01524</t>
        </is>
      </c>
      <c r="B1525" t="inlineStr">
        <is>
          <t>C1524</t>
        </is>
      </c>
      <c r="C1525" t="n">
        <v>3</v>
      </c>
      <c r="D1525" t="inlineStr">
        <is>
          <t>Hub A</t>
        </is>
      </c>
      <c r="E1525" t="n">
        <v>66</v>
      </c>
      <c r="F1525" t="n">
        <v>22</v>
      </c>
    </row>
    <row r="1526">
      <c r="A1526" t="inlineStr">
        <is>
          <t>ORD01525</t>
        </is>
      </c>
      <c r="B1526" t="inlineStr">
        <is>
          <t>C1525</t>
        </is>
      </c>
      <c r="C1526" t="n">
        <v>1</v>
      </c>
      <c r="D1526" t="inlineStr">
        <is>
          <t>Hub A</t>
        </is>
      </c>
      <c r="E1526" t="n">
        <v>73</v>
      </c>
      <c r="F1526" t="n">
        <v>22</v>
      </c>
    </row>
    <row r="1527">
      <c r="A1527" t="inlineStr">
        <is>
          <t>ORD01526</t>
        </is>
      </c>
      <c r="B1527" t="inlineStr">
        <is>
          <t>C1526</t>
        </is>
      </c>
      <c r="C1527" t="n">
        <v>2</v>
      </c>
      <c r="D1527" t="inlineStr">
        <is>
          <t>Hub A</t>
        </is>
      </c>
      <c r="E1527" t="n">
        <v>20</v>
      </c>
      <c r="F1527" t="n">
        <v>22</v>
      </c>
    </row>
    <row r="1528">
      <c r="A1528" t="inlineStr">
        <is>
          <t>ORD01527</t>
        </is>
      </c>
      <c r="B1528" t="inlineStr">
        <is>
          <t>C1527</t>
        </is>
      </c>
      <c r="C1528" t="n">
        <v>3</v>
      </c>
      <c r="D1528" t="inlineStr">
        <is>
          <t>Hub A</t>
        </is>
      </c>
      <c r="E1528" t="n">
        <v>27</v>
      </c>
      <c r="F1528" t="n">
        <v>22</v>
      </c>
    </row>
    <row r="1529">
      <c r="A1529" t="inlineStr">
        <is>
          <t>ORD01528</t>
        </is>
      </c>
      <c r="B1529" t="inlineStr">
        <is>
          <t>C1528</t>
        </is>
      </c>
      <c r="C1529" t="n">
        <v>1</v>
      </c>
      <c r="D1529" t="inlineStr">
        <is>
          <t>Hub A</t>
        </is>
      </c>
      <c r="E1529" t="n">
        <v>34</v>
      </c>
      <c r="F1529" t="n">
        <v>22</v>
      </c>
    </row>
    <row r="1530">
      <c r="A1530" t="inlineStr">
        <is>
          <t>ORD01529</t>
        </is>
      </c>
      <c r="B1530" t="inlineStr">
        <is>
          <t>C1529</t>
        </is>
      </c>
      <c r="C1530" t="n">
        <v>2</v>
      </c>
      <c r="D1530" t="inlineStr">
        <is>
          <t>Hub A</t>
        </is>
      </c>
      <c r="E1530" t="n">
        <v>41</v>
      </c>
      <c r="F1530" t="n">
        <v>22</v>
      </c>
    </row>
    <row r="1531">
      <c r="A1531" t="inlineStr">
        <is>
          <t>ORD01530</t>
        </is>
      </c>
      <c r="B1531" t="inlineStr">
        <is>
          <t>C1530</t>
        </is>
      </c>
      <c r="C1531" t="n">
        <v>3</v>
      </c>
      <c r="D1531" t="inlineStr">
        <is>
          <t>Hub A</t>
        </is>
      </c>
      <c r="E1531" t="n">
        <v>48</v>
      </c>
      <c r="F1531" t="n">
        <v>22</v>
      </c>
    </row>
    <row r="1532">
      <c r="A1532" t="inlineStr">
        <is>
          <t>ORD01531</t>
        </is>
      </c>
      <c r="B1532" t="inlineStr">
        <is>
          <t>C1531</t>
        </is>
      </c>
      <c r="C1532" t="n">
        <v>1</v>
      </c>
      <c r="D1532" t="inlineStr">
        <is>
          <t>Hub A</t>
        </is>
      </c>
      <c r="E1532" t="n">
        <v>55</v>
      </c>
      <c r="F1532" t="n">
        <v>22</v>
      </c>
    </row>
    <row r="1533">
      <c r="A1533" t="inlineStr">
        <is>
          <t>ORD01532</t>
        </is>
      </c>
      <c r="B1533" t="inlineStr">
        <is>
          <t>C1532</t>
        </is>
      </c>
      <c r="C1533" t="n">
        <v>2</v>
      </c>
      <c r="D1533" t="inlineStr">
        <is>
          <t>Hub A</t>
        </is>
      </c>
      <c r="E1533" t="n">
        <v>62</v>
      </c>
      <c r="F1533" t="n">
        <v>22</v>
      </c>
    </row>
    <row r="1534">
      <c r="A1534" t="inlineStr">
        <is>
          <t>ORD01533</t>
        </is>
      </c>
      <c r="B1534" t="inlineStr">
        <is>
          <t>C1533</t>
        </is>
      </c>
      <c r="C1534" t="n">
        <v>3</v>
      </c>
      <c r="D1534" t="inlineStr">
        <is>
          <t>Hub A</t>
        </is>
      </c>
      <c r="E1534" t="n">
        <v>69</v>
      </c>
      <c r="F1534" t="n">
        <v>22</v>
      </c>
    </row>
    <row r="1535">
      <c r="A1535" t="inlineStr">
        <is>
          <t>ORD01534</t>
        </is>
      </c>
      <c r="B1535" t="inlineStr">
        <is>
          <t>C1534</t>
        </is>
      </c>
      <c r="C1535" t="n">
        <v>1</v>
      </c>
      <c r="D1535" t="inlineStr">
        <is>
          <t>Hub A</t>
        </is>
      </c>
      <c r="E1535" t="n">
        <v>76</v>
      </c>
      <c r="F1535" t="n">
        <v>22</v>
      </c>
    </row>
    <row r="1536">
      <c r="A1536" t="inlineStr">
        <is>
          <t>ORD01535</t>
        </is>
      </c>
      <c r="B1536" t="inlineStr">
        <is>
          <t>C1535</t>
        </is>
      </c>
      <c r="C1536" t="n">
        <v>2</v>
      </c>
      <c r="D1536" t="inlineStr">
        <is>
          <t>Hub A</t>
        </is>
      </c>
      <c r="E1536" t="n">
        <v>23</v>
      </c>
      <c r="F1536" t="n">
        <v>22</v>
      </c>
    </row>
    <row r="1537">
      <c r="A1537" t="inlineStr">
        <is>
          <t>ORD01536</t>
        </is>
      </c>
      <c r="B1537" t="inlineStr">
        <is>
          <t>C1536</t>
        </is>
      </c>
      <c r="C1537" t="n">
        <v>3</v>
      </c>
      <c r="D1537" t="inlineStr">
        <is>
          <t>Hub A</t>
        </is>
      </c>
      <c r="E1537" t="n">
        <v>30</v>
      </c>
      <c r="F1537" t="n">
        <v>22</v>
      </c>
    </row>
    <row r="1538">
      <c r="A1538" t="inlineStr">
        <is>
          <t>ORD01537</t>
        </is>
      </c>
      <c r="B1538" t="inlineStr">
        <is>
          <t>C1537</t>
        </is>
      </c>
      <c r="C1538" t="n">
        <v>1</v>
      </c>
      <c r="D1538" t="inlineStr">
        <is>
          <t>Hub A</t>
        </is>
      </c>
      <c r="E1538" t="n">
        <v>37</v>
      </c>
      <c r="F1538" t="n">
        <v>22</v>
      </c>
    </row>
    <row r="1539">
      <c r="A1539" t="inlineStr">
        <is>
          <t>ORD01538</t>
        </is>
      </c>
      <c r="B1539" t="inlineStr">
        <is>
          <t>C1538</t>
        </is>
      </c>
      <c r="C1539" t="n">
        <v>2</v>
      </c>
      <c r="D1539" t="inlineStr">
        <is>
          <t>Hub A</t>
        </is>
      </c>
      <c r="E1539" t="n">
        <v>44</v>
      </c>
      <c r="F1539" t="n">
        <v>22</v>
      </c>
    </row>
    <row r="1540">
      <c r="A1540" t="inlineStr">
        <is>
          <t>ORD01539</t>
        </is>
      </c>
      <c r="B1540" t="inlineStr">
        <is>
          <t>C1539</t>
        </is>
      </c>
      <c r="C1540" t="n">
        <v>3</v>
      </c>
      <c r="D1540" t="inlineStr">
        <is>
          <t>Hub A</t>
        </is>
      </c>
      <c r="E1540" t="n">
        <v>51</v>
      </c>
      <c r="F1540" t="n">
        <v>22</v>
      </c>
    </row>
    <row r="1541">
      <c r="A1541" t="inlineStr">
        <is>
          <t>ORD01540</t>
        </is>
      </c>
      <c r="B1541" t="inlineStr">
        <is>
          <t>C1540</t>
        </is>
      </c>
      <c r="C1541" t="n">
        <v>1</v>
      </c>
      <c r="D1541" t="inlineStr">
        <is>
          <t>Hub A</t>
        </is>
      </c>
      <c r="E1541" t="n">
        <v>58</v>
      </c>
      <c r="F1541" t="n">
        <v>22</v>
      </c>
    </row>
    <row r="1542">
      <c r="A1542" t="inlineStr">
        <is>
          <t>ORD01541</t>
        </is>
      </c>
      <c r="B1542" t="inlineStr">
        <is>
          <t>C1541</t>
        </is>
      </c>
      <c r="C1542" t="n">
        <v>2</v>
      </c>
      <c r="D1542" t="inlineStr">
        <is>
          <t>Hub A</t>
        </is>
      </c>
      <c r="E1542" t="n">
        <v>65</v>
      </c>
      <c r="F1542" t="n">
        <v>22</v>
      </c>
    </row>
    <row r="1543">
      <c r="A1543" t="inlineStr">
        <is>
          <t>ORD01542</t>
        </is>
      </c>
      <c r="B1543" t="inlineStr">
        <is>
          <t>C1542</t>
        </is>
      </c>
      <c r="C1543" t="n">
        <v>3</v>
      </c>
      <c r="D1543" t="inlineStr">
        <is>
          <t>Hub A</t>
        </is>
      </c>
      <c r="E1543" t="n">
        <v>72</v>
      </c>
      <c r="F1543" t="n">
        <v>22</v>
      </c>
    </row>
    <row r="1544">
      <c r="A1544" t="inlineStr">
        <is>
          <t>ORD01543</t>
        </is>
      </c>
      <c r="B1544" t="inlineStr">
        <is>
          <t>C1543</t>
        </is>
      </c>
      <c r="C1544" t="n">
        <v>1</v>
      </c>
      <c r="D1544" t="inlineStr">
        <is>
          <t>Hub A</t>
        </is>
      </c>
      <c r="E1544" t="n">
        <v>19</v>
      </c>
      <c r="F1544" t="n">
        <v>22</v>
      </c>
    </row>
    <row r="1545">
      <c r="A1545" t="inlineStr">
        <is>
          <t>ORD01544</t>
        </is>
      </c>
      <c r="B1545" t="inlineStr">
        <is>
          <t>C1544</t>
        </is>
      </c>
      <c r="C1545" t="n">
        <v>2</v>
      </c>
      <c r="D1545" t="inlineStr">
        <is>
          <t>Hub A</t>
        </is>
      </c>
      <c r="E1545" t="n">
        <v>26</v>
      </c>
      <c r="F1545" t="n">
        <v>22</v>
      </c>
    </row>
    <row r="1546">
      <c r="A1546" t="inlineStr">
        <is>
          <t>ORD01545</t>
        </is>
      </c>
      <c r="B1546" t="inlineStr">
        <is>
          <t>C1545</t>
        </is>
      </c>
      <c r="C1546" t="n">
        <v>3</v>
      </c>
      <c r="D1546" t="inlineStr">
        <is>
          <t>Hub A</t>
        </is>
      </c>
      <c r="E1546" t="n">
        <v>33</v>
      </c>
      <c r="F1546" t="n">
        <v>22</v>
      </c>
    </row>
    <row r="1547">
      <c r="A1547" t="inlineStr">
        <is>
          <t>ORD01546</t>
        </is>
      </c>
      <c r="B1547" t="inlineStr">
        <is>
          <t>C1546</t>
        </is>
      </c>
      <c r="C1547" t="n">
        <v>1</v>
      </c>
      <c r="D1547" t="inlineStr">
        <is>
          <t>Hub A</t>
        </is>
      </c>
      <c r="E1547" t="n">
        <v>40</v>
      </c>
      <c r="F1547" t="n">
        <v>22</v>
      </c>
    </row>
    <row r="1548">
      <c r="A1548" t="inlineStr">
        <is>
          <t>ORD01547</t>
        </is>
      </c>
      <c r="B1548" t="inlineStr">
        <is>
          <t>C1547</t>
        </is>
      </c>
      <c r="C1548" t="n">
        <v>2</v>
      </c>
      <c r="D1548" t="inlineStr">
        <is>
          <t>Hub A</t>
        </is>
      </c>
      <c r="E1548" t="n">
        <v>47</v>
      </c>
      <c r="F1548" t="n">
        <v>22</v>
      </c>
    </row>
    <row r="1549">
      <c r="A1549" t="inlineStr">
        <is>
          <t>ORD01548</t>
        </is>
      </c>
      <c r="B1549" t="inlineStr">
        <is>
          <t>C1548</t>
        </is>
      </c>
      <c r="C1549" t="n">
        <v>3</v>
      </c>
      <c r="D1549" t="inlineStr">
        <is>
          <t>Hub A</t>
        </is>
      </c>
      <c r="E1549" t="n">
        <v>54</v>
      </c>
      <c r="F1549" t="n">
        <v>22</v>
      </c>
    </row>
    <row r="1550">
      <c r="A1550" t="inlineStr">
        <is>
          <t>ORD01549</t>
        </is>
      </c>
      <c r="B1550" t="inlineStr">
        <is>
          <t>C1549</t>
        </is>
      </c>
      <c r="C1550" t="n">
        <v>1</v>
      </c>
      <c r="D1550" t="inlineStr">
        <is>
          <t>Hub A</t>
        </is>
      </c>
      <c r="E1550" t="n">
        <v>61</v>
      </c>
      <c r="F1550" t="n">
        <v>22</v>
      </c>
    </row>
    <row r="1551">
      <c r="A1551" t="inlineStr">
        <is>
          <t>ORD01550</t>
        </is>
      </c>
      <c r="B1551" t="inlineStr">
        <is>
          <t>C1550</t>
        </is>
      </c>
      <c r="C1551" t="n">
        <v>2</v>
      </c>
      <c r="D1551" t="inlineStr">
        <is>
          <t>Hub A</t>
        </is>
      </c>
      <c r="E1551" t="n">
        <v>68</v>
      </c>
      <c r="F1551" t="n">
        <v>22</v>
      </c>
    </row>
    <row r="1552">
      <c r="A1552" t="inlineStr">
        <is>
          <t>ORD01551</t>
        </is>
      </c>
      <c r="B1552" t="inlineStr">
        <is>
          <t>C1551</t>
        </is>
      </c>
      <c r="C1552" t="n">
        <v>3</v>
      </c>
      <c r="D1552" t="inlineStr">
        <is>
          <t>Hub A</t>
        </is>
      </c>
      <c r="E1552" t="n">
        <v>75</v>
      </c>
      <c r="F1552" t="n">
        <v>22</v>
      </c>
    </row>
    <row r="1553">
      <c r="A1553" t="inlineStr">
        <is>
          <t>ORD01552</t>
        </is>
      </c>
      <c r="B1553" t="inlineStr">
        <is>
          <t>C1552</t>
        </is>
      </c>
      <c r="C1553" t="n">
        <v>1</v>
      </c>
      <c r="D1553" t="inlineStr">
        <is>
          <t>Hub A</t>
        </is>
      </c>
      <c r="E1553" t="n">
        <v>22</v>
      </c>
      <c r="F1553" t="n">
        <v>22</v>
      </c>
    </row>
    <row r="1554">
      <c r="A1554" t="inlineStr">
        <is>
          <t>ORD01553</t>
        </is>
      </c>
      <c r="B1554" t="inlineStr">
        <is>
          <t>C1553</t>
        </is>
      </c>
      <c r="C1554" t="n">
        <v>2</v>
      </c>
      <c r="D1554" t="inlineStr">
        <is>
          <t>Hub A</t>
        </is>
      </c>
      <c r="E1554" t="n">
        <v>29</v>
      </c>
      <c r="F1554" t="n">
        <v>22</v>
      </c>
    </row>
    <row r="1555">
      <c r="A1555" t="inlineStr">
        <is>
          <t>ORD01554</t>
        </is>
      </c>
      <c r="B1555" t="inlineStr">
        <is>
          <t>C1554</t>
        </is>
      </c>
      <c r="C1555" t="n">
        <v>3</v>
      </c>
      <c r="D1555" t="inlineStr">
        <is>
          <t>Hub A</t>
        </is>
      </c>
      <c r="E1555" t="n">
        <v>36</v>
      </c>
      <c r="F1555" t="n">
        <v>22</v>
      </c>
    </row>
    <row r="1556">
      <c r="A1556" t="inlineStr">
        <is>
          <t>ORD01555</t>
        </is>
      </c>
      <c r="B1556" t="inlineStr">
        <is>
          <t>C1555</t>
        </is>
      </c>
      <c r="C1556" t="n">
        <v>1</v>
      </c>
      <c r="D1556" t="inlineStr">
        <is>
          <t>Hub A</t>
        </is>
      </c>
      <c r="E1556" t="n">
        <v>43</v>
      </c>
      <c r="F1556" t="n">
        <v>22</v>
      </c>
    </row>
    <row r="1557">
      <c r="A1557" t="inlineStr">
        <is>
          <t>ORD01556</t>
        </is>
      </c>
      <c r="B1557" t="inlineStr">
        <is>
          <t>C1556</t>
        </is>
      </c>
      <c r="C1557" t="n">
        <v>2</v>
      </c>
      <c r="D1557" t="inlineStr">
        <is>
          <t>Hub A</t>
        </is>
      </c>
      <c r="E1557" t="n">
        <v>50</v>
      </c>
      <c r="F1557" t="n">
        <v>22</v>
      </c>
    </row>
    <row r="1558">
      <c r="A1558" t="inlineStr">
        <is>
          <t>ORD01557</t>
        </is>
      </c>
      <c r="B1558" t="inlineStr">
        <is>
          <t>C1557</t>
        </is>
      </c>
      <c r="C1558" t="n">
        <v>3</v>
      </c>
      <c r="D1558" t="inlineStr">
        <is>
          <t>Hub A</t>
        </is>
      </c>
      <c r="E1558" t="n">
        <v>57</v>
      </c>
      <c r="F1558" t="n">
        <v>22</v>
      </c>
    </row>
    <row r="1559">
      <c r="A1559" t="inlineStr">
        <is>
          <t>ORD01558</t>
        </is>
      </c>
      <c r="B1559" t="inlineStr">
        <is>
          <t>C1558</t>
        </is>
      </c>
      <c r="C1559" t="n">
        <v>1</v>
      </c>
      <c r="D1559" t="inlineStr">
        <is>
          <t>Hub A</t>
        </is>
      </c>
      <c r="E1559" t="n">
        <v>64</v>
      </c>
      <c r="F1559" t="n">
        <v>22</v>
      </c>
    </row>
    <row r="1560">
      <c r="A1560" t="inlineStr">
        <is>
          <t>ORD01559</t>
        </is>
      </c>
      <c r="B1560" t="inlineStr">
        <is>
          <t>C1559</t>
        </is>
      </c>
      <c r="C1560" t="n">
        <v>2</v>
      </c>
      <c r="D1560" t="inlineStr">
        <is>
          <t>Hub A</t>
        </is>
      </c>
      <c r="E1560" t="n">
        <v>71</v>
      </c>
      <c r="F1560" t="n">
        <v>22</v>
      </c>
    </row>
    <row r="1561">
      <c r="A1561" t="inlineStr">
        <is>
          <t>ORD01560</t>
        </is>
      </c>
      <c r="B1561" t="inlineStr">
        <is>
          <t>C1560</t>
        </is>
      </c>
      <c r="C1561" t="n">
        <v>3</v>
      </c>
      <c r="D1561" t="inlineStr">
        <is>
          <t>Hub A</t>
        </is>
      </c>
      <c r="E1561" t="n">
        <v>18</v>
      </c>
      <c r="F1561" t="n">
        <v>22</v>
      </c>
    </row>
    <row r="1562">
      <c r="A1562" t="inlineStr">
        <is>
          <t>ORD01561</t>
        </is>
      </c>
      <c r="B1562" t="inlineStr">
        <is>
          <t>C1561</t>
        </is>
      </c>
      <c r="C1562" t="n">
        <v>1</v>
      </c>
      <c r="D1562" t="inlineStr">
        <is>
          <t>Hub A</t>
        </is>
      </c>
      <c r="E1562" t="n">
        <v>25</v>
      </c>
      <c r="F1562" t="n">
        <v>22</v>
      </c>
    </row>
    <row r="1563">
      <c r="A1563" t="inlineStr">
        <is>
          <t>ORD01562</t>
        </is>
      </c>
      <c r="B1563" t="inlineStr">
        <is>
          <t>C1562</t>
        </is>
      </c>
      <c r="C1563" t="n">
        <v>2</v>
      </c>
      <c r="D1563" t="inlineStr">
        <is>
          <t>Hub A</t>
        </is>
      </c>
      <c r="E1563" t="n">
        <v>32</v>
      </c>
      <c r="F1563" t="n">
        <v>22</v>
      </c>
    </row>
    <row r="1564">
      <c r="A1564" t="inlineStr">
        <is>
          <t>ORD01563</t>
        </is>
      </c>
      <c r="B1564" t="inlineStr">
        <is>
          <t>C1563</t>
        </is>
      </c>
      <c r="C1564" t="n">
        <v>3</v>
      </c>
      <c r="D1564" t="inlineStr">
        <is>
          <t>Hub A</t>
        </is>
      </c>
      <c r="E1564" t="n">
        <v>39</v>
      </c>
      <c r="F1564" t="n">
        <v>22</v>
      </c>
    </row>
    <row r="1565">
      <c r="A1565" t="inlineStr">
        <is>
          <t>ORD01564</t>
        </is>
      </c>
      <c r="B1565" t="inlineStr">
        <is>
          <t>C1564</t>
        </is>
      </c>
      <c r="C1565" t="n">
        <v>1</v>
      </c>
      <c r="D1565" t="inlineStr">
        <is>
          <t>Hub A</t>
        </is>
      </c>
      <c r="E1565" t="n">
        <v>46</v>
      </c>
      <c r="F1565" t="n">
        <v>22</v>
      </c>
    </row>
    <row r="1566">
      <c r="A1566" t="inlineStr">
        <is>
          <t>ORD01565</t>
        </is>
      </c>
      <c r="B1566" t="inlineStr">
        <is>
          <t>C1565</t>
        </is>
      </c>
      <c r="C1566" t="n">
        <v>2</v>
      </c>
      <c r="D1566" t="inlineStr">
        <is>
          <t>Hub A</t>
        </is>
      </c>
      <c r="E1566" t="n">
        <v>53</v>
      </c>
      <c r="F1566" t="n">
        <v>22</v>
      </c>
    </row>
    <row r="1567">
      <c r="A1567" t="inlineStr">
        <is>
          <t>ORD01566</t>
        </is>
      </c>
      <c r="B1567" t="inlineStr">
        <is>
          <t>C1566</t>
        </is>
      </c>
      <c r="C1567" t="n">
        <v>3</v>
      </c>
      <c r="D1567" t="inlineStr">
        <is>
          <t>Hub A</t>
        </is>
      </c>
      <c r="E1567" t="n">
        <v>60</v>
      </c>
      <c r="F1567" t="n">
        <v>22</v>
      </c>
    </row>
    <row r="1568">
      <c r="A1568" t="inlineStr">
        <is>
          <t>ORD01567</t>
        </is>
      </c>
      <c r="B1568" t="inlineStr">
        <is>
          <t>C1567</t>
        </is>
      </c>
      <c r="C1568" t="n">
        <v>1</v>
      </c>
      <c r="D1568" t="inlineStr">
        <is>
          <t>Hub A</t>
        </is>
      </c>
      <c r="E1568" t="n">
        <v>67</v>
      </c>
      <c r="F1568" t="n">
        <v>22</v>
      </c>
    </row>
    <row r="1569">
      <c r="A1569" t="inlineStr">
        <is>
          <t>ORD01568</t>
        </is>
      </c>
      <c r="B1569" t="inlineStr">
        <is>
          <t>C1568</t>
        </is>
      </c>
      <c r="C1569" t="n">
        <v>2</v>
      </c>
      <c r="D1569" t="inlineStr">
        <is>
          <t>Hub A</t>
        </is>
      </c>
      <c r="E1569" t="n">
        <v>74</v>
      </c>
      <c r="F1569" t="n">
        <v>22</v>
      </c>
    </row>
    <row r="1570">
      <c r="A1570" t="inlineStr">
        <is>
          <t>ORD01569</t>
        </is>
      </c>
      <c r="B1570" t="inlineStr">
        <is>
          <t>C1569</t>
        </is>
      </c>
      <c r="C1570" t="n">
        <v>3</v>
      </c>
      <c r="D1570" t="inlineStr">
        <is>
          <t>Hub A</t>
        </is>
      </c>
      <c r="E1570" t="n">
        <v>21</v>
      </c>
      <c r="F1570" t="n">
        <v>22</v>
      </c>
    </row>
    <row r="1571">
      <c r="A1571" t="inlineStr">
        <is>
          <t>ORD01570</t>
        </is>
      </c>
      <c r="B1571" t="inlineStr">
        <is>
          <t>C1570</t>
        </is>
      </c>
      <c r="C1571" t="n">
        <v>1</v>
      </c>
      <c r="D1571" t="inlineStr">
        <is>
          <t>Hub A</t>
        </is>
      </c>
      <c r="E1571" t="n">
        <v>28</v>
      </c>
      <c r="F1571" t="n">
        <v>22</v>
      </c>
    </row>
    <row r="1572">
      <c r="A1572" t="inlineStr">
        <is>
          <t>ORD01571</t>
        </is>
      </c>
      <c r="B1572" t="inlineStr">
        <is>
          <t>C1571</t>
        </is>
      </c>
      <c r="C1572" t="n">
        <v>2</v>
      </c>
      <c r="D1572" t="inlineStr">
        <is>
          <t>Hub A</t>
        </is>
      </c>
      <c r="E1572" t="n">
        <v>35</v>
      </c>
      <c r="F1572" t="n">
        <v>22</v>
      </c>
    </row>
    <row r="1573">
      <c r="A1573" t="inlineStr">
        <is>
          <t>ORD01572</t>
        </is>
      </c>
      <c r="B1573" t="inlineStr">
        <is>
          <t>C1572</t>
        </is>
      </c>
      <c r="C1573" t="n">
        <v>3</v>
      </c>
      <c r="D1573" t="inlineStr">
        <is>
          <t>Hub A</t>
        </is>
      </c>
      <c r="E1573" t="n">
        <v>42</v>
      </c>
      <c r="F1573" t="n">
        <v>22</v>
      </c>
    </row>
    <row r="1574">
      <c r="A1574" t="inlineStr">
        <is>
          <t>ORD01573</t>
        </is>
      </c>
      <c r="B1574" t="inlineStr">
        <is>
          <t>C1573</t>
        </is>
      </c>
      <c r="C1574" t="n">
        <v>1</v>
      </c>
      <c r="D1574" t="inlineStr">
        <is>
          <t>Hub A</t>
        </is>
      </c>
      <c r="E1574" t="n">
        <v>49</v>
      </c>
      <c r="F1574" t="n">
        <v>22</v>
      </c>
    </row>
    <row r="1575">
      <c r="A1575" t="inlineStr">
        <is>
          <t>ORD01574</t>
        </is>
      </c>
      <c r="B1575" t="inlineStr">
        <is>
          <t>C1574</t>
        </is>
      </c>
      <c r="C1575" t="n">
        <v>2</v>
      </c>
      <c r="D1575" t="inlineStr">
        <is>
          <t>Hub A</t>
        </is>
      </c>
      <c r="E1575" t="n">
        <v>56</v>
      </c>
      <c r="F1575" t="n">
        <v>22</v>
      </c>
    </row>
    <row r="1576">
      <c r="A1576" t="inlineStr">
        <is>
          <t>ORD01575</t>
        </is>
      </c>
      <c r="B1576" t="inlineStr">
        <is>
          <t>C1575</t>
        </is>
      </c>
      <c r="C1576" t="n">
        <v>3</v>
      </c>
      <c r="D1576" t="inlineStr">
        <is>
          <t>Hub A</t>
        </is>
      </c>
      <c r="E1576" t="n">
        <v>63</v>
      </c>
      <c r="F1576" t="n">
        <v>22</v>
      </c>
    </row>
    <row r="1577">
      <c r="A1577" t="inlineStr">
        <is>
          <t>ORD01576</t>
        </is>
      </c>
      <c r="B1577" t="inlineStr">
        <is>
          <t>C1576</t>
        </is>
      </c>
      <c r="C1577" t="n">
        <v>1</v>
      </c>
      <c r="D1577" t="inlineStr">
        <is>
          <t>Hub A</t>
        </is>
      </c>
      <c r="E1577" t="n">
        <v>70</v>
      </c>
      <c r="F1577" t="n">
        <v>22</v>
      </c>
    </row>
    <row r="1578">
      <c r="A1578" t="inlineStr">
        <is>
          <t>ORD01577</t>
        </is>
      </c>
      <c r="B1578" t="inlineStr">
        <is>
          <t>C1577</t>
        </is>
      </c>
      <c r="C1578" t="n">
        <v>2</v>
      </c>
      <c r="D1578" t="inlineStr">
        <is>
          <t>Hub A</t>
        </is>
      </c>
      <c r="E1578" t="n">
        <v>77</v>
      </c>
      <c r="F1578" t="n">
        <v>22</v>
      </c>
    </row>
    <row r="1579">
      <c r="A1579" t="inlineStr">
        <is>
          <t>ORD01578</t>
        </is>
      </c>
      <c r="B1579" t="inlineStr">
        <is>
          <t>C1578</t>
        </is>
      </c>
      <c r="C1579" t="n">
        <v>3</v>
      </c>
      <c r="D1579" t="inlineStr">
        <is>
          <t>Hub A</t>
        </is>
      </c>
      <c r="E1579" t="n">
        <v>24</v>
      </c>
      <c r="F1579" t="n">
        <v>22</v>
      </c>
    </row>
    <row r="1580">
      <c r="A1580" t="inlineStr">
        <is>
          <t>ORD01579</t>
        </is>
      </c>
      <c r="B1580" t="inlineStr">
        <is>
          <t>C1579</t>
        </is>
      </c>
      <c r="C1580" t="n">
        <v>1</v>
      </c>
      <c r="D1580" t="inlineStr">
        <is>
          <t>Hub A</t>
        </is>
      </c>
      <c r="E1580" t="n">
        <v>31</v>
      </c>
      <c r="F1580" t="n">
        <v>22</v>
      </c>
    </row>
    <row r="1581">
      <c r="A1581" t="inlineStr">
        <is>
          <t>ORD01580</t>
        </is>
      </c>
      <c r="B1581" t="inlineStr">
        <is>
          <t>C1580</t>
        </is>
      </c>
      <c r="C1581" t="n">
        <v>2</v>
      </c>
      <c r="D1581" t="inlineStr">
        <is>
          <t>Hub A</t>
        </is>
      </c>
      <c r="E1581" t="n">
        <v>38</v>
      </c>
      <c r="F1581" t="n">
        <v>22</v>
      </c>
    </row>
    <row r="1582">
      <c r="A1582" t="inlineStr">
        <is>
          <t>ORD01581</t>
        </is>
      </c>
      <c r="B1582" t="inlineStr">
        <is>
          <t>C1581</t>
        </is>
      </c>
      <c r="C1582" t="n">
        <v>3</v>
      </c>
      <c r="D1582" t="inlineStr">
        <is>
          <t>Hub A</t>
        </is>
      </c>
      <c r="E1582" t="n">
        <v>45</v>
      </c>
      <c r="F1582" t="n">
        <v>22</v>
      </c>
    </row>
    <row r="1583">
      <c r="A1583" t="inlineStr">
        <is>
          <t>ORD01582</t>
        </is>
      </c>
      <c r="B1583" t="inlineStr">
        <is>
          <t>C1582</t>
        </is>
      </c>
      <c r="C1583" t="n">
        <v>1</v>
      </c>
      <c r="D1583" t="inlineStr">
        <is>
          <t>Hub A</t>
        </is>
      </c>
      <c r="E1583" t="n">
        <v>52</v>
      </c>
      <c r="F1583" t="n">
        <v>22</v>
      </c>
    </row>
    <row r="1584">
      <c r="A1584" t="inlineStr">
        <is>
          <t>ORD01583</t>
        </is>
      </c>
      <c r="B1584" t="inlineStr">
        <is>
          <t>C1583</t>
        </is>
      </c>
      <c r="C1584" t="n">
        <v>2</v>
      </c>
      <c r="D1584" t="inlineStr">
        <is>
          <t>Hub A</t>
        </is>
      </c>
      <c r="E1584" t="n">
        <v>59</v>
      </c>
      <c r="F1584" t="n">
        <v>22</v>
      </c>
    </row>
    <row r="1585">
      <c r="A1585" t="inlineStr">
        <is>
          <t>ORD01584</t>
        </is>
      </c>
      <c r="B1585" t="inlineStr">
        <is>
          <t>C1584</t>
        </is>
      </c>
      <c r="C1585" t="n">
        <v>3</v>
      </c>
      <c r="D1585" t="inlineStr">
        <is>
          <t>Hub A</t>
        </is>
      </c>
      <c r="E1585" t="n">
        <v>66</v>
      </c>
      <c r="F1585" t="n">
        <v>22</v>
      </c>
    </row>
    <row r="1586">
      <c r="A1586" t="inlineStr">
        <is>
          <t>ORD01585</t>
        </is>
      </c>
      <c r="B1586" t="inlineStr">
        <is>
          <t>C1585</t>
        </is>
      </c>
      <c r="C1586" t="n">
        <v>1</v>
      </c>
      <c r="D1586" t="inlineStr">
        <is>
          <t>Hub A</t>
        </is>
      </c>
      <c r="E1586" t="n">
        <v>73</v>
      </c>
      <c r="F1586" t="n">
        <v>22</v>
      </c>
    </row>
    <row r="1587">
      <c r="A1587" t="inlineStr">
        <is>
          <t>ORD01586</t>
        </is>
      </c>
      <c r="B1587" t="inlineStr">
        <is>
          <t>C1586</t>
        </is>
      </c>
      <c r="C1587" t="n">
        <v>2</v>
      </c>
      <c r="D1587" t="inlineStr">
        <is>
          <t>Hub A</t>
        </is>
      </c>
      <c r="E1587" t="n">
        <v>20</v>
      </c>
      <c r="F1587" t="n">
        <v>22</v>
      </c>
    </row>
    <row r="1588">
      <c r="A1588" t="inlineStr">
        <is>
          <t>ORD01587</t>
        </is>
      </c>
      <c r="B1588" t="inlineStr">
        <is>
          <t>C1587</t>
        </is>
      </c>
      <c r="C1588" t="n">
        <v>3</v>
      </c>
      <c r="D1588" t="inlineStr">
        <is>
          <t>Hub A</t>
        </is>
      </c>
      <c r="E1588" t="n">
        <v>27</v>
      </c>
      <c r="F1588" t="n">
        <v>22</v>
      </c>
    </row>
    <row r="1589">
      <c r="A1589" t="inlineStr">
        <is>
          <t>ORD01588</t>
        </is>
      </c>
      <c r="B1589" t="inlineStr">
        <is>
          <t>C1588</t>
        </is>
      </c>
      <c r="C1589" t="n">
        <v>1</v>
      </c>
      <c r="D1589" t="inlineStr">
        <is>
          <t>Hub A</t>
        </is>
      </c>
      <c r="E1589" t="n">
        <v>34</v>
      </c>
      <c r="F1589" t="n">
        <v>22</v>
      </c>
    </row>
    <row r="1590">
      <c r="A1590" t="inlineStr">
        <is>
          <t>ORD01589</t>
        </is>
      </c>
      <c r="B1590" t="inlineStr">
        <is>
          <t>C1589</t>
        </is>
      </c>
      <c r="C1590" t="n">
        <v>2</v>
      </c>
      <c r="D1590" t="inlineStr">
        <is>
          <t>Hub A</t>
        </is>
      </c>
      <c r="E1590" t="n">
        <v>41</v>
      </c>
      <c r="F1590" t="n">
        <v>22</v>
      </c>
    </row>
    <row r="1591">
      <c r="A1591" t="inlineStr">
        <is>
          <t>ORD01590</t>
        </is>
      </c>
      <c r="B1591" t="inlineStr">
        <is>
          <t>C1590</t>
        </is>
      </c>
      <c r="C1591" t="n">
        <v>3</v>
      </c>
      <c r="D1591" t="inlineStr">
        <is>
          <t>Hub A</t>
        </is>
      </c>
      <c r="E1591" t="n">
        <v>48</v>
      </c>
      <c r="F1591" t="n">
        <v>22</v>
      </c>
    </row>
    <row r="1592">
      <c r="A1592" t="inlineStr">
        <is>
          <t>ORD01591</t>
        </is>
      </c>
      <c r="B1592" t="inlineStr">
        <is>
          <t>C1591</t>
        </is>
      </c>
      <c r="C1592" t="n">
        <v>1</v>
      </c>
      <c r="D1592" t="inlineStr">
        <is>
          <t>Hub A</t>
        </is>
      </c>
      <c r="E1592" t="n">
        <v>55</v>
      </c>
      <c r="F1592" t="n">
        <v>22</v>
      </c>
    </row>
    <row r="1593">
      <c r="A1593" t="inlineStr">
        <is>
          <t>ORD01592</t>
        </is>
      </c>
      <c r="B1593" t="inlineStr">
        <is>
          <t>C1592</t>
        </is>
      </c>
      <c r="C1593" t="n">
        <v>2</v>
      </c>
      <c r="D1593" t="inlineStr">
        <is>
          <t>Hub A</t>
        </is>
      </c>
      <c r="E1593" t="n">
        <v>62</v>
      </c>
      <c r="F1593" t="n">
        <v>22</v>
      </c>
    </row>
    <row r="1594">
      <c r="A1594" t="inlineStr">
        <is>
          <t>ORD01593</t>
        </is>
      </c>
      <c r="B1594" t="inlineStr">
        <is>
          <t>C1593</t>
        </is>
      </c>
      <c r="C1594" t="n">
        <v>3</v>
      </c>
      <c r="D1594" t="inlineStr">
        <is>
          <t>Hub A</t>
        </is>
      </c>
      <c r="E1594" t="n">
        <v>69</v>
      </c>
      <c r="F1594" t="n">
        <v>22</v>
      </c>
    </row>
    <row r="1595">
      <c r="A1595" t="inlineStr">
        <is>
          <t>ORD01594</t>
        </is>
      </c>
      <c r="B1595" t="inlineStr">
        <is>
          <t>C1594</t>
        </is>
      </c>
      <c r="C1595" t="n">
        <v>1</v>
      </c>
      <c r="D1595" t="inlineStr">
        <is>
          <t>Hub A</t>
        </is>
      </c>
      <c r="E1595" t="n">
        <v>76</v>
      </c>
      <c r="F1595" t="n">
        <v>22</v>
      </c>
    </row>
    <row r="1596">
      <c r="A1596" t="inlineStr">
        <is>
          <t>ORD01595</t>
        </is>
      </c>
      <c r="B1596" t="inlineStr">
        <is>
          <t>C1595</t>
        </is>
      </c>
      <c r="C1596" t="n">
        <v>2</v>
      </c>
      <c r="D1596" t="inlineStr">
        <is>
          <t>Hub A</t>
        </is>
      </c>
      <c r="E1596" t="n">
        <v>23</v>
      </c>
      <c r="F1596" t="n">
        <v>22</v>
      </c>
    </row>
    <row r="1597">
      <c r="A1597" t="inlineStr">
        <is>
          <t>ORD01596</t>
        </is>
      </c>
      <c r="B1597" t="inlineStr">
        <is>
          <t>C1596</t>
        </is>
      </c>
      <c r="C1597" t="n">
        <v>3</v>
      </c>
      <c r="D1597" t="inlineStr">
        <is>
          <t>Hub A</t>
        </is>
      </c>
      <c r="E1597" t="n">
        <v>30</v>
      </c>
      <c r="F1597" t="n">
        <v>22</v>
      </c>
    </row>
    <row r="1598">
      <c r="A1598" t="inlineStr">
        <is>
          <t>ORD01597</t>
        </is>
      </c>
      <c r="B1598" t="inlineStr">
        <is>
          <t>C1597</t>
        </is>
      </c>
      <c r="C1598" t="n">
        <v>1</v>
      </c>
      <c r="D1598" t="inlineStr">
        <is>
          <t>Hub A</t>
        </is>
      </c>
      <c r="E1598" t="n">
        <v>37</v>
      </c>
      <c r="F1598" t="n">
        <v>22</v>
      </c>
    </row>
    <row r="1599">
      <c r="A1599" t="inlineStr">
        <is>
          <t>ORD01598</t>
        </is>
      </c>
      <c r="B1599" t="inlineStr">
        <is>
          <t>C1598</t>
        </is>
      </c>
      <c r="C1599" t="n">
        <v>2</v>
      </c>
      <c r="D1599" t="inlineStr">
        <is>
          <t>Hub A</t>
        </is>
      </c>
      <c r="E1599" t="n">
        <v>44</v>
      </c>
      <c r="F1599" t="n">
        <v>22</v>
      </c>
    </row>
    <row r="1600">
      <c r="A1600" t="inlineStr">
        <is>
          <t>ORD01599</t>
        </is>
      </c>
      <c r="B1600" t="inlineStr">
        <is>
          <t>C1599</t>
        </is>
      </c>
      <c r="C1600" t="n">
        <v>3</v>
      </c>
      <c r="D1600" t="inlineStr">
        <is>
          <t>Hub A</t>
        </is>
      </c>
      <c r="E1600" t="n">
        <v>51</v>
      </c>
      <c r="F1600" t="n">
        <v>22</v>
      </c>
    </row>
    <row r="1601">
      <c r="A1601" t="inlineStr">
        <is>
          <t>ORD01600</t>
        </is>
      </c>
      <c r="B1601" t="inlineStr">
        <is>
          <t>C1600</t>
        </is>
      </c>
      <c r="C1601" t="n">
        <v>1</v>
      </c>
      <c r="D1601" t="inlineStr">
        <is>
          <t>Hub A</t>
        </is>
      </c>
      <c r="E1601" t="n">
        <v>58</v>
      </c>
      <c r="F1601" t="n">
        <v>22</v>
      </c>
    </row>
    <row r="1602">
      <c r="A1602" t="inlineStr">
        <is>
          <t>ORD01601</t>
        </is>
      </c>
      <c r="B1602" t="inlineStr">
        <is>
          <t>C1601</t>
        </is>
      </c>
      <c r="C1602" t="n">
        <v>2</v>
      </c>
      <c r="D1602" t="inlineStr">
        <is>
          <t>Hub A</t>
        </is>
      </c>
      <c r="E1602" t="n">
        <v>65</v>
      </c>
      <c r="F1602" t="n">
        <v>22</v>
      </c>
    </row>
    <row r="1603">
      <c r="A1603" t="inlineStr">
        <is>
          <t>ORD01602</t>
        </is>
      </c>
      <c r="B1603" t="inlineStr">
        <is>
          <t>C1602</t>
        </is>
      </c>
      <c r="C1603" t="n">
        <v>3</v>
      </c>
      <c r="D1603" t="inlineStr">
        <is>
          <t>Hub A</t>
        </is>
      </c>
      <c r="E1603" t="n">
        <v>72</v>
      </c>
      <c r="F1603" t="n">
        <v>22</v>
      </c>
    </row>
    <row r="1604">
      <c r="A1604" t="inlineStr">
        <is>
          <t>ORD01603</t>
        </is>
      </c>
      <c r="B1604" t="inlineStr">
        <is>
          <t>C1603</t>
        </is>
      </c>
      <c r="C1604" t="n">
        <v>1</v>
      </c>
      <c r="D1604" t="inlineStr">
        <is>
          <t>Hub A</t>
        </is>
      </c>
      <c r="E1604" t="n">
        <v>19</v>
      </c>
      <c r="F1604" t="n">
        <v>22</v>
      </c>
    </row>
    <row r="1605">
      <c r="A1605" t="inlineStr">
        <is>
          <t>ORD01604</t>
        </is>
      </c>
      <c r="B1605" t="inlineStr">
        <is>
          <t>C1604</t>
        </is>
      </c>
      <c r="C1605" t="n">
        <v>2</v>
      </c>
      <c r="D1605" t="inlineStr">
        <is>
          <t>Hub A</t>
        </is>
      </c>
      <c r="E1605" t="n">
        <v>26</v>
      </c>
      <c r="F1605" t="n">
        <v>22</v>
      </c>
    </row>
    <row r="1606">
      <c r="A1606" t="inlineStr">
        <is>
          <t>ORD01605</t>
        </is>
      </c>
      <c r="B1606" t="inlineStr">
        <is>
          <t>C1605</t>
        </is>
      </c>
      <c r="C1606" t="n">
        <v>3</v>
      </c>
      <c r="D1606" t="inlineStr">
        <is>
          <t>Hub A</t>
        </is>
      </c>
      <c r="E1606" t="n">
        <v>33</v>
      </c>
      <c r="F1606" t="n">
        <v>22</v>
      </c>
    </row>
    <row r="1607">
      <c r="A1607" t="inlineStr">
        <is>
          <t>ORD01606</t>
        </is>
      </c>
      <c r="B1607" t="inlineStr">
        <is>
          <t>C1606</t>
        </is>
      </c>
      <c r="C1607" t="n">
        <v>1</v>
      </c>
      <c r="D1607" t="inlineStr">
        <is>
          <t>Hub A</t>
        </is>
      </c>
      <c r="E1607" t="n">
        <v>40</v>
      </c>
      <c r="F1607" t="n">
        <v>22</v>
      </c>
    </row>
    <row r="1608">
      <c r="A1608" t="inlineStr">
        <is>
          <t>ORD01607</t>
        </is>
      </c>
      <c r="B1608" t="inlineStr">
        <is>
          <t>C1607</t>
        </is>
      </c>
      <c r="C1608" t="n">
        <v>2</v>
      </c>
      <c r="D1608" t="inlineStr">
        <is>
          <t>Hub A</t>
        </is>
      </c>
      <c r="E1608" t="n">
        <v>47</v>
      </c>
      <c r="F1608" t="n">
        <v>22</v>
      </c>
    </row>
    <row r="1609">
      <c r="A1609" t="inlineStr">
        <is>
          <t>ORD01608</t>
        </is>
      </c>
      <c r="B1609" t="inlineStr">
        <is>
          <t>C1608</t>
        </is>
      </c>
      <c r="C1609" t="n">
        <v>3</v>
      </c>
      <c r="D1609" t="inlineStr">
        <is>
          <t>Hub A</t>
        </is>
      </c>
      <c r="E1609" t="n">
        <v>54</v>
      </c>
      <c r="F1609" t="n">
        <v>22</v>
      </c>
    </row>
    <row r="1610">
      <c r="A1610" t="inlineStr">
        <is>
          <t>ORD01609</t>
        </is>
      </c>
      <c r="B1610" t="inlineStr">
        <is>
          <t>C1609</t>
        </is>
      </c>
      <c r="C1610" t="n">
        <v>1</v>
      </c>
      <c r="D1610" t="inlineStr">
        <is>
          <t>Hub A</t>
        </is>
      </c>
      <c r="E1610" t="n">
        <v>61</v>
      </c>
      <c r="F1610" t="n">
        <v>22</v>
      </c>
    </row>
    <row r="1611">
      <c r="A1611" t="inlineStr">
        <is>
          <t>ORD01610</t>
        </is>
      </c>
      <c r="B1611" t="inlineStr">
        <is>
          <t>C1610</t>
        </is>
      </c>
      <c r="C1611" t="n">
        <v>2</v>
      </c>
      <c r="D1611" t="inlineStr">
        <is>
          <t>Hub A</t>
        </is>
      </c>
      <c r="E1611" t="n">
        <v>68</v>
      </c>
      <c r="F1611" t="n">
        <v>22</v>
      </c>
    </row>
    <row r="1612">
      <c r="A1612" t="inlineStr">
        <is>
          <t>ORD01611</t>
        </is>
      </c>
      <c r="B1612" t="inlineStr">
        <is>
          <t>C1611</t>
        </is>
      </c>
      <c r="C1612" t="n">
        <v>3</v>
      </c>
      <c r="D1612" t="inlineStr">
        <is>
          <t>Hub A</t>
        </is>
      </c>
      <c r="E1612" t="n">
        <v>75</v>
      </c>
      <c r="F1612" t="n">
        <v>22</v>
      </c>
    </row>
    <row r="1613">
      <c r="A1613" t="inlineStr">
        <is>
          <t>ORD01612</t>
        </is>
      </c>
      <c r="B1613" t="inlineStr">
        <is>
          <t>C1612</t>
        </is>
      </c>
      <c r="C1613" t="n">
        <v>1</v>
      </c>
      <c r="D1613" t="inlineStr">
        <is>
          <t>Hub A</t>
        </is>
      </c>
      <c r="E1613" t="n">
        <v>22</v>
      </c>
      <c r="F1613" t="n">
        <v>22</v>
      </c>
    </row>
    <row r="1614">
      <c r="A1614" t="inlineStr">
        <is>
          <t>ORD01613</t>
        </is>
      </c>
      <c r="B1614" t="inlineStr">
        <is>
          <t>C1613</t>
        </is>
      </c>
      <c r="C1614" t="n">
        <v>2</v>
      </c>
      <c r="D1614" t="inlineStr">
        <is>
          <t>Hub A</t>
        </is>
      </c>
      <c r="E1614" t="n">
        <v>29</v>
      </c>
      <c r="F1614" t="n">
        <v>22</v>
      </c>
    </row>
    <row r="1615">
      <c r="A1615" t="inlineStr">
        <is>
          <t>ORD01614</t>
        </is>
      </c>
      <c r="B1615" t="inlineStr">
        <is>
          <t>C1614</t>
        </is>
      </c>
      <c r="C1615" t="n">
        <v>3</v>
      </c>
      <c r="D1615" t="inlineStr">
        <is>
          <t>Hub A</t>
        </is>
      </c>
      <c r="E1615" t="n">
        <v>36</v>
      </c>
      <c r="F1615" t="n">
        <v>22</v>
      </c>
    </row>
    <row r="1616">
      <c r="A1616" t="inlineStr">
        <is>
          <t>ORD01615</t>
        </is>
      </c>
      <c r="B1616" t="inlineStr">
        <is>
          <t>C1615</t>
        </is>
      </c>
      <c r="C1616" t="n">
        <v>1</v>
      </c>
      <c r="D1616" t="inlineStr">
        <is>
          <t>Hub A</t>
        </is>
      </c>
      <c r="E1616" t="n">
        <v>43</v>
      </c>
      <c r="F1616" t="n">
        <v>22</v>
      </c>
    </row>
    <row r="1617">
      <c r="A1617" t="inlineStr">
        <is>
          <t>ORD01616</t>
        </is>
      </c>
      <c r="B1617" t="inlineStr">
        <is>
          <t>C1616</t>
        </is>
      </c>
      <c r="C1617" t="n">
        <v>2</v>
      </c>
      <c r="D1617" t="inlineStr">
        <is>
          <t>Hub A</t>
        </is>
      </c>
      <c r="E1617" t="n">
        <v>50</v>
      </c>
      <c r="F1617" t="n">
        <v>22</v>
      </c>
    </row>
    <row r="1618">
      <c r="A1618" t="inlineStr">
        <is>
          <t>ORD01617</t>
        </is>
      </c>
      <c r="B1618" t="inlineStr">
        <is>
          <t>C1617</t>
        </is>
      </c>
      <c r="C1618" t="n">
        <v>3</v>
      </c>
      <c r="D1618" t="inlineStr">
        <is>
          <t>Hub A</t>
        </is>
      </c>
      <c r="E1618" t="n">
        <v>57</v>
      </c>
      <c r="F1618" t="n">
        <v>22</v>
      </c>
    </row>
    <row r="1619">
      <c r="A1619" t="inlineStr">
        <is>
          <t>ORD01618</t>
        </is>
      </c>
      <c r="B1619" t="inlineStr">
        <is>
          <t>C1618</t>
        </is>
      </c>
      <c r="C1619" t="n">
        <v>1</v>
      </c>
      <c r="D1619" t="inlineStr">
        <is>
          <t>Hub A</t>
        </is>
      </c>
      <c r="E1619" t="n">
        <v>64</v>
      </c>
      <c r="F1619" t="n">
        <v>22</v>
      </c>
    </row>
    <row r="1620">
      <c r="A1620" t="inlineStr">
        <is>
          <t>ORD01619</t>
        </is>
      </c>
      <c r="B1620" t="inlineStr">
        <is>
          <t>C1619</t>
        </is>
      </c>
      <c r="C1620" t="n">
        <v>2</v>
      </c>
      <c r="D1620" t="inlineStr">
        <is>
          <t>Hub A</t>
        </is>
      </c>
      <c r="E1620" t="n">
        <v>71</v>
      </c>
      <c r="F1620" t="n">
        <v>22</v>
      </c>
    </row>
    <row r="1621">
      <c r="A1621" t="inlineStr">
        <is>
          <t>ORD01620</t>
        </is>
      </c>
      <c r="B1621" t="inlineStr">
        <is>
          <t>C1620</t>
        </is>
      </c>
      <c r="C1621" t="n">
        <v>3</v>
      </c>
      <c r="D1621" t="inlineStr">
        <is>
          <t>Hub A</t>
        </is>
      </c>
      <c r="E1621" t="n">
        <v>18</v>
      </c>
      <c r="F1621" t="n">
        <v>22</v>
      </c>
    </row>
    <row r="1622">
      <c r="A1622" t="inlineStr">
        <is>
          <t>ORD01621</t>
        </is>
      </c>
      <c r="B1622" t="inlineStr">
        <is>
          <t>C1621</t>
        </is>
      </c>
      <c r="C1622" t="n">
        <v>1</v>
      </c>
      <c r="D1622" t="inlineStr">
        <is>
          <t>Hub A</t>
        </is>
      </c>
      <c r="E1622" t="n">
        <v>25</v>
      </c>
      <c r="F1622" t="n">
        <v>22</v>
      </c>
    </row>
    <row r="1623">
      <c r="A1623" t="inlineStr">
        <is>
          <t>ORD01622</t>
        </is>
      </c>
      <c r="B1623" t="inlineStr">
        <is>
          <t>C1622</t>
        </is>
      </c>
      <c r="C1623" t="n">
        <v>2</v>
      </c>
      <c r="D1623" t="inlineStr">
        <is>
          <t>Hub A</t>
        </is>
      </c>
      <c r="E1623" t="n">
        <v>32</v>
      </c>
      <c r="F1623" t="n">
        <v>22</v>
      </c>
    </row>
    <row r="1624">
      <c r="A1624" t="inlineStr">
        <is>
          <t>ORD01623</t>
        </is>
      </c>
      <c r="B1624" t="inlineStr">
        <is>
          <t>C1623</t>
        </is>
      </c>
      <c r="C1624" t="n">
        <v>3</v>
      </c>
      <c r="D1624" t="inlineStr">
        <is>
          <t>Hub A</t>
        </is>
      </c>
      <c r="E1624" t="n">
        <v>39</v>
      </c>
      <c r="F1624" t="n">
        <v>22</v>
      </c>
    </row>
    <row r="1625">
      <c r="A1625" t="inlineStr">
        <is>
          <t>ORD01624</t>
        </is>
      </c>
      <c r="B1625" t="inlineStr">
        <is>
          <t>C1624</t>
        </is>
      </c>
      <c r="C1625" t="n">
        <v>1</v>
      </c>
      <c r="D1625" t="inlineStr">
        <is>
          <t>Hub A</t>
        </is>
      </c>
      <c r="E1625" t="n">
        <v>46</v>
      </c>
      <c r="F1625" t="n">
        <v>22</v>
      </c>
    </row>
    <row r="1626">
      <c r="A1626" t="inlineStr">
        <is>
          <t>ORD01625</t>
        </is>
      </c>
      <c r="B1626" t="inlineStr">
        <is>
          <t>C1625</t>
        </is>
      </c>
      <c r="C1626" t="n">
        <v>2</v>
      </c>
      <c r="D1626" t="inlineStr">
        <is>
          <t>Hub A</t>
        </is>
      </c>
      <c r="E1626" t="n">
        <v>53</v>
      </c>
      <c r="F1626" t="n">
        <v>22</v>
      </c>
    </row>
    <row r="1627">
      <c r="A1627" t="inlineStr">
        <is>
          <t>ORD01626</t>
        </is>
      </c>
      <c r="B1627" t="inlineStr">
        <is>
          <t>C1626</t>
        </is>
      </c>
      <c r="C1627" t="n">
        <v>3</v>
      </c>
      <c r="D1627" t="inlineStr">
        <is>
          <t>Hub A</t>
        </is>
      </c>
      <c r="E1627" t="n">
        <v>60</v>
      </c>
      <c r="F1627" t="n">
        <v>22</v>
      </c>
    </row>
    <row r="1628">
      <c r="A1628" t="inlineStr">
        <is>
          <t>ORD01627</t>
        </is>
      </c>
      <c r="B1628" t="inlineStr">
        <is>
          <t>C1627</t>
        </is>
      </c>
      <c r="C1628" t="n">
        <v>1</v>
      </c>
      <c r="D1628" t="inlineStr">
        <is>
          <t>Hub A</t>
        </is>
      </c>
      <c r="E1628" t="n">
        <v>67</v>
      </c>
      <c r="F1628" t="n">
        <v>22</v>
      </c>
    </row>
    <row r="1629">
      <c r="A1629" t="inlineStr">
        <is>
          <t>ORD01628</t>
        </is>
      </c>
      <c r="B1629" t="inlineStr">
        <is>
          <t>C1628</t>
        </is>
      </c>
      <c r="C1629" t="n">
        <v>2</v>
      </c>
      <c r="D1629" t="inlineStr">
        <is>
          <t>Hub A</t>
        </is>
      </c>
      <c r="E1629" t="n">
        <v>74</v>
      </c>
      <c r="F1629" t="n">
        <v>22</v>
      </c>
    </row>
    <row r="1630">
      <c r="A1630" t="inlineStr">
        <is>
          <t>ORD01629</t>
        </is>
      </c>
      <c r="B1630" t="inlineStr">
        <is>
          <t>C1629</t>
        </is>
      </c>
      <c r="C1630" t="n">
        <v>3</v>
      </c>
      <c r="D1630" t="inlineStr">
        <is>
          <t>Hub A</t>
        </is>
      </c>
      <c r="E1630" t="n">
        <v>21</v>
      </c>
      <c r="F1630" t="n">
        <v>22</v>
      </c>
    </row>
    <row r="1631">
      <c r="A1631" t="inlineStr">
        <is>
          <t>ORD01630</t>
        </is>
      </c>
      <c r="B1631" t="inlineStr">
        <is>
          <t>C1630</t>
        </is>
      </c>
      <c r="C1631" t="n">
        <v>1</v>
      </c>
      <c r="D1631" t="inlineStr">
        <is>
          <t>Hub A</t>
        </is>
      </c>
      <c r="E1631" t="n">
        <v>28</v>
      </c>
      <c r="F1631" t="n">
        <v>22</v>
      </c>
    </row>
    <row r="1632">
      <c r="A1632" t="inlineStr">
        <is>
          <t>ORD01631</t>
        </is>
      </c>
      <c r="B1632" t="inlineStr">
        <is>
          <t>C1631</t>
        </is>
      </c>
      <c r="C1632" t="n">
        <v>2</v>
      </c>
      <c r="D1632" t="inlineStr">
        <is>
          <t>Hub A</t>
        </is>
      </c>
      <c r="E1632" t="n">
        <v>35</v>
      </c>
      <c r="F1632" t="n">
        <v>22</v>
      </c>
    </row>
    <row r="1633">
      <c r="A1633" t="inlineStr">
        <is>
          <t>ORD01632</t>
        </is>
      </c>
      <c r="B1633" t="inlineStr">
        <is>
          <t>C1632</t>
        </is>
      </c>
      <c r="C1633" t="n">
        <v>3</v>
      </c>
      <c r="D1633" t="inlineStr">
        <is>
          <t>Hub A</t>
        </is>
      </c>
      <c r="E1633" t="n">
        <v>42</v>
      </c>
      <c r="F1633" t="n">
        <v>22</v>
      </c>
    </row>
    <row r="1634">
      <c r="A1634" t="inlineStr">
        <is>
          <t>ORD01633</t>
        </is>
      </c>
      <c r="B1634" t="inlineStr">
        <is>
          <t>C1633</t>
        </is>
      </c>
      <c r="C1634" t="n">
        <v>1</v>
      </c>
      <c r="D1634" t="inlineStr">
        <is>
          <t>Hub A</t>
        </is>
      </c>
      <c r="E1634" t="n">
        <v>49</v>
      </c>
      <c r="F1634" t="n">
        <v>22</v>
      </c>
    </row>
    <row r="1635">
      <c r="A1635" t="inlineStr">
        <is>
          <t>ORD01634</t>
        </is>
      </c>
      <c r="B1635" t="inlineStr">
        <is>
          <t>C1634</t>
        </is>
      </c>
      <c r="C1635" t="n">
        <v>2</v>
      </c>
      <c r="D1635" t="inlineStr">
        <is>
          <t>Hub A</t>
        </is>
      </c>
      <c r="E1635" t="n">
        <v>56</v>
      </c>
      <c r="F1635" t="n">
        <v>22</v>
      </c>
    </row>
    <row r="1636">
      <c r="A1636" t="inlineStr">
        <is>
          <t>ORD01635</t>
        </is>
      </c>
      <c r="B1636" t="inlineStr">
        <is>
          <t>C1635</t>
        </is>
      </c>
      <c r="C1636" t="n">
        <v>3</v>
      </c>
      <c r="D1636" t="inlineStr">
        <is>
          <t>Hub A</t>
        </is>
      </c>
      <c r="E1636" t="n">
        <v>63</v>
      </c>
      <c r="F1636" t="n">
        <v>22</v>
      </c>
    </row>
    <row r="1637">
      <c r="A1637" t="inlineStr">
        <is>
          <t>ORD01636</t>
        </is>
      </c>
      <c r="B1637" t="inlineStr">
        <is>
          <t>C1636</t>
        </is>
      </c>
      <c r="C1637" t="n">
        <v>1</v>
      </c>
      <c r="D1637" t="inlineStr">
        <is>
          <t>Hub A</t>
        </is>
      </c>
      <c r="E1637" t="n">
        <v>70</v>
      </c>
      <c r="F1637" t="n">
        <v>22</v>
      </c>
    </row>
    <row r="1638">
      <c r="A1638" t="inlineStr">
        <is>
          <t>ORD01637</t>
        </is>
      </c>
      <c r="B1638" t="inlineStr">
        <is>
          <t>C1637</t>
        </is>
      </c>
      <c r="C1638" t="n">
        <v>2</v>
      </c>
      <c r="D1638" t="inlineStr">
        <is>
          <t>Hub A</t>
        </is>
      </c>
      <c r="E1638" t="n">
        <v>77</v>
      </c>
      <c r="F1638" t="n">
        <v>22</v>
      </c>
    </row>
    <row r="1639">
      <c r="A1639" t="inlineStr">
        <is>
          <t>ORD01638</t>
        </is>
      </c>
      <c r="B1639" t="inlineStr">
        <is>
          <t>C1638</t>
        </is>
      </c>
      <c r="C1639" t="n">
        <v>3</v>
      </c>
      <c r="D1639" t="inlineStr">
        <is>
          <t>Hub A</t>
        </is>
      </c>
      <c r="E1639" t="n">
        <v>24</v>
      </c>
      <c r="F1639" t="n">
        <v>22</v>
      </c>
    </row>
    <row r="1640">
      <c r="A1640" t="inlineStr">
        <is>
          <t>ORD01639</t>
        </is>
      </c>
      <c r="B1640" t="inlineStr">
        <is>
          <t>C1639</t>
        </is>
      </c>
      <c r="C1640" t="n">
        <v>1</v>
      </c>
      <c r="D1640" t="inlineStr">
        <is>
          <t>Hub A</t>
        </is>
      </c>
      <c r="E1640" t="n">
        <v>31</v>
      </c>
      <c r="F1640" t="n">
        <v>22</v>
      </c>
    </row>
    <row r="1641">
      <c r="A1641" t="inlineStr">
        <is>
          <t>ORD01640</t>
        </is>
      </c>
      <c r="B1641" t="inlineStr">
        <is>
          <t>C1640</t>
        </is>
      </c>
      <c r="C1641" t="n">
        <v>2</v>
      </c>
      <c r="D1641" t="inlineStr">
        <is>
          <t>Hub A</t>
        </is>
      </c>
      <c r="E1641" t="n">
        <v>38</v>
      </c>
      <c r="F1641" t="n">
        <v>22</v>
      </c>
    </row>
    <row r="1642">
      <c r="A1642" t="inlineStr">
        <is>
          <t>ORD01641</t>
        </is>
      </c>
      <c r="B1642" t="inlineStr">
        <is>
          <t>C1641</t>
        </is>
      </c>
      <c r="C1642" t="n">
        <v>3</v>
      </c>
      <c r="D1642" t="inlineStr">
        <is>
          <t>Hub A</t>
        </is>
      </c>
      <c r="E1642" t="n">
        <v>45</v>
      </c>
      <c r="F1642" t="n">
        <v>22</v>
      </c>
    </row>
    <row r="1643">
      <c r="A1643" t="inlineStr">
        <is>
          <t>ORD01642</t>
        </is>
      </c>
      <c r="B1643" t="inlineStr">
        <is>
          <t>C1642</t>
        </is>
      </c>
      <c r="C1643" t="n">
        <v>1</v>
      </c>
      <c r="D1643" t="inlineStr">
        <is>
          <t>Hub A</t>
        </is>
      </c>
      <c r="E1643" t="n">
        <v>52</v>
      </c>
      <c r="F1643" t="n">
        <v>22</v>
      </c>
    </row>
    <row r="1644">
      <c r="A1644" t="inlineStr">
        <is>
          <t>ORD01643</t>
        </is>
      </c>
      <c r="B1644" t="inlineStr">
        <is>
          <t>C1643</t>
        </is>
      </c>
      <c r="C1644" t="n">
        <v>2</v>
      </c>
      <c r="D1644" t="inlineStr">
        <is>
          <t>Hub A</t>
        </is>
      </c>
      <c r="E1644" t="n">
        <v>59</v>
      </c>
      <c r="F1644" t="n">
        <v>22</v>
      </c>
    </row>
    <row r="1645">
      <c r="A1645" t="inlineStr">
        <is>
          <t>ORD01644</t>
        </is>
      </c>
      <c r="B1645" t="inlineStr">
        <is>
          <t>C1644</t>
        </is>
      </c>
      <c r="C1645" t="n">
        <v>3</v>
      </c>
      <c r="D1645" t="inlineStr">
        <is>
          <t>Hub A</t>
        </is>
      </c>
      <c r="E1645" t="n">
        <v>66</v>
      </c>
      <c r="F1645" t="n">
        <v>22</v>
      </c>
    </row>
    <row r="1646">
      <c r="A1646" t="inlineStr">
        <is>
          <t>ORD01645</t>
        </is>
      </c>
      <c r="B1646" t="inlineStr">
        <is>
          <t>C1645</t>
        </is>
      </c>
      <c r="C1646" t="n">
        <v>1</v>
      </c>
      <c r="D1646" t="inlineStr">
        <is>
          <t>Hub A</t>
        </is>
      </c>
      <c r="E1646" t="n">
        <v>73</v>
      </c>
      <c r="F1646" t="n">
        <v>22</v>
      </c>
    </row>
    <row r="1647">
      <c r="A1647" t="inlineStr">
        <is>
          <t>ORD01646</t>
        </is>
      </c>
      <c r="B1647" t="inlineStr">
        <is>
          <t>C1646</t>
        </is>
      </c>
      <c r="C1647" t="n">
        <v>2</v>
      </c>
      <c r="D1647" t="inlineStr">
        <is>
          <t>Hub A</t>
        </is>
      </c>
      <c r="E1647" t="n">
        <v>20</v>
      </c>
      <c r="F1647" t="n">
        <v>22</v>
      </c>
    </row>
    <row r="1648">
      <c r="A1648" t="inlineStr">
        <is>
          <t>ORD01647</t>
        </is>
      </c>
      <c r="B1648" t="inlineStr">
        <is>
          <t>C1647</t>
        </is>
      </c>
      <c r="C1648" t="n">
        <v>3</v>
      </c>
      <c r="D1648" t="inlineStr">
        <is>
          <t>Hub A</t>
        </is>
      </c>
      <c r="E1648" t="n">
        <v>27</v>
      </c>
      <c r="F1648" t="n">
        <v>22</v>
      </c>
    </row>
    <row r="1649">
      <c r="A1649" t="inlineStr">
        <is>
          <t>ORD01648</t>
        </is>
      </c>
      <c r="B1649" t="inlineStr">
        <is>
          <t>C1648</t>
        </is>
      </c>
      <c r="C1649" t="n">
        <v>1</v>
      </c>
      <c r="D1649" t="inlineStr">
        <is>
          <t>Hub A</t>
        </is>
      </c>
      <c r="E1649" t="n">
        <v>34</v>
      </c>
      <c r="F1649" t="n">
        <v>22</v>
      </c>
    </row>
    <row r="1650">
      <c r="A1650" t="inlineStr">
        <is>
          <t>ORD01649</t>
        </is>
      </c>
      <c r="B1650" t="inlineStr">
        <is>
          <t>C1649</t>
        </is>
      </c>
      <c r="C1650" t="n">
        <v>2</v>
      </c>
      <c r="D1650" t="inlineStr">
        <is>
          <t>Hub A</t>
        </is>
      </c>
      <c r="E1650" t="n">
        <v>41</v>
      </c>
      <c r="F1650" t="n">
        <v>22</v>
      </c>
    </row>
    <row r="1651">
      <c r="A1651" t="inlineStr">
        <is>
          <t>ORD01650</t>
        </is>
      </c>
      <c r="B1651" t="inlineStr">
        <is>
          <t>C1650</t>
        </is>
      </c>
      <c r="C1651" t="n">
        <v>3</v>
      </c>
      <c r="D1651" t="inlineStr">
        <is>
          <t>Hub A</t>
        </is>
      </c>
      <c r="E1651" t="n">
        <v>48</v>
      </c>
      <c r="F1651" t="n">
        <v>22</v>
      </c>
    </row>
    <row r="1652">
      <c r="A1652" t="inlineStr">
        <is>
          <t>ORD01651</t>
        </is>
      </c>
      <c r="B1652" t="inlineStr">
        <is>
          <t>C1651</t>
        </is>
      </c>
      <c r="C1652" t="n">
        <v>1</v>
      </c>
      <c r="D1652" t="inlineStr">
        <is>
          <t>Hub A</t>
        </is>
      </c>
      <c r="E1652" t="n">
        <v>55</v>
      </c>
      <c r="F1652" t="n">
        <v>22</v>
      </c>
    </row>
    <row r="1653">
      <c r="A1653" t="inlineStr">
        <is>
          <t>ORD01652</t>
        </is>
      </c>
      <c r="B1653" t="inlineStr">
        <is>
          <t>C1652</t>
        </is>
      </c>
      <c r="C1653" t="n">
        <v>2</v>
      </c>
      <c r="D1653" t="inlineStr">
        <is>
          <t>Hub A</t>
        </is>
      </c>
      <c r="E1653" t="n">
        <v>62</v>
      </c>
      <c r="F1653" t="n">
        <v>22</v>
      </c>
    </row>
    <row r="1654">
      <c r="A1654" t="inlineStr">
        <is>
          <t>ORD01653</t>
        </is>
      </c>
      <c r="B1654" t="inlineStr">
        <is>
          <t>C1653</t>
        </is>
      </c>
      <c r="C1654" t="n">
        <v>3</v>
      </c>
      <c r="D1654" t="inlineStr">
        <is>
          <t>Hub A</t>
        </is>
      </c>
      <c r="E1654" t="n">
        <v>69</v>
      </c>
      <c r="F1654" t="n">
        <v>22</v>
      </c>
    </row>
    <row r="1655">
      <c r="A1655" t="inlineStr">
        <is>
          <t>ORD01654</t>
        </is>
      </c>
      <c r="B1655" t="inlineStr">
        <is>
          <t>C1654</t>
        </is>
      </c>
      <c r="C1655" t="n">
        <v>1</v>
      </c>
      <c r="D1655" t="inlineStr">
        <is>
          <t>Hub A</t>
        </is>
      </c>
      <c r="E1655" t="n">
        <v>76</v>
      </c>
      <c r="F1655" t="n">
        <v>22</v>
      </c>
    </row>
    <row r="1656">
      <c r="A1656" t="inlineStr">
        <is>
          <t>ORD01655</t>
        </is>
      </c>
      <c r="B1656" t="inlineStr">
        <is>
          <t>C1655</t>
        </is>
      </c>
      <c r="C1656" t="n">
        <v>2</v>
      </c>
      <c r="D1656" t="inlineStr">
        <is>
          <t>Hub A</t>
        </is>
      </c>
      <c r="E1656" t="n">
        <v>23</v>
      </c>
      <c r="F1656" t="n">
        <v>22</v>
      </c>
    </row>
    <row r="1657">
      <c r="A1657" t="inlineStr">
        <is>
          <t>ORD01656</t>
        </is>
      </c>
      <c r="B1657" t="inlineStr">
        <is>
          <t>C1656</t>
        </is>
      </c>
      <c r="C1657" t="n">
        <v>3</v>
      </c>
      <c r="D1657" t="inlineStr">
        <is>
          <t>Hub A</t>
        </is>
      </c>
      <c r="E1657" t="n">
        <v>30</v>
      </c>
      <c r="F1657" t="n">
        <v>22</v>
      </c>
    </row>
    <row r="1658">
      <c r="A1658" t="inlineStr">
        <is>
          <t>ORD01657</t>
        </is>
      </c>
      <c r="B1658" t="inlineStr">
        <is>
          <t>C1657</t>
        </is>
      </c>
      <c r="C1658" t="n">
        <v>1</v>
      </c>
      <c r="D1658" t="inlineStr">
        <is>
          <t>Hub A</t>
        </is>
      </c>
      <c r="E1658" t="n">
        <v>37</v>
      </c>
      <c r="F1658" t="n">
        <v>22</v>
      </c>
    </row>
    <row r="1659">
      <c r="A1659" t="inlineStr">
        <is>
          <t>ORD01658</t>
        </is>
      </c>
      <c r="B1659" t="inlineStr">
        <is>
          <t>C1658</t>
        </is>
      </c>
      <c r="C1659" t="n">
        <v>2</v>
      </c>
      <c r="D1659" t="inlineStr">
        <is>
          <t>Hub A</t>
        </is>
      </c>
      <c r="E1659" t="n">
        <v>44</v>
      </c>
      <c r="F1659" t="n">
        <v>22</v>
      </c>
    </row>
    <row r="1660">
      <c r="A1660" t="inlineStr">
        <is>
          <t>ORD01659</t>
        </is>
      </c>
      <c r="B1660" t="inlineStr">
        <is>
          <t>C1659</t>
        </is>
      </c>
      <c r="C1660" t="n">
        <v>3</v>
      </c>
      <c r="D1660" t="inlineStr">
        <is>
          <t>Hub A</t>
        </is>
      </c>
      <c r="E1660" t="n">
        <v>51</v>
      </c>
      <c r="F1660" t="n">
        <v>22</v>
      </c>
    </row>
    <row r="1661">
      <c r="A1661" t="inlineStr">
        <is>
          <t>ORD01660</t>
        </is>
      </c>
      <c r="B1661" t="inlineStr">
        <is>
          <t>C1660</t>
        </is>
      </c>
      <c r="C1661" t="n">
        <v>1</v>
      </c>
      <c r="D1661" t="inlineStr">
        <is>
          <t>Hub A</t>
        </is>
      </c>
      <c r="E1661" t="n">
        <v>58</v>
      </c>
      <c r="F1661" t="n">
        <v>22</v>
      </c>
    </row>
    <row r="1662">
      <c r="A1662" t="inlineStr">
        <is>
          <t>ORD01661</t>
        </is>
      </c>
      <c r="B1662" t="inlineStr">
        <is>
          <t>C1661</t>
        </is>
      </c>
      <c r="C1662" t="n">
        <v>2</v>
      </c>
      <c r="D1662" t="inlineStr">
        <is>
          <t>Hub A</t>
        </is>
      </c>
      <c r="E1662" t="n">
        <v>65</v>
      </c>
      <c r="F1662" t="n">
        <v>22</v>
      </c>
    </row>
    <row r="1663">
      <c r="A1663" t="inlineStr">
        <is>
          <t>ORD01662</t>
        </is>
      </c>
      <c r="B1663" t="inlineStr">
        <is>
          <t>C1662</t>
        </is>
      </c>
      <c r="C1663" t="n">
        <v>3</v>
      </c>
      <c r="D1663" t="inlineStr">
        <is>
          <t>Hub A</t>
        </is>
      </c>
      <c r="E1663" t="n">
        <v>72</v>
      </c>
      <c r="F1663" t="n">
        <v>22</v>
      </c>
    </row>
    <row r="1664">
      <c r="A1664" t="inlineStr">
        <is>
          <t>ORD01663</t>
        </is>
      </c>
      <c r="B1664" t="inlineStr">
        <is>
          <t>C1663</t>
        </is>
      </c>
      <c r="C1664" t="n">
        <v>1</v>
      </c>
      <c r="D1664" t="inlineStr">
        <is>
          <t>Hub A</t>
        </is>
      </c>
      <c r="E1664" t="n">
        <v>19</v>
      </c>
      <c r="F1664" t="n">
        <v>22</v>
      </c>
    </row>
    <row r="1665">
      <c r="A1665" t="inlineStr">
        <is>
          <t>ORD01664</t>
        </is>
      </c>
      <c r="B1665" t="inlineStr">
        <is>
          <t>C1664</t>
        </is>
      </c>
      <c r="C1665" t="n">
        <v>2</v>
      </c>
      <c r="D1665" t="inlineStr">
        <is>
          <t>Hub A</t>
        </is>
      </c>
      <c r="E1665" t="n">
        <v>26</v>
      </c>
      <c r="F1665" t="n">
        <v>22</v>
      </c>
    </row>
    <row r="1666">
      <c r="A1666" t="inlineStr">
        <is>
          <t>ORD01665</t>
        </is>
      </c>
      <c r="B1666" t="inlineStr">
        <is>
          <t>C1665</t>
        </is>
      </c>
      <c r="C1666" t="n">
        <v>3</v>
      </c>
      <c r="D1666" t="inlineStr">
        <is>
          <t>Hub A</t>
        </is>
      </c>
      <c r="E1666" t="n">
        <v>33</v>
      </c>
      <c r="F1666" t="n">
        <v>22</v>
      </c>
    </row>
    <row r="1667">
      <c r="A1667" t="inlineStr">
        <is>
          <t>ORD01666</t>
        </is>
      </c>
      <c r="B1667" t="inlineStr">
        <is>
          <t>C1666</t>
        </is>
      </c>
      <c r="C1667" t="n">
        <v>1</v>
      </c>
      <c r="D1667" t="inlineStr">
        <is>
          <t>Hub A</t>
        </is>
      </c>
      <c r="E1667" t="n">
        <v>40</v>
      </c>
      <c r="F1667" t="n">
        <v>22</v>
      </c>
    </row>
    <row r="1668">
      <c r="A1668" t="inlineStr">
        <is>
          <t>ORD01667</t>
        </is>
      </c>
      <c r="B1668" t="inlineStr">
        <is>
          <t>C1667</t>
        </is>
      </c>
      <c r="C1668" t="n">
        <v>2</v>
      </c>
      <c r="D1668" t="inlineStr">
        <is>
          <t>Hub A</t>
        </is>
      </c>
      <c r="E1668" t="n">
        <v>47</v>
      </c>
      <c r="F1668" t="n">
        <v>22</v>
      </c>
    </row>
    <row r="1669">
      <c r="A1669" t="inlineStr">
        <is>
          <t>ORD01668</t>
        </is>
      </c>
      <c r="B1669" t="inlineStr">
        <is>
          <t>C1668</t>
        </is>
      </c>
      <c r="C1669" t="n">
        <v>3</v>
      </c>
      <c r="D1669" t="inlineStr">
        <is>
          <t>Hub A</t>
        </is>
      </c>
      <c r="E1669" t="n">
        <v>54</v>
      </c>
      <c r="F1669" t="n">
        <v>22</v>
      </c>
    </row>
    <row r="1670">
      <c r="A1670" t="inlineStr">
        <is>
          <t>ORD01669</t>
        </is>
      </c>
      <c r="B1670" t="inlineStr">
        <is>
          <t>C1669</t>
        </is>
      </c>
      <c r="C1670" t="n">
        <v>1</v>
      </c>
      <c r="D1670" t="inlineStr">
        <is>
          <t>Hub A</t>
        </is>
      </c>
      <c r="E1670" t="n">
        <v>61</v>
      </c>
      <c r="F1670" t="n">
        <v>22</v>
      </c>
    </row>
    <row r="1671">
      <c r="A1671" t="inlineStr">
        <is>
          <t>ORD01670</t>
        </is>
      </c>
      <c r="B1671" t="inlineStr">
        <is>
          <t>C1670</t>
        </is>
      </c>
      <c r="C1671" t="n">
        <v>2</v>
      </c>
      <c r="D1671" t="inlineStr">
        <is>
          <t>Hub A</t>
        </is>
      </c>
      <c r="E1671" t="n">
        <v>68</v>
      </c>
      <c r="F1671" t="n">
        <v>22</v>
      </c>
    </row>
    <row r="1672">
      <c r="A1672" t="inlineStr">
        <is>
          <t>ORD01671</t>
        </is>
      </c>
      <c r="B1672" t="inlineStr">
        <is>
          <t>C1671</t>
        </is>
      </c>
      <c r="C1672" t="n">
        <v>3</v>
      </c>
      <c r="D1672" t="inlineStr">
        <is>
          <t>Hub A</t>
        </is>
      </c>
      <c r="E1672" t="n">
        <v>75</v>
      </c>
      <c r="F1672" t="n">
        <v>22</v>
      </c>
    </row>
    <row r="1673">
      <c r="A1673" t="inlineStr">
        <is>
          <t>ORD01672</t>
        </is>
      </c>
      <c r="B1673" t="inlineStr">
        <is>
          <t>C1672</t>
        </is>
      </c>
      <c r="C1673" t="n">
        <v>1</v>
      </c>
      <c r="D1673" t="inlineStr">
        <is>
          <t>Hub A</t>
        </is>
      </c>
      <c r="E1673" t="n">
        <v>22</v>
      </c>
      <c r="F1673" t="n">
        <v>22</v>
      </c>
    </row>
    <row r="1674">
      <c r="A1674" t="inlineStr">
        <is>
          <t>ORD01673</t>
        </is>
      </c>
      <c r="B1674" t="inlineStr">
        <is>
          <t>C1673</t>
        </is>
      </c>
      <c r="C1674" t="n">
        <v>2</v>
      </c>
      <c r="D1674" t="inlineStr">
        <is>
          <t>Hub A</t>
        </is>
      </c>
      <c r="E1674" t="n">
        <v>29</v>
      </c>
      <c r="F1674" t="n">
        <v>22</v>
      </c>
    </row>
    <row r="1675">
      <c r="A1675" t="inlineStr">
        <is>
          <t>ORD01674</t>
        </is>
      </c>
      <c r="B1675" t="inlineStr">
        <is>
          <t>C1674</t>
        </is>
      </c>
      <c r="C1675" t="n">
        <v>3</v>
      </c>
      <c r="D1675" t="inlineStr">
        <is>
          <t>Hub A</t>
        </is>
      </c>
      <c r="E1675" t="n">
        <v>36</v>
      </c>
      <c r="F1675" t="n">
        <v>22</v>
      </c>
    </row>
    <row r="1676">
      <c r="A1676" t="inlineStr">
        <is>
          <t>ORD01675</t>
        </is>
      </c>
      <c r="B1676" t="inlineStr">
        <is>
          <t>C1675</t>
        </is>
      </c>
      <c r="C1676" t="n">
        <v>1</v>
      </c>
      <c r="D1676" t="inlineStr">
        <is>
          <t>Hub A</t>
        </is>
      </c>
      <c r="E1676" t="n">
        <v>43</v>
      </c>
      <c r="F1676" t="n">
        <v>22</v>
      </c>
    </row>
    <row r="1677">
      <c r="A1677" t="inlineStr">
        <is>
          <t>ORD01676</t>
        </is>
      </c>
      <c r="B1677" t="inlineStr">
        <is>
          <t>C1676</t>
        </is>
      </c>
      <c r="C1677" t="n">
        <v>2</v>
      </c>
      <c r="D1677" t="inlineStr">
        <is>
          <t>Hub A</t>
        </is>
      </c>
      <c r="E1677" t="n">
        <v>50</v>
      </c>
      <c r="F1677" t="n">
        <v>22</v>
      </c>
    </row>
    <row r="1678">
      <c r="A1678" t="inlineStr">
        <is>
          <t>ORD01677</t>
        </is>
      </c>
      <c r="B1678" t="inlineStr">
        <is>
          <t>C1677</t>
        </is>
      </c>
      <c r="C1678" t="n">
        <v>3</v>
      </c>
      <c r="D1678" t="inlineStr">
        <is>
          <t>Hub A</t>
        </is>
      </c>
      <c r="E1678" t="n">
        <v>57</v>
      </c>
      <c r="F1678" t="n">
        <v>22</v>
      </c>
    </row>
    <row r="1679">
      <c r="A1679" t="inlineStr">
        <is>
          <t>ORD01678</t>
        </is>
      </c>
      <c r="B1679" t="inlineStr">
        <is>
          <t>C1678</t>
        </is>
      </c>
      <c r="C1679" t="n">
        <v>1</v>
      </c>
      <c r="D1679" t="inlineStr">
        <is>
          <t>Hub A</t>
        </is>
      </c>
      <c r="E1679" t="n">
        <v>64</v>
      </c>
      <c r="F1679" t="n">
        <v>22</v>
      </c>
    </row>
    <row r="1680">
      <c r="A1680" t="inlineStr">
        <is>
          <t>ORD01679</t>
        </is>
      </c>
      <c r="B1680" t="inlineStr">
        <is>
          <t>C1679</t>
        </is>
      </c>
      <c r="C1680" t="n">
        <v>2</v>
      </c>
      <c r="D1680" t="inlineStr">
        <is>
          <t>Hub A</t>
        </is>
      </c>
      <c r="E1680" t="n">
        <v>71</v>
      </c>
      <c r="F1680" t="n">
        <v>22</v>
      </c>
    </row>
    <row r="1681">
      <c r="A1681" t="inlineStr">
        <is>
          <t>ORD01680</t>
        </is>
      </c>
      <c r="B1681" t="inlineStr">
        <is>
          <t>C1680</t>
        </is>
      </c>
      <c r="C1681" t="n">
        <v>3</v>
      </c>
      <c r="D1681" t="inlineStr">
        <is>
          <t>Hub A</t>
        </is>
      </c>
      <c r="E1681" t="n">
        <v>18</v>
      </c>
      <c r="F1681" t="n">
        <v>22</v>
      </c>
    </row>
    <row r="1682">
      <c r="A1682" t="inlineStr">
        <is>
          <t>ORD01681</t>
        </is>
      </c>
      <c r="B1682" t="inlineStr">
        <is>
          <t>C1681</t>
        </is>
      </c>
      <c r="C1682" t="n">
        <v>1</v>
      </c>
      <c r="D1682" t="inlineStr">
        <is>
          <t>Hub A</t>
        </is>
      </c>
      <c r="E1682" t="n">
        <v>25</v>
      </c>
      <c r="F1682" t="n">
        <v>22</v>
      </c>
    </row>
    <row r="1683">
      <c r="A1683" t="inlineStr">
        <is>
          <t>ORD01682</t>
        </is>
      </c>
      <c r="B1683" t="inlineStr">
        <is>
          <t>C1682</t>
        </is>
      </c>
      <c r="C1683" t="n">
        <v>2</v>
      </c>
      <c r="D1683" t="inlineStr">
        <is>
          <t>Hub A</t>
        </is>
      </c>
      <c r="E1683" t="n">
        <v>32</v>
      </c>
      <c r="F1683" t="n">
        <v>22</v>
      </c>
    </row>
    <row r="1684">
      <c r="A1684" t="inlineStr">
        <is>
          <t>ORD01683</t>
        </is>
      </c>
      <c r="B1684" t="inlineStr">
        <is>
          <t>C1683</t>
        </is>
      </c>
      <c r="C1684" t="n">
        <v>3</v>
      </c>
      <c r="D1684" t="inlineStr">
        <is>
          <t>Hub A</t>
        </is>
      </c>
      <c r="E1684" t="n">
        <v>39</v>
      </c>
      <c r="F1684" t="n">
        <v>22</v>
      </c>
    </row>
    <row r="1685">
      <c r="A1685" t="inlineStr">
        <is>
          <t>ORD01684</t>
        </is>
      </c>
      <c r="B1685" t="inlineStr">
        <is>
          <t>C1684</t>
        </is>
      </c>
      <c r="C1685" t="n">
        <v>1</v>
      </c>
      <c r="D1685" t="inlineStr">
        <is>
          <t>Hub A</t>
        </is>
      </c>
      <c r="E1685" t="n">
        <v>46</v>
      </c>
      <c r="F1685" t="n">
        <v>22</v>
      </c>
    </row>
    <row r="1686">
      <c r="A1686" t="inlineStr">
        <is>
          <t>ORD01685</t>
        </is>
      </c>
      <c r="B1686" t="inlineStr">
        <is>
          <t>C1685</t>
        </is>
      </c>
      <c r="C1686" t="n">
        <v>2</v>
      </c>
      <c r="D1686" t="inlineStr">
        <is>
          <t>Hub A</t>
        </is>
      </c>
      <c r="E1686" t="n">
        <v>53</v>
      </c>
      <c r="F1686" t="n">
        <v>22</v>
      </c>
    </row>
    <row r="1687">
      <c r="A1687" t="inlineStr">
        <is>
          <t>ORD01686</t>
        </is>
      </c>
      <c r="B1687" t="inlineStr">
        <is>
          <t>C1686</t>
        </is>
      </c>
      <c r="C1687" t="n">
        <v>3</v>
      </c>
      <c r="D1687" t="inlineStr">
        <is>
          <t>Hub A</t>
        </is>
      </c>
      <c r="E1687" t="n">
        <v>60</v>
      </c>
      <c r="F1687" t="n">
        <v>22</v>
      </c>
    </row>
    <row r="1688">
      <c r="A1688" t="inlineStr">
        <is>
          <t>ORD01687</t>
        </is>
      </c>
      <c r="B1688" t="inlineStr">
        <is>
          <t>C1687</t>
        </is>
      </c>
      <c r="C1688" t="n">
        <v>1</v>
      </c>
      <c r="D1688" t="inlineStr">
        <is>
          <t>Hub A</t>
        </is>
      </c>
      <c r="E1688" t="n">
        <v>67</v>
      </c>
      <c r="F1688" t="n">
        <v>22</v>
      </c>
    </row>
    <row r="1689">
      <c r="A1689" t="inlineStr">
        <is>
          <t>ORD01688</t>
        </is>
      </c>
      <c r="B1689" t="inlineStr">
        <is>
          <t>C1688</t>
        </is>
      </c>
      <c r="C1689" t="n">
        <v>2</v>
      </c>
      <c r="D1689" t="inlineStr">
        <is>
          <t>Hub A</t>
        </is>
      </c>
      <c r="E1689" t="n">
        <v>74</v>
      </c>
      <c r="F1689" t="n">
        <v>22</v>
      </c>
    </row>
    <row r="1690">
      <c r="A1690" t="inlineStr">
        <is>
          <t>ORD01689</t>
        </is>
      </c>
      <c r="B1690" t="inlineStr">
        <is>
          <t>C1689</t>
        </is>
      </c>
      <c r="C1690" t="n">
        <v>3</v>
      </c>
      <c r="D1690" t="inlineStr">
        <is>
          <t>Hub A</t>
        </is>
      </c>
      <c r="E1690" t="n">
        <v>21</v>
      </c>
      <c r="F1690" t="n">
        <v>22</v>
      </c>
    </row>
    <row r="1691">
      <c r="A1691" t="inlineStr">
        <is>
          <t>ORD01690</t>
        </is>
      </c>
      <c r="B1691" t="inlineStr">
        <is>
          <t>C1690</t>
        </is>
      </c>
      <c r="C1691" t="n">
        <v>1</v>
      </c>
      <c r="D1691" t="inlineStr">
        <is>
          <t>Hub A</t>
        </is>
      </c>
      <c r="E1691" t="n">
        <v>28</v>
      </c>
      <c r="F1691" t="n">
        <v>22</v>
      </c>
    </row>
    <row r="1692">
      <c r="A1692" t="inlineStr">
        <is>
          <t>ORD01691</t>
        </is>
      </c>
      <c r="B1692" t="inlineStr">
        <is>
          <t>C1691</t>
        </is>
      </c>
      <c r="C1692" t="n">
        <v>2</v>
      </c>
      <c r="D1692" t="inlineStr">
        <is>
          <t>Hub A</t>
        </is>
      </c>
      <c r="E1692" t="n">
        <v>35</v>
      </c>
      <c r="F1692" t="n">
        <v>22</v>
      </c>
    </row>
    <row r="1693">
      <c r="A1693" t="inlineStr">
        <is>
          <t>ORD01692</t>
        </is>
      </c>
      <c r="B1693" t="inlineStr">
        <is>
          <t>C1692</t>
        </is>
      </c>
      <c r="C1693" t="n">
        <v>3</v>
      </c>
      <c r="D1693" t="inlineStr">
        <is>
          <t>Hub A</t>
        </is>
      </c>
      <c r="E1693" t="n">
        <v>42</v>
      </c>
      <c r="F1693" t="n">
        <v>22</v>
      </c>
    </row>
    <row r="1694">
      <c r="A1694" t="inlineStr">
        <is>
          <t>ORD01693</t>
        </is>
      </c>
      <c r="B1694" t="inlineStr">
        <is>
          <t>C1693</t>
        </is>
      </c>
      <c r="C1694" t="n">
        <v>1</v>
      </c>
      <c r="D1694" t="inlineStr">
        <is>
          <t>Hub A</t>
        </is>
      </c>
      <c r="E1694" t="n">
        <v>49</v>
      </c>
      <c r="F1694" t="n">
        <v>22</v>
      </c>
    </row>
    <row r="1695">
      <c r="A1695" t="inlineStr">
        <is>
          <t>ORD01694</t>
        </is>
      </c>
      <c r="B1695" t="inlineStr">
        <is>
          <t>C1694</t>
        </is>
      </c>
      <c r="C1695" t="n">
        <v>2</v>
      </c>
      <c r="D1695" t="inlineStr">
        <is>
          <t>Hub A</t>
        </is>
      </c>
      <c r="E1695" t="n">
        <v>56</v>
      </c>
      <c r="F1695" t="n">
        <v>22</v>
      </c>
    </row>
    <row r="1696">
      <c r="A1696" t="inlineStr">
        <is>
          <t>ORD01695</t>
        </is>
      </c>
      <c r="B1696" t="inlineStr">
        <is>
          <t>C1695</t>
        </is>
      </c>
      <c r="C1696" t="n">
        <v>3</v>
      </c>
      <c r="D1696" t="inlineStr">
        <is>
          <t>Hub A</t>
        </is>
      </c>
      <c r="E1696" t="n">
        <v>63</v>
      </c>
      <c r="F1696" t="n">
        <v>22</v>
      </c>
    </row>
    <row r="1697">
      <c r="A1697" t="inlineStr">
        <is>
          <t>ORD01696</t>
        </is>
      </c>
      <c r="B1697" t="inlineStr">
        <is>
          <t>C1696</t>
        </is>
      </c>
      <c r="C1697" t="n">
        <v>1</v>
      </c>
      <c r="D1697" t="inlineStr">
        <is>
          <t>Hub A</t>
        </is>
      </c>
      <c r="E1697" t="n">
        <v>70</v>
      </c>
      <c r="F1697" t="n">
        <v>22</v>
      </c>
    </row>
    <row r="1698">
      <c r="A1698" t="inlineStr">
        <is>
          <t>ORD01697</t>
        </is>
      </c>
      <c r="B1698" t="inlineStr">
        <is>
          <t>C1697</t>
        </is>
      </c>
      <c r="C1698" t="n">
        <v>2</v>
      </c>
      <c r="D1698" t="inlineStr">
        <is>
          <t>Hub A</t>
        </is>
      </c>
      <c r="E1698" t="n">
        <v>77</v>
      </c>
      <c r="F1698" t="n">
        <v>22</v>
      </c>
    </row>
    <row r="1699">
      <c r="A1699" t="inlineStr">
        <is>
          <t>ORD01698</t>
        </is>
      </c>
      <c r="B1699" t="inlineStr">
        <is>
          <t>C1698</t>
        </is>
      </c>
      <c r="C1699" t="n">
        <v>3</v>
      </c>
      <c r="D1699" t="inlineStr">
        <is>
          <t>Hub A</t>
        </is>
      </c>
      <c r="E1699" t="n">
        <v>24</v>
      </c>
      <c r="F1699" t="n">
        <v>22</v>
      </c>
    </row>
    <row r="1700">
      <c r="A1700" t="inlineStr">
        <is>
          <t>ORD01699</t>
        </is>
      </c>
      <c r="B1700" t="inlineStr">
        <is>
          <t>C1699</t>
        </is>
      </c>
      <c r="C1700" t="n">
        <v>1</v>
      </c>
      <c r="D1700" t="inlineStr">
        <is>
          <t>Hub A</t>
        </is>
      </c>
      <c r="E1700" t="n">
        <v>31</v>
      </c>
      <c r="F1700" t="n">
        <v>22</v>
      </c>
    </row>
    <row r="1701">
      <c r="A1701" t="inlineStr">
        <is>
          <t>ORD01700</t>
        </is>
      </c>
      <c r="B1701" t="inlineStr">
        <is>
          <t>C1700</t>
        </is>
      </c>
      <c r="C1701" t="n">
        <v>2</v>
      </c>
      <c r="D1701" t="inlineStr">
        <is>
          <t>Hub A</t>
        </is>
      </c>
      <c r="E1701" t="n">
        <v>38</v>
      </c>
      <c r="F1701" t="n">
        <v>22</v>
      </c>
    </row>
    <row r="1702">
      <c r="A1702" t="inlineStr">
        <is>
          <t>ORD01701</t>
        </is>
      </c>
      <c r="B1702" t="inlineStr">
        <is>
          <t>C1701</t>
        </is>
      </c>
      <c r="C1702" t="n">
        <v>3</v>
      </c>
      <c r="D1702" t="inlineStr">
        <is>
          <t>Hub A</t>
        </is>
      </c>
      <c r="E1702" t="n">
        <v>45</v>
      </c>
      <c r="F1702" t="n">
        <v>22</v>
      </c>
    </row>
    <row r="1703">
      <c r="A1703" t="inlineStr">
        <is>
          <t>ORD01702</t>
        </is>
      </c>
      <c r="B1703" t="inlineStr">
        <is>
          <t>C1702</t>
        </is>
      </c>
      <c r="C1703" t="n">
        <v>1</v>
      </c>
      <c r="D1703" t="inlineStr">
        <is>
          <t>Hub A</t>
        </is>
      </c>
      <c r="E1703" t="n">
        <v>52</v>
      </c>
      <c r="F1703" t="n">
        <v>22</v>
      </c>
    </row>
    <row r="1704">
      <c r="A1704" t="inlineStr">
        <is>
          <t>ORD01703</t>
        </is>
      </c>
      <c r="B1704" t="inlineStr">
        <is>
          <t>C1703</t>
        </is>
      </c>
      <c r="C1704" t="n">
        <v>2</v>
      </c>
      <c r="D1704" t="inlineStr">
        <is>
          <t>Hub A</t>
        </is>
      </c>
      <c r="E1704" t="n">
        <v>59</v>
      </c>
      <c r="F1704" t="n">
        <v>22</v>
      </c>
    </row>
    <row r="1705">
      <c r="A1705" t="inlineStr">
        <is>
          <t>ORD01704</t>
        </is>
      </c>
      <c r="B1705" t="inlineStr">
        <is>
          <t>C1704</t>
        </is>
      </c>
      <c r="C1705" t="n">
        <v>3</v>
      </c>
      <c r="D1705" t="inlineStr">
        <is>
          <t>Hub A</t>
        </is>
      </c>
      <c r="E1705" t="n">
        <v>66</v>
      </c>
      <c r="F1705" t="n">
        <v>22</v>
      </c>
    </row>
    <row r="1706">
      <c r="A1706" t="inlineStr">
        <is>
          <t>ORD01705</t>
        </is>
      </c>
      <c r="B1706" t="inlineStr">
        <is>
          <t>C1705</t>
        </is>
      </c>
      <c r="C1706" t="n">
        <v>1</v>
      </c>
      <c r="D1706" t="inlineStr">
        <is>
          <t>Hub A</t>
        </is>
      </c>
      <c r="E1706" t="n">
        <v>73</v>
      </c>
      <c r="F1706" t="n">
        <v>22</v>
      </c>
    </row>
    <row r="1707">
      <c r="A1707" t="inlineStr">
        <is>
          <t>ORD01706</t>
        </is>
      </c>
      <c r="B1707" t="inlineStr">
        <is>
          <t>C1706</t>
        </is>
      </c>
      <c r="C1707" t="n">
        <v>2</v>
      </c>
      <c r="D1707" t="inlineStr">
        <is>
          <t>Hub A</t>
        </is>
      </c>
      <c r="E1707" t="n">
        <v>20</v>
      </c>
      <c r="F1707" t="n">
        <v>22</v>
      </c>
    </row>
    <row r="1708">
      <c r="A1708" t="inlineStr">
        <is>
          <t>ORD01707</t>
        </is>
      </c>
      <c r="B1708" t="inlineStr">
        <is>
          <t>C1707</t>
        </is>
      </c>
      <c r="C1708" t="n">
        <v>3</v>
      </c>
      <c r="D1708" t="inlineStr">
        <is>
          <t>Hub A</t>
        </is>
      </c>
      <c r="E1708" t="n">
        <v>27</v>
      </c>
      <c r="F1708" t="n">
        <v>22</v>
      </c>
    </row>
    <row r="1709">
      <c r="A1709" t="inlineStr">
        <is>
          <t>ORD01708</t>
        </is>
      </c>
      <c r="B1709" t="inlineStr">
        <is>
          <t>C1708</t>
        </is>
      </c>
      <c r="C1709" t="n">
        <v>1</v>
      </c>
      <c r="D1709" t="inlineStr">
        <is>
          <t>Hub A</t>
        </is>
      </c>
      <c r="E1709" t="n">
        <v>34</v>
      </c>
      <c r="F1709" t="n">
        <v>22</v>
      </c>
    </row>
    <row r="1710">
      <c r="A1710" t="inlineStr">
        <is>
          <t>ORD01709</t>
        </is>
      </c>
      <c r="B1710" t="inlineStr">
        <is>
          <t>C1709</t>
        </is>
      </c>
      <c r="C1710" t="n">
        <v>2</v>
      </c>
      <c r="D1710" t="inlineStr">
        <is>
          <t>Hub A</t>
        </is>
      </c>
      <c r="E1710" t="n">
        <v>41</v>
      </c>
      <c r="F1710" t="n">
        <v>22</v>
      </c>
    </row>
    <row r="1711">
      <c r="A1711" t="inlineStr">
        <is>
          <t>ORD01710</t>
        </is>
      </c>
      <c r="B1711" t="inlineStr">
        <is>
          <t>C1710</t>
        </is>
      </c>
      <c r="C1711" t="n">
        <v>3</v>
      </c>
      <c r="D1711" t="inlineStr">
        <is>
          <t>Hub A</t>
        </is>
      </c>
      <c r="E1711" t="n">
        <v>48</v>
      </c>
      <c r="F1711" t="n">
        <v>22</v>
      </c>
    </row>
    <row r="1712">
      <c r="A1712" t="inlineStr">
        <is>
          <t>ORD01711</t>
        </is>
      </c>
      <c r="B1712" t="inlineStr">
        <is>
          <t>C1711</t>
        </is>
      </c>
      <c r="C1712" t="n">
        <v>1</v>
      </c>
      <c r="D1712" t="inlineStr">
        <is>
          <t>Hub A</t>
        </is>
      </c>
      <c r="E1712" t="n">
        <v>55</v>
      </c>
      <c r="F1712" t="n">
        <v>22</v>
      </c>
    </row>
    <row r="1713">
      <c r="A1713" t="inlineStr">
        <is>
          <t>ORD01712</t>
        </is>
      </c>
      <c r="B1713" t="inlineStr">
        <is>
          <t>C1712</t>
        </is>
      </c>
      <c r="C1713" t="n">
        <v>2</v>
      </c>
      <c r="D1713" t="inlineStr">
        <is>
          <t>Hub A</t>
        </is>
      </c>
      <c r="E1713" t="n">
        <v>62</v>
      </c>
      <c r="F1713" t="n">
        <v>22</v>
      </c>
    </row>
    <row r="1714">
      <c r="A1714" t="inlineStr">
        <is>
          <t>ORD01713</t>
        </is>
      </c>
      <c r="B1714" t="inlineStr">
        <is>
          <t>C1713</t>
        </is>
      </c>
      <c r="C1714" t="n">
        <v>3</v>
      </c>
      <c r="D1714" t="inlineStr">
        <is>
          <t>Hub A</t>
        </is>
      </c>
      <c r="E1714" t="n">
        <v>69</v>
      </c>
      <c r="F1714" t="n">
        <v>22</v>
      </c>
    </row>
    <row r="1715">
      <c r="A1715" t="inlineStr">
        <is>
          <t>ORD01714</t>
        </is>
      </c>
      <c r="B1715" t="inlineStr">
        <is>
          <t>C1714</t>
        </is>
      </c>
      <c r="C1715" t="n">
        <v>1</v>
      </c>
      <c r="D1715" t="inlineStr">
        <is>
          <t>Hub A</t>
        </is>
      </c>
      <c r="E1715" t="n">
        <v>76</v>
      </c>
      <c r="F1715" t="n">
        <v>22</v>
      </c>
    </row>
    <row r="1716">
      <c r="A1716" t="inlineStr">
        <is>
          <t>ORD01715</t>
        </is>
      </c>
      <c r="B1716" t="inlineStr">
        <is>
          <t>C1715</t>
        </is>
      </c>
      <c r="C1716" t="n">
        <v>2</v>
      </c>
      <c r="D1716" t="inlineStr">
        <is>
          <t>Hub A</t>
        </is>
      </c>
      <c r="E1716" t="n">
        <v>23</v>
      </c>
      <c r="F1716" t="n">
        <v>22</v>
      </c>
    </row>
    <row r="1717">
      <c r="A1717" t="inlineStr">
        <is>
          <t>ORD01716</t>
        </is>
      </c>
      <c r="B1717" t="inlineStr">
        <is>
          <t>C1716</t>
        </is>
      </c>
      <c r="C1717" t="n">
        <v>3</v>
      </c>
      <c r="D1717" t="inlineStr">
        <is>
          <t>Hub A</t>
        </is>
      </c>
      <c r="E1717" t="n">
        <v>30</v>
      </c>
      <c r="F1717" t="n">
        <v>22</v>
      </c>
    </row>
    <row r="1718">
      <c r="A1718" t="inlineStr">
        <is>
          <t>ORD01717</t>
        </is>
      </c>
      <c r="B1718" t="inlineStr">
        <is>
          <t>C1717</t>
        </is>
      </c>
      <c r="C1718" t="n">
        <v>1</v>
      </c>
      <c r="D1718" t="inlineStr">
        <is>
          <t>Hub A</t>
        </is>
      </c>
      <c r="E1718" t="n">
        <v>37</v>
      </c>
      <c r="F1718" t="n">
        <v>22</v>
      </c>
    </row>
    <row r="1719">
      <c r="A1719" t="inlineStr">
        <is>
          <t>ORD01718</t>
        </is>
      </c>
      <c r="B1719" t="inlineStr">
        <is>
          <t>C1718</t>
        </is>
      </c>
      <c r="C1719" t="n">
        <v>2</v>
      </c>
      <c r="D1719" t="inlineStr">
        <is>
          <t>Hub A</t>
        </is>
      </c>
      <c r="E1719" t="n">
        <v>44</v>
      </c>
      <c r="F1719" t="n">
        <v>22</v>
      </c>
    </row>
    <row r="1720">
      <c r="A1720" t="inlineStr">
        <is>
          <t>ORD01719</t>
        </is>
      </c>
      <c r="B1720" t="inlineStr">
        <is>
          <t>C1719</t>
        </is>
      </c>
      <c r="C1720" t="n">
        <v>3</v>
      </c>
      <c r="D1720" t="inlineStr">
        <is>
          <t>Hub A</t>
        </is>
      </c>
      <c r="E1720" t="n">
        <v>51</v>
      </c>
      <c r="F1720" t="n">
        <v>22</v>
      </c>
    </row>
    <row r="1721">
      <c r="A1721" t="inlineStr">
        <is>
          <t>ORD01720</t>
        </is>
      </c>
      <c r="B1721" t="inlineStr">
        <is>
          <t>C1720</t>
        </is>
      </c>
      <c r="C1721" t="n">
        <v>1</v>
      </c>
      <c r="D1721" t="inlineStr">
        <is>
          <t>Hub A</t>
        </is>
      </c>
      <c r="E1721" t="n">
        <v>58</v>
      </c>
      <c r="F1721" t="n">
        <v>22</v>
      </c>
    </row>
    <row r="1722">
      <c r="A1722" t="inlineStr">
        <is>
          <t>ORD01721</t>
        </is>
      </c>
      <c r="B1722" t="inlineStr">
        <is>
          <t>C1721</t>
        </is>
      </c>
      <c r="C1722" t="n">
        <v>2</v>
      </c>
      <c r="D1722" t="inlineStr">
        <is>
          <t>Hub A</t>
        </is>
      </c>
      <c r="E1722" t="n">
        <v>65</v>
      </c>
      <c r="F1722" t="n">
        <v>22</v>
      </c>
    </row>
    <row r="1723">
      <c r="A1723" t="inlineStr">
        <is>
          <t>ORD01722</t>
        </is>
      </c>
      <c r="B1723" t="inlineStr">
        <is>
          <t>C1722</t>
        </is>
      </c>
      <c r="C1723" t="n">
        <v>3</v>
      </c>
      <c r="D1723" t="inlineStr">
        <is>
          <t>Hub A</t>
        </is>
      </c>
      <c r="E1723" t="n">
        <v>72</v>
      </c>
      <c r="F1723" t="n">
        <v>22</v>
      </c>
    </row>
    <row r="1724">
      <c r="A1724" t="inlineStr">
        <is>
          <t>ORD01723</t>
        </is>
      </c>
      <c r="B1724" t="inlineStr">
        <is>
          <t>C1723</t>
        </is>
      </c>
      <c r="C1724" t="n">
        <v>1</v>
      </c>
      <c r="D1724" t="inlineStr">
        <is>
          <t>Hub A</t>
        </is>
      </c>
      <c r="E1724" t="n">
        <v>19</v>
      </c>
      <c r="F1724" t="n">
        <v>22</v>
      </c>
    </row>
    <row r="1725">
      <c r="A1725" t="inlineStr">
        <is>
          <t>ORD01724</t>
        </is>
      </c>
      <c r="B1725" t="inlineStr">
        <is>
          <t>C1724</t>
        </is>
      </c>
      <c r="C1725" t="n">
        <v>2</v>
      </c>
      <c r="D1725" t="inlineStr">
        <is>
          <t>Hub A</t>
        </is>
      </c>
      <c r="E1725" t="n">
        <v>26</v>
      </c>
      <c r="F1725" t="n">
        <v>22</v>
      </c>
    </row>
    <row r="1726">
      <c r="A1726" t="inlineStr">
        <is>
          <t>ORD01725</t>
        </is>
      </c>
      <c r="B1726" t="inlineStr">
        <is>
          <t>C1725</t>
        </is>
      </c>
      <c r="C1726" t="n">
        <v>3</v>
      </c>
      <c r="D1726" t="inlineStr">
        <is>
          <t>Hub A</t>
        </is>
      </c>
      <c r="E1726" t="n">
        <v>33</v>
      </c>
      <c r="F1726" t="n">
        <v>22</v>
      </c>
    </row>
    <row r="1727">
      <c r="A1727" t="inlineStr">
        <is>
          <t>ORD01726</t>
        </is>
      </c>
      <c r="B1727" t="inlineStr">
        <is>
          <t>C1726</t>
        </is>
      </c>
      <c r="C1727" t="n">
        <v>1</v>
      </c>
      <c r="D1727" t="inlineStr">
        <is>
          <t>Hub A</t>
        </is>
      </c>
      <c r="E1727" t="n">
        <v>40</v>
      </c>
      <c r="F1727" t="n">
        <v>22</v>
      </c>
    </row>
    <row r="1728">
      <c r="A1728" t="inlineStr">
        <is>
          <t>ORD01727</t>
        </is>
      </c>
      <c r="B1728" t="inlineStr">
        <is>
          <t>C1727</t>
        </is>
      </c>
      <c r="C1728" t="n">
        <v>2</v>
      </c>
      <c r="D1728" t="inlineStr">
        <is>
          <t>Hub A</t>
        </is>
      </c>
      <c r="E1728" t="n">
        <v>47</v>
      </c>
      <c r="F1728" t="n">
        <v>22</v>
      </c>
    </row>
    <row r="1729">
      <c r="A1729" t="inlineStr">
        <is>
          <t>ORD01728</t>
        </is>
      </c>
      <c r="B1729" t="inlineStr">
        <is>
          <t>C1728</t>
        </is>
      </c>
      <c r="C1729" t="n">
        <v>3</v>
      </c>
      <c r="D1729" t="inlineStr">
        <is>
          <t>Hub A</t>
        </is>
      </c>
      <c r="E1729" t="n">
        <v>54</v>
      </c>
      <c r="F1729" t="n">
        <v>22</v>
      </c>
    </row>
    <row r="1730">
      <c r="A1730" t="inlineStr">
        <is>
          <t>ORD01729</t>
        </is>
      </c>
      <c r="B1730" t="inlineStr">
        <is>
          <t>C1729</t>
        </is>
      </c>
      <c r="C1730" t="n">
        <v>1</v>
      </c>
      <c r="D1730" t="inlineStr">
        <is>
          <t>Hub A</t>
        </is>
      </c>
      <c r="E1730" t="n">
        <v>61</v>
      </c>
      <c r="F1730" t="n">
        <v>22</v>
      </c>
    </row>
    <row r="1731">
      <c r="A1731" t="inlineStr">
        <is>
          <t>ORD01730</t>
        </is>
      </c>
      <c r="B1731" t="inlineStr">
        <is>
          <t>C1730</t>
        </is>
      </c>
      <c r="C1731" t="n">
        <v>2</v>
      </c>
      <c r="D1731" t="inlineStr">
        <is>
          <t>Hub A</t>
        </is>
      </c>
      <c r="E1731" t="n">
        <v>68</v>
      </c>
      <c r="F1731" t="n">
        <v>22</v>
      </c>
    </row>
    <row r="1732">
      <c r="A1732" t="inlineStr">
        <is>
          <t>ORD01731</t>
        </is>
      </c>
      <c r="B1732" t="inlineStr">
        <is>
          <t>C1731</t>
        </is>
      </c>
      <c r="C1732" t="n">
        <v>3</v>
      </c>
      <c r="D1732" t="inlineStr">
        <is>
          <t>Hub A</t>
        </is>
      </c>
      <c r="E1732" t="n">
        <v>75</v>
      </c>
      <c r="F1732" t="n">
        <v>22</v>
      </c>
    </row>
    <row r="1733">
      <c r="A1733" t="inlineStr">
        <is>
          <t>ORD01732</t>
        </is>
      </c>
      <c r="B1733" t="inlineStr">
        <is>
          <t>C1732</t>
        </is>
      </c>
      <c r="C1733" t="n">
        <v>1</v>
      </c>
      <c r="D1733" t="inlineStr">
        <is>
          <t>Hub A</t>
        </is>
      </c>
      <c r="E1733" t="n">
        <v>22</v>
      </c>
      <c r="F1733" t="n">
        <v>22</v>
      </c>
    </row>
    <row r="1734">
      <c r="A1734" t="inlineStr">
        <is>
          <t>ORD01733</t>
        </is>
      </c>
      <c r="B1734" t="inlineStr">
        <is>
          <t>C1733</t>
        </is>
      </c>
      <c r="C1734" t="n">
        <v>2</v>
      </c>
      <c r="D1734" t="inlineStr">
        <is>
          <t>Hub A</t>
        </is>
      </c>
      <c r="E1734" t="n">
        <v>29</v>
      </c>
      <c r="F1734" t="n">
        <v>22</v>
      </c>
    </row>
    <row r="1735">
      <c r="A1735" t="inlineStr">
        <is>
          <t>ORD01734</t>
        </is>
      </c>
      <c r="B1735" t="inlineStr">
        <is>
          <t>C1734</t>
        </is>
      </c>
      <c r="C1735" t="n">
        <v>3</v>
      </c>
      <c r="D1735" t="inlineStr">
        <is>
          <t>Hub A</t>
        </is>
      </c>
      <c r="E1735" t="n">
        <v>36</v>
      </c>
      <c r="F1735" t="n">
        <v>22</v>
      </c>
    </row>
    <row r="1736">
      <c r="A1736" t="inlineStr">
        <is>
          <t>ORD01735</t>
        </is>
      </c>
      <c r="B1736" t="inlineStr">
        <is>
          <t>C1735</t>
        </is>
      </c>
      <c r="C1736" t="n">
        <v>1</v>
      </c>
      <c r="D1736" t="inlineStr">
        <is>
          <t>Hub A</t>
        </is>
      </c>
      <c r="E1736" t="n">
        <v>43</v>
      </c>
      <c r="F1736" t="n">
        <v>22</v>
      </c>
    </row>
    <row r="1737">
      <c r="A1737" t="inlineStr">
        <is>
          <t>ORD01736</t>
        </is>
      </c>
      <c r="B1737" t="inlineStr">
        <is>
          <t>C1736</t>
        </is>
      </c>
      <c r="C1737" t="n">
        <v>2</v>
      </c>
      <c r="D1737" t="inlineStr">
        <is>
          <t>Hub A</t>
        </is>
      </c>
      <c r="E1737" t="n">
        <v>50</v>
      </c>
      <c r="F1737" t="n">
        <v>22</v>
      </c>
    </row>
    <row r="1738">
      <c r="A1738" t="inlineStr">
        <is>
          <t>ORD01737</t>
        </is>
      </c>
      <c r="B1738" t="inlineStr">
        <is>
          <t>C1737</t>
        </is>
      </c>
      <c r="C1738" t="n">
        <v>3</v>
      </c>
      <c r="D1738" t="inlineStr">
        <is>
          <t>Hub A</t>
        </is>
      </c>
      <c r="E1738" t="n">
        <v>57</v>
      </c>
      <c r="F1738" t="n">
        <v>22</v>
      </c>
    </row>
    <row r="1739">
      <c r="A1739" t="inlineStr">
        <is>
          <t>ORD01738</t>
        </is>
      </c>
      <c r="B1739" t="inlineStr">
        <is>
          <t>C1738</t>
        </is>
      </c>
      <c r="C1739" t="n">
        <v>1</v>
      </c>
      <c r="D1739" t="inlineStr">
        <is>
          <t>Hub A</t>
        </is>
      </c>
      <c r="E1739" t="n">
        <v>64</v>
      </c>
      <c r="F1739" t="n">
        <v>22</v>
      </c>
    </row>
    <row r="1740">
      <c r="A1740" t="inlineStr">
        <is>
          <t>ORD01739</t>
        </is>
      </c>
      <c r="B1740" t="inlineStr">
        <is>
          <t>C1739</t>
        </is>
      </c>
      <c r="C1740" t="n">
        <v>2</v>
      </c>
      <c r="D1740" t="inlineStr">
        <is>
          <t>Hub A</t>
        </is>
      </c>
      <c r="E1740" t="n">
        <v>71</v>
      </c>
      <c r="F1740" t="n">
        <v>22</v>
      </c>
    </row>
    <row r="1741">
      <c r="A1741" t="inlineStr">
        <is>
          <t>ORD01740</t>
        </is>
      </c>
      <c r="B1741" t="inlineStr">
        <is>
          <t>C1740</t>
        </is>
      </c>
      <c r="C1741" t="n">
        <v>3</v>
      </c>
      <c r="D1741" t="inlineStr">
        <is>
          <t>Hub A</t>
        </is>
      </c>
      <c r="E1741" t="n">
        <v>18</v>
      </c>
      <c r="F1741" t="n">
        <v>22</v>
      </c>
    </row>
    <row r="1742">
      <c r="A1742" t="inlineStr">
        <is>
          <t>ORD01741</t>
        </is>
      </c>
      <c r="B1742" t="inlineStr">
        <is>
          <t>C1741</t>
        </is>
      </c>
      <c r="C1742" t="n">
        <v>1</v>
      </c>
      <c r="D1742" t="inlineStr">
        <is>
          <t>Hub A</t>
        </is>
      </c>
      <c r="E1742" t="n">
        <v>25</v>
      </c>
      <c r="F1742" t="n">
        <v>22</v>
      </c>
    </row>
    <row r="1743">
      <c r="A1743" t="inlineStr">
        <is>
          <t>ORD01742</t>
        </is>
      </c>
      <c r="B1743" t="inlineStr">
        <is>
          <t>C1742</t>
        </is>
      </c>
      <c r="C1743" t="n">
        <v>2</v>
      </c>
      <c r="D1743" t="inlineStr">
        <is>
          <t>Hub A</t>
        </is>
      </c>
      <c r="E1743" t="n">
        <v>32</v>
      </c>
      <c r="F1743" t="n">
        <v>22</v>
      </c>
    </row>
    <row r="1744">
      <c r="A1744" t="inlineStr">
        <is>
          <t>ORD01743</t>
        </is>
      </c>
      <c r="B1744" t="inlineStr">
        <is>
          <t>C1743</t>
        </is>
      </c>
      <c r="C1744" t="n">
        <v>3</v>
      </c>
      <c r="D1744" t="inlineStr">
        <is>
          <t>Hub A</t>
        </is>
      </c>
      <c r="E1744" t="n">
        <v>39</v>
      </c>
      <c r="F1744" t="n">
        <v>22</v>
      </c>
    </row>
    <row r="1745">
      <c r="A1745" t="inlineStr">
        <is>
          <t>ORD01744</t>
        </is>
      </c>
      <c r="B1745" t="inlineStr">
        <is>
          <t>C1744</t>
        </is>
      </c>
      <c r="C1745" t="n">
        <v>1</v>
      </c>
      <c r="D1745" t="inlineStr">
        <is>
          <t>Hub A</t>
        </is>
      </c>
      <c r="E1745" t="n">
        <v>46</v>
      </c>
      <c r="F1745" t="n">
        <v>22</v>
      </c>
    </row>
    <row r="1746">
      <c r="A1746" t="inlineStr">
        <is>
          <t>ORD01745</t>
        </is>
      </c>
      <c r="B1746" t="inlineStr">
        <is>
          <t>C1745</t>
        </is>
      </c>
      <c r="C1746" t="n">
        <v>2</v>
      </c>
      <c r="D1746" t="inlineStr">
        <is>
          <t>Hub A</t>
        </is>
      </c>
      <c r="E1746" t="n">
        <v>53</v>
      </c>
      <c r="F1746" t="n">
        <v>22</v>
      </c>
    </row>
    <row r="1747">
      <c r="A1747" t="inlineStr">
        <is>
          <t>ORD01746</t>
        </is>
      </c>
      <c r="B1747" t="inlineStr">
        <is>
          <t>C1746</t>
        </is>
      </c>
      <c r="C1747" t="n">
        <v>3</v>
      </c>
      <c r="D1747" t="inlineStr">
        <is>
          <t>Hub A</t>
        </is>
      </c>
      <c r="E1747" t="n">
        <v>60</v>
      </c>
      <c r="F1747" t="n">
        <v>22</v>
      </c>
    </row>
    <row r="1748">
      <c r="A1748" t="inlineStr">
        <is>
          <t>ORD01747</t>
        </is>
      </c>
      <c r="B1748" t="inlineStr">
        <is>
          <t>C1747</t>
        </is>
      </c>
      <c r="C1748" t="n">
        <v>1</v>
      </c>
      <c r="D1748" t="inlineStr">
        <is>
          <t>Hub A</t>
        </is>
      </c>
      <c r="E1748" t="n">
        <v>67</v>
      </c>
      <c r="F1748" t="n">
        <v>22</v>
      </c>
    </row>
    <row r="1749">
      <c r="A1749" t="inlineStr">
        <is>
          <t>ORD01748</t>
        </is>
      </c>
      <c r="B1749" t="inlineStr">
        <is>
          <t>C1748</t>
        </is>
      </c>
      <c r="C1749" t="n">
        <v>2</v>
      </c>
      <c r="D1749" t="inlineStr">
        <is>
          <t>Hub A</t>
        </is>
      </c>
      <c r="E1749" t="n">
        <v>74</v>
      </c>
      <c r="F1749" t="n">
        <v>22</v>
      </c>
    </row>
    <row r="1750">
      <c r="A1750" t="inlineStr">
        <is>
          <t>ORD01749</t>
        </is>
      </c>
      <c r="B1750" t="inlineStr">
        <is>
          <t>C1749</t>
        </is>
      </c>
      <c r="C1750" t="n">
        <v>3</v>
      </c>
      <c r="D1750" t="inlineStr">
        <is>
          <t>Hub A</t>
        </is>
      </c>
      <c r="E1750" t="n">
        <v>21</v>
      </c>
      <c r="F1750" t="n">
        <v>22</v>
      </c>
    </row>
    <row r="1751">
      <c r="A1751" t="inlineStr">
        <is>
          <t>ORD01750</t>
        </is>
      </c>
      <c r="B1751" t="inlineStr">
        <is>
          <t>C1750</t>
        </is>
      </c>
      <c r="C1751" t="n">
        <v>1</v>
      </c>
      <c r="D1751" t="inlineStr">
        <is>
          <t>Hub A</t>
        </is>
      </c>
      <c r="E1751" t="n">
        <v>28</v>
      </c>
      <c r="F1751" t="n">
        <v>22</v>
      </c>
    </row>
    <row r="1752">
      <c r="A1752" t="inlineStr">
        <is>
          <t>ORD01751</t>
        </is>
      </c>
      <c r="B1752" t="inlineStr">
        <is>
          <t>C1751</t>
        </is>
      </c>
      <c r="C1752" t="n">
        <v>2</v>
      </c>
      <c r="D1752" t="inlineStr">
        <is>
          <t>Hub A</t>
        </is>
      </c>
      <c r="E1752" t="n">
        <v>35</v>
      </c>
      <c r="F1752" t="n">
        <v>22</v>
      </c>
    </row>
    <row r="1753">
      <c r="A1753" t="inlineStr">
        <is>
          <t>ORD01752</t>
        </is>
      </c>
      <c r="B1753" t="inlineStr">
        <is>
          <t>C1752</t>
        </is>
      </c>
      <c r="C1753" t="n">
        <v>3</v>
      </c>
      <c r="D1753" t="inlineStr">
        <is>
          <t>Hub A</t>
        </is>
      </c>
      <c r="E1753" t="n">
        <v>42</v>
      </c>
      <c r="F1753" t="n">
        <v>22</v>
      </c>
    </row>
    <row r="1754">
      <c r="A1754" t="inlineStr">
        <is>
          <t>ORD01753</t>
        </is>
      </c>
      <c r="B1754" t="inlineStr">
        <is>
          <t>C1753</t>
        </is>
      </c>
      <c r="C1754" t="n">
        <v>1</v>
      </c>
      <c r="D1754" t="inlineStr">
        <is>
          <t>Hub A</t>
        </is>
      </c>
      <c r="E1754" t="n">
        <v>49</v>
      </c>
      <c r="F1754" t="n">
        <v>22</v>
      </c>
    </row>
    <row r="1755">
      <c r="A1755" t="inlineStr">
        <is>
          <t>ORD01754</t>
        </is>
      </c>
      <c r="B1755" t="inlineStr">
        <is>
          <t>C1754</t>
        </is>
      </c>
      <c r="C1755" t="n">
        <v>2</v>
      </c>
      <c r="D1755" t="inlineStr">
        <is>
          <t>Hub A</t>
        </is>
      </c>
      <c r="E1755" t="n">
        <v>56</v>
      </c>
      <c r="F1755" t="n">
        <v>22</v>
      </c>
    </row>
    <row r="1756">
      <c r="A1756" t="inlineStr">
        <is>
          <t>ORD01755</t>
        </is>
      </c>
      <c r="B1756" t="inlineStr">
        <is>
          <t>C1755</t>
        </is>
      </c>
      <c r="C1756" t="n">
        <v>3</v>
      </c>
      <c r="D1756" t="inlineStr">
        <is>
          <t>Hub A</t>
        </is>
      </c>
      <c r="E1756" t="n">
        <v>63</v>
      </c>
      <c r="F1756" t="n">
        <v>22</v>
      </c>
    </row>
    <row r="1757">
      <c r="A1757" t="inlineStr">
        <is>
          <t>ORD01756</t>
        </is>
      </c>
      <c r="B1757" t="inlineStr">
        <is>
          <t>C1756</t>
        </is>
      </c>
      <c r="C1757" t="n">
        <v>1</v>
      </c>
      <c r="D1757" t="inlineStr">
        <is>
          <t>Hub A</t>
        </is>
      </c>
      <c r="E1757" t="n">
        <v>70</v>
      </c>
      <c r="F1757" t="n">
        <v>22</v>
      </c>
    </row>
    <row r="1758">
      <c r="A1758" t="inlineStr">
        <is>
          <t>ORD01757</t>
        </is>
      </c>
      <c r="B1758" t="inlineStr">
        <is>
          <t>C1757</t>
        </is>
      </c>
      <c r="C1758" t="n">
        <v>2</v>
      </c>
      <c r="D1758" t="inlineStr">
        <is>
          <t>Hub A</t>
        </is>
      </c>
      <c r="E1758" t="n">
        <v>77</v>
      </c>
      <c r="F1758" t="n">
        <v>22</v>
      </c>
    </row>
    <row r="1759">
      <c r="A1759" t="inlineStr">
        <is>
          <t>ORD01758</t>
        </is>
      </c>
      <c r="B1759" t="inlineStr">
        <is>
          <t>C1758</t>
        </is>
      </c>
      <c r="C1759" t="n">
        <v>3</v>
      </c>
      <c r="D1759" t="inlineStr">
        <is>
          <t>Hub A</t>
        </is>
      </c>
      <c r="E1759" t="n">
        <v>24</v>
      </c>
      <c r="F1759" t="n">
        <v>22</v>
      </c>
    </row>
    <row r="1760">
      <c r="A1760" t="inlineStr">
        <is>
          <t>ORD01759</t>
        </is>
      </c>
      <c r="B1760" t="inlineStr">
        <is>
          <t>C1759</t>
        </is>
      </c>
      <c r="C1760" t="n">
        <v>1</v>
      </c>
      <c r="D1760" t="inlineStr">
        <is>
          <t>Hub A</t>
        </is>
      </c>
      <c r="E1760" t="n">
        <v>31</v>
      </c>
      <c r="F1760" t="n">
        <v>22</v>
      </c>
    </row>
    <row r="1761">
      <c r="A1761" t="inlineStr">
        <is>
          <t>ORD01760</t>
        </is>
      </c>
      <c r="B1761" t="inlineStr">
        <is>
          <t>C1760</t>
        </is>
      </c>
      <c r="C1761" t="n">
        <v>2</v>
      </c>
      <c r="D1761" t="inlineStr">
        <is>
          <t>Hub A</t>
        </is>
      </c>
      <c r="E1761" t="n">
        <v>38</v>
      </c>
      <c r="F1761" t="n">
        <v>22</v>
      </c>
    </row>
    <row r="1762">
      <c r="A1762" t="inlineStr">
        <is>
          <t>ORD01761</t>
        </is>
      </c>
      <c r="B1762" t="inlineStr">
        <is>
          <t>C1761</t>
        </is>
      </c>
      <c r="C1762" t="n">
        <v>3</v>
      </c>
      <c r="D1762" t="inlineStr">
        <is>
          <t>Hub A</t>
        </is>
      </c>
      <c r="E1762" t="n">
        <v>45</v>
      </c>
      <c r="F1762" t="n">
        <v>22</v>
      </c>
    </row>
    <row r="1763">
      <c r="A1763" t="inlineStr">
        <is>
          <t>ORD01762</t>
        </is>
      </c>
      <c r="B1763" t="inlineStr">
        <is>
          <t>C1762</t>
        </is>
      </c>
      <c r="C1763" t="n">
        <v>1</v>
      </c>
      <c r="D1763" t="inlineStr">
        <is>
          <t>Hub A</t>
        </is>
      </c>
      <c r="E1763" t="n">
        <v>52</v>
      </c>
      <c r="F1763" t="n">
        <v>22</v>
      </c>
    </row>
    <row r="1764">
      <c r="A1764" t="inlineStr">
        <is>
          <t>ORD01763</t>
        </is>
      </c>
      <c r="B1764" t="inlineStr">
        <is>
          <t>C1763</t>
        </is>
      </c>
      <c r="C1764" t="n">
        <v>2</v>
      </c>
      <c r="D1764" t="inlineStr">
        <is>
          <t>Hub A</t>
        </is>
      </c>
      <c r="E1764" t="n">
        <v>59</v>
      </c>
      <c r="F1764" t="n">
        <v>22</v>
      </c>
    </row>
    <row r="1765">
      <c r="A1765" t="inlineStr">
        <is>
          <t>ORD01764</t>
        </is>
      </c>
      <c r="B1765" t="inlineStr">
        <is>
          <t>C1764</t>
        </is>
      </c>
      <c r="C1765" t="n">
        <v>3</v>
      </c>
      <c r="D1765" t="inlineStr">
        <is>
          <t>Hub A</t>
        </is>
      </c>
      <c r="E1765" t="n">
        <v>66</v>
      </c>
      <c r="F1765" t="n">
        <v>22</v>
      </c>
    </row>
    <row r="1766">
      <c r="A1766" t="inlineStr">
        <is>
          <t>ORD01765</t>
        </is>
      </c>
      <c r="B1766" t="inlineStr">
        <is>
          <t>C1765</t>
        </is>
      </c>
      <c r="C1766" t="n">
        <v>1</v>
      </c>
      <c r="D1766" t="inlineStr">
        <is>
          <t>Hub A</t>
        </is>
      </c>
      <c r="E1766" t="n">
        <v>73</v>
      </c>
      <c r="F1766" t="n">
        <v>22</v>
      </c>
    </row>
    <row r="1767">
      <c r="A1767" t="inlineStr">
        <is>
          <t>ORD01766</t>
        </is>
      </c>
      <c r="B1767" t="inlineStr">
        <is>
          <t>C1766</t>
        </is>
      </c>
      <c r="C1767" t="n">
        <v>2</v>
      </c>
      <c r="D1767" t="inlineStr">
        <is>
          <t>Hub A</t>
        </is>
      </c>
      <c r="E1767" t="n">
        <v>20</v>
      </c>
      <c r="F1767" t="n">
        <v>22</v>
      </c>
    </row>
    <row r="1768">
      <c r="A1768" t="inlineStr">
        <is>
          <t>ORD01767</t>
        </is>
      </c>
      <c r="B1768" t="inlineStr">
        <is>
          <t>C1767</t>
        </is>
      </c>
      <c r="C1768" t="n">
        <v>3</v>
      </c>
      <c r="D1768" t="inlineStr">
        <is>
          <t>Hub A</t>
        </is>
      </c>
      <c r="E1768" t="n">
        <v>27</v>
      </c>
      <c r="F1768" t="n">
        <v>22</v>
      </c>
    </row>
    <row r="1769">
      <c r="A1769" t="inlineStr">
        <is>
          <t>ORD01768</t>
        </is>
      </c>
      <c r="B1769" t="inlineStr">
        <is>
          <t>C1768</t>
        </is>
      </c>
      <c r="C1769" t="n">
        <v>1</v>
      </c>
      <c r="D1769" t="inlineStr">
        <is>
          <t>Hub A</t>
        </is>
      </c>
      <c r="E1769" t="n">
        <v>34</v>
      </c>
      <c r="F1769" t="n">
        <v>22</v>
      </c>
    </row>
    <row r="1770">
      <c r="A1770" t="inlineStr">
        <is>
          <t>ORD01769</t>
        </is>
      </c>
      <c r="B1770" t="inlineStr">
        <is>
          <t>C1769</t>
        </is>
      </c>
      <c r="C1770" t="n">
        <v>2</v>
      </c>
      <c r="D1770" t="inlineStr">
        <is>
          <t>Hub A</t>
        </is>
      </c>
      <c r="E1770" t="n">
        <v>41</v>
      </c>
      <c r="F1770" t="n">
        <v>22</v>
      </c>
    </row>
    <row r="1771">
      <c r="A1771" t="inlineStr">
        <is>
          <t>ORD01770</t>
        </is>
      </c>
      <c r="B1771" t="inlineStr">
        <is>
          <t>C1770</t>
        </is>
      </c>
      <c r="C1771" t="n">
        <v>3</v>
      </c>
      <c r="D1771" t="inlineStr">
        <is>
          <t>Hub A</t>
        </is>
      </c>
      <c r="E1771" t="n">
        <v>48</v>
      </c>
      <c r="F1771" t="n">
        <v>22</v>
      </c>
    </row>
    <row r="1772">
      <c r="A1772" t="inlineStr">
        <is>
          <t>ORD01771</t>
        </is>
      </c>
      <c r="B1772" t="inlineStr">
        <is>
          <t>C1771</t>
        </is>
      </c>
      <c r="C1772" t="n">
        <v>1</v>
      </c>
      <c r="D1772" t="inlineStr">
        <is>
          <t>Hub A</t>
        </is>
      </c>
      <c r="E1772" t="n">
        <v>55</v>
      </c>
      <c r="F1772" t="n">
        <v>22</v>
      </c>
    </row>
    <row r="1773">
      <c r="A1773" t="inlineStr">
        <is>
          <t>ORD01772</t>
        </is>
      </c>
      <c r="B1773" t="inlineStr">
        <is>
          <t>C1772</t>
        </is>
      </c>
      <c r="C1773" t="n">
        <v>2</v>
      </c>
      <c r="D1773" t="inlineStr">
        <is>
          <t>Hub A</t>
        </is>
      </c>
      <c r="E1773" t="n">
        <v>62</v>
      </c>
      <c r="F1773" t="n">
        <v>22</v>
      </c>
    </row>
    <row r="1774">
      <c r="A1774" t="inlineStr">
        <is>
          <t>ORD01773</t>
        </is>
      </c>
      <c r="B1774" t="inlineStr">
        <is>
          <t>C1773</t>
        </is>
      </c>
      <c r="C1774" t="n">
        <v>3</v>
      </c>
      <c r="D1774" t="inlineStr">
        <is>
          <t>Hub A</t>
        </is>
      </c>
      <c r="E1774" t="n">
        <v>69</v>
      </c>
      <c r="F1774" t="n">
        <v>22</v>
      </c>
    </row>
    <row r="1775">
      <c r="A1775" t="inlineStr">
        <is>
          <t>ORD01774</t>
        </is>
      </c>
      <c r="B1775" t="inlineStr">
        <is>
          <t>C1774</t>
        </is>
      </c>
      <c r="C1775" t="n">
        <v>1</v>
      </c>
      <c r="D1775" t="inlineStr">
        <is>
          <t>Hub A</t>
        </is>
      </c>
      <c r="E1775" t="n">
        <v>76</v>
      </c>
      <c r="F1775" t="n">
        <v>22</v>
      </c>
    </row>
    <row r="1776">
      <c r="A1776" t="inlineStr">
        <is>
          <t>ORD01775</t>
        </is>
      </c>
      <c r="B1776" t="inlineStr">
        <is>
          <t>C1775</t>
        </is>
      </c>
      <c r="C1776" t="n">
        <v>2</v>
      </c>
      <c r="D1776" t="inlineStr">
        <is>
          <t>Hub A</t>
        </is>
      </c>
      <c r="E1776" t="n">
        <v>23</v>
      </c>
      <c r="F1776" t="n">
        <v>22</v>
      </c>
    </row>
    <row r="1777">
      <c r="A1777" t="inlineStr">
        <is>
          <t>ORD01776</t>
        </is>
      </c>
      <c r="B1777" t="inlineStr">
        <is>
          <t>C1776</t>
        </is>
      </c>
      <c r="C1777" t="n">
        <v>3</v>
      </c>
      <c r="D1777" t="inlineStr">
        <is>
          <t>Hub A</t>
        </is>
      </c>
      <c r="E1777" t="n">
        <v>30</v>
      </c>
      <c r="F1777" t="n">
        <v>22</v>
      </c>
    </row>
    <row r="1778">
      <c r="A1778" t="inlineStr">
        <is>
          <t>ORD01777</t>
        </is>
      </c>
      <c r="B1778" t="inlineStr">
        <is>
          <t>C1777</t>
        </is>
      </c>
      <c r="C1778" t="n">
        <v>1</v>
      </c>
      <c r="D1778" t="inlineStr">
        <is>
          <t>Hub A</t>
        </is>
      </c>
      <c r="E1778" t="n">
        <v>37</v>
      </c>
      <c r="F1778" t="n">
        <v>22</v>
      </c>
    </row>
    <row r="1779">
      <c r="A1779" t="inlineStr">
        <is>
          <t>ORD01778</t>
        </is>
      </c>
      <c r="B1779" t="inlineStr">
        <is>
          <t>C1778</t>
        </is>
      </c>
      <c r="C1779" t="n">
        <v>2</v>
      </c>
      <c r="D1779" t="inlineStr">
        <is>
          <t>Hub A</t>
        </is>
      </c>
      <c r="E1779" t="n">
        <v>44</v>
      </c>
      <c r="F1779" t="n">
        <v>22</v>
      </c>
    </row>
    <row r="1780">
      <c r="A1780" t="inlineStr">
        <is>
          <t>ORD01779</t>
        </is>
      </c>
      <c r="B1780" t="inlineStr">
        <is>
          <t>C1779</t>
        </is>
      </c>
      <c r="C1780" t="n">
        <v>3</v>
      </c>
      <c r="D1780" t="inlineStr">
        <is>
          <t>Hub A</t>
        </is>
      </c>
      <c r="E1780" t="n">
        <v>51</v>
      </c>
      <c r="F1780" t="n">
        <v>22</v>
      </c>
    </row>
    <row r="1781">
      <c r="A1781" t="inlineStr">
        <is>
          <t>ORD01780</t>
        </is>
      </c>
      <c r="B1781" t="inlineStr">
        <is>
          <t>C1780</t>
        </is>
      </c>
      <c r="C1781" t="n">
        <v>1</v>
      </c>
      <c r="D1781" t="inlineStr">
        <is>
          <t>Hub A</t>
        </is>
      </c>
      <c r="E1781" t="n">
        <v>58</v>
      </c>
      <c r="F1781" t="n">
        <v>22</v>
      </c>
    </row>
    <row r="1782">
      <c r="A1782" t="inlineStr">
        <is>
          <t>ORD01781</t>
        </is>
      </c>
      <c r="B1782" t="inlineStr">
        <is>
          <t>C1781</t>
        </is>
      </c>
      <c r="C1782" t="n">
        <v>2</v>
      </c>
      <c r="D1782" t="inlineStr">
        <is>
          <t>Hub A</t>
        </is>
      </c>
      <c r="E1782" t="n">
        <v>65</v>
      </c>
      <c r="F1782" t="n">
        <v>22</v>
      </c>
    </row>
    <row r="1783">
      <c r="A1783" t="inlineStr">
        <is>
          <t>ORD01782</t>
        </is>
      </c>
      <c r="B1783" t="inlineStr">
        <is>
          <t>C1782</t>
        </is>
      </c>
      <c r="C1783" t="n">
        <v>3</v>
      </c>
      <c r="D1783" t="inlineStr">
        <is>
          <t>Hub A</t>
        </is>
      </c>
      <c r="E1783" t="n">
        <v>72</v>
      </c>
      <c r="F1783" t="n">
        <v>22</v>
      </c>
    </row>
    <row r="1784">
      <c r="A1784" t="inlineStr">
        <is>
          <t>ORD01783</t>
        </is>
      </c>
      <c r="B1784" t="inlineStr">
        <is>
          <t>C1783</t>
        </is>
      </c>
      <c r="C1784" t="n">
        <v>1</v>
      </c>
      <c r="D1784" t="inlineStr">
        <is>
          <t>Hub A</t>
        </is>
      </c>
      <c r="E1784" t="n">
        <v>19</v>
      </c>
      <c r="F1784" t="n">
        <v>22</v>
      </c>
    </row>
    <row r="1785">
      <c r="A1785" t="inlineStr">
        <is>
          <t>ORD01784</t>
        </is>
      </c>
      <c r="B1785" t="inlineStr">
        <is>
          <t>C1784</t>
        </is>
      </c>
      <c r="C1785" t="n">
        <v>2</v>
      </c>
      <c r="D1785" t="inlineStr">
        <is>
          <t>Hub A</t>
        </is>
      </c>
      <c r="E1785" t="n">
        <v>26</v>
      </c>
      <c r="F1785" t="n">
        <v>22</v>
      </c>
    </row>
    <row r="1786">
      <c r="A1786" t="inlineStr">
        <is>
          <t>ORD01785</t>
        </is>
      </c>
      <c r="B1786" t="inlineStr">
        <is>
          <t>C1785</t>
        </is>
      </c>
      <c r="C1786" t="n">
        <v>3</v>
      </c>
      <c r="D1786" t="inlineStr">
        <is>
          <t>Hub A</t>
        </is>
      </c>
      <c r="E1786" t="n">
        <v>33</v>
      </c>
      <c r="F1786" t="n">
        <v>22</v>
      </c>
    </row>
    <row r="1787">
      <c r="A1787" t="inlineStr">
        <is>
          <t>ORD01786</t>
        </is>
      </c>
      <c r="B1787" t="inlineStr">
        <is>
          <t>C1786</t>
        </is>
      </c>
      <c r="C1787" t="n">
        <v>1</v>
      </c>
      <c r="D1787" t="inlineStr">
        <is>
          <t>Hub A</t>
        </is>
      </c>
      <c r="E1787" t="n">
        <v>40</v>
      </c>
      <c r="F1787" t="n">
        <v>22</v>
      </c>
    </row>
    <row r="1788">
      <c r="A1788" t="inlineStr">
        <is>
          <t>ORD01787</t>
        </is>
      </c>
      <c r="B1788" t="inlineStr">
        <is>
          <t>C1787</t>
        </is>
      </c>
      <c r="C1788" t="n">
        <v>2</v>
      </c>
      <c r="D1788" t="inlineStr">
        <is>
          <t>Hub A</t>
        </is>
      </c>
      <c r="E1788" t="n">
        <v>47</v>
      </c>
      <c r="F1788" t="n">
        <v>22</v>
      </c>
    </row>
    <row r="1789">
      <c r="A1789" t="inlineStr">
        <is>
          <t>ORD01788</t>
        </is>
      </c>
      <c r="B1789" t="inlineStr">
        <is>
          <t>C1788</t>
        </is>
      </c>
      <c r="C1789" t="n">
        <v>3</v>
      </c>
      <c r="D1789" t="inlineStr">
        <is>
          <t>Hub A</t>
        </is>
      </c>
      <c r="E1789" t="n">
        <v>54</v>
      </c>
      <c r="F1789" t="n">
        <v>22</v>
      </c>
    </row>
    <row r="1790">
      <c r="A1790" t="inlineStr">
        <is>
          <t>ORD01789</t>
        </is>
      </c>
      <c r="B1790" t="inlineStr">
        <is>
          <t>C1789</t>
        </is>
      </c>
      <c r="C1790" t="n">
        <v>1</v>
      </c>
      <c r="D1790" t="inlineStr">
        <is>
          <t>Hub A</t>
        </is>
      </c>
      <c r="E1790" t="n">
        <v>61</v>
      </c>
      <c r="F1790" t="n">
        <v>22</v>
      </c>
    </row>
    <row r="1791">
      <c r="A1791" t="inlineStr">
        <is>
          <t>ORD01790</t>
        </is>
      </c>
      <c r="B1791" t="inlineStr">
        <is>
          <t>C1790</t>
        </is>
      </c>
      <c r="C1791" t="n">
        <v>2</v>
      </c>
      <c r="D1791" t="inlineStr">
        <is>
          <t>Hub A</t>
        </is>
      </c>
      <c r="E1791" t="n">
        <v>68</v>
      </c>
      <c r="F1791" t="n">
        <v>22</v>
      </c>
    </row>
    <row r="1792">
      <c r="A1792" t="inlineStr">
        <is>
          <t>ORD01791</t>
        </is>
      </c>
      <c r="B1792" t="inlineStr">
        <is>
          <t>C1791</t>
        </is>
      </c>
      <c r="C1792" t="n">
        <v>3</v>
      </c>
      <c r="D1792" t="inlineStr">
        <is>
          <t>Hub A</t>
        </is>
      </c>
      <c r="E1792" t="n">
        <v>75</v>
      </c>
      <c r="F1792" t="n">
        <v>22</v>
      </c>
    </row>
    <row r="1793">
      <c r="A1793" t="inlineStr">
        <is>
          <t>ORD01792</t>
        </is>
      </c>
      <c r="B1793" t="inlineStr">
        <is>
          <t>C1792</t>
        </is>
      </c>
      <c r="C1793" t="n">
        <v>1</v>
      </c>
      <c r="D1793" t="inlineStr">
        <is>
          <t>Hub A</t>
        </is>
      </c>
      <c r="E1793" t="n">
        <v>22</v>
      </c>
      <c r="F1793" t="n">
        <v>22</v>
      </c>
    </row>
    <row r="1794">
      <c r="A1794" t="inlineStr">
        <is>
          <t>ORD01793</t>
        </is>
      </c>
      <c r="B1794" t="inlineStr">
        <is>
          <t>C1793</t>
        </is>
      </c>
      <c r="C1794" t="n">
        <v>2</v>
      </c>
      <c r="D1794" t="inlineStr">
        <is>
          <t>Hub A</t>
        </is>
      </c>
      <c r="E1794" t="n">
        <v>29</v>
      </c>
      <c r="F1794" t="n">
        <v>22</v>
      </c>
    </row>
    <row r="1795">
      <c r="A1795" t="inlineStr">
        <is>
          <t>ORD01794</t>
        </is>
      </c>
      <c r="B1795" t="inlineStr">
        <is>
          <t>C1794</t>
        </is>
      </c>
      <c r="C1795" t="n">
        <v>3</v>
      </c>
      <c r="D1795" t="inlineStr">
        <is>
          <t>Hub A</t>
        </is>
      </c>
      <c r="E1795" t="n">
        <v>36</v>
      </c>
      <c r="F1795" t="n">
        <v>22</v>
      </c>
    </row>
    <row r="1796">
      <c r="A1796" t="inlineStr">
        <is>
          <t>ORD01795</t>
        </is>
      </c>
      <c r="B1796" t="inlineStr">
        <is>
          <t>C1795</t>
        </is>
      </c>
      <c r="C1796" t="n">
        <v>1</v>
      </c>
      <c r="D1796" t="inlineStr">
        <is>
          <t>Hub A</t>
        </is>
      </c>
      <c r="E1796" t="n">
        <v>43</v>
      </c>
      <c r="F1796" t="n">
        <v>22</v>
      </c>
    </row>
    <row r="1797">
      <c r="A1797" t="inlineStr">
        <is>
          <t>ORD01796</t>
        </is>
      </c>
      <c r="B1797" t="inlineStr">
        <is>
          <t>C1796</t>
        </is>
      </c>
      <c r="C1797" t="n">
        <v>2</v>
      </c>
      <c r="D1797" t="inlineStr">
        <is>
          <t>Hub A</t>
        </is>
      </c>
      <c r="E1797" t="n">
        <v>50</v>
      </c>
      <c r="F1797" t="n">
        <v>22</v>
      </c>
    </row>
    <row r="1798">
      <c r="A1798" t="inlineStr">
        <is>
          <t>ORD01797</t>
        </is>
      </c>
      <c r="B1798" t="inlineStr">
        <is>
          <t>C1797</t>
        </is>
      </c>
      <c r="C1798" t="n">
        <v>3</v>
      </c>
      <c r="D1798" t="inlineStr">
        <is>
          <t>Hub A</t>
        </is>
      </c>
      <c r="E1798" t="n">
        <v>57</v>
      </c>
      <c r="F1798" t="n">
        <v>22</v>
      </c>
    </row>
    <row r="1799">
      <c r="A1799" t="inlineStr">
        <is>
          <t>ORD01798</t>
        </is>
      </c>
      <c r="B1799" t="inlineStr">
        <is>
          <t>C1798</t>
        </is>
      </c>
      <c r="C1799" t="n">
        <v>1</v>
      </c>
      <c r="D1799" t="inlineStr">
        <is>
          <t>Hub A</t>
        </is>
      </c>
      <c r="E1799" t="n">
        <v>64</v>
      </c>
      <c r="F1799" t="n">
        <v>22</v>
      </c>
    </row>
    <row r="1800">
      <c r="A1800" t="inlineStr">
        <is>
          <t>ORD01799</t>
        </is>
      </c>
      <c r="B1800" t="inlineStr">
        <is>
          <t>C1799</t>
        </is>
      </c>
      <c r="C1800" t="n">
        <v>2</v>
      </c>
      <c r="D1800" t="inlineStr">
        <is>
          <t>Hub A</t>
        </is>
      </c>
      <c r="E1800" t="n">
        <v>71</v>
      </c>
      <c r="F1800" t="n">
        <v>22</v>
      </c>
    </row>
    <row r="1801">
      <c r="A1801" t="inlineStr">
        <is>
          <t>ORD01800</t>
        </is>
      </c>
      <c r="B1801" t="inlineStr">
        <is>
          <t>C1800</t>
        </is>
      </c>
      <c r="C1801" t="n">
        <v>3</v>
      </c>
      <c r="D1801" t="inlineStr">
        <is>
          <t>Hub A</t>
        </is>
      </c>
      <c r="E1801" t="n">
        <v>18</v>
      </c>
      <c r="F1801" t="n">
        <v>22</v>
      </c>
    </row>
    <row r="1802">
      <c r="A1802" t="inlineStr">
        <is>
          <t>ORD01801</t>
        </is>
      </c>
      <c r="B1802" t="inlineStr">
        <is>
          <t>C1801</t>
        </is>
      </c>
      <c r="C1802" t="n">
        <v>1</v>
      </c>
      <c r="D1802" t="inlineStr">
        <is>
          <t>Hub A</t>
        </is>
      </c>
      <c r="E1802" t="n">
        <v>25</v>
      </c>
      <c r="F1802" t="n">
        <v>22</v>
      </c>
    </row>
    <row r="1803">
      <c r="A1803" t="inlineStr">
        <is>
          <t>ORD01802</t>
        </is>
      </c>
      <c r="B1803" t="inlineStr">
        <is>
          <t>C1802</t>
        </is>
      </c>
      <c r="C1803" t="n">
        <v>2</v>
      </c>
      <c r="D1803" t="inlineStr">
        <is>
          <t>Hub A</t>
        </is>
      </c>
      <c r="E1803" t="n">
        <v>32</v>
      </c>
      <c r="F1803" t="n">
        <v>22</v>
      </c>
    </row>
    <row r="1804">
      <c r="A1804" t="inlineStr">
        <is>
          <t>ORD01803</t>
        </is>
      </c>
      <c r="B1804" t="inlineStr">
        <is>
          <t>C1803</t>
        </is>
      </c>
      <c r="C1804" t="n">
        <v>3</v>
      </c>
      <c r="D1804" t="inlineStr">
        <is>
          <t>Hub A</t>
        </is>
      </c>
      <c r="E1804" t="n">
        <v>39</v>
      </c>
      <c r="F1804" t="n">
        <v>22</v>
      </c>
    </row>
    <row r="1805">
      <c r="A1805" t="inlineStr">
        <is>
          <t>ORD01804</t>
        </is>
      </c>
      <c r="B1805" t="inlineStr">
        <is>
          <t>C1804</t>
        </is>
      </c>
      <c r="C1805" t="n">
        <v>1</v>
      </c>
      <c r="D1805" t="inlineStr">
        <is>
          <t>Hub A</t>
        </is>
      </c>
      <c r="E1805" t="n">
        <v>46</v>
      </c>
      <c r="F1805" t="n">
        <v>22</v>
      </c>
    </row>
    <row r="1806">
      <c r="A1806" t="inlineStr">
        <is>
          <t>ORD01805</t>
        </is>
      </c>
      <c r="B1806" t="inlineStr">
        <is>
          <t>C1805</t>
        </is>
      </c>
      <c r="C1806" t="n">
        <v>2</v>
      </c>
      <c r="D1806" t="inlineStr">
        <is>
          <t>Hub A</t>
        </is>
      </c>
      <c r="E1806" t="n">
        <v>53</v>
      </c>
      <c r="F1806" t="n">
        <v>22</v>
      </c>
    </row>
    <row r="1807">
      <c r="A1807" t="inlineStr">
        <is>
          <t>ORD01806</t>
        </is>
      </c>
      <c r="B1807" t="inlineStr">
        <is>
          <t>C1806</t>
        </is>
      </c>
      <c r="C1807" t="n">
        <v>3</v>
      </c>
      <c r="D1807" t="inlineStr">
        <is>
          <t>Hub A</t>
        </is>
      </c>
      <c r="E1807" t="n">
        <v>60</v>
      </c>
      <c r="F1807" t="n">
        <v>22</v>
      </c>
    </row>
    <row r="1808">
      <c r="A1808" t="inlineStr">
        <is>
          <t>ORD01807</t>
        </is>
      </c>
      <c r="B1808" t="inlineStr">
        <is>
          <t>C1807</t>
        </is>
      </c>
      <c r="C1808" t="n">
        <v>1</v>
      </c>
      <c r="D1808" t="inlineStr">
        <is>
          <t>Hub A</t>
        </is>
      </c>
      <c r="E1808" t="n">
        <v>67</v>
      </c>
      <c r="F1808" t="n">
        <v>22</v>
      </c>
    </row>
    <row r="1809">
      <c r="A1809" t="inlineStr">
        <is>
          <t>ORD01808</t>
        </is>
      </c>
      <c r="B1809" t="inlineStr">
        <is>
          <t>C1808</t>
        </is>
      </c>
      <c r="C1809" t="n">
        <v>2</v>
      </c>
      <c r="D1809" t="inlineStr">
        <is>
          <t>Hub A</t>
        </is>
      </c>
      <c r="E1809" t="n">
        <v>74</v>
      </c>
      <c r="F1809" t="n">
        <v>22</v>
      </c>
    </row>
    <row r="1810">
      <c r="A1810" t="inlineStr">
        <is>
          <t>ORD01809</t>
        </is>
      </c>
      <c r="B1810" t="inlineStr">
        <is>
          <t>C1809</t>
        </is>
      </c>
      <c r="C1810" t="n">
        <v>3</v>
      </c>
      <c r="D1810" t="inlineStr">
        <is>
          <t>Hub A</t>
        </is>
      </c>
      <c r="E1810" t="n">
        <v>21</v>
      </c>
      <c r="F1810" t="n">
        <v>22</v>
      </c>
    </row>
    <row r="1811">
      <c r="A1811" t="inlineStr">
        <is>
          <t>ORD01810</t>
        </is>
      </c>
      <c r="B1811" t="inlineStr">
        <is>
          <t>C1810</t>
        </is>
      </c>
      <c r="C1811" t="n">
        <v>1</v>
      </c>
      <c r="D1811" t="inlineStr">
        <is>
          <t>Hub A</t>
        </is>
      </c>
      <c r="E1811" t="n">
        <v>28</v>
      </c>
      <c r="F1811" t="n">
        <v>22</v>
      </c>
    </row>
    <row r="1812">
      <c r="A1812" t="inlineStr">
        <is>
          <t>ORD01811</t>
        </is>
      </c>
      <c r="B1812" t="inlineStr">
        <is>
          <t>C1811</t>
        </is>
      </c>
      <c r="C1812" t="n">
        <v>2</v>
      </c>
      <c r="D1812" t="inlineStr">
        <is>
          <t>Hub A</t>
        </is>
      </c>
      <c r="E1812" t="n">
        <v>35</v>
      </c>
      <c r="F1812" t="n">
        <v>22</v>
      </c>
    </row>
    <row r="1813">
      <c r="A1813" t="inlineStr">
        <is>
          <t>ORD01812</t>
        </is>
      </c>
      <c r="B1813" t="inlineStr">
        <is>
          <t>C1812</t>
        </is>
      </c>
      <c r="C1813" t="n">
        <v>3</v>
      </c>
      <c r="D1813" t="inlineStr">
        <is>
          <t>Hub A</t>
        </is>
      </c>
      <c r="E1813" t="n">
        <v>42</v>
      </c>
      <c r="F1813" t="n">
        <v>22</v>
      </c>
    </row>
    <row r="1814">
      <c r="A1814" t="inlineStr">
        <is>
          <t>ORD01813</t>
        </is>
      </c>
      <c r="B1814" t="inlineStr">
        <is>
          <t>C1813</t>
        </is>
      </c>
      <c r="C1814" t="n">
        <v>1</v>
      </c>
      <c r="D1814" t="inlineStr">
        <is>
          <t>Hub A</t>
        </is>
      </c>
      <c r="E1814" t="n">
        <v>49</v>
      </c>
      <c r="F1814" t="n">
        <v>22</v>
      </c>
    </row>
    <row r="1815">
      <c r="A1815" t="inlineStr">
        <is>
          <t>ORD01814</t>
        </is>
      </c>
      <c r="B1815" t="inlineStr">
        <is>
          <t>C1814</t>
        </is>
      </c>
      <c r="C1815" t="n">
        <v>2</v>
      </c>
      <c r="D1815" t="inlineStr">
        <is>
          <t>Hub A</t>
        </is>
      </c>
      <c r="E1815" t="n">
        <v>56</v>
      </c>
      <c r="F1815" t="n">
        <v>22</v>
      </c>
    </row>
    <row r="1816">
      <c r="A1816" t="inlineStr">
        <is>
          <t>ORD01815</t>
        </is>
      </c>
      <c r="B1816" t="inlineStr">
        <is>
          <t>C1815</t>
        </is>
      </c>
      <c r="C1816" t="n">
        <v>3</v>
      </c>
      <c r="D1816" t="inlineStr">
        <is>
          <t>Hub A</t>
        </is>
      </c>
      <c r="E1816" t="n">
        <v>63</v>
      </c>
      <c r="F1816" t="n">
        <v>22</v>
      </c>
    </row>
    <row r="1817">
      <c r="A1817" t="inlineStr">
        <is>
          <t>ORD01816</t>
        </is>
      </c>
      <c r="B1817" t="inlineStr">
        <is>
          <t>C1816</t>
        </is>
      </c>
      <c r="C1817" t="n">
        <v>1</v>
      </c>
      <c r="D1817" t="inlineStr">
        <is>
          <t>Hub A</t>
        </is>
      </c>
      <c r="E1817" t="n">
        <v>70</v>
      </c>
      <c r="F1817" t="n">
        <v>22</v>
      </c>
    </row>
    <row r="1818">
      <c r="A1818" t="inlineStr">
        <is>
          <t>ORD01817</t>
        </is>
      </c>
      <c r="B1818" t="inlineStr">
        <is>
          <t>C1817</t>
        </is>
      </c>
      <c r="C1818" t="n">
        <v>2</v>
      </c>
      <c r="D1818" t="inlineStr">
        <is>
          <t>Hub A</t>
        </is>
      </c>
      <c r="E1818" t="n">
        <v>77</v>
      </c>
      <c r="F1818" t="n">
        <v>22</v>
      </c>
    </row>
    <row r="1819">
      <c r="A1819" t="inlineStr">
        <is>
          <t>ORD01818</t>
        </is>
      </c>
      <c r="B1819" t="inlineStr">
        <is>
          <t>C1818</t>
        </is>
      </c>
      <c r="C1819" t="n">
        <v>3</v>
      </c>
      <c r="D1819" t="inlineStr">
        <is>
          <t>Hub A</t>
        </is>
      </c>
      <c r="E1819" t="n">
        <v>24</v>
      </c>
      <c r="F1819" t="n">
        <v>22</v>
      </c>
    </row>
    <row r="1820">
      <c r="A1820" t="inlineStr">
        <is>
          <t>ORD01819</t>
        </is>
      </c>
      <c r="B1820" t="inlineStr">
        <is>
          <t>C1819</t>
        </is>
      </c>
      <c r="C1820" t="n">
        <v>1</v>
      </c>
      <c r="D1820" t="inlineStr">
        <is>
          <t>Hub A</t>
        </is>
      </c>
      <c r="E1820" t="n">
        <v>31</v>
      </c>
      <c r="F1820" t="n">
        <v>22</v>
      </c>
    </row>
    <row r="1821">
      <c r="A1821" t="inlineStr">
        <is>
          <t>ORD01820</t>
        </is>
      </c>
      <c r="B1821" t="inlineStr">
        <is>
          <t>C1820</t>
        </is>
      </c>
      <c r="C1821" t="n">
        <v>2</v>
      </c>
      <c r="D1821" t="inlineStr">
        <is>
          <t>Hub A</t>
        </is>
      </c>
      <c r="E1821" t="n">
        <v>38</v>
      </c>
      <c r="F1821" t="n">
        <v>22</v>
      </c>
    </row>
    <row r="1822">
      <c r="A1822" t="inlineStr">
        <is>
          <t>ORD01821</t>
        </is>
      </c>
      <c r="B1822" t="inlineStr">
        <is>
          <t>C1821</t>
        </is>
      </c>
      <c r="C1822" t="n">
        <v>3</v>
      </c>
      <c r="D1822" t="inlineStr">
        <is>
          <t>Hub A</t>
        </is>
      </c>
      <c r="E1822" t="n">
        <v>45</v>
      </c>
      <c r="F1822" t="n">
        <v>22</v>
      </c>
    </row>
    <row r="1823">
      <c r="A1823" t="inlineStr">
        <is>
          <t>ORD01822</t>
        </is>
      </c>
      <c r="B1823" t="inlineStr">
        <is>
          <t>C1822</t>
        </is>
      </c>
      <c r="C1823" t="n">
        <v>1</v>
      </c>
      <c r="D1823" t="inlineStr">
        <is>
          <t>Hub A</t>
        </is>
      </c>
      <c r="E1823" t="n">
        <v>52</v>
      </c>
      <c r="F1823" t="n">
        <v>22</v>
      </c>
    </row>
    <row r="1824">
      <c r="A1824" t="inlineStr">
        <is>
          <t>ORD01823</t>
        </is>
      </c>
      <c r="B1824" t="inlineStr">
        <is>
          <t>C1823</t>
        </is>
      </c>
      <c r="C1824" t="n">
        <v>2</v>
      </c>
      <c r="D1824" t="inlineStr">
        <is>
          <t>Hub A</t>
        </is>
      </c>
      <c r="E1824" t="n">
        <v>59</v>
      </c>
      <c r="F1824" t="n">
        <v>22</v>
      </c>
    </row>
    <row r="1825">
      <c r="A1825" t="inlineStr">
        <is>
          <t>ORD01824</t>
        </is>
      </c>
      <c r="B1825" t="inlineStr">
        <is>
          <t>C1824</t>
        </is>
      </c>
      <c r="C1825" t="n">
        <v>3</v>
      </c>
      <c r="D1825" t="inlineStr">
        <is>
          <t>Hub A</t>
        </is>
      </c>
      <c r="E1825" t="n">
        <v>66</v>
      </c>
      <c r="F1825" t="n">
        <v>22</v>
      </c>
    </row>
    <row r="1826">
      <c r="A1826" t="inlineStr">
        <is>
          <t>ORD01825</t>
        </is>
      </c>
      <c r="B1826" t="inlineStr">
        <is>
          <t>C1825</t>
        </is>
      </c>
      <c r="C1826" t="n">
        <v>1</v>
      </c>
      <c r="D1826" t="inlineStr">
        <is>
          <t>Hub A</t>
        </is>
      </c>
      <c r="E1826" t="n">
        <v>73</v>
      </c>
      <c r="F1826" t="n">
        <v>22</v>
      </c>
    </row>
    <row r="1827">
      <c r="A1827" t="inlineStr">
        <is>
          <t>ORD01826</t>
        </is>
      </c>
      <c r="B1827" t="inlineStr">
        <is>
          <t>C1826</t>
        </is>
      </c>
      <c r="C1827" t="n">
        <v>2</v>
      </c>
      <c r="D1827" t="inlineStr">
        <is>
          <t>Hub A</t>
        </is>
      </c>
      <c r="E1827" t="n">
        <v>20</v>
      </c>
      <c r="F1827" t="n">
        <v>22</v>
      </c>
    </row>
    <row r="1828">
      <c r="A1828" t="inlineStr">
        <is>
          <t>ORD01827</t>
        </is>
      </c>
      <c r="B1828" t="inlineStr">
        <is>
          <t>C1827</t>
        </is>
      </c>
      <c r="C1828" t="n">
        <v>3</v>
      </c>
      <c r="D1828" t="inlineStr">
        <is>
          <t>Hub A</t>
        </is>
      </c>
      <c r="E1828" t="n">
        <v>27</v>
      </c>
      <c r="F1828" t="n">
        <v>22</v>
      </c>
    </row>
    <row r="1829">
      <c r="A1829" t="inlineStr">
        <is>
          <t>ORD01828</t>
        </is>
      </c>
      <c r="B1829" t="inlineStr">
        <is>
          <t>C1828</t>
        </is>
      </c>
      <c r="C1829" t="n">
        <v>1</v>
      </c>
      <c r="D1829" t="inlineStr">
        <is>
          <t>Hub A</t>
        </is>
      </c>
      <c r="E1829" t="n">
        <v>34</v>
      </c>
      <c r="F1829" t="n">
        <v>22</v>
      </c>
    </row>
    <row r="1830">
      <c r="A1830" t="inlineStr">
        <is>
          <t>ORD01829</t>
        </is>
      </c>
      <c r="B1830" t="inlineStr">
        <is>
          <t>C1829</t>
        </is>
      </c>
      <c r="C1830" t="n">
        <v>2</v>
      </c>
      <c r="D1830" t="inlineStr">
        <is>
          <t>Hub A</t>
        </is>
      </c>
      <c r="E1830" t="n">
        <v>41</v>
      </c>
      <c r="F1830" t="n">
        <v>22</v>
      </c>
    </row>
    <row r="1831">
      <c r="A1831" t="inlineStr">
        <is>
          <t>ORD01830</t>
        </is>
      </c>
      <c r="B1831" t="inlineStr">
        <is>
          <t>C1830</t>
        </is>
      </c>
      <c r="C1831" t="n">
        <v>3</v>
      </c>
      <c r="D1831" t="inlineStr">
        <is>
          <t>Hub A</t>
        </is>
      </c>
      <c r="E1831" t="n">
        <v>48</v>
      </c>
      <c r="F1831" t="n">
        <v>22</v>
      </c>
    </row>
    <row r="1832">
      <c r="A1832" t="inlineStr">
        <is>
          <t>ORD01831</t>
        </is>
      </c>
      <c r="B1832" t="inlineStr">
        <is>
          <t>C1831</t>
        </is>
      </c>
      <c r="C1832" t="n">
        <v>1</v>
      </c>
      <c r="D1832" t="inlineStr">
        <is>
          <t>Hub A</t>
        </is>
      </c>
      <c r="E1832" t="n">
        <v>55</v>
      </c>
      <c r="F1832" t="n">
        <v>22</v>
      </c>
    </row>
    <row r="1833">
      <c r="A1833" t="inlineStr">
        <is>
          <t>ORD01832</t>
        </is>
      </c>
      <c r="B1833" t="inlineStr">
        <is>
          <t>C1832</t>
        </is>
      </c>
      <c r="C1833" t="n">
        <v>2</v>
      </c>
      <c r="D1833" t="inlineStr">
        <is>
          <t>Hub A</t>
        </is>
      </c>
      <c r="E1833" t="n">
        <v>62</v>
      </c>
      <c r="F1833" t="n">
        <v>22</v>
      </c>
    </row>
    <row r="1834">
      <c r="A1834" t="inlineStr">
        <is>
          <t>ORD01833</t>
        </is>
      </c>
      <c r="B1834" t="inlineStr">
        <is>
          <t>C1833</t>
        </is>
      </c>
      <c r="C1834" t="n">
        <v>3</v>
      </c>
      <c r="D1834" t="inlineStr">
        <is>
          <t>Hub A</t>
        </is>
      </c>
      <c r="E1834" t="n">
        <v>69</v>
      </c>
      <c r="F1834" t="n">
        <v>22</v>
      </c>
    </row>
    <row r="1835">
      <c r="A1835" t="inlineStr">
        <is>
          <t>ORD01834</t>
        </is>
      </c>
      <c r="B1835" t="inlineStr">
        <is>
          <t>C1834</t>
        </is>
      </c>
      <c r="C1835" t="n">
        <v>1</v>
      </c>
      <c r="D1835" t="inlineStr">
        <is>
          <t>Hub A</t>
        </is>
      </c>
      <c r="E1835" t="n">
        <v>76</v>
      </c>
      <c r="F1835" t="n">
        <v>22</v>
      </c>
    </row>
    <row r="1836">
      <c r="A1836" t="inlineStr">
        <is>
          <t>ORD01835</t>
        </is>
      </c>
      <c r="B1836" t="inlineStr">
        <is>
          <t>C1835</t>
        </is>
      </c>
      <c r="C1836" t="n">
        <v>2</v>
      </c>
      <c r="D1836" t="inlineStr">
        <is>
          <t>Hub A</t>
        </is>
      </c>
      <c r="E1836" t="n">
        <v>23</v>
      </c>
      <c r="F1836" t="n">
        <v>22</v>
      </c>
    </row>
    <row r="1837">
      <c r="A1837" t="inlineStr">
        <is>
          <t>ORD01836</t>
        </is>
      </c>
      <c r="B1837" t="inlineStr">
        <is>
          <t>C1836</t>
        </is>
      </c>
      <c r="C1837" t="n">
        <v>3</v>
      </c>
      <c r="D1837" t="inlineStr">
        <is>
          <t>Hub A</t>
        </is>
      </c>
      <c r="E1837" t="n">
        <v>30</v>
      </c>
      <c r="F1837" t="n">
        <v>22</v>
      </c>
    </row>
    <row r="1838">
      <c r="A1838" t="inlineStr">
        <is>
          <t>ORD01837</t>
        </is>
      </c>
      <c r="B1838" t="inlineStr">
        <is>
          <t>C1837</t>
        </is>
      </c>
      <c r="C1838" t="n">
        <v>1</v>
      </c>
      <c r="D1838" t="inlineStr">
        <is>
          <t>Hub A</t>
        </is>
      </c>
      <c r="E1838" t="n">
        <v>37</v>
      </c>
      <c r="F1838" t="n">
        <v>22</v>
      </c>
    </row>
    <row r="1839">
      <c r="A1839" t="inlineStr">
        <is>
          <t>ORD01838</t>
        </is>
      </c>
      <c r="B1839" t="inlineStr">
        <is>
          <t>C1838</t>
        </is>
      </c>
      <c r="C1839" t="n">
        <v>2</v>
      </c>
      <c r="D1839" t="inlineStr">
        <is>
          <t>Hub A</t>
        </is>
      </c>
      <c r="E1839" t="n">
        <v>44</v>
      </c>
      <c r="F1839" t="n">
        <v>22</v>
      </c>
    </row>
    <row r="1840">
      <c r="A1840" t="inlineStr">
        <is>
          <t>ORD01839</t>
        </is>
      </c>
      <c r="B1840" t="inlineStr">
        <is>
          <t>C1839</t>
        </is>
      </c>
      <c r="C1840" t="n">
        <v>3</v>
      </c>
      <c r="D1840" t="inlineStr">
        <is>
          <t>Hub A</t>
        </is>
      </c>
      <c r="E1840" t="n">
        <v>51</v>
      </c>
      <c r="F1840" t="n">
        <v>22</v>
      </c>
    </row>
    <row r="1841">
      <c r="A1841" t="inlineStr">
        <is>
          <t>ORD01840</t>
        </is>
      </c>
      <c r="B1841" t="inlineStr">
        <is>
          <t>C1840</t>
        </is>
      </c>
      <c r="C1841" t="n">
        <v>1</v>
      </c>
      <c r="D1841" t="inlineStr">
        <is>
          <t>Hub A</t>
        </is>
      </c>
      <c r="E1841" t="n">
        <v>58</v>
      </c>
      <c r="F1841" t="n">
        <v>22</v>
      </c>
    </row>
    <row r="1842">
      <c r="A1842" t="inlineStr">
        <is>
          <t>ORD01841</t>
        </is>
      </c>
      <c r="B1842" t="inlineStr">
        <is>
          <t>C1841</t>
        </is>
      </c>
      <c r="C1842" t="n">
        <v>2</v>
      </c>
      <c r="D1842" t="inlineStr">
        <is>
          <t>Hub A</t>
        </is>
      </c>
      <c r="E1842" t="n">
        <v>65</v>
      </c>
      <c r="F1842" t="n">
        <v>22</v>
      </c>
    </row>
    <row r="1843">
      <c r="A1843" t="inlineStr">
        <is>
          <t>ORD01842</t>
        </is>
      </c>
      <c r="B1843" t="inlineStr">
        <is>
          <t>C1842</t>
        </is>
      </c>
      <c r="C1843" t="n">
        <v>3</v>
      </c>
      <c r="D1843" t="inlineStr">
        <is>
          <t>Hub A</t>
        </is>
      </c>
      <c r="E1843" t="n">
        <v>72</v>
      </c>
      <c r="F1843" t="n">
        <v>22</v>
      </c>
    </row>
    <row r="1844">
      <c r="A1844" t="inlineStr">
        <is>
          <t>ORD01843</t>
        </is>
      </c>
      <c r="B1844" t="inlineStr">
        <is>
          <t>C1843</t>
        </is>
      </c>
      <c r="C1844" t="n">
        <v>1</v>
      </c>
      <c r="D1844" t="inlineStr">
        <is>
          <t>Hub A</t>
        </is>
      </c>
      <c r="E1844" t="n">
        <v>19</v>
      </c>
      <c r="F1844" t="n">
        <v>22</v>
      </c>
    </row>
    <row r="1845">
      <c r="A1845" t="inlineStr">
        <is>
          <t>ORD01844</t>
        </is>
      </c>
      <c r="B1845" t="inlineStr">
        <is>
          <t>C1844</t>
        </is>
      </c>
      <c r="C1845" t="n">
        <v>2</v>
      </c>
      <c r="D1845" t="inlineStr">
        <is>
          <t>Hub A</t>
        </is>
      </c>
      <c r="E1845" t="n">
        <v>26</v>
      </c>
      <c r="F1845" t="n">
        <v>22</v>
      </c>
    </row>
    <row r="1846">
      <c r="A1846" t="inlineStr">
        <is>
          <t>ORD01845</t>
        </is>
      </c>
      <c r="B1846" t="inlineStr">
        <is>
          <t>C1845</t>
        </is>
      </c>
      <c r="C1846" t="n">
        <v>3</v>
      </c>
      <c r="D1846" t="inlineStr">
        <is>
          <t>Hub A</t>
        </is>
      </c>
      <c r="E1846" t="n">
        <v>33</v>
      </c>
      <c r="F1846" t="n">
        <v>22</v>
      </c>
    </row>
    <row r="1847">
      <c r="A1847" t="inlineStr">
        <is>
          <t>ORD01846</t>
        </is>
      </c>
      <c r="B1847" t="inlineStr">
        <is>
          <t>C1846</t>
        </is>
      </c>
      <c r="C1847" t="n">
        <v>1</v>
      </c>
      <c r="D1847" t="inlineStr">
        <is>
          <t>Hub A</t>
        </is>
      </c>
      <c r="E1847" t="n">
        <v>40</v>
      </c>
      <c r="F1847" t="n">
        <v>22</v>
      </c>
    </row>
    <row r="1848">
      <c r="A1848" t="inlineStr">
        <is>
          <t>ORD01847</t>
        </is>
      </c>
      <c r="B1848" t="inlineStr">
        <is>
          <t>C1847</t>
        </is>
      </c>
      <c r="C1848" t="n">
        <v>2</v>
      </c>
      <c r="D1848" t="inlineStr">
        <is>
          <t>Hub A</t>
        </is>
      </c>
      <c r="E1848" t="n">
        <v>47</v>
      </c>
      <c r="F1848" t="n">
        <v>22</v>
      </c>
    </row>
    <row r="1849">
      <c r="A1849" t="inlineStr">
        <is>
          <t>ORD01848</t>
        </is>
      </c>
      <c r="B1849" t="inlineStr">
        <is>
          <t>C1848</t>
        </is>
      </c>
      <c r="C1849" t="n">
        <v>3</v>
      </c>
      <c r="D1849" t="inlineStr">
        <is>
          <t>Hub A</t>
        </is>
      </c>
      <c r="E1849" t="n">
        <v>54</v>
      </c>
      <c r="F1849" t="n">
        <v>22</v>
      </c>
    </row>
    <row r="1850">
      <c r="A1850" t="inlineStr">
        <is>
          <t>ORD01849</t>
        </is>
      </c>
      <c r="B1850" t="inlineStr">
        <is>
          <t>C1849</t>
        </is>
      </c>
      <c r="C1850" t="n">
        <v>1</v>
      </c>
      <c r="D1850" t="inlineStr">
        <is>
          <t>Hub A</t>
        </is>
      </c>
      <c r="E1850" t="n">
        <v>61</v>
      </c>
      <c r="F1850" t="n">
        <v>22</v>
      </c>
    </row>
    <row r="1851">
      <c r="A1851" t="inlineStr">
        <is>
          <t>ORD01850</t>
        </is>
      </c>
      <c r="B1851" t="inlineStr">
        <is>
          <t>C1850</t>
        </is>
      </c>
      <c r="C1851" t="n">
        <v>2</v>
      </c>
      <c r="D1851" t="inlineStr">
        <is>
          <t>Hub A</t>
        </is>
      </c>
      <c r="E1851" t="n">
        <v>68</v>
      </c>
      <c r="F1851" t="n">
        <v>22</v>
      </c>
    </row>
    <row r="1852">
      <c r="A1852" t="inlineStr">
        <is>
          <t>ORD01851</t>
        </is>
      </c>
      <c r="B1852" t="inlineStr">
        <is>
          <t>C1851</t>
        </is>
      </c>
      <c r="C1852" t="n">
        <v>3</v>
      </c>
      <c r="D1852" t="inlineStr">
        <is>
          <t>Hub A</t>
        </is>
      </c>
      <c r="E1852" t="n">
        <v>75</v>
      </c>
      <c r="F1852" t="n">
        <v>22</v>
      </c>
    </row>
    <row r="1853">
      <c r="A1853" t="inlineStr">
        <is>
          <t>ORD01852</t>
        </is>
      </c>
      <c r="B1853" t="inlineStr">
        <is>
          <t>C1852</t>
        </is>
      </c>
      <c r="C1853" t="n">
        <v>1</v>
      </c>
      <c r="D1853" t="inlineStr">
        <is>
          <t>Hub A</t>
        </is>
      </c>
      <c r="E1853" t="n">
        <v>22</v>
      </c>
      <c r="F1853" t="n">
        <v>22</v>
      </c>
    </row>
    <row r="1854">
      <c r="A1854" t="inlineStr">
        <is>
          <t>ORD01853</t>
        </is>
      </c>
      <c r="B1854" t="inlineStr">
        <is>
          <t>C1853</t>
        </is>
      </c>
      <c r="C1854" t="n">
        <v>2</v>
      </c>
      <c r="D1854" t="inlineStr">
        <is>
          <t>Hub A</t>
        </is>
      </c>
      <c r="E1854" t="n">
        <v>29</v>
      </c>
      <c r="F1854" t="n">
        <v>22</v>
      </c>
    </row>
    <row r="1855">
      <c r="A1855" t="inlineStr">
        <is>
          <t>ORD01854</t>
        </is>
      </c>
      <c r="B1855" t="inlineStr">
        <is>
          <t>C1854</t>
        </is>
      </c>
      <c r="C1855" t="n">
        <v>3</v>
      </c>
      <c r="D1855" t="inlineStr">
        <is>
          <t>Hub A</t>
        </is>
      </c>
      <c r="E1855" t="n">
        <v>36</v>
      </c>
      <c r="F1855" t="n">
        <v>22</v>
      </c>
    </row>
    <row r="1856">
      <c r="A1856" t="inlineStr">
        <is>
          <t>ORD01855</t>
        </is>
      </c>
      <c r="B1856" t="inlineStr">
        <is>
          <t>C1855</t>
        </is>
      </c>
      <c r="C1856" t="n">
        <v>1</v>
      </c>
      <c r="D1856" t="inlineStr">
        <is>
          <t>Hub A</t>
        </is>
      </c>
      <c r="E1856" t="n">
        <v>43</v>
      </c>
      <c r="F1856" t="n">
        <v>22</v>
      </c>
    </row>
    <row r="1857">
      <c r="A1857" t="inlineStr">
        <is>
          <t>ORD01856</t>
        </is>
      </c>
      <c r="B1857" t="inlineStr">
        <is>
          <t>C1856</t>
        </is>
      </c>
      <c r="C1857" t="n">
        <v>2</v>
      </c>
      <c r="D1857" t="inlineStr">
        <is>
          <t>Hub A</t>
        </is>
      </c>
      <c r="E1857" t="n">
        <v>50</v>
      </c>
      <c r="F1857" t="n">
        <v>22</v>
      </c>
    </row>
    <row r="1858">
      <c r="A1858" t="inlineStr">
        <is>
          <t>ORD01857</t>
        </is>
      </c>
      <c r="B1858" t="inlineStr">
        <is>
          <t>C1857</t>
        </is>
      </c>
      <c r="C1858" t="n">
        <v>3</v>
      </c>
      <c r="D1858" t="inlineStr">
        <is>
          <t>Hub A</t>
        </is>
      </c>
      <c r="E1858" t="n">
        <v>57</v>
      </c>
      <c r="F1858" t="n">
        <v>22</v>
      </c>
    </row>
    <row r="1859">
      <c r="A1859" t="inlineStr">
        <is>
          <t>ORD01858</t>
        </is>
      </c>
      <c r="B1859" t="inlineStr">
        <is>
          <t>C1858</t>
        </is>
      </c>
      <c r="C1859" t="n">
        <v>1</v>
      </c>
      <c r="D1859" t="inlineStr">
        <is>
          <t>Hub A</t>
        </is>
      </c>
      <c r="E1859" t="n">
        <v>64</v>
      </c>
      <c r="F1859" t="n">
        <v>22</v>
      </c>
    </row>
    <row r="1860">
      <c r="A1860" t="inlineStr">
        <is>
          <t>ORD01859</t>
        </is>
      </c>
      <c r="B1860" t="inlineStr">
        <is>
          <t>C1859</t>
        </is>
      </c>
      <c r="C1860" t="n">
        <v>2</v>
      </c>
      <c r="D1860" t="inlineStr">
        <is>
          <t>Hub A</t>
        </is>
      </c>
      <c r="E1860" t="n">
        <v>71</v>
      </c>
      <c r="F1860" t="n">
        <v>22</v>
      </c>
    </row>
    <row r="1861">
      <c r="A1861" t="inlineStr">
        <is>
          <t>ORD01860</t>
        </is>
      </c>
      <c r="B1861" t="inlineStr">
        <is>
          <t>C1860</t>
        </is>
      </c>
      <c r="C1861" t="n">
        <v>3</v>
      </c>
      <c r="D1861" t="inlineStr">
        <is>
          <t>Hub A</t>
        </is>
      </c>
      <c r="E1861" t="n">
        <v>18</v>
      </c>
      <c r="F1861" t="n">
        <v>22</v>
      </c>
    </row>
    <row r="1862">
      <c r="A1862" t="inlineStr">
        <is>
          <t>ORD01861</t>
        </is>
      </c>
      <c r="B1862" t="inlineStr">
        <is>
          <t>C1861</t>
        </is>
      </c>
      <c r="C1862" t="n">
        <v>1</v>
      </c>
      <c r="D1862" t="inlineStr">
        <is>
          <t>Hub A</t>
        </is>
      </c>
      <c r="E1862" t="n">
        <v>25</v>
      </c>
      <c r="F1862" t="n">
        <v>22</v>
      </c>
    </row>
    <row r="1863">
      <c r="A1863" t="inlineStr">
        <is>
          <t>ORD01862</t>
        </is>
      </c>
      <c r="B1863" t="inlineStr">
        <is>
          <t>C1862</t>
        </is>
      </c>
      <c r="C1863" t="n">
        <v>2</v>
      </c>
      <c r="D1863" t="inlineStr">
        <is>
          <t>Hub A</t>
        </is>
      </c>
      <c r="E1863" t="n">
        <v>32</v>
      </c>
      <c r="F1863" t="n">
        <v>22</v>
      </c>
    </row>
    <row r="1864">
      <c r="A1864" t="inlineStr">
        <is>
          <t>ORD01863</t>
        </is>
      </c>
      <c r="B1864" t="inlineStr">
        <is>
          <t>C1863</t>
        </is>
      </c>
      <c r="C1864" t="n">
        <v>3</v>
      </c>
      <c r="D1864" t="inlineStr">
        <is>
          <t>Hub A</t>
        </is>
      </c>
      <c r="E1864" t="n">
        <v>39</v>
      </c>
      <c r="F1864" t="n">
        <v>22</v>
      </c>
    </row>
    <row r="1865">
      <c r="A1865" t="inlineStr">
        <is>
          <t>ORD01864</t>
        </is>
      </c>
      <c r="B1865" t="inlineStr">
        <is>
          <t>C1864</t>
        </is>
      </c>
      <c r="C1865" t="n">
        <v>1</v>
      </c>
      <c r="D1865" t="inlineStr">
        <is>
          <t>Hub A</t>
        </is>
      </c>
      <c r="E1865" t="n">
        <v>46</v>
      </c>
      <c r="F1865" t="n">
        <v>22</v>
      </c>
    </row>
    <row r="1866">
      <c r="A1866" t="inlineStr">
        <is>
          <t>ORD01865</t>
        </is>
      </c>
      <c r="B1866" t="inlineStr">
        <is>
          <t>C1865</t>
        </is>
      </c>
      <c r="C1866" t="n">
        <v>2</v>
      </c>
      <c r="D1866" t="inlineStr">
        <is>
          <t>Hub A</t>
        </is>
      </c>
      <c r="E1866" t="n">
        <v>53</v>
      </c>
      <c r="F1866" t="n">
        <v>22</v>
      </c>
    </row>
    <row r="1867">
      <c r="A1867" t="inlineStr">
        <is>
          <t>ORD01866</t>
        </is>
      </c>
      <c r="B1867" t="inlineStr">
        <is>
          <t>C1866</t>
        </is>
      </c>
      <c r="C1867" t="n">
        <v>3</v>
      </c>
      <c r="D1867" t="inlineStr">
        <is>
          <t>Hub A</t>
        </is>
      </c>
      <c r="E1867" t="n">
        <v>60</v>
      </c>
      <c r="F1867" t="n">
        <v>22</v>
      </c>
    </row>
    <row r="1868">
      <c r="A1868" t="inlineStr">
        <is>
          <t>ORD01867</t>
        </is>
      </c>
      <c r="B1868" t="inlineStr">
        <is>
          <t>C1867</t>
        </is>
      </c>
      <c r="C1868" t="n">
        <v>1</v>
      </c>
      <c r="D1868" t="inlineStr">
        <is>
          <t>Hub A</t>
        </is>
      </c>
      <c r="E1868" t="n">
        <v>67</v>
      </c>
      <c r="F1868" t="n">
        <v>22</v>
      </c>
    </row>
    <row r="1869">
      <c r="A1869" t="inlineStr">
        <is>
          <t>ORD01868</t>
        </is>
      </c>
      <c r="B1869" t="inlineStr">
        <is>
          <t>C1868</t>
        </is>
      </c>
      <c r="C1869" t="n">
        <v>2</v>
      </c>
      <c r="D1869" t="inlineStr">
        <is>
          <t>Hub A</t>
        </is>
      </c>
      <c r="E1869" t="n">
        <v>74</v>
      </c>
      <c r="F1869" t="n">
        <v>22</v>
      </c>
    </row>
    <row r="1870">
      <c r="A1870" t="inlineStr">
        <is>
          <t>ORD01869</t>
        </is>
      </c>
      <c r="B1870" t="inlineStr">
        <is>
          <t>C1869</t>
        </is>
      </c>
      <c r="C1870" t="n">
        <v>3</v>
      </c>
      <c r="D1870" t="inlineStr">
        <is>
          <t>Hub A</t>
        </is>
      </c>
      <c r="E1870" t="n">
        <v>21</v>
      </c>
      <c r="F1870" t="n">
        <v>22</v>
      </c>
    </row>
    <row r="1871">
      <c r="A1871" t="inlineStr">
        <is>
          <t>ORD01870</t>
        </is>
      </c>
      <c r="B1871" t="inlineStr">
        <is>
          <t>C1870</t>
        </is>
      </c>
      <c r="C1871" t="n">
        <v>1</v>
      </c>
      <c r="D1871" t="inlineStr">
        <is>
          <t>Hub A</t>
        </is>
      </c>
      <c r="E1871" t="n">
        <v>28</v>
      </c>
      <c r="F1871" t="n">
        <v>22</v>
      </c>
    </row>
    <row r="1872">
      <c r="A1872" t="inlineStr">
        <is>
          <t>ORD01871</t>
        </is>
      </c>
      <c r="B1872" t="inlineStr">
        <is>
          <t>C1871</t>
        </is>
      </c>
      <c r="C1872" t="n">
        <v>2</v>
      </c>
      <c r="D1872" t="inlineStr">
        <is>
          <t>Hub A</t>
        </is>
      </c>
      <c r="E1872" t="n">
        <v>35</v>
      </c>
      <c r="F1872" t="n">
        <v>22</v>
      </c>
    </row>
    <row r="1873">
      <c r="A1873" t="inlineStr">
        <is>
          <t>ORD01872</t>
        </is>
      </c>
      <c r="B1873" t="inlineStr">
        <is>
          <t>C1872</t>
        </is>
      </c>
      <c r="C1873" t="n">
        <v>3</v>
      </c>
      <c r="D1873" t="inlineStr">
        <is>
          <t>Hub A</t>
        </is>
      </c>
      <c r="E1873" t="n">
        <v>42</v>
      </c>
      <c r="F1873" t="n">
        <v>22</v>
      </c>
    </row>
    <row r="1874">
      <c r="A1874" t="inlineStr">
        <is>
          <t>ORD01873</t>
        </is>
      </c>
      <c r="B1874" t="inlineStr">
        <is>
          <t>C1873</t>
        </is>
      </c>
      <c r="C1874" t="n">
        <v>1</v>
      </c>
      <c r="D1874" t="inlineStr">
        <is>
          <t>Hub A</t>
        </is>
      </c>
      <c r="E1874" t="n">
        <v>49</v>
      </c>
      <c r="F1874" t="n">
        <v>22</v>
      </c>
    </row>
    <row r="1875">
      <c r="A1875" t="inlineStr">
        <is>
          <t>ORD01874</t>
        </is>
      </c>
      <c r="B1875" t="inlineStr">
        <is>
          <t>C1874</t>
        </is>
      </c>
      <c r="C1875" t="n">
        <v>2</v>
      </c>
      <c r="D1875" t="inlineStr">
        <is>
          <t>Hub A</t>
        </is>
      </c>
      <c r="E1875" t="n">
        <v>56</v>
      </c>
      <c r="F1875" t="n">
        <v>22</v>
      </c>
    </row>
    <row r="1876">
      <c r="A1876" t="inlineStr">
        <is>
          <t>ORD01875</t>
        </is>
      </c>
      <c r="B1876" t="inlineStr">
        <is>
          <t>C1875</t>
        </is>
      </c>
      <c r="C1876" t="n">
        <v>3</v>
      </c>
      <c r="D1876" t="inlineStr">
        <is>
          <t>Hub A</t>
        </is>
      </c>
      <c r="E1876" t="n">
        <v>63</v>
      </c>
      <c r="F1876" t="n">
        <v>22</v>
      </c>
    </row>
    <row r="1877">
      <c r="A1877" t="inlineStr">
        <is>
          <t>ORD01876</t>
        </is>
      </c>
      <c r="B1877" t="inlineStr">
        <is>
          <t>C1876</t>
        </is>
      </c>
      <c r="C1877" t="n">
        <v>1</v>
      </c>
      <c r="D1877" t="inlineStr">
        <is>
          <t>Hub A</t>
        </is>
      </c>
      <c r="E1877" t="n">
        <v>70</v>
      </c>
      <c r="F1877" t="n">
        <v>22</v>
      </c>
    </row>
    <row r="1878">
      <c r="A1878" t="inlineStr">
        <is>
          <t>ORD01877</t>
        </is>
      </c>
      <c r="B1878" t="inlineStr">
        <is>
          <t>C1877</t>
        </is>
      </c>
      <c r="C1878" t="n">
        <v>2</v>
      </c>
      <c r="D1878" t="inlineStr">
        <is>
          <t>Hub A</t>
        </is>
      </c>
      <c r="E1878" t="n">
        <v>77</v>
      </c>
      <c r="F1878" t="n">
        <v>22</v>
      </c>
    </row>
    <row r="1879">
      <c r="A1879" t="inlineStr">
        <is>
          <t>ORD01878</t>
        </is>
      </c>
      <c r="B1879" t="inlineStr">
        <is>
          <t>C1878</t>
        </is>
      </c>
      <c r="C1879" t="n">
        <v>3</v>
      </c>
      <c r="D1879" t="inlineStr">
        <is>
          <t>Hub A</t>
        </is>
      </c>
      <c r="E1879" t="n">
        <v>24</v>
      </c>
      <c r="F1879" t="n">
        <v>22</v>
      </c>
    </row>
    <row r="1880">
      <c r="A1880" t="inlineStr">
        <is>
          <t>ORD01879</t>
        </is>
      </c>
      <c r="B1880" t="inlineStr">
        <is>
          <t>C1879</t>
        </is>
      </c>
      <c r="C1880" t="n">
        <v>1</v>
      </c>
      <c r="D1880" t="inlineStr">
        <is>
          <t>Hub A</t>
        </is>
      </c>
      <c r="E1880" t="n">
        <v>31</v>
      </c>
      <c r="F1880" t="n">
        <v>22</v>
      </c>
    </row>
    <row r="1881">
      <c r="A1881" t="inlineStr">
        <is>
          <t>ORD01880</t>
        </is>
      </c>
      <c r="B1881" t="inlineStr">
        <is>
          <t>C1880</t>
        </is>
      </c>
      <c r="C1881" t="n">
        <v>2</v>
      </c>
      <c r="D1881" t="inlineStr">
        <is>
          <t>Hub A</t>
        </is>
      </c>
      <c r="E1881" t="n">
        <v>38</v>
      </c>
      <c r="F1881" t="n">
        <v>22</v>
      </c>
    </row>
    <row r="1882">
      <c r="A1882" t="inlineStr">
        <is>
          <t>ORD01881</t>
        </is>
      </c>
      <c r="B1882" t="inlineStr">
        <is>
          <t>C1881</t>
        </is>
      </c>
      <c r="C1882" t="n">
        <v>3</v>
      </c>
      <c r="D1882" t="inlineStr">
        <is>
          <t>Hub A</t>
        </is>
      </c>
      <c r="E1882" t="n">
        <v>45</v>
      </c>
      <c r="F1882" t="n">
        <v>22</v>
      </c>
    </row>
    <row r="1883">
      <c r="A1883" t="inlineStr">
        <is>
          <t>ORD01882</t>
        </is>
      </c>
      <c r="B1883" t="inlineStr">
        <is>
          <t>C1882</t>
        </is>
      </c>
      <c r="C1883" t="n">
        <v>1</v>
      </c>
      <c r="D1883" t="inlineStr">
        <is>
          <t>Hub A</t>
        </is>
      </c>
      <c r="E1883" t="n">
        <v>52</v>
      </c>
      <c r="F1883" t="n">
        <v>22</v>
      </c>
    </row>
    <row r="1884">
      <c r="A1884" t="inlineStr">
        <is>
          <t>ORD01883</t>
        </is>
      </c>
      <c r="B1884" t="inlineStr">
        <is>
          <t>C1883</t>
        </is>
      </c>
      <c r="C1884" t="n">
        <v>2</v>
      </c>
      <c r="D1884" t="inlineStr">
        <is>
          <t>Hub A</t>
        </is>
      </c>
      <c r="E1884" t="n">
        <v>59</v>
      </c>
      <c r="F1884" t="n">
        <v>22</v>
      </c>
    </row>
    <row r="1885">
      <c r="A1885" t="inlineStr">
        <is>
          <t>ORD01884</t>
        </is>
      </c>
      <c r="B1885" t="inlineStr">
        <is>
          <t>C1884</t>
        </is>
      </c>
      <c r="C1885" t="n">
        <v>3</v>
      </c>
      <c r="D1885" t="inlineStr">
        <is>
          <t>Hub A</t>
        </is>
      </c>
      <c r="E1885" t="n">
        <v>66</v>
      </c>
      <c r="F1885" t="n">
        <v>22</v>
      </c>
    </row>
    <row r="1886">
      <c r="A1886" t="inlineStr">
        <is>
          <t>ORD01885</t>
        </is>
      </c>
      <c r="B1886" t="inlineStr">
        <is>
          <t>C1885</t>
        </is>
      </c>
      <c r="C1886" t="n">
        <v>1</v>
      </c>
      <c r="D1886" t="inlineStr">
        <is>
          <t>Hub A</t>
        </is>
      </c>
      <c r="E1886" t="n">
        <v>73</v>
      </c>
      <c r="F1886" t="n">
        <v>22</v>
      </c>
    </row>
    <row r="1887">
      <c r="A1887" t="inlineStr">
        <is>
          <t>ORD01886</t>
        </is>
      </c>
      <c r="B1887" t="inlineStr">
        <is>
          <t>C1886</t>
        </is>
      </c>
      <c r="C1887" t="n">
        <v>2</v>
      </c>
      <c r="D1887" t="inlineStr">
        <is>
          <t>Hub A</t>
        </is>
      </c>
      <c r="E1887" t="n">
        <v>20</v>
      </c>
      <c r="F1887" t="n">
        <v>22</v>
      </c>
    </row>
    <row r="1888">
      <c r="A1888" t="inlineStr">
        <is>
          <t>ORD01887</t>
        </is>
      </c>
      <c r="B1888" t="inlineStr">
        <is>
          <t>C1887</t>
        </is>
      </c>
      <c r="C1888" t="n">
        <v>3</v>
      </c>
      <c r="D1888" t="inlineStr">
        <is>
          <t>Hub A</t>
        </is>
      </c>
      <c r="E1888" t="n">
        <v>27</v>
      </c>
      <c r="F1888" t="n">
        <v>22</v>
      </c>
    </row>
    <row r="1889">
      <c r="A1889" t="inlineStr">
        <is>
          <t>ORD01888</t>
        </is>
      </c>
      <c r="B1889" t="inlineStr">
        <is>
          <t>C1888</t>
        </is>
      </c>
      <c r="C1889" t="n">
        <v>1</v>
      </c>
      <c r="D1889" t="inlineStr">
        <is>
          <t>Hub A</t>
        </is>
      </c>
      <c r="E1889" t="n">
        <v>34</v>
      </c>
      <c r="F1889" t="n">
        <v>22</v>
      </c>
    </row>
    <row r="1890">
      <c r="A1890" t="inlineStr">
        <is>
          <t>ORD01889</t>
        </is>
      </c>
      <c r="B1890" t="inlineStr">
        <is>
          <t>C1889</t>
        </is>
      </c>
      <c r="C1890" t="n">
        <v>2</v>
      </c>
      <c r="D1890" t="inlineStr">
        <is>
          <t>Hub A</t>
        </is>
      </c>
      <c r="E1890" t="n">
        <v>41</v>
      </c>
      <c r="F1890" t="n">
        <v>22</v>
      </c>
    </row>
    <row r="1891">
      <c r="A1891" t="inlineStr">
        <is>
          <t>ORD01890</t>
        </is>
      </c>
      <c r="B1891" t="inlineStr">
        <is>
          <t>C1890</t>
        </is>
      </c>
      <c r="C1891" t="n">
        <v>3</v>
      </c>
      <c r="D1891" t="inlineStr">
        <is>
          <t>Hub A</t>
        </is>
      </c>
      <c r="E1891" t="n">
        <v>48</v>
      </c>
      <c r="F1891" t="n">
        <v>22</v>
      </c>
    </row>
    <row r="1892">
      <c r="A1892" t="inlineStr">
        <is>
          <t>ORD01891</t>
        </is>
      </c>
      <c r="B1892" t="inlineStr">
        <is>
          <t>C1891</t>
        </is>
      </c>
      <c r="C1892" t="n">
        <v>1</v>
      </c>
      <c r="D1892" t="inlineStr">
        <is>
          <t>Hub A</t>
        </is>
      </c>
      <c r="E1892" t="n">
        <v>55</v>
      </c>
      <c r="F1892" t="n">
        <v>22</v>
      </c>
    </row>
    <row r="1893">
      <c r="A1893" t="inlineStr">
        <is>
          <t>ORD01892</t>
        </is>
      </c>
      <c r="B1893" t="inlineStr">
        <is>
          <t>C1892</t>
        </is>
      </c>
      <c r="C1893" t="n">
        <v>2</v>
      </c>
      <c r="D1893" t="inlineStr">
        <is>
          <t>Hub A</t>
        </is>
      </c>
      <c r="E1893" t="n">
        <v>62</v>
      </c>
      <c r="F1893" t="n">
        <v>22</v>
      </c>
    </row>
    <row r="1894">
      <c r="A1894" t="inlineStr">
        <is>
          <t>ORD01893</t>
        </is>
      </c>
      <c r="B1894" t="inlineStr">
        <is>
          <t>C1893</t>
        </is>
      </c>
      <c r="C1894" t="n">
        <v>3</v>
      </c>
      <c r="D1894" t="inlineStr">
        <is>
          <t>Hub A</t>
        </is>
      </c>
      <c r="E1894" t="n">
        <v>69</v>
      </c>
      <c r="F1894" t="n">
        <v>22</v>
      </c>
    </row>
    <row r="1895">
      <c r="A1895" t="inlineStr">
        <is>
          <t>ORD01894</t>
        </is>
      </c>
      <c r="B1895" t="inlineStr">
        <is>
          <t>C1894</t>
        </is>
      </c>
      <c r="C1895" t="n">
        <v>1</v>
      </c>
      <c r="D1895" t="inlineStr">
        <is>
          <t>Hub A</t>
        </is>
      </c>
      <c r="E1895" t="n">
        <v>76</v>
      </c>
      <c r="F1895" t="n">
        <v>22</v>
      </c>
    </row>
    <row r="1896">
      <c r="A1896" t="inlineStr">
        <is>
          <t>ORD01895</t>
        </is>
      </c>
      <c r="B1896" t="inlineStr">
        <is>
          <t>C1895</t>
        </is>
      </c>
      <c r="C1896" t="n">
        <v>2</v>
      </c>
      <c r="D1896" t="inlineStr">
        <is>
          <t>Hub A</t>
        </is>
      </c>
      <c r="E1896" t="n">
        <v>23</v>
      </c>
      <c r="F1896" t="n">
        <v>22</v>
      </c>
    </row>
    <row r="1897">
      <c r="A1897" t="inlineStr">
        <is>
          <t>ORD01896</t>
        </is>
      </c>
      <c r="B1897" t="inlineStr">
        <is>
          <t>C1896</t>
        </is>
      </c>
      <c r="C1897" t="n">
        <v>3</v>
      </c>
      <c r="D1897" t="inlineStr">
        <is>
          <t>Hub A</t>
        </is>
      </c>
      <c r="E1897" t="n">
        <v>30</v>
      </c>
      <c r="F1897" t="n">
        <v>22</v>
      </c>
    </row>
    <row r="1898">
      <c r="A1898" t="inlineStr">
        <is>
          <t>ORD01897</t>
        </is>
      </c>
      <c r="B1898" t="inlineStr">
        <is>
          <t>C1897</t>
        </is>
      </c>
      <c r="C1898" t="n">
        <v>1</v>
      </c>
      <c r="D1898" t="inlineStr">
        <is>
          <t>Hub A</t>
        </is>
      </c>
      <c r="E1898" t="n">
        <v>37</v>
      </c>
      <c r="F1898" t="n">
        <v>22</v>
      </c>
    </row>
    <row r="1899">
      <c r="A1899" t="inlineStr">
        <is>
          <t>ORD01898</t>
        </is>
      </c>
      <c r="B1899" t="inlineStr">
        <is>
          <t>C1898</t>
        </is>
      </c>
      <c r="C1899" t="n">
        <v>2</v>
      </c>
      <c r="D1899" t="inlineStr">
        <is>
          <t>Hub A</t>
        </is>
      </c>
      <c r="E1899" t="n">
        <v>44</v>
      </c>
      <c r="F1899" t="n">
        <v>22</v>
      </c>
    </row>
    <row r="1900">
      <c r="A1900" t="inlineStr">
        <is>
          <t>ORD01899</t>
        </is>
      </c>
      <c r="B1900" t="inlineStr">
        <is>
          <t>C1899</t>
        </is>
      </c>
      <c r="C1900" t="n">
        <v>3</v>
      </c>
      <c r="D1900" t="inlineStr">
        <is>
          <t>Hub A</t>
        </is>
      </c>
      <c r="E1900" t="n">
        <v>51</v>
      </c>
      <c r="F1900" t="n">
        <v>22</v>
      </c>
    </row>
    <row r="1901">
      <c r="A1901" t="inlineStr">
        <is>
          <t>ORD01900</t>
        </is>
      </c>
      <c r="B1901" t="inlineStr">
        <is>
          <t>C1900</t>
        </is>
      </c>
      <c r="C1901" t="n">
        <v>1</v>
      </c>
      <c r="D1901" t="inlineStr">
        <is>
          <t>Hub A</t>
        </is>
      </c>
      <c r="E1901" t="n">
        <v>58</v>
      </c>
      <c r="F1901" t="n">
        <v>22</v>
      </c>
    </row>
    <row r="1902">
      <c r="A1902" t="inlineStr">
        <is>
          <t>ORD01901</t>
        </is>
      </c>
      <c r="B1902" t="inlineStr">
        <is>
          <t>C1901</t>
        </is>
      </c>
      <c r="C1902" t="n">
        <v>2</v>
      </c>
      <c r="D1902" t="inlineStr">
        <is>
          <t>Hub A</t>
        </is>
      </c>
      <c r="E1902" t="n">
        <v>65</v>
      </c>
      <c r="F1902" t="n">
        <v>22</v>
      </c>
    </row>
    <row r="1903">
      <c r="A1903" t="inlineStr">
        <is>
          <t>ORD01902</t>
        </is>
      </c>
      <c r="B1903" t="inlineStr">
        <is>
          <t>C1902</t>
        </is>
      </c>
      <c r="C1903" t="n">
        <v>3</v>
      </c>
      <c r="D1903" t="inlineStr">
        <is>
          <t>Hub A</t>
        </is>
      </c>
      <c r="E1903" t="n">
        <v>72</v>
      </c>
      <c r="F1903" t="n">
        <v>22</v>
      </c>
    </row>
    <row r="1904">
      <c r="A1904" t="inlineStr">
        <is>
          <t>ORD01903</t>
        </is>
      </c>
      <c r="B1904" t="inlineStr">
        <is>
          <t>C1903</t>
        </is>
      </c>
      <c r="C1904" t="n">
        <v>1</v>
      </c>
      <c r="D1904" t="inlineStr">
        <is>
          <t>Hub A</t>
        </is>
      </c>
      <c r="E1904" t="n">
        <v>19</v>
      </c>
      <c r="F1904" t="n">
        <v>22</v>
      </c>
    </row>
    <row r="1905">
      <c r="A1905" t="inlineStr">
        <is>
          <t>ORD01904</t>
        </is>
      </c>
      <c r="B1905" t="inlineStr">
        <is>
          <t>C1904</t>
        </is>
      </c>
      <c r="C1905" t="n">
        <v>2</v>
      </c>
      <c r="D1905" t="inlineStr">
        <is>
          <t>Hub A</t>
        </is>
      </c>
      <c r="E1905" t="n">
        <v>26</v>
      </c>
      <c r="F1905" t="n">
        <v>22</v>
      </c>
    </row>
    <row r="1906">
      <c r="A1906" t="inlineStr">
        <is>
          <t>ORD01905</t>
        </is>
      </c>
      <c r="B1906" t="inlineStr">
        <is>
          <t>C1905</t>
        </is>
      </c>
      <c r="C1906" t="n">
        <v>3</v>
      </c>
      <c r="D1906" t="inlineStr">
        <is>
          <t>Hub A</t>
        </is>
      </c>
      <c r="E1906" t="n">
        <v>33</v>
      </c>
      <c r="F1906" t="n">
        <v>22</v>
      </c>
    </row>
    <row r="1907">
      <c r="A1907" t="inlineStr">
        <is>
          <t>ORD01906</t>
        </is>
      </c>
      <c r="B1907" t="inlineStr">
        <is>
          <t>C1906</t>
        </is>
      </c>
      <c r="C1907" t="n">
        <v>1</v>
      </c>
      <c r="D1907" t="inlineStr">
        <is>
          <t>Hub A</t>
        </is>
      </c>
      <c r="E1907" t="n">
        <v>40</v>
      </c>
      <c r="F1907" t="n">
        <v>22</v>
      </c>
    </row>
    <row r="1908">
      <c r="A1908" t="inlineStr">
        <is>
          <t>ORD01907</t>
        </is>
      </c>
      <c r="B1908" t="inlineStr">
        <is>
          <t>C1907</t>
        </is>
      </c>
      <c r="C1908" t="n">
        <v>2</v>
      </c>
      <c r="D1908" t="inlineStr">
        <is>
          <t>Hub A</t>
        </is>
      </c>
      <c r="E1908" t="n">
        <v>47</v>
      </c>
      <c r="F1908" t="n">
        <v>22</v>
      </c>
    </row>
    <row r="1909">
      <c r="A1909" t="inlineStr">
        <is>
          <t>ORD01908</t>
        </is>
      </c>
      <c r="B1909" t="inlineStr">
        <is>
          <t>C1908</t>
        </is>
      </c>
      <c r="C1909" t="n">
        <v>3</v>
      </c>
      <c r="D1909" t="inlineStr">
        <is>
          <t>Hub A</t>
        </is>
      </c>
      <c r="E1909" t="n">
        <v>54</v>
      </c>
      <c r="F1909" t="n">
        <v>22</v>
      </c>
    </row>
    <row r="1910">
      <c r="A1910" t="inlineStr">
        <is>
          <t>ORD01909</t>
        </is>
      </c>
      <c r="B1910" t="inlineStr">
        <is>
          <t>C1909</t>
        </is>
      </c>
      <c r="C1910" t="n">
        <v>1</v>
      </c>
      <c r="D1910" t="inlineStr">
        <is>
          <t>Hub A</t>
        </is>
      </c>
      <c r="E1910" t="n">
        <v>61</v>
      </c>
      <c r="F1910" t="n">
        <v>22</v>
      </c>
    </row>
    <row r="1911">
      <c r="A1911" t="inlineStr">
        <is>
          <t>ORD01910</t>
        </is>
      </c>
      <c r="B1911" t="inlineStr">
        <is>
          <t>C1910</t>
        </is>
      </c>
      <c r="C1911" t="n">
        <v>2</v>
      </c>
      <c r="D1911" t="inlineStr">
        <is>
          <t>Hub A</t>
        </is>
      </c>
      <c r="E1911" t="n">
        <v>68</v>
      </c>
      <c r="F1911" t="n">
        <v>22</v>
      </c>
    </row>
    <row r="1912">
      <c r="A1912" t="inlineStr">
        <is>
          <t>ORD01911</t>
        </is>
      </c>
      <c r="B1912" t="inlineStr">
        <is>
          <t>C1911</t>
        </is>
      </c>
      <c r="C1912" t="n">
        <v>3</v>
      </c>
      <c r="D1912" t="inlineStr">
        <is>
          <t>Hub A</t>
        </is>
      </c>
      <c r="E1912" t="n">
        <v>75</v>
      </c>
      <c r="F1912" t="n">
        <v>22</v>
      </c>
    </row>
    <row r="1913">
      <c r="A1913" t="inlineStr">
        <is>
          <t>ORD01912</t>
        </is>
      </c>
      <c r="B1913" t="inlineStr">
        <is>
          <t>C1912</t>
        </is>
      </c>
      <c r="C1913" t="n">
        <v>1</v>
      </c>
      <c r="D1913" t="inlineStr">
        <is>
          <t>Hub A</t>
        </is>
      </c>
      <c r="E1913" t="n">
        <v>22</v>
      </c>
      <c r="F1913" t="n">
        <v>22</v>
      </c>
    </row>
    <row r="1914">
      <c r="A1914" t="inlineStr">
        <is>
          <t>ORD01913</t>
        </is>
      </c>
      <c r="B1914" t="inlineStr">
        <is>
          <t>C1913</t>
        </is>
      </c>
      <c r="C1914" t="n">
        <v>2</v>
      </c>
      <c r="D1914" t="inlineStr">
        <is>
          <t>Hub A</t>
        </is>
      </c>
      <c r="E1914" t="n">
        <v>29</v>
      </c>
      <c r="F1914" t="n">
        <v>22</v>
      </c>
    </row>
    <row r="1915">
      <c r="A1915" t="inlineStr">
        <is>
          <t>ORD01914</t>
        </is>
      </c>
      <c r="B1915" t="inlineStr">
        <is>
          <t>C1914</t>
        </is>
      </c>
      <c r="C1915" t="n">
        <v>3</v>
      </c>
      <c r="D1915" t="inlineStr">
        <is>
          <t>Hub A</t>
        </is>
      </c>
      <c r="E1915" t="n">
        <v>36</v>
      </c>
      <c r="F1915" t="n">
        <v>22</v>
      </c>
    </row>
    <row r="1916">
      <c r="A1916" t="inlineStr">
        <is>
          <t>ORD01915</t>
        </is>
      </c>
      <c r="B1916" t="inlineStr">
        <is>
          <t>C1915</t>
        </is>
      </c>
      <c r="C1916" t="n">
        <v>1</v>
      </c>
      <c r="D1916" t="inlineStr">
        <is>
          <t>Hub A</t>
        </is>
      </c>
      <c r="E1916" t="n">
        <v>43</v>
      </c>
      <c r="F1916" t="n">
        <v>22</v>
      </c>
    </row>
    <row r="1917">
      <c r="A1917" t="inlineStr">
        <is>
          <t>ORD01916</t>
        </is>
      </c>
      <c r="B1917" t="inlineStr">
        <is>
          <t>C1916</t>
        </is>
      </c>
      <c r="C1917" t="n">
        <v>2</v>
      </c>
      <c r="D1917" t="inlineStr">
        <is>
          <t>Hub A</t>
        </is>
      </c>
      <c r="E1917" t="n">
        <v>50</v>
      </c>
      <c r="F1917" t="n">
        <v>22</v>
      </c>
    </row>
    <row r="1918">
      <c r="A1918" t="inlineStr">
        <is>
          <t>ORD01917</t>
        </is>
      </c>
      <c r="B1918" t="inlineStr">
        <is>
          <t>C1917</t>
        </is>
      </c>
      <c r="C1918" t="n">
        <v>3</v>
      </c>
      <c r="D1918" t="inlineStr">
        <is>
          <t>Hub A</t>
        </is>
      </c>
      <c r="E1918" t="n">
        <v>57</v>
      </c>
      <c r="F1918" t="n">
        <v>22</v>
      </c>
    </row>
    <row r="1919">
      <c r="A1919" t="inlineStr">
        <is>
          <t>ORD01918</t>
        </is>
      </c>
      <c r="B1919" t="inlineStr">
        <is>
          <t>C1918</t>
        </is>
      </c>
      <c r="C1919" t="n">
        <v>1</v>
      </c>
      <c r="D1919" t="inlineStr">
        <is>
          <t>Hub A</t>
        </is>
      </c>
      <c r="E1919" t="n">
        <v>64</v>
      </c>
      <c r="F1919" t="n">
        <v>22</v>
      </c>
    </row>
    <row r="1920">
      <c r="A1920" t="inlineStr">
        <is>
          <t>ORD01919</t>
        </is>
      </c>
      <c r="B1920" t="inlineStr">
        <is>
          <t>C1919</t>
        </is>
      </c>
      <c r="C1920" t="n">
        <v>2</v>
      </c>
      <c r="D1920" t="inlineStr">
        <is>
          <t>Hub A</t>
        </is>
      </c>
      <c r="E1920" t="n">
        <v>71</v>
      </c>
      <c r="F1920" t="n">
        <v>22</v>
      </c>
    </row>
    <row r="1921">
      <c r="A1921" t="inlineStr">
        <is>
          <t>ORD01920</t>
        </is>
      </c>
      <c r="B1921" t="inlineStr">
        <is>
          <t>C1920</t>
        </is>
      </c>
      <c r="C1921" t="n">
        <v>3</v>
      </c>
      <c r="D1921" t="inlineStr">
        <is>
          <t>Hub A</t>
        </is>
      </c>
      <c r="E1921" t="n">
        <v>18</v>
      </c>
      <c r="F1921" t="n">
        <v>22</v>
      </c>
    </row>
    <row r="1922">
      <c r="A1922" t="inlineStr">
        <is>
          <t>ORD01921</t>
        </is>
      </c>
      <c r="B1922" t="inlineStr">
        <is>
          <t>C1921</t>
        </is>
      </c>
      <c r="C1922" t="n">
        <v>1</v>
      </c>
      <c r="D1922" t="inlineStr">
        <is>
          <t>Hub A</t>
        </is>
      </c>
      <c r="E1922" t="n">
        <v>25</v>
      </c>
      <c r="F1922" t="n">
        <v>22</v>
      </c>
    </row>
    <row r="1923">
      <c r="A1923" t="inlineStr">
        <is>
          <t>ORD01922</t>
        </is>
      </c>
      <c r="B1923" t="inlineStr">
        <is>
          <t>C1922</t>
        </is>
      </c>
      <c r="C1923" t="n">
        <v>2</v>
      </c>
      <c r="D1923" t="inlineStr">
        <is>
          <t>Hub A</t>
        </is>
      </c>
      <c r="E1923" t="n">
        <v>32</v>
      </c>
      <c r="F1923" t="n">
        <v>22</v>
      </c>
    </row>
    <row r="1924">
      <c r="A1924" t="inlineStr">
        <is>
          <t>ORD01923</t>
        </is>
      </c>
      <c r="B1924" t="inlineStr">
        <is>
          <t>C1923</t>
        </is>
      </c>
      <c r="C1924" t="n">
        <v>3</v>
      </c>
      <c r="D1924" t="inlineStr">
        <is>
          <t>Hub A</t>
        </is>
      </c>
      <c r="E1924" t="n">
        <v>39</v>
      </c>
      <c r="F1924" t="n">
        <v>22</v>
      </c>
    </row>
    <row r="1925">
      <c r="A1925" t="inlineStr">
        <is>
          <t>ORD01924</t>
        </is>
      </c>
      <c r="B1925" t="inlineStr">
        <is>
          <t>C1924</t>
        </is>
      </c>
      <c r="C1925" t="n">
        <v>1</v>
      </c>
      <c r="D1925" t="inlineStr">
        <is>
          <t>Hub A</t>
        </is>
      </c>
      <c r="E1925" t="n">
        <v>46</v>
      </c>
      <c r="F1925" t="n">
        <v>22</v>
      </c>
    </row>
    <row r="1926">
      <c r="A1926" t="inlineStr">
        <is>
          <t>ORD01925</t>
        </is>
      </c>
      <c r="B1926" t="inlineStr">
        <is>
          <t>C1925</t>
        </is>
      </c>
      <c r="C1926" t="n">
        <v>2</v>
      </c>
      <c r="D1926" t="inlineStr">
        <is>
          <t>Hub A</t>
        </is>
      </c>
      <c r="E1926" t="n">
        <v>53</v>
      </c>
      <c r="F1926" t="n">
        <v>22</v>
      </c>
    </row>
    <row r="1927">
      <c r="A1927" t="inlineStr">
        <is>
          <t>ORD01926</t>
        </is>
      </c>
      <c r="B1927" t="inlineStr">
        <is>
          <t>C1926</t>
        </is>
      </c>
      <c r="C1927" t="n">
        <v>3</v>
      </c>
      <c r="D1927" t="inlineStr">
        <is>
          <t>Hub A</t>
        </is>
      </c>
      <c r="E1927" t="n">
        <v>60</v>
      </c>
      <c r="F1927" t="n">
        <v>22</v>
      </c>
    </row>
    <row r="1928">
      <c r="A1928" t="inlineStr">
        <is>
          <t>ORD01927</t>
        </is>
      </c>
      <c r="B1928" t="inlineStr">
        <is>
          <t>C1927</t>
        </is>
      </c>
      <c r="C1928" t="n">
        <v>1</v>
      </c>
      <c r="D1928" t="inlineStr">
        <is>
          <t>Hub A</t>
        </is>
      </c>
      <c r="E1928" t="n">
        <v>67</v>
      </c>
      <c r="F1928" t="n">
        <v>22</v>
      </c>
    </row>
    <row r="1929">
      <c r="A1929" t="inlineStr">
        <is>
          <t>ORD01928</t>
        </is>
      </c>
      <c r="B1929" t="inlineStr">
        <is>
          <t>C1928</t>
        </is>
      </c>
      <c r="C1929" t="n">
        <v>2</v>
      </c>
      <c r="D1929" t="inlineStr">
        <is>
          <t>Hub A</t>
        </is>
      </c>
      <c r="E1929" t="n">
        <v>74</v>
      </c>
      <c r="F1929" t="n">
        <v>22</v>
      </c>
    </row>
    <row r="1930">
      <c r="A1930" t="inlineStr">
        <is>
          <t>ORD01929</t>
        </is>
      </c>
      <c r="B1930" t="inlineStr">
        <is>
          <t>C1929</t>
        </is>
      </c>
      <c r="C1930" t="n">
        <v>3</v>
      </c>
      <c r="D1930" t="inlineStr">
        <is>
          <t>Hub A</t>
        </is>
      </c>
      <c r="E1930" t="n">
        <v>21</v>
      </c>
      <c r="F1930" t="n">
        <v>22</v>
      </c>
    </row>
    <row r="1931">
      <c r="A1931" t="inlineStr">
        <is>
          <t>ORD01930</t>
        </is>
      </c>
      <c r="B1931" t="inlineStr">
        <is>
          <t>C1930</t>
        </is>
      </c>
      <c r="C1931" t="n">
        <v>1</v>
      </c>
      <c r="D1931" t="inlineStr">
        <is>
          <t>Hub A</t>
        </is>
      </c>
      <c r="E1931" t="n">
        <v>28</v>
      </c>
      <c r="F1931" t="n">
        <v>22</v>
      </c>
    </row>
    <row r="1932">
      <c r="A1932" t="inlineStr">
        <is>
          <t>ORD01931</t>
        </is>
      </c>
      <c r="B1932" t="inlineStr">
        <is>
          <t>C1931</t>
        </is>
      </c>
      <c r="C1932" t="n">
        <v>2</v>
      </c>
      <c r="D1932" t="inlineStr">
        <is>
          <t>Hub A</t>
        </is>
      </c>
      <c r="E1932" t="n">
        <v>35</v>
      </c>
      <c r="F1932" t="n">
        <v>22</v>
      </c>
    </row>
    <row r="1933">
      <c r="A1933" t="inlineStr">
        <is>
          <t>ORD01932</t>
        </is>
      </c>
      <c r="B1933" t="inlineStr">
        <is>
          <t>C1932</t>
        </is>
      </c>
      <c r="C1933" t="n">
        <v>3</v>
      </c>
      <c r="D1933" t="inlineStr">
        <is>
          <t>Hub A</t>
        </is>
      </c>
      <c r="E1933" t="n">
        <v>42</v>
      </c>
      <c r="F1933" t="n">
        <v>22</v>
      </c>
    </row>
    <row r="1934">
      <c r="A1934" t="inlineStr">
        <is>
          <t>ORD01933</t>
        </is>
      </c>
      <c r="B1934" t="inlineStr">
        <is>
          <t>C1933</t>
        </is>
      </c>
      <c r="C1934" t="n">
        <v>1</v>
      </c>
      <c r="D1934" t="inlineStr">
        <is>
          <t>Hub A</t>
        </is>
      </c>
      <c r="E1934" t="n">
        <v>49</v>
      </c>
      <c r="F1934" t="n">
        <v>22</v>
      </c>
    </row>
    <row r="1935">
      <c r="A1935" t="inlineStr">
        <is>
          <t>ORD01934</t>
        </is>
      </c>
      <c r="B1935" t="inlineStr">
        <is>
          <t>C1934</t>
        </is>
      </c>
      <c r="C1935" t="n">
        <v>2</v>
      </c>
      <c r="D1935" t="inlineStr">
        <is>
          <t>Hub A</t>
        </is>
      </c>
      <c r="E1935" t="n">
        <v>56</v>
      </c>
      <c r="F1935" t="n">
        <v>22</v>
      </c>
    </row>
    <row r="1936">
      <c r="A1936" t="inlineStr">
        <is>
          <t>ORD01935</t>
        </is>
      </c>
      <c r="B1936" t="inlineStr">
        <is>
          <t>C1935</t>
        </is>
      </c>
      <c r="C1936" t="n">
        <v>3</v>
      </c>
      <c r="D1936" t="inlineStr">
        <is>
          <t>Hub A</t>
        </is>
      </c>
      <c r="E1936" t="n">
        <v>63</v>
      </c>
      <c r="F1936" t="n">
        <v>22</v>
      </c>
    </row>
    <row r="1937">
      <c r="A1937" t="inlineStr">
        <is>
          <t>ORD01936</t>
        </is>
      </c>
      <c r="B1937" t="inlineStr">
        <is>
          <t>C1936</t>
        </is>
      </c>
      <c r="C1937" t="n">
        <v>1</v>
      </c>
      <c r="D1937" t="inlineStr">
        <is>
          <t>Hub A</t>
        </is>
      </c>
      <c r="E1937" t="n">
        <v>70</v>
      </c>
      <c r="F1937" t="n">
        <v>22</v>
      </c>
    </row>
    <row r="1938">
      <c r="A1938" t="inlineStr">
        <is>
          <t>ORD01937</t>
        </is>
      </c>
      <c r="B1938" t="inlineStr">
        <is>
          <t>C1937</t>
        </is>
      </c>
      <c r="C1938" t="n">
        <v>2</v>
      </c>
      <c r="D1938" t="inlineStr">
        <is>
          <t>Hub A</t>
        </is>
      </c>
      <c r="E1938" t="n">
        <v>77</v>
      </c>
      <c r="F1938" t="n">
        <v>22</v>
      </c>
    </row>
    <row r="1939">
      <c r="A1939" t="inlineStr">
        <is>
          <t>ORD01938</t>
        </is>
      </c>
      <c r="B1939" t="inlineStr">
        <is>
          <t>C1938</t>
        </is>
      </c>
      <c r="C1939" t="n">
        <v>3</v>
      </c>
      <c r="D1939" t="inlineStr">
        <is>
          <t>Hub A</t>
        </is>
      </c>
      <c r="E1939" t="n">
        <v>24</v>
      </c>
      <c r="F1939" t="n">
        <v>22</v>
      </c>
    </row>
    <row r="1940">
      <c r="A1940" t="inlineStr">
        <is>
          <t>ORD01939</t>
        </is>
      </c>
      <c r="B1940" t="inlineStr">
        <is>
          <t>C1939</t>
        </is>
      </c>
      <c r="C1940" t="n">
        <v>1</v>
      </c>
      <c r="D1940" t="inlineStr">
        <is>
          <t>Hub A</t>
        </is>
      </c>
      <c r="E1940" t="n">
        <v>31</v>
      </c>
      <c r="F1940" t="n">
        <v>22</v>
      </c>
    </row>
    <row r="1941">
      <c r="A1941" t="inlineStr">
        <is>
          <t>ORD01940</t>
        </is>
      </c>
      <c r="B1941" t="inlineStr">
        <is>
          <t>C1940</t>
        </is>
      </c>
      <c r="C1941" t="n">
        <v>2</v>
      </c>
      <c r="D1941" t="inlineStr">
        <is>
          <t>Hub A</t>
        </is>
      </c>
      <c r="E1941" t="n">
        <v>38</v>
      </c>
      <c r="F1941" t="n">
        <v>22</v>
      </c>
    </row>
    <row r="1942">
      <c r="A1942" t="inlineStr">
        <is>
          <t>ORD01941</t>
        </is>
      </c>
      <c r="B1942" t="inlineStr">
        <is>
          <t>C1941</t>
        </is>
      </c>
      <c r="C1942" t="n">
        <v>3</v>
      </c>
      <c r="D1942" t="inlineStr">
        <is>
          <t>Hub A</t>
        </is>
      </c>
      <c r="E1942" t="n">
        <v>45</v>
      </c>
      <c r="F1942" t="n">
        <v>22</v>
      </c>
    </row>
    <row r="1943">
      <c r="A1943" t="inlineStr">
        <is>
          <t>ORD01942</t>
        </is>
      </c>
      <c r="B1943" t="inlineStr">
        <is>
          <t>C1942</t>
        </is>
      </c>
      <c r="C1943" t="n">
        <v>1</v>
      </c>
      <c r="D1943" t="inlineStr">
        <is>
          <t>Hub A</t>
        </is>
      </c>
      <c r="E1943" t="n">
        <v>52</v>
      </c>
      <c r="F1943" t="n">
        <v>22</v>
      </c>
    </row>
    <row r="1944">
      <c r="A1944" t="inlineStr">
        <is>
          <t>ORD01943</t>
        </is>
      </c>
      <c r="B1944" t="inlineStr">
        <is>
          <t>C1943</t>
        </is>
      </c>
      <c r="C1944" t="n">
        <v>2</v>
      </c>
      <c r="D1944" t="inlineStr">
        <is>
          <t>Hub A</t>
        </is>
      </c>
      <c r="E1944" t="n">
        <v>59</v>
      </c>
      <c r="F1944" t="n">
        <v>22</v>
      </c>
    </row>
    <row r="1945">
      <c r="A1945" t="inlineStr">
        <is>
          <t>ORD01944</t>
        </is>
      </c>
      <c r="B1945" t="inlineStr">
        <is>
          <t>C1944</t>
        </is>
      </c>
      <c r="C1945" t="n">
        <v>3</v>
      </c>
      <c r="D1945" t="inlineStr">
        <is>
          <t>Hub A</t>
        </is>
      </c>
      <c r="E1945" t="n">
        <v>66</v>
      </c>
      <c r="F1945" t="n">
        <v>22</v>
      </c>
    </row>
    <row r="1946">
      <c r="A1946" t="inlineStr">
        <is>
          <t>ORD01945</t>
        </is>
      </c>
      <c r="B1946" t="inlineStr">
        <is>
          <t>C1945</t>
        </is>
      </c>
      <c r="C1946" t="n">
        <v>1</v>
      </c>
      <c r="D1946" t="inlineStr">
        <is>
          <t>Hub A</t>
        </is>
      </c>
      <c r="E1946" t="n">
        <v>73</v>
      </c>
      <c r="F1946" t="n">
        <v>22</v>
      </c>
    </row>
    <row r="1947">
      <c r="A1947" t="inlineStr">
        <is>
          <t>ORD01946</t>
        </is>
      </c>
      <c r="B1947" t="inlineStr">
        <is>
          <t>C1946</t>
        </is>
      </c>
      <c r="C1947" t="n">
        <v>2</v>
      </c>
      <c r="D1947" t="inlineStr">
        <is>
          <t>Hub A</t>
        </is>
      </c>
      <c r="E1947" t="n">
        <v>20</v>
      </c>
      <c r="F1947" t="n">
        <v>22</v>
      </c>
    </row>
    <row r="1948">
      <c r="A1948" t="inlineStr">
        <is>
          <t>ORD01947</t>
        </is>
      </c>
      <c r="B1948" t="inlineStr">
        <is>
          <t>C1947</t>
        </is>
      </c>
      <c r="C1948" t="n">
        <v>3</v>
      </c>
      <c r="D1948" t="inlineStr">
        <is>
          <t>Hub A</t>
        </is>
      </c>
      <c r="E1948" t="n">
        <v>27</v>
      </c>
      <c r="F1948" t="n">
        <v>22</v>
      </c>
    </row>
    <row r="1949">
      <c r="A1949" t="inlineStr">
        <is>
          <t>ORD01948</t>
        </is>
      </c>
      <c r="B1949" t="inlineStr">
        <is>
          <t>C1948</t>
        </is>
      </c>
      <c r="C1949" t="n">
        <v>1</v>
      </c>
      <c r="D1949" t="inlineStr">
        <is>
          <t>Hub A</t>
        </is>
      </c>
      <c r="E1949" t="n">
        <v>34</v>
      </c>
      <c r="F1949" t="n">
        <v>22</v>
      </c>
    </row>
    <row r="1950">
      <c r="A1950" t="inlineStr">
        <is>
          <t>ORD01949</t>
        </is>
      </c>
      <c r="B1950" t="inlineStr">
        <is>
          <t>C1949</t>
        </is>
      </c>
      <c r="C1950" t="n">
        <v>2</v>
      </c>
      <c r="D1950" t="inlineStr">
        <is>
          <t>Hub A</t>
        </is>
      </c>
      <c r="E1950" t="n">
        <v>41</v>
      </c>
      <c r="F1950" t="n">
        <v>22</v>
      </c>
    </row>
    <row r="1951">
      <c r="A1951" t="inlineStr">
        <is>
          <t>ORD01950</t>
        </is>
      </c>
      <c r="B1951" t="inlineStr">
        <is>
          <t>C1950</t>
        </is>
      </c>
      <c r="C1951" t="n">
        <v>3</v>
      </c>
      <c r="D1951" t="inlineStr">
        <is>
          <t>Hub A</t>
        </is>
      </c>
      <c r="E1951" t="n">
        <v>48</v>
      </c>
      <c r="F1951" t="n">
        <v>22</v>
      </c>
    </row>
    <row r="1952">
      <c r="A1952" t="inlineStr">
        <is>
          <t>ORD01951</t>
        </is>
      </c>
      <c r="B1952" t="inlineStr">
        <is>
          <t>C1951</t>
        </is>
      </c>
      <c r="C1952" t="n">
        <v>1</v>
      </c>
      <c r="D1952" t="inlineStr">
        <is>
          <t>Hub A</t>
        </is>
      </c>
      <c r="E1952" t="n">
        <v>55</v>
      </c>
      <c r="F1952" t="n">
        <v>22</v>
      </c>
    </row>
    <row r="1953">
      <c r="A1953" t="inlineStr">
        <is>
          <t>ORD01952</t>
        </is>
      </c>
      <c r="B1953" t="inlineStr">
        <is>
          <t>C1952</t>
        </is>
      </c>
      <c r="C1953" t="n">
        <v>2</v>
      </c>
      <c r="D1953" t="inlineStr">
        <is>
          <t>Hub A</t>
        </is>
      </c>
      <c r="E1953" t="n">
        <v>62</v>
      </c>
      <c r="F1953" t="n">
        <v>22</v>
      </c>
    </row>
    <row r="1954">
      <c r="A1954" t="inlineStr">
        <is>
          <t>ORD01953</t>
        </is>
      </c>
      <c r="B1954" t="inlineStr">
        <is>
          <t>C1953</t>
        </is>
      </c>
      <c r="C1954" t="n">
        <v>3</v>
      </c>
      <c r="D1954" t="inlineStr">
        <is>
          <t>Hub A</t>
        </is>
      </c>
      <c r="E1954" t="n">
        <v>69</v>
      </c>
      <c r="F1954" t="n">
        <v>22</v>
      </c>
    </row>
    <row r="1955">
      <c r="A1955" t="inlineStr">
        <is>
          <t>ORD01954</t>
        </is>
      </c>
      <c r="B1955" t="inlineStr">
        <is>
          <t>C1954</t>
        </is>
      </c>
      <c r="C1955" t="n">
        <v>1</v>
      </c>
      <c r="D1955" t="inlineStr">
        <is>
          <t>Hub A</t>
        </is>
      </c>
      <c r="E1955" t="n">
        <v>76</v>
      </c>
      <c r="F1955" t="n">
        <v>22</v>
      </c>
    </row>
    <row r="1956">
      <c r="A1956" t="inlineStr">
        <is>
          <t>ORD01955</t>
        </is>
      </c>
      <c r="B1956" t="inlineStr">
        <is>
          <t>C1955</t>
        </is>
      </c>
      <c r="C1956" t="n">
        <v>2</v>
      </c>
      <c r="D1956" t="inlineStr">
        <is>
          <t>Hub A</t>
        </is>
      </c>
      <c r="E1956" t="n">
        <v>23</v>
      </c>
      <c r="F1956" t="n">
        <v>22</v>
      </c>
    </row>
    <row r="1957">
      <c r="A1957" t="inlineStr">
        <is>
          <t>ORD01956</t>
        </is>
      </c>
      <c r="B1957" t="inlineStr">
        <is>
          <t>C1956</t>
        </is>
      </c>
      <c r="C1957" t="n">
        <v>3</v>
      </c>
      <c r="D1957" t="inlineStr">
        <is>
          <t>Hub A</t>
        </is>
      </c>
      <c r="E1957" t="n">
        <v>30</v>
      </c>
      <c r="F1957" t="n">
        <v>22</v>
      </c>
    </row>
    <row r="1958">
      <c r="A1958" t="inlineStr">
        <is>
          <t>ORD01957</t>
        </is>
      </c>
      <c r="B1958" t="inlineStr">
        <is>
          <t>C1957</t>
        </is>
      </c>
      <c r="C1958" t="n">
        <v>1</v>
      </c>
      <c r="D1958" t="inlineStr">
        <is>
          <t>Hub A</t>
        </is>
      </c>
      <c r="E1958" t="n">
        <v>37</v>
      </c>
      <c r="F1958" t="n">
        <v>22</v>
      </c>
    </row>
    <row r="1959">
      <c r="A1959" t="inlineStr">
        <is>
          <t>ORD01958</t>
        </is>
      </c>
      <c r="B1959" t="inlineStr">
        <is>
          <t>C1958</t>
        </is>
      </c>
      <c r="C1959" t="n">
        <v>2</v>
      </c>
      <c r="D1959" t="inlineStr">
        <is>
          <t>Hub A</t>
        </is>
      </c>
      <c r="E1959" t="n">
        <v>44</v>
      </c>
      <c r="F1959" t="n">
        <v>22</v>
      </c>
    </row>
    <row r="1960">
      <c r="A1960" t="inlineStr">
        <is>
          <t>ORD01959</t>
        </is>
      </c>
      <c r="B1960" t="inlineStr">
        <is>
          <t>C1959</t>
        </is>
      </c>
      <c r="C1960" t="n">
        <v>3</v>
      </c>
      <c r="D1960" t="inlineStr">
        <is>
          <t>Hub A</t>
        </is>
      </c>
      <c r="E1960" t="n">
        <v>51</v>
      </c>
      <c r="F1960" t="n">
        <v>22</v>
      </c>
    </row>
    <row r="1961">
      <c r="A1961" t="inlineStr">
        <is>
          <t>ORD01960</t>
        </is>
      </c>
      <c r="B1961" t="inlineStr">
        <is>
          <t>C1960</t>
        </is>
      </c>
      <c r="C1961" t="n">
        <v>1</v>
      </c>
      <c r="D1961" t="inlineStr">
        <is>
          <t>Hub A</t>
        </is>
      </c>
      <c r="E1961" t="n">
        <v>58</v>
      </c>
      <c r="F1961" t="n">
        <v>22</v>
      </c>
    </row>
    <row r="1962">
      <c r="A1962" t="inlineStr">
        <is>
          <t>ORD01961</t>
        </is>
      </c>
      <c r="B1962" t="inlineStr">
        <is>
          <t>C1961</t>
        </is>
      </c>
      <c r="C1962" t="n">
        <v>2</v>
      </c>
      <c r="D1962" t="inlineStr">
        <is>
          <t>Hub A</t>
        </is>
      </c>
      <c r="E1962" t="n">
        <v>65</v>
      </c>
      <c r="F1962" t="n">
        <v>22</v>
      </c>
    </row>
    <row r="1963">
      <c r="A1963" t="inlineStr">
        <is>
          <t>ORD01962</t>
        </is>
      </c>
      <c r="B1963" t="inlineStr">
        <is>
          <t>C1962</t>
        </is>
      </c>
      <c r="C1963" t="n">
        <v>3</v>
      </c>
      <c r="D1963" t="inlineStr">
        <is>
          <t>Hub A</t>
        </is>
      </c>
      <c r="E1963" t="n">
        <v>72</v>
      </c>
      <c r="F1963" t="n">
        <v>22</v>
      </c>
    </row>
    <row r="1964">
      <c r="A1964" t="inlineStr">
        <is>
          <t>ORD01963</t>
        </is>
      </c>
      <c r="B1964" t="inlineStr">
        <is>
          <t>C1963</t>
        </is>
      </c>
      <c r="C1964" t="n">
        <v>1</v>
      </c>
      <c r="D1964" t="inlineStr">
        <is>
          <t>Hub A</t>
        </is>
      </c>
      <c r="E1964" t="n">
        <v>19</v>
      </c>
      <c r="F1964" t="n">
        <v>22</v>
      </c>
    </row>
    <row r="1965">
      <c r="A1965" t="inlineStr">
        <is>
          <t>ORD01964</t>
        </is>
      </c>
      <c r="B1965" t="inlineStr">
        <is>
          <t>C1964</t>
        </is>
      </c>
      <c r="C1965" t="n">
        <v>2</v>
      </c>
      <c r="D1965" t="inlineStr">
        <is>
          <t>Hub A</t>
        </is>
      </c>
      <c r="E1965" t="n">
        <v>26</v>
      </c>
      <c r="F1965" t="n">
        <v>22</v>
      </c>
    </row>
    <row r="1966">
      <c r="A1966" t="inlineStr">
        <is>
          <t>ORD01965</t>
        </is>
      </c>
      <c r="B1966" t="inlineStr">
        <is>
          <t>C1965</t>
        </is>
      </c>
      <c r="C1966" t="n">
        <v>3</v>
      </c>
      <c r="D1966" t="inlineStr">
        <is>
          <t>Hub A</t>
        </is>
      </c>
      <c r="E1966" t="n">
        <v>33</v>
      </c>
      <c r="F1966" t="n">
        <v>22</v>
      </c>
    </row>
    <row r="1967">
      <c r="A1967" t="inlineStr">
        <is>
          <t>ORD01966</t>
        </is>
      </c>
      <c r="B1967" t="inlineStr">
        <is>
          <t>C1966</t>
        </is>
      </c>
      <c r="C1967" t="n">
        <v>1</v>
      </c>
      <c r="D1967" t="inlineStr">
        <is>
          <t>Hub A</t>
        </is>
      </c>
      <c r="E1967" t="n">
        <v>40</v>
      </c>
      <c r="F1967" t="n">
        <v>22</v>
      </c>
    </row>
    <row r="1968">
      <c r="A1968" t="inlineStr">
        <is>
          <t>ORD01967</t>
        </is>
      </c>
      <c r="B1968" t="inlineStr">
        <is>
          <t>C1967</t>
        </is>
      </c>
      <c r="C1968" t="n">
        <v>2</v>
      </c>
      <c r="D1968" t="inlineStr">
        <is>
          <t>Hub A</t>
        </is>
      </c>
      <c r="E1968" t="n">
        <v>47</v>
      </c>
      <c r="F1968" t="n">
        <v>22</v>
      </c>
    </row>
    <row r="1969">
      <c r="A1969" t="inlineStr">
        <is>
          <t>ORD01968</t>
        </is>
      </c>
      <c r="B1969" t="inlineStr">
        <is>
          <t>C1968</t>
        </is>
      </c>
      <c r="C1969" t="n">
        <v>3</v>
      </c>
      <c r="D1969" t="inlineStr">
        <is>
          <t>Hub A</t>
        </is>
      </c>
      <c r="E1969" t="n">
        <v>54</v>
      </c>
      <c r="F1969" t="n">
        <v>22</v>
      </c>
    </row>
    <row r="1970">
      <c r="A1970" t="inlineStr">
        <is>
          <t>ORD01969</t>
        </is>
      </c>
      <c r="B1970" t="inlineStr">
        <is>
          <t>C1969</t>
        </is>
      </c>
      <c r="C1970" t="n">
        <v>1</v>
      </c>
      <c r="D1970" t="inlineStr">
        <is>
          <t>Hub A</t>
        </is>
      </c>
      <c r="E1970" t="n">
        <v>61</v>
      </c>
      <c r="F1970" t="n">
        <v>22</v>
      </c>
    </row>
    <row r="1971">
      <c r="A1971" t="inlineStr">
        <is>
          <t>ORD01970</t>
        </is>
      </c>
      <c r="B1971" t="inlineStr">
        <is>
          <t>C1970</t>
        </is>
      </c>
      <c r="C1971" t="n">
        <v>2</v>
      </c>
      <c r="D1971" t="inlineStr">
        <is>
          <t>Hub A</t>
        </is>
      </c>
      <c r="E1971" t="n">
        <v>68</v>
      </c>
      <c r="F1971" t="n">
        <v>22</v>
      </c>
    </row>
    <row r="1972">
      <c r="A1972" t="inlineStr">
        <is>
          <t>ORD01971</t>
        </is>
      </c>
      <c r="B1972" t="inlineStr">
        <is>
          <t>C1971</t>
        </is>
      </c>
      <c r="C1972" t="n">
        <v>3</v>
      </c>
      <c r="D1972" t="inlineStr">
        <is>
          <t>Hub A</t>
        </is>
      </c>
      <c r="E1972" t="n">
        <v>75</v>
      </c>
      <c r="F1972" t="n">
        <v>22</v>
      </c>
    </row>
    <row r="1973">
      <c r="A1973" t="inlineStr">
        <is>
          <t>ORD01972</t>
        </is>
      </c>
      <c r="B1973" t="inlineStr">
        <is>
          <t>C1972</t>
        </is>
      </c>
      <c r="C1973" t="n">
        <v>1</v>
      </c>
      <c r="D1973" t="inlineStr">
        <is>
          <t>Hub A</t>
        </is>
      </c>
      <c r="E1973" t="n">
        <v>22</v>
      </c>
      <c r="F1973" t="n">
        <v>22</v>
      </c>
    </row>
    <row r="1974">
      <c r="A1974" t="inlineStr">
        <is>
          <t>ORD01973</t>
        </is>
      </c>
      <c r="B1974" t="inlineStr">
        <is>
          <t>C1973</t>
        </is>
      </c>
      <c r="C1974" t="n">
        <v>2</v>
      </c>
      <c r="D1974" t="inlineStr">
        <is>
          <t>Hub A</t>
        </is>
      </c>
      <c r="E1974" t="n">
        <v>29</v>
      </c>
      <c r="F1974" t="n">
        <v>22</v>
      </c>
    </row>
    <row r="1975">
      <c r="A1975" t="inlineStr">
        <is>
          <t>ORD01974</t>
        </is>
      </c>
      <c r="B1975" t="inlineStr">
        <is>
          <t>C1974</t>
        </is>
      </c>
      <c r="C1975" t="n">
        <v>3</v>
      </c>
      <c r="D1975" t="inlineStr">
        <is>
          <t>Hub A</t>
        </is>
      </c>
      <c r="E1975" t="n">
        <v>36</v>
      </c>
      <c r="F1975" t="n">
        <v>22</v>
      </c>
    </row>
    <row r="1976">
      <c r="A1976" t="inlineStr">
        <is>
          <t>ORD01975</t>
        </is>
      </c>
      <c r="B1976" t="inlineStr">
        <is>
          <t>C1975</t>
        </is>
      </c>
      <c r="C1976" t="n">
        <v>1</v>
      </c>
      <c r="D1976" t="inlineStr">
        <is>
          <t>Hub A</t>
        </is>
      </c>
      <c r="E1976" t="n">
        <v>43</v>
      </c>
      <c r="F1976" t="n">
        <v>22</v>
      </c>
    </row>
    <row r="1977">
      <c r="A1977" t="inlineStr">
        <is>
          <t>ORD01976</t>
        </is>
      </c>
      <c r="B1977" t="inlineStr">
        <is>
          <t>C1976</t>
        </is>
      </c>
      <c r="C1977" t="n">
        <v>2</v>
      </c>
      <c r="D1977" t="inlineStr">
        <is>
          <t>Hub A</t>
        </is>
      </c>
      <c r="E1977" t="n">
        <v>50</v>
      </c>
      <c r="F1977" t="n">
        <v>22</v>
      </c>
    </row>
    <row r="1978">
      <c r="A1978" t="inlineStr">
        <is>
          <t>ORD01977</t>
        </is>
      </c>
      <c r="B1978" t="inlineStr">
        <is>
          <t>C1977</t>
        </is>
      </c>
      <c r="C1978" t="n">
        <v>3</v>
      </c>
      <c r="D1978" t="inlineStr">
        <is>
          <t>Hub A</t>
        </is>
      </c>
      <c r="E1978" t="n">
        <v>57</v>
      </c>
      <c r="F1978" t="n">
        <v>22</v>
      </c>
    </row>
    <row r="1979">
      <c r="A1979" t="inlineStr">
        <is>
          <t>ORD01978</t>
        </is>
      </c>
      <c r="B1979" t="inlineStr">
        <is>
          <t>C1978</t>
        </is>
      </c>
      <c r="C1979" t="n">
        <v>1</v>
      </c>
      <c r="D1979" t="inlineStr">
        <is>
          <t>Hub A</t>
        </is>
      </c>
      <c r="E1979" t="n">
        <v>64</v>
      </c>
      <c r="F1979" t="n">
        <v>22</v>
      </c>
    </row>
    <row r="1980">
      <c r="A1980" t="inlineStr">
        <is>
          <t>ORD01979</t>
        </is>
      </c>
      <c r="B1980" t="inlineStr">
        <is>
          <t>C1979</t>
        </is>
      </c>
      <c r="C1980" t="n">
        <v>2</v>
      </c>
      <c r="D1980" t="inlineStr">
        <is>
          <t>Hub A</t>
        </is>
      </c>
      <c r="E1980" t="n">
        <v>71</v>
      </c>
      <c r="F1980" t="n">
        <v>22</v>
      </c>
    </row>
    <row r="1981">
      <c r="A1981" t="inlineStr">
        <is>
          <t>ORD01980</t>
        </is>
      </c>
      <c r="B1981" t="inlineStr">
        <is>
          <t>C1980</t>
        </is>
      </c>
      <c r="C1981" t="n">
        <v>3</v>
      </c>
      <c r="D1981" t="inlineStr">
        <is>
          <t>Hub A</t>
        </is>
      </c>
      <c r="E1981" t="n">
        <v>18</v>
      </c>
      <c r="F1981" t="n">
        <v>22</v>
      </c>
    </row>
    <row r="1982">
      <c r="A1982" t="inlineStr">
        <is>
          <t>ORD01981</t>
        </is>
      </c>
      <c r="B1982" t="inlineStr">
        <is>
          <t>C1981</t>
        </is>
      </c>
      <c r="C1982" t="n">
        <v>1</v>
      </c>
      <c r="D1982" t="inlineStr">
        <is>
          <t>Hub A</t>
        </is>
      </c>
      <c r="E1982" t="n">
        <v>25</v>
      </c>
      <c r="F1982" t="n">
        <v>22</v>
      </c>
    </row>
    <row r="1983">
      <c r="A1983" t="inlineStr">
        <is>
          <t>ORD01982</t>
        </is>
      </c>
      <c r="B1983" t="inlineStr">
        <is>
          <t>C1982</t>
        </is>
      </c>
      <c r="C1983" t="n">
        <v>2</v>
      </c>
      <c r="D1983" t="inlineStr">
        <is>
          <t>Hub A</t>
        </is>
      </c>
      <c r="E1983" t="n">
        <v>32</v>
      </c>
      <c r="F1983" t="n">
        <v>22</v>
      </c>
    </row>
    <row r="1984">
      <c r="A1984" t="inlineStr">
        <is>
          <t>ORD01983</t>
        </is>
      </c>
      <c r="B1984" t="inlineStr">
        <is>
          <t>C1983</t>
        </is>
      </c>
      <c r="C1984" t="n">
        <v>3</v>
      </c>
      <c r="D1984" t="inlineStr">
        <is>
          <t>Hub A</t>
        </is>
      </c>
      <c r="E1984" t="n">
        <v>39</v>
      </c>
      <c r="F1984" t="n">
        <v>22</v>
      </c>
    </row>
    <row r="1985">
      <c r="A1985" t="inlineStr">
        <is>
          <t>ORD01984</t>
        </is>
      </c>
      <c r="B1985" t="inlineStr">
        <is>
          <t>C1984</t>
        </is>
      </c>
      <c r="C1985" t="n">
        <v>1</v>
      </c>
      <c r="D1985" t="inlineStr">
        <is>
          <t>Hub A</t>
        </is>
      </c>
      <c r="E1985" t="n">
        <v>46</v>
      </c>
      <c r="F1985" t="n">
        <v>22</v>
      </c>
    </row>
    <row r="1986">
      <c r="A1986" t="inlineStr">
        <is>
          <t>ORD01985</t>
        </is>
      </c>
      <c r="B1986" t="inlineStr">
        <is>
          <t>C1985</t>
        </is>
      </c>
      <c r="C1986" t="n">
        <v>2</v>
      </c>
      <c r="D1986" t="inlineStr">
        <is>
          <t>Hub A</t>
        </is>
      </c>
      <c r="E1986" t="n">
        <v>53</v>
      </c>
      <c r="F1986" t="n">
        <v>22</v>
      </c>
    </row>
    <row r="1987">
      <c r="A1987" t="inlineStr">
        <is>
          <t>ORD01986</t>
        </is>
      </c>
      <c r="B1987" t="inlineStr">
        <is>
          <t>C1986</t>
        </is>
      </c>
      <c r="C1987" t="n">
        <v>3</v>
      </c>
      <c r="D1987" t="inlineStr">
        <is>
          <t>Hub A</t>
        </is>
      </c>
      <c r="E1987" t="n">
        <v>60</v>
      </c>
      <c r="F1987" t="n">
        <v>22</v>
      </c>
    </row>
    <row r="1988">
      <c r="A1988" t="inlineStr">
        <is>
          <t>ORD01987</t>
        </is>
      </c>
      <c r="B1988" t="inlineStr">
        <is>
          <t>C1987</t>
        </is>
      </c>
      <c r="C1988" t="n">
        <v>1</v>
      </c>
      <c r="D1988" t="inlineStr">
        <is>
          <t>Hub A</t>
        </is>
      </c>
      <c r="E1988" t="n">
        <v>67</v>
      </c>
      <c r="F1988" t="n">
        <v>22</v>
      </c>
    </row>
    <row r="1989">
      <c r="A1989" t="inlineStr">
        <is>
          <t>ORD01988</t>
        </is>
      </c>
      <c r="B1989" t="inlineStr">
        <is>
          <t>C1988</t>
        </is>
      </c>
      <c r="C1989" t="n">
        <v>2</v>
      </c>
      <c r="D1989" t="inlineStr">
        <is>
          <t>Hub A</t>
        </is>
      </c>
      <c r="E1989" t="n">
        <v>74</v>
      </c>
      <c r="F1989" t="n">
        <v>22</v>
      </c>
    </row>
    <row r="1990">
      <c r="A1990" t="inlineStr">
        <is>
          <t>ORD01989</t>
        </is>
      </c>
      <c r="B1990" t="inlineStr">
        <is>
          <t>C1989</t>
        </is>
      </c>
      <c r="C1990" t="n">
        <v>3</v>
      </c>
      <c r="D1990" t="inlineStr">
        <is>
          <t>Hub A</t>
        </is>
      </c>
      <c r="E1990" t="n">
        <v>21</v>
      </c>
      <c r="F1990" t="n">
        <v>22</v>
      </c>
    </row>
    <row r="1991">
      <c r="A1991" t="inlineStr">
        <is>
          <t>ORD01990</t>
        </is>
      </c>
      <c r="B1991" t="inlineStr">
        <is>
          <t>C1990</t>
        </is>
      </c>
      <c r="C1991" t="n">
        <v>1</v>
      </c>
      <c r="D1991" t="inlineStr">
        <is>
          <t>Hub A</t>
        </is>
      </c>
      <c r="E1991" t="n">
        <v>28</v>
      </c>
      <c r="F1991" t="n">
        <v>22</v>
      </c>
    </row>
    <row r="1992">
      <c r="A1992" t="inlineStr">
        <is>
          <t>ORD01991</t>
        </is>
      </c>
      <c r="B1992" t="inlineStr">
        <is>
          <t>C1991</t>
        </is>
      </c>
      <c r="C1992" t="n">
        <v>2</v>
      </c>
      <c r="D1992" t="inlineStr">
        <is>
          <t>Hub A</t>
        </is>
      </c>
      <c r="E1992" t="n">
        <v>35</v>
      </c>
      <c r="F1992" t="n">
        <v>22</v>
      </c>
    </row>
    <row r="1993">
      <c r="A1993" t="inlineStr">
        <is>
          <t>ORD01992</t>
        </is>
      </c>
      <c r="B1993" t="inlineStr">
        <is>
          <t>C1992</t>
        </is>
      </c>
      <c r="C1993" t="n">
        <v>3</v>
      </c>
      <c r="D1993" t="inlineStr">
        <is>
          <t>Hub A</t>
        </is>
      </c>
      <c r="E1993" t="n">
        <v>42</v>
      </c>
      <c r="F1993" t="n">
        <v>22</v>
      </c>
    </row>
    <row r="1994">
      <c r="A1994" t="inlineStr">
        <is>
          <t>ORD01993</t>
        </is>
      </c>
      <c r="B1994" t="inlineStr">
        <is>
          <t>C1993</t>
        </is>
      </c>
      <c r="C1994" t="n">
        <v>1</v>
      </c>
      <c r="D1994" t="inlineStr">
        <is>
          <t>Hub A</t>
        </is>
      </c>
      <c r="E1994" t="n">
        <v>49</v>
      </c>
      <c r="F1994" t="n">
        <v>22</v>
      </c>
    </row>
    <row r="1995">
      <c r="A1995" t="inlineStr">
        <is>
          <t>ORD01994</t>
        </is>
      </c>
      <c r="B1995" t="inlineStr">
        <is>
          <t>C1994</t>
        </is>
      </c>
      <c r="C1995" t="n">
        <v>2</v>
      </c>
      <c r="D1995" t="inlineStr">
        <is>
          <t>Hub A</t>
        </is>
      </c>
      <c r="E1995" t="n">
        <v>56</v>
      </c>
      <c r="F1995" t="n">
        <v>22</v>
      </c>
    </row>
    <row r="1996">
      <c r="A1996" t="inlineStr">
        <is>
          <t>ORD01995</t>
        </is>
      </c>
      <c r="B1996" t="inlineStr">
        <is>
          <t>C1995</t>
        </is>
      </c>
      <c r="C1996" t="n">
        <v>3</v>
      </c>
      <c r="D1996" t="inlineStr">
        <is>
          <t>Hub A</t>
        </is>
      </c>
      <c r="E1996" t="n">
        <v>63</v>
      </c>
      <c r="F1996" t="n">
        <v>22</v>
      </c>
    </row>
    <row r="1997">
      <c r="A1997" t="inlineStr">
        <is>
          <t>ORD01996</t>
        </is>
      </c>
      <c r="B1997" t="inlineStr">
        <is>
          <t>C1996</t>
        </is>
      </c>
      <c r="C1997" t="n">
        <v>1</v>
      </c>
      <c r="D1997" t="inlineStr">
        <is>
          <t>Hub A</t>
        </is>
      </c>
      <c r="E1997" t="n">
        <v>70</v>
      </c>
      <c r="F1997" t="n">
        <v>22</v>
      </c>
    </row>
    <row r="1998">
      <c r="A1998" t="inlineStr">
        <is>
          <t>ORD01997</t>
        </is>
      </c>
      <c r="B1998" t="inlineStr">
        <is>
          <t>C1997</t>
        </is>
      </c>
      <c r="C1998" t="n">
        <v>2</v>
      </c>
      <c r="D1998" t="inlineStr">
        <is>
          <t>Hub A</t>
        </is>
      </c>
      <c r="E1998" t="n">
        <v>77</v>
      </c>
      <c r="F1998" t="n">
        <v>22</v>
      </c>
    </row>
    <row r="1999">
      <c r="A1999" t="inlineStr">
        <is>
          <t>ORD01998</t>
        </is>
      </c>
      <c r="B1999" t="inlineStr">
        <is>
          <t>C1998</t>
        </is>
      </c>
      <c r="C1999" t="n">
        <v>3</v>
      </c>
      <c r="D1999" t="inlineStr">
        <is>
          <t>Hub A</t>
        </is>
      </c>
      <c r="E1999" t="n">
        <v>24</v>
      </c>
      <c r="F1999" t="n">
        <v>22</v>
      </c>
    </row>
    <row r="2000">
      <c r="A2000" t="inlineStr">
        <is>
          <t>ORD01999</t>
        </is>
      </c>
      <c r="B2000" t="inlineStr">
        <is>
          <t>C1999</t>
        </is>
      </c>
      <c r="C2000" t="n">
        <v>1</v>
      </c>
      <c r="D2000" t="inlineStr">
        <is>
          <t>Hub A</t>
        </is>
      </c>
      <c r="E2000" t="n">
        <v>31</v>
      </c>
      <c r="F2000" t="n">
        <v>22</v>
      </c>
    </row>
    <row r="2001">
      <c r="A2001" t="inlineStr">
        <is>
          <t>ORD02000</t>
        </is>
      </c>
      <c r="B2001" t="inlineStr">
        <is>
          <t>C2000</t>
        </is>
      </c>
      <c r="C2001" t="n">
        <v>2</v>
      </c>
      <c r="D2001" t="inlineStr">
        <is>
          <t>Hub A</t>
        </is>
      </c>
      <c r="E2001" t="n">
        <v>38</v>
      </c>
      <c r="F2001" t="n">
        <v>22</v>
      </c>
    </row>
    <row r="2002">
      <c r="A2002" t="inlineStr">
        <is>
          <t>ORD02001</t>
        </is>
      </c>
      <c r="B2002" t="inlineStr">
        <is>
          <t>C2001</t>
        </is>
      </c>
      <c r="C2002" t="n">
        <v>3</v>
      </c>
      <c r="D2002" t="inlineStr">
        <is>
          <t>Hub A</t>
        </is>
      </c>
      <c r="E2002" t="n">
        <v>45</v>
      </c>
      <c r="F2002" t="n">
        <v>22</v>
      </c>
    </row>
    <row r="2003">
      <c r="A2003" t="inlineStr">
        <is>
          <t>ORD02002</t>
        </is>
      </c>
      <c r="B2003" t="inlineStr">
        <is>
          <t>C2002</t>
        </is>
      </c>
      <c r="C2003" t="n">
        <v>1</v>
      </c>
      <c r="D2003" t="inlineStr">
        <is>
          <t>Hub A</t>
        </is>
      </c>
      <c r="E2003" t="n">
        <v>52</v>
      </c>
      <c r="F2003" t="n">
        <v>22</v>
      </c>
    </row>
    <row r="2004">
      <c r="A2004" t="inlineStr">
        <is>
          <t>ORD02003</t>
        </is>
      </c>
      <c r="B2004" t="inlineStr">
        <is>
          <t>C2003</t>
        </is>
      </c>
      <c r="C2004" t="n">
        <v>2</v>
      </c>
      <c r="D2004" t="inlineStr">
        <is>
          <t>Hub A</t>
        </is>
      </c>
      <c r="E2004" t="n">
        <v>59</v>
      </c>
      <c r="F2004" t="n">
        <v>22</v>
      </c>
    </row>
    <row r="2005">
      <c r="A2005" t="inlineStr">
        <is>
          <t>ORD02004</t>
        </is>
      </c>
      <c r="B2005" t="inlineStr">
        <is>
          <t>C2004</t>
        </is>
      </c>
      <c r="C2005" t="n">
        <v>3</v>
      </c>
      <c r="D2005" t="inlineStr">
        <is>
          <t>Hub A</t>
        </is>
      </c>
      <c r="E2005" t="n">
        <v>66</v>
      </c>
      <c r="F2005" t="n">
        <v>22</v>
      </c>
    </row>
    <row r="2006">
      <c r="A2006" t="inlineStr">
        <is>
          <t>ORD02005</t>
        </is>
      </c>
      <c r="B2006" t="inlineStr">
        <is>
          <t>C2005</t>
        </is>
      </c>
      <c r="C2006" t="n">
        <v>1</v>
      </c>
      <c r="D2006" t="inlineStr">
        <is>
          <t>Hub A</t>
        </is>
      </c>
      <c r="E2006" t="n">
        <v>73</v>
      </c>
      <c r="F2006" t="n">
        <v>22</v>
      </c>
    </row>
    <row r="2007">
      <c r="A2007" t="inlineStr">
        <is>
          <t>ORD02006</t>
        </is>
      </c>
      <c r="B2007" t="inlineStr">
        <is>
          <t>C2006</t>
        </is>
      </c>
      <c r="C2007" t="n">
        <v>2</v>
      </c>
      <c r="D2007" t="inlineStr">
        <is>
          <t>Hub A</t>
        </is>
      </c>
      <c r="E2007" t="n">
        <v>20</v>
      </c>
      <c r="F2007" t="n">
        <v>22</v>
      </c>
    </row>
    <row r="2008">
      <c r="A2008" t="inlineStr">
        <is>
          <t>ORD02007</t>
        </is>
      </c>
      <c r="B2008" t="inlineStr">
        <is>
          <t>C2007</t>
        </is>
      </c>
      <c r="C2008" t="n">
        <v>3</v>
      </c>
      <c r="D2008" t="inlineStr">
        <is>
          <t>Hub A</t>
        </is>
      </c>
      <c r="E2008" t="n">
        <v>27</v>
      </c>
      <c r="F2008" t="n">
        <v>22</v>
      </c>
    </row>
    <row r="2009">
      <c r="A2009" t="inlineStr">
        <is>
          <t>ORD02008</t>
        </is>
      </c>
      <c r="B2009" t="inlineStr">
        <is>
          <t>C2008</t>
        </is>
      </c>
      <c r="C2009" t="n">
        <v>1</v>
      </c>
      <c r="D2009" t="inlineStr">
        <is>
          <t>Hub A</t>
        </is>
      </c>
      <c r="E2009" t="n">
        <v>34</v>
      </c>
      <c r="F2009" t="n">
        <v>22</v>
      </c>
    </row>
    <row r="2010">
      <c r="A2010" t="inlineStr">
        <is>
          <t>ORD02009</t>
        </is>
      </c>
      <c r="B2010" t="inlineStr">
        <is>
          <t>C2009</t>
        </is>
      </c>
      <c r="C2010" t="n">
        <v>2</v>
      </c>
      <c r="D2010" t="inlineStr">
        <is>
          <t>Hub A</t>
        </is>
      </c>
      <c r="E2010" t="n">
        <v>41</v>
      </c>
      <c r="F2010" t="n">
        <v>22</v>
      </c>
    </row>
    <row r="2011">
      <c r="A2011" t="inlineStr">
        <is>
          <t>ORD02010</t>
        </is>
      </c>
      <c r="B2011" t="inlineStr">
        <is>
          <t>C2010</t>
        </is>
      </c>
      <c r="C2011" t="n">
        <v>3</v>
      </c>
      <c r="D2011" t="inlineStr">
        <is>
          <t>Hub A</t>
        </is>
      </c>
      <c r="E2011" t="n">
        <v>48</v>
      </c>
      <c r="F2011" t="n">
        <v>22</v>
      </c>
    </row>
    <row r="2012">
      <c r="A2012" t="inlineStr">
        <is>
          <t>ORD02011</t>
        </is>
      </c>
      <c r="B2012" t="inlineStr">
        <is>
          <t>C2011</t>
        </is>
      </c>
      <c r="C2012" t="n">
        <v>1</v>
      </c>
      <c r="D2012" t="inlineStr">
        <is>
          <t>Hub A</t>
        </is>
      </c>
      <c r="E2012" t="n">
        <v>55</v>
      </c>
      <c r="F2012" t="n">
        <v>22</v>
      </c>
    </row>
    <row r="2013">
      <c r="A2013" t="inlineStr">
        <is>
          <t>ORD02012</t>
        </is>
      </c>
      <c r="B2013" t="inlineStr">
        <is>
          <t>C2012</t>
        </is>
      </c>
      <c r="C2013" t="n">
        <v>2</v>
      </c>
      <c r="D2013" t="inlineStr">
        <is>
          <t>Hub A</t>
        </is>
      </c>
      <c r="E2013" t="n">
        <v>62</v>
      </c>
      <c r="F2013" t="n">
        <v>22</v>
      </c>
    </row>
    <row r="2014">
      <c r="A2014" t="inlineStr">
        <is>
          <t>ORD02013</t>
        </is>
      </c>
      <c r="B2014" t="inlineStr">
        <is>
          <t>C2013</t>
        </is>
      </c>
      <c r="C2014" t="n">
        <v>3</v>
      </c>
      <c r="D2014" t="inlineStr">
        <is>
          <t>Hub A</t>
        </is>
      </c>
      <c r="E2014" t="n">
        <v>69</v>
      </c>
      <c r="F2014" t="n">
        <v>22</v>
      </c>
    </row>
    <row r="2015">
      <c r="A2015" t="inlineStr">
        <is>
          <t>ORD02014</t>
        </is>
      </c>
      <c r="B2015" t="inlineStr">
        <is>
          <t>C2014</t>
        </is>
      </c>
      <c r="C2015" t="n">
        <v>1</v>
      </c>
      <c r="D2015" t="inlineStr">
        <is>
          <t>Hub A</t>
        </is>
      </c>
      <c r="E2015" t="n">
        <v>76</v>
      </c>
      <c r="F2015" t="n">
        <v>22</v>
      </c>
    </row>
    <row r="2016">
      <c r="A2016" t="inlineStr">
        <is>
          <t>ORD02015</t>
        </is>
      </c>
      <c r="B2016" t="inlineStr">
        <is>
          <t>C2015</t>
        </is>
      </c>
      <c r="C2016" t="n">
        <v>2</v>
      </c>
      <c r="D2016" t="inlineStr">
        <is>
          <t>Hub A</t>
        </is>
      </c>
      <c r="E2016" t="n">
        <v>23</v>
      </c>
      <c r="F2016" t="n">
        <v>22</v>
      </c>
    </row>
    <row r="2017">
      <c r="A2017" t="inlineStr">
        <is>
          <t>ORD02016</t>
        </is>
      </c>
      <c r="B2017" t="inlineStr">
        <is>
          <t>C2016</t>
        </is>
      </c>
      <c r="C2017" t="n">
        <v>3</v>
      </c>
      <c r="D2017" t="inlineStr">
        <is>
          <t>Hub A</t>
        </is>
      </c>
      <c r="E2017" t="n">
        <v>30</v>
      </c>
      <c r="F2017" t="n">
        <v>22</v>
      </c>
    </row>
    <row r="2018">
      <c r="A2018" t="inlineStr">
        <is>
          <t>ORD02017</t>
        </is>
      </c>
      <c r="B2018" t="inlineStr">
        <is>
          <t>C2017</t>
        </is>
      </c>
      <c r="C2018" t="n">
        <v>1</v>
      </c>
      <c r="D2018" t="inlineStr">
        <is>
          <t>Hub A</t>
        </is>
      </c>
      <c r="E2018" t="n">
        <v>37</v>
      </c>
      <c r="F2018" t="n">
        <v>22</v>
      </c>
    </row>
    <row r="2019">
      <c r="A2019" t="inlineStr">
        <is>
          <t>ORD02018</t>
        </is>
      </c>
      <c r="B2019" t="inlineStr">
        <is>
          <t>C2018</t>
        </is>
      </c>
      <c r="C2019" t="n">
        <v>2</v>
      </c>
      <c r="D2019" t="inlineStr">
        <is>
          <t>Hub A</t>
        </is>
      </c>
      <c r="E2019" t="n">
        <v>44</v>
      </c>
      <c r="F2019" t="n">
        <v>22</v>
      </c>
    </row>
    <row r="2020">
      <c r="A2020" t="inlineStr">
        <is>
          <t>ORD02019</t>
        </is>
      </c>
      <c r="B2020" t="inlineStr">
        <is>
          <t>C2019</t>
        </is>
      </c>
      <c r="C2020" t="n">
        <v>3</v>
      </c>
      <c r="D2020" t="inlineStr">
        <is>
          <t>Hub A</t>
        </is>
      </c>
      <c r="E2020" t="n">
        <v>51</v>
      </c>
      <c r="F2020" t="n">
        <v>22</v>
      </c>
    </row>
    <row r="2021">
      <c r="A2021" t="inlineStr">
        <is>
          <t>ORD02020</t>
        </is>
      </c>
      <c r="B2021" t="inlineStr">
        <is>
          <t>C2020</t>
        </is>
      </c>
      <c r="C2021" t="n">
        <v>1</v>
      </c>
      <c r="D2021" t="inlineStr">
        <is>
          <t>Hub A</t>
        </is>
      </c>
      <c r="E2021" t="n">
        <v>58</v>
      </c>
      <c r="F2021" t="n">
        <v>22</v>
      </c>
    </row>
    <row r="2022">
      <c r="A2022" t="inlineStr">
        <is>
          <t>ORD02021</t>
        </is>
      </c>
      <c r="B2022" t="inlineStr">
        <is>
          <t>C2021</t>
        </is>
      </c>
      <c r="C2022" t="n">
        <v>2</v>
      </c>
      <c r="D2022" t="inlineStr">
        <is>
          <t>Hub A</t>
        </is>
      </c>
      <c r="E2022" t="n">
        <v>65</v>
      </c>
      <c r="F2022" t="n">
        <v>22</v>
      </c>
    </row>
    <row r="2023">
      <c r="A2023" t="inlineStr">
        <is>
          <t>ORD02022</t>
        </is>
      </c>
      <c r="B2023" t="inlineStr">
        <is>
          <t>C2022</t>
        </is>
      </c>
      <c r="C2023" t="n">
        <v>3</v>
      </c>
      <c r="D2023" t="inlineStr">
        <is>
          <t>Hub A</t>
        </is>
      </c>
      <c r="E2023" t="n">
        <v>72</v>
      </c>
      <c r="F2023" t="n">
        <v>22</v>
      </c>
    </row>
    <row r="2024">
      <c r="A2024" t="inlineStr">
        <is>
          <t>ORD02023</t>
        </is>
      </c>
      <c r="B2024" t="inlineStr">
        <is>
          <t>C2023</t>
        </is>
      </c>
      <c r="C2024" t="n">
        <v>1</v>
      </c>
      <c r="D2024" t="inlineStr">
        <is>
          <t>Hub A</t>
        </is>
      </c>
      <c r="E2024" t="n">
        <v>19</v>
      </c>
      <c r="F2024" t="n">
        <v>22</v>
      </c>
    </row>
    <row r="2025">
      <c r="A2025" t="inlineStr">
        <is>
          <t>ORD02024</t>
        </is>
      </c>
      <c r="B2025" t="inlineStr">
        <is>
          <t>C2024</t>
        </is>
      </c>
      <c r="C2025" t="n">
        <v>2</v>
      </c>
      <c r="D2025" t="inlineStr">
        <is>
          <t>Hub A</t>
        </is>
      </c>
      <c r="E2025" t="n">
        <v>26</v>
      </c>
      <c r="F2025" t="n">
        <v>22</v>
      </c>
    </row>
    <row r="2026">
      <c r="A2026" t="inlineStr">
        <is>
          <t>ORD02025</t>
        </is>
      </c>
      <c r="B2026" t="inlineStr">
        <is>
          <t>C2025</t>
        </is>
      </c>
      <c r="C2026" t="n">
        <v>3</v>
      </c>
      <c r="D2026" t="inlineStr">
        <is>
          <t>Hub A</t>
        </is>
      </c>
      <c r="E2026" t="n">
        <v>33</v>
      </c>
      <c r="F2026" t="n">
        <v>22</v>
      </c>
    </row>
    <row r="2027">
      <c r="A2027" t="inlineStr">
        <is>
          <t>ORD02026</t>
        </is>
      </c>
      <c r="B2027" t="inlineStr">
        <is>
          <t>C2026</t>
        </is>
      </c>
      <c r="C2027" t="n">
        <v>1</v>
      </c>
      <c r="D2027" t="inlineStr">
        <is>
          <t>Hub A</t>
        </is>
      </c>
      <c r="E2027" t="n">
        <v>40</v>
      </c>
      <c r="F2027" t="n">
        <v>22</v>
      </c>
    </row>
    <row r="2028">
      <c r="A2028" t="inlineStr">
        <is>
          <t>ORD02027</t>
        </is>
      </c>
      <c r="B2028" t="inlineStr">
        <is>
          <t>C2027</t>
        </is>
      </c>
      <c r="C2028" t="n">
        <v>2</v>
      </c>
      <c r="D2028" t="inlineStr">
        <is>
          <t>Hub A</t>
        </is>
      </c>
      <c r="E2028" t="n">
        <v>47</v>
      </c>
      <c r="F2028" t="n">
        <v>22</v>
      </c>
    </row>
    <row r="2029">
      <c r="A2029" t="inlineStr">
        <is>
          <t>ORD02028</t>
        </is>
      </c>
      <c r="B2029" t="inlineStr">
        <is>
          <t>C2028</t>
        </is>
      </c>
      <c r="C2029" t="n">
        <v>3</v>
      </c>
      <c r="D2029" t="inlineStr">
        <is>
          <t>Hub A</t>
        </is>
      </c>
      <c r="E2029" t="n">
        <v>54</v>
      </c>
      <c r="F2029" t="n">
        <v>22</v>
      </c>
    </row>
    <row r="2030">
      <c r="A2030" t="inlineStr">
        <is>
          <t>ORD02029</t>
        </is>
      </c>
      <c r="B2030" t="inlineStr">
        <is>
          <t>C2029</t>
        </is>
      </c>
      <c r="C2030" t="n">
        <v>1</v>
      </c>
      <c r="D2030" t="inlineStr">
        <is>
          <t>Hub A</t>
        </is>
      </c>
      <c r="E2030" t="n">
        <v>61</v>
      </c>
      <c r="F2030" t="n">
        <v>22</v>
      </c>
    </row>
    <row r="2031">
      <c r="A2031" t="inlineStr">
        <is>
          <t>ORD02030</t>
        </is>
      </c>
      <c r="B2031" t="inlineStr">
        <is>
          <t>C2030</t>
        </is>
      </c>
      <c r="C2031" t="n">
        <v>2</v>
      </c>
      <c r="D2031" t="inlineStr">
        <is>
          <t>Hub A</t>
        </is>
      </c>
      <c r="E2031" t="n">
        <v>68</v>
      </c>
      <c r="F2031" t="n">
        <v>22</v>
      </c>
    </row>
    <row r="2032">
      <c r="A2032" t="inlineStr">
        <is>
          <t>ORD02031</t>
        </is>
      </c>
      <c r="B2032" t="inlineStr">
        <is>
          <t>C2031</t>
        </is>
      </c>
      <c r="C2032" t="n">
        <v>3</v>
      </c>
      <c r="D2032" t="inlineStr">
        <is>
          <t>Hub A</t>
        </is>
      </c>
      <c r="E2032" t="n">
        <v>75</v>
      </c>
      <c r="F2032" t="n">
        <v>22</v>
      </c>
    </row>
    <row r="2033">
      <c r="A2033" t="inlineStr">
        <is>
          <t>ORD02032</t>
        </is>
      </c>
      <c r="B2033" t="inlineStr">
        <is>
          <t>C2032</t>
        </is>
      </c>
      <c r="C2033" t="n">
        <v>1</v>
      </c>
      <c r="D2033" t="inlineStr">
        <is>
          <t>Hub A</t>
        </is>
      </c>
      <c r="E2033" t="n">
        <v>22</v>
      </c>
      <c r="F2033" t="n">
        <v>22</v>
      </c>
    </row>
    <row r="2034">
      <c r="A2034" t="inlineStr">
        <is>
          <t>ORD02033</t>
        </is>
      </c>
      <c r="B2034" t="inlineStr">
        <is>
          <t>C2033</t>
        </is>
      </c>
      <c r="C2034" t="n">
        <v>2</v>
      </c>
      <c r="D2034" t="inlineStr">
        <is>
          <t>Hub A</t>
        </is>
      </c>
      <c r="E2034" t="n">
        <v>29</v>
      </c>
      <c r="F2034" t="n">
        <v>22</v>
      </c>
    </row>
    <row r="2035">
      <c r="A2035" t="inlineStr">
        <is>
          <t>ORD02034</t>
        </is>
      </c>
      <c r="B2035" t="inlineStr">
        <is>
          <t>C2034</t>
        </is>
      </c>
      <c r="C2035" t="n">
        <v>3</v>
      </c>
      <c r="D2035" t="inlineStr">
        <is>
          <t>Hub A</t>
        </is>
      </c>
      <c r="E2035" t="n">
        <v>36</v>
      </c>
      <c r="F2035" t="n">
        <v>22</v>
      </c>
    </row>
    <row r="2036">
      <c r="A2036" t="inlineStr">
        <is>
          <t>ORD02035</t>
        </is>
      </c>
      <c r="B2036" t="inlineStr">
        <is>
          <t>C2035</t>
        </is>
      </c>
      <c r="C2036" t="n">
        <v>1</v>
      </c>
      <c r="D2036" t="inlineStr">
        <is>
          <t>Hub A</t>
        </is>
      </c>
      <c r="E2036" t="n">
        <v>43</v>
      </c>
      <c r="F2036" t="n">
        <v>22</v>
      </c>
    </row>
    <row r="2037">
      <c r="A2037" t="inlineStr">
        <is>
          <t>ORD02036</t>
        </is>
      </c>
      <c r="B2037" t="inlineStr">
        <is>
          <t>C2036</t>
        </is>
      </c>
      <c r="C2037" t="n">
        <v>2</v>
      </c>
      <c r="D2037" t="inlineStr">
        <is>
          <t>Hub A</t>
        </is>
      </c>
      <c r="E2037" t="n">
        <v>50</v>
      </c>
      <c r="F2037" t="n">
        <v>22</v>
      </c>
    </row>
    <row r="2038">
      <c r="A2038" t="inlineStr">
        <is>
          <t>ORD02037</t>
        </is>
      </c>
      <c r="B2038" t="inlineStr">
        <is>
          <t>C2037</t>
        </is>
      </c>
      <c r="C2038" t="n">
        <v>3</v>
      </c>
      <c r="D2038" t="inlineStr">
        <is>
          <t>Hub A</t>
        </is>
      </c>
      <c r="E2038" t="n">
        <v>57</v>
      </c>
      <c r="F2038" t="n">
        <v>22</v>
      </c>
    </row>
    <row r="2039">
      <c r="A2039" t="inlineStr">
        <is>
          <t>ORD02038</t>
        </is>
      </c>
      <c r="B2039" t="inlineStr">
        <is>
          <t>C2038</t>
        </is>
      </c>
      <c r="C2039" t="n">
        <v>1</v>
      </c>
      <c r="D2039" t="inlineStr">
        <is>
          <t>Hub A</t>
        </is>
      </c>
      <c r="E2039" t="n">
        <v>64</v>
      </c>
      <c r="F2039" t="n">
        <v>22</v>
      </c>
    </row>
    <row r="2040">
      <c r="A2040" t="inlineStr">
        <is>
          <t>ORD02039</t>
        </is>
      </c>
      <c r="B2040" t="inlineStr">
        <is>
          <t>C2039</t>
        </is>
      </c>
      <c r="C2040" t="n">
        <v>2</v>
      </c>
      <c r="D2040" t="inlineStr">
        <is>
          <t>Hub A</t>
        </is>
      </c>
      <c r="E2040" t="n">
        <v>71</v>
      </c>
      <c r="F2040" t="n">
        <v>22</v>
      </c>
    </row>
    <row r="2041">
      <c r="A2041" t="inlineStr">
        <is>
          <t>ORD02040</t>
        </is>
      </c>
      <c r="B2041" t="inlineStr">
        <is>
          <t>C2040</t>
        </is>
      </c>
      <c r="C2041" t="n">
        <v>3</v>
      </c>
      <c r="D2041" t="inlineStr">
        <is>
          <t>Hub A</t>
        </is>
      </c>
      <c r="E2041" t="n">
        <v>18</v>
      </c>
      <c r="F2041" t="n">
        <v>22</v>
      </c>
    </row>
    <row r="2042">
      <c r="A2042" t="inlineStr">
        <is>
          <t>ORD02041</t>
        </is>
      </c>
      <c r="B2042" t="inlineStr">
        <is>
          <t>C2041</t>
        </is>
      </c>
      <c r="C2042" t="n">
        <v>1</v>
      </c>
      <c r="D2042" t="inlineStr">
        <is>
          <t>Hub A</t>
        </is>
      </c>
      <c r="E2042" t="n">
        <v>25</v>
      </c>
      <c r="F2042" t="n">
        <v>22</v>
      </c>
    </row>
    <row r="2043">
      <c r="A2043" t="inlineStr">
        <is>
          <t>ORD02042</t>
        </is>
      </c>
      <c r="B2043" t="inlineStr">
        <is>
          <t>C2042</t>
        </is>
      </c>
      <c r="C2043" t="n">
        <v>2</v>
      </c>
      <c r="D2043" t="inlineStr">
        <is>
          <t>Hub A</t>
        </is>
      </c>
      <c r="E2043" t="n">
        <v>32</v>
      </c>
      <c r="F2043" t="n">
        <v>22</v>
      </c>
    </row>
    <row r="2044">
      <c r="A2044" t="inlineStr">
        <is>
          <t>ORD02043</t>
        </is>
      </c>
      <c r="B2044" t="inlineStr">
        <is>
          <t>C2043</t>
        </is>
      </c>
      <c r="C2044" t="n">
        <v>3</v>
      </c>
      <c r="D2044" t="inlineStr">
        <is>
          <t>Hub A</t>
        </is>
      </c>
      <c r="E2044" t="n">
        <v>39</v>
      </c>
      <c r="F2044" t="n">
        <v>22</v>
      </c>
    </row>
    <row r="2045">
      <c r="A2045" t="inlineStr">
        <is>
          <t>ORD02044</t>
        </is>
      </c>
      <c r="B2045" t="inlineStr">
        <is>
          <t>C2044</t>
        </is>
      </c>
      <c r="C2045" t="n">
        <v>1</v>
      </c>
      <c r="D2045" t="inlineStr">
        <is>
          <t>Hub A</t>
        </is>
      </c>
      <c r="E2045" t="n">
        <v>46</v>
      </c>
      <c r="F2045" t="n">
        <v>22</v>
      </c>
    </row>
    <row r="2046">
      <c r="A2046" t="inlineStr">
        <is>
          <t>ORD02045</t>
        </is>
      </c>
      <c r="B2046" t="inlineStr">
        <is>
          <t>C2045</t>
        </is>
      </c>
      <c r="C2046" t="n">
        <v>2</v>
      </c>
      <c r="D2046" t="inlineStr">
        <is>
          <t>Hub A</t>
        </is>
      </c>
      <c r="E2046" t="n">
        <v>53</v>
      </c>
      <c r="F2046" t="n">
        <v>22</v>
      </c>
    </row>
    <row r="2047">
      <c r="A2047" t="inlineStr">
        <is>
          <t>ORD02046</t>
        </is>
      </c>
      <c r="B2047" t="inlineStr">
        <is>
          <t>C2046</t>
        </is>
      </c>
      <c r="C2047" t="n">
        <v>3</v>
      </c>
      <c r="D2047" t="inlineStr">
        <is>
          <t>Hub A</t>
        </is>
      </c>
      <c r="E2047" t="n">
        <v>60</v>
      </c>
      <c r="F2047" t="n">
        <v>22</v>
      </c>
    </row>
    <row r="2048">
      <c r="A2048" t="inlineStr">
        <is>
          <t>ORD02047</t>
        </is>
      </c>
      <c r="B2048" t="inlineStr">
        <is>
          <t>C2047</t>
        </is>
      </c>
      <c r="C2048" t="n">
        <v>1</v>
      </c>
      <c r="D2048" t="inlineStr">
        <is>
          <t>Hub A</t>
        </is>
      </c>
      <c r="E2048" t="n">
        <v>67</v>
      </c>
      <c r="F2048" t="n">
        <v>22</v>
      </c>
    </row>
    <row r="2049">
      <c r="A2049" t="inlineStr">
        <is>
          <t>ORD02048</t>
        </is>
      </c>
      <c r="B2049" t="inlineStr">
        <is>
          <t>C2048</t>
        </is>
      </c>
      <c r="C2049" t="n">
        <v>2</v>
      </c>
      <c r="D2049" t="inlineStr">
        <is>
          <t>Hub A</t>
        </is>
      </c>
      <c r="E2049" t="n">
        <v>74</v>
      </c>
      <c r="F2049" t="n">
        <v>22</v>
      </c>
    </row>
    <row r="2050">
      <c r="A2050" t="inlineStr">
        <is>
          <t>ORD02049</t>
        </is>
      </c>
      <c r="B2050" t="inlineStr">
        <is>
          <t>C2049</t>
        </is>
      </c>
      <c r="C2050" t="n">
        <v>3</v>
      </c>
      <c r="D2050" t="inlineStr">
        <is>
          <t>Hub A</t>
        </is>
      </c>
      <c r="E2050" t="n">
        <v>21</v>
      </c>
      <c r="F2050" t="n">
        <v>22</v>
      </c>
    </row>
    <row r="2051">
      <c r="A2051" t="inlineStr">
        <is>
          <t>ORD02050</t>
        </is>
      </c>
      <c r="B2051" t="inlineStr">
        <is>
          <t>C2050</t>
        </is>
      </c>
      <c r="C2051" t="n">
        <v>1</v>
      </c>
      <c r="D2051" t="inlineStr">
        <is>
          <t>Hub A</t>
        </is>
      </c>
      <c r="E2051" t="n">
        <v>28</v>
      </c>
      <c r="F2051" t="n">
        <v>22</v>
      </c>
    </row>
    <row r="2052">
      <c r="A2052" t="inlineStr">
        <is>
          <t>ORD02051</t>
        </is>
      </c>
      <c r="B2052" t="inlineStr">
        <is>
          <t>C2051</t>
        </is>
      </c>
      <c r="C2052" t="n">
        <v>2</v>
      </c>
      <c r="D2052" t="inlineStr">
        <is>
          <t>Hub A</t>
        </is>
      </c>
      <c r="E2052" t="n">
        <v>35</v>
      </c>
      <c r="F2052" t="n">
        <v>22</v>
      </c>
    </row>
    <row r="2053">
      <c r="A2053" t="inlineStr">
        <is>
          <t>ORD02052</t>
        </is>
      </c>
      <c r="B2053" t="inlineStr">
        <is>
          <t>C2052</t>
        </is>
      </c>
      <c r="C2053" t="n">
        <v>3</v>
      </c>
      <c r="D2053" t="inlineStr">
        <is>
          <t>Hub A</t>
        </is>
      </c>
      <c r="E2053" t="n">
        <v>42</v>
      </c>
      <c r="F2053" t="n">
        <v>22</v>
      </c>
    </row>
    <row r="2054">
      <c r="A2054" t="inlineStr">
        <is>
          <t>ORD02053</t>
        </is>
      </c>
      <c r="B2054" t="inlineStr">
        <is>
          <t>C2053</t>
        </is>
      </c>
      <c r="C2054" t="n">
        <v>1</v>
      </c>
      <c r="D2054" t="inlineStr">
        <is>
          <t>Hub A</t>
        </is>
      </c>
      <c r="E2054" t="n">
        <v>49</v>
      </c>
      <c r="F2054" t="n">
        <v>22</v>
      </c>
    </row>
    <row r="2055">
      <c r="A2055" t="inlineStr">
        <is>
          <t>ORD02054</t>
        </is>
      </c>
      <c r="B2055" t="inlineStr">
        <is>
          <t>C2054</t>
        </is>
      </c>
      <c r="C2055" t="n">
        <v>2</v>
      </c>
      <c r="D2055" t="inlineStr">
        <is>
          <t>Hub A</t>
        </is>
      </c>
      <c r="E2055" t="n">
        <v>56</v>
      </c>
      <c r="F2055" t="n">
        <v>22</v>
      </c>
    </row>
    <row r="2056">
      <c r="A2056" t="inlineStr">
        <is>
          <t>ORD02055</t>
        </is>
      </c>
      <c r="B2056" t="inlineStr">
        <is>
          <t>C2055</t>
        </is>
      </c>
      <c r="C2056" t="n">
        <v>3</v>
      </c>
      <c r="D2056" t="inlineStr">
        <is>
          <t>Hub A</t>
        </is>
      </c>
      <c r="E2056" t="n">
        <v>63</v>
      </c>
      <c r="F2056" t="n">
        <v>22</v>
      </c>
    </row>
    <row r="2057">
      <c r="A2057" t="inlineStr">
        <is>
          <t>ORD02056</t>
        </is>
      </c>
      <c r="B2057" t="inlineStr">
        <is>
          <t>C2056</t>
        </is>
      </c>
      <c r="C2057" t="n">
        <v>1</v>
      </c>
      <c r="D2057" t="inlineStr">
        <is>
          <t>Hub A</t>
        </is>
      </c>
      <c r="E2057" t="n">
        <v>70</v>
      </c>
      <c r="F2057" t="n">
        <v>22</v>
      </c>
    </row>
    <row r="2058">
      <c r="A2058" t="inlineStr">
        <is>
          <t>ORD02057</t>
        </is>
      </c>
      <c r="B2058" t="inlineStr">
        <is>
          <t>C2057</t>
        </is>
      </c>
      <c r="C2058" t="n">
        <v>2</v>
      </c>
      <c r="D2058" t="inlineStr">
        <is>
          <t>Hub A</t>
        </is>
      </c>
      <c r="E2058" t="n">
        <v>77</v>
      </c>
      <c r="F2058" t="n">
        <v>22</v>
      </c>
    </row>
    <row r="2059">
      <c r="A2059" t="inlineStr">
        <is>
          <t>ORD02058</t>
        </is>
      </c>
      <c r="B2059" t="inlineStr">
        <is>
          <t>C2058</t>
        </is>
      </c>
      <c r="C2059" t="n">
        <v>3</v>
      </c>
      <c r="D2059" t="inlineStr">
        <is>
          <t>Hub A</t>
        </is>
      </c>
      <c r="E2059" t="n">
        <v>24</v>
      </c>
      <c r="F2059" t="n">
        <v>22</v>
      </c>
    </row>
    <row r="2060">
      <c r="A2060" t="inlineStr">
        <is>
          <t>ORD02059</t>
        </is>
      </c>
      <c r="B2060" t="inlineStr">
        <is>
          <t>C2059</t>
        </is>
      </c>
      <c r="C2060" t="n">
        <v>1</v>
      </c>
      <c r="D2060" t="inlineStr">
        <is>
          <t>Hub A</t>
        </is>
      </c>
      <c r="E2060" t="n">
        <v>31</v>
      </c>
      <c r="F2060" t="n">
        <v>22</v>
      </c>
    </row>
    <row r="2061">
      <c r="A2061" t="inlineStr">
        <is>
          <t>ORD02060</t>
        </is>
      </c>
      <c r="B2061" t="inlineStr">
        <is>
          <t>C2060</t>
        </is>
      </c>
      <c r="C2061" t="n">
        <v>2</v>
      </c>
      <c r="D2061" t="inlineStr">
        <is>
          <t>Hub A</t>
        </is>
      </c>
      <c r="E2061" t="n">
        <v>38</v>
      </c>
      <c r="F2061" t="n">
        <v>22</v>
      </c>
    </row>
    <row r="2062">
      <c r="A2062" t="inlineStr">
        <is>
          <t>ORD02061</t>
        </is>
      </c>
      <c r="B2062" t="inlineStr">
        <is>
          <t>C2061</t>
        </is>
      </c>
      <c r="C2062" t="n">
        <v>3</v>
      </c>
      <c r="D2062" t="inlineStr">
        <is>
          <t>Hub A</t>
        </is>
      </c>
      <c r="E2062" t="n">
        <v>45</v>
      </c>
      <c r="F2062" t="n">
        <v>22</v>
      </c>
    </row>
    <row r="2063">
      <c r="A2063" t="inlineStr">
        <is>
          <t>ORD02062</t>
        </is>
      </c>
      <c r="B2063" t="inlineStr">
        <is>
          <t>C2062</t>
        </is>
      </c>
      <c r="C2063" t="n">
        <v>1</v>
      </c>
      <c r="D2063" t="inlineStr">
        <is>
          <t>Hub A</t>
        </is>
      </c>
      <c r="E2063" t="n">
        <v>52</v>
      </c>
      <c r="F2063" t="n">
        <v>22</v>
      </c>
    </row>
    <row r="2064">
      <c r="A2064" t="inlineStr">
        <is>
          <t>ORD02063</t>
        </is>
      </c>
      <c r="B2064" t="inlineStr">
        <is>
          <t>C2063</t>
        </is>
      </c>
      <c r="C2064" t="n">
        <v>2</v>
      </c>
      <c r="D2064" t="inlineStr">
        <is>
          <t>Hub A</t>
        </is>
      </c>
      <c r="E2064" t="n">
        <v>59</v>
      </c>
      <c r="F2064" t="n">
        <v>22</v>
      </c>
    </row>
    <row r="2065">
      <c r="A2065" t="inlineStr">
        <is>
          <t>ORD02064</t>
        </is>
      </c>
      <c r="B2065" t="inlineStr">
        <is>
          <t>C2064</t>
        </is>
      </c>
      <c r="C2065" t="n">
        <v>3</v>
      </c>
      <c r="D2065" t="inlineStr">
        <is>
          <t>Hub A</t>
        </is>
      </c>
      <c r="E2065" t="n">
        <v>66</v>
      </c>
      <c r="F2065" t="n">
        <v>22</v>
      </c>
    </row>
    <row r="2066">
      <c r="A2066" t="inlineStr">
        <is>
          <t>ORD02065</t>
        </is>
      </c>
      <c r="B2066" t="inlineStr">
        <is>
          <t>C2065</t>
        </is>
      </c>
      <c r="C2066" t="n">
        <v>1</v>
      </c>
      <c r="D2066" t="inlineStr">
        <is>
          <t>Hub A</t>
        </is>
      </c>
      <c r="E2066" t="n">
        <v>73</v>
      </c>
      <c r="F2066" t="n">
        <v>22</v>
      </c>
    </row>
    <row r="2067">
      <c r="A2067" t="inlineStr">
        <is>
          <t>ORD02066</t>
        </is>
      </c>
      <c r="B2067" t="inlineStr">
        <is>
          <t>C2066</t>
        </is>
      </c>
      <c r="C2067" t="n">
        <v>2</v>
      </c>
      <c r="D2067" t="inlineStr">
        <is>
          <t>Hub A</t>
        </is>
      </c>
      <c r="E2067" t="n">
        <v>20</v>
      </c>
      <c r="F2067" t="n">
        <v>22</v>
      </c>
    </row>
    <row r="2068">
      <c r="A2068" t="inlineStr">
        <is>
          <t>ORD02067</t>
        </is>
      </c>
      <c r="B2068" t="inlineStr">
        <is>
          <t>C2067</t>
        </is>
      </c>
      <c r="C2068" t="n">
        <v>3</v>
      </c>
      <c r="D2068" t="inlineStr">
        <is>
          <t>Hub A</t>
        </is>
      </c>
      <c r="E2068" t="n">
        <v>27</v>
      </c>
      <c r="F2068" t="n">
        <v>22</v>
      </c>
    </row>
    <row r="2069">
      <c r="A2069" t="inlineStr">
        <is>
          <t>ORD02068</t>
        </is>
      </c>
      <c r="B2069" t="inlineStr">
        <is>
          <t>C2068</t>
        </is>
      </c>
      <c r="C2069" t="n">
        <v>1</v>
      </c>
      <c r="D2069" t="inlineStr">
        <is>
          <t>Hub A</t>
        </is>
      </c>
      <c r="E2069" t="n">
        <v>34</v>
      </c>
      <c r="F2069" t="n">
        <v>22</v>
      </c>
    </row>
    <row r="2070">
      <c r="A2070" t="inlineStr">
        <is>
          <t>ORD02069</t>
        </is>
      </c>
      <c r="B2070" t="inlineStr">
        <is>
          <t>C2069</t>
        </is>
      </c>
      <c r="C2070" t="n">
        <v>2</v>
      </c>
      <c r="D2070" t="inlineStr">
        <is>
          <t>Hub A</t>
        </is>
      </c>
      <c r="E2070" t="n">
        <v>41</v>
      </c>
      <c r="F2070" t="n">
        <v>22</v>
      </c>
    </row>
    <row r="2071">
      <c r="A2071" t="inlineStr">
        <is>
          <t>ORD02070</t>
        </is>
      </c>
      <c r="B2071" t="inlineStr">
        <is>
          <t>C2070</t>
        </is>
      </c>
      <c r="C2071" t="n">
        <v>3</v>
      </c>
      <c r="D2071" t="inlineStr">
        <is>
          <t>Hub A</t>
        </is>
      </c>
      <c r="E2071" t="n">
        <v>48</v>
      </c>
      <c r="F2071" t="n">
        <v>22</v>
      </c>
    </row>
    <row r="2072">
      <c r="A2072" t="inlineStr">
        <is>
          <t>ORD02071</t>
        </is>
      </c>
      <c r="B2072" t="inlineStr">
        <is>
          <t>C2071</t>
        </is>
      </c>
      <c r="C2072" t="n">
        <v>1</v>
      </c>
      <c r="D2072" t="inlineStr">
        <is>
          <t>Hub A</t>
        </is>
      </c>
      <c r="E2072" t="n">
        <v>55</v>
      </c>
      <c r="F2072" t="n">
        <v>22</v>
      </c>
    </row>
    <row r="2073">
      <c r="A2073" t="inlineStr">
        <is>
          <t>ORD02072</t>
        </is>
      </c>
      <c r="B2073" t="inlineStr">
        <is>
          <t>C2072</t>
        </is>
      </c>
      <c r="C2073" t="n">
        <v>2</v>
      </c>
      <c r="D2073" t="inlineStr">
        <is>
          <t>Hub A</t>
        </is>
      </c>
      <c r="E2073" t="n">
        <v>62</v>
      </c>
      <c r="F2073" t="n">
        <v>22</v>
      </c>
    </row>
    <row r="2074">
      <c r="A2074" t="inlineStr">
        <is>
          <t>ORD02073</t>
        </is>
      </c>
      <c r="B2074" t="inlineStr">
        <is>
          <t>C2073</t>
        </is>
      </c>
      <c r="C2074" t="n">
        <v>3</v>
      </c>
      <c r="D2074" t="inlineStr">
        <is>
          <t>Hub A</t>
        </is>
      </c>
      <c r="E2074" t="n">
        <v>69</v>
      </c>
      <c r="F2074" t="n">
        <v>22</v>
      </c>
    </row>
    <row r="2075">
      <c r="A2075" t="inlineStr">
        <is>
          <t>ORD02074</t>
        </is>
      </c>
      <c r="B2075" t="inlineStr">
        <is>
          <t>C2074</t>
        </is>
      </c>
      <c r="C2075" t="n">
        <v>1</v>
      </c>
      <c r="D2075" t="inlineStr">
        <is>
          <t>Hub A</t>
        </is>
      </c>
      <c r="E2075" t="n">
        <v>76</v>
      </c>
      <c r="F2075" t="n">
        <v>22</v>
      </c>
    </row>
    <row r="2076">
      <c r="A2076" t="inlineStr">
        <is>
          <t>ORD02075</t>
        </is>
      </c>
      <c r="B2076" t="inlineStr">
        <is>
          <t>C2075</t>
        </is>
      </c>
      <c r="C2076" t="n">
        <v>2</v>
      </c>
      <c r="D2076" t="inlineStr">
        <is>
          <t>Hub A</t>
        </is>
      </c>
      <c r="E2076" t="n">
        <v>23</v>
      </c>
      <c r="F2076" t="n">
        <v>22</v>
      </c>
    </row>
    <row r="2077">
      <c r="A2077" t="inlineStr">
        <is>
          <t>ORD02076</t>
        </is>
      </c>
      <c r="B2077" t="inlineStr">
        <is>
          <t>C2076</t>
        </is>
      </c>
      <c r="C2077" t="n">
        <v>3</v>
      </c>
      <c r="D2077" t="inlineStr">
        <is>
          <t>Hub A</t>
        </is>
      </c>
      <c r="E2077" t="n">
        <v>30</v>
      </c>
      <c r="F2077" t="n">
        <v>22</v>
      </c>
    </row>
    <row r="2078">
      <c r="A2078" t="inlineStr">
        <is>
          <t>ORD02077</t>
        </is>
      </c>
      <c r="B2078" t="inlineStr">
        <is>
          <t>C2077</t>
        </is>
      </c>
      <c r="C2078" t="n">
        <v>1</v>
      </c>
      <c r="D2078" t="inlineStr">
        <is>
          <t>Hub A</t>
        </is>
      </c>
      <c r="E2078" t="n">
        <v>37</v>
      </c>
      <c r="F2078" t="n">
        <v>22</v>
      </c>
    </row>
    <row r="2079">
      <c r="A2079" t="inlineStr">
        <is>
          <t>ORD02078</t>
        </is>
      </c>
      <c r="B2079" t="inlineStr">
        <is>
          <t>C2078</t>
        </is>
      </c>
      <c r="C2079" t="n">
        <v>2</v>
      </c>
      <c r="D2079" t="inlineStr">
        <is>
          <t>Hub A</t>
        </is>
      </c>
      <c r="E2079" t="n">
        <v>44</v>
      </c>
      <c r="F2079" t="n">
        <v>22</v>
      </c>
    </row>
    <row r="2080">
      <c r="A2080" t="inlineStr">
        <is>
          <t>ORD02079</t>
        </is>
      </c>
      <c r="B2080" t="inlineStr">
        <is>
          <t>C2079</t>
        </is>
      </c>
      <c r="C2080" t="n">
        <v>3</v>
      </c>
      <c r="D2080" t="inlineStr">
        <is>
          <t>Hub A</t>
        </is>
      </c>
      <c r="E2080" t="n">
        <v>51</v>
      </c>
      <c r="F2080" t="n">
        <v>22</v>
      </c>
    </row>
    <row r="2081">
      <c r="A2081" t="inlineStr">
        <is>
          <t>ORD02080</t>
        </is>
      </c>
      <c r="B2081" t="inlineStr">
        <is>
          <t>C2080</t>
        </is>
      </c>
      <c r="C2081" t="n">
        <v>1</v>
      </c>
      <c r="D2081" t="inlineStr">
        <is>
          <t>Hub A</t>
        </is>
      </c>
      <c r="E2081" t="n">
        <v>58</v>
      </c>
      <c r="F2081" t="n">
        <v>22</v>
      </c>
    </row>
    <row r="2082">
      <c r="A2082" t="inlineStr">
        <is>
          <t>ORD02081</t>
        </is>
      </c>
      <c r="B2082" t="inlineStr">
        <is>
          <t>C2081</t>
        </is>
      </c>
      <c r="C2082" t="n">
        <v>2</v>
      </c>
      <c r="D2082" t="inlineStr">
        <is>
          <t>Hub A</t>
        </is>
      </c>
      <c r="E2082" t="n">
        <v>65</v>
      </c>
      <c r="F2082" t="n">
        <v>22</v>
      </c>
    </row>
    <row r="2083">
      <c r="A2083" t="inlineStr">
        <is>
          <t>ORD02082</t>
        </is>
      </c>
      <c r="B2083" t="inlineStr">
        <is>
          <t>C2082</t>
        </is>
      </c>
      <c r="C2083" t="n">
        <v>3</v>
      </c>
      <c r="D2083" t="inlineStr">
        <is>
          <t>Hub A</t>
        </is>
      </c>
      <c r="E2083" t="n">
        <v>72</v>
      </c>
      <c r="F2083" t="n">
        <v>22</v>
      </c>
    </row>
    <row r="2084">
      <c r="A2084" t="inlineStr">
        <is>
          <t>ORD02083</t>
        </is>
      </c>
      <c r="B2084" t="inlineStr">
        <is>
          <t>C2083</t>
        </is>
      </c>
      <c r="C2084" t="n">
        <v>1</v>
      </c>
      <c r="D2084" t="inlineStr">
        <is>
          <t>Hub A</t>
        </is>
      </c>
      <c r="E2084" t="n">
        <v>19</v>
      </c>
      <c r="F2084" t="n">
        <v>22</v>
      </c>
    </row>
    <row r="2085">
      <c r="A2085" t="inlineStr">
        <is>
          <t>ORD02084</t>
        </is>
      </c>
      <c r="B2085" t="inlineStr">
        <is>
          <t>C2084</t>
        </is>
      </c>
      <c r="C2085" t="n">
        <v>2</v>
      </c>
      <c r="D2085" t="inlineStr">
        <is>
          <t>Hub A</t>
        </is>
      </c>
      <c r="E2085" t="n">
        <v>26</v>
      </c>
      <c r="F2085" t="n">
        <v>22</v>
      </c>
    </row>
    <row r="2086">
      <c r="A2086" t="inlineStr">
        <is>
          <t>ORD02085</t>
        </is>
      </c>
      <c r="B2086" t="inlineStr">
        <is>
          <t>C2085</t>
        </is>
      </c>
      <c r="C2086" t="n">
        <v>3</v>
      </c>
      <c r="D2086" t="inlineStr">
        <is>
          <t>Hub A</t>
        </is>
      </c>
      <c r="E2086" t="n">
        <v>33</v>
      </c>
      <c r="F2086" t="n">
        <v>22</v>
      </c>
    </row>
    <row r="2087">
      <c r="A2087" t="inlineStr">
        <is>
          <t>ORD02086</t>
        </is>
      </c>
      <c r="B2087" t="inlineStr">
        <is>
          <t>C2086</t>
        </is>
      </c>
      <c r="C2087" t="n">
        <v>1</v>
      </c>
      <c r="D2087" t="inlineStr">
        <is>
          <t>Hub A</t>
        </is>
      </c>
      <c r="E2087" t="n">
        <v>40</v>
      </c>
      <c r="F2087" t="n">
        <v>22</v>
      </c>
    </row>
    <row r="2088">
      <c r="A2088" t="inlineStr">
        <is>
          <t>ORD02087</t>
        </is>
      </c>
      <c r="B2088" t="inlineStr">
        <is>
          <t>C2087</t>
        </is>
      </c>
      <c r="C2088" t="n">
        <v>2</v>
      </c>
      <c r="D2088" t="inlineStr">
        <is>
          <t>Hub A</t>
        </is>
      </c>
      <c r="E2088" t="n">
        <v>47</v>
      </c>
      <c r="F2088" t="n">
        <v>22</v>
      </c>
    </row>
    <row r="2089">
      <c r="A2089" t="inlineStr">
        <is>
          <t>ORD02088</t>
        </is>
      </c>
      <c r="B2089" t="inlineStr">
        <is>
          <t>C2088</t>
        </is>
      </c>
      <c r="C2089" t="n">
        <v>3</v>
      </c>
      <c r="D2089" t="inlineStr">
        <is>
          <t>Hub A</t>
        </is>
      </c>
      <c r="E2089" t="n">
        <v>54</v>
      </c>
      <c r="F2089" t="n">
        <v>22</v>
      </c>
    </row>
    <row r="2090">
      <c r="A2090" t="inlineStr">
        <is>
          <t>ORD02089</t>
        </is>
      </c>
      <c r="B2090" t="inlineStr">
        <is>
          <t>C2089</t>
        </is>
      </c>
      <c r="C2090" t="n">
        <v>1</v>
      </c>
      <c r="D2090" t="inlineStr">
        <is>
          <t>Hub A</t>
        </is>
      </c>
      <c r="E2090" t="n">
        <v>61</v>
      </c>
      <c r="F2090" t="n">
        <v>22</v>
      </c>
    </row>
    <row r="2091">
      <c r="A2091" t="inlineStr">
        <is>
          <t>ORD02090</t>
        </is>
      </c>
      <c r="B2091" t="inlineStr">
        <is>
          <t>C2090</t>
        </is>
      </c>
      <c r="C2091" t="n">
        <v>2</v>
      </c>
      <c r="D2091" t="inlineStr">
        <is>
          <t>Hub A</t>
        </is>
      </c>
      <c r="E2091" t="n">
        <v>68</v>
      </c>
      <c r="F2091" t="n">
        <v>22</v>
      </c>
    </row>
    <row r="2092">
      <c r="A2092" t="inlineStr">
        <is>
          <t>ORD02091</t>
        </is>
      </c>
      <c r="B2092" t="inlineStr">
        <is>
          <t>C2091</t>
        </is>
      </c>
      <c r="C2092" t="n">
        <v>3</v>
      </c>
      <c r="D2092" t="inlineStr">
        <is>
          <t>Hub A</t>
        </is>
      </c>
      <c r="E2092" t="n">
        <v>75</v>
      </c>
      <c r="F2092" t="n">
        <v>22</v>
      </c>
    </row>
    <row r="2093">
      <c r="A2093" t="inlineStr">
        <is>
          <t>ORD02092</t>
        </is>
      </c>
      <c r="B2093" t="inlineStr">
        <is>
          <t>C2092</t>
        </is>
      </c>
      <c r="C2093" t="n">
        <v>1</v>
      </c>
      <c r="D2093" t="inlineStr">
        <is>
          <t>Hub A</t>
        </is>
      </c>
      <c r="E2093" t="n">
        <v>22</v>
      </c>
      <c r="F2093" t="n">
        <v>22</v>
      </c>
    </row>
    <row r="2094">
      <c r="A2094" t="inlineStr">
        <is>
          <t>ORD02093</t>
        </is>
      </c>
      <c r="B2094" t="inlineStr">
        <is>
          <t>C2093</t>
        </is>
      </c>
      <c r="C2094" t="n">
        <v>2</v>
      </c>
      <c r="D2094" t="inlineStr">
        <is>
          <t>Hub A</t>
        </is>
      </c>
      <c r="E2094" t="n">
        <v>29</v>
      </c>
      <c r="F2094" t="n">
        <v>22</v>
      </c>
    </row>
    <row r="2095">
      <c r="A2095" t="inlineStr">
        <is>
          <t>ORD02094</t>
        </is>
      </c>
      <c r="B2095" t="inlineStr">
        <is>
          <t>C2094</t>
        </is>
      </c>
      <c r="C2095" t="n">
        <v>3</v>
      </c>
      <c r="D2095" t="inlineStr">
        <is>
          <t>Hub A</t>
        </is>
      </c>
      <c r="E2095" t="n">
        <v>36</v>
      </c>
      <c r="F2095" t="n">
        <v>22</v>
      </c>
    </row>
    <row r="2096">
      <c r="A2096" t="inlineStr">
        <is>
          <t>ORD02095</t>
        </is>
      </c>
      <c r="B2096" t="inlineStr">
        <is>
          <t>C2095</t>
        </is>
      </c>
      <c r="C2096" t="n">
        <v>1</v>
      </c>
      <c r="D2096" t="inlineStr">
        <is>
          <t>Hub A</t>
        </is>
      </c>
      <c r="E2096" t="n">
        <v>43</v>
      </c>
      <c r="F2096" t="n">
        <v>22</v>
      </c>
    </row>
    <row r="2097">
      <c r="A2097" t="inlineStr">
        <is>
          <t>ORD02096</t>
        </is>
      </c>
      <c r="B2097" t="inlineStr">
        <is>
          <t>C2096</t>
        </is>
      </c>
      <c r="C2097" t="n">
        <v>2</v>
      </c>
      <c r="D2097" t="inlineStr">
        <is>
          <t>Hub A</t>
        </is>
      </c>
      <c r="E2097" t="n">
        <v>50</v>
      </c>
      <c r="F2097" t="n">
        <v>22</v>
      </c>
    </row>
    <row r="2098">
      <c r="A2098" t="inlineStr">
        <is>
          <t>ORD02097</t>
        </is>
      </c>
      <c r="B2098" t="inlineStr">
        <is>
          <t>C2097</t>
        </is>
      </c>
      <c r="C2098" t="n">
        <v>3</v>
      </c>
      <c r="D2098" t="inlineStr">
        <is>
          <t>Hub A</t>
        </is>
      </c>
      <c r="E2098" t="n">
        <v>57</v>
      </c>
      <c r="F2098" t="n">
        <v>22</v>
      </c>
    </row>
    <row r="2099">
      <c r="A2099" t="inlineStr">
        <is>
          <t>ORD02098</t>
        </is>
      </c>
      <c r="B2099" t="inlineStr">
        <is>
          <t>C2098</t>
        </is>
      </c>
      <c r="C2099" t="n">
        <v>1</v>
      </c>
      <c r="D2099" t="inlineStr">
        <is>
          <t>Hub A</t>
        </is>
      </c>
      <c r="E2099" t="n">
        <v>64</v>
      </c>
      <c r="F2099" t="n">
        <v>22</v>
      </c>
    </row>
    <row r="2100">
      <c r="A2100" t="inlineStr">
        <is>
          <t>ORD02099</t>
        </is>
      </c>
      <c r="B2100" t="inlineStr">
        <is>
          <t>C2099</t>
        </is>
      </c>
      <c r="C2100" t="n">
        <v>2</v>
      </c>
      <c r="D2100" t="inlineStr">
        <is>
          <t>Hub A</t>
        </is>
      </c>
      <c r="E2100" t="n">
        <v>71</v>
      </c>
      <c r="F2100" t="n">
        <v>22</v>
      </c>
    </row>
    <row r="2101">
      <c r="A2101" t="inlineStr">
        <is>
          <t>ORD02100</t>
        </is>
      </c>
      <c r="B2101" t="inlineStr">
        <is>
          <t>C2100</t>
        </is>
      </c>
      <c r="C2101" t="n">
        <v>3</v>
      </c>
      <c r="D2101" t="inlineStr">
        <is>
          <t>Hub A</t>
        </is>
      </c>
      <c r="E2101" t="n">
        <v>18</v>
      </c>
      <c r="F2101" t="n">
        <v>22</v>
      </c>
    </row>
    <row r="2102">
      <c r="A2102" t="inlineStr">
        <is>
          <t>ORD02101</t>
        </is>
      </c>
      <c r="B2102" t="inlineStr">
        <is>
          <t>C2101</t>
        </is>
      </c>
      <c r="C2102" t="n">
        <v>1</v>
      </c>
      <c r="D2102" t="inlineStr">
        <is>
          <t>Hub A</t>
        </is>
      </c>
      <c r="E2102" t="n">
        <v>25</v>
      </c>
      <c r="F2102" t="n">
        <v>22</v>
      </c>
    </row>
    <row r="2103">
      <c r="A2103" t="inlineStr">
        <is>
          <t>ORD02102</t>
        </is>
      </c>
      <c r="B2103" t="inlineStr">
        <is>
          <t>C2102</t>
        </is>
      </c>
      <c r="C2103" t="n">
        <v>2</v>
      </c>
      <c r="D2103" t="inlineStr">
        <is>
          <t>Hub A</t>
        </is>
      </c>
      <c r="E2103" t="n">
        <v>32</v>
      </c>
      <c r="F2103" t="n">
        <v>22</v>
      </c>
    </row>
    <row r="2104">
      <c r="A2104" t="inlineStr">
        <is>
          <t>ORD02103</t>
        </is>
      </c>
      <c r="B2104" t="inlineStr">
        <is>
          <t>C2103</t>
        </is>
      </c>
      <c r="C2104" t="n">
        <v>3</v>
      </c>
      <c r="D2104" t="inlineStr">
        <is>
          <t>Hub A</t>
        </is>
      </c>
      <c r="E2104" t="n">
        <v>39</v>
      </c>
      <c r="F2104" t="n">
        <v>22</v>
      </c>
    </row>
    <row r="2105">
      <c r="A2105" t="inlineStr">
        <is>
          <t>ORD02104</t>
        </is>
      </c>
      <c r="B2105" t="inlineStr">
        <is>
          <t>C2104</t>
        </is>
      </c>
      <c r="C2105" t="n">
        <v>1</v>
      </c>
      <c r="D2105" t="inlineStr">
        <is>
          <t>Hub A</t>
        </is>
      </c>
      <c r="E2105" t="n">
        <v>46</v>
      </c>
      <c r="F2105" t="n">
        <v>22</v>
      </c>
    </row>
    <row r="2106">
      <c r="A2106" t="inlineStr">
        <is>
          <t>ORD02105</t>
        </is>
      </c>
      <c r="B2106" t="inlineStr">
        <is>
          <t>C2105</t>
        </is>
      </c>
      <c r="C2106" t="n">
        <v>2</v>
      </c>
      <c r="D2106" t="inlineStr">
        <is>
          <t>Hub A</t>
        </is>
      </c>
      <c r="E2106" t="n">
        <v>53</v>
      </c>
      <c r="F2106" t="n">
        <v>22</v>
      </c>
    </row>
    <row r="2107">
      <c r="A2107" t="inlineStr">
        <is>
          <t>ORD02106</t>
        </is>
      </c>
      <c r="B2107" t="inlineStr">
        <is>
          <t>C2106</t>
        </is>
      </c>
      <c r="C2107" t="n">
        <v>3</v>
      </c>
      <c r="D2107" t="inlineStr">
        <is>
          <t>Hub A</t>
        </is>
      </c>
      <c r="E2107" t="n">
        <v>60</v>
      </c>
      <c r="F2107" t="n">
        <v>22</v>
      </c>
    </row>
    <row r="2108">
      <c r="A2108" t="inlineStr">
        <is>
          <t>ORD02107</t>
        </is>
      </c>
      <c r="B2108" t="inlineStr">
        <is>
          <t>C2107</t>
        </is>
      </c>
      <c r="C2108" t="n">
        <v>1</v>
      </c>
      <c r="D2108" t="inlineStr">
        <is>
          <t>Hub A</t>
        </is>
      </c>
      <c r="E2108" t="n">
        <v>67</v>
      </c>
      <c r="F2108" t="n">
        <v>22</v>
      </c>
    </row>
    <row r="2109">
      <c r="A2109" t="inlineStr">
        <is>
          <t>ORD02108</t>
        </is>
      </c>
      <c r="B2109" t="inlineStr">
        <is>
          <t>C2108</t>
        </is>
      </c>
      <c r="C2109" t="n">
        <v>2</v>
      </c>
      <c r="D2109" t="inlineStr">
        <is>
          <t>Hub A</t>
        </is>
      </c>
      <c r="E2109" t="n">
        <v>74</v>
      </c>
      <c r="F2109" t="n">
        <v>22</v>
      </c>
    </row>
    <row r="2110">
      <c r="A2110" t="inlineStr">
        <is>
          <t>ORD02109</t>
        </is>
      </c>
      <c r="B2110" t="inlineStr">
        <is>
          <t>C2109</t>
        </is>
      </c>
      <c r="C2110" t="n">
        <v>3</v>
      </c>
      <c r="D2110" t="inlineStr">
        <is>
          <t>Hub A</t>
        </is>
      </c>
      <c r="E2110" t="n">
        <v>21</v>
      </c>
      <c r="F2110" t="n">
        <v>22</v>
      </c>
    </row>
    <row r="2111">
      <c r="A2111" t="inlineStr">
        <is>
          <t>ORD02110</t>
        </is>
      </c>
      <c r="B2111" t="inlineStr">
        <is>
          <t>C2110</t>
        </is>
      </c>
      <c r="C2111" t="n">
        <v>1</v>
      </c>
      <c r="D2111" t="inlineStr">
        <is>
          <t>Hub A</t>
        </is>
      </c>
      <c r="E2111" t="n">
        <v>28</v>
      </c>
      <c r="F2111" t="n">
        <v>22</v>
      </c>
    </row>
    <row r="2112">
      <c r="A2112" t="inlineStr">
        <is>
          <t>ORD02111</t>
        </is>
      </c>
      <c r="B2112" t="inlineStr">
        <is>
          <t>C2111</t>
        </is>
      </c>
      <c r="C2112" t="n">
        <v>2</v>
      </c>
      <c r="D2112" t="inlineStr">
        <is>
          <t>Hub A</t>
        </is>
      </c>
      <c r="E2112" t="n">
        <v>35</v>
      </c>
      <c r="F2112" t="n">
        <v>22</v>
      </c>
    </row>
    <row r="2113">
      <c r="A2113" t="inlineStr">
        <is>
          <t>ORD02112</t>
        </is>
      </c>
      <c r="B2113" t="inlineStr">
        <is>
          <t>C2112</t>
        </is>
      </c>
      <c r="C2113" t="n">
        <v>3</v>
      </c>
      <c r="D2113" t="inlineStr">
        <is>
          <t>Hub A</t>
        </is>
      </c>
      <c r="E2113" t="n">
        <v>42</v>
      </c>
      <c r="F2113" t="n">
        <v>22</v>
      </c>
    </row>
    <row r="2114">
      <c r="A2114" t="inlineStr">
        <is>
          <t>ORD02113</t>
        </is>
      </c>
      <c r="B2114" t="inlineStr">
        <is>
          <t>C2113</t>
        </is>
      </c>
      <c r="C2114" t="n">
        <v>1</v>
      </c>
      <c r="D2114" t="inlineStr">
        <is>
          <t>Hub A</t>
        </is>
      </c>
      <c r="E2114" t="n">
        <v>49</v>
      </c>
      <c r="F2114" t="n">
        <v>22</v>
      </c>
    </row>
    <row r="2115">
      <c r="A2115" t="inlineStr">
        <is>
          <t>ORD02114</t>
        </is>
      </c>
      <c r="B2115" t="inlineStr">
        <is>
          <t>C2114</t>
        </is>
      </c>
      <c r="C2115" t="n">
        <v>2</v>
      </c>
      <c r="D2115" t="inlineStr">
        <is>
          <t>Hub A</t>
        </is>
      </c>
      <c r="E2115" t="n">
        <v>56</v>
      </c>
      <c r="F2115" t="n">
        <v>22</v>
      </c>
    </row>
    <row r="2116">
      <c r="A2116" t="inlineStr">
        <is>
          <t>ORD02115</t>
        </is>
      </c>
      <c r="B2116" t="inlineStr">
        <is>
          <t>C2115</t>
        </is>
      </c>
      <c r="C2116" t="n">
        <v>3</v>
      </c>
      <c r="D2116" t="inlineStr">
        <is>
          <t>Hub A</t>
        </is>
      </c>
      <c r="E2116" t="n">
        <v>63</v>
      </c>
      <c r="F2116" t="n">
        <v>22</v>
      </c>
    </row>
    <row r="2117">
      <c r="A2117" t="inlineStr">
        <is>
          <t>ORD02116</t>
        </is>
      </c>
      <c r="B2117" t="inlineStr">
        <is>
          <t>C2116</t>
        </is>
      </c>
      <c r="C2117" t="n">
        <v>1</v>
      </c>
      <c r="D2117" t="inlineStr">
        <is>
          <t>Hub A</t>
        </is>
      </c>
      <c r="E2117" t="n">
        <v>70</v>
      </c>
      <c r="F2117" t="n">
        <v>22</v>
      </c>
    </row>
    <row r="2118">
      <c r="A2118" t="inlineStr">
        <is>
          <t>ORD02117</t>
        </is>
      </c>
      <c r="B2118" t="inlineStr">
        <is>
          <t>C2117</t>
        </is>
      </c>
      <c r="C2118" t="n">
        <v>2</v>
      </c>
      <c r="D2118" t="inlineStr">
        <is>
          <t>Hub A</t>
        </is>
      </c>
      <c r="E2118" t="n">
        <v>77</v>
      </c>
      <c r="F2118" t="n">
        <v>22</v>
      </c>
    </row>
    <row r="2119">
      <c r="A2119" t="inlineStr">
        <is>
          <t>ORD02118</t>
        </is>
      </c>
      <c r="B2119" t="inlineStr">
        <is>
          <t>C2118</t>
        </is>
      </c>
      <c r="C2119" t="n">
        <v>3</v>
      </c>
      <c r="D2119" t="inlineStr">
        <is>
          <t>Hub A</t>
        </is>
      </c>
      <c r="E2119" t="n">
        <v>24</v>
      </c>
      <c r="F2119" t="n">
        <v>22</v>
      </c>
    </row>
    <row r="2120">
      <c r="A2120" t="inlineStr">
        <is>
          <t>ORD02119</t>
        </is>
      </c>
      <c r="B2120" t="inlineStr">
        <is>
          <t>C2119</t>
        </is>
      </c>
      <c r="C2120" t="n">
        <v>1</v>
      </c>
      <c r="D2120" t="inlineStr">
        <is>
          <t>Hub A</t>
        </is>
      </c>
      <c r="E2120" t="n">
        <v>31</v>
      </c>
      <c r="F2120" t="n">
        <v>22</v>
      </c>
    </row>
    <row r="2121">
      <c r="A2121" t="inlineStr">
        <is>
          <t>ORD02120</t>
        </is>
      </c>
      <c r="B2121" t="inlineStr">
        <is>
          <t>C2120</t>
        </is>
      </c>
      <c r="C2121" t="n">
        <v>2</v>
      </c>
      <c r="D2121" t="inlineStr">
        <is>
          <t>Hub A</t>
        </is>
      </c>
      <c r="E2121" t="n">
        <v>38</v>
      </c>
      <c r="F2121" t="n">
        <v>22</v>
      </c>
    </row>
    <row r="2122">
      <c r="A2122" t="inlineStr">
        <is>
          <t>ORD02121</t>
        </is>
      </c>
      <c r="B2122" t="inlineStr">
        <is>
          <t>C2121</t>
        </is>
      </c>
      <c r="C2122" t="n">
        <v>3</v>
      </c>
      <c r="D2122" t="inlineStr">
        <is>
          <t>Hub A</t>
        </is>
      </c>
      <c r="E2122" t="n">
        <v>45</v>
      </c>
      <c r="F2122" t="n">
        <v>22</v>
      </c>
    </row>
    <row r="2123">
      <c r="A2123" t="inlineStr">
        <is>
          <t>ORD02122</t>
        </is>
      </c>
      <c r="B2123" t="inlineStr">
        <is>
          <t>C2122</t>
        </is>
      </c>
      <c r="C2123" t="n">
        <v>1</v>
      </c>
      <c r="D2123" t="inlineStr">
        <is>
          <t>Hub A</t>
        </is>
      </c>
      <c r="E2123" t="n">
        <v>52</v>
      </c>
      <c r="F2123" t="n">
        <v>22</v>
      </c>
    </row>
    <row r="2124">
      <c r="A2124" t="inlineStr">
        <is>
          <t>ORD02123</t>
        </is>
      </c>
      <c r="B2124" t="inlineStr">
        <is>
          <t>C2123</t>
        </is>
      </c>
      <c r="C2124" t="n">
        <v>2</v>
      </c>
      <c r="D2124" t="inlineStr">
        <is>
          <t>Hub A</t>
        </is>
      </c>
      <c r="E2124" t="n">
        <v>59</v>
      </c>
      <c r="F2124" t="n">
        <v>22</v>
      </c>
    </row>
    <row r="2125">
      <c r="A2125" t="inlineStr">
        <is>
          <t>ORD02124</t>
        </is>
      </c>
      <c r="B2125" t="inlineStr">
        <is>
          <t>C2124</t>
        </is>
      </c>
      <c r="C2125" t="n">
        <v>3</v>
      </c>
      <c r="D2125" t="inlineStr">
        <is>
          <t>Hub A</t>
        </is>
      </c>
      <c r="E2125" t="n">
        <v>66</v>
      </c>
      <c r="F2125" t="n">
        <v>22</v>
      </c>
    </row>
    <row r="2126">
      <c r="A2126" t="inlineStr">
        <is>
          <t>ORD02125</t>
        </is>
      </c>
      <c r="B2126" t="inlineStr">
        <is>
          <t>C2125</t>
        </is>
      </c>
      <c r="C2126" t="n">
        <v>1</v>
      </c>
      <c r="D2126" t="inlineStr">
        <is>
          <t>Hub A</t>
        </is>
      </c>
      <c r="E2126" t="n">
        <v>73</v>
      </c>
      <c r="F2126" t="n">
        <v>22</v>
      </c>
    </row>
    <row r="2127">
      <c r="A2127" t="inlineStr">
        <is>
          <t>ORD02126</t>
        </is>
      </c>
      <c r="B2127" t="inlineStr">
        <is>
          <t>C2126</t>
        </is>
      </c>
      <c r="C2127" t="n">
        <v>2</v>
      </c>
      <c r="D2127" t="inlineStr">
        <is>
          <t>Hub A</t>
        </is>
      </c>
      <c r="E2127" t="n">
        <v>20</v>
      </c>
      <c r="F2127" t="n">
        <v>22</v>
      </c>
    </row>
    <row r="2128">
      <c r="A2128" t="inlineStr">
        <is>
          <t>ORD02127</t>
        </is>
      </c>
      <c r="B2128" t="inlineStr">
        <is>
          <t>C2127</t>
        </is>
      </c>
      <c r="C2128" t="n">
        <v>3</v>
      </c>
      <c r="D2128" t="inlineStr">
        <is>
          <t>Hub A</t>
        </is>
      </c>
      <c r="E2128" t="n">
        <v>27</v>
      </c>
      <c r="F2128" t="n">
        <v>22</v>
      </c>
    </row>
    <row r="2129">
      <c r="A2129" t="inlineStr">
        <is>
          <t>ORD02128</t>
        </is>
      </c>
      <c r="B2129" t="inlineStr">
        <is>
          <t>C2128</t>
        </is>
      </c>
      <c r="C2129" t="n">
        <v>1</v>
      </c>
      <c r="D2129" t="inlineStr">
        <is>
          <t>Hub A</t>
        </is>
      </c>
      <c r="E2129" t="n">
        <v>34</v>
      </c>
      <c r="F2129" t="n">
        <v>22</v>
      </c>
    </row>
    <row r="2130">
      <c r="A2130" t="inlineStr">
        <is>
          <t>ORD02129</t>
        </is>
      </c>
      <c r="B2130" t="inlineStr">
        <is>
          <t>C2129</t>
        </is>
      </c>
      <c r="C2130" t="n">
        <v>2</v>
      </c>
      <c r="D2130" t="inlineStr">
        <is>
          <t>Hub A</t>
        </is>
      </c>
      <c r="E2130" t="n">
        <v>41</v>
      </c>
      <c r="F2130" t="n">
        <v>22</v>
      </c>
    </row>
    <row r="2131">
      <c r="A2131" t="inlineStr">
        <is>
          <t>ORD02130</t>
        </is>
      </c>
      <c r="B2131" t="inlineStr">
        <is>
          <t>C2130</t>
        </is>
      </c>
      <c r="C2131" t="n">
        <v>3</v>
      </c>
      <c r="D2131" t="inlineStr">
        <is>
          <t>Hub A</t>
        </is>
      </c>
      <c r="E2131" t="n">
        <v>48</v>
      </c>
      <c r="F2131" t="n">
        <v>22</v>
      </c>
    </row>
    <row r="2132">
      <c r="A2132" t="inlineStr">
        <is>
          <t>ORD02131</t>
        </is>
      </c>
      <c r="B2132" t="inlineStr">
        <is>
          <t>C2131</t>
        </is>
      </c>
      <c r="C2132" t="n">
        <v>1</v>
      </c>
      <c r="D2132" t="inlineStr">
        <is>
          <t>Hub A</t>
        </is>
      </c>
      <c r="E2132" t="n">
        <v>55</v>
      </c>
      <c r="F2132" t="n">
        <v>22</v>
      </c>
    </row>
    <row r="2133">
      <c r="A2133" t="inlineStr">
        <is>
          <t>ORD02132</t>
        </is>
      </c>
      <c r="B2133" t="inlineStr">
        <is>
          <t>C2132</t>
        </is>
      </c>
      <c r="C2133" t="n">
        <v>2</v>
      </c>
      <c r="D2133" t="inlineStr">
        <is>
          <t>Hub A</t>
        </is>
      </c>
      <c r="E2133" t="n">
        <v>62</v>
      </c>
      <c r="F2133" t="n">
        <v>22</v>
      </c>
    </row>
    <row r="2134">
      <c r="A2134" t="inlineStr">
        <is>
          <t>ORD02133</t>
        </is>
      </c>
      <c r="B2134" t="inlineStr">
        <is>
          <t>C2133</t>
        </is>
      </c>
      <c r="C2134" t="n">
        <v>3</v>
      </c>
      <c r="D2134" t="inlineStr">
        <is>
          <t>Hub A</t>
        </is>
      </c>
      <c r="E2134" t="n">
        <v>69</v>
      </c>
      <c r="F2134" t="n">
        <v>22</v>
      </c>
    </row>
    <row r="2135">
      <c r="A2135" t="inlineStr">
        <is>
          <t>ORD02134</t>
        </is>
      </c>
      <c r="B2135" t="inlineStr">
        <is>
          <t>C2134</t>
        </is>
      </c>
      <c r="C2135" t="n">
        <v>1</v>
      </c>
      <c r="D2135" t="inlineStr">
        <is>
          <t>Hub A</t>
        </is>
      </c>
      <c r="E2135" t="n">
        <v>76</v>
      </c>
      <c r="F2135" t="n">
        <v>22</v>
      </c>
    </row>
    <row r="2136">
      <c r="A2136" t="inlineStr">
        <is>
          <t>ORD02135</t>
        </is>
      </c>
      <c r="B2136" t="inlineStr">
        <is>
          <t>C2135</t>
        </is>
      </c>
      <c r="C2136" t="n">
        <v>2</v>
      </c>
      <c r="D2136" t="inlineStr">
        <is>
          <t>Hub A</t>
        </is>
      </c>
      <c r="E2136" t="n">
        <v>23</v>
      </c>
      <c r="F2136" t="n">
        <v>22</v>
      </c>
    </row>
    <row r="2137">
      <c r="A2137" t="inlineStr">
        <is>
          <t>ORD02136</t>
        </is>
      </c>
      <c r="B2137" t="inlineStr">
        <is>
          <t>C2136</t>
        </is>
      </c>
      <c r="C2137" t="n">
        <v>3</v>
      </c>
      <c r="D2137" t="inlineStr">
        <is>
          <t>Hub A</t>
        </is>
      </c>
      <c r="E2137" t="n">
        <v>30</v>
      </c>
      <c r="F2137" t="n">
        <v>22</v>
      </c>
    </row>
    <row r="2138">
      <c r="A2138" t="inlineStr">
        <is>
          <t>ORD02137</t>
        </is>
      </c>
      <c r="B2138" t="inlineStr">
        <is>
          <t>C2137</t>
        </is>
      </c>
      <c r="C2138" t="n">
        <v>1</v>
      </c>
      <c r="D2138" t="inlineStr">
        <is>
          <t>Hub A</t>
        </is>
      </c>
      <c r="E2138" t="n">
        <v>37</v>
      </c>
      <c r="F2138" t="n">
        <v>22</v>
      </c>
    </row>
    <row r="2139">
      <c r="A2139" t="inlineStr">
        <is>
          <t>ORD02138</t>
        </is>
      </c>
      <c r="B2139" t="inlineStr">
        <is>
          <t>C2138</t>
        </is>
      </c>
      <c r="C2139" t="n">
        <v>2</v>
      </c>
      <c r="D2139" t="inlineStr">
        <is>
          <t>Hub A</t>
        </is>
      </c>
      <c r="E2139" t="n">
        <v>44</v>
      </c>
      <c r="F2139" t="n">
        <v>22</v>
      </c>
    </row>
    <row r="2140">
      <c r="A2140" t="inlineStr">
        <is>
          <t>ORD02139</t>
        </is>
      </c>
      <c r="B2140" t="inlineStr">
        <is>
          <t>C2139</t>
        </is>
      </c>
      <c r="C2140" t="n">
        <v>3</v>
      </c>
      <c r="D2140" t="inlineStr">
        <is>
          <t>Hub A</t>
        </is>
      </c>
      <c r="E2140" t="n">
        <v>51</v>
      </c>
      <c r="F2140" t="n">
        <v>22</v>
      </c>
    </row>
    <row r="2141">
      <c r="A2141" t="inlineStr">
        <is>
          <t>ORD02140</t>
        </is>
      </c>
      <c r="B2141" t="inlineStr">
        <is>
          <t>C2140</t>
        </is>
      </c>
      <c r="C2141" t="n">
        <v>1</v>
      </c>
      <c r="D2141" t="inlineStr">
        <is>
          <t>Hub A</t>
        </is>
      </c>
      <c r="E2141" t="n">
        <v>58</v>
      </c>
      <c r="F2141" t="n">
        <v>22</v>
      </c>
    </row>
    <row r="2142">
      <c r="A2142" t="inlineStr">
        <is>
          <t>ORD02141</t>
        </is>
      </c>
      <c r="B2142" t="inlineStr">
        <is>
          <t>C2141</t>
        </is>
      </c>
      <c r="C2142" t="n">
        <v>2</v>
      </c>
      <c r="D2142" t="inlineStr">
        <is>
          <t>Hub A</t>
        </is>
      </c>
      <c r="E2142" t="n">
        <v>65</v>
      </c>
      <c r="F2142" t="n">
        <v>22</v>
      </c>
    </row>
    <row r="2143">
      <c r="A2143" t="inlineStr">
        <is>
          <t>ORD02142</t>
        </is>
      </c>
      <c r="B2143" t="inlineStr">
        <is>
          <t>C2142</t>
        </is>
      </c>
      <c r="C2143" t="n">
        <v>3</v>
      </c>
      <c r="D2143" t="inlineStr">
        <is>
          <t>Hub A</t>
        </is>
      </c>
      <c r="E2143" t="n">
        <v>72</v>
      </c>
      <c r="F2143" t="n">
        <v>22</v>
      </c>
    </row>
    <row r="2144">
      <c r="A2144" t="inlineStr">
        <is>
          <t>ORD02143</t>
        </is>
      </c>
      <c r="B2144" t="inlineStr">
        <is>
          <t>C2143</t>
        </is>
      </c>
      <c r="C2144" t="n">
        <v>1</v>
      </c>
      <c r="D2144" t="inlineStr">
        <is>
          <t>Hub A</t>
        </is>
      </c>
      <c r="E2144" t="n">
        <v>19</v>
      </c>
      <c r="F2144" t="n">
        <v>22</v>
      </c>
    </row>
    <row r="2145">
      <c r="A2145" t="inlineStr">
        <is>
          <t>ORD02144</t>
        </is>
      </c>
      <c r="B2145" t="inlineStr">
        <is>
          <t>C2144</t>
        </is>
      </c>
      <c r="C2145" t="n">
        <v>2</v>
      </c>
      <c r="D2145" t="inlineStr">
        <is>
          <t>Hub A</t>
        </is>
      </c>
      <c r="E2145" t="n">
        <v>26</v>
      </c>
      <c r="F2145" t="n">
        <v>22</v>
      </c>
    </row>
    <row r="2146">
      <c r="A2146" t="inlineStr">
        <is>
          <t>ORD02145</t>
        </is>
      </c>
      <c r="B2146" t="inlineStr">
        <is>
          <t>C2145</t>
        </is>
      </c>
      <c r="C2146" t="n">
        <v>3</v>
      </c>
      <c r="D2146" t="inlineStr">
        <is>
          <t>Hub A</t>
        </is>
      </c>
      <c r="E2146" t="n">
        <v>33</v>
      </c>
      <c r="F2146" t="n">
        <v>22</v>
      </c>
    </row>
    <row r="2147">
      <c r="A2147" t="inlineStr">
        <is>
          <t>ORD02146</t>
        </is>
      </c>
      <c r="B2147" t="inlineStr">
        <is>
          <t>C2146</t>
        </is>
      </c>
      <c r="C2147" t="n">
        <v>1</v>
      </c>
      <c r="D2147" t="inlineStr">
        <is>
          <t>Hub A</t>
        </is>
      </c>
      <c r="E2147" t="n">
        <v>40</v>
      </c>
      <c r="F2147" t="n">
        <v>22</v>
      </c>
    </row>
    <row r="2148">
      <c r="A2148" t="inlineStr">
        <is>
          <t>ORD02147</t>
        </is>
      </c>
      <c r="B2148" t="inlineStr">
        <is>
          <t>C2147</t>
        </is>
      </c>
      <c r="C2148" t="n">
        <v>2</v>
      </c>
      <c r="D2148" t="inlineStr">
        <is>
          <t>Hub A</t>
        </is>
      </c>
      <c r="E2148" t="n">
        <v>47</v>
      </c>
      <c r="F2148" t="n">
        <v>22</v>
      </c>
    </row>
    <row r="2149">
      <c r="A2149" t="inlineStr">
        <is>
          <t>ORD02148</t>
        </is>
      </c>
      <c r="B2149" t="inlineStr">
        <is>
          <t>C2148</t>
        </is>
      </c>
      <c r="C2149" t="n">
        <v>3</v>
      </c>
      <c r="D2149" t="inlineStr">
        <is>
          <t>Hub A</t>
        </is>
      </c>
      <c r="E2149" t="n">
        <v>54</v>
      </c>
      <c r="F2149" t="n">
        <v>22</v>
      </c>
    </row>
    <row r="2150">
      <c r="A2150" t="inlineStr">
        <is>
          <t>ORD02149</t>
        </is>
      </c>
      <c r="B2150" t="inlineStr">
        <is>
          <t>C2149</t>
        </is>
      </c>
      <c r="C2150" t="n">
        <v>1</v>
      </c>
      <c r="D2150" t="inlineStr">
        <is>
          <t>Hub A</t>
        </is>
      </c>
      <c r="E2150" t="n">
        <v>61</v>
      </c>
      <c r="F2150" t="n">
        <v>22</v>
      </c>
    </row>
    <row r="2151">
      <c r="A2151" t="inlineStr">
        <is>
          <t>ORD02150</t>
        </is>
      </c>
      <c r="B2151" t="inlineStr">
        <is>
          <t>C2150</t>
        </is>
      </c>
      <c r="C2151" t="n">
        <v>2</v>
      </c>
      <c r="D2151" t="inlineStr">
        <is>
          <t>Hub A</t>
        </is>
      </c>
      <c r="E2151" t="n">
        <v>68</v>
      </c>
      <c r="F2151" t="n">
        <v>22</v>
      </c>
    </row>
    <row r="2152">
      <c r="A2152" t="inlineStr">
        <is>
          <t>ORD02151</t>
        </is>
      </c>
      <c r="B2152" t="inlineStr">
        <is>
          <t>C2151</t>
        </is>
      </c>
      <c r="C2152" t="n">
        <v>3</v>
      </c>
      <c r="D2152" t="inlineStr">
        <is>
          <t>Hub A</t>
        </is>
      </c>
      <c r="E2152" t="n">
        <v>75</v>
      </c>
      <c r="F2152" t="n">
        <v>22</v>
      </c>
    </row>
    <row r="2153">
      <c r="A2153" t="inlineStr">
        <is>
          <t>ORD02152</t>
        </is>
      </c>
      <c r="B2153" t="inlineStr">
        <is>
          <t>C2152</t>
        </is>
      </c>
      <c r="C2153" t="n">
        <v>1</v>
      </c>
      <c r="D2153" t="inlineStr">
        <is>
          <t>Hub A</t>
        </is>
      </c>
      <c r="E2153" t="n">
        <v>22</v>
      </c>
      <c r="F2153" t="n">
        <v>22</v>
      </c>
    </row>
    <row r="2154">
      <c r="A2154" t="inlineStr">
        <is>
          <t>ORD02153</t>
        </is>
      </c>
      <c r="B2154" t="inlineStr">
        <is>
          <t>C2153</t>
        </is>
      </c>
      <c r="C2154" t="n">
        <v>2</v>
      </c>
      <c r="D2154" t="inlineStr">
        <is>
          <t>Hub A</t>
        </is>
      </c>
      <c r="E2154" t="n">
        <v>29</v>
      </c>
      <c r="F2154" t="n">
        <v>22</v>
      </c>
    </row>
    <row r="2155">
      <c r="A2155" t="inlineStr">
        <is>
          <t>ORD02154</t>
        </is>
      </c>
      <c r="B2155" t="inlineStr">
        <is>
          <t>C2154</t>
        </is>
      </c>
      <c r="C2155" t="n">
        <v>3</v>
      </c>
      <c r="D2155" t="inlineStr">
        <is>
          <t>Hub A</t>
        </is>
      </c>
      <c r="E2155" t="n">
        <v>36</v>
      </c>
      <c r="F2155" t="n">
        <v>22</v>
      </c>
    </row>
    <row r="2156">
      <c r="A2156" t="inlineStr">
        <is>
          <t>ORD02155</t>
        </is>
      </c>
      <c r="B2156" t="inlineStr">
        <is>
          <t>C2155</t>
        </is>
      </c>
      <c r="C2156" t="n">
        <v>1</v>
      </c>
      <c r="D2156" t="inlineStr">
        <is>
          <t>Hub A</t>
        </is>
      </c>
      <c r="E2156" t="n">
        <v>43</v>
      </c>
      <c r="F2156" t="n">
        <v>22</v>
      </c>
    </row>
    <row r="2157">
      <c r="A2157" t="inlineStr">
        <is>
          <t>ORD02156</t>
        </is>
      </c>
      <c r="B2157" t="inlineStr">
        <is>
          <t>C2156</t>
        </is>
      </c>
      <c r="C2157" t="n">
        <v>2</v>
      </c>
      <c r="D2157" t="inlineStr">
        <is>
          <t>Hub A</t>
        </is>
      </c>
      <c r="E2157" t="n">
        <v>50</v>
      </c>
      <c r="F2157" t="n">
        <v>22</v>
      </c>
    </row>
    <row r="2158">
      <c r="A2158" t="inlineStr">
        <is>
          <t>ORD02157</t>
        </is>
      </c>
      <c r="B2158" t="inlineStr">
        <is>
          <t>C2157</t>
        </is>
      </c>
      <c r="C2158" t="n">
        <v>3</v>
      </c>
      <c r="D2158" t="inlineStr">
        <is>
          <t>Hub A</t>
        </is>
      </c>
      <c r="E2158" t="n">
        <v>57</v>
      </c>
      <c r="F2158" t="n">
        <v>22</v>
      </c>
    </row>
    <row r="2159">
      <c r="A2159" t="inlineStr">
        <is>
          <t>ORD02158</t>
        </is>
      </c>
      <c r="B2159" t="inlineStr">
        <is>
          <t>C2158</t>
        </is>
      </c>
      <c r="C2159" t="n">
        <v>1</v>
      </c>
      <c r="D2159" t="inlineStr">
        <is>
          <t>Hub A</t>
        </is>
      </c>
      <c r="E2159" t="n">
        <v>64</v>
      </c>
      <c r="F2159" t="n">
        <v>22</v>
      </c>
    </row>
    <row r="2160">
      <c r="A2160" t="inlineStr">
        <is>
          <t>ORD02159</t>
        </is>
      </c>
      <c r="B2160" t="inlineStr">
        <is>
          <t>C2159</t>
        </is>
      </c>
      <c r="C2160" t="n">
        <v>2</v>
      </c>
      <c r="D2160" t="inlineStr">
        <is>
          <t>Hub A</t>
        </is>
      </c>
      <c r="E2160" t="n">
        <v>71</v>
      </c>
      <c r="F2160" t="n">
        <v>22</v>
      </c>
    </row>
    <row r="2161">
      <c r="A2161" t="inlineStr">
        <is>
          <t>ORD02160</t>
        </is>
      </c>
      <c r="B2161" t="inlineStr">
        <is>
          <t>C2160</t>
        </is>
      </c>
      <c r="C2161" t="n">
        <v>3</v>
      </c>
      <c r="D2161" t="inlineStr">
        <is>
          <t>Hub A</t>
        </is>
      </c>
      <c r="E2161" t="n">
        <v>18</v>
      </c>
      <c r="F2161" t="n">
        <v>22</v>
      </c>
    </row>
    <row r="2162">
      <c r="A2162" t="inlineStr">
        <is>
          <t>ORD02161</t>
        </is>
      </c>
      <c r="B2162" t="inlineStr">
        <is>
          <t>C2161</t>
        </is>
      </c>
      <c r="C2162" t="n">
        <v>1</v>
      </c>
      <c r="D2162" t="inlineStr">
        <is>
          <t>Hub A</t>
        </is>
      </c>
      <c r="E2162" t="n">
        <v>25</v>
      </c>
      <c r="F2162" t="n">
        <v>22</v>
      </c>
    </row>
    <row r="2163">
      <c r="A2163" t="inlineStr">
        <is>
          <t>ORD02162</t>
        </is>
      </c>
      <c r="B2163" t="inlineStr">
        <is>
          <t>C2162</t>
        </is>
      </c>
      <c r="C2163" t="n">
        <v>2</v>
      </c>
      <c r="D2163" t="inlineStr">
        <is>
          <t>Hub A</t>
        </is>
      </c>
      <c r="E2163" t="n">
        <v>32</v>
      </c>
      <c r="F2163" t="n">
        <v>22</v>
      </c>
    </row>
    <row r="2164">
      <c r="A2164" t="inlineStr">
        <is>
          <t>ORD02163</t>
        </is>
      </c>
      <c r="B2164" t="inlineStr">
        <is>
          <t>C2163</t>
        </is>
      </c>
      <c r="C2164" t="n">
        <v>3</v>
      </c>
      <c r="D2164" t="inlineStr">
        <is>
          <t>Hub A</t>
        </is>
      </c>
      <c r="E2164" t="n">
        <v>39</v>
      </c>
      <c r="F2164" t="n">
        <v>22</v>
      </c>
    </row>
    <row r="2165">
      <c r="A2165" t="inlineStr">
        <is>
          <t>ORD02164</t>
        </is>
      </c>
      <c r="B2165" t="inlineStr">
        <is>
          <t>C2164</t>
        </is>
      </c>
      <c r="C2165" t="n">
        <v>1</v>
      </c>
      <c r="D2165" t="inlineStr">
        <is>
          <t>Hub A</t>
        </is>
      </c>
      <c r="E2165" t="n">
        <v>46</v>
      </c>
      <c r="F2165" t="n">
        <v>22</v>
      </c>
    </row>
    <row r="2166">
      <c r="A2166" t="inlineStr">
        <is>
          <t>ORD02165</t>
        </is>
      </c>
      <c r="B2166" t="inlineStr">
        <is>
          <t>C2165</t>
        </is>
      </c>
      <c r="C2166" t="n">
        <v>2</v>
      </c>
      <c r="D2166" t="inlineStr">
        <is>
          <t>Hub A</t>
        </is>
      </c>
      <c r="E2166" t="n">
        <v>53</v>
      </c>
      <c r="F2166" t="n">
        <v>22</v>
      </c>
    </row>
    <row r="2167">
      <c r="A2167" t="inlineStr">
        <is>
          <t>ORD02166</t>
        </is>
      </c>
      <c r="B2167" t="inlineStr">
        <is>
          <t>C2166</t>
        </is>
      </c>
      <c r="C2167" t="n">
        <v>3</v>
      </c>
      <c r="D2167" t="inlineStr">
        <is>
          <t>Hub A</t>
        </is>
      </c>
      <c r="E2167" t="n">
        <v>60</v>
      </c>
      <c r="F2167" t="n">
        <v>22</v>
      </c>
    </row>
    <row r="2168">
      <c r="A2168" t="inlineStr">
        <is>
          <t>ORD02167</t>
        </is>
      </c>
      <c r="B2168" t="inlineStr">
        <is>
          <t>C2167</t>
        </is>
      </c>
      <c r="C2168" t="n">
        <v>1</v>
      </c>
      <c r="D2168" t="inlineStr">
        <is>
          <t>Hub A</t>
        </is>
      </c>
      <c r="E2168" t="n">
        <v>67</v>
      </c>
      <c r="F2168" t="n">
        <v>22</v>
      </c>
    </row>
    <row r="2169">
      <c r="A2169" t="inlineStr">
        <is>
          <t>ORD02168</t>
        </is>
      </c>
      <c r="B2169" t="inlineStr">
        <is>
          <t>C2168</t>
        </is>
      </c>
      <c r="C2169" t="n">
        <v>2</v>
      </c>
      <c r="D2169" t="inlineStr">
        <is>
          <t>Hub A</t>
        </is>
      </c>
      <c r="E2169" t="n">
        <v>74</v>
      </c>
      <c r="F2169" t="n">
        <v>22</v>
      </c>
    </row>
    <row r="2170">
      <c r="A2170" t="inlineStr">
        <is>
          <t>ORD02169</t>
        </is>
      </c>
      <c r="B2170" t="inlineStr">
        <is>
          <t>C2169</t>
        </is>
      </c>
      <c r="C2170" t="n">
        <v>3</v>
      </c>
      <c r="D2170" t="inlineStr">
        <is>
          <t>Hub A</t>
        </is>
      </c>
      <c r="E2170" t="n">
        <v>21</v>
      </c>
      <c r="F2170" t="n">
        <v>22</v>
      </c>
    </row>
    <row r="2171">
      <c r="A2171" t="inlineStr">
        <is>
          <t>ORD02170</t>
        </is>
      </c>
      <c r="B2171" t="inlineStr">
        <is>
          <t>C2170</t>
        </is>
      </c>
      <c r="C2171" t="n">
        <v>1</v>
      </c>
      <c r="D2171" t="inlineStr">
        <is>
          <t>Hub A</t>
        </is>
      </c>
      <c r="E2171" t="n">
        <v>28</v>
      </c>
      <c r="F2171" t="n">
        <v>22</v>
      </c>
    </row>
    <row r="2172">
      <c r="A2172" t="inlineStr">
        <is>
          <t>ORD02171</t>
        </is>
      </c>
      <c r="B2172" t="inlineStr">
        <is>
          <t>C2171</t>
        </is>
      </c>
      <c r="C2172" t="n">
        <v>2</v>
      </c>
      <c r="D2172" t="inlineStr">
        <is>
          <t>Hub A</t>
        </is>
      </c>
      <c r="E2172" t="n">
        <v>35</v>
      </c>
      <c r="F2172" t="n">
        <v>22</v>
      </c>
    </row>
    <row r="2173">
      <c r="A2173" t="inlineStr">
        <is>
          <t>ORD02172</t>
        </is>
      </c>
      <c r="B2173" t="inlineStr">
        <is>
          <t>C2172</t>
        </is>
      </c>
      <c r="C2173" t="n">
        <v>3</v>
      </c>
      <c r="D2173" t="inlineStr">
        <is>
          <t>Hub A</t>
        </is>
      </c>
      <c r="E2173" t="n">
        <v>42</v>
      </c>
      <c r="F2173" t="n">
        <v>22</v>
      </c>
    </row>
    <row r="2174">
      <c r="A2174" t="inlineStr">
        <is>
          <t>ORD02173</t>
        </is>
      </c>
      <c r="B2174" t="inlineStr">
        <is>
          <t>C2173</t>
        </is>
      </c>
      <c r="C2174" t="n">
        <v>1</v>
      </c>
      <c r="D2174" t="inlineStr">
        <is>
          <t>Hub A</t>
        </is>
      </c>
      <c r="E2174" t="n">
        <v>49</v>
      </c>
      <c r="F2174" t="n">
        <v>22</v>
      </c>
    </row>
    <row r="2175">
      <c r="A2175" t="inlineStr">
        <is>
          <t>ORD02174</t>
        </is>
      </c>
      <c r="B2175" t="inlineStr">
        <is>
          <t>C2174</t>
        </is>
      </c>
      <c r="C2175" t="n">
        <v>2</v>
      </c>
      <c r="D2175" t="inlineStr">
        <is>
          <t>Hub A</t>
        </is>
      </c>
      <c r="E2175" t="n">
        <v>56</v>
      </c>
      <c r="F2175" t="n">
        <v>22</v>
      </c>
    </row>
    <row r="2176">
      <c r="A2176" t="inlineStr">
        <is>
          <t>ORD02175</t>
        </is>
      </c>
      <c r="B2176" t="inlineStr">
        <is>
          <t>C2175</t>
        </is>
      </c>
      <c r="C2176" t="n">
        <v>3</v>
      </c>
      <c r="D2176" t="inlineStr">
        <is>
          <t>Hub A</t>
        </is>
      </c>
      <c r="E2176" t="n">
        <v>63</v>
      </c>
      <c r="F2176" t="n">
        <v>22</v>
      </c>
    </row>
    <row r="2177">
      <c r="A2177" t="inlineStr">
        <is>
          <t>ORD02176</t>
        </is>
      </c>
      <c r="B2177" t="inlineStr">
        <is>
          <t>C2176</t>
        </is>
      </c>
      <c r="C2177" t="n">
        <v>1</v>
      </c>
      <c r="D2177" t="inlineStr">
        <is>
          <t>Hub A</t>
        </is>
      </c>
      <c r="E2177" t="n">
        <v>70</v>
      </c>
      <c r="F2177" t="n">
        <v>22</v>
      </c>
    </row>
    <row r="2178">
      <c r="A2178" t="inlineStr">
        <is>
          <t>ORD02177</t>
        </is>
      </c>
      <c r="B2178" t="inlineStr">
        <is>
          <t>C2177</t>
        </is>
      </c>
      <c r="C2178" t="n">
        <v>2</v>
      </c>
      <c r="D2178" t="inlineStr">
        <is>
          <t>Hub A</t>
        </is>
      </c>
      <c r="E2178" t="n">
        <v>77</v>
      </c>
      <c r="F2178" t="n">
        <v>22</v>
      </c>
    </row>
    <row r="2179">
      <c r="A2179" t="inlineStr">
        <is>
          <t>ORD02178</t>
        </is>
      </c>
      <c r="B2179" t="inlineStr">
        <is>
          <t>C2178</t>
        </is>
      </c>
      <c r="C2179" t="n">
        <v>3</v>
      </c>
      <c r="D2179" t="inlineStr">
        <is>
          <t>Hub A</t>
        </is>
      </c>
      <c r="E2179" t="n">
        <v>24</v>
      </c>
      <c r="F2179" t="n">
        <v>22</v>
      </c>
    </row>
    <row r="2180">
      <c r="A2180" t="inlineStr">
        <is>
          <t>ORD02179</t>
        </is>
      </c>
      <c r="B2180" t="inlineStr">
        <is>
          <t>C2179</t>
        </is>
      </c>
      <c r="C2180" t="n">
        <v>1</v>
      </c>
      <c r="D2180" t="inlineStr">
        <is>
          <t>Hub A</t>
        </is>
      </c>
      <c r="E2180" t="n">
        <v>31</v>
      </c>
      <c r="F2180" t="n">
        <v>22</v>
      </c>
    </row>
    <row r="2181">
      <c r="A2181" t="inlineStr">
        <is>
          <t>ORD02180</t>
        </is>
      </c>
      <c r="B2181" t="inlineStr">
        <is>
          <t>C2180</t>
        </is>
      </c>
      <c r="C2181" t="n">
        <v>2</v>
      </c>
      <c r="D2181" t="inlineStr">
        <is>
          <t>Hub A</t>
        </is>
      </c>
      <c r="E2181" t="n">
        <v>38</v>
      </c>
      <c r="F2181" t="n">
        <v>22</v>
      </c>
    </row>
    <row r="2182">
      <c r="A2182" t="inlineStr">
        <is>
          <t>ORD02181</t>
        </is>
      </c>
      <c r="B2182" t="inlineStr">
        <is>
          <t>C2181</t>
        </is>
      </c>
      <c r="C2182" t="n">
        <v>3</v>
      </c>
      <c r="D2182" t="inlineStr">
        <is>
          <t>Hub A</t>
        </is>
      </c>
      <c r="E2182" t="n">
        <v>45</v>
      </c>
      <c r="F2182" t="n">
        <v>22</v>
      </c>
    </row>
    <row r="2183">
      <c r="A2183" t="inlineStr">
        <is>
          <t>ORD02182</t>
        </is>
      </c>
      <c r="B2183" t="inlineStr">
        <is>
          <t>C2182</t>
        </is>
      </c>
      <c r="C2183" t="n">
        <v>1</v>
      </c>
      <c r="D2183" t="inlineStr">
        <is>
          <t>Hub A</t>
        </is>
      </c>
      <c r="E2183" t="n">
        <v>52</v>
      </c>
      <c r="F2183" t="n">
        <v>22</v>
      </c>
    </row>
    <row r="2184">
      <c r="A2184" t="inlineStr">
        <is>
          <t>ORD02183</t>
        </is>
      </c>
      <c r="B2184" t="inlineStr">
        <is>
          <t>C2183</t>
        </is>
      </c>
      <c r="C2184" t="n">
        <v>2</v>
      </c>
      <c r="D2184" t="inlineStr">
        <is>
          <t>Hub A</t>
        </is>
      </c>
      <c r="E2184" t="n">
        <v>59</v>
      </c>
      <c r="F2184" t="n">
        <v>22</v>
      </c>
    </row>
    <row r="2185">
      <c r="A2185" t="inlineStr">
        <is>
          <t>ORD02184</t>
        </is>
      </c>
      <c r="B2185" t="inlineStr">
        <is>
          <t>C2184</t>
        </is>
      </c>
      <c r="C2185" t="n">
        <v>3</v>
      </c>
      <c r="D2185" t="inlineStr">
        <is>
          <t>Hub A</t>
        </is>
      </c>
      <c r="E2185" t="n">
        <v>66</v>
      </c>
      <c r="F2185" t="n">
        <v>22</v>
      </c>
    </row>
    <row r="2186">
      <c r="A2186" t="inlineStr">
        <is>
          <t>ORD02185</t>
        </is>
      </c>
      <c r="B2186" t="inlineStr">
        <is>
          <t>C2185</t>
        </is>
      </c>
      <c r="C2186" t="n">
        <v>1</v>
      </c>
      <c r="D2186" t="inlineStr">
        <is>
          <t>Hub A</t>
        </is>
      </c>
      <c r="E2186" t="n">
        <v>73</v>
      </c>
      <c r="F2186" t="n">
        <v>22</v>
      </c>
    </row>
    <row r="2187">
      <c r="A2187" t="inlineStr">
        <is>
          <t>ORD02186</t>
        </is>
      </c>
      <c r="B2187" t="inlineStr">
        <is>
          <t>C2186</t>
        </is>
      </c>
      <c r="C2187" t="n">
        <v>2</v>
      </c>
      <c r="D2187" t="inlineStr">
        <is>
          <t>Hub A</t>
        </is>
      </c>
      <c r="E2187" t="n">
        <v>20</v>
      </c>
      <c r="F2187" t="n">
        <v>22</v>
      </c>
    </row>
    <row r="2188">
      <c r="A2188" t="inlineStr">
        <is>
          <t>ORD02187</t>
        </is>
      </c>
      <c r="B2188" t="inlineStr">
        <is>
          <t>C2187</t>
        </is>
      </c>
      <c r="C2188" t="n">
        <v>3</v>
      </c>
      <c r="D2188" t="inlineStr">
        <is>
          <t>Hub A</t>
        </is>
      </c>
      <c r="E2188" t="n">
        <v>27</v>
      </c>
      <c r="F2188" t="n">
        <v>22</v>
      </c>
    </row>
    <row r="2189">
      <c r="A2189" t="inlineStr">
        <is>
          <t>ORD02188</t>
        </is>
      </c>
      <c r="B2189" t="inlineStr">
        <is>
          <t>C2188</t>
        </is>
      </c>
      <c r="C2189" t="n">
        <v>1</v>
      </c>
      <c r="D2189" t="inlineStr">
        <is>
          <t>Hub A</t>
        </is>
      </c>
      <c r="E2189" t="n">
        <v>34</v>
      </c>
      <c r="F2189" t="n">
        <v>22</v>
      </c>
    </row>
    <row r="2190">
      <c r="A2190" t="inlineStr">
        <is>
          <t>ORD02189</t>
        </is>
      </c>
      <c r="B2190" t="inlineStr">
        <is>
          <t>C2189</t>
        </is>
      </c>
      <c r="C2190" t="n">
        <v>2</v>
      </c>
      <c r="D2190" t="inlineStr">
        <is>
          <t>Hub A</t>
        </is>
      </c>
      <c r="E2190" t="n">
        <v>41</v>
      </c>
      <c r="F2190" t="n">
        <v>22</v>
      </c>
    </row>
    <row r="2191">
      <c r="A2191" t="inlineStr">
        <is>
          <t>ORD02190</t>
        </is>
      </c>
      <c r="B2191" t="inlineStr">
        <is>
          <t>C2190</t>
        </is>
      </c>
      <c r="C2191" t="n">
        <v>3</v>
      </c>
      <c r="D2191" t="inlineStr">
        <is>
          <t>Hub A</t>
        </is>
      </c>
      <c r="E2191" t="n">
        <v>48</v>
      </c>
      <c r="F2191" t="n">
        <v>22</v>
      </c>
    </row>
    <row r="2192">
      <c r="A2192" t="inlineStr">
        <is>
          <t>ORD02191</t>
        </is>
      </c>
      <c r="B2192" t="inlineStr">
        <is>
          <t>C2191</t>
        </is>
      </c>
      <c r="C2192" t="n">
        <v>1</v>
      </c>
      <c r="D2192" t="inlineStr">
        <is>
          <t>Hub A</t>
        </is>
      </c>
      <c r="E2192" t="n">
        <v>55</v>
      </c>
      <c r="F2192" t="n">
        <v>22</v>
      </c>
    </row>
    <row r="2193">
      <c r="A2193" t="inlineStr">
        <is>
          <t>ORD02192</t>
        </is>
      </c>
      <c r="B2193" t="inlineStr">
        <is>
          <t>C2192</t>
        </is>
      </c>
      <c r="C2193" t="n">
        <v>2</v>
      </c>
      <c r="D2193" t="inlineStr">
        <is>
          <t>Hub A</t>
        </is>
      </c>
      <c r="E2193" t="n">
        <v>62</v>
      </c>
      <c r="F2193" t="n">
        <v>22</v>
      </c>
    </row>
    <row r="2194">
      <c r="A2194" t="inlineStr">
        <is>
          <t>ORD02193</t>
        </is>
      </c>
      <c r="B2194" t="inlineStr">
        <is>
          <t>C2193</t>
        </is>
      </c>
      <c r="C2194" t="n">
        <v>3</v>
      </c>
      <c r="D2194" t="inlineStr">
        <is>
          <t>Hub A</t>
        </is>
      </c>
      <c r="E2194" t="n">
        <v>69</v>
      </c>
      <c r="F2194" t="n">
        <v>22</v>
      </c>
    </row>
    <row r="2195">
      <c r="A2195" t="inlineStr">
        <is>
          <t>ORD02194</t>
        </is>
      </c>
      <c r="B2195" t="inlineStr">
        <is>
          <t>C2194</t>
        </is>
      </c>
      <c r="C2195" t="n">
        <v>1</v>
      </c>
      <c r="D2195" t="inlineStr">
        <is>
          <t>Hub A</t>
        </is>
      </c>
      <c r="E2195" t="n">
        <v>76</v>
      </c>
      <c r="F2195" t="n">
        <v>22</v>
      </c>
    </row>
    <row r="2196">
      <c r="A2196" t="inlineStr">
        <is>
          <t>ORD02195</t>
        </is>
      </c>
      <c r="B2196" t="inlineStr">
        <is>
          <t>C2195</t>
        </is>
      </c>
      <c r="C2196" t="n">
        <v>2</v>
      </c>
      <c r="D2196" t="inlineStr">
        <is>
          <t>Hub A</t>
        </is>
      </c>
      <c r="E2196" t="n">
        <v>23</v>
      </c>
      <c r="F2196" t="n">
        <v>22</v>
      </c>
    </row>
    <row r="2197">
      <c r="A2197" t="inlineStr">
        <is>
          <t>ORD02196</t>
        </is>
      </c>
      <c r="B2197" t="inlineStr">
        <is>
          <t>C2196</t>
        </is>
      </c>
      <c r="C2197" t="n">
        <v>3</v>
      </c>
      <c r="D2197" t="inlineStr">
        <is>
          <t>Hub A</t>
        </is>
      </c>
      <c r="E2197" t="n">
        <v>30</v>
      </c>
      <c r="F2197" t="n">
        <v>22</v>
      </c>
    </row>
    <row r="2198">
      <c r="A2198" t="inlineStr">
        <is>
          <t>ORD02197</t>
        </is>
      </c>
      <c r="B2198" t="inlineStr">
        <is>
          <t>C2197</t>
        </is>
      </c>
      <c r="C2198" t="n">
        <v>1</v>
      </c>
      <c r="D2198" t="inlineStr">
        <is>
          <t>Hub A</t>
        </is>
      </c>
      <c r="E2198" t="n">
        <v>37</v>
      </c>
      <c r="F2198" t="n">
        <v>22</v>
      </c>
    </row>
    <row r="2199">
      <c r="A2199" t="inlineStr">
        <is>
          <t>ORD02198</t>
        </is>
      </c>
      <c r="B2199" t="inlineStr">
        <is>
          <t>C2198</t>
        </is>
      </c>
      <c r="C2199" t="n">
        <v>2</v>
      </c>
      <c r="D2199" t="inlineStr">
        <is>
          <t>Hub A</t>
        </is>
      </c>
      <c r="E2199" t="n">
        <v>44</v>
      </c>
      <c r="F2199" t="n">
        <v>22</v>
      </c>
    </row>
    <row r="2200">
      <c r="A2200" t="inlineStr">
        <is>
          <t>ORD02199</t>
        </is>
      </c>
      <c r="B2200" t="inlineStr">
        <is>
          <t>C2199</t>
        </is>
      </c>
      <c r="C2200" t="n">
        <v>3</v>
      </c>
      <c r="D2200" t="inlineStr">
        <is>
          <t>Hub A</t>
        </is>
      </c>
      <c r="E2200" t="n">
        <v>51</v>
      </c>
      <c r="F2200" t="n">
        <v>22</v>
      </c>
    </row>
    <row r="2201">
      <c r="A2201" t="inlineStr">
        <is>
          <t>ORD02200</t>
        </is>
      </c>
      <c r="B2201" t="inlineStr">
        <is>
          <t>C2200</t>
        </is>
      </c>
      <c r="C2201" t="n">
        <v>1</v>
      </c>
      <c r="D2201" t="inlineStr">
        <is>
          <t>Hub A</t>
        </is>
      </c>
      <c r="E2201" t="n">
        <v>58</v>
      </c>
      <c r="F2201" t="n">
        <v>22</v>
      </c>
    </row>
    <row r="2202">
      <c r="A2202" t="inlineStr">
        <is>
          <t>ORD02201</t>
        </is>
      </c>
      <c r="B2202" t="inlineStr">
        <is>
          <t>C2201</t>
        </is>
      </c>
      <c r="C2202" t="n">
        <v>2</v>
      </c>
      <c r="D2202" t="inlineStr">
        <is>
          <t>Hub A</t>
        </is>
      </c>
      <c r="E2202" t="n">
        <v>65</v>
      </c>
      <c r="F2202" t="n">
        <v>22</v>
      </c>
    </row>
    <row r="2203">
      <c r="A2203" t="inlineStr">
        <is>
          <t>ORD02202</t>
        </is>
      </c>
      <c r="B2203" t="inlineStr">
        <is>
          <t>C2202</t>
        </is>
      </c>
      <c r="C2203" t="n">
        <v>3</v>
      </c>
      <c r="D2203" t="inlineStr">
        <is>
          <t>Hub A</t>
        </is>
      </c>
      <c r="E2203" t="n">
        <v>72</v>
      </c>
      <c r="F2203" t="n">
        <v>22</v>
      </c>
    </row>
    <row r="2204">
      <c r="A2204" t="inlineStr">
        <is>
          <t>ORD02203</t>
        </is>
      </c>
      <c r="B2204" t="inlineStr">
        <is>
          <t>C2203</t>
        </is>
      </c>
      <c r="C2204" t="n">
        <v>1</v>
      </c>
      <c r="D2204" t="inlineStr">
        <is>
          <t>Hub A</t>
        </is>
      </c>
      <c r="E2204" t="n">
        <v>19</v>
      </c>
      <c r="F2204" t="n">
        <v>22</v>
      </c>
    </row>
    <row r="2205">
      <c r="A2205" t="inlineStr">
        <is>
          <t>ORD02204</t>
        </is>
      </c>
      <c r="B2205" t="inlineStr">
        <is>
          <t>C2204</t>
        </is>
      </c>
      <c r="C2205" t="n">
        <v>2</v>
      </c>
      <c r="D2205" t="inlineStr">
        <is>
          <t>Hub A</t>
        </is>
      </c>
      <c r="E2205" t="n">
        <v>26</v>
      </c>
      <c r="F2205" t="n">
        <v>22</v>
      </c>
    </row>
    <row r="2206">
      <c r="A2206" t="inlineStr">
        <is>
          <t>ORD02205</t>
        </is>
      </c>
      <c r="B2206" t="inlineStr">
        <is>
          <t>C2205</t>
        </is>
      </c>
      <c r="C2206" t="n">
        <v>3</v>
      </c>
      <c r="D2206" t="inlineStr">
        <is>
          <t>Hub A</t>
        </is>
      </c>
      <c r="E2206" t="n">
        <v>33</v>
      </c>
      <c r="F2206" t="n">
        <v>22</v>
      </c>
    </row>
    <row r="2207">
      <c r="A2207" t="inlineStr">
        <is>
          <t>ORD02206</t>
        </is>
      </c>
      <c r="B2207" t="inlineStr">
        <is>
          <t>C2206</t>
        </is>
      </c>
      <c r="C2207" t="n">
        <v>1</v>
      </c>
      <c r="D2207" t="inlineStr">
        <is>
          <t>Hub A</t>
        </is>
      </c>
      <c r="E2207" t="n">
        <v>40</v>
      </c>
      <c r="F2207" t="n">
        <v>22</v>
      </c>
    </row>
    <row r="2208">
      <c r="A2208" t="inlineStr">
        <is>
          <t>ORD02207</t>
        </is>
      </c>
      <c r="B2208" t="inlineStr">
        <is>
          <t>C2207</t>
        </is>
      </c>
      <c r="C2208" t="n">
        <v>2</v>
      </c>
      <c r="D2208" t="inlineStr">
        <is>
          <t>Hub A</t>
        </is>
      </c>
      <c r="E2208" t="n">
        <v>47</v>
      </c>
      <c r="F2208" t="n">
        <v>22</v>
      </c>
    </row>
    <row r="2209">
      <c r="A2209" t="inlineStr">
        <is>
          <t>ORD02208</t>
        </is>
      </c>
      <c r="B2209" t="inlineStr">
        <is>
          <t>C2208</t>
        </is>
      </c>
      <c r="C2209" t="n">
        <v>3</v>
      </c>
      <c r="D2209" t="inlineStr">
        <is>
          <t>Hub A</t>
        </is>
      </c>
      <c r="E2209" t="n">
        <v>54</v>
      </c>
      <c r="F2209" t="n">
        <v>22</v>
      </c>
    </row>
    <row r="2210">
      <c r="A2210" t="inlineStr">
        <is>
          <t>ORD02209</t>
        </is>
      </c>
      <c r="B2210" t="inlineStr">
        <is>
          <t>C2209</t>
        </is>
      </c>
      <c r="C2210" t="n">
        <v>1</v>
      </c>
      <c r="D2210" t="inlineStr">
        <is>
          <t>Hub A</t>
        </is>
      </c>
      <c r="E2210" t="n">
        <v>61</v>
      </c>
      <c r="F2210" t="n">
        <v>22</v>
      </c>
    </row>
    <row r="2211">
      <c r="A2211" t="inlineStr">
        <is>
          <t>ORD02210</t>
        </is>
      </c>
      <c r="B2211" t="inlineStr">
        <is>
          <t>C2210</t>
        </is>
      </c>
      <c r="C2211" t="n">
        <v>2</v>
      </c>
      <c r="D2211" t="inlineStr">
        <is>
          <t>Hub A</t>
        </is>
      </c>
      <c r="E2211" t="n">
        <v>68</v>
      </c>
      <c r="F2211" t="n">
        <v>22</v>
      </c>
    </row>
    <row r="2212">
      <c r="A2212" t="inlineStr">
        <is>
          <t>ORD02211</t>
        </is>
      </c>
      <c r="B2212" t="inlineStr">
        <is>
          <t>C2211</t>
        </is>
      </c>
      <c r="C2212" t="n">
        <v>3</v>
      </c>
      <c r="D2212" t="inlineStr">
        <is>
          <t>Hub A</t>
        </is>
      </c>
      <c r="E2212" t="n">
        <v>75</v>
      </c>
      <c r="F2212" t="n">
        <v>22</v>
      </c>
    </row>
    <row r="2213">
      <c r="A2213" t="inlineStr">
        <is>
          <t>ORD02212</t>
        </is>
      </c>
      <c r="B2213" t="inlineStr">
        <is>
          <t>C2212</t>
        </is>
      </c>
      <c r="C2213" t="n">
        <v>1</v>
      </c>
      <c r="D2213" t="inlineStr">
        <is>
          <t>Hub A</t>
        </is>
      </c>
      <c r="E2213" t="n">
        <v>22</v>
      </c>
      <c r="F2213" t="n">
        <v>22</v>
      </c>
    </row>
    <row r="2214">
      <c r="A2214" t="inlineStr">
        <is>
          <t>ORD02213</t>
        </is>
      </c>
      <c r="B2214" t="inlineStr">
        <is>
          <t>C2213</t>
        </is>
      </c>
      <c r="C2214" t="n">
        <v>2</v>
      </c>
      <c r="D2214" t="inlineStr">
        <is>
          <t>Hub A</t>
        </is>
      </c>
      <c r="E2214" t="n">
        <v>29</v>
      </c>
      <c r="F2214" t="n">
        <v>22</v>
      </c>
    </row>
    <row r="2215">
      <c r="A2215" t="inlineStr">
        <is>
          <t>ORD02214</t>
        </is>
      </c>
      <c r="B2215" t="inlineStr">
        <is>
          <t>C2214</t>
        </is>
      </c>
      <c r="C2215" t="n">
        <v>3</v>
      </c>
      <c r="D2215" t="inlineStr">
        <is>
          <t>Hub A</t>
        </is>
      </c>
      <c r="E2215" t="n">
        <v>36</v>
      </c>
      <c r="F2215" t="n">
        <v>22</v>
      </c>
    </row>
    <row r="2216">
      <c r="A2216" t="inlineStr">
        <is>
          <t>ORD02215</t>
        </is>
      </c>
      <c r="B2216" t="inlineStr">
        <is>
          <t>C2215</t>
        </is>
      </c>
      <c r="C2216" t="n">
        <v>1</v>
      </c>
      <c r="D2216" t="inlineStr">
        <is>
          <t>Hub A</t>
        </is>
      </c>
      <c r="E2216" t="n">
        <v>43</v>
      </c>
      <c r="F2216" t="n">
        <v>22</v>
      </c>
    </row>
    <row r="2217">
      <c r="A2217" t="inlineStr">
        <is>
          <t>ORD02216</t>
        </is>
      </c>
      <c r="B2217" t="inlineStr">
        <is>
          <t>C2216</t>
        </is>
      </c>
      <c r="C2217" t="n">
        <v>2</v>
      </c>
      <c r="D2217" t="inlineStr">
        <is>
          <t>Hub A</t>
        </is>
      </c>
      <c r="E2217" t="n">
        <v>50</v>
      </c>
      <c r="F2217" t="n">
        <v>22</v>
      </c>
    </row>
    <row r="2218">
      <c r="A2218" t="inlineStr">
        <is>
          <t>ORD02217</t>
        </is>
      </c>
      <c r="B2218" t="inlineStr">
        <is>
          <t>C2217</t>
        </is>
      </c>
      <c r="C2218" t="n">
        <v>3</v>
      </c>
      <c r="D2218" t="inlineStr">
        <is>
          <t>Hub A</t>
        </is>
      </c>
      <c r="E2218" t="n">
        <v>57</v>
      </c>
      <c r="F2218" t="n">
        <v>22</v>
      </c>
    </row>
    <row r="2219">
      <c r="A2219" t="inlineStr">
        <is>
          <t>ORD02218</t>
        </is>
      </c>
      <c r="B2219" t="inlineStr">
        <is>
          <t>C2218</t>
        </is>
      </c>
      <c r="C2219" t="n">
        <v>1</v>
      </c>
      <c r="D2219" t="inlineStr">
        <is>
          <t>Hub A</t>
        </is>
      </c>
      <c r="E2219" t="n">
        <v>64</v>
      </c>
      <c r="F2219" t="n">
        <v>22</v>
      </c>
    </row>
    <row r="2220">
      <c r="A2220" t="inlineStr">
        <is>
          <t>ORD02219</t>
        </is>
      </c>
      <c r="B2220" t="inlineStr">
        <is>
          <t>C2219</t>
        </is>
      </c>
      <c r="C2220" t="n">
        <v>2</v>
      </c>
      <c r="D2220" t="inlineStr">
        <is>
          <t>Hub A</t>
        </is>
      </c>
      <c r="E2220" t="n">
        <v>71</v>
      </c>
      <c r="F2220" t="n">
        <v>22</v>
      </c>
    </row>
    <row r="2221">
      <c r="A2221" t="inlineStr">
        <is>
          <t>ORD02220</t>
        </is>
      </c>
      <c r="B2221" t="inlineStr">
        <is>
          <t>C2220</t>
        </is>
      </c>
      <c r="C2221" t="n">
        <v>3</v>
      </c>
      <c r="D2221" t="inlineStr">
        <is>
          <t>Hub A</t>
        </is>
      </c>
      <c r="E2221" t="n">
        <v>18</v>
      </c>
      <c r="F2221" t="n">
        <v>22</v>
      </c>
    </row>
    <row r="2222">
      <c r="A2222" t="inlineStr">
        <is>
          <t>ORD02221</t>
        </is>
      </c>
      <c r="B2222" t="inlineStr">
        <is>
          <t>C2221</t>
        </is>
      </c>
      <c r="C2222" t="n">
        <v>1</v>
      </c>
      <c r="D2222" t="inlineStr">
        <is>
          <t>Hub A</t>
        </is>
      </c>
      <c r="E2222" t="n">
        <v>25</v>
      </c>
      <c r="F2222" t="n">
        <v>22</v>
      </c>
    </row>
    <row r="2223">
      <c r="A2223" t="inlineStr">
        <is>
          <t>ORD02222</t>
        </is>
      </c>
      <c r="B2223" t="inlineStr">
        <is>
          <t>C2222</t>
        </is>
      </c>
      <c r="C2223" t="n">
        <v>2</v>
      </c>
      <c r="D2223" t="inlineStr">
        <is>
          <t>Hub A</t>
        </is>
      </c>
      <c r="E2223" t="n">
        <v>32</v>
      </c>
      <c r="F2223" t="n">
        <v>22</v>
      </c>
    </row>
    <row r="2224">
      <c r="A2224" t="inlineStr">
        <is>
          <t>ORD02223</t>
        </is>
      </c>
      <c r="B2224" t="inlineStr">
        <is>
          <t>C2223</t>
        </is>
      </c>
      <c r="C2224" t="n">
        <v>3</v>
      </c>
      <c r="D2224" t="inlineStr">
        <is>
          <t>Hub A</t>
        </is>
      </c>
      <c r="E2224" t="n">
        <v>39</v>
      </c>
      <c r="F2224" t="n">
        <v>22</v>
      </c>
    </row>
    <row r="2225">
      <c r="A2225" t="inlineStr">
        <is>
          <t>ORD02224</t>
        </is>
      </c>
      <c r="B2225" t="inlineStr">
        <is>
          <t>C2224</t>
        </is>
      </c>
      <c r="C2225" t="n">
        <v>1</v>
      </c>
      <c r="D2225" t="inlineStr">
        <is>
          <t>Hub A</t>
        </is>
      </c>
      <c r="E2225" t="n">
        <v>46</v>
      </c>
      <c r="F2225" t="n">
        <v>22</v>
      </c>
    </row>
    <row r="2226">
      <c r="A2226" t="inlineStr">
        <is>
          <t>ORD02225</t>
        </is>
      </c>
      <c r="B2226" t="inlineStr">
        <is>
          <t>C2225</t>
        </is>
      </c>
      <c r="C2226" t="n">
        <v>2</v>
      </c>
      <c r="D2226" t="inlineStr">
        <is>
          <t>Hub A</t>
        </is>
      </c>
      <c r="E2226" t="n">
        <v>53</v>
      </c>
      <c r="F2226" t="n">
        <v>22</v>
      </c>
    </row>
    <row r="2227">
      <c r="A2227" t="inlineStr">
        <is>
          <t>ORD02226</t>
        </is>
      </c>
      <c r="B2227" t="inlineStr">
        <is>
          <t>C2226</t>
        </is>
      </c>
      <c r="C2227" t="n">
        <v>3</v>
      </c>
      <c r="D2227" t="inlineStr">
        <is>
          <t>Hub A</t>
        </is>
      </c>
      <c r="E2227" t="n">
        <v>60</v>
      </c>
      <c r="F2227" t="n">
        <v>22</v>
      </c>
    </row>
    <row r="2228">
      <c r="A2228" t="inlineStr">
        <is>
          <t>ORD02227</t>
        </is>
      </c>
      <c r="B2228" t="inlineStr">
        <is>
          <t>C2227</t>
        </is>
      </c>
      <c r="C2228" t="n">
        <v>1</v>
      </c>
      <c r="D2228" t="inlineStr">
        <is>
          <t>Hub A</t>
        </is>
      </c>
      <c r="E2228" t="n">
        <v>67</v>
      </c>
      <c r="F2228" t="n">
        <v>22</v>
      </c>
    </row>
    <row r="2229">
      <c r="A2229" t="inlineStr">
        <is>
          <t>ORD02228</t>
        </is>
      </c>
      <c r="B2229" t="inlineStr">
        <is>
          <t>C2228</t>
        </is>
      </c>
      <c r="C2229" t="n">
        <v>2</v>
      </c>
      <c r="D2229" t="inlineStr">
        <is>
          <t>Hub A</t>
        </is>
      </c>
      <c r="E2229" t="n">
        <v>74</v>
      </c>
      <c r="F2229" t="n">
        <v>22</v>
      </c>
    </row>
    <row r="2230">
      <c r="A2230" t="inlineStr">
        <is>
          <t>ORD02229</t>
        </is>
      </c>
      <c r="B2230" t="inlineStr">
        <is>
          <t>C2229</t>
        </is>
      </c>
      <c r="C2230" t="n">
        <v>3</v>
      </c>
      <c r="D2230" t="inlineStr">
        <is>
          <t>Hub A</t>
        </is>
      </c>
      <c r="E2230" t="n">
        <v>21</v>
      </c>
      <c r="F2230" t="n">
        <v>22</v>
      </c>
    </row>
    <row r="2231">
      <c r="A2231" t="inlineStr">
        <is>
          <t>ORD02230</t>
        </is>
      </c>
      <c r="B2231" t="inlineStr">
        <is>
          <t>C2230</t>
        </is>
      </c>
      <c r="C2231" t="n">
        <v>1</v>
      </c>
      <c r="D2231" t="inlineStr">
        <is>
          <t>Hub A</t>
        </is>
      </c>
      <c r="E2231" t="n">
        <v>28</v>
      </c>
      <c r="F2231" t="n">
        <v>22</v>
      </c>
    </row>
    <row r="2232">
      <c r="A2232" t="inlineStr">
        <is>
          <t>ORD02231</t>
        </is>
      </c>
      <c r="B2232" t="inlineStr">
        <is>
          <t>C2231</t>
        </is>
      </c>
      <c r="C2232" t="n">
        <v>2</v>
      </c>
      <c r="D2232" t="inlineStr">
        <is>
          <t>Hub A</t>
        </is>
      </c>
      <c r="E2232" t="n">
        <v>35</v>
      </c>
      <c r="F2232" t="n">
        <v>22</v>
      </c>
    </row>
    <row r="2233">
      <c r="A2233" t="inlineStr">
        <is>
          <t>ORD02232</t>
        </is>
      </c>
      <c r="B2233" t="inlineStr">
        <is>
          <t>C2232</t>
        </is>
      </c>
      <c r="C2233" t="n">
        <v>3</v>
      </c>
      <c r="D2233" t="inlineStr">
        <is>
          <t>Hub A</t>
        </is>
      </c>
      <c r="E2233" t="n">
        <v>42</v>
      </c>
      <c r="F2233" t="n">
        <v>22</v>
      </c>
    </row>
    <row r="2234">
      <c r="A2234" t="inlineStr">
        <is>
          <t>ORD02233</t>
        </is>
      </c>
      <c r="B2234" t="inlineStr">
        <is>
          <t>C2233</t>
        </is>
      </c>
      <c r="C2234" t="n">
        <v>1</v>
      </c>
      <c r="D2234" t="inlineStr">
        <is>
          <t>Hub A</t>
        </is>
      </c>
      <c r="E2234" t="n">
        <v>49</v>
      </c>
      <c r="F2234" t="n">
        <v>22</v>
      </c>
    </row>
    <row r="2235">
      <c r="A2235" t="inlineStr">
        <is>
          <t>ORD02234</t>
        </is>
      </c>
      <c r="B2235" t="inlineStr">
        <is>
          <t>C2234</t>
        </is>
      </c>
      <c r="C2235" t="n">
        <v>2</v>
      </c>
      <c r="D2235" t="inlineStr">
        <is>
          <t>Hub A</t>
        </is>
      </c>
      <c r="E2235" t="n">
        <v>56</v>
      </c>
      <c r="F2235" t="n">
        <v>22</v>
      </c>
    </row>
    <row r="2236">
      <c r="A2236" t="inlineStr">
        <is>
          <t>ORD02235</t>
        </is>
      </c>
      <c r="B2236" t="inlineStr">
        <is>
          <t>C2235</t>
        </is>
      </c>
      <c r="C2236" t="n">
        <v>3</v>
      </c>
      <c r="D2236" t="inlineStr">
        <is>
          <t>Hub A</t>
        </is>
      </c>
      <c r="E2236" t="n">
        <v>63</v>
      </c>
      <c r="F2236" t="n">
        <v>22</v>
      </c>
    </row>
    <row r="2237">
      <c r="A2237" t="inlineStr">
        <is>
          <t>ORD02236</t>
        </is>
      </c>
      <c r="B2237" t="inlineStr">
        <is>
          <t>C2236</t>
        </is>
      </c>
      <c r="C2237" t="n">
        <v>1</v>
      </c>
      <c r="D2237" t="inlineStr">
        <is>
          <t>Hub A</t>
        </is>
      </c>
      <c r="E2237" t="n">
        <v>70</v>
      </c>
      <c r="F2237" t="n">
        <v>22</v>
      </c>
    </row>
    <row r="2238">
      <c r="A2238" t="inlineStr">
        <is>
          <t>ORD02237</t>
        </is>
      </c>
      <c r="B2238" t="inlineStr">
        <is>
          <t>C2237</t>
        </is>
      </c>
      <c r="C2238" t="n">
        <v>2</v>
      </c>
      <c r="D2238" t="inlineStr">
        <is>
          <t>Hub A</t>
        </is>
      </c>
      <c r="E2238" t="n">
        <v>77</v>
      </c>
      <c r="F2238" t="n">
        <v>22</v>
      </c>
    </row>
    <row r="2239">
      <c r="A2239" t="inlineStr">
        <is>
          <t>ORD02238</t>
        </is>
      </c>
      <c r="B2239" t="inlineStr">
        <is>
          <t>C2238</t>
        </is>
      </c>
      <c r="C2239" t="n">
        <v>3</v>
      </c>
      <c r="D2239" t="inlineStr">
        <is>
          <t>Hub A</t>
        </is>
      </c>
      <c r="E2239" t="n">
        <v>24</v>
      </c>
      <c r="F2239" t="n">
        <v>22</v>
      </c>
    </row>
    <row r="2240">
      <c r="A2240" t="inlineStr">
        <is>
          <t>ORD02239</t>
        </is>
      </c>
      <c r="B2240" t="inlineStr">
        <is>
          <t>C2239</t>
        </is>
      </c>
      <c r="C2240" t="n">
        <v>1</v>
      </c>
      <c r="D2240" t="inlineStr">
        <is>
          <t>Hub A</t>
        </is>
      </c>
      <c r="E2240" t="n">
        <v>31</v>
      </c>
      <c r="F2240" t="n">
        <v>22</v>
      </c>
    </row>
    <row r="2241">
      <c r="A2241" t="inlineStr">
        <is>
          <t>ORD02240</t>
        </is>
      </c>
      <c r="B2241" t="inlineStr">
        <is>
          <t>C2240</t>
        </is>
      </c>
      <c r="C2241" t="n">
        <v>2</v>
      </c>
      <c r="D2241" t="inlineStr">
        <is>
          <t>Hub A</t>
        </is>
      </c>
      <c r="E2241" t="n">
        <v>38</v>
      </c>
      <c r="F2241" t="n">
        <v>22</v>
      </c>
    </row>
    <row r="2242">
      <c r="A2242" t="inlineStr">
        <is>
          <t>ORD02241</t>
        </is>
      </c>
      <c r="B2242" t="inlineStr">
        <is>
          <t>C2241</t>
        </is>
      </c>
      <c r="C2242" t="n">
        <v>3</v>
      </c>
      <c r="D2242" t="inlineStr">
        <is>
          <t>Hub A</t>
        </is>
      </c>
      <c r="E2242" t="n">
        <v>45</v>
      </c>
      <c r="F2242" t="n">
        <v>22</v>
      </c>
    </row>
    <row r="2243">
      <c r="A2243" t="inlineStr">
        <is>
          <t>ORD02242</t>
        </is>
      </c>
      <c r="B2243" t="inlineStr">
        <is>
          <t>C2242</t>
        </is>
      </c>
      <c r="C2243" t="n">
        <v>1</v>
      </c>
      <c r="D2243" t="inlineStr">
        <is>
          <t>Hub A</t>
        </is>
      </c>
      <c r="E2243" t="n">
        <v>52</v>
      </c>
      <c r="F2243" t="n">
        <v>22</v>
      </c>
    </row>
    <row r="2244">
      <c r="A2244" t="inlineStr">
        <is>
          <t>ORD02243</t>
        </is>
      </c>
      <c r="B2244" t="inlineStr">
        <is>
          <t>C2243</t>
        </is>
      </c>
      <c r="C2244" t="n">
        <v>2</v>
      </c>
      <c r="D2244" t="inlineStr">
        <is>
          <t>Hub A</t>
        </is>
      </c>
      <c r="E2244" t="n">
        <v>59</v>
      </c>
      <c r="F2244" t="n">
        <v>22</v>
      </c>
    </row>
    <row r="2245">
      <c r="A2245" t="inlineStr">
        <is>
          <t>ORD02244</t>
        </is>
      </c>
      <c r="B2245" t="inlineStr">
        <is>
          <t>C2244</t>
        </is>
      </c>
      <c r="C2245" t="n">
        <v>3</v>
      </c>
      <c r="D2245" t="inlineStr">
        <is>
          <t>Hub A</t>
        </is>
      </c>
      <c r="E2245" t="n">
        <v>66</v>
      </c>
      <c r="F2245" t="n">
        <v>22</v>
      </c>
    </row>
    <row r="2246">
      <c r="A2246" t="inlineStr">
        <is>
          <t>ORD02245</t>
        </is>
      </c>
      <c r="B2246" t="inlineStr">
        <is>
          <t>C2245</t>
        </is>
      </c>
      <c r="C2246" t="n">
        <v>1</v>
      </c>
      <c r="D2246" t="inlineStr">
        <is>
          <t>Hub A</t>
        </is>
      </c>
      <c r="E2246" t="n">
        <v>73</v>
      </c>
      <c r="F2246" t="n">
        <v>22</v>
      </c>
    </row>
    <row r="2247">
      <c r="A2247" t="inlineStr">
        <is>
          <t>ORD02246</t>
        </is>
      </c>
      <c r="B2247" t="inlineStr">
        <is>
          <t>C2246</t>
        </is>
      </c>
      <c r="C2247" t="n">
        <v>2</v>
      </c>
      <c r="D2247" t="inlineStr">
        <is>
          <t>Hub A</t>
        </is>
      </c>
      <c r="E2247" t="n">
        <v>20</v>
      </c>
      <c r="F2247" t="n">
        <v>22</v>
      </c>
    </row>
    <row r="2248">
      <c r="A2248" t="inlineStr">
        <is>
          <t>ORD02247</t>
        </is>
      </c>
      <c r="B2248" t="inlineStr">
        <is>
          <t>C2247</t>
        </is>
      </c>
      <c r="C2248" t="n">
        <v>3</v>
      </c>
      <c r="D2248" t="inlineStr">
        <is>
          <t>Hub A</t>
        </is>
      </c>
      <c r="E2248" t="n">
        <v>27</v>
      </c>
      <c r="F2248" t="n">
        <v>22</v>
      </c>
    </row>
    <row r="2249">
      <c r="A2249" t="inlineStr">
        <is>
          <t>ORD02248</t>
        </is>
      </c>
      <c r="B2249" t="inlineStr">
        <is>
          <t>C2248</t>
        </is>
      </c>
      <c r="C2249" t="n">
        <v>1</v>
      </c>
      <c r="D2249" t="inlineStr">
        <is>
          <t>Hub A</t>
        </is>
      </c>
      <c r="E2249" t="n">
        <v>34</v>
      </c>
      <c r="F2249" t="n">
        <v>22</v>
      </c>
    </row>
    <row r="2250">
      <c r="A2250" t="inlineStr">
        <is>
          <t>ORD02249</t>
        </is>
      </c>
      <c r="B2250" t="inlineStr">
        <is>
          <t>C2249</t>
        </is>
      </c>
      <c r="C2250" t="n">
        <v>2</v>
      </c>
      <c r="D2250" t="inlineStr">
        <is>
          <t>Hub A</t>
        </is>
      </c>
      <c r="E2250" t="n">
        <v>41</v>
      </c>
      <c r="F2250" t="n">
        <v>22</v>
      </c>
    </row>
    <row r="2251">
      <c r="A2251" t="inlineStr">
        <is>
          <t>ORD02250</t>
        </is>
      </c>
      <c r="B2251" t="inlineStr">
        <is>
          <t>C2250</t>
        </is>
      </c>
      <c r="C2251" t="n">
        <v>3</v>
      </c>
      <c r="D2251" t="inlineStr">
        <is>
          <t>Hub A</t>
        </is>
      </c>
      <c r="E2251" t="n">
        <v>48</v>
      </c>
      <c r="F2251" t="n">
        <v>22</v>
      </c>
    </row>
    <row r="2252">
      <c r="A2252" t="inlineStr">
        <is>
          <t>ORD02251</t>
        </is>
      </c>
      <c r="B2252" t="inlineStr">
        <is>
          <t>C2251</t>
        </is>
      </c>
      <c r="C2252" t="n">
        <v>1</v>
      </c>
      <c r="D2252" t="inlineStr">
        <is>
          <t>Hub A</t>
        </is>
      </c>
      <c r="E2252" t="n">
        <v>55</v>
      </c>
      <c r="F2252" t="n">
        <v>22</v>
      </c>
    </row>
    <row r="2253">
      <c r="A2253" t="inlineStr">
        <is>
          <t>ORD02252</t>
        </is>
      </c>
      <c r="B2253" t="inlineStr">
        <is>
          <t>C2252</t>
        </is>
      </c>
      <c r="C2253" t="n">
        <v>2</v>
      </c>
      <c r="D2253" t="inlineStr">
        <is>
          <t>Hub A</t>
        </is>
      </c>
      <c r="E2253" t="n">
        <v>62</v>
      </c>
      <c r="F2253" t="n">
        <v>22</v>
      </c>
    </row>
    <row r="2254">
      <c r="A2254" t="inlineStr">
        <is>
          <t>ORD02253</t>
        </is>
      </c>
      <c r="B2254" t="inlineStr">
        <is>
          <t>C2253</t>
        </is>
      </c>
      <c r="C2254" t="n">
        <v>3</v>
      </c>
      <c r="D2254" t="inlineStr">
        <is>
          <t>Hub A</t>
        </is>
      </c>
      <c r="E2254" t="n">
        <v>69</v>
      </c>
      <c r="F2254" t="n">
        <v>22</v>
      </c>
    </row>
    <row r="2255">
      <c r="A2255" t="inlineStr">
        <is>
          <t>ORD02254</t>
        </is>
      </c>
      <c r="B2255" t="inlineStr">
        <is>
          <t>C2254</t>
        </is>
      </c>
      <c r="C2255" t="n">
        <v>1</v>
      </c>
      <c r="D2255" t="inlineStr">
        <is>
          <t>Hub A</t>
        </is>
      </c>
      <c r="E2255" t="n">
        <v>76</v>
      </c>
      <c r="F2255" t="n">
        <v>22</v>
      </c>
    </row>
    <row r="2256">
      <c r="A2256" t="inlineStr">
        <is>
          <t>ORD02255</t>
        </is>
      </c>
      <c r="B2256" t="inlineStr">
        <is>
          <t>C2255</t>
        </is>
      </c>
      <c r="C2256" t="n">
        <v>2</v>
      </c>
      <c r="D2256" t="inlineStr">
        <is>
          <t>Hub A</t>
        </is>
      </c>
      <c r="E2256" t="n">
        <v>23</v>
      </c>
      <c r="F2256" t="n">
        <v>22</v>
      </c>
    </row>
    <row r="2257">
      <c r="A2257" t="inlineStr">
        <is>
          <t>ORD02256</t>
        </is>
      </c>
      <c r="B2257" t="inlineStr">
        <is>
          <t>C2256</t>
        </is>
      </c>
      <c r="C2257" t="n">
        <v>3</v>
      </c>
      <c r="D2257" t="inlineStr">
        <is>
          <t>Hub A</t>
        </is>
      </c>
      <c r="E2257" t="n">
        <v>30</v>
      </c>
      <c r="F2257" t="n">
        <v>22</v>
      </c>
    </row>
    <row r="2258">
      <c r="A2258" t="inlineStr">
        <is>
          <t>ORD02257</t>
        </is>
      </c>
      <c r="B2258" t="inlineStr">
        <is>
          <t>C2257</t>
        </is>
      </c>
      <c r="C2258" t="n">
        <v>1</v>
      </c>
      <c r="D2258" t="inlineStr">
        <is>
          <t>Hub A</t>
        </is>
      </c>
      <c r="E2258" t="n">
        <v>37</v>
      </c>
      <c r="F2258" t="n">
        <v>22</v>
      </c>
    </row>
    <row r="2259">
      <c r="A2259" t="inlineStr">
        <is>
          <t>ORD02258</t>
        </is>
      </c>
      <c r="B2259" t="inlineStr">
        <is>
          <t>C2258</t>
        </is>
      </c>
      <c r="C2259" t="n">
        <v>2</v>
      </c>
      <c r="D2259" t="inlineStr">
        <is>
          <t>Hub A</t>
        </is>
      </c>
      <c r="E2259" t="n">
        <v>44</v>
      </c>
      <c r="F2259" t="n">
        <v>22</v>
      </c>
    </row>
    <row r="2260">
      <c r="A2260" t="inlineStr">
        <is>
          <t>ORD02259</t>
        </is>
      </c>
      <c r="B2260" t="inlineStr">
        <is>
          <t>C2259</t>
        </is>
      </c>
      <c r="C2260" t="n">
        <v>3</v>
      </c>
      <c r="D2260" t="inlineStr">
        <is>
          <t>Hub A</t>
        </is>
      </c>
      <c r="E2260" t="n">
        <v>51</v>
      </c>
      <c r="F2260" t="n">
        <v>22</v>
      </c>
    </row>
    <row r="2261">
      <c r="A2261" t="inlineStr">
        <is>
          <t>ORD02260</t>
        </is>
      </c>
      <c r="B2261" t="inlineStr">
        <is>
          <t>C2260</t>
        </is>
      </c>
      <c r="C2261" t="n">
        <v>1</v>
      </c>
      <c r="D2261" t="inlineStr">
        <is>
          <t>Hub A</t>
        </is>
      </c>
      <c r="E2261" t="n">
        <v>58</v>
      </c>
      <c r="F2261" t="n">
        <v>22</v>
      </c>
    </row>
    <row r="2262">
      <c r="A2262" t="inlineStr">
        <is>
          <t>ORD02261</t>
        </is>
      </c>
      <c r="B2262" t="inlineStr">
        <is>
          <t>C2261</t>
        </is>
      </c>
      <c r="C2262" t="n">
        <v>2</v>
      </c>
      <c r="D2262" t="inlineStr">
        <is>
          <t>Hub A</t>
        </is>
      </c>
      <c r="E2262" t="n">
        <v>65</v>
      </c>
      <c r="F2262" t="n">
        <v>22</v>
      </c>
    </row>
    <row r="2263">
      <c r="A2263" t="inlineStr">
        <is>
          <t>ORD02262</t>
        </is>
      </c>
      <c r="B2263" t="inlineStr">
        <is>
          <t>C2262</t>
        </is>
      </c>
      <c r="C2263" t="n">
        <v>3</v>
      </c>
      <c r="D2263" t="inlineStr">
        <is>
          <t>Hub A</t>
        </is>
      </c>
      <c r="E2263" t="n">
        <v>72</v>
      </c>
      <c r="F2263" t="n">
        <v>22</v>
      </c>
    </row>
    <row r="2264">
      <c r="A2264" t="inlineStr">
        <is>
          <t>ORD02263</t>
        </is>
      </c>
      <c r="B2264" t="inlineStr">
        <is>
          <t>C2263</t>
        </is>
      </c>
      <c r="C2264" t="n">
        <v>1</v>
      </c>
      <c r="D2264" t="inlineStr">
        <is>
          <t>Hub A</t>
        </is>
      </c>
      <c r="E2264" t="n">
        <v>19</v>
      </c>
      <c r="F2264" t="n">
        <v>22</v>
      </c>
    </row>
    <row r="2265">
      <c r="A2265" t="inlineStr">
        <is>
          <t>ORD02264</t>
        </is>
      </c>
      <c r="B2265" t="inlineStr">
        <is>
          <t>C2264</t>
        </is>
      </c>
      <c r="C2265" t="n">
        <v>2</v>
      </c>
      <c r="D2265" t="inlineStr">
        <is>
          <t>Hub A</t>
        </is>
      </c>
      <c r="E2265" t="n">
        <v>26</v>
      </c>
      <c r="F2265" t="n">
        <v>22</v>
      </c>
    </row>
    <row r="2266">
      <c r="A2266" t="inlineStr">
        <is>
          <t>ORD02265</t>
        </is>
      </c>
      <c r="B2266" t="inlineStr">
        <is>
          <t>C2265</t>
        </is>
      </c>
      <c r="C2266" t="n">
        <v>3</v>
      </c>
      <c r="D2266" t="inlineStr">
        <is>
          <t>Hub A</t>
        </is>
      </c>
      <c r="E2266" t="n">
        <v>33</v>
      </c>
      <c r="F2266" t="n">
        <v>22</v>
      </c>
    </row>
    <row r="2267">
      <c r="A2267" t="inlineStr">
        <is>
          <t>ORD02266</t>
        </is>
      </c>
      <c r="B2267" t="inlineStr">
        <is>
          <t>C2266</t>
        </is>
      </c>
      <c r="C2267" t="n">
        <v>1</v>
      </c>
      <c r="D2267" t="inlineStr">
        <is>
          <t>Hub A</t>
        </is>
      </c>
      <c r="E2267" t="n">
        <v>40</v>
      </c>
      <c r="F2267" t="n">
        <v>22</v>
      </c>
    </row>
    <row r="2268">
      <c r="A2268" t="inlineStr">
        <is>
          <t>ORD02267</t>
        </is>
      </c>
      <c r="B2268" t="inlineStr">
        <is>
          <t>C2267</t>
        </is>
      </c>
      <c r="C2268" t="n">
        <v>2</v>
      </c>
      <c r="D2268" t="inlineStr">
        <is>
          <t>Hub A</t>
        </is>
      </c>
      <c r="E2268" t="n">
        <v>47</v>
      </c>
      <c r="F2268" t="n">
        <v>22</v>
      </c>
    </row>
    <row r="2269">
      <c r="A2269" t="inlineStr">
        <is>
          <t>ORD02268</t>
        </is>
      </c>
      <c r="B2269" t="inlineStr">
        <is>
          <t>C2268</t>
        </is>
      </c>
      <c r="C2269" t="n">
        <v>3</v>
      </c>
      <c r="D2269" t="inlineStr">
        <is>
          <t>Hub A</t>
        </is>
      </c>
      <c r="E2269" t="n">
        <v>54</v>
      </c>
      <c r="F2269" t="n">
        <v>22</v>
      </c>
    </row>
    <row r="2270">
      <c r="A2270" t="inlineStr">
        <is>
          <t>ORD02269</t>
        </is>
      </c>
      <c r="B2270" t="inlineStr">
        <is>
          <t>C2269</t>
        </is>
      </c>
      <c r="C2270" t="n">
        <v>1</v>
      </c>
      <c r="D2270" t="inlineStr">
        <is>
          <t>Hub A</t>
        </is>
      </c>
      <c r="E2270" t="n">
        <v>61</v>
      </c>
      <c r="F2270" t="n">
        <v>22</v>
      </c>
    </row>
    <row r="2271">
      <c r="A2271" t="inlineStr">
        <is>
          <t>ORD02270</t>
        </is>
      </c>
      <c r="B2271" t="inlineStr">
        <is>
          <t>C2270</t>
        </is>
      </c>
      <c r="C2271" t="n">
        <v>2</v>
      </c>
      <c r="D2271" t="inlineStr">
        <is>
          <t>Hub A</t>
        </is>
      </c>
      <c r="E2271" t="n">
        <v>68</v>
      </c>
      <c r="F2271" t="n">
        <v>22</v>
      </c>
    </row>
    <row r="2272">
      <c r="A2272" t="inlineStr">
        <is>
          <t>ORD02271</t>
        </is>
      </c>
      <c r="B2272" t="inlineStr">
        <is>
          <t>C2271</t>
        </is>
      </c>
      <c r="C2272" t="n">
        <v>3</v>
      </c>
      <c r="D2272" t="inlineStr">
        <is>
          <t>Hub A</t>
        </is>
      </c>
      <c r="E2272" t="n">
        <v>75</v>
      </c>
      <c r="F2272" t="n">
        <v>22</v>
      </c>
    </row>
    <row r="2273">
      <c r="A2273" t="inlineStr">
        <is>
          <t>ORD02272</t>
        </is>
      </c>
      <c r="B2273" t="inlineStr">
        <is>
          <t>C2272</t>
        </is>
      </c>
      <c r="C2273" t="n">
        <v>1</v>
      </c>
      <c r="D2273" t="inlineStr">
        <is>
          <t>Hub A</t>
        </is>
      </c>
      <c r="E2273" t="n">
        <v>22</v>
      </c>
      <c r="F2273" t="n">
        <v>22</v>
      </c>
    </row>
    <row r="2274">
      <c r="A2274" t="inlineStr">
        <is>
          <t>ORD02273</t>
        </is>
      </c>
      <c r="B2274" t="inlineStr">
        <is>
          <t>C2273</t>
        </is>
      </c>
      <c r="C2274" t="n">
        <v>2</v>
      </c>
      <c r="D2274" t="inlineStr">
        <is>
          <t>Hub A</t>
        </is>
      </c>
      <c r="E2274" t="n">
        <v>29</v>
      </c>
      <c r="F2274" t="n">
        <v>22</v>
      </c>
    </row>
    <row r="2275">
      <c r="A2275" t="inlineStr">
        <is>
          <t>ORD02274</t>
        </is>
      </c>
      <c r="B2275" t="inlineStr">
        <is>
          <t>C2274</t>
        </is>
      </c>
      <c r="C2275" t="n">
        <v>3</v>
      </c>
      <c r="D2275" t="inlineStr">
        <is>
          <t>Hub A</t>
        </is>
      </c>
      <c r="E2275" t="n">
        <v>36</v>
      </c>
      <c r="F2275" t="n">
        <v>22</v>
      </c>
    </row>
    <row r="2276">
      <c r="A2276" t="inlineStr">
        <is>
          <t>ORD02275</t>
        </is>
      </c>
      <c r="B2276" t="inlineStr">
        <is>
          <t>C2275</t>
        </is>
      </c>
      <c r="C2276" t="n">
        <v>1</v>
      </c>
      <c r="D2276" t="inlineStr">
        <is>
          <t>Hub A</t>
        </is>
      </c>
      <c r="E2276" t="n">
        <v>43</v>
      </c>
      <c r="F2276" t="n">
        <v>22</v>
      </c>
    </row>
    <row r="2277">
      <c r="A2277" t="inlineStr">
        <is>
          <t>ORD02276</t>
        </is>
      </c>
      <c r="B2277" t="inlineStr">
        <is>
          <t>C2276</t>
        </is>
      </c>
      <c r="C2277" t="n">
        <v>2</v>
      </c>
      <c r="D2277" t="inlineStr">
        <is>
          <t>Hub A</t>
        </is>
      </c>
      <c r="E2277" t="n">
        <v>50</v>
      </c>
      <c r="F2277" t="n">
        <v>22</v>
      </c>
    </row>
    <row r="2278">
      <c r="A2278" t="inlineStr">
        <is>
          <t>ORD02277</t>
        </is>
      </c>
      <c r="B2278" t="inlineStr">
        <is>
          <t>C2277</t>
        </is>
      </c>
      <c r="C2278" t="n">
        <v>3</v>
      </c>
      <c r="D2278" t="inlineStr">
        <is>
          <t>Hub A</t>
        </is>
      </c>
      <c r="E2278" t="n">
        <v>57</v>
      </c>
      <c r="F2278" t="n">
        <v>22</v>
      </c>
    </row>
    <row r="2279">
      <c r="A2279" t="inlineStr">
        <is>
          <t>ORD02278</t>
        </is>
      </c>
      <c r="B2279" t="inlineStr">
        <is>
          <t>C2278</t>
        </is>
      </c>
      <c r="C2279" t="n">
        <v>1</v>
      </c>
      <c r="D2279" t="inlineStr">
        <is>
          <t>Hub A</t>
        </is>
      </c>
      <c r="E2279" t="n">
        <v>64</v>
      </c>
      <c r="F2279" t="n">
        <v>22</v>
      </c>
    </row>
    <row r="2280">
      <c r="A2280" t="inlineStr">
        <is>
          <t>ORD02279</t>
        </is>
      </c>
      <c r="B2280" t="inlineStr">
        <is>
          <t>C2279</t>
        </is>
      </c>
      <c r="C2280" t="n">
        <v>2</v>
      </c>
      <c r="D2280" t="inlineStr">
        <is>
          <t>Hub A</t>
        </is>
      </c>
      <c r="E2280" t="n">
        <v>71</v>
      </c>
      <c r="F2280" t="n">
        <v>22</v>
      </c>
    </row>
    <row r="2281">
      <c r="A2281" t="inlineStr">
        <is>
          <t>ORD02280</t>
        </is>
      </c>
      <c r="B2281" t="inlineStr">
        <is>
          <t>C2280</t>
        </is>
      </c>
      <c r="C2281" t="n">
        <v>3</v>
      </c>
      <c r="D2281" t="inlineStr">
        <is>
          <t>Hub A</t>
        </is>
      </c>
      <c r="E2281" t="n">
        <v>18</v>
      </c>
      <c r="F2281" t="n">
        <v>22</v>
      </c>
    </row>
    <row r="2282">
      <c r="A2282" t="inlineStr">
        <is>
          <t>ORD02281</t>
        </is>
      </c>
      <c r="B2282" t="inlineStr">
        <is>
          <t>C2281</t>
        </is>
      </c>
      <c r="C2282" t="n">
        <v>1</v>
      </c>
      <c r="D2282" t="inlineStr">
        <is>
          <t>Hub A</t>
        </is>
      </c>
      <c r="E2282" t="n">
        <v>25</v>
      </c>
      <c r="F2282" t="n">
        <v>22</v>
      </c>
    </row>
    <row r="2283">
      <c r="A2283" t="inlineStr">
        <is>
          <t>ORD02282</t>
        </is>
      </c>
      <c r="B2283" t="inlineStr">
        <is>
          <t>C2282</t>
        </is>
      </c>
      <c r="C2283" t="n">
        <v>2</v>
      </c>
      <c r="D2283" t="inlineStr">
        <is>
          <t>Hub A</t>
        </is>
      </c>
      <c r="E2283" t="n">
        <v>32</v>
      </c>
      <c r="F2283" t="n">
        <v>22</v>
      </c>
    </row>
    <row r="2284">
      <c r="A2284" t="inlineStr">
        <is>
          <t>ORD02283</t>
        </is>
      </c>
      <c r="B2284" t="inlineStr">
        <is>
          <t>C2283</t>
        </is>
      </c>
      <c r="C2284" t="n">
        <v>3</v>
      </c>
      <c r="D2284" t="inlineStr">
        <is>
          <t>Hub A</t>
        </is>
      </c>
      <c r="E2284" t="n">
        <v>39</v>
      </c>
      <c r="F2284" t="n">
        <v>22</v>
      </c>
    </row>
    <row r="2285">
      <c r="A2285" t="inlineStr">
        <is>
          <t>ORD02284</t>
        </is>
      </c>
      <c r="B2285" t="inlineStr">
        <is>
          <t>C2284</t>
        </is>
      </c>
      <c r="C2285" t="n">
        <v>1</v>
      </c>
      <c r="D2285" t="inlineStr">
        <is>
          <t>Hub A</t>
        </is>
      </c>
      <c r="E2285" t="n">
        <v>46</v>
      </c>
      <c r="F2285" t="n">
        <v>22</v>
      </c>
    </row>
    <row r="2286">
      <c r="A2286" t="inlineStr">
        <is>
          <t>ORD02285</t>
        </is>
      </c>
      <c r="B2286" t="inlineStr">
        <is>
          <t>C2285</t>
        </is>
      </c>
      <c r="C2286" t="n">
        <v>2</v>
      </c>
      <c r="D2286" t="inlineStr">
        <is>
          <t>Hub A</t>
        </is>
      </c>
      <c r="E2286" t="n">
        <v>53</v>
      </c>
      <c r="F2286" t="n">
        <v>22</v>
      </c>
    </row>
    <row r="2287">
      <c r="A2287" t="inlineStr">
        <is>
          <t>ORD02286</t>
        </is>
      </c>
      <c r="B2287" t="inlineStr">
        <is>
          <t>C2286</t>
        </is>
      </c>
      <c r="C2287" t="n">
        <v>3</v>
      </c>
      <c r="D2287" t="inlineStr">
        <is>
          <t>Hub A</t>
        </is>
      </c>
      <c r="E2287" t="n">
        <v>60</v>
      </c>
      <c r="F2287" t="n">
        <v>22</v>
      </c>
    </row>
    <row r="2288">
      <c r="A2288" t="inlineStr">
        <is>
          <t>ORD02287</t>
        </is>
      </c>
      <c r="B2288" t="inlineStr">
        <is>
          <t>C2287</t>
        </is>
      </c>
      <c r="C2288" t="n">
        <v>1</v>
      </c>
      <c r="D2288" t="inlineStr">
        <is>
          <t>Hub A</t>
        </is>
      </c>
      <c r="E2288" t="n">
        <v>67</v>
      </c>
      <c r="F2288" t="n">
        <v>22</v>
      </c>
    </row>
    <row r="2289">
      <c r="A2289" t="inlineStr">
        <is>
          <t>ORD02288</t>
        </is>
      </c>
      <c r="B2289" t="inlineStr">
        <is>
          <t>C2288</t>
        </is>
      </c>
      <c r="C2289" t="n">
        <v>2</v>
      </c>
      <c r="D2289" t="inlineStr">
        <is>
          <t>Hub A</t>
        </is>
      </c>
      <c r="E2289" t="n">
        <v>74</v>
      </c>
      <c r="F2289" t="n">
        <v>22</v>
      </c>
    </row>
    <row r="2290">
      <c r="A2290" t="inlineStr">
        <is>
          <t>ORD02289</t>
        </is>
      </c>
      <c r="B2290" t="inlineStr">
        <is>
          <t>C2289</t>
        </is>
      </c>
      <c r="C2290" t="n">
        <v>3</v>
      </c>
      <c r="D2290" t="inlineStr">
        <is>
          <t>Hub A</t>
        </is>
      </c>
      <c r="E2290" t="n">
        <v>21</v>
      </c>
      <c r="F2290" t="n">
        <v>22</v>
      </c>
    </row>
    <row r="2291">
      <c r="A2291" t="inlineStr">
        <is>
          <t>ORD02290</t>
        </is>
      </c>
      <c r="B2291" t="inlineStr">
        <is>
          <t>C2290</t>
        </is>
      </c>
      <c r="C2291" t="n">
        <v>1</v>
      </c>
      <c r="D2291" t="inlineStr">
        <is>
          <t>Hub A</t>
        </is>
      </c>
      <c r="E2291" t="n">
        <v>28</v>
      </c>
      <c r="F2291" t="n">
        <v>22</v>
      </c>
    </row>
    <row r="2292">
      <c r="A2292" t="inlineStr">
        <is>
          <t>ORD02291</t>
        </is>
      </c>
      <c r="B2292" t="inlineStr">
        <is>
          <t>C2291</t>
        </is>
      </c>
      <c r="C2292" t="n">
        <v>2</v>
      </c>
      <c r="D2292" t="inlineStr">
        <is>
          <t>Hub A</t>
        </is>
      </c>
      <c r="E2292" t="n">
        <v>35</v>
      </c>
      <c r="F2292" t="n">
        <v>22</v>
      </c>
    </row>
    <row r="2293">
      <c r="A2293" t="inlineStr">
        <is>
          <t>ORD02292</t>
        </is>
      </c>
      <c r="B2293" t="inlineStr">
        <is>
          <t>C2292</t>
        </is>
      </c>
      <c r="C2293" t="n">
        <v>3</v>
      </c>
      <c r="D2293" t="inlineStr">
        <is>
          <t>Hub A</t>
        </is>
      </c>
      <c r="E2293" t="n">
        <v>42</v>
      </c>
      <c r="F2293" t="n">
        <v>22</v>
      </c>
    </row>
    <row r="2294">
      <c r="A2294" t="inlineStr">
        <is>
          <t>ORD02293</t>
        </is>
      </c>
      <c r="B2294" t="inlineStr">
        <is>
          <t>C2293</t>
        </is>
      </c>
      <c r="C2294" t="n">
        <v>1</v>
      </c>
      <c r="D2294" t="inlineStr">
        <is>
          <t>Hub A</t>
        </is>
      </c>
      <c r="E2294" t="n">
        <v>49</v>
      </c>
      <c r="F2294" t="n">
        <v>22</v>
      </c>
    </row>
    <row r="2295">
      <c r="A2295" t="inlineStr">
        <is>
          <t>ORD02294</t>
        </is>
      </c>
      <c r="B2295" t="inlineStr">
        <is>
          <t>C2294</t>
        </is>
      </c>
      <c r="C2295" t="n">
        <v>2</v>
      </c>
      <c r="D2295" t="inlineStr">
        <is>
          <t>Hub A</t>
        </is>
      </c>
      <c r="E2295" t="n">
        <v>56</v>
      </c>
      <c r="F2295" t="n">
        <v>22</v>
      </c>
    </row>
    <row r="2296">
      <c r="A2296" t="inlineStr">
        <is>
          <t>ORD02295</t>
        </is>
      </c>
      <c r="B2296" t="inlineStr">
        <is>
          <t>C2295</t>
        </is>
      </c>
      <c r="C2296" t="n">
        <v>3</v>
      </c>
      <c r="D2296" t="inlineStr">
        <is>
          <t>Hub A</t>
        </is>
      </c>
      <c r="E2296" t="n">
        <v>63</v>
      </c>
      <c r="F2296" t="n">
        <v>22</v>
      </c>
    </row>
    <row r="2297">
      <c r="A2297" t="inlineStr">
        <is>
          <t>ORD02296</t>
        </is>
      </c>
      <c r="B2297" t="inlineStr">
        <is>
          <t>C2296</t>
        </is>
      </c>
      <c r="C2297" t="n">
        <v>1</v>
      </c>
      <c r="D2297" t="inlineStr">
        <is>
          <t>Hub A</t>
        </is>
      </c>
      <c r="E2297" t="n">
        <v>70</v>
      </c>
      <c r="F2297" t="n">
        <v>22</v>
      </c>
    </row>
    <row r="2298">
      <c r="A2298" t="inlineStr">
        <is>
          <t>ORD02297</t>
        </is>
      </c>
      <c r="B2298" t="inlineStr">
        <is>
          <t>C2297</t>
        </is>
      </c>
      <c r="C2298" t="n">
        <v>2</v>
      </c>
      <c r="D2298" t="inlineStr">
        <is>
          <t>Hub A</t>
        </is>
      </c>
      <c r="E2298" t="n">
        <v>77</v>
      </c>
      <c r="F2298" t="n">
        <v>22</v>
      </c>
    </row>
    <row r="2299">
      <c r="A2299" t="inlineStr">
        <is>
          <t>ORD02298</t>
        </is>
      </c>
      <c r="B2299" t="inlineStr">
        <is>
          <t>C2298</t>
        </is>
      </c>
      <c r="C2299" t="n">
        <v>3</v>
      </c>
      <c r="D2299" t="inlineStr">
        <is>
          <t>Hub A</t>
        </is>
      </c>
      <c r="E2299" t="n">
        <v>24</v>
      </c>
      <c r="F2299" t="n">
        <v>22</v>
      </c>
    </row>
    <row r="2300">
      <c r="A2300" t="inlineStr">
        <is>
          <t>ORD02299</t>
        </is>
      </c>
      <c r="B2300" t="inlineStr">
        <is>
          <t>C2299</t>
        </is>
      </c>
      <c r="C2300" t="n">
        <v>1</v>
      </c>
      <c r="D2300" t="inlineStr">
        <is>
          <t>Hub A</t>
        </is>
      </c>
      <c r="E2300" t="n">
        <v>31</v>
      </c>
      <c r="F2300" t="n">
        <v>22</v>
      </c>
    </row>
    <row r="2301">
      <c r="A2301" t="inlineStr">
        <is>
          <t>ORD02300</t>
        </is>
      </c>
      <c r="B2301" t="inlineStr">
        <is>
          <t>C2300</t>
        </is>
      </c>
      <c r="C2301" t="n">
        <v>2</v>
      </c>
      <c r="D2301" t="inlineStr">
        <is>
          <t>Hub A</t>
        </is>
      </c>
      <c r="E2301" t="n">
        <v>38</v>
      </c>
      <c r="F2301" t="n">
        <v>22</v>
      </c>
    </row>
    <row r="2302">
      <c r="A2302" t="inlineStr">
        <is>
          <t>ORD02301</t>
        </is>
      </c>
      <c r="B2302" t="inlineStr">
        <is>
          <t>C2301</t>
        </is>
      </c>
      <c r="C2302" t="n">
        <v>3</v>
      </c>
      <c r="D2302" t="inlineStr">
        <is>
          <t>Hub A</t>
        </is>
      </c>
      <c r="E2302" t="n">
        <v>45</v>
      </c>
      <c r="F2302" t="n">
        <v>22</v>
      </c>
    </row>
    <row r="2303">
      <c r="A2303" t="inlineStr">
        <is>
          <t>ORD02302</t>
        </is>
      </c>
      <c r="B2303" t="inlineStr">
        <is>
          <t>C2302</t>
        </is>
      </c>
      <c r="C2303" t="n">
        <v>1</v>
      </c>
      <c r="D2303" t="inlineStr">
        <is>
          <t>Hub A</t>
        </is>
      </c>
      <c r="E2303" t="n">
        <v>52</v>
      </c>
      <c r="F2303" t="n">
        <v>22</v>
      </c>
    </row>
    <row r="2304">
      <c r="A2304" t="inlineStr">
        <is>
          <t>ORD02303</t>
        </is>
      </c>
      <c r="B2304" t="inlineStr">
        <is>
          <t>C2303</t>
        </is>
      </c>
      <c r="C2304" t="n">
        <v>2</v>
      </c>
      <c r="D2304" t="inlineStr">
        <is>
          <t>Hub A</t>
        </is>
      </c>
      <c r="E2304" t="n">
        <v>59</v>
      </c>
      <c r="F2304" t="n">
        <v>22</v>
      </c>
    </row>
    <row r="2305">
      <c r="A2305" t="inlineStr">
        <is>
          <t>ORD02304</t>
        </is>
      </c>
      <c r="B2305" t="inlineStr">
        <is>
          <t>C2304</t>
        </is>
      </c>
      <c r="C2305" t="n">
        <v>3</v>
      </c>
      <c r="D2305" t="inlineStr">
        <is>
          <t>Hub A</t>
        </is>
      </c>
      <c r="E2305" t="n">
        <v>66</v>
      </c>
      <c r="F2305" t="n">
        <v>22</v>
      </c>
    </row>
    <row r="2306">
      <c r="A2306" t="inlineStr">
        <is>
          <t>ORD02305</t>
        </is>
      </c>
      <c r="B2306" t="inlineStr">
        <is>
          <t>C2305</t>
        </is>
      </c>
      <c r="C2306" t="n">
        <v>1</v>
      </c>
      <c r="D2306" t="inlineStr">
        <is>
          <t>Hub A</t>
        </is>
      </c>
      <c r="E2306" t="n">
        <v>73</v>
      </c>
      <c r="F2306" t="n">
        <v>22</v>
      </c>
    </row>
    <row r="2307">
      <c r="A2307" t="inlineStr">
        <is>
          <t>ORD02306</t>
        </is>
      </c>
      <c r="B2307" t="inlineStr">
        <is>
          <t>C2306</t>
        </is>
      </c>
      <c r="C2307" t="n">
        <v>2</v>
      </c>
      <c r="D2307" t="inlineStr">
        <is>
          <t>Hub A</t>
        </is>
      </c>
      <c r="E2307" t="n">
        <v>20</v>
      </c>
      <c r="F2307" t="n">
        <v>22</v>
      </c>
    </row>
    <row r="2308">
      <c r="A2308" t="inlineStr">
        <is>
          <t>ORD02307</t>
        </is>
      </c>
      <c r="B2308" t="inlineStr">
        <is>
          <t>C2307</t>
        </is>
      </c>
      <c r="C2308" t="n">
        <v>3</v>
      </c>
      <c r="D2308" t="inlineStr">
        <is>
          <t>Hub A</t>
        </is>
      </c>
      <c r="E2308" t="n">
        <v>27</v>
      </c>
      <c r="F2308" t="n">
        <v>22</v>
      </c>
    </row>
    <row r="2309">
      <c r="A2309" t="inlineStr">
        <is>
          <t>ORD02308</t>
        </is>
      </c>
      <c r="B2309" t="inlineStr">
        <is>
          <t>C2308</t>
        </is>
      </c>
      <c r="C2309" t="n">
        <v>1</v>
      </c>
      <c r="D2309" t="inlineStr">
        <is>
          <t>Hub A</t>
        </is>
      </c>
      <c r="E2309" t="n">
        <v>34</v>
      </c>
      <c r="F2309" t="n">
        <v>22</v>
      </c>
    </row>
    <row r="2310">
      <c r="A2310" t="inlineStr">
        <is>
          <t>ORD02309</t>
        </is>
      </c>
      <c r="B2310" t="inlineStr">
        <is>
          <t>C2309</t>
        </is>
      </c>
      <c r="C2310" t="n">
        <v>2</v>
      </c>
      <c r="D2310" t="inlineStr">
        <is>
          <t>Hub A</t>
        </is>
      </c>
      <c r="E2310" t="n">
        <v>41</v>
      </c>
      <c r="F2310" t="n">
        <v>22</v>
      </c>
    </row>
    <row r="2311">
      <c r="A2311" t="inlineStr">
        <is>
          <t>ORD02310</t>
        </is>
      </c>
      <c r="B2311" t="inlineStr">
        <is>
          <t>C2310</t>
        </is>
      </c>
      <c r="C2311" t="n">
        <v>3</v>
      </c>
      <c r="D2311" t="inlineStr">
        <is>
          <t>Hub A</t>
        </is>
      </c>
      <c r="E2311" t="n">
        <v>48</v>
      </c>
      <c r="F2311" t="n">
        <v>22</v>
      </c>
    </row>
    <row r="2312">
      <c r="A2312" t="inlineStr">
        <is>
          <t>ORD02311</t>
        </is>
      </c>
      <c r="B2312" t="inlineStr">
        <is>
          <t>C2311</t>
        </is>
      </c>
      <c r="C2312" t="n">
        <v>1</v>
      </c>
      <c r="D2312" t="inlineStr">
        <is>
          <t>Hub A</t>
        </is>
      </c>
      <c r="E2312" t="n">
        <v>55</v>
      </c>
      <c r="F2312" t="n">
        <v>22</v>
      </c>
    </row>
    <row r="2313">
      <c r="A2313" t="inlineStr">
        <is>
          <t>ORD02312</t>
        </is>
      </c>
      <c r="B2313" t="inlineStr">
        <is>
          <t>C2312</t>
        </is>
      </c>
      <c r="C2313" t="n">
        <v>2</v>
      </c>
      <c r="D2313" t="inlineStr">
        <is>
          <t>Hub A</t>
        </is>
      </c>
      <c r="E2313" t="n">
        <v>62</v>
      </c>
      <c r="F2313" t="n">
        <v>22</v>
      </c>
    </row>
    <row r="2314">
      <c r="A2314" t="inlineStr">
        <is>
          <t>ORD02313</t>
        </is>
      </c>
      <c r="B2314" t="inlineStr">
        <is>
          <t>C2313</t>
        </is>
      </c>
      <c r="C2314" t="n">
        <v>3</v>
      </c>
      <c r="D2314" t="inlineStr">
        <is>
          <t>Hub A</t>
        </is>
      </c>
      <c r="E2314" t="n">
        <v>69</v>
      </c>
      <c r="F2314" t="n">
        <v>22</v>
      </c>
    </row>
    <row r="2315">
      <c r="A2315" t="inlineStr">
        <is>
          <t>ORD02314</t>
        </is>
      </c>
      <c r="B2315" t="inlineStr">
        <is>
          <t>C2314</t>
        </is>
      </c>
      <c r="C2315" t="n">
        <v>1</v>
      </c>
      <c r="D2315" t="inlineStr">
        <is>
          <t>Hub A</t>
        </is>
      </c>
      <c r="E2315" t="n">
        <v>76</v>
      </c>
      <c r="F2315" t="n">
        <v>22</v>
      </c>
    </row>
    <row r="2316">
      <c r="A2316" t="inlineStr">
        <is>
          <t>ORD02315</t>
        </is>
      </c>
      <c r="B2316" t="inlineStr">
        <is>
          <t>C2315</t>
        </is>
      </c>
      <c r="C2316" t="n">
        <v>2</v>
      </c>
      <c r="D2316" t="inlineStr">
        <is>
          <t>Hub A</t>
        </is>
      </c>
      <c r="E2316" t="n">
        <v>23</v>
      </c>
      <c r="F2316" t="n">
        <v>22</v>
      </c>
    </row>
    <row r="2317">
      <c r="A2317" t="inlineStr">
        <is>
          <t>ORD02316</t>
        </is>
      </c>
      <c r="B2317" t="inlineStr">
        <is>
          <t>C2316</t>
        </is>
      </c>
      <c r="C2317" t="n">
        <v>3</v>
      </c>
      <c r="D2317" t="inlineStr">
        <is>
          <t>Hub A</t>
        </is>
      </c>
      <c r="E2317" t="n">
        <v>30</v>
      </c>
      <c r="F2317" t="n">
        <v>22</v>
      </c>
    </row>
    <row r="2318">
      <c r="A2318" t="inlineStr">
        <is>
          <t>ORD02317</t>
        </is>
      </c>
      <c r="B2318" t="inlineStr">
        <is>
          <t>C2317</t>
        </is>
      </c>
      <c r="C2318" t="n">
        <v>1</v>
      </c>
      <c r="D2318" t="inlineStr">
        <is>
          <t>Hub A</t>
        </is>
      </c>
      <c r="E2318" t="n">
        <v>37</v>
      </c>
      <c r="F2318" t="n">
        <v>22</v>
      </c>
    </row>
    <row r="2319">
      <c r="A2319" t="inlineStr">
        <is>
          <t>ORD02318</t>
        </is>
      </c>
      <c r="B2319" t="inlineStr">
        <is>
          <t>C2318</t>
        </is>
      </c>
      <c r="C2319" t="n">
        <v>2</v>
      </c>
      <c r="D2319" t="inlineStr">
        <is>
          <t>Hub A</t>
        </is>
      </c>
      <c r="E2319" t="n">
        <v>44</v>
      </c>
      <c r="F2319" t="n">
        <v>22</v>
      </c>
    </row>
    <row r="2320">
      <c r="A2320" t="inlineStr">
        <is>
          <t>ORD02319</t>
        </is>
      </c>
      <c r="B2320" t="inlineStr">
        <is>
          <t>C2319</t>
        </is>
      </c>
      <c r="C2320" t="n">
        <v>3</v>
      </c>
      <c r="D2320" t="inlineStr">
        <is>
          <t>Hub A</t>
        </is>
      </c>
      <c r="E2320" t="n">
        <v>51</v>
      </c>
      <c r="F2320" t="n">
        <v>22</v>
      </c>
    </row>
    <row r="2321">
      <c r="A2321" t="inlineStr">
        <is>
          <t>ORD02320</t>
        </is>
      </c>
      <c r="B2321" t="inlineStr">
        <is>
          <t>C2320</t>
        </is>
      </c>
      <c r="C2321" t="n">
        <v>1</v>
      </c>
      <c r="D2321" t="inlineStr">
        <is>
          <t>Hub A</t>
        </is>
      </c>
      <c r="E2321" t="n">
        <v>58</v>
      </c>
      <c r="F2321" t="n">
        <v>22</v>
      </c>
    </row>
    <row r="2322">
      <c r="A2322" t="inlineStr">
        <is>
          <t>ORD02321</t>
        </is>
      </c>
      <c r="B2322" t="inlineStr">
        <is>
          <t>C2321</t>
        </is>
      </c>
      <c r="C2322" t="n">
        <v>2</v>
      </c>
      <c r="D2322" t="inlineStr">
        <is>
          <t>Hub A</t>
        </is>
      </c>
      <c r="E2322" t="n">
        <v>65</v>
      </c>
      <c r="F2322" t="n">
        <v>22</v>
      </c>
    </row>
    <row r="2323">
      <c r="A2323" t="inlineStr">
        <is>
          <t>ORD02322</t>
        </is>
      </c>
      <c r="B2323" t="inlineStr">
        <is>
          <t>C2322</t>
        </is>
      </c>
      <c r="C2323" t="n">
        <v>3</v>
      </c>
      <c r="D2323" t="inlineStr">
        <is>
          <t>Hub A</t>
        </is>
      </c>
      <c r="E2323" t="n">
        <v>72</v>
      </c>
      <c r="F2323" t="n">
        <v>22</v>
      </c>
    </row>
    <row r="2324">
      <c r="A2324" t="inlineStr">
        <is>
          <t>ORD02323</t>
        </is>
      </c>
      <c r="B2324" t="inlineStr">
        <is>
          <t>C2323</t>
        </is>
      </c>
      <c r="C2324" t="n">
        <v>1</v>
      </c>
      <c r="D2324" t="inlineStr">
        <is>
          <t>Hub A</t>
        </is>
      </c>
      <c r="E2324" t="n">
        <v>19</v>
      </c>
      <c r="F2324" t="n">
        <v>22</v>
      </c>
    </row>
    <row r="2325">
      <c r="A2325" t="inlineStr">
        <is>
          <t>ORD02324</t>
        </is>
      </c>
      <c r="B2325" t="inlineStr">
        <is>
          <t>C2324</t>
        </is>
      </c>
      <c r="C2325" t="n">
        <v>2</v>
      </c>
      <c r="D2325" t="inlineStr">
        <is>
          <t>Hub A</t>
        </is>
      </c>
      <c r="E2325" t="n">
        <v>26</v>
      </c>
      <c r="F2325" t="n">
        <v>22</v>
      </c>
    </row>
    <row r="2326">
      <c r="A2326" t="inlineStr">
        <is>
          <t>ORD02325</t>
        </is>
      </c>
      <c r="B2326" t="inlineStr">
        <is>
          <t>C2325</t>
        </is>
      </c>
      <c r="C2326" t="n">
        <v>3</v>
      </c>
      <c r="D2326" t="inlineStr">
        <is>
          <t>Hub A</t>
        </is>
      </c>
      <c r="E2326" t="n">
        <v>33</v>
      </c>
      <c r="F2326" t="n">
        <v>22</v>
      </c>
    </row>
    <row r="2327">
      <c r="A2327" t="inlineStr">
        <is>
          <t>ORD02326</t>
        </is>
      </c>
      <c r="B2327" t="inlineStr">
        <is>
          <t>C2326</t>
        </is>
      </c>
      <c r="C2327" t="n">
        <v>1</v>
      </c>
      <c r="D2327" t="inlineStr">
        <is>
          <t>Hub A</t>
        </is>
      </c>
      <c r="E2327" t="n">
        <v>40</v>
      </c>
      <c r="F2327" t="n">
        <v>22</v>
      </c>
    </row>
    <row r="2328">
      <c r="A2328" t="inlineStr">
        <is>
          <t>ORD02327</t>
        </is>
      </c>
      <c r="B2328" t="inlineStr">
        <is>
          <t>C2327</t>
        </is>
      </c>
      <c r="C2328" t="n">
        <v>2</v>
      </c>
      <c r="D2328" t="inlineStr">
        <is>
          <t>Hub A</t>
        </is>
      </c>
      <c r="E2328" t="n">
        <v>47</v>
      </c>
      <c r="F2328" t="n">
        <v>22</v>
      </c>
    </row>
    <row r="2329">
      <c r="A2329" t="inlineStr">
        <is>
          <t>ORD02328</t>
        </is>
      </c>
      <c r="B2329" t="inlineStr">
        <is>
          <t>C2328</t>
        </is>
      </c>
      <c r="C2329" t="n">
        <v>3</v>
      </c>
      <c r="D2329" t="inlineStr">
        <is>
          <t>Hub A</t>
        </is>
      </c>
      <c r="E2329" t="n">
        <v>54</v>
      </c>
      <c r="F2329" t="n">
        <v>22</v>
      </c>
    </row>
    <row r="2330">
      <c r="A2330" t="inlineStr">
        <is>
          <t>ORD02329</t>
        </is>
      </c>
      <c r="B2330" t="inlineStr">
        <is>
          <t>C2329</t>
        </is>
      </c>
      <c r="C2330" t="n">
        <v>1</v>
      </c>
      <c r="D2330" t="inlineStr">
        <is>
          <t>Hub A</t>
        </is>
      </c>
      <c r="E2330" t="n">
        <v>61</v>
      </c>
      <c r="F2330" t="n">
        <v>22</v>
      </c>
    </row>
    <row r="2331">
      <c r="A2331" t="inlineStr">
        <is>
          <t>ORD02330</t>
        </is>
      </c>
      <c r="B2331" t="inlineStr">
        <is>
          <t>C2330</t>
        </is>
      </c>
      <c r="C2331" t="n">
        <v>2</v>
      </c>
      <c r="D2331" t="inlineStr">
        <is>
          <t>Hub A</t>
        </is>
      </c>
      <c r="E2331" t="n">
        <v>68</v>
      </c>
      <c r="F2331" t="n">
        <v>22</v>
      </c>
    </row>
    <row r="2332">
      <c r="A2332" t="inlineStr">
        <is>
          <t>ORD02331</t>
        </is>
      </c>
      <c r="B2332" t="inlineStr">
        <is>
          <t>C2331</t>
        </is>
      </c>
      <c r="C2332" t="n">
        <v>3</v>
      </c>
      <c r="D2332" t="inlineStr">
        <is>
          <t>Hub A</t>
        </is>
      </c>
      <c r="E2332" t="n">
        <v>75</v>
      </c>
      <c r="F2332" t="n">
        <v>22</v>
      </c>
    </row>
    <row r="2333">
      <c r="A2333" t="inlineStr">
        <is>
          <t>ORD02332</t>
        </is>
      </c>
      <c r="B2333" t="inlineStr">
        <is>
          <t>C2332</t>
        </is>
      </c>
      <c r="C2333" t="n">
        <v>1</v>
      </c>
      <c r="D2333" t="inlineStr">
        <is>
          <t>Hub A</t>
        </is>
      </c>
      <c r="E2333" t="n">
        <v>22</v>
      </c>
      <c r="F2333" t="n">
        <v>22</v>
      </c>
    </row>
    <row r="2334">
      <c r="A2334" t="inlineStr">
        <is>
          <t>ORD02333</t>
        </is>
      </c>
      <c r="B2334" t="inlineStr">
        <is>
          <t>C2333</t>
        </is>
      </c>
      <c r="C2334" t="n">
        <v>2</v>
      </c>
      <c r="D2334" t="inlineStr">
        <is>
          <t>Hub A</t>
        </is>
      </c>
      <c r="E2334" t="n">
        <v>29</v>
      </c>
      <c r="F2334" t="n">
        <v>22</v>
      </c>
    </row>
    <row r="2335">
      <c r="A2335" t="inlineStr">
        <is>
          <t>ORD02334</t>
        </is>
      </c>
      <c r="B2335" t="inlineStr">
        <is>
          <t>C2334</t>
        </is>
      </c>
      <c r="C2335" t="n">
        <v>3</v>
      </c>
      <c r="D2335" t="inlineStr">
        <is>
          <t>Hub A</t>
        </is>
      </c>
      <c r="E2335" t="n">
        <v>36</v>
      </c>
      <c r="F2335" t="n">
        <v>22</v>
      </c>
    </row>
    <row r="2336">
      <c r="A2336" t="inlineStr">
        <is>
          <t>ORD02335</t>
        </is>
      </c>
      <c r="B2336" t="inlineStr">
        <is>
          <t>C2335</t>
        </is>
      </c>
      <c r="C2336" t="n">
        <v>1</v>
      </c>
      <c r="D2336" t="inlineStr">
        <is>
          <t>Hub A</t>
        </is>
      </c>
      <c r="E2336" t="n">
        <v>43</v>
      </c>
      <c r="F2336" t="n">
        <v>22</v>
      </c>
    </row>
    <row r="2337">
      <c r="A2337" t="inlineStr">
        <is>
          <t>ORD02336</t>
        </is>
      </c>
      <c r="B2337" t="inlineStr">
        <is>
          <t>C2336</t>
        </is>
      </c>
      <c r="C2337" t="n">
        <v>2</v>
      </c>
      <c r="D2337" t="inlineStr">
        <is>
          <t>Hub A</t>
        </is>
      </c>
      <c r="E2337" t="n">
        <v>50</v>
      </c>
      <c r="F2337" t="n">
        <v>22</v>
      </c>
    </row>
    <row r="2338">
      <c r="A2338" t="inlineStr">
        <is>
          <t>ORD02337</t>
        </is>
      </c>
      <c r="B2338" t="inlineStr">
        <is>
          <t>C2337</t>
        </is>
      </c>
      <c r="C2338" t="n">
        <v>3</v>
      </c>
      <c r="D2338" t="inlineStr">
        <is>
          <t>Hub A</t>
        </is>
      </c>
      <c r="E2338" t="n">
        <v>57</v>
      </c>
      <c r="F2338" t="n">
        <v>22</v>
      </c>
    </row>
    <row r="2339">
      <c r="A2339" t="inlineStr">
        <is>
          <t>ORD02338</t>
        </is>
      </c>
      <c r="B2339" t="inlineStr">
        <is>
          <t>C2338</t>
        </is>
      </c>
      <c r="C2339" t="n">
        <v>1</v>
      </c>
      <c r="D2339" t="inlineStr">
        <is>
          <t>Hub A</t>
        </is>
      </c>
      <c r="E2339" t="n">
        <v>64</v>
      </c>
      <c r="F2339" t="n">
        <v>22</v>
      </c>
    </row>
    <row r="2340">
      <c r="A2340" t="inlineStr">
        <is>
          <t>ORD02339</t>
        </is>
      </c>
      <c r="B2340" t="inlineStr">
        <is>
          <t>C2339</t>
        </is>
      </c>
      <c r="C2340" t="n">
        <v>2</v>
      </c>
      <c r="D2340" t="inlineStr">
        <is>
          <t>Hub A</t>
        </is>
      </c>
      <c r="E2340" t="n">
        <v>71</v>
      </c>
      <c r="F2340" t="n">
        <v>22</v>
      </c>
    </row>
    <row r="2341">
      <c r="A2341" t="inlineStr">
        <is>
          <t>ORD02340</t>
        </is>
      </c>
      <c r="B2341" t="inlineStr">
        <is>
          <t>C2340</t>
        </is>
      </c>
      <c r="C2341" t="n">
        <v>3</v>
      </c>
      <c r="D2341" t="inlineStr">
        <is>
          <t>Hub A</t>
        </is>
      </c>
      <c r="E2341" t="n">
        <v>18</v>
      </c>
      <c r="F2341" t="n">
        <v>22</v>
      </c>
    </row>
    <row r="2342">
      <c r="A2342" t="inlineStr">
        <is>
          <t>ORD02341</t>
        </is>
      </c>
      <c r="B2342" t="inlineStr">
        <is>
          <t>C2341</t>
        </is>
      </c>
      <c r="C2342" t="n">
        <v>1</v>
      </c>
      <c r="D2342" t="inlineStr">
        <is>
          <t>Hub A</t>
        </is>
      </c>
      <c r="E2342" t="n">
        <v>25</v>
      </c>
      <c r="F2342" t="n">
        <v>22</v>
      </c>
    </row>
    <row r="2343">
      <c r="A2343" t="inlineStr">
        <is>
          <t>ORD02342</t>
        </is>
      </c>
      <c r="B2343" t="inlineStr">
        <is>
          <t>C2342</t>
        </is>
      </c>
      <c r="C2343" t="n">
        <v>2</v>
      </c>
      <c r="D2343" t="inlineStr">
        <is>
          <t>Hub A</t>
        </is>
      </c>
      <c r="E2343" t="n">
        <v>32</v>
      </c>
      <c r="F2343" t="n">
        <v>22</v>
      </c>
    </row>
    <row r="2344">
      <c r="A2344" t="inlineStr">
        <is>
          <t>ORD02343</t>
        </is>
      </c>
      <c r="B2344" t="inlineStr">
        <is>
          <t>C2343</t>
        </is>
      </c>
      <c r="C2344" t="n">
        <v>3</v>
      </c>
      <c r="D2344" t="inlineStr">
        <is>
          <t>Hub A</t>
        </is>
      </c>
      <c r="E2344" t="n">
        <v>39</v>
      </c>
      <c r="F2344" t="n">
        <v>22</v>
      </c>
    </row>
    <row r="2345">
      <c r="A2345" t="inlineStr">
        <is>
          <t>ORD02344</t>
        </is>
      </c>
      <c r="B2345" t="inlineStr">
        <is>
          <t>C2344</t>
        </is>
      </c>
      <c r="C2345" t="n">
        <v>1</v>
      </c>
      <c r="D2345" t="inlineStr">
        <is>
          <t>Hub A</t>
        </is>
      </c>
      <c r="E2345" t="n">
        <v>46</v>
      </c>
      <c r="F2345" t="n">
        <v>22</v>
      </c>
    </row>
    <row r="2346">
      <c r="A2346" t="inlineStr">
        <is>
          <t>ORD02345</t>
        </is>
      </c>
      <c r="B2346" t="inlineStr">
        <is>
          <t>C2345</t>
        </is>
      </c>
      <c r="C2346" t="n">
        <v>2</v>
      </c>
      <c r="D2346" t="inlineStr">
        <is>
          <t>Hub A</t>
        </is>
      </c>
      <c r="E2346" t="n">
        <v>53</v>
      </c>
      <c r="F2346" t="n">
        <v>22</v>
      </c>
    </row>
    <row r="2347">
      <c r="A2347" t="inlineStr">
        <is>
          <t>ORD02346</t>
        </is>
      </c>
      <c r="B2347" t="inlineStr">
        <is>
          <t>C2346</t>
        </is>
      </c>
      <c r="C2347" t="n">
        <v>3</v>
      </c>
      <c r="D2347" t="inlineStr">
        <is>
          <t>Hub A</t>
        </is>
      </c>
      <c r="E2347" t="n">
        <v>60</v>
      </c>
      <c r="F2347" t="n">
        <v>22</v>
      </c>
    </row>
    <row r="2348">
      <c r="A2348" t="inlineStr">
        <is>
          <t>ORD02347</t>
        </is>
      </c>
      <c r="B2348" t="inlineStr">
        <is>
          <t>C2347</t>
        </is>
      </c>
      <c r="C2348" t="n">
        <v>1</v>
      </c>
      <c r="D2348" t="inlineStr">
        <is>
          <t>Hub A</t>
        </is>
      </c>
      <c r="E2348" t="n">
        <v>67</v>
      </c>
      <c r="F2348" t="n">
        <v>22</v>
      </c>
    </row>
    <row r="2349">
      <c r="A2349" t="inlineStr">
        <is>
          <t>ORD02348</t>
        </is>
      </c>
      <c r="B2349" t="inlineStr">
        <is>
          <t>C2348</t>
        </is>
      </c>
      <c r="C2349" t="n">
        <v>2</v>
      </c>
      <c r="D2349" t="inlineStr">
        <is>
          <t>Hub A</t>
        </is>
      </c>
      <c r="E2349" t="n">
        <v>74</v>
      </c>
      <c r="F2349" t="n">
        <v>22</v>
      </c>
    </row>
    <row r="2350">
      <c r="A2350" t="inlineStr">
        <is>
          <t>ORD02349</t>
        </is>
      </c>
      <c r="B2350" t="inlineStr">
        <is>
          <t>C2349</t>
        </is>
      </c>
      <c r="C2350" t="n">
        <v>3</v>
      </c>
      <c r="D2350" t="inlineStr">
        <is>
          <t>Hub A</t>
        </is>
      </c>
      <c r="E2350" t="n">
        <v>21</v>
      </c>
      <c r="F2350" t="n">
        <v>22</v>
      </c>
    </row>
    <row r="2351">
      <c r="A2351" t="inlineStr">
        <is>
          <t>ORD02350</t>
        </is>
      </c>
      <c r="B2351" t="inlineStr">
        <is>
          <t>C2350</t>
        </is>
      </c>
      <c r="C2351" t="n">
        <v>1</v>
      </c>
      <c r="D2351" t="inlineStr">
        <is>
          <t>Hub A</t>
        </is>
      </c>
      <c r="E2351" t="n">
        <v>28</v>
      </c>
      <c r="F2351" t="n">
        <v>22</v>
      </c>
    </row>
    <row r="2352">
      <c r="A2352" t="inlineStr">
        <is>
          <t>ORD02351</t>
        </is>
      </c>
      <c r="B2352" t="inlineStr">
        <is>
          <t>C2351</t>
        </is>
      </c>
      <c r="C2352" t="n">
        <v>2</v>
      </c>
      <c r="D2352" t="inlineStr">
        <is>
          <t>Hub A</t>
        </is>
      </c>
      <c r="E2352" t="n">
        <v>35</v>
      </c>
      <c r="F2352" t="n">
        <v>22</v>
      </c>
    </row>
    <row r="2353">
      <c r="A2353" t="inlineStr">
        <is>
          <t>ORD02352</t>
        </is>
      </c>
      <c r="B2353" t="inlineStr">
        <is>
          <t>C2352</t>
        </is>
      </c>
      <c r="C2353" t="n">
        <v>3</v>
      </c>
      <c r="D2353" t="inlineStr">
        <is>
          <t>Hub A</t>
        </is>
      </c>
      <c r="E2353" t="n">
        <v>42</v>
      </c>
      <c r="F2353" t="n">
        <v>22</v>
      </c>
    </row>
    <row r="2354">
      <c r="A2354" t="inlineStr">
        <is>
          <t>ORD02353</t>
        </is>
      </c>
      <c r="B2354" t="inlineStr">
        <is>
          <t>C2353</t>
        </is>
      </c>
      <c r="C2354" t="n">
        <v>1</v>
      </c>
      <c r="D2354" t="inlineStr">
        <is>
          <t>Hub A</t>
        </is>
      </c>
      <c r="E2354" t="n">
        <v>49</v>
      </c>
      <c r="F2354" t="n">
        <v>22</v>
      </c>
    </row>
    <row r="2355">
      <c r="A2355" t="inlineStr">
        <is>
          <t>ORD02354</t>
        </is>
      </c>
      <c r="B2355" t="inlineStr">
        <is>
          <t>C2354</t>
        </is>
      </c>
      <c r="C2355" t="n">
        <v>2</v>
      </c>
      <c r="D2355" t="inlineStr">
        <is>
          <t>Hub A</t>
        </is>
      </c>
      <c r="E2355" t="n">
        <v>56</v>
      </c>
      <c r="F2355" t="n">
        <v>22</v>
      </c>
    </row>
    <row r="2356">
      <c r="A2356" t="inlineStr">
        <is>
          <t>ORD02355</t>
        </is>
      </c>
      <c r="B2356" t="inlineStr">
        <is>
          <t>C2355</t>
        </is>
      </c>
      <c r="C2356" t="n">
        <v>3</v>
      </c>
      <c r="D2356" t="inlineStr">
        <is>
          <t>Hub A</t>
        </is>
      </c>
      <c r="E2356" t="n">
        <v>63</v>
      </c>
      <c r="F2356" t="n">
        <v>22</v>
      </c>
    </row>
    <row r="2357">
      <c r="A2357" t="inlineStr">
        <is>
          <t>ORD02356</t>
        </is>
      </c>
      <c r="B2357" t="inlineStr">
        <is>
          <t>C2356</t>
        </is>
      </c>
      <c r="C2357" t="n">
        <v>1</v>
      </c>
      <c r="D2357" t="inlineStr">
        <is>
          <t>Hub A</t>
        </is>
      </c>
      <c r="E2357" t="n">
        <v>70</v>
      </c>
      <c r="F2357" t="n">
        <v>22</v>
      </c>
    </row>
    <row r="2358">
      <c r="A2358" t="inlineStr">
        <is>
          <t>ORD02357</t>
        </is>
      </c>
      <c r="B2358" t="inlineStr">
        <is>
          <t>C2357</t>
        </is>
      </c>
      <c r="C2358" t="n">
        <v>2</v>
      </c>
      <c r="D2358" t="inlineStr">
        <is>
          <t>Hub A</t>
        </is>
      </c>
      <c r="E2358" t="n">
        <v>77</v>
      </c>
      <c r="F2358" t="n">
        <v>22</v>
      </c>
    </row>
    <row r="2359">
      <c r="A2359" t="inlineStr">
        <is>
          <t>ORD02358</t>
        </is>
      </c>
      <c r="B2359" t="inlineStr">
        <is>
          <t>C2358</t>
        </is>
      </c>
      <c r="C2359" t="n">
        <v>3</v>
      </c>
      <c r="D2359" t="inlineStr">
        <is>
          <t>Hub A</t>
        </is>
      </c>
      <c r="E2359" t="n">
        <v>24</v>
      </c>
      <c r="F2359" t="n">
        <v>22</v>
      </c>
    </row>
    <row r="2360">
      <c r="A2360" t="inlineStr">
        <is>
          <t>ORD02359</t>
        </is>
      </c>
      <c r="B2360" t="inlineStr">
        <is>
          <t>C2359</t>
        </is>
      </c>
      <c r="C2360" t="n">
        <v>1</v>
      </c>
      <c r="D2360" t="inlineStr">
        <is>
          <t>Hub A</t>
        </is>
      </c>
      <c r="E2360" t="n">
        <v>31</v>
      </c>
      <c r="F2360" t="n">
        <v>22</v>
      </c>
    </row>
    <row r="2361">
      <c r="A2361" t="inlineStr">
        <is>
          <t>ORD02360</t>
        </is>
      </c>
      <c r="B2361" t="inlineStr">
        <is>
          <t>C2360</t>
        </is>
      </c>
      <c r="C2361" t="n">
        <v>2</v>
      </c>
      <c r="D2361" t="inlineStr">
        <is>
          <t>Hub A</t>
        </is>
      </c>
      <c r="E2361" t="n">
        <v>38</v>
      </c>
      <c r="F2361" t="n">
        <v>22</v>
      </c>
    </row>
    <row r="2362">
      <c r="A2362" t="inlineStr">
        <is>
          <t>ORD02361</t>
        </is>
      </c>
      <c r="B2362" t="inlineStr">
        <is>
          <t>C2361</t>
        </is>
      </c>
      <c r="C2362" t="n">
        <v>3</v>
      </c>
      <c r="D2362" t="inlineStr">
        <is>
          <t>Hub A</t>
        </is>
      </c>
      <c r="E2362" t="n">
        <v>45</v>
      </c>
      <c r="F2362" t="n">
        <v>22</v>
      </c>
    </row>
    <row r="2363">
      <c r="A2363" t="inlineStr">
        <is>
          <t>ORD02362</t>
        </is>
      </c>
      <c r="B2363" t="inlineStr">
        <is>
          <t>C2362</t>
        </is>
      </c>
      <c r="C2363" t="n">
        <v>1</v>
      </c>
      <c r="D2363" t="inlineStr">
        <is>
          <t>Hub A</t>
        </is>
      </c>
      <c r="E2363" t="n">
        <v>52</v>
      </c>
      <c r="F2363" t="n">
        <v>22</v>
      </c>
    </row>
    <row r="2364">
      <c r="A2364" t="inlineStr">
        <is>
          <t>ORD02363</t>
        </is>
      </c>
      <c r="B2364" t="inlineStr">
        <is>
          <t>C2363</t>
        </is>
      </c>
      <c r="C2364" t="n">
        <v>2</v>
      </c>
      <c r="D2364" t="inlineStr">
        <is>
          <t>Hub A</t>
        </is>
      </c>
      <c r="E2364" t="n">
        <v>59</v>
      </c>
      <c r="F2364" t="n">
        <v>22</v>
      </c>
    </row>
    <row r="2365">
      <c r="A2365" t="inlineStr">
        <is>
          <t>ORD02364</t>
        </is>
      </c>
      <c r="B2365" t="inlineStr">
        <is>
          <t>C2364</t>
        </is>
      </c>
      <c r="C2365" t="n">
        <v>3</v>
      </c>
      <c r="D2365" t="inlineStr">
        <is>
          <t>Hub A</t>
        </is>
      </c>
      <c r="E2365" t="n">
        <v>66</v>
      </c>
      <c r="F2365" t="n">
        <v>22</v>
      </c>
    </row>
    <row r="2366">
      <c r="A2366" t="inlineStr">
        <is>
          <t>ORD02365</t>
        </is>
      </c>
      <c r="B2366" t="inlineStr">
        <is>
          <t>C2365</t>
        </is>
      </c>
      <c r="C2366" t="n">
        <v>1</v>
      </c>
      <c r="D2366" t="inlineStr">
        <is>
          <t>Hub A</t>
        </is>
      </c>
      <c r="E2366" t="n">
        <v>73</v>
      </c>
      <c r="F2366" t="n">
        <v>22</v>
      </c>
    </row>
    <row r="2367">
      <c r="A2367" t="inlineStr">
        <is>
          <t>ORD02366</t>
        </is>
      </c>
      <c r="B2367" t="inlineStr">
        <is>
          <t>C2366</t>
        </is>
      </c>
      <c r="C2367" t="n">
        <v>2</v>
      </c>
      <c r="D2367" t="inlineStr">
        <is>
          <t>Hub A</t>
        </is>
      </c>
      <c r="E2367" t="n">
        <v>20</v>
      </c>
      <c r="F2367" t="n">
        <v>22</v>
      </c>
    </row>
    <row r="2368">
      <c r="A2368" t="inlineStr">
        <is>
          <t>ORD02367</t>
        </is>
      </c>
      <c r="B2368" t="inlineStr">
        <is>
          <t>C2367</t>
        </is>
      </c>
      <c r="C2368" t="n">
        <v>3</v>
      </c>
      <c r="D2368" t="inlineStr">
        <is>
          <t>Hub A</t>
        </is>
      </c>
      <c r="E2368" t="n">
        <v>27</v>
      </c>
      <c r="F2368" t="n">
        <v>22</v>
      </c>
    </row>
    <row r="2369">
      <c r="A2369" t="inlineStr">
        <is>
          <t>ORD02368</t>
        </is>
      </c>
      <c r="B2369" t="inlineStr">
        <is>
          <t>C2368</t>
        </is>
      </c>
      <c r="C2369" t="n">
        <v>1</v>
      </c>
      <c r="D2369" t="inlineStr">
        <is>
          <t>Hub A</t>
        </is>
      </c>
      <c r="E2369" t="n">
        <v>34</v>
      </c>
      <c r="F2369" t="n">
        <v>22</v>
      </c>
    </row>
    <row r="2370">
      <c r="A2370" t="inlineStr">
        <is>
          <t>ORD02369</t>
        </is>
      </c>
      <c r="B2370" t="inlineStr">
        <is>
          <t>C2369</t>
        </is>
      </c>
      <c r="C2370" t="n">
        <v>2</v>
      </c>
      <c r="D2370" t="inlineStr">
        <is>
          <t>Hub A</t>
        </is>
      </c>
      <c r="E2370" t="n">
        <v>41</v>
      </c>
      <c r="F2370" t="n">
        <v>22</v>
      </c>
    </row>
    <row r="2371">
      <c r="A2371" t="inlineStr">
        <is>
          <t>ORD02370</t>
        </is>
      </c>
      <c r="B2371" t="inlineStr">
        <is>
          <t>C2370</t>
        </is>
      </c>
      <c r="C2371" t="n">
        <v>3</v>
      </c>
      <c r="D2371" t="inlineStr">
        <is>
          <t>Hub A</t>
        </is>
      </c>
      <c r="E2371" t="n">
        <v>48</v>
      </c>
      <c r="F2371" t="n">
        <v>22</v>
      </c>
    </row>
    <row r="2372">
      <c r="A2372" t="inlineStr">
        <is>
          <t>ORD02371</t>
        </is>
      </c>
      <c r="B2372" t="inlineStr">
        <is>
          <t>C2371</t>
        </is>
      </c>
      <c r="C2372" t="n">
        <v>1</v>
      </c>
      <c r="D2372" t="inlineStr">
        <is>
          <t>Hub A</t>
        </is>
      </c>
      <c r="E2372" t="n">
        <v>55</v>
      </c>
      <c r="F2372" t="n">
        <v>22</v>
      </c>
    </row>
    <row r="2373">
      <c r="A2373" t="inlineStr">
        <is>
          <t>ORD02372</t>
        </is>
      </c>
      <c r="B2373" t="inlineStr">
        <is>
          <t>C2372</t>
        </is>
      </c>
      <c r="C2373" t="n">
        <v>2</v>
      </c>
      <c r="D2373" t="inlineStr">
        <is>
          <t>Hub A</t>
        </is>
      </c>
      <c r="E2373" t="n">
        <v>62</v>
      </c>
      <c r="F2373" t="n">
        <v>22</v>
      </c>
    </row>
    <row r="2374">
      <c r="A2374" t="inlineStr">
        <is>
          <t>ORD02373</t>
        </is>
      </c>
      <c r="B2374" t="inlineStr">
        <is>
          <t>C2373</t>
        </is>
      </c>
      <c r="C2374" t="n">
        <v>3</v>
      </c>
      <c r="D2374" t="inlineStr">
        <is>
          <t>Hub A</t>
        </is>
      </c>
      <c r="E2374" t="n">
        <v>69</v>
      </c>
      <c r="F2374" t="n">
        <v>22</v>
      </c>
    </row>
    <row r="2375">
      <c r="A2375" t="inlineStr">
        <is>
          <t>ORD02374</t>
        </is>
      </c>
      <c r="B2375" t="inlineStr">
        <is>
          <t>C2374</t>
        </is>
      </c>
      <c r="C2375" t="n">
        <v>1</v>
      </c>
      <c r="D2375" t="inlineStr">
        <is>
          <t>Hub A</t>
        </is>
      </c>
      <c r="E2375" t="n">
        <v>76</v>
      </c>
      <c r="F2375" t="n">
        <v>22</v>
      </c>
    </row>
    <row r="2376">
      <c r="A2376" t="inlineStr">
        <is>
          <t>ORD02375</t>
        </is>
      </c>
      <c r="B2376" t="inlineStr">
        <is>
          <t>C2375</t>
        </is>
      </c>
      <c r="C2376" t="n">
        <v>2</v>
      </c>
      <c r="D2376" t="inlineStr">
        <is>
          <t>Hub A</t>
        </is>
      </c>
      <c r="E2376" t="n">
        <v>23</v>
      </c>
      <c r="F2376" t="n">
        <v>22</v>
      </c>
    </row>
    <row r="2377">
      <c r="A2377" t="inlineStr">
        <is>
          <t>ORD02376</t>
        </is>
      </c>
      <c r="B2377" t="inlineStr">
        <is>
          <t>C2376</t>
        </is>
      </c>
      <c r="C2377" t="n">
        <v>3</v>
      </c>
      <c r="D2377" t="inlineStr">
        <is>
          <t>Hub A</t>
        </is>
      </c>
      <c r="E2377" t="n">
        <v>30</v>
      </c>
      <c r="F2377" t="n">
        <v>22</v>
      </c>
    </row>
    <row r="2378">
      <c r="A2378" t="inlineStr">
        <is>
          <t>ORD02377</t>
        </is>
      </c>
      <c r="B2378" t="inlineStr">
        <is>
          <t>C2377</t>
        </is>
      </c>
      <c r="C2378" t="n">
        <v>1</v>
      </c>
      <c r="D2378" t="inlineStr">
        <is>
          <t>Hub A</t>
        </is>
      </c>
      <c r="E2378" t="n">
        <v>37</v>
      </c>
      <c r="F2378" t="n">
        <v>22</v>
      </c>
    </row>
    <row r="2379">
      <c r="A2379" t="inlineStr">
        <is>
          <t>ORD02378</t>
        </is>
      </c>
      <c r="B2379" t="inlineStr">
        <is>
          <t>C2378</t>
        </is>
      </c>
      <c r="C2379" t="n">
        <v>2</v>
      </c>
      <c r="D2379" t="inlineStr">
        <is>
          <t>Hub A</t>
        </is>
      </c>
      <c r="E2379" t="n">
        <v>44</v>
      </c>
      <c r="F2379" t="n">
        <v>22</v>
      </c>
    </row>
    <row r="2380">
      <c r="A2380" t="inlineStr">
        <is>
          <t>ORD02379</t>
        </is>
      </c>
      <c r="B2380" t="inlineStr">
        <is>
          <t>C2379</t>
        </is>
      </c>
      <c r="C2380" t="n">
        <v>3</v>
      </c>
      <c r="D2380" t="inlineStr">
        <is>
          <t>Hub A</t>
        </is>
      </c>
      <c r="E2380" t="n">
        <v>51</v>
      </c>
      <c r="F2380" t="n">
        <v>22</v>
      </c>
    </row>
    <row r="2381">
      <c r="A2381" t="inlineStr">
        <is>
          <t>ORD02380</t>
        </is>
      </c>
      <c r="B2381" t="inlineStr">
        <is>
          <t>C2380</t>
        </is>
      </c>
      <c r="C2381" t="n">
        <v>1</v>
      </c>
      <c r="D2381" t="inlineStr">
        <is>
          <t>Hub A</t>
        </is>
      </c>
      <c r="E2381" t="n">
        <v>58</v>
      </c>
      <c r="F2381" t="n">
        <v>22</v>
      </c>
    </row>
    <row r="2382">
      <c r="A2382" t="inlineStr">
        <is>
          <t>ORD02381</t>
        </is>
      </c>
      <c r="B2382" t="inlineStr">
        <is>
          <t>C2381</t>
        </is>
      </c>
      <c r="C2382" t="n">
        <v>2</v>
      </c>
      <c r="D2382" t="inlineStr">
        <is>
          <t>Hub A</t>
        </is>
      </c>
      <c r="E2382" t="n">
        <v>65</v>
      </c>
      <c r="F2382" t="n">
        <v>22</v>
      </c>
    </row>
    <row r="2383">
      <c r="A2383" t="inlineStr">
        <is>
          <t>ORD02382</t>
        </is>
      </c>
      <c r="B2383" t="inlineStr">
        <is>
          <t>C2382</t>
        </is>
      </c>
      <c r="C2383" t="n">
        <v>3</v>
      </c>
      <c r="D2383" t="inlineStr">
        <is>
          <t>Hub A</t>
        </is>
      </c>
      <c r="E2383" t="n">
        <v>72</v>
      </c>
      <c r="F2383" t="n">
        <v>22</v>
      </c>
    </row>
    <row r="2384">
      <c r="A2384" t="inlineStr">
        <is>
          <t>ORD02383</t>
        </is>
      </c>
      <c r="B2384" t="inlineStr">
        <is>
          <t>C2383</t>
        </is>
      </c>
      <c r="C2384" t="n">
        <v>1</v>
      </c>
      <c r="D2384" t="inlineStr">
        <is>
          <t>Hub A</t>
        </is>
      </c>
      <c r="E2384" t="n">
        <v>19</v>
      </c>
      <c r="F2384" t="n">
        <v>22</v>
      </c>
    </row>
    <row r="2385">
      <c r="A2385" t="inlineStr">
        <is>
          <t>ORD02384</t>
        </is>
      </c>
      <c r="B2385" t="inlineStr">
        <is>
          <t>C2384</t>
        </is>
      </c>
      <c r="C2385" t="n">
        <v>2</v>
      </c>
      <c r="D2385" t="inlineStr">
        <is>
          <t>Hub A</t>
        </is>
      </c>
      <c r="E2385" t="n">
        <v>26</v>
      </c>
      <c r="F2385" t="n">
        <v>22</v>
      </c>
    </row>
    <row r="2386">
      <c r="A2386" t="inlineStr">
        <is>
          <t>ORD02385</t>
        </is>
      </c>
      <c r="B2386" t="inlineStr">
        <is>
          <t>C2385</t>
        </is>
      </c>
      <c r="C2386" t="n">
        <v>3</v>
      </c>
      <c r="D2386" t="inlineStr">
        <is>
          <t>Hub A</t>
        </is>
      </c>
      <c r="E2386" t="n">
        <v>33</v>
      </c>
      <c r="F2386" t="n">
        <v>22</v>
      </c>
    </row>
    <row r="2387">
      <c r="A2387" t="inlineStr">
        <is>
          <t>ORD02386</t>
        </is>
      </c>
      <c r="B2387" t="inlineStr">
        <is>
          <t>C2386</t>
        </is>
      </c>
      <c r="C2387" t="n">
        <v>1</v>
      </c>
      <c r="D2387" t="inlineStr">
        <is>
          <t>Hub A</t>
        </is>
      </c>
      <c r="E2387" t="n">
        <v>40</v>
      </c>
      <c r="F2387" t="n">
        <v>22</v>
      </c>
    </row>
    <row r="2388">
      <c r="A2388" t="inlineStr">
        <is>
          <t>ORD02387</t>
        </is>
      </c>
      <c r="B2388" t="inlineStr">
        <is>
          <t>C2387</t>
        </is>
      </c>
      <c r="C2388" t="n">
        <v>2</v>
      </c>
      <c r="D2388" t="inlineStr">
        <is>
          <t>Hub A</t>
        </is>
      </c>
      <c r="E2388" t="n">
        <v>47</v>
      </c>
      <c r="F2388" t="n">
        <v>22</v>
      </c>
    </row>
    <row r="2389">
      <c r="A2389" t="inlineStr">
        <is>
          <t>ORD02388</t>
        </is>
      </c>
      <c r="B2389" t="inlineStr">
        <is>
          <t>C2388</t>
        </is>
      </c>
      <c r="C2389" t="n">
        <v>3</v>
      </c>
      <c r="D2389" t="inlineStr">
        <is>
          <t>Hub A</t>
        </is>
      </c>
      <c r="E2389" t="n">
        <v>54</v>
      </c>
      <c r="F2389" t="n">
        <v>22</v>
      </c>
    </row>
    <row r="2390">
      <c r="A2390" t="inlineStr">
        <is>
          <t>ORD02389</t>
        </is>
      </c>
      <c r="B2390" t="inlineStr">
        <is>
          <t>C2389</t>
        </is>
      </c>
      <c r="C2390" t="n">
        <v>1</v>
      </c>
      <c r="D2390" t="inlineStr">
        <is>
          <t>Hub A</t>
        </is>
      </c>
      <c r="E2390" t="n">
        <v>61</v>
      </c>
      <c r="F2390" t="n">
        <v>22</v>
      </c>
    </row>
    <row r="2391">
      <c r="A2391" t="inlineStr">
        <is>
          <t>ORD02390</t>
        </is>
      </c>
      <c r="B2391" t="inlineStr">
        <is>
          <t>C2390</t>
        </is>
      </c>
      <c r="C2391" t="n">
        <v>2</v>
      </c>
      <c r="D2391" t="inlineStr">
        <is>
          <t>Hub A</t>
        </is>
      </c>
      <c r="E2391" t="n">
        <v>68</v>
      </c>
      <c r="F2391" t="n">
        <v>22</v>
      </c>
    </row>
    <row r="2392">
      <c r="A2392" t="inlineStr">
        <is>
          <t>ORD02391</t>
        </is>
      </c>
      <c r="B2392" t="inlineStr">
        <is>
          <t>C2391</t>
        </is>
      </c>
      <c r="C2392" t="n">
        <v>3</v>
      </c>
      <c r="D2392" t="inlineStr">
        <is>
          <t>Hub A</t>
        </is>
      </c>
      <c r="E2392" t="n">
        <v>75</v>
      </c>
      <c r="F2392" t="n">
        <v>22</v>
      </c>
    </row>
    <row r="2393">
      <c r="A2393" t="inlineStr">
        <is>
          <t>ORD02392</t>
        </is>
      </c>
      <c r="B2393" t="inlineStr">
        <is>
          <t>C2392</t>
        </is>
      </c>
      <c r="C2393" t="n">
        <v>1</v>
      </c>
      <c r="D2393" t="inlineStr">
        <is>
          <t>Hub A</t>
        </is>
      </c>
      <c r="E2393" t="n">
        <v>22</v>
      </c>
      <c r="F2393" t="n">
        <v>22</v>
      </c>
    </row>
    <row r="2394">
      <c r="A2394" t="inlineStr">
        <is>
          <t>ORD02393</t>
        </is>
      </c>
      <c r="B2394" t="inlineStr">
        <is>
          <t>C2393</t>
        </is>
      </c>
      <c r="C2394" t="n">
        <v>2</v>
      </c>
      <c r="D2394" t="inlineStr">
        <is>
          <t>Hub A</t>
        </is>
      </c>
      <c r="E2394" t="n">
        <v>29</v>
      </c>
      <c r="F2394" t="n">
        <v>22</v>
      </c>
    </row>
    <row r="2395">
      <c r="A2395" t="inlineStr">
        <is>
          <t>ORD02394</t>
        </is>
      </c>
      <c r="B2395" t="inlineStr">
        <is>
          <t>C2394</t>
        </is>
      </c>
      <c r="C2395" t="n">
        <v>3</v>
      </c>
      <c r="D2395" t="inlineStr">
        <is>
          <t>Hub A</t>
        </is>
      </c>
      <c r="E2395" t="n">
        <v>36</v>
      </c>
      <c r="F2395" t="n">
        <v>22</v>
      </c>
    </row>
    <row r="2396">
      <c r="A2396" t="inlineStr">
        <is>
          <t>ORD02395</t>
        </is>
      </c>
      <c r="B2396" t="inlineStr">
        <is>
          <t>C2395</t>
        </is>
      </c>
      <c r="C2396" t="n">
        <v>1</v>
      </c>
      <c r="D2396" t="inlineStr">
        <is>
          <t>Hub A</t>
        </is>
      </c>
      <c r="E2396" t="n">
        <v>43</v>
      </c>
      <c r="F2396" t="n">
        <v>22</v>
      </c>
    </row>
    <row r="2397">
      <c r="A2397" t="inlineStr">
        <is>
          <t>ORD02396</t>
        </is>
      </c>
      <c r="B2397" t="inlineStr">
        <is>
          <t>C2396</t>
        </is>
      </c>
      <c r="C2397" t="n">
        <v>2</v>
      </c>
      <c r="D2397" t="inlineStr">
        <is>
          <t>Hub A</t>
        </is>
      </c>
      <c r="E2397" t="n">
        <v>50</v>
      </c>
      <c r="F2397" t="n">
        <v>22</v>
      </c>
    </row>
    <row r="2398">
      <c r="A2398" t="inlineStr">
        <is>
          <t>ORD02397</t>
        </is>
      </c>
      <c r="B2398" t="inlineStr">
        <is>
          <t>C2397</t>
        </is>
      </c>
      <c r="C2398" t="n">
        <v>3</v>
      </c>
      <c r="D2398" t="inlineStr">
        <is>
          <t>Hub A</t>
        </is>
      </c>
      <c r="E2398" t="n">
        <v>57</v>
      </c>
      <c r="F2398" t="n">
        <v>22</v>
      </c>
    </row>
    <row r="2399">
      <c r="A2399" t="inlineStr">
        <is>
          <t>ORD02398</t>
        </is>
      </c>
      <c r="B2399" t="inlineStr">
        <is>
          <t>C2398</t>
        </is>
      </c>
      <c r="C2399" t="n">
        <v>1</v>
      </c>
      <c r="D2399" t="inlineStr">
        <is>
          <t>Hub A</t>
        </is>
      </c>
      <c r="E2399" t="n">
        <v>64</v>
      </c>
      <c r="F2399" t="n">
        <v>22</v>
      </c>
    </row>
    <row r="2400">
      <c r="A2400" t="inlineStr">
        <is>
          <t>ORD02399</t>
        </is>
      </c>
      <c r="B2400" t="inlineStr">
        <is>
          <t>C2399</t>
        </is>
      </c>
      <c r="C2400" t="n">
        <v>2</v>
      </c>
      <c r="D2400" t="inlineStr">
        <is>
          <t>Hub A</t>
        </is>
      </c>
      <c r="E2400" t="n">
        <v>71</v>
      </c>
      <c r="F2400" t="n">
        <v>22</v>
      </c>
    </row>
    <row r="2401">
      <c r="A2401" t="inlineStr">
        <is>
          <t>ORD02400</t>
        </is>
      </c>
      <c r="B2401" t="inlineStr">
        <is>
          <t>C2400</t>
        </is>
      </c>
      <c r="C2401" t="n">
        <v>3</v>
      </c>
      <c r="D2401" t="inlineStr">
        <is>
          <t>Hub A</t>
        </is>
      </c>
      <c r="E2401" t="n">
        <v>18</v>
      </c>
      <c r="F2401" t="n">
        <v>22</v>
      </c>
    </row>
    <row r="2402">
      <c r="A2402" t="inlineStr">
        <is>
          <t>ORD02401</t>
        </is>
      </c>
      <c r="B2402" t="inlineStr">
        <is>
          <t>C2401</t>
        </is>
      </c>
      <c r="C2402" t="n">
        <v>1</v>
      </c>
      <c r="D2402" t="inlineStr">
        <is>
          <t>Hub A</t>
        </is>
      </c>
      <c r="E2402" t="n">
        <v>25</v>
      </c>
      <c r="F2402" t="n">
        <v>22</v>
      </c>
    </row>
    <row r="2403">
      <c r="A2403" t="inlineStr">
        <is>
          <t>ORD02402</t>
        </is>
      </c>
      <c r="B2403" t="inlineStr">
        <is>
          <t>C2402</t>
        </is>
      </c>
      <c r="C2403" t="n">
        <v>2</v>
      </c>
      <c r="D2403" t="inlineStr">
        <is>
          <t>Hub A</t>
        </is>
      </c>
      <c r="E2403" t="n">
        <v>32</v>
      </c>
      <c r="F2403" t="n">
        <v>22</v>
      </c>
    </row>
    <row r="2404">
      <c r="A2404" t="inlineStr">
        <is>
          <t>ORD02403</t>
        </is>
      </c>
      <c r="B2404" t="inlineStr">
        <is>
          <t>C2403</t>
        </is>
      </c>
      <c r="C2404" t="n">
        <v>3</v>
      </c>
      <c r="D2404" t="inlineStr">
        <is>
          <t>Hub A</t>
        </is>
      </c>
      <c r="E2404" t="n">
        <v>39</v>
      </c>
      <c r="F2404" t="n">
        <v>22</v>
      </c>
    </row>
    <row r="2405">
      <c r="A2405" t="inlineStr">
        <is>
          <t>ORD02404</t>
        </is>
      </c>
      <c r="B2405" t="inlineStr">
        <is>
          <t>C2404</t>
        </is>
      </c>
      <c r="C2405" t="n">
        <v>1</v>
      </c>
      <c r="D2405" t="inlineStr">
        <is>
          <t>Hub A</t>
        </is>
      </c>
      <c r="E2405" t="n">
        <v>46</v>
      </c>
      <c r="F2405" t="n">
        <v>22</v>
      </c>
    </row>
    <row r="2406">
      <c r="A2406" t="inlineStr">
        <is>
          <t>ORD02405</t>
        </is>
      </c>
      <c r="B2406" t="inlineStr">
        <is>
          <t>C2405</t>
        </is>
      </c>
      <c r="C2406" t="n">
        <v>2</v>
      </c>
      <c r="D2406" t="inlineStr">
        <is>
          <t>Hub A</t>
        </is>
      </c>
      <c r="E2406" t="n">
        <v>53</v>
      </c>
      <c r="F2406" t="n">
        <v>22</v>
      </c>
    </row>
    <row r="2407">
      <c r="A2407" t="inlineStr">
        <is>
          <t>ORD02406</t>
        </is>
      </c>
      <c r="B2407" t="inlineStr">
        <is>
          <t>C2406</t>
        </is>
      </c>
      <c r="C2407" t="n">
        <v>3</v>
      </c>
      <c r="D2407" t="inlineStr">
        <is>
          <t>Hub A</t>
        </is>
      </c>
      <c r="E2407" t="n">
        <v>60</v>
      </c>
      <c r="F2407" t="n">
        <v>22</v>
      </c>
    </row>
    <row r="2408">
      <c r="A2408" t="inlineStr">
        <is>
          <t>ORD02407</t>
        </is>
      </c>
      <c r="B2408" t="inlineStr">
        <is>
          <t>C2407</t>
        </is>
      </c>
      <c r="C2408" t="n">
        <v>1</v>
      </c>
      <c r="D2408" t="inlineStr">
        <is>
          <t>Hub A</t>
        </is>
      </c>
      <c r="E2408" t="n">
        <v>67</v>
      </c>
      <c r="F2408" t="n">
        <v>22</v>
      </c>
    </row>
    <row r="2409">
      <c r="A2409" t="inlineStr">
        <is>
          <t>ORD02408</t>
        </is>
      </c>
      <c r="B2409" t="inlineStr">
        <is>
          <t>C2408</t>
        </is>
      </c>
      <c r="C2409" t="n">
        <v>2</v>
      </c>
      <c r="D2409" t="inlineStr">
        <is>
          <t>Hub A</t>
        </is>
      </c>
      <c r="E2409" t="n">
        <v>74</v>
      </c>
      <c r="F2409" t="n">
        <v>22</v>
      </c>
    </row>
    <row r="2410">
      <c r="A2410" t="inlineStr">
        <is>
          <t>ORD02409</t>
        </is>
      </c>
      <c r="B2410" t="inlineStr">
        <is>
          <t>C2409</t>
        </is>
      </c>
      <c r="C2410" t="n">
        <v>3</v>
      </c>
      <c r="D2410" t="inlineStr">
        <is>
          <t>Hub A</t>
        </is>
      </c>
      <c r="E2410" t="n">
        <v>21</v>
      </c>
      <c r="F2410" t="n">
        <v>22</v>
      </c>
    </row>
    <row r="2411">
      <c r="A2411" t="inlineStr">
        <is>
          <t>ORD02410</t>
        </is>
      </c>
      <c r="B2411" t="inlineStr">
        <is>
          <t>C2410</t>
        </is>
      </c>
      <c r="C2411" t="n">
        <v>1</v>
      </c>
      <c r="D2411" t="inlineStr">
        <is>
          <t>Hub A</t>
        </is>
      </c>
      <c r="E2411" t="n">
        <v>28</v>
      </c>
      <c r="F2411" t="n">
        <v>22</v>
      </c>
    </row>
    <row r="2412">
      <c r="A2412" t="inlineStr">
        <is>
          <t>ORD02411</t>
        </is>
      </c>
      <c r="B2412" t="inlineStr">
        <is>
          <t>C2411</t>
        </is>
      </c>
      <c r="C2412" t="n">
        <v>2</v>
      </c>
      <c r="D2412" t="inlineStr">
        <is>
          <t>Hub A</t>
        </is>
      </c>
      <c r="E2412" t="n">
        <v>35</v>
      </c>
      <c r="F2412" t="n">
        <v>22</v>
      </c>
    </row>
    <row r="2413">
      <c r="A2413" t="inlineStr">
        <is>
          <t>ORD02412</t>
        </is>
      </c>
      <c r="B2413" t="inlineStr">
        <is>
          <t>C2412</t>
        </is>
      </c>
      <c r="C2413" t="n">
        <v>3</v>
      </c>
      <c r="D2413" t="inlineStr">
        <is>
          <t>Hub A</t>
        </is>
      </c>
      <c r="E2413" t="n">
        <v>42</v>
      </c>
      <c r="F2413" t="n">
        <v>22</v>
      </c>
    </row>
    <row r="2414">
      <c r="A2414" t="inlineStr">
        <is>
          <t>ORD02413</t>
        </is>
      </c>
      <c r="B2414" t="inlineStr">
        <is>
          <t>C2413</t>
        </is>
      </c>
      <c r="C2414" t="n">
        <v>1</v>
      </c>
      <c r="D2414" t="inlineStr">
        <is>
          <t>Hub A</t>
        </is>
      </c>
      <c r="E2414" t="n">
        <v>49</v>
      </c>
      <c r="F2414" t="n">
        <v>22</v>
      </c>
    </row>
    <row r="2415">
      <c r="A2415" t="inlineStr">
        <is>
          <t>ORD02414</t>
        </is>
      </c>
      <c r="B2415" t="inlineStr">
        <is>
          <t>C2414</t>
        </is>
      </c>
      <c r="C2415" t="n">
        <v>2</v>
      </c>
      <c r="D2415" t="inlineStr">
        <is>
          <t>Hub A</t>
        </is>
      </c>
      <c r="E2415" t="n">
        <v>56</v>
      </c>
      <c r="F2415" t="n">
        <v>22</v>
      </c>
    </row>
    <row r="2416">
      <c r="A2416" t="inlineStr">
        <is>
          <t>ORD02415</t>
        </is>
      </c>
      <c r="B2416" t="inlineStr">
        <is>
          <t>C2415</t>
        </is>
      </c>
      <c r="C2416" t="n">
        <v>3</v>
      </c>
      <c r="D2416" t="inlineStr">
        <is>
          <t>Hub A</t>
        </is>
      </c>
      <c r="E2416" t="n">
        <v>63</v>
      </c>
      <c r="F2416" t="n">
        <v>22</v>
      </c>
    </row>
    <row r="2417">
      <c r="A2417" t="inlineStr">
        <is>
          <t>ORD02416</t>
        </is>
      </c>
      <c r="B2417" t="inlineStr">
        <is>
          <t>C2416</t>
        </is>
      </c>
      <c r="C2417" t="n">
        <v>1</v>
      </c>
      <c r="D2417" t="inlineStr">
        <is>
          <t>Hub A</t>
        </is>
      </c>
      <c r="E2417" t="n">
        <v>70</v>
      </c>
      <c r="F2417" t="n">
        <v>22</v>
      </c>
    </row>
    <row r="2418">
      <c r="A2418" t="inlineStr">
        <is>
          <t>ORD02417</t>
        </is>
      </c>
      <c r="B2418" t="inlineStr">
        <is>
          <t>C2417</t>
        </is>
      </c>
      <c r="C2418" t="n">
        <v>2</v>
      </c>
      <c r="D2418" t="inlineStr">
        <is>
          <t>Hub A</t>
        </is>
      </c>
      <c r="E2418" t="n">
        <v>77</v>
      </c>
      <c r="F2418" t="n">
        <v>22</v>
      </c>
    </row>
    <row r="2419">
      <c r="A2419" t="inlineStr">
        <is>
          <t>ORD02418</t>
        </is>
      </c>
      <c r="B2419" t="inlineStr">
        <is>
          <t>C2418</t>
        </is>
      </c>
      <c r="C2419" t="n">
        <v>3</v>
      </c>
      <c r="D2419" t="inlineStr">
        <is>
          <t>Hub A</t>
        </is>
      </c>
      <c r="E2419" t="n">
        <v>24</v>
      </c>
      <c r="F2419" t="n">
        <v>22</v>
      </c>
    </row>
    <row r="2420">
      <c r="A2420" t="inlineStr">
        <is>
          <t>ORD02419</t>
        </is>
      </c>
      <c r="B2420" t="inlineStr">
        <is>
          <t>C2419</t>
        </is>
      </c>
      <c r="C2420" t="n">
        <v>1</v>
      </c>
      <c r="D2420" t="inlineStr">
        <is>
          <t>Hub A</t>
        </is>
      </c>
      <c r="E2420" t="n">
        <v>31</v>
      </c>
      <c r="F2420" t="n">
        <v>22</v>
      </c>
    </row>
    <row r="2421">
      <c r="A2421" t="inlineStr">
        <is>
          <t>ORD02420</t>
        </is>
      </c>
      <c r="B2421" t="inlineStr">
        <is>
          <t>C2420</t>
        </is>
      </c>
      <c r="C2421" t="n">
        <v>2</v>
      </c>
      <c r="D2421" t="inlineStr">
        <is>
          <t>Hub A</t>
        </is>
      </c>
      <c r="E2421" t="n">
        <v>38</v>
      </c>
      <c r="F2421" t="n">
        <v>22</v>
      </c>
    </row>
    <row r="2422">
      <c r="A2422" t="inlineStr">
        <is>
          <t>ORD02421</t>
        </is>
      </c>
      <c r="B2422" t="inlineStr">
        <is>
          <t>C2421</t>
        </is>
      </c>
      <c r="C2422" t="n">
        <v>3</v>
      </c>
      <c r="D2422" t="inlineStr">
        <is>
          <t>Hub A</t>
        </is>
      </c>
      <c r="E2422" t="n">
        <v>45</v>
      </c>
      <c r="F2422" t="n">
        <v>22</v>
      </c>
    </row>
    <row r="2423">
      <c r="A2423" t="inlineStr">
        <is>
          <t>ORD02422</t>
        </is>
      </c>
      <c r="B2423" t="inlineStr">
        <is>
          <t>C2422</t>
        </is>
      </c>
      <c r="C2423" t="n">
        <v>1</v>
      </c>
      <c r="D2423" t="inlineStr">
        <is>
          <t>Hub A</t>
        </is>
      </c>
      <c r="E2423" t="n">
        <v>52</v>
      </c>
      <c r="F2423" t="n">
        <v>22</v>
      </c>
    </row>
    <row r="2424">
      <c r="A2424" t="inlineStr">
        <is>
          <t>ORD02423</t>
        </is>
      </c>
      <c r="B2424" t="inlineStr">
        <is>
          <t>C2423</t>
        </is>
      </c>
      <c r="C2424" t="n">
        <v>2</v>
      </c>
      <c r="D2424" t="inlineStr">
        <is>
          <t>Hub A</t>
        </is>
      </c>
      <c r="E2424" t="n">
        <v>59</v>
      </c>
      <c r="F2424" t="n">
        <v>22</v>
      </c>
    </row>
    <row r="2425">
      <c r="A2425" t="inlineStr">
        <is>
          <t>ORD02424</t>
        </is>
      </c>
      <c r="B2425" t="inlineStr">
        <is>
          <t>C2424</t>
        </is>
      </c>
      <c r="C2425" t="n">
        <v>3</v>
      </c>
      <c r="D2425" t="inlineStr">
        <is>
          <t>Hub A</t>
        </is>
      </c>
      <c r="E2425" t="n">
        <v>66</v>
      </c>
      <c r="F2425" t="n">
        <v>22</v>
      </c>
    </row>
    <row r="2426">
      <c r="A2426" t="inlineStr">
        <is>
          <t>ORD02425</t>
        </is>
      </c>
      <c r="B2426" t="inlineStr">
        <is>
          <t>C2425</t>
        </is>
      </c>
      <c r="C2426" t="n">
        <v>1</v>
      </c>
      <c r="D2426" t="inlineStr">
        <is>
          <t>Hub A</t>
        </is>
      </c>
      <c r="E2426" t="n">
        <v>73</v>
      </c>
      <c r="F2426" t="n">
        <v>22</v>
      </c>
    </row>
    <row r="2427">
      <c r="A2427" t="inlineStr">
        <is>
          <t>ORD02426</t>
        </is>
      </c>
      <c r="B2427" t="inlineStr">
        <is>
          <t>C2426</t>
        </is>
      </c>
      <c r="C2427" t="n">
        <v>2</v>
      </c>
      <c r="D2427" t="inlineStr">
        <is>
          <t>Hub A</t>
        </is>
      </c>
      <c r="E2427" t="n">
        <v>20</v>
      </c>
      <c r="F2427" t="n">
        <v>22</v>
      </c>
    </row>
    <row r="2428">
      <c r="A2428" t="inlineStr">
        <is>
          <t>ORD02427</t>
        </is>
      </c>
      <c r="B2428" t="inlineStr">
        <is>
          <t>C2427</t>
        </is>
      </c>
      <c r="C2428" t="n">
        <v>3</v>
      </c>
      <c r="D2428" t="inlineStr">
        <is>
          <t>Hub A</t>
        </is>
      </c>
      <c r="E2428" t="n">
        <v>27</v>
      </c>
      <c r="F2428" t="n">
        <v>22</v>
      </c>
    </row>
    <row r="2429">
      <c r="A2429" t="inlineStr">
        <is>
          <t>ORD02428</t>
        </is>
      </c>
      <c r="B2429" t="inlineStr">
        <is>
          <t>C2428</t>
        </is>
      </c>
      <c r="C2429" t="n">
        <v>1</v>
      </c>
      <c r="D2429" t="inlineStr">
        <is>
          <t>Hub A</t>
        </is>
      </c>
      <c r="E2429" t="n">
        <v>34</v>
      </c>
      <c r="F2429" t="n">
        <v>22</v>
      </c>
    </row>
    <row r="2430">
      <c r="A2430" t="inlineStr">
        <is>
          <t>ORD02429</t>
        </is>
      </c>
      <c r="B2430" t="inlineStr">
        <is>
          <t>C2429</t>
        </is>
      </c>
      <c r="C2430" t="n">
        <v>2</v>
      </c>
      <c r="D2430" t="inlineStr">
        <is>
          <t>Hub A</t>
        </is>
      </c>
      <c r="E2430" t="n">
        <v>41</v>
      </c>
      <c r="F2430" t="n">
        <v>22</v>
      </c>
    </row>
    <row r="2431">
      <c r="A2431" t="inlineStr">
        <is>
          <t>ORD02430</t>
        </is>
      </c>
      <c r="B2431" t="inlineStr">
        <is>
          <t>C2430</t>
        </is>
      </c>
      <c r="C2431" t="n">
        <v>3</v>
      </c>
      <c r="D2431" t="inlineStr">
        <is>
          <t>Hub A</t>
        </is>
      </c>
      <c r="E2431" t="n">
        <v>48</v>
      </c>
      <c r="F2431" t="n">
        <v>22</v>
      </c>
    </row>
    <row r="2432">
      <c r="A2432" t="inlineStr">
        <is>
          <t>ORD02431</t>
        </is>
      </c>
      <c r="B2432" t="inlineStr">
        <is>
          <t>C2431</t>
        </is>
      </c>
      <c r="C2432" t="n">
        <v>1</v>
      </c>
      <c r="D2432" t="inlineStr">
        <is>
          <t>Hub A</t>
        </is>
      </c>
      <c r="E2432" t="n">
        <v>55</v>
      </c>
      <c r="F2432" t="n">
        <v>22</v>
      </c>
    </row>
    <row r="2433">
      <c r="A2433" t="inlineStr">
        <is>
          <t>ORD02432</t>
        </is>
      </c>
      <c r="B2433" t="inlineStr">
        <is>
          <t>C2432</t>
        </is>
      </c>
      <c r="C2433" t="n">
        <v>2</v>
      </c>
      <c r="D2433" t="inlineStr">
        <is>
          <t>Hub A</t>
        </is>
      </c>
      <c r="E2433" t="n">
        <v>62</v>
      </c>
      <c r="F2433" t="n">
        <v>22</v>
      </c>
    </row>
    <row r="2434">
      <c r="A2434" t="inlineStr">
        <is>
          <t>ORD02433</t>
        </is>
      </c>
      <c r="B2434" t="inlineStr">
        <is>
          <t>C2433</t>
        </is>
      </c>
      <c r="C2434" t="n">
        <v>3</v>
      </c>
      <c r="D2434" t="inlineStr">
        <is>
          <t>Hub A</t>
        </is>
      </c>
      <c r="E2434" t="n">
        <v>69</v>
      </c>
      <c r="F2434" t="n">
        <v>22</v>
      </c>
    </row>
    <row r="2435">
      <c r="A2435" t="inlineStr">
        <is>
          <t>ORD02434</t>
        </is>
      </c>
      <c r="B2435" t="inlineStr">
        <is>
          <t>C2434</t>
        </is>
      </c>
      <c r="C2435" t="n">
        <v>1</v>
      </c>
      <c r="D2435" t="inlineStr">
        <is>
          <t>Hub A</t>
        </is>
      </c>
      <c r="E2435" t="n">
        <v>76</v>
      </c>
      <c r="F2435" t="n">
        <v>22</v>
      </c>
    </row>
    <row r="2436">
      <c r="A2436" t="inlineStr">
        <is>
          <t>ORD02435</t>
        </is>
      </c>
      <c r="B2436" t="inlineStr">
        <is>
          <t>C2435</t>
        </is>
      </c>
      <c r="C2436" t="n">
        <v>2</v>
      </c>
      <c r="D2436" t="inlineStr">
        <is>
          <t>Hub A</t>
        </is>
      </c>
      <c r="E2436" t="n">
        <v>23</v>
      </c>
      <c r="F2436" t="n">
        <v>22</v>
      </c>
    </row>
    <row r="2437">
      <c r="A2437" t="inlineStr">
        <is>
          <t>ORD02436</t>
        </is>
      </c>
      <c r="B2437" t="inlineStr">
        <is>
          <t>C2436</t>
        </is>
      </c>
      <c r="C2437" t="n">
        <v>3</v>
      </c>
      <c r="D2437" t="inlineStr">
        <is>
          <t>Hub A</t>
        </is>
      </c>
      <c r="E2437" t="n">
        <v>30</v>
      </c>
      <c r="F2437" t="n">
        <v>22</v>
      </c>
    </row>
    <row r="2438">
      <c r="A2438" t="inlineStr">
        <is>
          <t>ORD02437</t>
        </is>
      </c>
      <c r="B2438" t="inlineStr">
        <is>
          <t>C2437</t>
        </is>
      </c>
      <c r="C2438" t="n">
        <v>1</v>
      </c>
      <c r="D2438" t="inlineStr">
        <is>
          <t>Hub A</t>
        </is>
      </c>
      <c r="E2438" t="n">
        <v>37</v>
      </c>
      <c r="F2438" t="n">
        <v>22</v>
      </c>
    </row>
    <row r="2439">
      <c r="A2439" t="inlineStr">
        <is>
          <t>ORD02438</t>
        </is>
      </c>
      <c r="B2439" t="inlineStr">
        <is>
          <t>C2438</t>
        </is>
      </c>
      <c r="C2439" t="n">
        <v>2</v>
      </c>
      <c r="D2439" t="inlineStr">
        <is>
          <t>Hub A</t>
        </is>
      </c>
      <c r="E2439" t="n">
        <v>44</v>
      </c>
      <c r="F2439" t="n">
        <v>22</v>
      </c>
    </row>
    <row r="2440">
      <c r="A2440" t="inlineStr">
        <is>
          <t>ORD02439</t>
        </is>
      </c>
      <c r="B2440" t="inlineStr">
        <is>
          <t>C2439</t>
        </is>
      </c>
      <c r="C2440" t="n">
        <v>3</v>
      </c>
      <c r="D2440" t="inlineStr">
        <is>
          <t>Hub A</t>
        </is>
      </c>
      <c r="E2440" t="n">
        <v>51</v>
      </c>
      <c r="F2440" t="n">
        <v>22</v>
      </c>
    </row>
    <row r="2441">
      <c r="A2441" t="inlineStr">
        <is>
          <t>ORD02440</t>
        </is>
      </c>
      <c r="B2441" t="inlineStr">
        <is>
          <t>C2440</t>
        </is>
      </c>
      <c r="C2441" t="n">
        <v>1</v>
      </c>
      <c r="D2441" t="inlineStr">
        <is>
          <t>Hub A</t>
        </is>
      </c>
      <c r="E2441" t="n">
        <v>58</v>
      </c>
      <c r="F2441" t="n">
        <v>22</v>
      </c>
    </row>
    <row r="2442">
      <c r="A2442" t="inlineStr">
        <is>
          <t>ORD02441</t>
        </is>
      </c>
      <c r="B2442" t="inlineStr">
        <is>
          <t>C2441</t>
        </is>
      </c>
      <c r="C2442" t="n">
        <v>2</v>
      </c>
      <c r="D2442" t="inlineStr">
        <is>
          <t>Hub A</t>
        </is>
      </c>
      <c r="E2442" t="n">
        <v>65</v>
      </c>
      <c r="F2442" t="n">
        <v>22</v>
      </c>
    </row>
    <row r="2443">
      <c r="A2443" t="inlineStr">
        <is>
          <t>ORD02442</t>
        </is>
      </c>
      <c r="B2443" t="inlineStr">
        <is>
          <t>C2442</t>
        </is>
      </c>
      <c r="C2443" t="n">
        <v>3</v>
      </c>
      <c r="D2443" t="inlineStr">
        <is>
          <t>Hub A</t>
        </is>
      </c>
      <c r="E2443" t="n">
        <v>72</v>
      </c>
      <c r="F2443" t="n">
        <v>22</v>
      </c>
    </row>
    <row r="2444">
      <c r="A2444" t="inlineStr">
        <is>
          <t>ORD02443</t>
        </is>
      </c>
      <c r="B2444" t="inlineStr">
        <is>
          <t>C2443</t>
        </is>
      </c>
      <c r="C2444" t="n">
        <v>1</v>
      </c>
      <c r="D2444" t="inlineStr">
        <is>
          <t>Hub A</t>
        </is>
      </c>
      <c r="E2444" t="n">
        <v>19</v>
      </c>
      <c r="F2444" t="n">
        <v>22</v>
      </c>
    </row>
    <row r="2445">
      <c r="A2445" t="inlineStr">
        <is>
          <t>ORD02444</t>
        </is>
      </c>
      <c r="B2445" t="inlineStr">
        <is>
          <t>C2444</t>
        </is>
      </c>
      <c r="C2445" t="n">
        <v>2</v>
      </c>
      <c r="D2445" t="inlineStr">
        <is>
          <t>Hub A</t>
        </is>
      </c>
      <c r="E2445" t="n">
        <v>26</v>
      </c>
      <c r="F2445" t="n">
        <v>22</v>
      </c>
    </row>
    <row r="2446">
      <c r="A2446" t="inlineStr">
        <is>
          <t>ORD02445</t>
        </is>
      </c>
      <c r="B2446" t="inlineStr">
        <is>
          <t>C2445</t>
        </is>
      </c>
      <c r="C2446" t="n">
        <v>3</v>
      </c>
      <c r="D2446" t="inlineStr">
        <is>
          <t>Hub A</t>
        </is>
      </c>
      <c r="E2446" t="n">
        <v>33</v>
      </c>
      <c r="F2446" t="n">
        <v>22</v>
      </c>
    </row>
    <row r="2447">
      <c r="A2447" t="inlineStr">
        <is>
          <t>ORD02446</t>
        </is>
      </c>
      <c r="B2447" t="inlineStr">
        <is>
          <t>C2446</t>
        </is>
      </c>
      <c r="C2447" t="n">
        <v>1</v>
      </c>
      <c r="D2447" t="inlineStr">
        <is>
          <t>Hub A</t>
        </is>
      </c>
      <c r="E2447" t="n">
        <v>40</v>
      </c>
      <c r="F2447" t="n">
        <v>22</v>
      </c>
    </row>
    <row r="2448">
      <c r="A2448" t="inlineStr">
        <is>
          <t>ORD02447</t>
        </is>
      </c>
      <c r="B2448" t="inlineStr">
        <is>
          <t>C2447</t>
        </is>
      </c>
      <c r="C2448" t="n">
        <v>2</v>
      </c>
      <c r="D2448" t="inlineStr">
        <is>
          <t>Hub A</t>
        </is>
      </c>
      <c r="E2448" t="n">
        <v>47</v>
      </c>
      <c r="F2448" t="n">
        <v>22</v>
      </c>
    </row>
    <row r="2449">
      <c r="A2449" t="inlineStr">
        <is>
          <t>ORD02448</t>
        </is>
      </c>
      <c r="B2449" t="inlineStr">
        <is>
          <t>C2448</t>
        </is>
      </c>
      <c r="C2449" t="n">
        <v>3</v>
      </c>
      <c r="D2449" t="inlineStr">
        <is>
          <t>Hub A</t>
        </is>
      </c>
      <c r="E2449" t="n">
        <v>54</v>
      </c>
      <c r="F2449" t="n">
        <v>22</v>
      </c>
    </row>
    <row r="2450">
      <c r="A2450" t="inlineStr">
        <is>
          <t>ORD02449</t>
        </is>
      </c>
      <c r="B2450" t="inlineStr">
        <is>
          <t>C2449</t>
        </is>
      </c>
      <c r="C2450" t="n">
        <v>1</v>
      </c>
      <c r="D2450" t="inlineStr">
        <is>
          <t>Hub A</t>
        </is>
      </c>
      <c r="E2450" t="n">
        <v>61</v>
      </c>
      <c r="F2450" t="n">
        <v>22</v>
      </c>
    </row>
    <row r="2451">
      <c r="A2451" t="inlineStr">
        <is>
          <t>ORD02450</t>
        </is>
      </c>
      <c r="B2451" t="inlineStr">
        <is>
          <t>C2450</t>
        </is>
      </c>
      <c r="C2451" t="n">
        <v>2</v>
      </c>
      <c r="D2451" t="inlineStr">
        <is>
          <t>Hub A</t>
        </is>
      </c>
      <c r="E2451" t="n">
        <v>68</v>
      </c>
      <c r="F2451" t="n">
        <v>22</v>
      </c>
    </row>
    <row r="2452">
      <c r="A2452" t="inlineStr">
        <is>
          <t>ORD02451</t>
        </is>
      </c>
      <c r="B2452" t="inlineStr">
        <is>
          <t>C2451</t>
        </is>
      </c>
      <c r="C2452" t="n">
        <v>3</v>
      </c>
      <c r="D2452" t="inlineStr">
        <is>
          <t>Hub A</t>
        </is>
      </c>
      <c r="E2452" t="n">
        <v>75</v>
      </c>
      <c r="F2452" t="n">
        <v>22</v>
      </c>
    </row>
    <row r="2453">
      <c r="A2453" t="inlineStr">
        <is>
          <t>ORD02452</t>
        </is>
      </c>
      <c r="B2453" t="inlineStr">
        <is>
          <t>C2452</t>
        </is>
      </c>
      <c r="C2453" t="n">
        <v>1</v>
      </c>
      <c r="D2453" t="inlineStr">
        <is>
          <t>Hub A</t>
        </is>
      </c>
      <c r="E2453" t="n">
        <v>22</v>
      </c>
      <c r="F2453" t="n">
        <v>22</v>
      </c>
    </row>
    <row r="2454">
      <c r="A2454" t="inlineStr">
        <is>
          <t>ORD02453</t>
        </is>
      </c>
      <c r="B2454" t="inlineStr">
        <is>
          <t>C2453</t>
        </is>
      </c>
      <c r="C2454" t="n">
        <v>2</v>
      </c>
      <c r="D2454" t="inlineStr">
        <is>
          <t>Hub A</t>
        </is>
      </c>
      <c r="E2454" t="n">
        <v>29</v>
      </c>
      <c r="F2454" t="n">
        <v>22</v>
      </c>
    </row>
    <row r="2455">
      <c r="A2455" t="inlineStr">
        <is>
          <t>ORD02454</t>
        </is>
      </c>
      <c r="B2455" t="inlineStr">
        <is>
          <t>C2454</t>
        </is>
      </c>
      <c r="C2455" t="n">
        <v>3</v>
      </c>
      <c r="D2455" t="inlineStr">
        <is>
          <t>Hub A</t>
        </is>
      </c>
      <c r="E2455" t="n">
        <v>36</v>
      </c>
      <c r="F2455" t="n">
        <v>22</v>
      </c>
    </row>
    <row r="2456">
      <c r="A2456" t="inlineStr">
        <is>
          <t>ORD02455</t>
        </is>
      </c>
      <c r="B2456" t="inlineStr">
        <is>
          <t>C2455</t>
        </is>
      </c>
      <c r="C2456" t="n">
        <v>1</v>
      </c>
      <c r="D2456" t="inlineStr">
        <is>
          <t>Hub A</t>
        </is>
      </c>
      <c r="E2456" t="n">
        <v>43</v>
      </c>
      <c r="F2456" t="n">
        <v>22</v>
      </c>
    </row>
    <row r="2457">
      <c r="A2457" t="inlineStr">
        <is>
          <t>ORD02456</t>
        </is>
      </c>
      <c r="B2457" t="inlineStr">
        <is>
          <t>C2456</t>
        </is>
      </c>
      <c r="C2457" t="n">
        <v>2</v>
      </c>
      <c r="D2457" t="inlineStr">
        <is>
          <t>Hub A</t>
        </is>
      </c>
      <c r="E2457" t="n">
        <v>50</v>
      </c>
      <c r="F2457" t="n">
        <v>22</v>
      </c>
    </row>
    <row r="2458">
      <c r="A2458" t="inlineStr">
        <is>
          <t>ORD02457</t>
        </is>
      </c>
      <c r="B2458" t="inlineStr">
        <is>
          <t>C2457</t>
        </is>
      </c>
      <c r="C2458" t="n">
        <v>3</v>
      </c>
      <c r="D2458" t="inlineStr">
        <is>
          <t>Hub A</t>
        </is>
      </c>
      <c r="E2458" t="n">
        <v>57</v>
      </c>
      <c r="F2458" t="n">
        <v>22</v>
      </c>
    </row>
    <row r="2459">
      <c r="A2459" t="inlineStr">
        <is>
          <t>ORD02458</t>
        </is>
      </c>
      <c r="B2459" t="inlineStr">
        <is>
          <t>C2458</t>
        </is>
      </c>
      <c r="C2459" t="n">
        <v>1</v>
      </c>
      <c r="D2459" t="inlineStr">
        <is>
          <t>Hub A</t>
        </is>
      </c>
      <c r="E2459" t="n">
        <v>64</v>
      </c>
      <c r="F2459" t="n">
        <v>22</v>
      </c>
    </row>
    <row r="2460">
      <c r="A2460" t="inlineStr">
        <is>
          <t>ORD02459</t>
        </is>
      </c>
      <c r="B2460" t="inlineStr">
        <is>
          <t>C2459</t>
        </is>
      </c>
      <c r="C2460" t="n">
        <v>2</v>
      </c>
      <c r="D2460" t="inlineStr">
        <is>
          <t>Hub A</t>
        </is>
      </c>
      <c r="E2460" t="n">
        <v>71</v>
      </c>
      <c r="F2460" t="n">
        <v>22</v>
      </c>
    </row>
    <row r="2461">
      <c r="A2461" t="inlineStr">
        <is>
          <t>ORD02460</t>
        </is>
      </c>
      <c r="B2461" t="inlineStr">
        <is>
          <t>C2460</t>
        </is>
      </c>
      <c r="C2461" t="n">
        <v>3</v>
      </c>
      <c r="D2461" t="inlineStr">
        <is>
          <t>Hub A</t>
        </is>
      </c>
      <c r="E2461" t="n">
        <v>18</v>
      </c>
      <c r="F2461" t="n">
        <v>22</v>
      </c>
    </row>
    <row r="2462">
      <c r="A2462" t="inlineStr">
        <is>
          <t>ORD02461</t>
        </is>
      </c>
      <c r="B2462" t="inlineStr">
        <is>
          <t>C2461</t>
        </is>
      </c>
      <c r="C2462" t="n">
        <v>1</v>
      </c>
      <c r="D2462" t="inlineStr">
        <is>
          <t>Hub A</t>
        </is>
      </c>
      <c r="E2462" t="n">
        <v>25</v>
      </c>
      <c r="F2462" t="n">
        <v>22</v>
      </c>
    </row>
    <row r="2463">
      <c r="A2463" t="inlineStr">
        <is>
          <t>ORD02462</t>
        </is>
      </c>
      <c r="B2463" t="inlineStr">
        <is>
          <t>C2462</t>
        </is>
      </c>
      <c r="C2463" t="n">
        <v>2</v>
      </c>
      <c r="D2463" t="inlineStr">
        <is>
          <t>Hub A</t>
        </is>
      </c>
      <c r="E2463" t="n">
        <v>32</v>
      </c>
      <c r="F2463" t="n">
        <v>22</v>
      </c>
    </row>
    <row r="2464">
      <c r="A2464" t="inlineStr">
        <is>
          <t>ORD02463</t>
        </is>
      </c>
      <c r="B2464" t="inlineStr">
        <is>
          <t>C2463</t>
        </is>
      </c>
      <c r="C2464" t="n">
        <v>3</v>
      </c>
      <c r="D2464" t="inlineStr">
        <is>
          <t>Hub A</t>
        </is>
      </c>
      <c r="E2464" t="n">
        <v>39</v>
      </c>
      <c r="F2464" t="n">
        <v>22</v>
      </c>
    </row>
    <row r="2465">
      <c r="A2465" t="inlineStr">
        <is>
          <t>ORD02464</t>
        </is>
      </c>
      <c r="B2465" t="inlineStr">
        <is>
          <t>C2464</t>
        </is>
      </c>
      <c r="C2465" t="n">
        <v>1</v>
      </c>
      <c r="D2465" t="inlineStr">
        <is>
          <t>Hub A</t>
        </is>
      </c>
      <c r="E2465" t="n">
        <v>46</v>
      </c>
      <c r="F2465" t="n">
        <v>22</v>
      </c>
    </row>
    <row r="2466">
      <c r="A2466" t="inlineStr">
        <is>
          <t>ORD02465</t>
        </is>
      </c>
      <c r="B2466" t="inlineStr">
        <is>
          <t>C2465</t>
        </is>
      </c>
      <c r="C2466" t="n">
        <v>2</v>
      </c>
      <c r="D2466" t="inlineStr">
        <is>
          <t>Hub A</t>
        </is>
      </c>
      <c r="E2466" t="n">
        <v>53</v>
      </c>
      <c r="F2466" t="n">
        <v>22</v>
      </c>
    </row>
    <row r="2467">
      <c r="A2467" t="inlineStr">
        <is>
          <t>ORD02466</t>
        </is>
      </c>
      <c r="B2467" t="inlineStr">
        <is>
          <t>C2466</t>
        </is>
      </c>
      <c r="C2467" t="n">
        <v>3</v>
      </c>
      <c r="D2467" t="inlineStr">
        <is>
          <t>Hub A</t>
        </is>
      </c>
      <c r="E2467" t="n">
        <v>60</v>
      </c>
      <c r="F2467" t="n">
        <v>22</v>
      </c>
    </row>
    <row r="2468">
      <c r="A2468" t="inlineStr">
        <is>
          <t>ORD02467</t>
        </is>
      </c>
      <c r="B2468" t="inlineStr">
        <is>
          <t>C2467</t>
        </is>
      </c>
      <c r="C2468" t="n">
        <v>1</v>
      </c>
      <c r="D2468" t="inlineStr">
        <is>
          <t>Hub A</t>
        </is>
      </c>
      <c r="E2468" t="n">
        <v>67</v>
      </c>
      <c r="F2468" t="n">
        <v>22</v>
      </c>
    </row>
    <row r="2469">
      <c r="A2469" t="inlineStr">
        <is>
          <t>ORD02468</t>
        </is>
      </c>
      <c r="B2469" t="inlineStr">
        <is>
          <t>C2468</t>
        </is>
      </c>
      <c r="C2469" t="n">
        <v>2</v>
      </c>
      <c r="D2469" t="inlineStr">
        <is>
          <t>Hub A</t>
        </is>
      </c>
      <c r="E2469" t="n">
        <v>74</v>
      </c>
      <c r="F2469" t="n">
        <v>22</v>
      </c>
    </row>
    <row r="2470">
      <c r="A2470" t="inlineStr">
        <is>
          <t>ORD02469</t>
        </is>
      </c>
      <c r="B2470" t="inlineStr">
        <is>
          <t>C2469</t>
        </is>
      </c>
      <c r="C2470" t="n">
        <v>3</v>
      </c>
      <c r="D2470" t="inlineStr">
        <is>
          <t>Hub A</t>
        </is>
      </c>
      <c r="E2470" t="n">
        <v>21</v>
      </c>
      <c r="F2470" t="n">
        <v>22</v>
      </c>
    </row>
    <row r="2471">
      <c r="A2471" t="inlineStr">
        <is>
          <t>ORD02470</t>
        </is>
      </c>
      <c r="B2471" t="inlineStr">
        <is>
          <t>C2470</t>
        </is>
      </c>
      <c r="C2471" t="n">
        <v>1</v>
      </c>
      <c r="D2471" t="inlineStr">
        <is>
          <t>Hub A</t>
        </is>
      </c>
      <c r="E2471" t="n">
        <v>28</v>
      </c>
      <c r="F2471" t="n">
        <v>22</v>
      </c>
    </row>
    <row r="2472">
      <c r="A2472" t="inlineStr">
        <is>
          <t>ORD02471</t>
        </is>
      </c>
      <c r="B2472" t="inlineStr">
        <is>
          <t>C2471</t>
        </is>
      </c>
      <c r="C2472" t="n">
        <v>2</v>
      </c>
      <c r="D2472" t="inlineStr">
        <is>
          <t>Hub A</t>
        </is>
      </c>
      <c r="E2472" t="n">
        <v>35</v>
      </c>
      <c r="F2472" t="n">
        <v>22</v>
      </c>
    </row>
    <row r="2473">
      <c r="A2473" t="inlineStr">
        <is>
          <t>ORD02472</t>
        </is>
      </c>
      <c r="B2473" t="inlineStr">
        <is>
          <t>C2472</t>
        </is>
      </c>
      <c r="C2473" t="n">
        <v>3</v>
      </c>
      <c r="D2473" t="inlineStr">
        <is>
          <t>Hub A</t>
        </is>
      </c>
      <c r="E2473" t="n">
        <v>42</v>
      </c>
      <c r="F2473" t="n">
        <v>22</v>
      </c>
    </row>
    <row r="2474">
      <c r="A2474" t="inlineStr">
        <is>
          <t>ORD02473</t>
        </is>
      </c>
      <c r="B2474" t="inlineStr">
        <is>
          <t>C2473</t>
        </is>
      </c>
      <c r="C2474" t="n">
        <v>1</v>
      </c>
      <c r="D2474" t="inlineStr">
        <is>
          <t>Hub A</t>
        </is>
      </c>
      <c r="E2474" t="n">
        <v>49</v>
      </c>
      <c r="F2474" t="n">
        <v>22</v>
      </c>
    </row>
    <row r="2475">
      <c r="A2475" t="inlineStr">
        <is>
          <t>ORD02474</t>
        </is>
      </c>
      <c r="B2475" t="inlineStr">
        <is>
          <t>C2474</t>
        </is>
      </c>
      <c r="C2475" t="n">
        <v>2</v>
      </c>
      <c r="D2475" t="inlineStr">
        <is>
          <t>Hub A</t>
        </is>
      </c>
      <c r="E2475" t="n">
        <v>56</v>
      </c>
      <c r="F2475" t="n">
        <v>22</v>
      </c>
    </row>
    <row r="2476">
      <c r="A2476" t="inlineStr">
        <is>
          <t>ORD02475</t>
        </is>
      </c>
      <c r="B2476" t="inlineStr">
        <is>
          <t>C2475</t>
        </is>
      </c>
      <c r="C2476" t="n">
        <v>3</v>
      </c>
      <c r="D2476" t="inlineStr">
        <is>
          <t>Hub A</t>
        </is>
      </c>
      <c r="E2476" t="n">
        <v>63</v>
      </c>
      <c r="F2476" t="n">
        <v>22</v>
      </c>
    </row>
    <row r="2477">
      <c r="A2477" t="inlineStr">
        <is>
          <t>ORD02476</t>
        </is>
      </c>
      <c r="B2477" t="inlineStr">
        <is>
          <t>C2476</t>
        </is>
      </c>
      <c r="C2477" t="n">
        <v>1</v>
      </c>
      <c r="D2477" t="inlineStr">
        <is>
          <t>Hub A</t>
        </is>
      </c>
      <c r="E2477" t="n">
        <v>70</v>
      </c>
      <c r="F2477" t="n">
        <v>22</v>
      </c>
    </row>
    <row r="2478">
      <c r="A2478" t="inlineStr">
        <is>
          <t>ORD02477</t>
        </is>
      </c>
      <c r="B2478" t="inlineStr">
        <is>
          <t>C2477</t>
        </is>
      </c>
      <c r="C2478" t="n">
        <v>2</v>
      </c>
      <c r="D2478" t="inlineStr">
        <is>
          <t>Hub A</t>
        </is>
      </c>
      <c r="E2478" t="n">
        <v>77</v>
      </c>
      <c r="F2478" t="n">
        <v>22</v>
      </c>
    </row>
    <row r="2479">
      <c r="A2479" t="inlineStr">
        <is>
          <t>ORD02478</t>
        </is>
      </c>
      <c r="B2479" t="inlineStr">
        <is>
          <t>C2478</t>
        </is>
      </c>
      <c r="C2479" t="n">
        <v>3</v>
      </c>
      <c r="D2479" t="inlineStr">
        <is>
          <t>Hub A</t>
        </is>
      </c>
      <c r="E2479" t="n">
        <v>24</v>
      </c>
      <c r="F2479" t="n">
        <v>22</v>
      </c>
    </row>
    <row r="2480">
      <c r="A2480" t="inlineStr">
        <is>
          <t>ORD02479</t>
        </is>
      </c>
      <c r="B2480" t="inlineStr">
        <is>
          <t>C2479</t>
        </is>
      </c>
      <c r="C2480" t="n">
        <v>1</v>
      </c>
      <c r="D2480" t="inlineStr">
        <is>
          <t>Hub A</t>
        </is>
      </c>
      <c r="E2480" t="n">
        <v>31</v>
      </c>
      <c r="F2480" t="n">
        <v>22</v>
      </c>
    </row>
    <row r="2481">
      <c r="A2481" t="inlineStr">
        <is>
          <t>ORD02480</t>
        </is>
      </c>
      <c r="B2481" t="inlineStr">
        <is>
          <t>C2480</t>
        </is>
      </c>
      <c r="C2481" t="n">
        <v>2</v>
      </c>
      <c r="D2481" t="inlineStr">
        <is>
          <t>Hub A</t>
        </is>
      </c>
      <c r="E2481" t="n">
        <v>38</v>
      </c>
      <c r="F2481" t="n">
        <v>22</v>
      </c>
    </row>
    <row r="2482">
      <c r="A2482" t="inlineStr">
        <is>
          <t>ORD02481</t>
        </is>
      </c>
      <c r="B2482" t="inlineStr">
        <is>
          <t>C2481</t>
        </is>
      </c>
      <c r="C2482" t="n">
        <v>3</v>
      </c>
      <c r="D2482" t="inlineStr">
        <is>
          <t>Hub A</t>
        </is>
      </c>
      <c r="E2482" t="n">
        <v>45</v>
      </c>
      <c r="F2482" t="n">
        <v>22</v>
      </c>
    </row>
    <row r="2483">
      <c r="A2483" t="inlineStr">
        <is>
          <t>ORD02482</t>
        </is>
      </c>
      <c r="B2483" t="inlineStr">
        <is>
          <t>C2482</t>
        </is>
      </c>
      <c r="C2483" t="n">
        <v>1</v>
      </c>
      <c r="D2483" t="inlineStr">
        <is>
          <t>Hub A</t>
        </is>
      </c>
      <c r="E2483" t="n">
        <v>52</v>
      </c>
      <c r="F2483" t="n">
        <v>22</v>
      </c>
    </row>
    <row r="2484">
      <c r="A2484" t="inlineStr">
        <is>
          <t>ORD02483</t>
        </is>
      </c>
      <c r="B2484" t="inlineStr">
        <is>
          <t>C2483</t>
        </is>
      </c>
      <c r="C2484" t="n">
        <v>2</v>
      </c>
      <c r="D2484" t="inlineStr">
        <is>
          <t>Hub A</t>
        </is>
      </c>
      <c r="E2484" t="n">
        <v>59</v>
      </c>
      <c r="F2484" t="n">
        <v>22</v>
      </c>
    </row>
    <row r="2485">
      <c r="A2485" t="inlineStr">
        <is>
          <t>ORD02484</t>
        </is>
      </c>
      <c r="B2485" t="inlineStr">
        <is>
          <t>C2484</t>
        </is>
      </c>
      <c r="C2485" t="n">
        <v>3</v>
      </c>
      <c r="D2485" t="inlineStr">
        <is>
          <t>Hub A</t>
        </is>
      </c>
      <c r="E2485" t="n">
        <v>66</v>
      </c>
      <c r="F2485" t="n">
        <v>22</v>
      </c>
    </row>
    <row r="2486">
      <c r="A2486" t="inlineStr">
        <is>
          <t>ORD02485</t>
        </is>
      </c>
      <c r="B2486" t="inlineStr">
        <is>
          <t>C2485</t>
        </is>
      </c>
      <c r="C2486" t="n">
        <v>1</v>
      </c>
      <c r="D2486" t="inlineStr">
        <is>
          <t>Hub A</t>
        </is>
      </c>
      <c r="E2486" t="n">
        <v>73</v>
      </c>
      <c r="F2486" t="n">
        <v>22</v>
      </c>
    </row>
    <row r="2487">
      <c r="A2487" t="inlineStr">
        <is>
          <t>ORD02486</t>
        </is>
      </c>
      <c r="B2487" t="inlineStr">
        <is>
          <t>C2486</t>
        </is>
      </c>
      <c r="C2487" t="n">
        <v>2</v>
      </c>
      <c r="D2487" t="inlineStr">
        <is>
          <t>Hub A</t>
        </is>
      </c>
      <c r="E2487" t="n">
        <v>20</v>
      </c>
      <c r="F2487" t="n">
        <v>22</v>
      </c>
    </row>
    <row r="2488">
      <c r="A2488" t="inlineStr">
        <is>
          <t>ORD02487</t>
        </is>
      </c>
      <c r="B2488" t="inlineStr">
        <is>
          <t>C2487</t>
        </is>
      </c>
      <c r="C2488" t="n">
        <v>3</v>
      </c>
      <c r="D2488" t="inlineStr">
        <is>
          <t>Hub A</t>
        </is>
      </c>
      <c r="E2488" t="n">
        <v>27</v>
      </c>
      <c r="F2488" t="n">
        <v>22</v>
      </c>
    </row>
    <row r="2489">
      <c r="A2489" t="inlineStr">
        <is>
          <t>ORD02488</t>
        </is>
      </c>
      <c r="B2489" t="inlineStr">
        <is>
          <t>C2488</t>
        </is>
      </c>
      <c r="C2489" t="n">
        <v>1</v>
      </c>
      <c r="D2489" t="inlineStr">
        <is>
          <t>Hub A</t>
        </is>
      </c>
      <c r="E2489" t="n">
        <v>34</v>
      </c>
      <c r="F2489" t="n">
        <v>22</v>
      </c>
    </row>
    <row r="2490">
      <c r="A2490" t="inlineStr">
        <is>
          <t>ORD02489</t>
        </is>
      </c>
      <c r="B2490" t="inlineStr">
        <is>
          <t>C2489</t>
        </is>
      </c>
      <c r="C2490" t="n">
        <v>2</v>
      </c>
      <c r="D2490" t="inlineStr">
        <is>
          <t>Hub A</t>
        </is>
      </c>
      <c r="E2490" t="n">
        <v>41</v>
      </c>
      <c r="F2490" t="n">
        <v>22</v>
      </c>
    </row>
    <row r="2491">
      <c r="A2491" t="inlineStr">
        <is>
          <t>ORD02490</t>
        </is>
      </c>
      <c r="B2491" t="inlineStr">
        <is>
          <t>C2490</t>
        </is>
      </c>
      <c r="C2491" t="n">
        <v>3</v>
      </c>
      <c r="D2491" t="inlineStr">
        <is>
          <t>Hub A</t>
        </is>
      </c>
      <c r="E2491" t="n">
        <v>48</v>
      </c>
      <c r="F2491" t="n">
        <v>26</v>
      </c>
    </row>
    <row r="2492">
      <c r="A2492" t="inlineStr">
        <is>
          <t>ORD02491</t>
        </is>
      </c>
      <c r="B2492" t="inlineStr">
        <is>
          <t>C2491</t>
        </is>
      </c>
      <c r="C2492" t="n">
        <v>1</v>
      </c>
      <c r="D2492" t="inlineStr">
        <is>
          <t>Hub A</t>
        </is>
      </c>
      <c r="E2492" t="n">
        <v>55</v>
      </c>
      <c r="F2492" t="n">
        <v>47.544</v>
      </c>
    </row>
    <row r="2493">
      <c r="A2493" t="inlineStr">
        <is>
          <t>ORD02492</t>
        </is>
      </c>
      <c r="B2493" t="inlineStr">
        <is>
          <t>C2492</t>
        </is>
      </c>
      <c r="C2493" t="n">
        <v>2</v>
      </c>
      <c r="D2493" t="inlineStr">
        <is>
          <t>Hub A</t>
        </is>
      </c>
      <c r="E2493" t="n">
        <v>62</v>
      </c>
      <c r="F2493" t="n">
        <v>47.544</v>
      </c>
    </row>
    <row r="2494">
      <c r="A2494" t="inlineStr">
        <is>
          <t>ORD02493</t>
        </is>
      </c>
      <c r="B2494" t="inlineStr">
        <is>
          <t>C2493</t>
        </is>
      </c>
      <c r="C2494" t="n">
        <v>3</v>
      </c>
      <c r="D2494" t="inlineStr">
        <is>
          <t>Hub A</t>
        </is>
      </c>
      <c r="E2494" t="n">
        <v>69</v>
      </c>
      <c r="F2494" t="n">
        <v>47.544</v>
      </c>
    </row>
    <row r="2495">
      <c r="A2495" t="inlineStr">
        <is>
          <t>ORD02494</t>
        </is>
      </c>
      <c r="B2495" t="inlineStr">
        <is>
          <t>C2494</t>
        </is>
      </c>
      <c r="C2495" t="n">
        <v>1</v>
      </c>
      <c r="D2495" t="inlineStr">
        <is>
          <t>Hub A</t>
        </is>
      </c>
      <c r="E2495" t="n">
        <v>76</v>
      </c>
      <c r="F2495" t="n">
        <v>47.544</v>
      </c>
    </row>
    <row r="2496">
      <c r="A2496" t="inlineStr">
        <is>
          <t>ORD02495</t>
        </is>
      </c>
      <c r="B2496" t="inlineStr">
        <is>
          <t>C2495</t>
        </is>
      </c>
      <c r="C2496" t="n">
        <v>2</v>
      </c>
      <c r="D2496" t="inlineStr">
        <is>
          <t>Hub A</t>
        </is>
      </c>
      <c r="E2496" t="n">
        <v>23</v>
      </c>
      <c r="F2496" t="n">
        <v>47.544</v>
      </c>
    </row>
    <row r="2497">
      <c r="A2497" t="inlineStr">
        <is>
          <t>ORD02496</t>
        </is>
      </c>
      <c r="B2497" t="inlineStr">
        <is>
          <t>C2496</t>
        </is>
      </c>
      <c r="C2497" t="n">
        <v>3</v>
      </c>
      <c r="D2497" t="inlineStr">
        <is>
          <t>Hub A</t>
        </is>
      </c>
      <c r="E2497" t="n">
        <v>30</v>
      </c>
      <c r="F2497" t="n">
        <v>47.544</v>
      </c>
    </row>
    <row r="2498">
      <c r="A2498" t="inlineStr">
        <is>
          <t>ORD02497</t>
        </is>
      </c>
      <c r="B2498" t="inlineStr">
        <is>
          <t>C2497</t>
        </is>
      </c>
      <c r="C2498" t="n">
        <v>1</v>
      </c>
      <c r="D2498" t="inlineStr">
        <is>
          <t>Hub A</t>
        </is>
      </c>
      <c r="E2498" t="n">
        <v>37</v>
      </c>
      <c r="F2498" t="n">
        <v>47.544</v>
      </c>
    </row>
    <row r="2499">
      <c r="A2499" t="inlineStr">
        <is>
          <t>ORD02498</t>
        </is>
      </c>
      <c r="B2499" t="inlineStr">
        <is>
          <t>C2498</t>
        </is>
      </c>
      <c r="C2499" t="n">
        <v>2</v>
      </c>
      <c r="D2499" t="inlineStr">
        <is>
          <t>Hub A</t>
        </is>
      </c>
      <c r="E2499" t="n">
        <v>44</v>
      </c>
      <c r="F2499" t="n">
        <v>47.544</v>
      </c>
    </row>
    <row r="2500">
      <c r="A2500" t="inlineStr">
        <is>
          <t>ORD02499</t>
        </is>
      </c>
      <c r="B2500" t="inlineStr">
        <is>
          <t>C2499</t>
        </is>
      </c>
      <c r="C2500" t="n">
        <v>3</v>
      </c>
      <c r="D2500" t="inlineStr">
        <is>
          <t>Hub A</t>
        </is>
      </c>
      <c r="E2500" t="n">
        <v>51</v>
      </c>
      <c r="F2500" t="n">
        <v>47.544</v>
      </c>
    </row>
    <row r="2501">
      <c r="A2501" t="inlineStr">
        <is>
          <t>ORD02500</t>
        </is>
      </c>
      <c r="B2501" t="inlineStr">
        <is>
          <t>C2500</t>
        </is>
      </c>
      <c r="C2501" t="n">
        <v>1</v>
      </c>
      <c r="D2501" t="inlineStr">
        <is>
          <t>Hub A</t>
        </is>
      </c>
      <c r="E2501" t="n">
        <v>58</v>
      </c>
      <c r="F2501" t="n">
        <v>47.544</v>
      </c>
    </row>
    <row r="2502">
      <c r="A2502" t="inlineStr">
        <is>
          <t>ORD02501</t>
        </is>
      </c>
      <c r="B2502" t="inlineStr">
        <is>
          <t>C0001</t>
        </is>
      </c>
      <c r="C2502" t="n">
        <v>2</v>
      </c>
      <c r="D2502" t="inlineStr">
        <is>
          <t>Hub A</t>
        </is>
      </c>
      <c r="E2502" t="n">
        <v>65</v>
      </c>
      <c r="F2502" t="n">
        <v>47.544</v>
      </c>
    </row>
    <row r="2503">
      <c r="A2503" t="inlineStr">
        <is>
          <t>ORD02502</t>
        </is>
      </c>
      <c r="B2503" t="inlineStr">
        <is>
          <t>C0002</t>
        </is>
      </c>
      <c r="C2503" t="n">
        <v>3</v>
      </c>
      <c r="D2503" t="inlineStr">
        <is>
          <t>Hub A</t>
        </is>
      </c>
      <c r="E2503" t="n">
        <v>72</v>
      </c>
      <c r="F2503" t="n">
        <v>47.544</v>
      </c>
    </row>
    <row r="2504">
      <c r="A2504" t="inlineStr">
        <is>
          <t>ORD02503</t>
        </is>
      </c>
      <c r="B2504" t="inlineStr">
        <is>
          <t>C0003</t>
        </is>
      </c>
      <c r="C2504" t="n">
        <v>1</v>
      </c>
      <c r="D2504" t="inlineStr">
        <is>
          <t>Hub A</t>
        </is>
      </c>
      <c r="E2504" t="n">
        <v>19</v>
      </c>
      <c r="F2504" t="n">
        <v>47.544</v>
      </c>
    </row>
    <row r="2505">
      <c r="A2505" t="inlineStr">
        <is>
          <t>ORD02504</t>
        </is>
      </c>
      <c r="B2505" t="inlineStr">
        <is>
          <t>C0004</t>
        </is>
      </c>
      <c r="C2505" t="n">
        <v>2</v>
      </c>
      <c r="D2505" t="inlineStr">
        <is>
          <t>Hub A</t>
        </is>
      </c>
      <c r="E2505" t="n">
        <v>26</v>
      </c>
      <c r="F2505" t="n">
        <v>47.544</v>
      </c>
    </row>
    <row r="2506">
      <c r="A2506" t="inlineStr">
        <is>
          <t>ORD02505</t>
        </is>
      </c>
      <c r="B2506" t="inlineStr">
        <is>
          <t>C0005</t>
        </is>
      </c>
      <c r="C2506" t="n">
        <v>3</v>
      </c>
      <c r="D2506" t="inlineStr">
        <is>
          <t>Hub A</t>
        </is>
      </c>
      <c r="E2506" t="n">
        <v>33</v>
      </c>
      <c r="F2506" t="n">
        <v>47.544</v>
      </c>
    </row>
    <row r="2507">
      <c r="A2507" t="inlineStr">
        <is>
          <t>ORD02506</t>
        </is>
      </c>
      <c r="B2507" t="inlineStr">
        <is>
          <t>C0006</t>
        </is>
      </c>
      <c r="C2507" t="n">
        <v>1</v>
      </c>
      <c r="D2507" t="inlineStr">
        <is>
          <t>Hub A</t>
        </is>
      </c>
      <c r="E2507" t="n">
        <v>40</v>
      </c>
      <c r="F2507" t="n">
        <v>47.544</v>
      </c>
    </row>
    <row r="2508">
      <c r="A2508" t="inlineStr">
        <is>
          <t>ORD02507</t>
        </is>
      </c>
      <c r="B2508" t="inlineStr">
        <is>
          <t>C0007</t>
        </is>
      </c>
      <c r="C2508" t="n">
        <v>2</v>
      </c>
      <c r="D2508" t="inlineStr">
        <is>
          <t>Hub A</t>
        </is>
      </c>
      <c r="E2508" t="n">
        <v>47</v>
      </c>
      <c r="F2508" t="n">
        <v>47.544</v>
      </c>
    </row>
    <row r="2509">
      <c r="A2509" t="inlineStr">
        <is>
          <t>ORD02508</t>
        </is>
      </c>
      <c r="B2509" t="inlineStr">
        <is>
          <t>C0008</t>
        </is>
      </c>
      <c r="C2509" t="n">
        <v>3</v>
      </c>
      <c r="D2509" t="inlineStr">
        <is>
          <t>Hub A</t>
        </is>
      </c>
      <c r="E2509" t="n">
        <v>54</v>
      </c>
      <c r="F2509" t="n">
        <v>47.544</v>
      </c>
    </row>
    <row r="2510">
      <c r="A2510" t="inlineStr">
        <is>
          <t>ORD02509</t>
        </is>
      </c>
      <c r="B2510" t="inlineStr">
        <is>
          <t>C0009</t>
        </is>
      </c>
      <c r="C2510" t="n">
        <v>1</v>
      </c>
      <c r="D2510" t="inlineStr">
        <is>
          <t>Hub A</t>
        </is>
      </c>
      <c r="E2510" t="n">
        <v>61</v>
      </c>
      <c r="F2510" t="n">
        <v>47.544</v>
      </c>
    </row>
    <row r="2511">
      <c r="A2511" t="inlineStr">
        <is>
          <t>ORD02510</t>
        </is>
      </c>
      <c r="B2511" t="inlineStr">
        <is>
          <t>C0010</t>
        </is>
      </c>
      <c r="C2511" t="n">
        <v>2</v>
      </c>
      <c r="D2511" t="inlineStr">
        <is>
          <t>Hub A</t>
        </is>
      </c>
      <c r="E2511" t="n">
        <v>68</v>
      </c>
      <c r="F2511" t="n">
        <v>47.544</v>
      </c>
    </row>
    <row r="2512">
      <c r="A2512" t="inlineStr">
        <is>
          <t>ORD02511</t>
        </is>
      </c>
      <c r="B2512" t="inlineStr">
        <is>
          <t>C0011</t>
        </is>
      </c>
      <c r="C2512" t="n">
        <v>3</v>
      </c>
      <c r="D2512" t="inlineStr">
        <is>
          <t>Hub A</t>
        </is>
      </c>
      <c r="E2512" t="n">
        <v>75</v>
      </c>
      <c r="F2512" t="n">
        <v>47.544</v>
      </c>
    </row>
    <row r="2513">
      <c r="A2513" t="inlineStr">
        <is>
          <t>ORD02512</t>
        </is>
      </c>
      <c r="B2513" t="inlineStr">
        <is>
          <t>C0012</t>
        </is>
      </c>
      <c r="C2513" t="n">
        <v>1</v>
      </c>
      <c r="D2513" t="inlineStr">
        <is>
          <t>Hub A</t>
        </is>
      </c>
      <c r="E2513" t="n">
        <v>22</v>
      </c>
      <c r="F2513" t="n">
        <v>47.544</v>
      </c>
    </row>
    <row r="2514">
      <c r="A2514" t="inlineStr">
        <is>
          <t>ORD02513</t>
        </is>
      </c>
      <c r="B2514" t="inlineStr">
        <is>
          <t>C0013</t>
        </is>
      </c>
      <c r="C2514" t="n">
        <v>2</v>
      </c>
      <c r="D2514" t="inlineStr">
        <is>
          <t>Hub A</t>
        </is>
      </c>
      <c r="E2514" t="n">
        <v>29</v>
      </c>
      <c r="F2514" t="n">
        <v>47.544</v>
      </c>
    </row>
    <row r="2515">
      <c r="A2515" t="inlineStr">
        <is>
          <t>ORD02514</t>
        </is>
      </c>
      <c r="B2515" t="inlineStr">
        <is>
          <t>C0014</t>
        </is>
      </c>
      <c r="C2515" t="n">
        <v>3</v>
      </c>
      <c r="D2515" t="inlineStr">
        <is>
          <t>Hub A</t>
        </is>
      </c>
      <c r="E2515" t="n">
        <v>36</v>
      </c>
      <c r="F2515" t="n">
        <v>47.544</v>
      </c>
    </row>
    <row r="2516">
      <c r="A2516" t="inlineStr">
        <is>
          <t>ORD02515</t>
        </is>
      </c>
      <c r="B2516" t="inlineStr">
        <is>
          <t>C0015</t>
        </is>
      </c>
      <c r="C2516" t="n">
        <v>1</v>
      </c>
      <c r="D2516" t="inlineStr">
        <is>
          <t>Hub A</t>
        </is>
      </c>
      <c r="E2516" t="n">
        <v>43</v>
      </c>
      <c r="F2516" t="n">
        <v>47.544</v>
      </c>
    </row>
    <row r="2517">
      <c r="A2517" t="inlineStr">
        <is>
          <t>ORD02516</t>
        </is>
      </c>
      <c r="B2517" t="inlineStr">
        <is>
          <t>C0016</t>
        </is>
      </c>
      <c r="C2517" t="n">
        <v>2</v>
      </c>
      <c r="D2517" t="inlineStr">
        <is>
          <t>Hub A</t>
        </is>
      </c>
      <c r="E2517" t="n">
        <v>50</v>
      </c>
      <c r="F2517" t="n">
        <v>47.544</v>
      </c>
    </row>
    <row r="2518">
      <c r="A2518" t="inlineStr">
        <is>
          <t>ORD02517</t>
        </is>
      </c>
      <c r="B2518" t="inlineStr">
        <is>
          <t>C0017</t>
        </is>
      </c>
      <c r="C2518" t="n">
        <v>3</v>
      </c>
      <c r="D2518" t="inlineStr">
        <is>
          <t>Hub A</t>
        </is>
      </c>
      <c r="E2518" t="n">
        <v>57</v>
      </c>
      <c r="F2518" t="n">
        <v>47.544</v>
      </c>
    </row>
    <row r="2519">
      <c r="A2519" t="inlineStr">
        <is>
          <t>ORD02518</t>
        </is>
      </c>
      <c r="B2519" t="inlineStr">
        <is>
          <t>C0018</t>
        </is>
      </c>
      <c r="C2519" t="n">
        <v>1</v>
      </c>
      <c r="D2519" t="inlineStr">
        <is>
          <t>Hub A</t>
        </is>
      </c>
      <c r="E2519" t="n">
        <v>64</v>
      </c>
      <c r="F2519" t="n">
        <v>47.544</v>
      </c>
    </row>
    <row r="2520">
      <c r="A2520" t="inlineStr">
        <is>
          <t>ORD02519</t>
        </is>
      </c>
      <c r="B2520" t="inlineStr">
        <is>
          <t>C0019</t>
        </is>
      </c>
      <c r="C2520" t="n">
        <v>2</v>
      </c>
      <c r="D2520" t="inlineStr">
        <is>
          <t>Hub A</t>
        </is>
      </c>
      <c r="E2520" t="n">
        <v>71</v>
      </c>
      <c r="F2520" t="n">
        <v>47.544</v>
      </c>
    </row>
    <row r="2521">
      <c r="A2521" t="inlineStr">
        <is>
          <t>ORD02520</t>
        </is>
      </c>
      <c r="B2521" t="inlineStr">
        <is>
          <t>C0020</t>
        </is>
      </c>
      <c r="C2521" t="n">
        <v>3</v>
      </c>
      <c r="D2521" t="inlineStr">
        <is>
          <t>Hub A</t>
        </is>
      </c>
      <c r="E2521" t="n">
        <v>18</v>
      </c>
      <c r="F2521" t="n">
        <v>47.544</v>
      </c>
    </row>
    <row r="2522">
      <c r="A2522" t="inlineStr">
        <is>
          <t>ORD02521</t>
        </is>
      </c>
      <c r="B2522" t="inlineStr">
        <is>
          <t>C0021</t>
        </is>
      </c>
      <c r="C2522" t="n">
        <v>1</v>
      </c>
      <c r="D2522" t="inlineStr">
        <is>
          <t>Hub A</t>
        </is>
      </c>
      <c r="E2522" t="n">
        <v>25</v>
      </c>
      <c r="F2522" t="n">
        <v>47.544</v>
      </c>
    </row>
    <row r="2523">
      <c r="A2523" t="inlineStr">
        <is>
          <t>ORD02522</t>
        </is>
      </c>
      <c r="B2523" t="inlineStr">
        <is>
          <t>C0022</t>
        </is>
      </c>
      <c r="C2523" t="n">
        <v>2</v>
      </c>
      <c r="D2523" t="inlineStr">
        <is>
          <t>Hub A</t>
        </is>
      </c>
      <c r="E2523" t="n">
        <v>32</v>
      </c>
      <c r="F2523" t="n">
        <v>47.544</v>
      </c>
    </row>
    <row r="2524">
      <c r="A2524" t="inlineStr">
        <is>
          <t>ORD02523</t>
        </is>
      </c>
      <c r="B2524" t="inlineStr">
        <is>
          <t>C0023</t>
        </is>
      </c>
      <c r="C2524" t="n">
        <v>3</v>
      </c>
      <c r="D2524" t="inlineStr">
        <is>
          <t>Hub A</t>
        </is>
      </c>
      <c r="E2524" t="n">
        <v>39</v>
      </c>
      <c r="F2524" t="n">
        <v>47.544</v>
      </c>
    </row>
    <row r="2525">
      <c r="A2525" t="inlineStr">
        <is>
          <t>ORD02524</t>
        </is>
      </c>
      <c r="B2525" t="inlineStr">
        <is>
          <t>C0024</t>
        </is>
      </c>
      <c r="C2525" t="n">
        <v>1</v>
      </c>
      <c r="D2525" t="inlineStr">
        <is>
          <t>Hub A</t>
        </is>
      </c>
      <c r="E2525" t="n">
        <v>46</v>
      </c>
      <c r="F2525" t="n">
        <v>47.544</v>
      </c>
    </row>
    <row r="2526">
      <c r="A2526" t="inlineStr">
        <is>
          <t>ORD02525</t>
        </is>
      </c>
      <c r="B2526" t="inlineStr">
        <is>
          <t>C0025</t>
        </is>
      </c>
      <c r="C2526" t="n">
        <v>2</v>
      </c>
      <c r="D2526" t="inlineStr">
        <is>
          <t>Hub A</t>
        </is>
      </c>
      <c r="E2526" t="n">
        <v>53</v>
      </c>
      <c r="F2526" t="n">
        <v>47.544</v>
      </c>
    </row>
    <row r="2527">
      <c r="A2527" t="inlineStr">
        <is>
          <t>ORD02526</t>
        </is>
      </c>
      <c r="B2527" t="inlineStr">
        <is>
          <t>C0026</t>
        </is>
      </c>
      <c r="C2527" t="n">
        <v>3</v>
      </c>
      <c r="D2527" t="inlineStr">
        <is>
          <t>Hub A</t>
        </is>
      </c>
      <c r="E2527" t="n">
        <v>60</v>
      </c>
      <c r="F2527" t="n">
        <v>47.544</v>
      </c>
    </row>
    <row r="2528">
      <c r="A2528" t="inlineStr">
        <is>
          <t>ORD02527</t>
        </is>
      </c>
      <c r="B2528" t="inlineStr">
        <is>
          <t>C0027</t>
        </is>
      </c>
      <c r="C2528" t="n">
        <v>1</v>
      </c>
      <c r="D2528" t="inlineStr">
        <is>
          <t>Hub A</t>
        </is>
      </c>
      <c r="E2528" t="n">
        <v>67</v>
      </c>
      <c r="F2528" t="n">
        <v>47.544</v>
      </c>
    </row>
    <row r="2529">
      <c r="A2529" t="inlineStr">
        <is>
          <t>ORD02528</t>
        </is>
      </c>
      <c r="B2529" t="inlineStr">
        <is>
          <t>C0028</t>
        </is>
      </c>
      <c r="C2529" t="n">
        <v>2</v>
      </c>
      <c r="D2529" t="inlineStr">
        <is>
          <t>Hub A</t>
        </is>
      </c>
      <c r="E2529" t="n">
        <v>74</v>
      </c>
      <c r="F2529" t="n">
        <v>47.544</v>
      </c>
    </row>
    <row r="2530">
      <c r="A2530" t="inlineStr">
        <is>
          <t>ORD02529</t>
        </is>
      </c>
      <c r="B2530" t="inlineStr">
        <is>
          <t>C0029</t>
        </is>
      </c>
      <c r="C2530" t="n">
        <v>3</v>
      </c>
      <c r="D2530" t="inlineStr">
        <is>
          <t>Hub A</t>
        </is>
      </c>
      <c r="E2530" t="n">
        <v>21</v>
      </c>
      <c r="F2530" t="n">
        <v>47.544</v>
      </c>
    </row>
    <row r="2531">
      <c r="A2531" t="inlineStr">
        <is>
          <t>ORD02530</t>
        </is>
      </c>
      <c r="B2531" t="inlineStr">
        <is>
          <t>C0030</t>
        </is>
      </c>
      <c r="C2531" t="n">
        <v>1</v>
      </c>
      <c r="D2531" t="inlineStr">
        <is>
          <t>Hub A</t>
        </is>
      </c>
      <c r="E2531" t="n">
        <v>28</v>
      </c>
      <c r="F2531" t="n">
        <v>47.544</v>
      </c>
    </row>
    <row r="2532">
      <c r="A2532" t="inlineStr">
        <is>
          <t>ORD02531</t>
        </is>
      </c>
      <c r="B2532" t="inlineStr">
        <is>
          <t>C0031</t>
        </is>
      </c>
      <c r="C2532" t="n">
        <v>2</v>
      </c>
      <c r="D2532" t="inlineStr">
        <is>
          <t>Hub A</t>
        </is>
      </c>
      <c r="E2532" t="n">
        <v>35</v>
      </c>
      <c r="F2532" t="n">
        <v>47.544</v>
      </c>
    </row>
    <row r="2533">
      <c r="A2533" t="inlineStr">
        <is>
          <t>ORD02532</t>
        </is>
      </c>
      <c r="B2533" t="inlineStr">
        <is>
          <t>C0032</t>
        </is>
      </c>
      <c r="C2533" t="n">
        <v>3</v>
      </c>
      <c r="D2533" t="inlineStr">
        <is>
          <t>Hub A</t>
        </is>
      </c>
      <c r="E2533" t="n">
        <v>42</v>
      </c>
      <c r="F2533" t="n">
        <v>47.544</v>
      </c>
    </row>
    <row r="2534">
      <c r="A2534" t="inlineStr">
        <is>
          <t>ORD02533</t>
        </is>
      </c>
      <c r="B2534" t="inlineStr">
        <is>
          <t>C0033</t>
        </is>
      </c>
      <c r="C2534" t="n">
        <v>1</v>
      </c>
      <c r="D2534" t="inlineStr">
        <is>
          <t>Hub A</t>
        </is>
      </c>
      <c r="E2534" t="n">
        <v>49</v>
      </c>
      <c r="F2534" t="n">
        <v>47.544</v>
      </c>
    </row>
    <row r="2535">
      <c r="A2535" t="inlineStr">
        <is>
          <t>ORD02534</t>
        </is>
      </c>
      <c r="B2535" t="inlineStr">
        <is>
          <t>C0034</t>
        </is>
      </c>
      <c r="C2535" t="n">
        <v>2</v>
      </c>
      <c r="D2535" t="inlineStr">
        <is>
          <t>Hub A</t>
        </is>
      </c>
      <c r="E2535" t="n">
        <v>56</v>
      </c>
      <c r="F2535" t="n">
        <v>47.544</v>
      </c>
    </row>
    <row r="2536">
      <c r="A2536" t="inlineStr">
        <is>
          <t>ORD02535</t>
        </is>
      </c>
      <c r="B2536" t="inlineStr">
        <is>
          <t>C0035</t>
        </is>
      </c>
      <c r="C2536" t="n">
        <v>3</v>
      </c>
      <c r="D2536" t="inlineStr">
        <is>
          <t>Hub A</t>
        </is>
      </c>
      <c r="E2536" t="n">
        <v>63</v>
      </c>
      <c r="F2536" t="n">
        <v>47.544</v>
      </c>
    </row>
    <row r="2537">
      <c r="A2537" t="inlineStr">
        <is>
          <t>ORD02536</t>
        </is>
      </c>
      <c r="B2537" t="inlineStr">
        <is>
          <t>C0036</t>
        </is>
      </c>
      <c r="C2537" t="n">
        <v>1</v>
      </c>
      <c r="D2537" t="inlineStr">
        <is>
          <t>Hub A</t>
        </is>
      </c>
      <c r="E2537" t="n">
        <v>70</v>
      </c>
      <c r="F2537" t="n">
        <v>47.544</v>
      </c>
    </row>
    <row r="2538">
      <c r="A2538" t="inlineStr">
        <is>
          <t>ORD02537</t>
        </is>
      </c>
      <c r="B2538" t="inlineStr">
        <is>
          <t>C0037</t>
        </is>
      </c>
      <c r="C2538" t="n">
        <v>2</v>
      </c>
      <c r="D2538" t="inlineStr">
        <is>
          <t>Hub A</t>
        </is>
      </c>
      <c r="E2538" t="n">
        <v>77</v>
      </c>
      <c r="F2538" t="n">
        <v>47.544</v>
      </c>
    </row>
    <row r="2539">
      <c r="A2539" t="inlineStr">
        <is>
          <t>ORD02538</t>
        </is>
      </c>
      <c r="B2539" t="inlineStr">
        <is>
          <t>C0038</t>
        </is>
      </c>
      <c r="C2539" t="n">
        <v>3</v>
      </c>
      <c r="D2539" t="inlineStr">
        <is>
          <t>Hub A</t>
        </is>
      </c>
      <c r="E2539" t="n">
        <v>24</v>
      </c>
      <c r="F2539" t="n">
        <v>47.544</v>
      </c>
    </row>
    <row r="2540">
      <c r="A2540" t="inlineStr">
        <is>
          <t>ORD02539</t>
        </is>
      </c>
      <c r="B2540" t="inlineStr">
        <is>
          <t>C0039</t>
        </is>
      </c>
      <c r="C2540" t="n">
        <v>1</v>
      </c>
      <c r="D2540" t="inlineStr">
        <is>
          <t>Hub A</t>
        </is>
      </c>
      <c r="E2540" t="n">
        <v>31</v>
      </c>
      <c r="F2540" t="n">
        <v>47.544</v>
      </c>
    </row>
    <row r="2541">
      <c r="A2541" t="inlineStr">
        <is>
          <t>ORD02540</t>
        </is>
      </c>
      <c r="B2541" t="inlineStr">
        <is>
          <t>C0040</t>
        </is>
      </c>
      <c r="C2541" t="n">
        <v>2</v>
      </c>
      <c r="D2541" t="inlineStr">
        <is>
          <t>Hub A</t>
        </is>
      </c>
      <c r="E2541" t="n">
        <v>38</v>
      </c>
      <c r="F2541" t="n">
        <v>47.544</v>
      </c>
    </row>
    <row r="2542">
      <c r="A2542" t="inlineStr">
        <is>
          <t>ORD02541</t>
        </is>
      </c>
      <c r="B2542" t="inlineStr">
        <is>
          <t>C0041</t>
        </is>
      </c>
      <c r="C2542" t="n">
        <v>3</v>
      </c>
      <c r="D2542" t="inlineStr">
        <is>
          <t>Hub A</t>
        </is>
      </c>
      <c r="E2542" t="n">
        <v>45</v>
      </c>
      <c r="F2542" t="n">
        <v>47.544</v>
      </c>
    </row>
    <row r="2543">
      <c r="A2543" t="inlineStr">
        <is>
          <t>ORD02542</t>
        </is>
      </c>
      <c r="B2543" t="inlineStr">
        <is>
          <t>C0042</t>
        </is>
      </c>
      <c r="C2543" t="n">
        <v>1</v>
      </c>
      <c r="D2543" t="inlineStr">
        <is>
          <t>Hub A</t>
        </is>
      </c>
      <c r="E2543" t="n">
        <v>52</v>
      </c>
      <c r="F2543" t="n">
        <v>47.544</v>
      </c>
    </row>
    <row r="2544">
      <c r="A2544" t="inlineStr">
        <is>
          <t>ORD02543</t>
        </is>
      </c>
      <c r="B2544" t="inlineStr">
        <is>
          <t>C0043</t>
        </is>
      </c>
      <c r="C2544" t="n">
        <v>2</v>
      </c>
      <c r="D2544" t="inlineStr">
        <is>
          <t>Hub A</t>
        </is>
      </c>
      <c r="E2544" t="n">
        <v>59</v>
      </c>
      <c r="F2544" t="n">
        <v>47.544</v>
      </c>
    </row>
    <row r="2545">
      <c r="A2545" t="inlineStr">
        <is>
          <t>ORD02544</t>
        </is>
      </c>
      <c r="B2545" t="inlineStr">
        <is>
          <t>C0044</t>
        </is>
      </c>
      <c r="C2545" t="n">
        <v>3</v>
      </c>
      <c r="D2545" t="inlineStr">
        <is>
          <t>Hub A</t>
        </is>
      </c>
      <c r="E2545" t="n">
        <v>66</v>
      </c>
      <c r="F2545" t="n">
        <v>47.544</v>
      </c>
    </row>
    <row r="2546">
      <c r="A2546" t="inlineStr">
        <is>
          <t>ORD02545</t>
        </is>
      </c>
      <c r="B2546" t="inlineStr">
        <is>
          <t>C0045</t>
        </is>
      </c>
      <c r="C2546" t="n">
        <v>1</v>
      </c>
      <c r="D2546" t="inlineStr">
        <is>
          <t>Hub A</t>
        </is>
      </c>
      <c r="E2546" t="n">
        <v>73</v>
      </c>
      <c r="F2546" t="n">
        <v>47.544</v>
      </c>
    </row>
    <row r="2547">
      <c r="A2547" t="inlineStr">
        <is>
          <t>ORD02546</t>
        </is>
      </c>
      <c r="B2547" t="inlineStr">
        <is>
          <t>C0046</t>
        </is>
      </c>
      <c r="C2547" t="n">
        <v>2</v>
      </c>
      <c r="D2547" t="inlineStr">
        <is>
          <t>Hub A</t>
        </is>
      </c>
      <c r="E2547" t="n">
        <v>20</v>
      </c>
      <c r="F2547" t="n">
        <v>47.544</v>
      </c>
    </row>
    <row r="2548">
      <c r="A2548" t="inlineStr">
        <is>
          <t>ORD02547</t>
        </is>
      </c>
      <c r="B2548" t="inlineStr">
        <is>
          <t>C0047</t>
        </is>
      </c>
      <c r="C2548" t="n">
        <v>3</v>
      </c>
      <c r="D2548" t="inlineStr">
        <is>
          <t>Hub A</t>
        </is>
      </c>
      <c r="E2548" t="n">
        <v>27</v>
      </c>
      <c r="F2548" t="n">
        <v>47.544</v>
      </c>
    </row>
    <row r="2549">
      <c r="A2549" t="inlineStr">
        <is>
          <t>ORD02548</t>
        </is>
      </c>
      <c r="B2549" t="inlineStr">
        <is>
          <t>C0048</t>
        </is>
      </c>
      <c r="C2549" t="n">
        <v>1</v>
      </c>
      <c r="D2549" t="inlineStr">
        <is>
          <t>Hub A</t>
        </is>
      </c>
      <c r="E2549" t="n">
        <v>34</v>
      </c>
      <c r="F2549" t="n">
        <v>47.544</v>
      </c>
    </row>
    <row r="2550">
      <c r="A2550" t="inlineStr">
        <is>
          <t>ORD02549</t>
        </is>
      </c>
      <c r="B2550" t="inlineStr">
        <is>
          <t>C0049</t>
        </is>
      </c>
      <c r="C2550" t="n">
        <v>2</v>
      </c>
      <c r="D2550" t="inlineStr">
        <is>
          <t>Hub A</t>
        </is>
      </c>
      <c r="E2550" t="n">
        <v>41</v>
      </c>
      <c r="F2550" t="n">
        <v>47.544</v>
      </c>
    </row>
    <row r="2551">
      <c r="A2551" t="inlineStr">
        <is>
          <t>ORD02550</t>
        </is>
      </c>
      <c r="B2551" t="inlineStr">
        <is>
          <t>C0050</t>
        </is>
      </c>
      <c r="C2551" t="n">
        <v>3</v>
      </c>
      <c r="D2551" t="inlineStr">
        <is>
          <t>Hub A</t>
        </is>
      </c>
      <c r="E2551" t="n">
        <v>48</v>
      </c>
      <c r="F2551" t="n">
        <v>47.544</v>
      </c>
    </row>
    <row r="2552">
      <c r="A2552" t="inlineStr">
        <is>
          <t>ORD02551</t>
        </is>
      </c>
      <c r="B2552" t="inlineStr">
        <is>
          <t>C0051</t>
        </is>
      </c>
      <c r="C2552" t="n">
        <v>1</v>
      </c>
      <c r="D2552" t="inlineStr">
        <is>
          <t>Hub A</t>
        </is>
      </c>
      <c r="E2552" t="n">
        <v>55</v>
      </c>
      <c r="F2552" t="n">
        <v>47.544</v>
      </c>
    </row>
    <row r="2553">
      <c r="A2553" t="inlineStr">
        <is>
          <t>ORD02552</t>
        </is>
      </c>
      <c r="B2553" t="inlineStr">
        <is>
          <t>C0052</t>
        </is>
      </c>
      <c r="C2553" t="n">
        <v>2</v>
      </c>
      <c r="D2553" t="inlineStr">
        <is>
          <t>Hub A</t>
        </is>
      </c>
      <c r="E2553" t="n">
        <v>62</v>
      </c>
      <c r="F2553" t="n">
        <v>47.544</v>
      </c>
    </row>
    <row r="2554">
      <c r="A2554" t="inlineStr">
        <is>
          <t>ORD02553</t>
        </is>
      </c>
      <c r="B2554" t="inlineStr">
        <is>
          <t>C0053</t>
        </is>
      </c>
      <c r="C2554" t="n">
        <v>3</v>
      </c>
      <c r="D2554" t="inlineStr">
        <is>
          <t>Hub A</t>
        </is>
      </c>
      <c r="E2554" t="n">
        <v>69</v>
      </c>
      <c r="F2554" t="n">
        <v>47.544</v>
      </c>
    </row>
    <row r="2555">
      <c r="A2555" t="inlineStr">
        <is>
          <t>ORD02554</t>
        </is>
      </c>
      <c r="B2555" t="inlineStr">
        <is>
          <t>C0054</t>
        </is>
      </c>
      <c r="C2555" t="n">
        <v>1</v>
      </c>
      <c r="D2555" t="inlineStr">
        <is>
          <t>Hub A</t>
        </is>
      </c>
      <c r="E2555" t="n">
        <v>76</v>
      </c>
      <c r="F2555" t="n">
        <v>47.544</v>
      </c>
    </row>
    <row r="2556">
      <c r="A2556" t="inlineStr">
        <is>
          <t>ORD02555</t>
        </is>
      </c>
      <c r="B2556" t="inlineStr">
        <is>
          <t>C0055</t>
        </is>
      </c>
      <c r="C2556" t="n">
        <v>2</v>
      </c>
      <c r="D2556" t="inlineStr">
        <is>
          <t>Hub A</t>
        </is>
      </c>
      <c r="E2556" t="n">
        <v>23</v>
      </c>
      <c r="F2556" t="n">
        <v>47.544</v>
      </c>
    </row>
    <row r="2557">
      <c r="A2557" t="inlineStr">
        <is>
          <t>ORD02556</t>
        </is>
      </c>
      <c r="B2557" t="inlineStr">
        <is>
          <t>C0056</t>
        </is>
      </c>
      <c r="C2557" t="n">
        <v>3</v>
      </c>
      <c r="D2557" t="inlineStr">
        <is>
          <t>Hub A</t>
        </is>
      </c>
      <c r="E2557" t="n">
        <v>30</v>
      </c>
      <c r="F2557" t="n">
        <v>47.544</v>
      </c>
    </row>
    <row r="2558">
      <c r="A2558" t="inlineStr">
        <is>
          <t>ORD02557</t>
        </is>
      </c>
      <c r="B2558" t="inlineStr">
        <is>
          <t>C0057</t>
        </is>
      </c>
      <c r="C2558" t="n">
        <v>1</v>
      </c>
      <c r="D2558" t="inlineStr">
        <is>
          <t>Hub A</t>
        </is>
      </c>
      <c r="E2558" t="n">
        <v>37</v>
      </c>
      <c r="F2558" t="n">
        <v>47.544</v>
      </c>
    </row>
    <row r="2559">
      <c r="A2559" t="inlineStr">
        <is>
          <t>ORD02558</t>
        </is>
      </c>
      <c r="B2559" t="inlineStr">
        <is>
          <t>C0058</t>
        </is>
      </c>
      <c r="C2559" t="n">
        <v>2</v>
      </c>
      <c r="D2559" t="inlineStr">
        <is>
          <t>Hub A</t>
        </is>
      </c>
      <c r="E2559" t="n">
        <v>44</v>
      </c>
      <c r="F2559" t="n">
        <v>47.544</v>
      </c>
    </row>
    <row r="2560">
      <c r="A2560" t="inlineStr">
        <is>
          <t>ORD02559</t>
        </is>
      </c>
      <c r="B2560" t="inlineStr">
        <is>
          <t>C0059</t>
        </is>
      </c>
      <c r="C2560" t="n">
        <v>3</v>
      </c>
      <c r="D2560" t="inlineStr">
        <is>
          <t>Hub A</t>
        </is>
      </c>
      <c r="E2560" t="n">
        <v>51</v>
      </c>
      <c r="F2560" t="n">
        <v>47.544</v>
      </c>
    </row>
    <row r="2561">
      <c r="A2561" t="inlineStr">
        <is>
          <t>ORD02560</t>
        </is>
      </c>
      <c r="B2561" t="inlineStr">
        <is>
          <t>C0060</t>
        </is>
      </c>
      <c r="C2561" t="n">
        <v>1</v>
      </c>
      <c r="D2561" t="inlineStr">
        <is>
          <t>Hub A</t>
        </is>
      </c>
      <c r="E2561" t="n">
        <v>58</v>
      </c>
      <c r="F2561" t="n">
        <v>47.544</v>
      </c>
    </row>
    <row r="2562">
      <c r="A2562" t="inlineStr">
        <is>
          <t>ORD02561</t>
        </is>
      </c>
      <c r="B2562" t="inlineStr">
        <is>
          <t>C0061</t>
        </is>
      </c>
      <c r="C2562" t="n">
        <v>2</v>
      </c>
      <c r="D2562" t="inlineStr">
        <is>
          <t>Hub A</t>
        </is>
      </c>
      <c r="E2562" t="n">
        <v>65</v>
      </c>
      <c r="F2562" t="n">
        <v>47.544</v>
      </c>
    </row>
    <row r="2563">
      <c r="A2563" t="inlineStr">
        <is>
          <t>ORD02562</t>
        </is>
      </c>
      <c r="B2563" t="inlineStr">
        <is>
          <t>C0062</t>
        </is>
      </c>
      <c r="C2563" t="n">
        <v>3</v>
      </c>
      <c r="D2563" t="inlineStr">
        <is>
          <t>Hub A</t>
        </is>
      </c>
      <c r="E2563" t="n">
        <v>72</v>
      </c>
      <c r="F2563" t="n">
        <v>47.544</v>
      </c>
    </row>
    <row r="2564">
      <c r="A2564" t="inlineStr">
        <is>
          <t>ORD02563</t>
        </is>
      </c>
      <c r="B2564" t="inlineStr">
        <is>
          <t>C0063</t>
        </is>
      </c>
      <c r="C2564" t="n">
        <v>1</v>
      </c>
      <c r="D2564" t="inlineStr">
        <is>
          <t>Hub A</t>
        </is>
      </c>
      <c r="E2564" t="n">
        <v>19</v>
      </c>
      <c r="F2564" t="n">
        <v>47.544</v>
      </c>
    </row>
    <row r="2565">
      <c r="A2565" t="inlineStr">
        <is>
          <t>ORD02564</t>
        </is>
      </c>
      <c r="B2565" t="inlineStr">
        <is>
          <t>C0064</t>
        </is>
      </c>
      <c r="C2565" t="n">
        <v>2</v>
      </c>
      <c r="D2565" t="inlineStr">
        <is>
          <t>Hub A</t>
        </is>
      </c>
      <c r="E2565" t="n">
        <v>26</v>
      </c>
      <c r="F2565" t="n">
        <v>47.544</v>
      </c>
    </row>
    <row r="2566">
      <c r="A2566" t="inlineStr">
        <is>
          <t>ORD02565</t>
        </is>
      </c>
      <c r="B2566" t="inlineStr">
        <is>
          <t>C0065</t>
        </is>
      </c>
      <c r="C2566" t="n">
        <v>3</v>
      </c>
      <c r="D2566" t="inlineStr">
        <is>
          <t>Hub A</t>
        </is>
      </c>
      <c r="E2566" t="n">
        <v>33</v>
      </c>
      <c r="F2566" t="n">
        <v>47.544</v>
      </c>
    </row>
    <row r="2567">
      <c r="A2567" t="inlineStr">
        <is>
          <t>ORD02566</t>
        </is>
      </c>
      <c r="B2567" t="inlineStr">
        <is>
          <t>C0066</t>
        </is>
      </c>
      <c r="C2567" t="n">
        <v>1</v>
      </c>
      <c r="D2567" t="inlineStr">
        <is>
          <t>Hub A</t>
        </is>
      </c>
      <c r="E2567" t="n">
        <v>40</v>
      </c>
      <c r="F2567" t="n">
        <v>47.544</v>
      </c>
    </row>
    <row r="2568">
      <c r="A2568" t="inlineStr">
        <is>
          <t>ORD02567</t>
        </is>
      </c>
      <c r="B2568" t="inlineStr">
        <is>
          <t>C0067</t>
        </is>
      </c>
      <c r="C2568" t="n">
        <v>2</v>
      </c>
      <c r="D2568" t="inlineStr">
        <is>
          <t>Hub A</t>
        </is>
      </c>
      <c r="E2568" t="n">
        <v>47</v>
      </c>
      <c r="F2568" t="n">
        <v>47.544</v>
      </c>
    </row>
    <row r="2569">
      <c r="A2569" t="inlineStr">
        <is>
          <t>ORD02568</t>
        </is>
      </c>
      <c r="B2569" t="inlineStr">
        <is>
          <t>C0068</t>
        </is>
      </c>
      <c r="C2569" t="n">
        <v>3</v>
      </c>
      <c r="D2569" t="inlineStr">
        <is>
          <t>Hub A</t>
        </is>
      </c>
      <c r="E2569" t="n">
        <v>54</v>
      </c>
      <c r="F2569" t="n">
        <v>47.544</v>
      </c>
    </row>
    <row r="2570">
      <c r="A2570" t="inlineStr">
        <is>
          <t>ORD02569</t>
        </is>
      </c>
      <c r="B2570" t="inlineStr">
        <is>
          <t>C0069</t>
        </is>
      </c>
      <c r="C2570" t="n">
        <v>1</v>
      </c>
      <c r="D2570" t="inlineStr">
        <is>
          <t>Hub A</t>
        </is>
      </c>
      <c r="E2570" t="n">
        <v>61</v>
      </c>
      <c r="F2570" t="n">
        <v>47.544</v>
      </c>
    </row>
    <row r="2571">
      <c r="A2571" t="inlineStr">
        <is>
          <t>ORD02570</t>
        </is>
      </c>
      <c r="B2571" t="inlineStr">
        <is>
          <t>C0070</t>
        </is>
      </c>
      <c r="C2571" t="n">
        <v>2</v>
      </c>
      <c r="D2571" t="inlineStr">
        <is>
          <t>Hub A</t>
        </is>
      </c>
      <c r="E2571" t="n">
        <v>68</v>
      </c>
      <c r="F2571" t="n">
        <v>47.544</v>
      </c>
    </row>
    <row r="2572">
      <c r="A2572" t="inlineStr">
        <is>
          <t>ORD02571</t>
        </is>
      </c>
      <c r="B2572" t="inlineStr">
        <is>
          <t>C0071</t>
        </is>
      </c>
      <c r="C2572" t="n">
        <v>3</v>
      </c>
      <c r="D2572" t="inlineStr">
        <is>
          <t>Hub A</t>
        </is>
      </c>
      <c r="E2572" t="n">
        <v>75</v>
      </c>
      <c r="F2572" t="n">
        <v>47.544</v>
      </c>
    </row>
    <row r="2573">
      <c r="A2573" t="inlineStr">
        <is>
          <t>ORD02572</t>
        </is>
      </c>
      <c r="B2573" t="inlineStr">
        <is>
          <t>C0072</t>
        </is>
      </c>
      <c r="C2573" t="n">
        <v>1</v>
      </c>
      <c r="D2573" t="inlineStr">
        <is>
          <t>Hub A</t>
        </is>
      </c>
      <c r="E2573" t="n">
        <v>22</v>
      </c>
      <c r="F2573" t="n">
        <v>47.544</v>
      </c>
    </row>
    <row r="2574">
      <c r="A2574" t="inlineStr">
        <is>
          <t>ORD02573</t>
        </is>
      </c>
      <c r="B2574" t="inlineStr">
        <is>
          <t>C0073</t>
        </is>
      </c>
      <c r="C2574" t="n">
        <v>2</v>
      </c>
      <c r="D2574" t="inlineStr">
        <is>
          <t>Hub A</t>
        </is>
      </c>
      <c r="E2574" t="n">
        <v>29</v>
      </c>
      <c r="F2574" t="n">
        <v>47.544</v>
      </c>
    </row>
    <row r="2575">
      <c r="A2575" t="inlineStr">
        <is>
          <t>ORD02574</t>
        </is>
      </c>
      <c r="B2575" t="inlineStr">
        <is>
          <t>C0074</t>
        </is>
      </c>
      <c r="C2575" t="n">
        <v>3</v>
      </c>
      <c r="D2575" t="inlineStr">
        <is>
          <t>Hub A</t>
        </is>
      </c>
      <c r="E2575" t="n">
        <v>36</v>
      </c>
      <c r="F2575" t="n">
        <v>47.544</v>
      </c>
    </row>
    <row r="2576">
      <c r="A2576" t="inlineStr">
        <is>
          <t>ORD02575</t>
        </is>
      </c>
      <c r="B2576" t="inlineStr">
        <is>
          <t>C0075</t>
        </is>
      </c>
      <c r="C2576" t="n">
        <v>1</v>
      </c>
      <c r="D2576" t="inlineStr">
        <is>
          <t>Hub A</t>
        </is>
      </c>
      <c r="E2576" t="n">
        <v>43</v>
      </c>
      <c r="F2576" t="n">
        <v>47.544</v>
      </c>
    </row>
    <row r="2577">
      <c r="A2577" t="inlineStr">
        <is>
          <t>ORD02576</t>
        </is>
      </c>
      <c r="B2577" t="inlineStr">
        <is>
          <t>C0076</t>
        </is>
      </c>
      <c r="C2577" t="n">
        <v>2</v>
      </c>
      <c r="D2577" t="inlineStr">
        <is>
          <t>Hub A</t>
        </is>
      </c>
      <c r="E2577" t="n">
        <v>50</v>
      </c>
      <c r="F2577" t="n">
        <v>47.544</v>
      </c>
    </row>
    <row r="2578">
      <c r="A2578" t="inlineStr">
        <is>
          <t>ORD02577</t>
        </is>
      </c>
      <c r="B2578" t="inlineStr">
        <is>
          <t>C0077</t>
        </is>
      </c>
      <c r="C2578" t="n">
        <v>3</v>
      </c>
      <c r="D2578" t="inlineStr">
        <is>
          <t>Hub A</t>
        </is>
      </c>
      <c r="E2578" t="n">
        <v>57</v>
      </c>
      <c r="F2578" t="n">
        <v>47.544</v>
      </c>
    </row>
    <row r="2579">
      <c r="A2579" t="inlineStr">
        <is>
          <t>ORD02578</t>
        </is>
      </c>
      <c r="B2579" t="inlineStr">
        <is>
          <t>C0078</t>
        </is>
      </c>
      <c r="C2579" t="n">
        <v>1</v>
      </c>
      <c r="D2579" t="inlineStr">
        <is>
          <t>Hub A</t>
        </is>
      </c>
      <c r="E2579" t="n">
        <v>64</v>
      </c>
      <c r="F2579" t="n">
        <v>47.544</v>
      </c>
    </row>
    <row r="2580">
      <c r="A2580" t="inlineStr">
        <is>
          <t>ORD02579</t>
        </is>
      </c>
      <c r="B2580" t="inlineStr">
        <is>
          <t>C0079</t>
        </is>
      </c>
      <c r="C2580" t="n">
        <v>2</v>
      </c>
      <c r="D2580" t="inlineStr">
        <is>
          <t>Hub A</t>
        </is>
      </c>
      <c r="E2580" t="n">
        <v>71</v>
      </c>
      <c r="F2580" t="n">
        <v>47.544</v>
      </c>
    </row>
    <row r="2581">
      <c r="A2581" t="inlineStr">
        <is>
          <t>ORD02580</t>
        </is>
      </c>
      <c r="B2581" t="inlineStr">
        <is>
          <t>C0080</t>
        </is>
      </c>
      <c r="C2581" t="n">
        <v>3</v>
      </c>
      <c r="D2581" t="inlineStr">
        <is>
          <t>Hub A</t>
        </is>
      </c>
      <c r="E2581" t="n">
        <v>18</v>
      </c>
      <c r="F2581" t="n">
        <v>47.544</v>
      </c>
    </row>
    <row r="2582">
      <c r="A2582" t="inlineStr">
        <is>
          <t>ORD02581</t>
        </is>
      </c>
      <c r="B2582" t="inlineStr">
        <is>
          <t>C0081</t>
        </is>
      </c>
      <c r="C2582" t="n">
        <v>1</v>
      </c>
      <c r="D2582" t="inlineStr">
        <is>
          <t>Hub A</t>
        </is>
      </c>
      <c r="E2582" t="n">
        <v>25</v>
      </c>
      <c r="F2582" t="n">
        <v>47.544</v>
      </c>
    </row>
    <row r="2583">
      <c r="A2583" t="inlineStr">
        <is>
          <t>ORD02582</t>
        </is>
      </c>
      <c r="B2583" t="inlineStr">
        <is>
          <t>C0082</t>
        </is>
      </c>
      <c r="C2583" t="n">
        <v>2</v>
      </c>
      <c r="D2583" t="inlineStr">
        <is>
          <t>Hub A</t>
        </is>
      </c>
      <c r="E2583" t="n">
        <v>32</v>
      </c>
      <c r="F2583" t="n">
        <v>47.544</v>
      </c>
    </row>
    <row r="2584">
      <c r="A2584" t="inlineStr">
        <is>
          <t>ORD02583</t>
        </is>
      </c>
      <c r="B2584" t="inlineStr">
        <is>
          <t>C0083</t>
        </is>
      </c>
      <c r="C2584" t="n">
        <v>3</v>
      </c>
      <c r="D2584" t="inlineStr">
        <is>
          <t>Hub A</t>
        </is>
      </c>
      <c r="E2584" t="n">
        <v>39</v>
      </c>
      <c r="F2584" t="n">
        <v>47.544</v>
      </c>
    </row>
    <row r="2585">
      <c r="A2585" t="inlineStr">
        <is>
          <t>ORD02584</t>
        </is>
      </c>
      <c r="B2585" t="inlineStr">
        <is>
          <t>C0084</t>
        </is>
      </c>
      <c r="C2585" t="n">
        <v>1</v>
      </c>
      <c r="D2585" t="inlineStr">
        <is>
          <t>Hub A</t>
        </is>
      </c>
      <c r="E2585" t="n">
        <v>46</v>
      </c>
      <c r="F2585" t="n">
        <v>47.544</v>
      </c>
    </row>
    <row r="2586">
      <c r="A2586" t="inlineStr">
        <is>
          <t>ORD02585</t>
        </is>
      </c>
      <c r="B2586" t="inlineStr">
        <is>
          <t>C0085</t>
        </is>
      </c>
      <c r="C2586" t="n">
        <v>2</v>
      </c>
      <c r="D2586" t="inlineStr">
        <is>
          <t>Hub A</t>
        </is>
      </c>
      <c r="E2586" t="n">
        <v>53</v>
      </c>
      <c r="F2586" t="n">
        <v>47.544</v>
      </c>
    </row>
    <row r="2587">
      <c r="A2587" t="inlineStr">
        <is>
          <t>ORD02586</t>
        </is>
      </c>
      <c r="B2587" t="inlineStr">
        <is>
          <t>C0086</t>
        </is>
      </c>
      <c r="C2587" t="n">
        <v>3</v>
      </c>
      <c r="D2587" t="inlineStr">
        <is>
          <t>Hub A</t>
        </is>
      </c>
      <c r="E2587" t="n">
        <v>60</v>
      </c>
      <c r="F2587" t="n">
        <v>47.544</v>
      </c>
    </row>
    <row r="2588">
      <c r="A2588" t="inlineStr">
        <is>
          <t>ORD02587</t>
        </is>
      </c>
      <c r="B2588" t="inlineStr">
        <is>
          <t>C0087</t>
        </is>
      </c>
      <c r="C2588" t="n">
        <v>1</v>
      </c>
      <c r="D2588" t="inlineStr">
        <is>
          <t>Hub A</t>
        </is>
      </c>
      <c r="E2588" t="n">
        <v>67</v>
      </c>
      <c r="F2588" t="n">
        <v>47.544</v>
      </c>
    </row>
    <row r="2589">
      <c r="A2589" t="inlineStr">
        <is>
          <t>ORD02588</t>
        </is>
      </c>
      <c r="B2589" t="inlineStr">
        <is>
          <t>C0088</t>
        </is>
      </c>
      <c r="C2589" t="n">
        <v>2</v>
      </c>
      <c r="D2589" t="inlineStr">
        <is>
          <t>Hub A</t>
        </is>
      </c>
      <c r="E2589" t="n">
        <v>74</v>
      </c>
      <c r="F2589" t="n">
        <v>47.544</v>
      </c>
    </row>
    <row r="2590">
      <c r="A2590" t="inlineStr">
        <is>
          <t>ORD02589</t>
        </is>
      </c>
      <c r="B2590" t="inlineStr">
        <is>
          <t>C0089</t>
        </is>
      </c>
      <c r="C2590" t="n">
        <v>3</v>
      </c>
      <c r="D2590" t="inlineStr">
        <is>
          <t>Hub A</t>
        </is>
      </c>
      <c r="E2590" t="n">
        <v>21</v>
      </c>
      <c r="F2590" t="n">
        <v>47.544</v>
      </c>
    </row>
    <row r="2591">
      <c r="A2591" t="inlineStr">
        <is>
          <t>ORD02590</t>
        </is>
      </c>
      <c r="B2591" t="inlineStr">
        <is>
          <t>C0090</t>
        </is>
      </c>
      <c r="C2591" t="n">
        <v>1</v>
      </c>
      <c r="D2591" t="inlineStr">
        <is>
          <t>Hub A</t>
        </is>
      </c>
      <c r="E2591" t="n">
        <v>28</v>
      </c>
      <c r="F2591" t="n">
        <v>47.544</v>
      </c>
    </row>
    <row r="2592">
      <c r="A2592" t="inlineStr">
        <is>
          <t>ORD02591</t>
        </is>
      </c>
      <c r="B2592" t="inlineStr">
        <is>
          <t>C0091</t>
        </is>
      </c>
      <c r="C2592" t="n">
        <v>2</v>
      </c>
      <c r="D2592" t="inlineStr">
        <is>
          <t>Hub A</t>
        </is>
      </c>
      <c r="E2592" t="n">
        <v>35</v>
      </c>
      <c r="F2592" t="n">
        <v>47.544</v>
      </c>
    </row>
    <row r="2593">
      <c r="A2593" t="inlineStr">
        <is>
          <t>ORD02592</t>
        </is>
      </c>
      <c r="B2593" t="inlineStr">
        <is>
          <t>C0092</t>
        </is>
      </c>
      <c r="C2593" t="n">
        <v>3</v>
      </c>
      <c r="D2593" t="inlineStr">
        <is>
          <t>Hub A</t>
        </is>
      </c>
      <c r="E2593" t="n">
        <v>42</v>
      </c>
      <c r="F2593" t="n">
        <v>47.544</v>
      </c>
    </row>
    <row r="2594">
      <c r="A2594" t="inlineStr">
        <is>
          <t>ORD02593</t>
        </is>
      </c>
      <c r="B2594" t="inlineStr">
        <is>
          <t>C0093</t>
        </is>
      </c>
      <c r="C2594" t="n">
        <v>1</v>
      </c>
      <c r="D2594" t="inlineStr">
        <is>
          <t>Hub A</t>
        </is>
      </c>
      <c r="E2594" t="n">
        <v>49</v>
      </c>
      <c r="F2594" t="n">
        <v>47.544</v>
      </c>
    </row>
    <row r="2595">
      <c r="A2595" t="inlineStr">
        <is>
          <t>ORD02594</t>
        </is>
      </c>
      <c r="B2595" t="inlineStr">
        <is>
          <t>C0094</t>
        </is>
      </c>
      <c r="C2595" t="n">
        <v>2</v>
      </c>
      <c r="D2595" t="inlineStr">
        <is>
          <t>Hub A</t>
        </is>
      </c>
      <c r="E2595" t="n">
        <v>56</v>
      </c>
      <c r="F2595" t="n">
        <v>47.544</v>
      </c>
    </row>
    <row r="2596">
      <c r="A2596" t="inlineStr">
        <is>
          <t>ORD02595</t>
        </is>
      </c>
      <c r="B2596" t="inlineStr">
        <is>
          <t>C0095</t>
        </is>
      </c>
      <c r="C2596" t="n">
        <v>3</v>
      </c>
      <c r="D2596" t="inlineStr">
        <is>
          <t>Hub A</t>
        </is>
      </c>
      <c r="E2596" t="n">
        <v>63</v>
      </c>
      <c r="F2596" t="n">
        <v>47.544</v>
      </c>
    </row>
    <row r="2597">
      <c r="A2597" t="inlineStr">
        <is>
          <t>ORD02596</t>
        </is>
      </c>
      <c r="B2597" t="inlineStr">
        <is>
          <t>C0096</t>
        </is>
      </c>
      <c r="C2597" t="n">
        <v>1</v>
      </c>
      <c r="D2597" t="inlineStr">
        <is>
          <t>Hub A</t>
        </is>
      </c>
      <c r="E2597" t="n">
        <v>70</v>
      </c>
      <c r="F2597" t="n">
        <v>47.544</v>
      </c>
    </row>
    <row r="2598">
      <c r="A2598" t="inlineStr">
        <is>
          <t>ORD02597</t>
        </is>
      </c>
      <c r="B2598" t="inlineStr">
        <is>
          <t>C0097</t>
        </is>
      </c>
      <c r="C2598" t="n">
        <v>2</v>
      </c>
      <c r="D2598" t="inlineStr">
        <is>
          <t>Hub A</t>
        </is>
      </c>
      <c r="E2598" t="n">
        <v>77</v>
      </c>
      <c r="F2598" t="n">
        <v>47.544</v>
      </c>
    </row>
    <row r="2599">
      <c r="A2599" t="inlineStr">
        <is>
          <t>ORD02598</t>
        </is>
      </c>
      <c r="B2599" t="inlineStr">
        <is>
          <t>C0098</t>
        </is>
      </c>
      <c r="C2599" t="n">
        <v>3</v>
      </c>
      <c r="D2599" t="inlineStr">
        <is>
          <t>Hub A</t>
        </is>
      </c>
      <c r="E2599" t="n">
        <v>24</v>
      </c>
      <c r="F2599" t="n">
        <v>47.544</v>
      </c>
    </row>
    <row r="2600">
      <c r="A2600" t="inlineStr">
        <is>
          <t>ORD02599</t>
        </is>
      </c>
      <c r="B2600" t="inlineStr">
        <is>
          <t>C0099</t>
        </is>
      </c>
      <c r="C2600" t="n">
        <v>1</v>
      </c>
      <c r="D2600" t="inlineStr">
        <is>
          <t>Hub A</t>
        </is>
      </c>
      <c r="E2600" t="n">
        <v>31</v>
      </c>
      <c r="F2600" t="n">
        <v>47.544</v>
      </c>
    </row>
    <row r="2601">
      <c r="A2601" t="inlineStr">
        <is>
          <t>ORD02600</t>
        </is>
      </c>
      <c r="B2601" t="inlineStr">
        <is>
          <t>C0100</t>
        </is>
      </c>
      <c r="C2601" t="n">
        <v>2</v>
      </c>
      <c r="D2601" t="inlineStr">
        <is>
          <t>Hub A</t>
        </is>
      </c>
      <c r="E2601" t="n">
        <v>38</v>
      </c>
      <c r="F2601" t="n">
        <v>47.544</v>
      </c>
    </row>
    <row r="2602">
      <c r="A2602" t="inlineStr">
        <is>
          <t>ORD02601</t>
        </is>
      </c>
      <c r="B2602" t="inlineStr">
        <is>
          <t>C0101</t>
        </is>
      </c>
      <c r="C2602" t="n">
        <v>3</v>
      </c>
      <c r="D2602" t="inlineStr">
        <is>
          <t>Hub A</t>
        </is>
      </c>
      <c r="E2602" t="n">
        <v>45</v>
      </c>
      <c r="F2602" t="n">
        <v>47.544</v>
      </c>
    </row>
    <row r="2603">
      <c r="A2603" t="inlineStr">
        <is>
          <t>ORD02602</t>
        </is>
      </c>
      <c r="B2603" t="inlineStr">
        <is>
          <t>C0102</t>
        </is>
      </c>
      <c r="C2603" t="n">
        <v>1</v>
      </c>
      <c r="D2603" t="inlineStr">
        <is>
          <t>Hub A</t>
        </is>
      </c>
      <c r="E2603" t="n">
        <v>52</v>
      </c>
      <c r="F2603" t="n">
        <v>47.544</v>
      </c>
    </row>
    <row r="2604">
      <c r="A2604" t="inlineStr">
        <is>
          <t>ORD02603</t>
        </is>
      </c>
      <c r="B2604" t="inlineStr">
        <is>
          <t>C0103</t>
        </is>
      </c>
      <c r="C2604" t="n">
        <v>2</v>
      </c>
      <c r="D2604" t="inlineStr">
        <is>
          <t>Hub A</t>
        </is>
      </c>
      <c r="E2604" t="n">
        <v>59</v>
      </c>
      <c r="F2604" t="n">
        <v>47.544</v>
      </c>
    </row>
    <row r="2605">
      <c r="A2605" t="inlineStr">
        <is>
          <t>ORD02604</t>
        </is>
      </c>
      <c r="B2605" t="inlineStr">
        <is>
          <t>C0104</t>
        </is>
      </c>
      <c r="C2605" t="n">
        <v>3</v>
      </c>
      <c r="D2605" t="inlineStr">
        <is>
          <t>Hub A</t>
        </is>
      </c>
      <c r="E2605" t="n">
        <v>66</v>
      </c>
      <c r="F2605" t="n">
        <v>47.544</v>
      </c>
    </row>
    <row r="2606">
      <c r="A2606" t="inlineStr">
        <is>
          <t>ORD02605</t>
        </is>
      </c>
      <c r="B2606" t="inlineStr">
        <is>
          <t>C0105</t>
        </is>
      </c>
      <c r="C2606" t="n">
        <v>1</v>
      </c>
      <c r="D2606" t="inlineStr">
        <is>
          <t>Hub A</t>
        </is>
      </c>
      <c r="E2606" t="n">
        <v>73</v>
      </c>
      <c r="F2606" t="n">
        <v>47.544</v>
      </c>
    </row>
    <row r="2607">
      <c r="A2607" t="inlineStr">
        <is>
          <t>ORD02606</t>
        </is>
      </c>
      <c r="B2607" t="inlineStr">
        <is>
          <t>C0106</t>
        </is>
      </c>
      <c r="C2607" t="n">
        <v>2</v>
      </c>
      <c r="D2607" t="inlineStr">
        <is>
          <t>Hub A</t>
        </is>
      </c>
      <c r="E2607" t="n">
        <v>20</v>
      </c>
      <c r="F2607" t="n">
        <v>47.544</v>
      </c>
    </row>
    <row r="2608">
      <c r="A2608" t="inlineStr">
        <is>
          <t>ORD02607</t>
        </is>
      </c>
      <c r="B2608" t="inlineStr">
        <is>
          <t>C0107</t>
        </is>
      </c>
      <c r="C2608" t="n">
        <v>3</v>
      </c>
      <c r="D2608" t="inlineStr">
        <is>
          <t>Hub A</t>
        </is>
      </c>
      <c r="E2608" t="n">
        <v>27</v>
      </c>
      <c r="F2608" t="n">
        <v>47.544</v>
      </c>
    </row>
    <row r="2609">
      <c r="A2609" t="inlineStr">
        <is>
          <t>ORD02608</t>
        </is>
      </c>
      <c r="B2609" t="inlineStr">
        <is>
          <t>C0108</t>
        </is>
      </c>
      <c r="C2609" t="n">
        <v>1</v>
      </c>
      <c r="D2609" t="inlineStr">
        <is>
          <t>Hub A</t>
        </is>
      </c>
      <c r="E2609" t="n">
        <v>34</v>
      </c>
      <c r="F2609" t="n">
        <v>47.544</v>
      </c>
    </row>
    <row r="2610">
      <c r="A2610" t="inlineStr">
        <is>
          <t>ORD02609</t>
        </is>
      </c>
      <c r="B2610" t="inlineStr">
        <is>
          <t>C0109</t>
        </is>
      </c>
      <c r="C2610" t="n">
        <v>2</v>
      </c>
      <c r="D2610" t="inlineStr">
        <is>
          <t>Hub A</t>
        </is>
      </c>
      <c r="E2610" t="n">
        <v>41</v>
      </c>
      <c r="F2610" t="n">
        <v>47.544</v>
      </c>
    </row>
    <row r="2611">
      <c r="A2611" t="inlineStr">
        <is>
          <t>ORD02610</t>
        </is>
      </c>
      <c r="B2611" t="inlineStr">
        <is>
          <t>C0110</t>
        </is>
      </c>
      <c r="C2611" t="n">
        <v>3</v>
      </c>
      <c r="D2611" t="inlineStr">
        <is>
          <t>Hub A</t>
        </is>
      </c>
      <c r="E2611" t="n">
        <v>48</v>
      </c>
      <c r="F2611" t="n">
        <v>47.544</v>
      </c>
    </row>
    <row r="2612">
      <c r="A2612" t="inlineStr">
        <is>
          <t>ORD02611</t>
        </is>
      </c>
      <c r="B2612" t="inlineStr">
        <is>
          <t>C0111</t>
        </is>
      </c>
      <c r="C2612" t="n">
        <v>1</v>
      </c>
      <c r="D2612" t="inlineStr">
        <is>
          <t>Hub A</t>
        </is>
      </c>
      <c r="E2612" t="n">
        <v>55</v>
      </c>
      <c r="F2612" t="n">
        <v>47.544</v>
      </c>
    </row>
    <row r="2613">
      <c r="A2613" t="inlineStr">
        <is>
          <t>ORD02612</t>
        </is>
      </c>
      <c r="B2613" t="inlineStr">
        <is>
          <t>C0112</t>
        </is>
      </c>
      <c r="C2613" t="n">
        <v>2</v>
      </c>
      <c r="D2613" t="inlineStr">
        <is>
          <t>Hub A</t>
        </is>
      </c>
      <c r="E2613" t="n">
        <v>62</v>
      </c>
      <c r="F2613" t="n">
        <v>47.544</v>
      </c>
    </row>
    <row r="2614">
      <c r="A2614" t="inlineStr">
        <is>
          <t>ORD02613</t>
        </is>
      </c>
      <c r="B2614" t="inlineStr">
        <is>
          <t>C0113</t>
        </is>
      </c>
      <c r="C2614" t="n">
        <v>3</v>
      </c>
      <c r="D2614" t="inlineStr">
        <is>
          <t>Hub A</t>
        </is>
      </c>
      <c r="E2614" t="n">
        <v>69</v>
      </c>
      <c r="F2614" t="n">
        <v>47.544</v>
      </c>
    </row>
    <row r="2615">
      <c r="A2615" t="inlineStr">
        <is>
          <t>ORD02614</t>
        </is>
      </c>
      <c r="B2615" t="inlineStr">
        <is>
          <t>C0114</t>
        </is>
      </c>
      <c r="C2615" t="n">
        <v>1</v>
      </c>
      <c r="D2615" t="inlineStr">
        <is>
          <t>Hub A</t>
        </is>
      </c>
      <c r="E2615" t="n">
        <v>76</v>
      </c>
      <c r="F2615" t="n">
        <v>47.544</v>
      </c>
    </row>
    <row r="2616">
      <c r="A2616" t="inlineStr">
        <is>
          <t>ORD02615</t>
        </is>
      </c>
      <c r="B2616" t="inlineStr">
        <is>
          <t>C0115</t>
        </is>
      </c>
      <c r="C2616" t="n">
        <v>2</v>
      </c>
      <c r="D2616" t="inlineStr">
        <is>
          <t>Hub A</t>
        </is>
      </c>
      <c r="E2616" t="n">
        <v>23</v>
      </c>
      <c r="F2616" t="n">
        <v>47.544</v>
      </c>
    </row>
    <row r="2617">
      <c r="A2617" t="inlineStr">
        <is>
          <t>ORD02616</t>
        </is>
      </c>
      <c r="B2617" t="inlineStr">
        <is>
          <t>C0116</t>
        </is>
      </c>
      <c r="C2617" t="n">
        <v>3</v>
      </c>
      <c r="D2617" t="inlineStr">
        <is>
          <t>Hub A</t>
        </is>
      </c>
      <c r="E2617" t="n">
        <v>30</v>
      </c>
      <c r="F2617" t="n">
        <v>47.544</v>
      </c>
    </row>
    <row r="2618">
      <c r="A2618" t="inlineStr">
        <is>
          <t>ORD02617</t>
        </is>
      </c>
      <c r="B2618" t="inlineStr">
        <is>
          <t>C0117</t>
        </is>
      </c>
      <c r="C2618" t="n">
        <v>1</v>
      </c>
      <c r="D2618" t="inlineStr">
        <is>
          <t>Hub A</t>
        </is>
      </c>
      <c r="E2618" t="n">
        <v>37</v>
      </c>
      <c r="F2618" t="n">
        <v>47.544</v>
      </c>
    </row>
    <row r="2619">
      <c r="A2619" t="inlineStr">
        <is>
          <t>ORD02618</t>
        </is>
      </c>
      <c r="B2619" t="inlineStr">
        <is>
          <t>C0118</t>
        </is>
      </c>
      <c r="C2619" t="n">
        <v>2</v>
      </c>
      <c r="D2619" t="inlineStr">
        <is>
          <t>Hub A</t>
        </is>
      </c>
      <c r="E2619" t="n">
        <v>44</v>
      </c>
      <c r="F2619" t="n">
        <v>47.544</v>
      </c>
    </row>
    <row r="2620">
      <c r="A2620" t="inlineStr">
        <is>
          <t>ORD02619</t>
        </is>
      </c>
      <c r="B2620" t="inlineStr">
        <is>
          <t>C0119</t>
        </is>
      </c>
      <c r="C2620" t="n">
        <v>3</v>
      </c>
      <c r="D2620" t="inlineStr">
        <is>
          <t>Hub A</t>
        </is>
      </c>
      <c r="E2620" t="n">
        <v>51</v>
      </c>
      <c r="F2620" t="n">
        <v>47.544</v>
      </c>
    </row>
    <row r="2621">
      <c r="A2621" t="inlineStr">
        <is>
          <t>ORD02620</t>
        </is>
      </c>
      <c r="B2621" t="inlineStr">
        <is>
          <t>C0120</t>
        </is>
      </c>
      <c r="C2621" t="n">
        <v>1</v>
      </c>
      <c r="D2621" t="inlineStr">
        <is>
          <t>Hub A</t>
        </is>
      </c>
      <c r="E2621" t="n">
        <v>58</v>
      </c>
      <c r="F2621" t="n">
        <v>47.544</v>
      </c>
    </row>
    <row r="2622">
      <c r="A2622" t="inlineStr">
        <is>
          <t>ORD02621</t>
        </is>
      </c>
      <c r="B2622" t="inlineStr">
        <is>
          <t>C0121</t>
        </is>
      </c>
      <c r="C2622" t="n">
        <v>2</v>
      </c>
      <c r="D2622" t="inlineStr">
        <is>
          <t>Hub A</t>
        </is>
      </c>
      <c r="E2622" t="n">
        <v>65</v>
      </c>
      <c r="F2622" t="n">
        <v>47.544</v>
      </c>
    </row>
    <row r="2623">
      <c r="A2623" t="inlineStr">
        <is>
          <t>ORD02622</t>
        </is>
      </c>
      <c r="B2623" t="inlineStr">
        <is>
          <t>C0122</t>
        </is>
      </c>
      <c r="C2623" t="n">
        <v>3</v>
      </c>
      <c r="D2623" t="inlineStr">
        <is>
          <t>Hub A</t>
        </is>
      </c>
      <c r="E2623" t="n">
        <v>72</v>
      </c>
      <c r="F2623" t="n">
        <v>47.544</v>
      </c>
    </row>
    <row r="2624">
      <c r="A2624" t="inlineStr">
        <is>
          <t>ORD02623</t>
        </is>
      </c>
      <c r="B2624" t="inlineStr">
        <is>
          <t>C0123</t>
        </is>
      </c>
      <c r="C2624" t="n">
        <v>1</v>
      </c>
      <c r="D2624" t="inlineStr">
        <is>
          <t>Hub A</t>
        </is>
      </c>
      <c r="E2624" t="n">
        <v>19</v>
      </c>
      <c r="F2624" t="n">
        <v>47.544</v>
      </c>
    </row>
    <row r="2625">
      <c r="A2625" t="inlineStr">
        <is>
          <t>ORD02624</t>
        </is>
      </c>
      <c r="B2625" t="inlineStr">
        <is>
          <t>C0124</t>
        </is>
      </c>
      <c r="C2625" t="n">
        <v>2</v>
      </c>
      <c r="D2625" t="inlineStr">
        <is>
          <t>Hub A</t>
        </is>
      </c>
      <c r="E2625" t="n">
        <v>26</v>
      </c>
      <c r="F2625" t="n">
        <v>47.544</v>
      </c>
    </row>
    <row r="2626">
      <c r="A2626" t="inlineStr">
        <is>
          <t>ORD02625</t>
        </is>
      </c>
      <c r="B2626" t="inlineStr">
        <is>
          <t>C0125</t>
        </is>
      </c>
      <c r="C2626" t="n">
        <v>3</v>
      </c>
      <c r="D2626" t="inlineStr">
        <is>
          <t>Hub A</t>
        </is>
      </c>
      <c r="E2626" t="n">
        <v>33</v>
      </c>
      <c r="F2626" t="n">
        <v>47.544</v>
      </c>
    </row>
    <row r="2627">
      <c r="A2627" t="inlineStr">
        <is>
          <t>ORD02626</t>
        </is>
      </c>
      <c r="B2627" t="inlineStr">
        <is>
          <t>C0126</t>
        </is>
      </c>
      <c r="C2627" t="n">
        <v>1</v>
      </c>
      <c r="D2627" t="inlineStr">
        <is>
          <t>Hub A</t>
        </is>
      </c>
      <c r="E2627" t="n">
        <v>40</v>
      </c>
      <c r="F2627" t="n">
        <v>47.544</v>
      </c>
    </row>
    <row r="2628">
      <c r="A2628" t="inlineStr">
        <is>
          <t>ORD02627</t>
        </is>
      </c>
      <c r="B2628" t="inlineStr">
        <is>
          <t>C0127</t>
        </is>
      </c>
      <c r="C2628" t="n">
        <v>2</v>
      </c>
      <c r="D2628" t="inlineStr">
        <is>
          <t>Hub A</t>
        </is>
      </c>
      <c r="E2628" t="n">
        <v>47</v>
      </c>
      <c r="F2628" t="n">
        <v>47.544</v>
      </c>
    </row>
    <row r="2629">
      <c r="A2629" t="inlineStr">
        <is>
          <t>ORD02628</t>
        </is>
      </c>
      <c r="B2629" t="inlineStr">
        <is>
          <t>C0128</t>
        </is>
      </c>
      <c r="C2629" t="n">
        <v>3</v>
      </c>
      <c r="D2629" t="inlineStr">
        <is>
          <t>Hub A</t>
        </is>
      </c>
      <c r="E2629" t="n">
        <v>54</v>
      </c>
      <c r="F2629" t="n">
        <v>47.544</v>
      </c>
    </row>
    <row r="2630">
      <c r="A2630" t="inlineStr">
        <is>
          <t>ORD02629</t>
        </is>
      </c>
      <c r="B2630" t="inlineStr">
        <is>
          <t>C0129</t>
        </is>
      </c>
      <c r="C2630" t="n">
        <v>1</v>
      </c>
      <c r="D2630" t="inlineStr">
        <is>
          <t>Hub A</t>
        </is>
      </c>
      <c r="E2630" t="n">
        <v>61</v>
      </c>
      <c r="F2630" t="n">
        <v>47.544</v>
      </c>
    </row>
    <row r="2631">
      <c r="A2631" t="inlineStr">
        <is>
          <t>ORD02630</t>
        </is>
      </c>
      <c r="B2631" t="inlineStr">
        <is>
          <t>C0130</t>
        </is>
      </c>
      <c r="C2631" t="n">
        <v>2</v>
      </c>
      <c r="D2631" t="inlineStr">
        <is>
          <t>Hub A</t>
        </is>
      </c>
      <c r="E2631" t="n">
        <v>68</v>
      </c>
      <c r="F2631" t="n">
        <v>47.544</v>
      </c>
    </row>
    <row r="2632">
      <c r="A2632" t="inlineStr">
        <is>
          <t>ORD02631</t>
        </is>
      </c>
      <c r="B2632" t="inlineStr">
        <is>
          <t>C0131</t>
        </is>
      </c>
      <c r="C2632" t="n">
        <v>3</v>
      </c>
      <c r="D2632" t="inlineStr">
        <is>
          <t>Hub A</t>
        </is>
      </c>
      <c r="E2632" t="n">
        <v>75</v>
      </c>
      <c r="F2632" t="n">
        <v>47.544</v>
      </c>
    </row>
    <row r="2633">
      <c r="A2633" t="inlineStr">
        <is>
          <t>ORD02632</t>
        </is>
      </c>
      <c r="B2633" t="inlineStr">
        <is>
          <t>C0132</t>
        </is>
      </c>
      <c r="C2633" t="n">
        <v>1</v>
      </c>
      <c r="D2633" t="inlineStr">
        <is>
          <t>Hub A</t>
        </is>
      </c>
      <c r="E2633" t="n">
        <v>22</v>
      </c>
      <c r="F2633" t="n">
        <v>47.544</v>
      </c>
    </row>
    <row r="2634">
      <c r="A2634" t="inlineStr">
        <is>
          <t>ORD02633</t>
        </is>
      </c>
      <c r="B2634" t="inlineStr">
        <is>
          <t>C0133</t>
        </is>
      </c>
      <c r="C2634" t="n">
        <v>2</v>
      </c>
      <c r="D2634" t="inlineStr">
        <is>
          <t>Hub A</t>
        </is>
      </c>
      <c r="E2634" t="n">
        <v>29</v>
      </c>
      <c r="F2634" t="n">
        <v>47.544</v>
      </c>
    </row>
    <row r="2635">
      <c r="A2635" t="inlineStr">
        <is>
          <t>ORD02634</t>
        </is>
      </c>
      <c r="B2635" t="inlineStr">
        <is>
          <t>C0134</t>
        </is>
      </c>
      <c r="C2635" t="n">
        <v>3</v>
      </c>
      <c r="D2635" t="inlineStr">
        <is>
          <t>Hub A</t>
        </is>
      </c>
      <c r="E2635" t="n">
        <v>36</v>
      </c>
      <c r="F2635" t="n">
        <v>47.544</v>
      </c>
    </row>
    <row r="2636">
      <c r="A2636" t="inlineStr">
        <is>
          <t>ORD02635</t>
        </is>
      </c>
      <c r="B2636" t="inlineStr">
        <is>
          <t>C0135</t>
        </is>
      </c>
      <c r="C2636" t="n">
        <v>1</v>
      </c>
      <c r="D2636" t="inlineStr">
        <is>
          <t>Hub A</t>
        </is>
      </c>
      <c r="E2636" t="n">
        <v>43</v>
      </c>
      <c r="F2636" t="n">
        <v>47.544</v>
      </c>
    </row>
    <row r="2637">
      <c r="A2637" t="inlineStr">
        <is>
          <t>ORD02636</t>
        </is>
      </c>
      <c r="B2637" t="inlineStr">
        <is>
          <t>C0136</t>
        </is>
      </c>
      <c r="C2637" t="n">
        <v>2</v>
      </c>
      <c r="D2637" t="inlineStr">
        <is>
          <t>Hub A</t>
        </is>
      </c>
      <c r="E2637" t="n">
        <v>50</v>
      </c>
      <c r="F2637" t="n">
        <v>47.544</v>
      </c>
    </row>
    <row r="2638">
      <c r="A2638" t="inlineStr">
        <is>
          <t>ORD02637</t>
        </is>
      </c>
      <c r="B2638" t="inlineStr">
        <is>
          <t>C0137</t>
        </is>
      </c>
      <c r="C2638" t="n">
        <v>3</v>
      </c>
      <c r="D2638" t="inlineStr">
        <is>
          <t>Hub A</t>
        </is>
      </c>
      <c r="E2638" t="n">
        <v>57</v>
      </c>
      <c r="F2638" t="n">
        <v>47.544</v>
      </c>
    </row>
    <row r="2639">
      <c r="A2639" t="inlineStr">
        <is>
          <t>ORD02638</t>
        </is>
      </c>
      <c r="B2639" t="inlineStr">
        <is>
          <t>C0138</t>
        </is>
      </c>
      <c r="C2639" t="n">
        <v>1</v>
      </c>
      <c r="D2639" t="inlineStr">
        <is>
          <t>Hub A</t>
        </is>
      </c>
      <c r="E2639" t="n">
        <v>64</v>
      </c>
      <c r="F2639" t="n">
        <v>47.544</v>
      </c>
    </row>
    <row r="2640">
      <c r="A2640" t="inlineStr">
        <is>
          <t>ORD02639</t>
        </is>
      </c>
      <c r="B2640" t="inlineStr">
        <is>
          <t>C0139</t>
        </is>
      </c>
      <c r="C2640" t="n">
        <v>2</v>
      </c>
      <c r="D2640" t="inlineStr">
        <is>
          <t>Hub A</t>
        </is>
      </c>
      <c r="E2640" t="n">
        <v>71</v>
      </c>
      <c r="F2640" t="n">
        <v>47.544</v>
      </c>
    </row>
    <row r="2641">
      <c r="A2641" t="inlineStr">
        <is>
          <t>ORD02640</t>
        </is>
      </c>
      <c r="B2641" t="inlineStr">
        <is>
          <t>C0140</t>
        </is>
      </c>
      <c r="C2641" t="n">
        <v>3</v>
      </c>
      <c r="D2641" t="inlineStr">
        <is>
          <t>Hub A</t>
        </is>
      </c>
      <c r="E2641" t="n">
        <v>18</v>
      </c>
      <c r="F2641" t="n">
        <v>47.544</v>
      </c>
    </row>
    <row r="2642">
      <c r="A2642" t="inlineStr">
        <is>
          <t>ORD02641</t>
        </is>
      </c>
      <c r="B2642" t="inlineStr">
        <is>
          <t>C0141</t>
        </is>
      </c>
      <c r="C2642" t="n">
        <v>1</v>
      </c>
      <c r="D2642" t="inlineStr">
        <is>
          <t>Hub A</t>
        </is>
      </c>
      <c r="E2642" t="n">
        <v>25</v>
      </c>
      <c r="F2642" t="n">
        <v>47.544</v>
      </c>
    </row>
    <row r="2643">
      <c r="A2643" t="inlineStr">
        <is>
          <t>ORD02642</t>
        </is>
      </c>
      <c r="B2643" t="inlineStr">
        <is>
          <t>C0142</t>
        </is>
      </c>
      <c r="C2643" t="n">
        <v>2</v>
      </c>
      <c r="D2643" t="inlineStr">
        <is>
          <t>Hub A</t>
        </is>
      </c>
      <c r="E2643" t="n">
        <v>32</v>
      </c>
      <c r="F2643" t="n">
        <v>47.544</v>
      </c>
    </row>
    <row r="2644">
      <c r="A2644" t="inlineStr">
        <is>
          <t>ORD02643</t>
        </is>
      </c>
      <c r="B2644" t="inlineStr">
        <is>
          <t>C0143</t>
        </is>
      </c>
      <c r="C2644" t="n">
        <v>3</v>
      </c>
      <c r="D2644" t="inlineStr">
        <is>
          <t>Hub A</t>
        </is>
      </c>
      <c r="E2644" t="n">
        <v>39</v>
      </c>
      <c r="F2644" t="n">
        <v>47.544</v>
      </c>
    </row>
    <row r="2645">
      <c r="A2645" t="inlineStr">
        <is>
          <t>ORD02644</t>
        </is>
      </c>
      <c r="B2645" t="inlineStr">
        <is>
          <t>C0144</t>
        </is>
      </c>
      <c r="C2645" t="n">
        <v>1</v>
      </c>
      <c r="D2645" t="inlineStr">
        <is>
          <t>Hub A</t>
        </is>
      </c>
      <c r="E2645" t="n">
        <v>46</v>
      </c>
      <c r="F2645" t="n">
        <v>47.544</v>
      </c>
    </row>
    <row r="2646">
      <c r="A2646" t="inlineStr">
        <is>
          <t>ORD02645</t>
        </is>
      </c>
      <c r="B2646" t="inlineStr">
        <is>
          <t>C0145</t>
        </is>
      </c>
      <c r="C2646" t="n">
        <v>2</v>
      </c>
      <c r="D2646" t="inlineStr">
        <is>
          <t>Hub A</t>
        </is>
      </c>
      <c r="E2646" t="n">
        <v>53</v>
      </c>
      <c r="F2646" t="n">
        <v>47.544</v>
      </c>
    </row>
    <row r="2647">
      <c r="A2647" t="inlineStr">
        <is>
          <t>ORD02646</t>
        </is>
      </c>
      <c r="B2647" t="inlineStr">
        <is>
          <t>C0146</t>
        </is>
      </c>
      <c r="C2647" t="n">
        <v>3</v>
      </c>
      <c r="D2647" t="inlineStr">
        <is>
          <t>Hub A</t>
        </is>
      </c>
      <c r="E2647" t="n">
        <v>60</v>
      </c>
      <c r="F2647" t="n">
        <v>47.544</v>
      </c>
    </row>
    <row r="2648">
      <c r="A2648" t="inlineStr">
        <is>
          <t>ORD02647</t>
        </is>
      </c>
      <c r="B2648" t="inlineStr">
        <is>
          <t>C0147</t>
        </is>
      </c>
      <c r="C2648" t="n">
        <v>1</v>
      </c>
      <c r="D2648" t="inlineStr">
        <is>
          <t>Hub A</t>
        </is>
      </c>
      <c r="E2648" t="n">
        <v>67</v>
      </c>
      <c r="F2648" t="n">
        <v>47.544</v>
      </c>
    </row>
    <row r="2649">
      <c r="A2649" t="inlineStr">
        <is>
          <t>ORD02648</t>
        </is>
      </c>
      <c r="B2649" t="inlineStr">
        <is>
          <t>C0148</t>
        </is>
      </c>
      <c r="C2649" t="n">
        <v>2</v>
      </c>
      <c r="D2649" t="inlineStr">
        <is>
          <t>Hub A</t>
        </is>
      </c>
      <c r="E2649" t="n">
        <v>74</v>
      </c>
      <c r="F2649" t="n">
        <v>47.544</v>
      </c>
    </row>
    <row r="2650">
      <c r="A2650" t="inlineStr">
        <is>
          <t>ORD02649</t>
        </is>
      </c>
      <c r="B2650" t="inlineStr">
        <is>
          <t>C0149</t>
        </is>
      </c>
      <c r="C2650" t="n">
        <v>3</v>
      </c>
      <c r="D2650" t="inlineStr">
        <is>
          <t>Hub A</t>
        </is>
      </c>
      <c r="E2650" t="n">
        <v>21</v>
      </c>
      <c r="F2650" t="n">
        <v>47.544</v>
      </c>
    </row>
    <row r="2651">
      <c r="A2651" t="inlineStr">
        <is>
          <t>ORD02650</t>
        </is>
      </c>
      <c r="B2651" t="inlineStr">
        <is>
          <t>C0150</t>
        </is>
      </c>
      <c r="C2651" t="n">
        <v>1</v>
      </c>
      <c r="D2651" t="inlineStr">
        <is>
          <t>Hub A</t>
        </is>
      </c>
      <c r="E2651" t="n">
        <v>28</v>
      </c>
      <c r="F2651" t="n">
        <v>47.544</v>
      </c>
    </row>
    <row r="2652">
      <c r="A2652" t="inlineStr">
        <is>
          <t>ORD02651</t>
        </is>
      </c>
      <c r="B2652" t="inlineStr">
        <is>
          <t>C0151</t>
        </is>
      </c>
      <c r="C2652" t="n">
        <v>2</v>
      </c>
      <c r="D2652" t="inlineStr">
        <is>
          <t>Hub A</t>
        </is>
      </c>
      <c r="E2652" t="n">
        <v>35</v>
      </c>
      <c r="F2652" t="n">
        <v>47.544</v>
      </c>
    </row>
    <row r="2653">
      <c r="A2653" t="inlineStr">
        <is>
          <t>ORD02652</t>
        </is>
      </c>
      <c r="B2653" t="inlineStr">
        <is>
          <t>C0152</t>
        </is>
      </c>
      <c r="C2653" t="n">
        <v>3</v>
      </c>
      <c r="D2653" t="inlineStr">
        <is>
          <t>Hub A</t>
        </is>
      </c>
      <c r="E2653" t="n">
        <v>42</v>
      </c>
      <c r="F2653" t="n">
        <v>47.544</v>
      </c>
    </row>
    <row r="2654">
      <c r="A2654" t="inlineStr">
        <is>
          <t>ORD02653</t>
        </is>
      </c>
      <c r="B2654" t="inlineStr">
        <is>
          <t>C0153</t>
        </is>
      </c>
      <c r="C2654" t="n">
        <v>1</v>
      </c>
      <c r="D2654" t="inlineStr">
        <is>
          <t>Hub A</t>
        </is>
      </c>
      <c r="E2654" t="n">
        <v>49</v>
      </c>
      <c r="F2654" t="n">
        <v>47.544</v>
      </c>
    </row>
    <row r="2655">
      <c r="A2655" t="inlineStr">
        <is>
          <t>ORD02654</t>
        </is>
      </c>
      <c r="B2655" t="inlineStr">
        <is>
          <t>C0154</t>
        </is>
      </c>
      <c r="C2655" t="n">
        <v>2</v>
      </c>
      <c r="D2655" t="inlineStr">
        <is>
          <t>Hub A</t>
        </is>
      </c>
      <c r="E2655" t="n">
        <v>56</v>
      </c>
      <c r="F2655" t="n">
        <v>47.544</v>
      </c>
    </row>
    <row r="2656">
      <c r="A2656" t="inlineStr">
        <is>
          <t>ORD02655</t>
        </is>
      </c>
      <c r="B2656" t="inlineStr">
        <is>
          <t>C0155</t>
        </is>
      </c>
      <c r="C2656" t="n">
        <v>3</v>
      </c>
      <c r="D2656" t="inlineStr">
        <is>
          <t>Hub A</t>
        </is>
      </c>
      <c r="E2656" t="n">
        <v>63</v>
      </c>
      <c r="F2656" t="n">
        <v>47.544</v>
      </c>
    </row>
    <row r="2657">
      <c r="A2657" t="inlineStr">
        <is>
          <t>ORD02656</t>
        </is>
      </c>
      <c r="B2657" t="inlineStr">
        <is>
          <t>C0156</t>
        </is>
      </c>
      <c r="C2657" t="n">
        <v>1</v>
      </c>
      <c r="D2657" t="inlineStr">
        <is>
          <t>Hub A</t>
        </is>
      </c>
      <c r="E2657" t="n">
        <v>70</v>
      </c>
      <c r="F2657" t="n">
        <v>47.544</v>
      </c>
    </row>
    <row r="2658">
      <c r="A2658" t="inlineStr">
        <is>
          <t>ORD02657</t>
        </is>
      </c>
      <c r="B2658" t="inlineStr">
        <is>
          <t>C0157</t>
        </is>
      </c>
      <c r="C2658" t="n">
        <v>2</v>
      </c>
      <c r="D2658" t="inlineStr">
        <is>
          <t>Hub A</t>
        </is>
      </c>
      <c r="E2658" t="n">
        <v>77</v>
      </c>
      <c r="F2658" t="n">
        <v>47.544</v>
      </c>
    </row>
    <row r="2659">
      <c r="A2659" t="inlineStr">
        <is>
          <t>ORD02658</t>
        </is>
      </c>
      <c r="B2659" t="inlineStr">
        <is>
          <t>C0158</t>
        </is>
      </c>
      <c r="C2659" t="n">
        <v>3</v>
      </c>
      <c r="D2659" t="inlineStr">
        <is>
          <t>Hub A</t>
        </is>
      </c>
      <c r="E2659" t="n">
        <v>24</v>
      </c>
      <c r="F2659" t="n">
        <v>47.544</v>
      </c>
    </row>
    <row r="2660">
      <c r="A2660" t="inlineStr">
        <is>
          <t>ORD02659</t>
        </is>
      </c>
      <c r="B2660" t="inlineStr">
        <is>
          <t>C0159</t>
        </is>
      </c>
      <c r="C2660" t="n">
        <v>1</v>
      </c>
      <c r="D2660" t="inlineStr">
        <is>
          <t>Hub A</t>
        </is>
      </c>
      <c r="E2660" t="n">
        <v>31</v>
      </c>
      <c r="F2660" t="n">
        <v>47.544</v>
      </c>
    </row>
    <row r="2661">
      <c r="A2661" t="inlineStr">
        <is>
          <t>ORD02660</t>
        </is>
      </c>
      <c r="B2661" t="inlineStr">
        <is>
          <t>C0160</t>
        </is>
      </c>
      <c r="C2661" t="n">
        <v>2</v>
      </c>
      <c r="D2661" t="inlineStr">
        <is>
          <t>Hub A</t>
        </is>
      </c>
      <c r="E2661" t="n">
        <v>38</v>
      </c>
      <c r="F2661" t="n">
        <v>47.544</v>
      </c>
    </row>
    <row r="2662">
      <c r="A2662" t="inlineStr">
        <is>
          <t>ORD02661</t>
        </is>
      </c>
      <c r="B2662" t="inlineStr">
        <is>
          <t>C0161</t>
        </is>
      </c>
      <c r="C2662" t="n">
        <v>3</v>
      </c>
      <c r="D2662" t="inlineStr">
        <is>
          <t>Hub A</t>
        </is>
      </c>
      <c r="E2662" t="n">
        <v>45</v>
      </c>
      <c r="F2662" t="n">
        <v>47.544</v>
      </c>
    </row>
    <row r="2663">
      <c r="A2663" t="inlineStr">
        <is>
          <t>ORD02662</t>
        </is>
      </c>
      <c r="B2663" t="inlineStr">
        <is>
          <t>C0162</t>
        </is>
      </c>
      <c r="C2663" t="n">
        <v>1</v>
      </c>
      <c r="D2663" t="inlineStr">
        <is>
          <t>Hub A</t>
        </is>
      </c>
      <c r="E2663" t="n">
        <v>52</v>
      </c>
      <c r="F2663" t="n">
        <v>47.544</v>
      </c>
    </row>
    <row r="2664">
      <c r="A2664" t="inlineStr">
        <is>
          <t>ORD02663</t>
        </is>
      </c>
      <c r="B2664" t="inlineStr">
        <is>
          <t>C0163</t>
        </is>
      </c>
      <c r="C2664" t="n">
        <v>2</v>
      </c>
      <c r="D2664" t="inlineStr">
        <is>
          <t>Hub A</t>
        </is>
      </c>
      <c r="E2664" t="n">
        <v>59</v>
      </c>
      <c r="F2664" t="n">
        <v>47.544</v>
      </c>
    </row>
    <row r="2665">
      <c r="A2665" t="inlineStr">
        <is>
          <t>ORD02664</t>
        </is>
      </c>
      <c r="B2665" t="inlineStr">
        <is>
          <t>C0164</t>
        </is>
      </c>
      <c r="C2665" t="n">
        <v>3</v>
      </c>
      <c r="D2665" t="inlineStr">
        <is>
          <t>Hub A</t>
        </is>
      </c>
      <c r="E2665" t="n">
        <v>66</v>
      </c>
      <c r="F2665" t="n">
        <v>47.544</v>
      </c>
    </row>
    <row r="2666">
      <c r="A2666" t="inlineStr">
        <is>
          <t>ORD02665</t>
        </is>
      </c>
      <c r="B2666" t="inlineStr">
        <is>
          <t>C0165</t>
        </is>
      </c>
      <c r="C2666" t="n">
        <v>1</v>
      </c>
      <c r="D2666" t="inlineStr">
        <is>
          <t>Hub A</t>
        </is>
      </c>
      <c r="E2666" t="n">
        <v>73</v>
      </c>
      <c r="F2666" t="n">
        <v>47.544</v>
      </c>
    </row>
    <row r="2667">
      <c r="A2667" t="inlineStr">
        <is>
          <t>ORD02666</t>
        </is>
      </c>
      <c r="B2667" t="inlineStr">
        <is>
          <t>C0166</t>
        </is>
      </c>
      <c r="C2667" t="n">
        <v>2</v>
      </c>
      <c r="D2667" t="inlineStr">
        <is>
          <t>Hub A</t>
        </is>
      </c>
      <c r="E2667" t="n">
        <v>20</v>
      </c>
      <c r="F2667" t="n">
        <v>47.544</v>
      </c>
    </row>
    <row r="2668">
      <c r="A2668" t="inlineStr">
        <is>
          <t>ORD02667</t>
        </is>
      </c>
      <c r="B2668" t="inlineStr">
        <is>
          <t>C0167</t>
        </is>
      </c>
      <c r="C2668" t="n">
        <v>3</v>
      </c>
      <c r="D2668" t="inlineStr">
        <is>
          <t>Hub A</t>
        </is>
      </c>
      <c r="E2668" t="n">
        <v>27</v>
      </c>
      <c r="F2668" t="n">
        <v>47.544</v>
      </c>
    </row>
    <row r="2669">
      <c r="A2669" t="inlineStr">
        <is>
          <t>ORD02668</t>
        </is>
      </c>
      <c r="B2669" t="inlineStr">
        <is>
          <t>C0168</t>
        </is>
      </c>
      <c r="C2669" t="n">
        <v>1</v>
      </c>
      <c r="D2669" t="inlineStr">
        <is>
          <t>Hub A</t>
        </is>
      </c>
      <c r="E2669" t="n">
        <v>34</v>
      </c>
      <c r="F2669" t="n">
        <v>47.544</v>
      </c>
    </row>
    <row r="2670">
      <c r="A2670" t="inlineStr">
        <is>
          <t>ORD02669</t>
        </is>
      </c>
      <c r="B2670" t="inlineStr">
        <is>
          <t>C0169</t>
        </is>
      </c>
      <c r="C2670" t="n">
        <v>2</v>
      </c>
      <c r="D2670" t="inlineStr">
        <is>
          <t>Hub A</t>
        </is>
      </c>
      <c r="E2670" t="n">
        <v>41</v>
      </c>
      <c r="F2670" t="n">
        <v>47.544</v>
      </c>
    </row>
    <row r="2671">
      <c r="A2671" t="inlineStr">
        <is>
          <t>ORD02670</t>
        </is>
      </c>
      <c r="B2671" t="inlineStr">
        <is>
          <t>C0170</t>
        </is>
      </c>
      <c r="C2671" t="n">
        <v>3</v>
      </c>
      <c r="D2671" t="inlineStr">
        <is>
          <t>Hub A</t>
        </is>
      </c>
      <c r="E2671" t="n">
        <v>48</v>
      </c>
      <c r="F2671" t="n">
        <v>47.544</v>
      </c>
    </row>
    <row r="2672">
      <c r="A2672" t="inlineStr">
        <is>
          <t>ORD02671</t>
        </is>
      </c>
      <c r="B2672" t="inlineStr">
        <is>
          <t>C0171</t>
        </is>
      </c>
      <c r="C2672" t="n">
        <v>1</v>
      </c>
      <c r="D2672" t="inlineStr">
        <is>
          <t>Hub A</t>
        </is>
      </c>
      <c r="E2672" t="n">
        <v>55</v>
      </c>
      <c r="F2672" t="n">
        <v>47.544</v>
      </c>
    </row>
    <row r="2673">
      <c r="A2673" t="inlineStr">
        <is>
          <t>ORD02672</t>
        </is>
      </c>
      <c r="B2673" t="inlineStr">
        <is>
          <t>C0172</t>
        </is>
      </c>
      <c r="C2673" t="n">
        <v>2</v>
      </c>
      <c r="D2673" t="inlineStr">
        <is>
          <t>Hub A</t>
        </is>
      </c>
      <c r="E2673" t="n">
        <v>62</v>
      </c>
      <c r="F2673" t="n">
        <v>47.544</v>
      </c>
    </row>
    <row r="2674">
      <c r="A2674" t="inlineStr">
        <is>
          <t>ORD02673</t>
        </is>
      </c>
      <c r="B2674" t="inlineStr">
        <is>
          <t>C0173</t>
        </is>
      </c>
      <c r="C2674" t="n">
        <v>3</v>
      </c>
      <c r="D2674" t="inlineStr">
        <is>
          <t>Hub A</t>
        </is>
      </c>
      <c r="E2674" t="n">
        <v>69</v>
      </c>
      <c r="F2674" t="n">
        <v>47.544</v>
      </c>
    </row>
    <row r="2675">
      <c r="A2675" t="inlineStr">
        <is>
          <t>ORD02674</t>
        </is>
      </c>
      <c r="B2675" t="inlineStr">
        <is>
          <t>C0174</t>
        </is>
      </c>
      <c r="C2675" t="n">
        <v>1</v>
      </c>
      <c r="D2675" t="inlineStr">
        <is>
          <t>Hub A</t>
        </is>
      </c>
      <c r="E2675" t="n">
        <v>76</v>
      </c>
      <c r="F2675" t="n">
        <v>47.544</v>
      </c>
    </row>
    <row r="2676">
      <c r="A2676" t="inlineStr">
        <is>
          <t>ORD02675</t>
        </is>
      </c>
      <c r="B2676" t="inlineStr">
        <is>
          <t>C0175</t>
        </is>
      </c>
      <c r="C2676" t="n">
        <v>2</v>
      </c>
      <c r="D2676" t="inlineStr">
        <is>
          <t>Hub A</t>
        </is>
      </c>
      <c r="E2676" t="n">
        <v>23</v>
      </c>
      <c r="F2676" t="n">
        <v>47.544</v>
      </c>
    </row>
    <row r="2677">
      <c r="A2677" t="inlineStr">
        <is>
          <t>ORD02676</t>
        </is>
      </c>
      <c r="B2677" t="inlineStr">
        <is>
          <t>C0176</t>
        </is>
      </c>
      <c r="C2677" t="n">
        <v>3</v>
      </c>
      <c r="D2677" t="inlineStr">
        <is>
          <t>Hub A</t>
        </is>
      </c>
      <c r="E2677" t="n">
        <v>30</v>
      </c>
      <c r="F2677" t="n">
        <v>47.544</v>
      </c>
    </row>
    <row r="2678">
      <c r="A2678" t="inlineStr">
        <is>
          <t>ORD02677</t>
        </is>
      </c>
      <c r="B2678" t="inlineStr">
        <is>
          <t>C0177</t>
        </is>
      </c>
      <c r="C2678" t="n">
        <v>1</v>
      </c>
      <c r="D2678" t="inlineStr">
        <is>
          <t>Hub A</t>
        </is>
      </c>
      <c r="E2678" t="n">
        <v>37</v>
      </c>
      <c r="F2678" t="n">
        <v>47.544</v>
      </c>
    </row>
    <row r="2679">
      <c r="A2679" t="inlineStr">
        <is>
          <t>ORD02678</t>
        </is>
      </c>
      <c r="B2679" t="inlineStr">
        <is>
          <t>C0178</t>
        </is>
      </c>
      <c r="C2679" t="n">
        <v>2</v>
      </c>
      <c r="D2679" t="inlineStr">
        <is>
          <t>Hub A</t>
        </is>
      </c>
      <c r="E2679" t="n">
        <v>44</v>
      </c>
      <c r="F2679" t="n">
        <v>47.544</v>
      </c>
    </row>
    <row r="2680">
      <c r="A2680" t="inlineStr">
        <is>
          <t>ORD02679</t>
        </is>
      </c>
      <c r="B2680" t="inlineStr">
        <is>
          <t>C0179</t>
        </is>
      </c>
      <c r="C2680" t="n">
        <v>3</v>
      </c>
      <c r="D2680" t="inlineStr">
        <is>
          <t>Hub A</t>
        </is>
      </c>
      <c r="E2680" t="n">
        <v>51</v>
      </c>
      <c r="F2680" t="n">
        <v>47.544</v>
      </c>
    </row>
    <row r="2681">
      <c r="A2681" t="inlineStr">
        <is>
          <t>ORD02680</t>
        </is>
      </c>
      <c r="B2681" t="inlineStr">
        <is>
          <t>C0180</t>
        </is>
      </c>
      <c r="C2681" t="n">
        <v>1</v>
      </c>
      <c r="D2681" t="inlineStr">
        <is>
          <t>Hub A</t>
        </is>
      </c>
      <c r="E2681" t="n">
        <v>58</v>
      </c>
      <c r="F2681" t="n">
        <v>47.544</v>
      </c>
    </row>
    <row r="2682">
      <c r="A2682" t="inlineStr">
        <is>
          <t>ORD02681</t>
        </is>
      </c>
      <c r="B2682" t="inlineStr">
        <is>
          <t>C0181</t>
        </is>
      </c>
      <c r="C2682" t="n">
        <v>2</v>
      </c>
      <c r="D2682" t="inlineStr">
        <is>
          <t>Hub A</t>
        </is>
      </c>
      <c r="E2682" t="n">
        <v>65</v>
      </c>
      <c r="F2682" t="n">
        <v>47.544</v>
      </c>
    </row>
    <row r="2683">
      <c r="A2683" t="inlineStr">
        <is>
          <t>ORD02682</t>
        </is>
      </c>
      <c r="B2683" t="inlineStr">
        <is>
          <t>C0182</t>
        </is>
      </c>
      <c r="C2683" t="n">
        <v>3</v>
      </c>
      <c r="D2683" t="inlineStr">
        <is>
          <t>Hub A</t>
        </is>
      </c>
      <c r="E2683" t="n">
        <v>72</v>
      </c>
      <c r="F2683" t="n">
        <v>47.544</v>
      </c>
    </row>
    <row r="2684">
      <c r="A2684" t="inlineStr">
        <is>
          <t>ORD02683</t>
        </is>
      </c>
      <c r="B2684" t="inlineStr">
        <is>
          <t>C0183</t>
        </is>
      </c>
      <c r="C2684" t="n">
        <v>1</v>
      </c>
      <c r="D2684" t="inlineStr">
        <is>
          <t>Hub A</t>
        </is>
      </c>
      <c r="E2684" t="n">
        <v>19</v>
      </c>
      <c r="F2684" t="n">
        <v>47.544</v>
      </c>
    </row>
    <row r="2685">
      <c r="A2685" t="inlineStr">
        <is>
          <t>ORD02684</t>
        </is>
      </c>
      <c r="B2685" t="inlineStr">
        <is>
          <t>C0184</t>
        </is>
      </c>
      <c r="C2685" t="n">
        <v>2</v>
      </c>
      <c r="D2685" t="inlineStr">
        <is>
          <t>Hub A</t>
        </is>
      </c>
      <c r="E2685" t="n">
        <v>26</v>
      </c>
      <c r="F2685" t="n">
        <v>47.544</v>
      </c>
    </row>
    <row r="2686">
      <c r="A2686" t="inlineStr">
        <is>
          <t>ORD02685</t>
        </is>
      </c>
      <c r="B2686" t="inlineStr">
        <is>
          <t>C0185</t>
        </is>
      </c>
      <c r="C2686" t="n">
        <v>3</v>
      </c>
      <c r="D2686" t="inlineStr">
        <is>
          <t>Hub A</t>
        </is>
      </c>
      <c r="E2686" t="n">
        <v>33</v>
      </c>
      <c r="F2686" t="n">
        <v>47.544</v>
      </c>
    </row>
    <row r="2687">
      <c r="A2687" t="inlineStr">
        <is>
          <t>ORD02686</t>
        </is>
      </c>
      <c r="B2687" t="inlineStr">
        <is>
          <t>C0186</t>
        </is>
      </c>
      <c r="C2687" t="n">
        <v>1</v>
      </c>
      <c r="D2687" t="inlineStr">
        <is>
          <t>Hub A</t>
        </is>
      </c>
      <c r="E2687" t="n">
        <v>40</v>
      </c>
      <c r="F2687" t="n">
        <v>47.544</v>
      </c>
    </row>
    <row r="2688">
      <c r="A2688" t="inlineStr">
        <is>
          <t>ORD02687</t>
        </is>
      </c>
      <c r="B2688" t="inlineStr">
        <is>
          <t>C0187</t>
        </is>
      </c>
      <c r="C2688" t="n">
        <v>2</v>
      </c>
      <c r="D2688" t="inlineStr">
        <is>
          <t>Hub A</t>
        </is>
      </c>
      <c r="E2688" t="n">
        <v>47</v>
      </c>
      <c r="F2688" t="n">
        <v>47.544</v>
      </c>
    </row>
    <row r="2689">
      <c r="A2689" t="inlineStr">
        <is>
          <t>ORD02688</t>
        </is>
      </c>
      <c r="B2689" t="inlineStr">
        <is>
          <t>C0188</t>
        </is>
      </c>
      <c r="C2689" t="n">
        <v>3</v>
      </c>
      <c r="D2689" t="inlineStr">
        <is>
          <t>Hub A</t>
        </is>
      </c>
      <c r="E2689" t="n">
        <v>54</v>
      </c>
      <c r="F2689" t="n">
        <v>47.544</v>
      </c>
    </row>
    <row r="2690">
      <c r="A2690" t="inlineStr">
        <is>
          <t>ORD02689</t>
        </is>
      </c>
      <c r="B2690" t="inlineStr">
        <is>
          <t>C0189</t>
        </is>
      </c>
      <c r="C2690" t="n">
        <v>1</v>
      </c>
      <c r="D2690" t="inlineStr">
        <is>
          <t>Hub A</t>
        </is>
      </c>
      <c r="E2690" t="n">
        <v>61</v>
      </c>
      <c r="F2690" t="n">
        <v>47.544</v>
      </c>
    </row>
    <row r="2691">
      <c r="A2691" t="inlineStr">
        <is>
          <t>ORD02690</t>
        </is>
      </c>
      <c r="B2691" t="inlineStr">
        <is>
          <t>C0190</t>
        </is>
      </c>
      <c r="C2691" t="n">
        <v>2</v>
      </c>
      <c r="D2691" t="inlineStr">
        <is>
          <t>Hub A</t>
        </is>
      </c>
      <c r="E2691" t="n">
        <v>68</v>
      </c>
      <c r="F2691" t="n">
        <v>47.544</v>
      </c>
    </row>
    <row r="2692">
      <c r="A2692" t="inlineStr">
        <is>
          <t>ORD02691</t>
        </is>
      </c>
      <c r="B2692" t="inlineStr">
        <is>
          <t>C0191</t>
        </is>
      </c>
      <c r="C2692" t="n">
        <v>3</v>
      </c>
      <c r="D2692" t="inlineStr">
        <is>
          <t>Hub A</t>
        </is>
      </c>
      <c r="E2692" t="n">
        <v>75</v>
      </c>
      <c r="F2692" t="n">
        <v>47.544</v>
      </c>
    </row>
    <row r="2693">
      <c r="A2693" t="inlineStr">
        <is>
          <t>ORD02692</t>
        </is>
      </c>
      <c r="B2693" t="inlineStr">
        <is>
          <t>C0192</t>
        </is>
      </c>
      <c r="C2693" t="n">
        <v>1</v>
      </c>
      <c r="D2693" t="inlineStr">
        <is>
          <t>Hub A</t>
        </is>
      </c>
      <c r="E2693" t="n">
        <v>22</v>
      </c>
      <c r="F2693" t="n">
        <v>47.544</v>
      </c>
    </row>
    <row r="2694">
      <c r="A2694" t="inlineStr">
        <is>
          <t>ORD02693</t>
        </is>
      </c>
      <c r="B2694" t="inlineStr">
        <is>
          <t>C0193</t>
        </is>
      </c>
      <c r="C2694" t="n">
        <v>2</v>
      </c>
      <c r="D2694" t="inlineStr">
        <is>
          <t>Hub A</t>
        </is>
      </c>
      <c r="E2694" t="n">
        <v>29</v>
      </c>
      <c r="F2694" t="n">
        <v>47.544</v>
      </c>
    </row>
    <row r="2695">
      <c r="A2695" t="inlineStr">
        <is>
          <t>ORD02694</t>
        </is>
      </c>
      <c r="B2695" t="inlineStr">
        <is>
          <t>C0194</t>
        </is>
      </c>
      <c r="C2695" t="n">
        <v>3</v>
      </c>
      <c r="D2695" t="inlineStr">
        <is>
          <t>Hub A</t>
        </is>
      </c>
      <c r="E2695" t="n">
        <v>36</v>
      </c>
      <c r="F2695" t="n">
        <v>47.544</v>
      </c>
    </row>
    <row r="2696">
      <c r="A2696" t="inlineStr">
        <is>
          <t>ORD02695</t>
        </is>
      </c>
      <c r="B2696" t="inlineStr">
        <is>
          <t>C0195</t>
        </is>
      </c>
      <c r="C2696" t="n">
        <v>1</v>
      </c>
      <c r="D2696" t="inlineStr">
        <is>
          <t>Hub A</t>
        </is>
      </c>
      <c r="E2696" t="n">
        <v>43</v>
      </c>
      <c r="F2696" t="n">
        <v>47.544</v>
      </c>
    </row>
    <row r="2697">
      <c r="A2697" t="inlineStr">
        <is>
          <t>ORD02696</t>
        </is>
      </c>
      <c r="B2697" t="inlineStr">
        <is>
          <t>C0196</t>
        </is>
      </c>
      <c r="C2697" t="n">
        <v>2</v>
      </c>
      <c r="D2697" t="inlineStr">
        <is>
          <t>Hub A</t>
        </is>
      </c>
      <c r="E2697" t="n">
        <v>50</v>
      </c>
      <c r="F2697" t="n">
        <v>47.544</v>
      </c>
    </row>
    <row r="2698">
      <c r="A2698" t="inlineStr">
        <is>
          <t>ORD02697</t>
        </is>
      </c>
      <c r="B2698" t="inlineStr">
        <is>
          <t>C0197</t>
        </is>
      </c>
      <c r="C2698" t="n">
        <v>3</v>
      </c>
      <c r="D2698" t="inlineStr">
        <is>
          <t>Hub A</t>
        </is>
      </c>
      <c r="E2698" t="n">
        <v>57</v>
      </c>
      <c r="F2698" t="n">
        <v>47.544</v>
      </c>
    </row>
    <row r="2699">
      <c r="A2699" t="inlineStr">
        <is>
          <t>ORD02698</t>
        </is>
      </c>
      <c r="B2699" t="inlineStr">
        <is>
          <t>C0198</t>
        </is>
      </c>
      <c r="C2699" t="n">
        <v>1</v>
      </c>
      <c r="D2699" t="inlineStr">
        <is>
          <t>Hub A</t>
        </is>
      </c>
      <c r="E2699" t="n">
        <v>64</v>
      </c>
      <c r="F2699" t="n">
        <v>47.544</v>
      </c>
    </row>
    <row r="2700">
      <c r="A2700" t="inlineStr">
        <is>
          <t>ORD02699</t>
        </is>
      </c>
      <c r="B2700" t="inlineStr">
        <is>
          <t>C0199</t>
        </is>
      </c>
      <c r="C2700" t="n">
        <v>2</v>
      </c>
      <c r="D2700" t="inlineStr">
        <is>
          <t>Hub A</t>
        </is>
      </c>
      <c r="E2700" t="n">
        <v>71</v>
      </c>
      <c r="F2700" t="n">
        <v>47.544</v>
      </c>
    </row>
    <row r="2701">
      <c r="A2701" t="inlineStr">
        <is>
          <t>ORD02700</t>
        </is>
      </c>
      <c r="B2701" t="inlineStr">
        <is>
          <t>C0200</t>
        </is>
      </c>
      <c r="C2701" t="n">
        <v>3</v>
      </c>
      <c r="D2701" t="inlineStr">
        <is>
          <t>Hub A</t>
        </is>
      </c>
      <c r="E2701" t="n">
        <v>18</v>
      </c>
      <c r="F2701" t="n">
        <v>47.544</v>
      </c>
    </row>
    <row r="2702">
      <c r="A2702" t="inlineStr">
        <is>
          <t>ORD02701</t>
        </is>
      </c>
      <c r="B2702" t="inlineStr">
        <is>
          <t>C0201</t>
        </is>
      </c>
      <c r="C2702" t="n">
        <v>1</v>
      </c>
      <c r="D2702" t="inlineStr">
        <is>
          <t>Hub A</t>
        </is>
      </c>
      <c r="E2702" t="n">
        <v>25</v>
      </c>
      <c r="F2702" t="n">
        <v>47.544</v>
      </c>
    </row>
    <row r="2703">
      <c r="A2703" t="inlineStr">
        <is>
          <t>ORD02702</t>
        </is>
      </c>
      <c r="B2703" t="inlineStr">
        <is>
          <t>C0202</t>
        </is>
      </c>
      <c r="C2703" t="n">
        <v>2</v>
      </c>
      <c r="D2703" t="inlineStr">
        <is>
          <t>Hub A</t>
        </is>
      </c>
      <c r="E2703" t="n">
        <v>32</v>
      </c>
      <c r="F2703" t="n">
        <v>47.544</v>
      </c>
    </row>
    <row r="2704">
      <c r="A2704" t="inlineStr">
        <is>
          <t>ORD02703</t>
        </is>
      </c>
      <c r="B2704" t="inlineStr">
        <is>
          <t>C0203</t>
        </is>
      </c>
      <c r="C2704" t="n">
        <v>3</v>
      </c>
      <c r="D2704" t="inlineStr">
        <is>
          <t>Hub A</t>
        </is>
      </c>
      <c r="E2704" t="n">
        <v>39</v>
      </c>
      <c r="F2704" t="n">
        <v>47.544</v>
      </c>
    </row>
    <row r="2705">
      <c r="A2705" t="inlineStr">
        <is>
          <t>ORD02704</t>
        </is>
      </c>
      <c r="B2705" t="inlineStr">
        <is>
          <t>C0204</t>
        </is>
      </c>
      <c r="C2705" t="n">
        <v>1</v>
      </c>
      <c r="D2705" t="inlineStr">
        <is>
          <t>Hub A</t>
        </is>
      </c>
      <c r="E2705" t="n">
        <v>46</v>
      </c>
      <c r="F2705" t="n">
        <v>47.544</v>
      </c>
    </row>
    <row r="2706">
      <c r="A2706" t="inlineStr">
        <is>
          <t>ORD02705</t>
        </is>
      </c>
      <c r="B2706" t="inlineStr">
        <is>
          <t>C0205</t>
        </is>
      </c>
      <c r="C2706" t="n">
        <v>2</v>
      </c>
      <c r="D2706" t="inlineStr">
        <is>
          <t>Hub A</t>
        </is>
      </c>
      <c r="E2706" t="n">
        <v>53</v>
      </c>
      <c r="F2706" t="n">
        <v>47.544</v>
      </c>
    </row>
    <row r="2707">
      <c r="A2707" t="inlineStr">
        <is>
          <t>ORD02706</t>
        </is>
      </c>
      <c r="B2707" t="inlineStr">
        <is>
          <t>C0206</t>
        </is>
      </c>
      <c r="C2707" t="n">
        <v>3</v>
      </c>
      <c r="D2707" t="inlineStr">
        <is>
          <t>Hub A</t>
        </is>
      </c>
      <c r="E2707" t="n">
        <v>60</v>
      </c>
      <c r="F2707" t="n">
        <v>47.544</v>
      </c>
    </row>
    <row r="2708">
      <c r="A2708" t="inlineStr">
        <is>
          <t>ORD02707</t>
        </is>
      </c>
      <c r="B2708" t="inlineStr">
        <is>
          <t>C0207</t>
        </is>
      </c>
      <c r="C2708" t="n">
        <v>1</v>
      </c>
      <c r="D2708" t="inlineStr">
        <is>
          <t>Hub A</t>
        </is>
      </c>
      <c r="E2708" t="n">
        <v>67</v>
      </c>
      <c r="F2708" t="n">
        <v>47.544</v>
      </c>
    </row>
    <row r="2709">
      <c r="A2709" t="inlineStr">
        <is>
          <t>ORD02708</t>
        </is>
      </c>
      <c r="B2709" t="inlineStr">
        <is>
          <t>C0208</t>
        </is>
      </c>
      <c r="C2709" t="n">
        <v>2</v>
      </c>
      <c r="D2709" t="inlineStr">
        <is>
          <t>Hub A</t>
        </is>
      </c>
      <c r="E2709" t="n">
        <v>74</v>
      </c>
      <c r="F2709" t="n">
        <v>47.544</v>
      </c>
    </row>
    <row r="2710">
      <c r="A2710" t="inlineStr">
        <is>
          <t>ORD02709</t>
        </is>
      </c>
      <c r="B2710" t="inlineStr">
        <is>
          <t>C0209</t>
        </is>
      </c>
      <c r="C2710" t="n">
        <v>3</v>
      </c>
      <c r="D2710" t="inlineStr">
        <is>
          <t>Hub A</t>
        </is>
      </c>
      <c r="E2710" t="n">
        <v>21</v>
      </c>
      <c r="F2710" t="n">
        <v>47.544</v>
      </c>
    </row>
    <row r="2711">
      <c r="A2711" t="inlineStr">
        <is>
          <t>ORD02710</t>
        </is>
      </c>
      <c r="B2711" t="inlineStr">
        <is>
          <t>C0210</t>
        </is>
      </c>
      <c r="C2711" t="n">
        <v>1</v>
      </c>
      <c r="D2711" t="inlineStr">
        <is>
          <t>Hub A</t>
        </is>
      </c>
      <c r="E2711" t="n">
        <v>28</v>
      </c>
      <c r="F2711" t="n">
        <v>47.544</v>
      </c>
    </row>
    <row r="2712">
      <c r="A2712" t="inlineStr">
        <is>
          <t>ORD02711</t>
        </is>
      </c>
      <c r="B2712" t="inlineStr">
        <is>
          <t>C0211</t>
        </is>
      </c>
      <c r="C2712" t="n">
        <v>2</v>
      </c>
      <c r="D2712" t="inlineStr">
        <is>
          <t>Hub A</t>
        </is>
      </c>
      <c r="E2712" t="n">
        <v>35</v>
      </c>
      <c r="F2712" t="n">
        <v>47.544</v>
      </c>
    </row>
    <row r="2713">
      <c r="A2713" t="inlineStr">
        <is>
          <t>ORD02712</t>
        </is>
      </c>
      <c r="B2713" t="inlineStr">
        <is>
          <t>C0212</t>
        </is>
      </c>
      <c r="C2713" t="n">
        <v>3</v>
      </c>
      <c r="D2713" t="inlineStr">
        <is>
          <t>Hub A</t>
        </is>
      </c>
      <c r="E2713" t="n">
        <v>42</v>
      </c>
      <c r="F2713" t="n">
        <v>47.544</v>
      </c>
    </row>
    <row r="2714">
      <c r="A2714" t="inlineStr">
        <is>
          <t>ORD02713</t>
        </is>
      </c>
      <c r="B2714" t="inlineStr">
        <is>
          <t>C0213</t>
        </is>
      </c>
      <c r="C2714" t="n">
        <v>1</v>
      </c>
      <c r="D2714" t="inlineStr">
        <is>
          <t>Hub A</t>
        </is>
      </c>
      <c r="E2714" t="n">
        <v>49</v>
      </c>
      <c r="F2714" t="n">
        <v>47.544</v>
      </c>
    </row>
    <row r="2715">
      <c r="A2715" t="inlineStr">
        <is>
          <t>ORD02714</t>
        </is>
      </c>
      <c r="B2715" t="inlineStr">
        <is>
          <t>C0214</t>
        </is>
      </c>
      <c r="C2715" t="n">
        <v>2</v>
      </c>
      <c r="D2715" t="inlineStr">
        <is>
          <t>Hub A</t>
        </is>
      </c>
      <c r="E2715" t="n">
        <v>56</v>
      </c>
      <c r="F2715" t="n">
        <v>47.544</v>
      </c>
    </row>
    <row r="2716">
      <c r="A2716" t="inlineStr">
        <is>
          <t>ORD02715</t>
        </is>
      </c>
      <c r="B2716" t="inlineStr">
        <is>
          <t>C0215</t>
        </is>
      </c>
      <c r="C2716" t="n">
        <v>3</v>
      </c>
      <c r="D2716" t="inlineStr">
        <is>
          <t>Hub A</t>
        </is>
      </c>
      <c r="E2716" t="n">
        <v>63</v>
      </c>
      <c r="F2716" t="n">
        <v>47.544</v>
      </c>
    </row>
    <row r="2717">
      <c r="A2717" t="inlineStr">
        <is>
          <t>ORD02716</t>
        </is>
      </c>
      <c r="B2717" t="inlineStr">
        <is>
          <t>C0216</t>
        </is>
      </c>
      <c r="C2717" t="n">
        <v>1</v>
      </c>
      <c r="D2717" t="inlineStr">
        <is>
          <t>Hub A</t>
        </is>
      </c>
      <c r="E2717" t="n">
        <v>70</v>
      </c>
      <c r="F2717" t="n">
        <v>47.544</v>
      </c>
    </row>
    <row r="2718">
      <c r="A2718" t="inlineStr">
        <is>
          <t>ORD02717</t>
        </is>
      </c>
      <c r="B2718" t="inlineStr">
        <is>
          <t>C0217</t>
        </is>
      </c>
      <c r="C2718" t="n">
        <v>2</v>
      </c>
      <c r="D2718" t="inlineStr">
        <is>
          <t>Hub A</t>
        </is>
      </c>
      <c r="E2718" t="n">
        <v>77</v>
      </c>
      <c r="F2718" t="n">
        <v>47.544</v>
      </c>
    </row>
    <row r="2719">
      <c r="A2719" t="inlineStr">
        <is>
          <t>ORD02718</t>
        </is>
      </c>
      <c r="B2719" t="inlineStr">
        <is>
          <t>C0218</t>
        </is>
      </c>
      <c r="C2719" t="n">
        <v>3</v>
      </c>
      <c r="D2719" t="inlineStr">
        <is>
          <t>Hub A</t>
        </is>
      </c>
      <c r="E2719" t="n">
        <v>24</v>
      </c>
      <c r="F2719" t="n">
        <v>47.544</v>
      </c>
    </row>
    <row r="2720">
      <c r="A2720" t="inlineStr">
        <is>
          <t>ORD02719</t>
        </is>
      </c>
      <c r="B2720" t="inlineStr">
        <is>
          <t>C0219</t>
        </is>
      </c>
      <c r="C2720" t="n">
        <v>1</v>
      </c>
      <c r="D2720" t="inlineStr">
        <is>
          <t>Hub A</t>
        </is>
      </c>
      <c r="E2720" t="n">
        <v>31</v>
      </c>
      <c r="F2720" t="n">
        <v>47.544</v>
      </c>
    </row>
    <row r="2721">
      <c r="A2721" t="inlineStr">
        <is>
          <t>ORD02720</t>
        </is>
      </c>
      <c r="B2721" t="inlineStr">
        <is>
          <t>C0220</t>
        </is>
      </c>
      <c r="C2721" t="n">
        <v>2</v>
      </c>
      <c r="D2721" t="inlineStr">
        <is>
          <t>Hub A</t>
        </is>
      </c>
      <c r="E2721" t="n">
        <v>38</v>
      </c>
      <c r="F2721" t="n">
        <v>47.544</v>
      </c>
    </row>
    <row r="2722">
      <c r="A2722" t="inlineStr">
        <is>
          <t>ORD02721</t>
        </is>
      </c>
      <c r="B2722" t="inlineStr">
        <is>
          <t>C0221</t>
        </is>
      </c>
      <c r="C2722" t="n">
        <v>3</v>
      </c>
      <c r="D2722" t="inlineStr">
        <is>
          <t>Hub A</t>
        </is>
      </c>
      <c r="E2722" t="n">
        <v>45</v>
      </c>
      <c r="F2722" t="n">
        <v>47.544</v>
      </c>
    </row>
    <row r="2723">
      <c r="A2723" t="inlineStr">
        <is>
          <t>ORD02722</t>
        </is>
      </c>
      <c r="B2723" t="inlineStr">
        <is>
          <t>C0222</t>
        </is>
      </c>
      <c r="C2723" t="n">
        <v>1</v>
      </c>
      <c r="D2723" t="inlineStr">
        <is>
          <t>Hub A</t>
        </is>
      </c>
      <c r="E2723" t="n">
        <v>52</v>
      </c>
      <c r="F2723" t="n">
        <v>47.544</v>
      </c>
    </row>
    <row r="2724">
      <c r="A2724" t="inlineStr">
        <is>
          <t>ORD02723</t>
        </is>
      </c>
      <c r="B2724" t="inlineStr">
        <is>
          <t>C0223</t>
        </is>
      </c>
      <c r="C2724" t="n">
        <v>2</v>
      </c>
      <c r="D2724" t="inlineStr">
        <is>
          <t>Hub A</t>
        </is>
      </c>
      <c r="E2724" t="n">
        <v>59</v>
      </c>
      <c r="F2724" t="n">
        <v>47.544</v>
      </c>
    </row>
    <row r="2725">
      <c r="A2725" t="inlineStr">
        <is>
          <t>ORD02724</t>
        </is>
      </c>
      <c r="B2725" t="inlineStr">
        <is>
          <t>C0224</t>
        </is>
      </c>
      <c r="C2725" t="n">
        <v>3</v>
      </c>
      <c r="D2725" t="inlineStr">
        <is>
          <t>Hub A</t>
        </is>
      </c>
      <c r="E2725" t="n">
        <v>66</v>
      </c>
      <c r="F2725" t="n">
        <v>47.544</v>
      </c>
    </row>
    <row r="2726">
      <c r="A2726" t="inlineStr">
        <is>
          <t>ORD02725</t>
        </is>
      </c>
      <c r="B2726" t="inlineStr">
        <is>
          <t>C0225</t>
        </is>
      </c>
      <c r="C2726" t="n">
        <v>1</v>
      </c>
      <c r="D2726" t="inlineStr">
        <is>
          <t>Hub A</t>
        </is>
      </c>
      <c r="E2726" t="n">
        <v>73</v>
      </c>
      <c r="F2726" t="n">
        <v>47.544</v>
      </c>
    </row>
    <row r="2727">
      <c r="A2727" t="inlineStr">
        <is>
          <t>ORD02726</t>
        </is>
      </c>
      <c r="B2727" t="inlineStr">
        <is>
          <t>C0226</t>
        </is>
      </c>
      <c r="C2727" t="n">
        <v>2</v>
      </c>
      <c r="D2727" t="inlineStr">
        <is>
          <t>Hub A</t>
        </is>
      </c>
      <c r="E2727" t="n">
        <v>20</v>
      </c>
      <c r="F2727" t="n">
        <v>47.544</v>
      </c>
    </row>
    <row r="2728">
      <c r="A2728" t="inlineStr">
        <is>
          <t>ORD02727</t>
        </is>
      </c>
      <c r="B2728" t="inlineStr">
        <is>
          <t>C0227</t>
        </is>
      </c>
      <c r="C2728" t="n">
        <v>3</v>
      </c>
      <c r="D2728" t="inlineStr">
        <is>
          <t>Hub A</t>
        </is>
      </c>
      <c r="E2728" t="n">
        <v>27</v>
      </c>
      <c r="F2728" t="n">
        <v>47.544</v>
      </c>
    </row>
    <row r="2729">
      <c r="A2729" t="inlineStr">
        <is>
          <t>ORD02728</t>
        </is>
      </c>
      <c r="B2729" t="inlineStr">
        <is>
          <t>C0228</t>
        </is>
      </c>
      <c r="C2729" t="n">
        <v>1</v>
      </c>
      <c r="D2729" t="inlineStr">
        <is>
          <t>Hub A</t>
        </is>
      </c>
      <c r="E2729" t="n">
        <v>34</v>
      </c>
      <c r="F2729" t="n">
        <v>47.544</v>
      </c>
    </row>
    <row r="2730">
      <c r="A2730" t="inlineStr">
        <is>
          <t>ORD02729</t>
        </is>
      </c>
      <c r="B2730" t="inlineStr">
        <is>
          <t>C0229</t>
        </is>
      </c>
      <c r="C2730" t="n">
        <v>2</v>
      </c>
      <c r="D2730" t="inlineStr">
        <is>
          <t>Hub A</t>
        </is>
      </c>
      <c r="E2730" t="n">
        <v>41</v>
      </c>
      <c r="F2730" t="n">
        <v>47.544</v>
      </c>
    </row>
    <row r="2731">
      <c r="A2731" t="inlineStr">
        <is>
          <t>ORD02730</t>
        </is>
      </c>
      <c r="B2731" t="inlineStr">
        <is>
          <t>C0230</t>
        </is>
      </c>
      <c r="C2731" t="n">
        <v>3</v>
      </c>
      <c r="D2731" t="inlineStr">
        <is>
          <t>Hub A</t>
        </is>
      </c>
      <c r="E2731" t="n">
        <v>48</v>
      </c>
      <c r="F2731" t="n">
        <v>47.544</v>
      </c>
    </row>
    <row r="2732">
      <c r="A2732" t="inlineStr">
        <is>
          <t>ORD02731</t>
        </is>
      </c>
      <c r="B2732" t="inlineStr">
        <is>
          <t>C0231</t>
        </is>
      </c>
      <c r="C2732" t="n">
        <v>1</v>
      </c>
      <c r="D2732" t="inlineStr">
        <is>
          <t>Hub A</t>
        </is>
      </c>
      <c r="E2732" t="n">
        <v>55</v>
      </c>
      <c r="F2732" t="n">
        <v>47.544</v>
      </c>
    </row>
    <row r="2733">
      <c r="A2733" t="inlineStr">
        <is>
          <t>ORD02732</t>
        </is>
      </c>
      <c r="B2733" t="inlineStr">
        <is>
          <t>C0232</t>
        </is>
      </c>
      <c r="C2733" t="n">
        <v>2</v>
      </c>
      <c r="D2733" t="inlineStr">
        <is>
          <t>Hub A</t>
        </is>
      </c>
      <c r="E2733" t="n">
        <v>62</v>
      </c>
      <c r="F2733" t="n">
        <v>47.544</v>
      </c>
    </row>
    <row r="2734">
      <c r="A2734" t="inlineStr">
        <is>
          <t>ORD02733</t>
        </is>
      </c>
      <c r="B2734" t="inlineStr">
        <is>
          <t>C0233</t>
        </is>
      </c>
      <c r="C2734" t="n">
        <v>3</v>
      </c>
      <c r="D2734" t="inlineStr">
        <is>
          <t>Hub A</t>
        </is>
      </c>
      <c r="E2734" t="n">
        <v>69</v>
      </c>
      <c r="F2734" t="n">
        <v>47.544</v>
      </c>
    </row>
    <row r="2735">
      <c r="A2735" t="inlineStr">
        <is>
          <t>ORD02734</t>
        </is>
      </c>
      <c r="B2735" t="inlineStr">
        <is>
          <t>C0234</t>
        </is>
      </c>
      <c r="C2735" t="n">
        <v>1</v>
      </c>
      <c r="D2735" t="inlineStr">
        <is>
          <t>Hub A</t>
        </is>
      </c>
      <c r="E2735" t="n">
        <v>76</v>
      </c>
      <c r="F2735" t="n">
        <v>47.544</v>
      </c>
    </row>
    <row r="2736">
      <c r="A2736" t="inlineStr">
        <is>
          <t>ORD02735</t>
        </is>
      </c>
      <c r="B2736" t="inlineStr">
        <is>
          <t>C0235</t>
        </is>
      </c>
      <c r="C2736" t="n">
        <v>2</v>
      </c>
      <c r="D2736" t="inlineStr">
        <is>
          <t>Hub A</t>
        </is>
      </c>
      <c r="E2736" t="n">
        <v>23</v>
      </c>
      <c r="F2736" t="n">
        <v>47.544</v>
      </c>
    </row>
    <row r="2737">
      <c r="A2737" t="inlineStr">
        <is>
          <t>ORD02736</t>
        </is>
      </c>
      <c r="B2737" t="inlineStr">
        <is>
          <t>C0236</t>
        </is>
      </c>
      <c r="C2737" t="n">
        <v>3</v>
      </c>
      <c r="D2737" t="inlineStr">
        <is>
          <t>Hub A</t>
        </is>
      </c>
      <c r="E2737" t="n">
        <v>30</v>
      </c>
      <c r="F2737" t="n">
        <v>47.544</v>
      </c>
    </row>
    <row r="2738">
      <c r="A2738" t="inlineStr">
        <is>
          <t>ORD02737</t>
        </is>
      </c>
      <c r="B2738" t="inlineStr">
        <is>
          <t>C0237</t>
        </is>
      </c>
      <c r="C2738" t="n">
        <v>1</v>
      </c>
      <c r="D2738" t="inlineStr">
        <is>
          <t>Hub A</t>
        </is>
      </c>
      <c r="E2738" t="n">
        <v>37</v>
      </c>
      <c r="F2738" t="n">
        <v>47.544</v>
      </c>
    </row>
    <row r="2739">
      <c r="A2739" t="inlineStr">
        <is>
          <t>ORD02738</t>
        </is>
      </c>
      <c r="B2739" t="inlineStr">
        <is>
          <t>C0238</t>
        </is>
      </c>
      <c r="C2739" t="n">
        <v>2</v>
      </c>
      <c r="D2739" t="inlineStr">
        <is>
          <t>Hub A</t>
        </is>
      </c>
      <c r="E2739" t="n">
        <v>44</v>
      </c>
      <c r="F2739" t="n">
        <v>47.544</v>
      </c>
    </row>
    <row r="2740">
      <c r="A2740" t="inlineStr">
        <is>
          <t>ORD02739</t>
        </is>
      </c>
      <c r="B2740" t="inlineStr">
        <is>
          <t>C0239</t>
        </is>
      </c>
      <c r="C2740" t="n">
        <v>3</v>
      </c>
      <c r="D2740" t="inlineStr">
        <is>
          <t>Hub A</t>
        </is>
      </c>
      <c r="E2740" t="n">
        <v>51</v>
      </c>
      <c r="F2740" t="n">
        <v>47.544</v>
      </c>
    </row>
    <row r="2741">
      <c r="A2741" t="inlineStr">
        <is>
          <t>ORD02740</t>
        </is>
      </c>
      <c r="B2741" t="inlineStr">
        <is>
          <t>C0240</t>
        </is>
      </c>
      <c r="C2741" t="n">
        <v>1</v>
      </c>
      <c r="D2741" t="inlineStr">
        <is>
          <t>Hub A</t>
        </is>
      </c>
      <c r="E2741" t="n">
        <v>58</v>
      </c>
      <c r="F2741" t="n">
        <v>47.544</v>
      </c>
    </row>
    <row r="2742">
      <c r="A2742" t="inlineStr">
        <is>
          <t>ORD02741</t>
        </is>
      </c>
      <c r="B2742" t="inlineStr">
        <is>
          <t>C0241</t>
        </is>
      </c>
      <c r="C2742" t="n">
        <v>2</v>
      </c>
      <c r="D2742" t="inlineStr">
        <is>
          <t>Hub A</t>
        </is>
      </c>
      <c r="E2742" t="n">
        <v>65</v>
      </c>
      <c r="F2742" t="n">
        <v>47.544</v>
      </c>
    </row>
    <row r="2743">
      <c r="A2743" t="inlineStr">
        <is>
          <t>ORD02742</t>
        </is>
      </c>
      <c r="B2743" t="inlineStr">
        <is>
          <t>C0242</t>
        </is>
      </c>
      <c r="C2743" t="n">
        <v>3</v>
      </c>
      <c r="D2743" t="inlineStr">
        <is>
          <t>Hub A</t>
        </is>
      </c>
      <c r="E2743" t="n">
        <v>72</v>
      </c>
      <c r="F2743" t="n">
        <v>47.544</v>
      </c>
    </row>
    <row r="2744">
      <c r="A2744" t="inlineStr">
        <is>
          <t>ORD02743</t>
        </is>
      </c>
      <c r="B2744" t="inlineStr">
        <is>
          <t>C0243</t>
        </is>
      </c>
      <c r="C2744" t="n">
        <v>1</v>
      </c>
      <c r="D2744" t="inlineStr">
        <is>
          <t>Hub A</t>
        </is>
      </c>
      <c r="E2744" t="n">
        <v>19</v>
      </c>
      <c r="F2744" t="n">
        <v>47.544</v>
      </c>
    </row>
    <row r="2745">
      <c r="A2745" t="inlineStr">
        <is>
          <t>ORD02744</t>
        </is>
      </c>
      <c r="B2745" t="inlineStr">
        <is>
          <t>C0244</t>
        </is>
      </c>
      <c r="C2745" t="n">
        <v>2</v>
      </c>
      <c r="D2745" t="inlineStr">
        <is>
          <t>Hub A</t>
        </is>
      </c>
      <c r="E2745" t="n">
        <v>26</v>
      </c>
      <c r="F2745" t="n">
        <v>47.544</v>
      </c>
    </row>
    <row r="2746">
      <c r="A2746" t="inlineStr">
        <is>
          <t>ORD02745</t>
        </is>
      </c>
      <c r="B2746" t="inlineStr">
        <is>
          <t>C0245</t>
        </is>
      </c>
      <c r="C2746" t="n">
        <v>3</v>
      </c>
      <c r="D2746" t="inlineStr">
        <is>
          <t>Hub A</t>
        </is>
      </c>
      <c r="E2746" t="n">
        <v>33</v>
      </c>
      <c r="F2746" t="n">
        <v>47.544</v>
      </c>
    </row>
    <row r="2747">
      <c r="A2747" t="inlineStr">
        <is>
          <t>ORD02746</t>
        </is>
      </c>
      <c r="B2747" t="inlineStr">
        <is>
          <t>C0246</t>
        </is>
      </c>
      <c r="C2747" t="n">
        <v>1</v>
      </c>
      <c r="D2747" t="inlineStr">
        <is>
          <t>Hub A</t>
        </is>
      </c>
      <c r="E2747" t="n">
        <v>40</v>
      </c>
      <c r="F2747" t="n">
        <v>47.544</v>
      </c>
    </row>
    <row r="2748">
      <c r="A2748" t="inlineStr">
        <is>
          <t>ORD02747</t>
        </is>
      </c>
      <c r="B2748" t="inlineStr">
        <is>
          <t>C0247</t>
        </is>
      </c>
      <c r="C2748" t="n">
        <v>2</v>
      </c>
      <c r="D2748" t="inlineStr">
        <is>
          <t>Hub A</t>
        </is>
      </c>
      <c r="E2748" t="n">
        <v>47</v>
      </c>
      <c r="F2748" t="n">
        <v>47.544</v>
      </c>
    </row>
    <row r="2749">
      <c r="A2749" t="inlineStr">
        <is>
          <t>ORD02748</t>
        </is>
      </c>
      <c r="B2749" t="inlineStr">
        <is>
          <t>C0248</t>
        </is>
      </c>
      <c r="C2749" t="n">
        <v>3</v>
      </c>
      <c r="D2749" t="inlineStr">
        <is>
          <t>Hub A</t>
        </is>
      </c>
      <c r="E2749" t="n">
        <v>54</v>
      </c>
      <c r="F2749" t="n">
        <v>47.544</v>
      </c>
    </row>
    <row r="2750">
      <c r="A2750" t="inlineStr">
        <is>
          <t>ORD02749</t>
        </is>
      </c>
      <c r="B2750" t="inlineStr">
        <is>
          <t>C0249</t>
        </is>
      </c>
      <c r="C2750" t="n">
        <v>1</v>
      </c>
      <c r="D2750" t="inlineStr">
        <is>
          <t>Hub A</t>
        </is>
      </c>
      <c r="E2750" t="n">
        <v>61</v>
      </c>
      <c r="F2750" t="n">
        <v>47.544</v>
      </c>
    </row>
    <row r="2751">
      <c r="A2751" t="inlineStr">
        <is>
          <t>ORD02750</t>
        </is>
      </c>
      <c r="B2751" t="inlineStr">
        <is>
          <t>C0250</t>
        </is>
      </c>
      <c r="C2751" t="n">
        <v>2</v>
      </c>
      <c r="D2751" t="inlineStr">
        <is>
          <t>Hub A</t>
        </is>
      </c>
      <c r="E2751" t="n">
        <v>68</v>
      </c>
      <c r="F2751" t="n">
        <v>47.544</v>
      </c>
    </row>
    <row r="2752">
      <c r="A2752" t="inlineStr">
        <is>
          <t>ORD02751</t>
        </is>
      </c>
      <c r="B2752" t="inlineStr">
        <is>
          <t>C0251</t>
        </is>
      </c>
      <c r="C2752" t="n">
        <v>3</v>
      </c>
      <c r="D2752" t="inlineStr">
        <is>
          <t>Hub A</t>
        </is>
      </c>
      <c r="E2752" t="n">
        <v>75</v>
      </c>
      <c r="F2752" t="n">
        <v>47.544</v>
      </c>
    </row>
    <row r="2753">
      <c r="A2753" t="inlineStr">
        <is>
          <t>ORD02752</t>
        </is>
      </c>
      <c r="B2753" t="inlineStr">
        <is>
          <t>C0252</t>
        </is>
      </c>
      <c r="C2753" t="n">
        <v>1</v>
      </c>
      <c r="D2753" t="inlineStr">
        <is>
          <t>Hub A</t>
        </is>
      </c>
      <c r="E2753" t="n">
        <v>22</v>
      </c>
      <c r="F2753" t="n">
        <v>47.544</v>
      </c>
    </row>
    <row r="2754">
      <c r="A2754" t="inlineStr">
        <is>
          <t>ORD02753</t>
        </is>
      </c>
      <c r="B2754" t="inlineStr">
        <is>
          <t>C0253</t>
        </is>
      </c>
      <c r="C2754" t="n">
        <v>2</v>
      </c>
      <c r="D2754" t="inlineStr">
        <is>
          <t>Hub A</t>
        </is>
      </c>
      <c r="E2754" t="n">
        <v>29</v>
      </c>
      <c r="F2754" t="n">
        <v>47.544</v>
      </c>
    </row>
    <row r="2755">
      <c r="A2755" t="inlineStr">
        <is>
          <t>ORD02754</t>
        </is>
      </c>
      <c r="B2755" t="inlineStr">
        <is>
          <t>C0254</t>
        </is>
      </c>
      <c r="C2755" t="n">
        <v>3</v>
      </c>
      <c r="D2755" t="inlineStr">
        <is>
          <t>Hub A</t>
        </is>
      </c>
      <c r="E2755" t="n">
        <v>36</v>
      </c>
      <c r="F2755" t="n">
        <v>47.544</v>
      </c>
    </row>
    <row r="2756">
      <c r="A2756" t="inlineStr">
        <is>
          <t>ORD02755</t>
        </is>
      </c>
      <c r="B2756" t="inlineStr">
        <is>
          <t>C0255</t>
        </is>
      </c>
      <c r="C2756" t="n">
        <v>1</v>
      </c>
      <c r="D2756" t="inlineStr">
        <is>
          <t>Hub A</t>
        </is>
      </c>
      <c r="E2756" t="n">
        <v>43</v>
      </c>
      <c r="F2756" t="n">
        <v>47.544</v>
      </c>
    </row>
    <row r="2757">
      <c r="A2757" t="inlineStr">
        <is>
          <t>ORD02756</t>
        </is>
      </c>
      <c r="B2757" t="inlineStr">
        <is>
          <t>C0256</t>
        </is>
      </c>
      <c r="C2757" t="n">
        <v>2</v>
      </c>
      <c r="D2757" t="inlineStr">
        <is>
          <t>Hub A</t>
        </is>
      </c>
      <c r="E2757" t="n">
        <v>50</v>
      </c>
      <c r="F2757" t="n">
        <v>47.544</v>
      </c>
    </row>
    <row r="2758">
      <c r="A2758" t="inlineStr">
        <is>
          <t>ORD02757</t>
        </is>
      </c>
      <c r="B2758" t="inlineStr">
        <is>
          <t>C0257</t>
        </is>
      </c>
      <c r="C2758" t="n">
        <v>3</v>
      </c>
      <c r="D2758" t="inlineStr">
        <is>
          <t>Hub A</t>
        </is>
      </c>
      <c r="E2758" t="n">
        <v>57</v>
      </c>
      <c r="F2758" t="n">
        <v>47.544</v>
      </c>
    </row>
    <row r="2759">
      <c r="A2759" t="inlineStr">
        <is>
          <t>ORD02758</t>
        </is>
      </c>
      <c r="B2759" t="inlineStr">
        <is>
          <t>C0258</t>
        </is>
      </c>
      <c r="C2759" t="n">
        <v>1</v>
      </c>
      <c r="D2759" t="inlineStr">
        <is>
          <t>Hub A</t>
        </is>
      </c>
      <c r="E2759" t="n">
        <v>64</v>
      </c>
      <c r="F2759" t="n">
        <v>47.544</v>
      </c>
    </row>
    <row r="2760">
      <c r="A2760" t="inlineStr">
        <is>
          <t>ORD02759</t>
        </is>
      </c>
      <c r="B2760" t="inlineStr">
        <is>
          <t>C0259</t>
        </is>
      </c>
      <c r="C2760" t="n">
        <v>2</v>
      </c>
      <c r="D2760" t="inlineStr">
        <is>
          <t>Hub A</t>
        </is>
      </c>
      <c r="E2760" t="n">
        <v>71</v>
      </c>
      <c r="F2760" t="n">
        <v>47.544</v>
      </c>
    </row>
    <row r="2761">
      <c r="A2761" t="inlineStr">
        <is>
          <t>ORD02760</t>
        </is>
      </c>
      <c r="B2761" t="inlineStr">
        <is>
          <t>C0260</t>
        </is>
      </c>
      <c r="C2761" t="n">
        <v>3</v>
      </c>
      <c r="D2761" t="inlineStr">
        <is>
          <t>Hub A</t>
        </is>
      </c>
      <c r="E2761" t="n">
        <v>18</v>
      </c>
      <c r="F2761" t="n">
        <v>47.544</v>
      </c>
    </row>
    <row r="2762">
      <c r="A2762" t="inlineStr">
        <is>
          <t>ORD02761</t>
        </is>
      </c>
      <c r="B2762" t="inlineStr">
        <is>
          <t>C0261</t>
        </is>
      </c>
      <c r="C2762" t="n">
        <v>1</v>
      </c>
      <c r="D2762" t="inlineStr">
        <is>
          <t>Hub A</t>
        </is>
      </c>
      <c r="E2762" t="n">
        <v>25</v>
      </c>
      <c r="F2762" t="n">
        <v>47.544</v>
      </c>
    </row>
    <row r="2763">
      <c r="A2763" t="inlineStr">
        <is>
          <t>ORD02762</t>
        </is>
      </c>
      <c r="B2763" t="inlineStr">
        <is>
          <t>C0262</t>
        </is>
      </c>
      <c r="C2763" t="n">
        <v>2</v>
      </c>
      <c r="D2763" t="inlineStr">
        <is>
          <t>Hub A</t>
        </is>
      </c>
      <c r="E2763" t="n">
        <v>32</v>
      </c>
      <c r="F2763" t="n">
        <v>47.544</v>
      </c>
    </row>
    <row r="2764">
      <c r="A2764" t="inlineStr">
        <is>
          <t>ORD02763</t>
        </is>
      </c>
      <c r="B2764" t="inlineStr">
        <is>
          <t>C0263</t>
        </is>
      </c>
      <c r="C2764" t="n">
        <v>3</v>
      </c>
      <c r="D2764" t="inlineStr">
        <is>
          <t>Hub A</t>
        </is>
      </c>
      <c r="E2764" t="n">
        <v>39</v>
      </c>
      <c r="F2764" t="n">
        <v>47.544</v>
      </c>
    </row>
    <row r="2765">
      <c r="A2765" t="inlineStr">
        <is>
          <t>ORD02764</t>
        </is>
      </c>
      <c r="B2765" t="inlineStr">
        <is>
          <t>C0264</t>
        </is>
      </c>
      <c r="C2765" t="n">
        <v>1</v>
      </c>
      <c r="D2765" t="inlineStr">
        <is>
          <t>Hub A</t>
        </is>
      </c>
      <c r="E2765" t="n">
        <v>46</v>
      </c>
      <c r="F2765" t="n">
        <v>47.544</v>
      </c>
    </row>
    <row r="2766">
      <c r="A2766" t="inlineStr">
        <is>
          <t>ORD02765</t>
        </is>
      </c>
      <c r="B2766" t="inlineStr">
        <is>
          <t>C0265</t>
        </is>
      </c>
      <c r="C2766" t="n">
        <v>2</v>
      </c>
      <c r="D2766" t="inlineStr">
        <is>
          <t>Hub A</t>
        </is>
      </c>
      <c r="E2766" t="n">
        <v>53</v>
      </c>
      <c r="F2766" t="n">
        <v>47.544</v>
      </c>
    </row>
    <row r="2767">
      <c r="A2767" t="inlineStr">
        <is>
          <t>ORD02766</t>
        </is>
      </c>
      <c r="B2767" t="inlineStr">
        <is>
          <t>C0266</t>
        </is>
      </c>
      <c r="C2767" t="n">
        <v>3</v>
      </c>
      <c r="D2767" t="inlineStr">
        <is>
          <t>Hub A</t>
        </is>
      </c>
      <c r="E2767" t="n">
        <v>60</v>
      </c>
      <c r="F2767" t="n">
        <v>47.544</v>
      </c>
    </row>
    <row r="2768">
      <c r="A2768" t="inlineStr">
        <is>
          <t>ORD02767</t>
        </is>
      </c>
      <c r="B2768" t="inlineStr">
        <is>
          <t>C0267</t>
        </is>
      </c>
      <c r="C2768" t="n">
        <v>1</v>
      </c>
      <c r="D2768" t="inlineStr">
        <is>
          <t>Hub A</t>
        </is>
      </c>
      <c r="E2768" t="n">
        <v>67</v>
      </c>
      <c r="F2768" t="n">
        <v>47.544</v>
      </c>
    </row>
    <row r="2769">
      <c r="A2769" t="inlineStr">
        <is>
          <t>ORD02768</t>
        </is>
      </c>
      <c r="B2769" t="inlineStr">
        <is>
          <t>C0268</t>
        </is>
      </c>
      <c r="C2769" t="n">
        <v>2</v>
      </c>
      <c r="D2769" t="inlineStr">
        <is>
          <t>Hub A</t>
        </is>
      </c>
      <c r="E2769" t="n">
        <v>74</v>
      </c>
      <c r="F2769" t="n">
        <v>47.544</v>
      </c>
    </row>
    <row r="2770">
      <c r="A2770" t="inlineStr">
        <is>
          <t>ORD02769</t>
        </is>
      </c>
      <c r="B2770" t="inlineStr">
        <is>
          <t>C0269</t>
        </is>
      </c>
      <c r="C2770" t="n">
        <v>3</v>
      </c>
      <c r="D2770" t="inlineStr">
        <is>
          <t>Hub A</t>
        </is>
      </c>
      <c r="E2770" t="n">
        <v>21</v>
      </c>
      <c r="F2770" t="n">
        <v>47.544</v>
      </c>
    </row>
    <row r="2771">
      <c r="A2771" t="inlineStr">
        <is>
          <t>ORD02770</t>
        </is>
      </c>
      <c r="B2771" t="inlineStr">
        <is>
          <t>C0270</t>
        </is>
      </c>
      <c r="C2771" t="n">
        <v>1</v>
      </c>
      <c r="D2771" t="inlineStr">
        <is>
          <t>Hub A</t>
        </is>
      </c>
      <c r="E2771" t="n">
        <v>28</v>
      </c>
      <c r="F2771" t="n">
        <v>47.544</v>
      </c>
    </row>
    <row r="2772">
      <c r="A2772" t="inlineStr">
        <is>
          <t>ORD02771</t>
        </is>
      </c>
      <c r="B2772" t="inlineStr">
        <is>
          <t>C0271</t>
        </is>
      </c>
      <c r="C2772" t="n">
        <v>2</v>
      </c>
      <c r="D2772" t="inlineStr">
        <is>
          <t>Hub A</t>
        </is>
      </c>
      <c r="E2772" t="n">
        <v>35</v>
      </c>
      <c r="F2772" t="n">
        <v>47.544</v>
      </c>
    </row>
    <row r="2773">
      <c r="A2773" t="inlineStr">
        <is>
          <t>ORD02772</t>
        </is>
      </c>
      <c r="B2773" t="inlineStr">
        <is>
          <t>C0272</t>
        </is>
      </c>
      <c r="C2773" t="n">
        <v>3</v>
      </c>
      <c r="D2773" t="inlineStr">
        <is>
          <t>Hub A</t>
        </is>
      </c>
      <c r="E2773" t="n">
        <v>42</v>
      </c>
      <c r="F2773" t="n">
        <v>47.544</v>
      </c>
    </row>
    <row r="2774">
      <c r="A2774" t="inlineStr">
        <is>
          <t>ORD02773</t>
        </is>
      </c>
      <c r="B2774" t="inlineStr">
        <is>
          <t>C0273</t>
        </is>
      </c>
      <c r="C2774" t="n">
        <v>1</v>
      </c>
      <c r="D2774" t="inlineStr">
        <is>
          <t>Hub A</t>
        </is>
      </c>
      <c r="E2774" t="n">
        <v>49</v>
      </c>
      <c r="F2774" t="n">
        <v>47.544</v>
      </c>
    </row>
    <row r="2775">
      <c r="A2775" t="inlineStr">
        <is>
          <t>ORD02774</t>
        </is>
      </c>
      <c r="B2775" t="inlineStr">
        <is>
          <t>C0274</t>
        </is>
      </c>
      <c r="C2775" t="n">
        <v>2</v>
      </c>
      <c r="D2775" t="inlineStr">
        <is>
          <t>Hub A</t>
        </is>
      </c>
      <c r="E2775" t="n">
        <v>56</v>
      </c>
      <c r="F2775" t="n">
        <v>47.544</v>
      </c>
    </row>
    <row r="2776">
      <c r="A2776" t="inlineStr">
        <is>
          <t>ORD02775</t>
        </is>
      </c>
      <c r="B2776" t="inlineStr">
        <is>
          <t>C0275</t>
        </is>
      </c>
      <c r="C2776" t="n">
        <v>3</v>
      </c>
      <c r="D2776" t="inlineStr">
        <is>
          <t>Hub A</t>
        </is>
      </c>
      <c r="E2776" t="n">
        <v>63</v>
      </c>
      <c r="F2776" t="n">
        <v>47.544</v>
      </c>
    </row>
    <row r="2777">
      <c r="A2777" t="inlineStr">
        <is>
          <t>ORD02776</t>
        </is>
      </c>
      <c r="B2777" t="inlineStr">
        <is>
          <t>C0276</t>
        </is>
      </c>
      <c r="C2777" t="n">
        <v>1</v>
      </c>
      <c r="D2777" t="inlineStr">
        <is>
          <t>Hub A</t>
        </is>
      </c>
      <c r="E2777" t="n">
        <v>70</v>
      </c>
      <c r="F2777" t="n">
        <v>47.544</v>
      </c>
    </row>
    <row r="2778">
      <c r="A2778" t="inlineStr">
        <is>
          <t>ORD02777</t>
        </is>
      </c>
      <c r="B2778" t="inlineStr">
        <is>
          <t>C0277</t>
        </is>
      </c>
      <c r="C2778" t="n">
        <v>2</v>
      </c>
      <c r="D2778" t="inlineStr">
        <is>
          <t>Hub A</t>
        </is>
      </c>
      <c r="E2778" t="n">
        <v>77</v>
      </c>
      <c r="F2778" t="n">
        <v>47.544</v>
      </c>
    </row>
    <row r="2779">
      <c r="A2779" t="inlineStr">
        <is>
          <t>ORD02778</t>
        </is>
      </c>
      <c r="B2779" t="inlineStr">
        <is>
          <t>C0278</t>
        </is>
      </c>
      <c r="C2779" t="n">
        <v>3</v>
      </c>
      <c r="D2779" t="inlineStr">
        <is>
          <t>Hub A</t>
        </is>
      </c>
      <c r="E2779" t="n">
        <v>24</v>
      </c>
      <c r="F2779" t="n">
        <v>47.544</v>
      </c>
    </row>
    <row r="2780">
      <c r="A2780" t="inlineStr">
        <is>
          <t>ORD02779</t>
        </is>
      </c>
      <c r="B2780" t="inlineStr">
        <is>
          <t>C0279</t>
        </is>
      </c>
      <c r="C2780" t="n">
        <v>1</v>
      </c>
      <c r="D2780" t="inlineStr">
        <is>
          <t>Hub A</t>
        </is>
      </c>
      <c r="E2780" t="n">
        <v>31</v>
      </c>
      <c r="F2780" t="n">
        <v>47.544</v>
      </c>
    </row>
    <row r="2781">
      <c r="A2781" t="inlineStr">
        <is>
          <t>ORD02780</t>
        </is>
      </c>
      <c r="B2781" t="inlineStr">
        <is>
          <t>C0280</t>
        </is>
      </c>
      <c r="C2781" t="n">
        <v>2</v>
      </c>
      <c r="D2781" t="inlineStr">
        <is>
          <t>Hub A</t>
        </is>
      </c>
      <c r="E2781" t="n">
        <v>38</v>
      </c>
      <c r="F2781" t="n">
        <v>47.544</v>
      </c>
    </row>
    <row r="2782">
      <c r="A2782" t="inlineStr">
        <is>
          <t>ORD02781</t>
        </is>
      </c>
      <c r="B2782" t="inlineStr">
        <is>
          <t>C0281</t>
        </is>
      </c>
      <c r="C2782" t="n">
        <v>3</v>
      </c>
      <c r="D2782" t="inlineStr">
        <is>
          <t>Hub A</t>
        </is>
      </c>
      <c r="E2782" t="n">
        <v>45</v>
      </c>
      <c r="F2782" t="n">
        <v>47.544</v>
      </c>
    </row>
    <row r="2783">
      <c r="A2783" t="inlineStr">
        <is>
          <t>ORD02782</t>
        </is>
      </c>
      <c r="B2783" t="inlineStr">
        <is>
          <t>C0282</t>
        </is>
      </c>
      <c r="C2783" t="n">
        <v>1</v>
      </c>
      <c r="D2783" t="inlineStr">
        <is>
          <t>Hub A</t>
        </is>
      </c>
      <c r="E2783" t="n">
        <v>52</v>
      </c>
      <c r="F2783" t="n">
        <v>47.544</v>
      </c>
    </row>
    <row r="2784">
      <c r="A2784" t="inlineStr">
        <is>
          <t>ORD02783</t>
        </is>
      </c>
      <c r="B2784" t="inlineStr">
        <is>
          <t>C0283</t>
        </is>
      </c>
      <c r="C2784" t="n">
        <v>2</v>
      </c>
      <c r="D2784" t="inlineStr">
        <is>
          <t>Hub A</t>
        </is>
      </c>
      <c r="E2784" t="n">
        <v>59</v>
      </c>
      <c r="F2784" t="n">
        <v>47.544</v>
      </c>
    </row>
    <row r="2785">
      <c r="A2785" t="inlineStr">
        <is>
          <t>ORD02784</t>
        </is>
      </c>
      <c r="B2785" t="inlineStr">
        <is>
          <t>C0284</t>
        </is>
      </c>
      <c r="C2785" t="n">
        <v>3</v>
      </c>
      <c r="D2785" t="inlineStr">
        <is>
          <t>Hub A</t>
        </is>
      </c>
      <c r="E2785" t="n">
        <v>66</v>
      </c>
      <c r="F2785" t="n">
        <v>47.544</v>
      </c>
    </row>
    <row r="2786">
      <c r="A2786" t="inlineStr">
        <is>
          <t>ORD02785</t>
        </is>
      </c>
      <c r="B2786" t="inlineStr">
        <is>
          <t>C0285</t>
        </is>
      </c>
      <c r="C2786" t="n">
        <v>1</v>
      </c>
      <c r="D2786" t="inlineStr">
        <is>
          <t>Hub A</t>
        </is>
      </c>
      <c r="E2786" t="n">
        <v>73</v>
      </c>
      <c r="F2786" t="n">
        <v>47.544</v>
      </c>
    </row>
    <row r="2787">
      <c r="A2787" t="inlineStr">
        <is>
          <t>ORD02786</t>
        </is>
      </c>
      <c r="B2787" t="inlineStr">
        <is>
          <t>C0286</t>
        </is>
      </c>
      <c r="C2787" t="n">
        <v>2</v>
      </c>
      <c r="D2787" t="inlineStr">
        <is>
          <t>Hub A</t>
        </is>
      </c>
      <c r="E2787" t="n">
        <v>20</v>
      </c>
      <c r="F2787" t="n">
        <v>47.544</v>
      </c>
    </row>
    <row r="2788">
      <c r="A2788" t="inlineStr">
        <is>
          <t>ORD02787</t>
        </is>
      </c>
      <c r="B2788" t="inlineStr">
        <is>
          <t>C0287</t>
        </is>
      </c>
      <c r="C2788" t="n">
        <v>3</v>
      </c>
      <c r="D2788" t="inlineStr">
        <is>
          <t>Hub A</t>
        </is>
      </c>
      <c r="E2788" t="n">
        <v>27</v>
      </c>
      <c r="F2788" t="n">
        <v>47.544</v>
      </c>
    </row>
    <row r="2789">
      <c r="A2789" t="inlineStr">
        <is>
          <t>ORD02788</t>
        </is>
      </c>
      <c r="B2789" t="inlineStr">
        <is>
          <t>C0288</t>
        </is>
      </c>
      <c r="C2789" t="n">
        <v>1</v>
      </c>
      <c r="D2789" t="inlineStr">
        <is>
          <t>Hub A</t>
        </is>
      </c>
      <c r="E2789" t="n">
        <v>34</v>
      </c>
      <c r="F2789" t="n">
        <v>47.544</v>
      </c>
    </row>
    <row r="2790">
      <c r="A2790" t="inlineStr">
        <is>
          <t>ORD02789</t>
        </is>
      </c>
      <c r="B2790" t="inlineStr">
        <is>
          <t>C0289</t>
        </is>
      </c>
      <c r="C2790" t="n">
        <v>2</v>
      </c>
      <c r="D2790" t="inlineStr">
        <is>
          <t>Hub A</t>
        </is>
      </c>
      <c r="E2790" t="n">
        <v>41</v>
      </c>
      <c r="F2790" t="n">
        <v>47.544</v>
      </c>
    </row>
    <row r="2791">
      <c r="A2791" t="inlineStr">
        <is>
          <t>ORD02790</t>
        </is>
      </c>
      <c r="B2791" t="inlineStr">
        <is>
          <t>C0290</t>
        </is>
      </c>
      <c r="C2791" t="n">
        <v>3</v>
      </c>
      <c r="D2791" t="inlineStr">
        <is>
          <t>Hub A</t>
        </is>
      </c>
      <c r="E2791" t="n">
        <v>48</v>
      </c>
      <c r="F2791" t="n">
        <v>47.544</v>
      </c>
    </row>
    <row r="2792">
      <c r="A2792" t="inlineStr">
        <is>
          <t>ORD02791</t>
        </is>
      </c>
      <c r="B2792" t="inlineStr">
        <is>
          <t>C0291</t>
        </is>
      </c>
      <c r="C2792" t="n">
        <v>1</v>
      </c>
      <c r="D2792" t="inlineStr">
        <is>
          <t>Hub A</t>
        </is>
      </c>
      <c r="E2792" t="n">
        <v>55</v>
      </c>
      <c r="F2792" t="n">
        <v>47.544</v>
      </c>
    </row>
    <row r="2793">
      <c r="A2793" t="inlineStr">
        <is>
          <t>ORD02792</t>
        </is>
      </c>
      <c r="B2793" t="inlineStr">
        <is>
          <t>C0292</t>
        </is>
      </c>
      <c r="C2793" t="n">
        <v>2</v>
      </c>
      <c r="D2793" t="inlineStr">
        <is>
          <t>Hub A</t>
        </is>
      </c>
      <c r="E2793" t="n">
        <v>62</v>
      </c>
      <c r="F2793" t="n">
        <v>47.544</v>
      </c>
    </row>
    <row r="2794">
      <c r="A2794" t="inlineStr">
        <is>
          <t>ORD02793</t>
        </is>
      </c>
      <c r="B2794" t="inlineStr">
        <is>
          <t>C0293</t>
        </is>
      </c>
      <c r="C2794" t="n">
        <v>3</v>
      </c>
      <c r="D2794" t="inlineStr">
        <is>
          <t>Hub A</t>
        </is>
      </c>
      <c r="E2794" t="n">
        <v>69</v>
      </c>
      <c r="F2794" t="n">
        <v>47.544</v>
      </c>
    </row>
    <row r="2795">
      <c r="A2795" t="inlineStr">
        <is>
          <t>ORD02794</t>
        </is>
      </c>
      <c r="B2795" t="inlineStr">
        <is>
          <t>C0294</t>
        </is>
      </c>
      <c r="C2795" t="n">
        <v>1</v>
      </c>
      <c r="D2795" t="inlineStr">
        <is>
          <t>Hub A</t>
        </is>
      </c>
      <c r="E2795" t="n">
        <v>76</v>
      </c>
      <c r="F2795" t="n">
        <v>47.544</v>
      </c>
    </row>
    <row r="2796">
      <c r="A2796" t="inlineStr">
        <is>
          <t>ORD02795</t>
        </is>
      </c>
      <c r="B2796" t="inlineStr">
        <is>
          <t>C0295</t>
        </is>
      </c>
      <c r="C2796" t="n">
        <v>2</v>
      </c>
      <c r="D2796" t="inlineStr">
        <is>
          <t>Hub A</t>
        </is>
      </c>
      <c r="E2796" t="n">
        <v>23</v>
      </c>
      <c r="F2796" t="n">
        <v>47.544</v>
      </c>
    </row>
    <row r="2797">
      <c r="A2797" t="inlineStr">
        <is>
          <t>ORD02796</t>
        </is>
      </c>
      <c r="B2797" t="inlineStr">
        <is>
          <t>C0296</t>
        </is>
      </c>
      <c r="C2797" t="n">
        <v>3</v>
      </c>
      <c r="D2797" t="inlineStr">
        <is>
          <t>Hub A</t>
        </is>
      </c>
      <c r="E2797" t="n">
        <v>30</v>
      </c>
      <c r="F2797" t="n">
        <v>47.544</v>
      </c>
    </row>
    <row r="2798">
      <c r="A2798" t="inlineStr">
        <is>
          <t>ORD02797</t>
        </is>
      </c>
      <c r="B2798" t="inlineStr">
        <is>
          <t>C0297</t>
        </is>
      </c>
      <c r="C2798" t="n">
        <v>1</v>
      </c>
      <c r="D2798" t="inlineStr">
        <is>
          <t>Hub A</t>
        </is>
      </c>
      <c r="E2798" t="n">
        <v>37</v>
      </c>
      <c r="F2798" t="n">
        <v>47.544</v>
      </c>
    </row>
    <row r="2799">
      <c r="A2799" t="inlineStr">
        <is>
          <t>ORD02798</t>
        </is>
      </c>
      <c r="B2799" t="inlineStr">
        <is>
          <t>C0298</t>
        </is>
      </c>
      <c r="C2799" t="n">
        <v>2</v>
      </c>
      <c r="D2799" t="inlineStr">
        <is>
          <t>Hub A</t>
        </is>
      </c>
      <c r="E2799" t="n">
        <v>44</v>
      </c>
      <c r="F2799" t="n">
        <v>47.544</v>
      </c>
    </row>
    <row r="2800">
      <c r="A2800" t="inlineStr">
        <is>
          <t>ORD02799</t>
        </is>
      </c>
      <c r="B2800" t="inlineStr">
        <is>
          <t>C0299</t>
        </is>
      </c>
      <c r="C2800" t="n">
        <v>3</v>
      </c>
      <c r="D2800" t="inlineStr">
        <is>
          <t>Hub A</t>
        </is>
      </c>
      <c r="E2800" t="n">
        <v>51</v>
      </c>
      <c r="F2800" t="n">
        <v>47.544</v>
      </c>
    </row>
    <row r="2801">
      <c r="A2801" t="inlineStr">
        <is>
          <t>ORD02800</t>
        </is>
      </c>
      <c r="B2801" t="inlineStr">
        <is>
          <t>C0300</t>
        </is>
      </c>
      <c r="C2801" t="n">
        <v>1</v>
      </c>
      <c r="D2801" t="inlineStr">
        <is>
          <t>Hub A</t>
        </is>
      </c>
      <c r="E2801" t="n">
        <v>58</v>
      </c>
      <c r="F2801" t="n">
        <v>47.544</v>
      </c>
    </row>
    <row r="2802">
      <c r="A2802" t="inlineStr">
        <is>
          <t>ORD02801</t>
        </is>
      </c>
      <c r="B2802" t="inlineStr">
        <is>
          <t>C0301</t>
        </is>
      </c>
      <c r="C2802" t="n">
        <v>2</v>
      </c>
      <c r="D2802" t="inlineStr">
        <is>
          <t>Hub A</t>
        </is>
      </c>
      <c r="E2802" t="n">
        <v>65</v>
      </c>
      <c r="F2802" t="n">
        <v>47.544</v>
      </c>
    </row>
    <row r="2803">
      <c r="A2803" t="inlineStr">
        <is>
          <t>ORD02802</t>
        </is>
      </c>
      <c r="B2803" t="inlineStr">
        <is>
          <t>C0302</t>
        </is>
      </c>
      <c r="C2803" t="n">
        <v>3</v>
      </c>
      <c r="D2803" t="inlineStr">
        <is>
          <t>Hub A</t>
        </is>
      </c>
      <c r="E2803" t="n">
        <v>72</v>
      </c>
      <c r="F2803" t="n">
        <v>47.544</v>
      </c>
    </row>
    <row r="2804">
      <c r="A2804" t="inlineStr">
        <is>
          <t>ORD02803</t>
        </is>
      </c>
      <c r="B2804" t="inlineStr">
        <is>
          <t>C0303</t>
        </is>
      </c>
      <c r="C2804" t="n">
        <v>1</v>
      </c>
      <c r="D2804" t="inlineStr">
        <is>
          <t>Hub A</t>
        </is>
      </c>
      <c r="E2804" t="n">
        <v>19</v>
      </c>
      <c r="F2804" t="n">
        <v>47.544</v>
      </c>
    </row>
    <row r="2805">
      <c r="A2805" t="inlineStr">
        <is>
          <t>ORD02804</t>
        </is>
      </c>
      <c r="B2805" t="inlineStr">
        <is>
          <t>C0304</t>
        </is>
      </c>
      <c r="C2805" t="n">
        <v>2</v>
      </c>
      <c r="D2805" t="inlineStr">
        <is>
          <t>Hub A</t>
        </is>
      </c>
      <c r="E2805" t="n">
        <v>26</v>
      </c>
      <c r="F2805" t="n">
        <v>47.544</v>
      </c>
    </row>
    <row r="2806">
      <c r="A2806" t="inlineStr">
        <is>
          <t>ORD02805</t>
        </is>
      </c>
      <c r="B2806" t="inlineStr">
        <is>
          <t>C0305</t>
        </is>
      </c>
      <c r="C2806" t="n">
        <v>3</v>
      </c>
      <c r="D2806" t="inlineStr">
        <is>
          <t>Hub A</t>
        </is>
      </c>
      <c r="E2806" t="n">
        <v>33</v>
      </c>
      <c r="F2806" t="n">
        <v>47.544</v>
      </c>
    </row>
    <row r="2807">
      <c r="A2807" t="inlineStr">
        <is>
          <t>ORD02806</t>
        </is>
      </c>
      <c r="B2807" t="inlineStr">
        <is>
          <t>C0306</t>
        </is>
      </c>
      <c r="C2807" t="n">
        <v>1</v>
      </c>
      <c r="D2807" t="inlineStr">
        <is>
          <t>Hub A</t>
        </is>
      </c>
      <c r="E2807" t="n">
        <v>40</v>
      </c>
      <c r="F2807" t="n">
        <v>47.544</v>
      </c>
    </row>
    <row r="2808">
      <c r="A2808" t="inlineStr">
        <is>
          <t>ORD02807</t>
        </is>
      </c>
      <c r="B2808" t="inlineStr">
        <is>
          <t>C0307</t>
        </is>
      </c>
      <c r="C2808" t="n">
        <v>2</v>
      </c>
      <c r="D2808" t="inlineStr">
        <is>
          <t>Hub A</t>
        </is>
      </c>
      <c r="E2808" t="n">
        <v>47</v>
      </c>
      <c r="F2808" t="n">
        <v>47.544</v>
      </c>
    </row>
    <row r="2809">
      <c r="A2809" t="inlineStr">
        <is>
          <t>ORD02808</t>
        </is>
      </c>
      <c r="B2809" t="inlineStr">
        <is>
          <t>C0308</t>
        </is>
      </c>
      <c r="C2809" t="n">
        <v>3</v>
      </c>
      <c r="D2809" t="inlineStr">
        <is>
          <t>Hub A</t>
        </is>
      </c>
      <c r="E2809" t="n">
        <v>54</v>
      </c>
      <c r="F2809" t="n">
        <v>47.544</v>
      </c>
    </row>
    <row r="2810">
      <c r="A2810" t="inlineStr">
        <is>
          <t>ORD02809</t>
        </is>
      </c>
      <c r="B2810" t="inlineStr">
        <is>
          <t>C0309</t>
        </is>
      </c>
      <c r="C2810" t="n">
        <v>1</v>
      </c>
      <c r="D2810" t="inlineStr">
        <is>
          <t>Hub A</t>
        </is>
      </c>
      <c r="E2810" t="n">
        <v>61</v>
      </c>
      <c r="F2810" t="n">
        <v>47.544</v>
      </c>
    </row>
    <row r="2811">
      <c r="A2811" t="inlineStr">
        <is>
          <t>ORD02810</t>
        </is>
      </c>
      <c r="B2811" t="inlineStr">
        <is>
          <t>C0310</t>
        </is>
      </c>
      <c r="C2811" t="n">
        <v>2</v>
      </c>
      <c r="D2811" t="inlineStr">
        <is>
          <t>Hub A</t>
        </is>
      </c>
      <c r="E2811" t="n">
        <v>68</v>
      </c>
      <c r="F2811" t="n">
        <v>47.544</v>
      </c>
    </row>
    <row r="2812">
      <c r="A2812" t="inlineStr">
        <is>
          <t>ORD02811</t>
        </is>
      </c>
      <c r="B2812" t="inlineStr">
        <is>
          <t>C0311</t>
        </is>
      </c>
      <c r="C2812" t="n">
        <v>3</v>
      </c>
      <c r="D2812" t="inlineStr">
        <is>
          <t>Hub A</t>
        </is>
      </c>
      <c r="E2812" t="n">
        <v>75</v>
      </c>
      <c r="F2812" t="n">
        <v>47.544</v>
      </c>
    </row>
    <row r="2813">
      <c r="A2813" t="inlineStr">
        <is>
          <t>ORD02812</t>
        </is>
      </c>
      <c r="B2813" t="inlineStr">
        <is>
          <t>C0312</t>
        </is>
      </c>
      <c r="C2813" t="n">
        <v>1</v>
      </c>
      <c r="D2813" t="inlineStr">
        <is>
          <t>Hub A</t>
        </is>
      </c>
      <c r="E2813" t="n">
        <v>22</v>
      </c>
      <c r="F2813" t="n">
        <v>47.544</v>
      </c>
    </row>
    <row r="2814">
      <c r="A2814" t="inlineStr">
        <is>
          <t>ORD02813</t>
        </is>
      </c>
      <c r="B2814" t="inlineStr">
        <is>
          <t>C0313</t>
        </is>
      </c>
      <c r="C2814" t="n">
        <v>2</v>
      </c>
      <c r="D2814" t="inlineStr">
        <is>
          <t>Hub A</t>
        </is>
      </c>
      <c r="E2814" t="n">
        <v>29</v>
      </c>
      <c r="F2814" t="n">
        <v>47.544</v>
      </c>
    </row>
    <row r="2815">
      <c r="A2815" t="inlineStr">
        <is>
          <t>ORD02814</t>
        </is>
      </c>
      <c r="B2815" t="inlineStr">
        <is>
          <t>C0314</t>
        </is>
      </c>
      <c r="C2815" t="n">
        <v>3</v>
      </c>
      <c r="D2815" t="inlineStr">
        <is>
          <t>Hub A</t>
        </is>
      </c>
      <c r="E2815" t="n">
        <v>36</v>
      </c>
      <c r="F2815" t="n">
        <v>47.544</v>
      </c>
    </row>
    <row r="2816">
      <c r="A2816" t="inlineStr">
        <is>
          <t>ORD02815</t>
        </is>
      </c>
      <c r="B2816" t="inlineStr">
        <is>
          <t>C0315</t>
        </is>
      </c>
      <c r="C2816" t="n">
        <v>1</v>
      </c>
      <c r="D2816" t="inlineStr">
        <is>
          <t>Hub A</t>
        </is>
      </c>
      <c r="E2816" t="n">
        <v>43</v>
      </c>
      <c r="F2816" t="n">
        <v>47.544</v>
      </c>
    </row>
    <row r="2817">
      <c r="A2817" t="inlineStr">
        <is>
          <t>ORD02816</t>
        </is>
      </c>
      <c r="B2817" t="inlineStr">
        <is>
          <t>C0316</t>
        </is>
      </c>
      <c r="C2817" t="n">
        <v>2</v>
      </c>
      <c r="D2817" t="inlineStr">
        <is>
          <t>Hub A</t>
        </is>
      </c>
      <c r="E2817" t="n">
        <v>50</v>
      </c>
      <c r="F2817" t="n">
        <v>47.544</v>
      </c>
    </row>
    <row r="2818">
      <c r="A2818" t="inlineStr">
        <is>
          <t>ORD02817</t>
        </is>
      </c>
      <c r="B2818" t="inlineStr">
        <is>
          <t>C0317</t>
        </is>
      </c>
      <c r="C2818" t="n">
        <v>3</v>
      </c>
      <c r="D2818" t="inlineStr">
        <is>
          <t>Hub A</t>
        </is>
      </c>
      <c r="E2818" t="n">
        <v>57</v>
      </c>
      <c r="F2818" t="n">
        <v>47.544</v>
      </c>
    </row>
    <row r="2819">
      <c r="A2819" t="inlineStr">
        <is>
          <t>ORD02818</t>
        </is>
      </c>
      <c r="B2819" t="inlineStr">
        <is>
          <t>C0318</t>
        </is>
      </c>
      <c r="C2819" t="n">
        <v>1</v>
      </c>
      <c r="D2819" t="inlineStr">
        <is>
          <t>Hub A</t>
        </is>
      </c>
      <c r="E2819" t="n">
        <v>64</v>
      </c>
      <c r="F2819" t="n">
        <v>47.544</v>
      </c>
    </row>
    <row r="2820">
      <c r="A2820" t="inlineStr">
        <is>
          <t>ORD02819</t>
        </is>
      </c>
      <c r="B2820" t="inlineStr">
        <is>
          <t>C0319</t>
        </is>
      </c>
      <c r="C2820" t="n">
        <v>2</v>
      </c>
      <c r="D2820" t="inlineStr">
        <is>
          <t>Hub A</t>
        </is>
      </c>
      <c r="E2820" t="n">
        <v>71</v>
      </c>
      <c r="F2820" t="n">
        <v>47.544</v>
      </c>
    </row>
    <row r="2821">
      <c r="A2821" t="inlineStr">
        <is>
          <t>ORD02820</t>
        </is>
      </c>
      <c r="B2821" t="inlineStr">
        <is>
          <t>C0320</t>
        </is>
      </c>
      <c r="C2821" t="n">
        <v>3</v>
      </c>
      <c r="D2821" t="inlineStr">
        <is>
          <t>Hub A</t>
        </is>
      </c>
      <c r="E2821" t="n">
        <v>18</v>
      </c>
      <c r="F2821" t="n">
        <v>47.544</v>
      </c>
    </row>
    <row r="2822">
      <c r="A2822" t="inlineStr">
        <is>
          <t>ORD02821</t>
        </is>
      </c>
      <c r="B2822" t="inlineStr">
        <is>
          <t>C0321</t>
        </is>
      </c>
      <c r="C2822" t="n">
        <v>1</v>
      </c>
      <c r="D2822" t="inlineStr">
        <is>
          <t>Hub A</t>
        </is>
      </c>
      <c r="E2822" t="n">
        <v>25</v>
      </c>
      <c r="F2822" t="n">
        <v>47.544</v>
      </c>
    </row>
    <row r="2823">
      <c r="A2823" t="inlineStr">
        <is>
          <t>ORD02822</t>
        </is>
      </c>
      <c r="B2823" t="inlineStr">
        <is>
          <t>C0322</t>
        </is>
      </c>
      <c r="C2823" t="n">
        <v>2</v>
      </c>
      <c r="D2823" t="inlineStr">
        <is>
          <t>Hub A</t>
        </is>
      </c>
      <c r="E2823" t="n">
        <v>32</v>
      </c>
      <c r="F2823" t="n">
        <v>47.544</v>
      </c>
    </row>
    <row r="2824">
      <c r="A2824" t="inlineStr">
        <is>
          <t>ORD02823</t>
        </is>
      </c>
      <c r="B2824" t="inlineStr">
        <is>
          <t>C0323</t>
        </is>
      </c>
      <c r="C2824" t="n">
        <v>3</v>
      </c>
      <c r="D2824" t="inlineStr">
        <is>
          <t>Hub A</t>
        </is>
      </c>
      <c r="E2824" t="n">
        <v>39</v>
      </c>
      <c r="F2824" t="n">
        <v>47.544</v>
      </c>
    </row>
    <row r="2825">
      <c r="A2825" t="inlineStr">
        <is>
          <t>ORD02824</t>
        </is>
      </c>
      <c r="B2825" t="inlineStr">
        <is>
          <t>C0324</t>
        </is>
      </c>
      <c r="C2825" t="n">
        <v>1</v>
      </c>
      <c r="D2825" t="inlineStr">
        <is>
          <t>Hub A</t>
        </is>
      </c>
      <c r="E2825" t="n">
        <v>46</v>
      </c>
      <c r="F2825" t="n">
        <v>47.544</v>
      </c>
    </row>
    <row r="2826">
      <c r="A2826" t="inlineStr">
        <is>
          <t>ORD02825</t>
        </is>
      </c>
      <c r="B2826" t="inlineStr">
        <is>
          <t>C0325</t>
        </is>
      </c>
      <c r="C2826" t="n">
        <v>2</v>
      </c>
      <c r="D2826" t="inlineStr">
        <is>
          <t>Hub A</t>
        </is>
      </c>
      <c r="E2826" t="n">
        <v>53</v>
      </c>
      <c r="F2826" t="n">
        <v>47.544</v>
      </c>
    </row>
    <row r="2827">
      <c r="A2827" t="inlineStr">
        <is>
          <t>ORD02826</t>
        </is>
      </c>
      <c r="B2827" t="inlineStr">
        <is>
          <t>C0326</t>
        </is>
      </c>
      <c r="C2827" t="n">
        <v>3</v>
      </c>
      <c r="D2827" t="inlineStr">
        <is>
          <t>Hub A</t>
        </is>
      </c>
      <c r="E2827" t="n">
        <v>60</v>
      </c>
      <c r="F2827" t="n">
        <v>47.544</v>
      </c>
    </row>
    <row r="2828">
      <c r="A2828" t="inlineStr">
        <is>
          <t>ORD02827</t>
        </is>
      </c>
      <c r="B2828" t="inlineStr">
        <is>
          <t>C0327</t>
        </is>
      </c>
      <c r="C2828" t="n">
        <v>1</v>
      </c>
      <c r="D2828" t="inlineStr">
        <is>
          <t>Hub A</t>
        </is>
      </c>
      <c r="E2828" t="n">
        <v>67</v>
      </c>
      <c r="F2828" t="n">
        <v>47.544</v>
      </c>
    </row>
    <row r="2829">
      <c r="A2829" t="inlineStr">
        <is>
          <t>ORD02828</t>
        </is>
      </c>
      <c r="B2829" t="inlineStr">
        <is>
          <t>C0328</t>
        </is>
      </c>
      <c r="C2829" t="n">
        <v>2</v>
      </c>
      <c r="D2829" t="inlineStr">
        <is>
          <t>Hub A</t>
        </is>
      </c>
      <c r="E2829" t="n">
        <v>74</v>
      </c>
      <c r="F2829" t="n">
        <v>47.544</v>
      </c>
    </row>
    <row r="2830">
      <c r="A2830" t="inlineStr">
        <is>
          <t>ORD02829</t>
        </is>
      </c>
      <c r="B2830" t="inlineStr">
        <is>
          <t>C0329</t>
        </is>
      </c>
      <c r="C2830" t="n">
        <v>3</v>
      </c>
      <c r="D2830" t="inlineStr">
        <is>
          <t>Hub A</t>
        </is>
      </c>
      <c r="E2830" t="n">
        <v>21</v>
      </c>
      <c r="F2830" t="n">
        <v>47.544</v>
      </c>
    </row>
    <row r="2831">
      <c r="A2831" t="inlineStr">
        <is>
          <t>ORD02830</t>
        </is>
      </c>
      <c r="B2831" t="inlineStr">
        <is>
          <t>C0330</t>
        </is>
      </c>
      <c r="C2831" t="n">
        <v>1</v>
      </c>
      <c r="D2831" t="inlineStr">
        <is>
          <t>Hub A</t>
        </is>
      </c>
      <c r="E2831" t="n">
        <v>28</v>
      </c>
      <c r="F2831" t="n">
        <v>47.544</v>
      </c>
    </row>
    <row r="2832">
      <c r="A2832" t="inlineStr">
        <is>
          <t>ORD02831</t>
        </is>
      </c>
      <c r="B2832" t="inlineStr">
        <is>
          <t>C0331</t>
        </is>
      </c>
      <c r="C2832" t="n">
        <v>2</v>
      </c>
      <c r="D2832" t="inlineStr">
        <is>
          <t>Hub A</t>
        </is>
      </c>
      <c r="E2832" t="n">
        <v>35</v>
      </c>
      <c r="F2832" t="n">
        <v>47.544</v>
      </c>
    </row>
    <row r="2833">
      <c r="A2833" t="inlineStr">
        <is>
          <t>ORD02832</t>
        </is>
      </c>
      <c r="B2833" t="inlineStr">
        <is>
          <t>C0332</t>
        </is>
      </c>
      <c r="C2833" t="n">
        <v>3</v>
      </c>
      <c r="D2833" t="inlineStr">
        <is>
          <t>Hub A</t>
        </is>
      </c>
      <c r="E2833" t="n">
        <v>42</v>
      </c>
      <c r="F2833" t="n">
        <v>47.544</v>
      </c>
    </row>
    <row r="2834">
      <c r="A2834" t="inlineStr">
        <is>
          <t>ORD02833</t>
        </is>
      </c>
      <c r="B2834" t="inlineStr">
        <is>
          <t>C0333</t>
        </is>
      </c>
      <c r="C2834" t="n">
        <v>1</v>
      </c>
      <c r="D2834" t="inlineStr">
        <is>
          <t>Hub A</t>
        </is>
      </c>
      <c r="E2834" t="n">
        <v>49</v>
      </c>
      <c r="F2834" t="n">
        <v>47.544</v>
      </c>
    </row>
    <row r="2835">
      <c r="A2835" t="inlineStr">
        <is>
          <t>ORD02834</t>
        </is>
      </c>
      <c r="B2835" t="inlineStr">
        <is>
          <t>C0334</t>
        </is>
      </c>
      <c r="C2835" t="n">
        <v>2</v>
      </c>
      <c r="D2835" t="inlineStr">
        <is>
          <t>Hub A</t>
        </is>
      </c>
      <c r="E2835" t="n">
        <v>56</v>
      </c>
      <c r="F2835" t="n">
        <v>47.544</v>
      </c>
    </row>
    <row r="2836">
      <c r="A2836" t="inlineStr">
        <is>
          <t>ORD02835</t>
        </is>
      </c>
      <c r="B2836" t="inlineStr">
        <is>
          <t>C0335</t>
        </is>
      </c>
      <c r="C2836" t="n">
        <v>3</v>
      </c>
      <c r="D2836" t="inlineStr">
        <is>
          <t>Hub A</t>
        </is>
      </c>
      <c r="E2836" t="n">
        <v>63</v>
      </c>
      <c r="F2836" t="n">
        <v>47.544</v>
      </c>
    </row>
    <row r="2837">
      <c r="A2837" t="inlineStr">
        <is>
          <t>ORD02836</t>
        </is>
      </c>
      <c r="B2837" t="inlineStr">
        <is>
          <t>C0336</t>
        </is>
      </c>
      <c r="C2837" t="n">
        <v>1</v>
      </c>
      <c r="D2837" t="inlineStr">
        <is>
          <t>Hub A</t>
        </is>
      </c>
      <c r="E2837" t="n">
        <v>70</v>
      </c>
      <c r="F2837" t="n">
        <v>47.544</v>
      </c>
    </row>
    <row r="2838">
      <c r="A2838" t="inlineStr">
        <is>
          <t>ORD02837</t>
        </is>
      </c>
      <c r="B2838" t="inlineStr">
        <is>
          <t>C0337</t>
        </is>
      </c>
      <c r="C2838" t="n">
        <v>2</v>
      </c>
      <c r="D2838" t="inlineStr">
        <is>
          <t>Hub A</t>
        </is>
      </c>
      <c r="E2838" t="n">
        <v>77</v>
      </c>
      <c r="F2838" t="n">
        <v>47.544</v>
      </c>
    </row>
    <row r="2839">
      <c r="A2839" t="inlineStr">
        <is>
          <t>ORD02838</t>
        </is>
      </c>
      <c r="B2839" t="inlineStr">
        <is>
          <t>C0338</t>
        </is>
      </c>
      <c r="C2839" t="n">
        <v>3</v>
      </c>
      <c r="D2839" t="inlineStr">
        <is>
          <t>Hub A</t>
        </is>
      </c>
      <c r="E2839" t="n">
        <v>24</v>
      </c>
      <c r="F2839" t="n">
        <v>47.544</v>
      </c>
    </row>
    <row r="2840">
      <c r="A2840" t="inlineStr">
        <is>
          <t>ORD02839</t>
        </is>
      </c>
      <c r="B2840" t="inlineStr">
        <is>
          <t>C0339</t>
        </is>
      </c>
      <c r="C2840" t="n">
        <v>1</v>
      </c>
      <c r="D2840" t="inlineStr">
        <is>
          <t>Hub A</t>
        </is>
      </c>
      <c r="E2840" t="n">
        <v>31</v>
      </c>
      <c r="F2840" t="n">
        <v>47.544</v>
      </c>
    </row>
    <row r="2841">
      <c r="A2841" t="inlineStr">
        <is>
          <t>ORD02840</t>
        </is>
      </c>
      <c r="B2841" t="inlineStr">
        <is>
          <t>C0340</t>
        </is>
      </c>
      <c r="C2841" t="n">
        <v>2</v>
      </c>
      <c r="D2841" t="inlineStr">
        <is>
          <t>Hub A</t>
        </is>
      </c>
      <c r="E2841" t="n">
        <v>38</v>
      </c>
      <c r="F2841" t="n">
        <v>47.544</v>
      </c>
    </row>
    <row r="2842">
      <c r="A2842" t="inlineStr">
        <is>
          <t>ORD02841</t>
        </is>
      </c>
      <c r="B2842" t="inlineStr">
        <is>
          <t>C0341</t>
        </is>
      </c>
      <c r="C2842" t="n">
        <v>3</v>
      </c>
      <c r="D2842" t="inlineStr">
        <is>
          <t>Hub A</t>
        </is>
      </c>
      <c r="E2842" t="n">
        <v>45</v>
      </c>
      <c r="F2842" t="n">
        <v>47.544</v>
      </c>
    </row>
    <row r="2843">
      <c r="A2843" t="inlineStr">
        <is>
          <t>ORD02842</t>
        </is>
      </c>
      <c r="B2843" t="inlineStr">
        <is>
          <t>C0342</t>
        </is>
      </c>
      <c r="C2843" t="n">
        <v>1</v>
      </c>
      <c r="D2843" t="inlineStr">
        <is>
          <t>Hub A</t>
        </is>
      </c>
      <c r="E2843" t="n">
        <v>52</v>
      </c>
      <c r="F2843" t="n">
        <v>47.544</v>
      </c>
    </row>
    <row r="2844">
      <c r="A2844" t="inlineStr">
        <is>
          <t>ORD02843</t>
        </is>
      </c>
      <c r="B2844" t="inlineStr">
        <is>
          <t>C0343</t>
        </is>
      </c>
      <c r="C2844" t="n">
        <v>2</v>
      </c>
      <c r="D2844" t="inlineStr">
        <is>
          <t>Hub A</t>
        </is>
      </c>
      <c r="E2844" t="n">
        <v>59</v>
      </c>
      <c r="F2844" t="n">
        <v>47.544</v>
      </c>
    </row>
    <row r="2845">
      <c r="A2845" t="inlineStr">
        <is>
          <t>ORD02844</t>
        </is>
      </c>
      <c r="B2845" t="inlineStr">
        <is>
          <t>C0344</t>
        </is>
      </c>
      <c r="C2845" t="n">
        <v>3</v>
      </c>
      <c r="D2845" t="inlineStr">
        <is>
          <t>Hub A</t>
        </is>
      </c>
      <c r="E2845" t="n">
        <v>66</v>
      </c>
      <c r="F2845" t="n">
        <v>47.544</v>
      </c>
    </row>
    <row r="2846">
      <c r="A2846" t="inlineStr">
        <is>
          <t>ORD02845</t>
        </is>
      </c>
      <c r="B2846" t="inlineStr">
        <is>
          <t>C0345</t>
        </is>
      </c>
      <c r="C2846" t="n">
        <v>1</v>
      </c>
      <c r="D2846" t="inlineStr">
        <is>
          <t>Hub A</t>
        </is>
      </c>
      <c r="E2846" t="n">
        <v>73</v>
      </c>
      <c r="F2846" t="n">
        <v>47.544</v>
      </c>
    </row>
    <row r="2847">
      <c r="A2847" t="inlineStr">
        <is>
          <t>ORD02846</t>
        </is>
      </c>
      <c r="B2847" t="inlineStr">
        <is>
          <t>C0346</t>
        </is>
      </c>
      <c r="C2847" t="n">
        <v>2</v>
      </c>
      <c r="D2847" t="inlineStr">
        <is>
          <t>Hub A</t>
        </is>
      </c>
      <c r="E2847" t="n">
        <v>20</v>
      </c>
      <c r="F2847" t="n">
        <v>47.544</v>
      </c>
    </row>
    <row r="2848">
      <c r="A2848" t="inlineStr">
        <is>
          <t>ORD02847</t>
        </is>
      </c>
      <c r="B2848" t="inlineStr">
        <is>
          <t>C0347</t>
        </is>
      </c>
      <c r="C2848" t="n">
        <v>3</v>
      </c>
      <c r="D2848" t="inlineStr">
        <is>
          <t>Hub A</t>
        </is>
      </c>
      <c r="E2848" t="n">
        <v>27</v>
      </c>
      <c r="F2848" t="n">
        <v>47.544</v>
      </c>
    </row>
    <row r="2849">
      <c r="A2849" t="inlineStr">
        <is>
          <t>ORD02848</t>
        </is>
      </c>
      <c r="B2849" t="inlineStr">
        <is>
          <t>C0348</t>
        </is>
      </c>
      <c r="C2849" t="n">
        <v>1</v>
      </c>
      <c r="D2849" t="inlineStr">
        <is>
          <t>Hub A</t>
        </is>
      </c>
      <c r="E2849" t="n">
        <v>34</v>
      </c>
      <c r="F2849" t="n">
        <v>47.544</v>
      </c>
    </row>
    <row r="2850">
      <c r="A2850" t="inlineStr">
        <is>
          <t>ORD02849</t>
        </is>
      </c>
      <c r="B2850" t="inlineStr">
        <is>
          <t>C0349</t>
        </is>
      </c>
      <c r="C2850" t="n">
        <v>2</v>
      </c>
      <c r="D2850" t="inlineStr">
        <is>
          <t>Hub A</t>
        </is>
      </c>
      <c r="E2850" t="n">
        <v>41</v>
      </c>
      <c r="F2850" t="n">
        <v>47.544</v>
      </c>
    </row>
    <row r="2851">
      <c r="A2851" t="inlineStr">
        <is>
          <t>ORD02850</t>
        </is>
      </c>
      <c r="B2851" t="inlineStr">
        <is>
          <t>C0350</t>
        </is>
      </c>
      <c r="C2851" t="n">
        <v>3</v>
      </c>
      <c r="D2851" t="inlineStr">
        <is>
          <t>Hub A</t>
        </is>
      </c>
      <c r="E2851" t="n">
        <v>48</v>
      </c>
      <c r="F2851" t="n">
        <v>47.544</v>
      </c>
    </row>
    <row r="2852">
      <c r="A2852" t="inlineStr">
        <is>
          <t>ORD02851</t>
        </is>
      </c>
      <c r="B2852" t="inlineStr">
        <is>
          <t>C0351</t>
        </is>
      </c>
      <c r="C2852" t="n">
        <v>1</v>
      </c>
      <c r="D2852" t="inlineStr">
        <is>
          <t>Hub A</t>
        </is>
      </c>
      <c r="E2852" t="n">
        <v>55</v>
      </c>
      <c r="F2852" t="n">
        <v>47.544</v>
      </c>
    </row>
    <row r="2853">
      <c r="A2853" t="inlineStr">
        <is>
          <t>ORD02852</t>
        </is>
      </c>
      <c r="B2853" t="inlineStr">
        <is>
          <t>C0352</t>
        </is>
      </c>
      <c r="C2853" t="n">
        <v>2</v>
      </c>
      <c r="D2853" t="inlineStr">
        <is>
          <t>Hub A</t>
        </is>
      </c>
      <c r="E2853" t="n">
        <v>62</v>
      </c>
      <c r="F2853" t="n">
        <v>47.544</v>
      </c>
    </row>
    <row r="2854">
      <c r="A2854" t="inlineStr">
        <is>
          <t>ORD02853</t>
        </is>
      </c>
      <c r="B2854" t="inlineStr">
        <is>
          <t>C0353</t>
        </is>
      </c>
      <c r="C2854" t="n">
        <v>3</v>
      </c>
      <c r="D2854" t="inlineStr">
        <is>
          <t>Hub A</t>
        </is>
      </c>
      <c r="E2854" t="n">
        <v>69</v>
      </c>
      <c r="F2854" t="n">
        <v>47.544</v>
      </c>
    </row>
    <row r="2855">
      <c r="A2855" t="inlineStr">
        <is>
          <t>ORD02854</t>
        </is>
      </c>
      <c r="B2855" t="inlineStr">
        <is>
          <t>C0354</t>
        </is>
      </c>
      <c r="C2855" t="n">
        <v>1</v>
      </c>
      <c r="D2855" t="inlineStr">
        <is>
          <t>Hub A</t>
        </is>
      </c>
      <c r="E2855" t="n">
        <v>76</v>
      </c>
      <c r="F2855" t="n">
        <v>47.544</v>
      </c>
    </row>
    <row r="2856">
      <c r="A2856" t="inlineStr">
        <is>
          <t>ORD02855</t>
        </is>
      </c>
      <c r="B2856" t="inlineStr">
        <is>
          <t>C0355</t>
        </is>
      </c>
      <c r="C2856" t="n">
        <v>2</v>
      </c>
      <c r="D2856" t="inlineStr">
        <is>
          <t>Hub A</t>
        </is>
      </c>
      <c r="E2856" t="n">
        <v>23</v>
      </c>
      <c r="F2856" t="n">
        <v>47.544</v>
      </c>
    </row>
    <row r="2857">
      <c r="A2857" t="inlineStr">
        <is>
          <t>ORD02856</t>
        </is>
      </c>
      <c r="B2857" t="inlineStr">
        <is>
          <t>C0356</t>
        </is>
      </c>
      <c r="C2857" t="n">
        <v>3</v>
      </c>
      <c r="D2857" t="inlineStr">
        <is>
          <t>Hub A</t>
        </is>
      </c>
      <c r="E2857" t="n">
        <v>30</v>
      </c>
      <c r="F2857" t="n">
        <v>47.544</v>
      </c>
    </row>
    <row r="2858">
      <c r="A2858" t="inlineStr">
        <is>
          <t>ORD02857</t>
        </is>
      </c>
      <c r="B2858" t="inlineStr">
        <is>
          <t>C0357</t>
        </is>
      </c>
      <c r="C2858" t="n">
        <v>1</v>
      </c>
      <c r="D2858" t="inlineStr">
        <is>
          <t>Hub A</t>
        </is>
      </c>
      <c r="E2858" t="n">
        <v>37</v>
      </c>
      <c r="F2858" t="n">
        <v>47.544</v>
      </c>
    </row>
    <row r="2859">
      <c r="A2859" t="inlineStr">
        <is>
          <t>ORD02858</t>
        </is>
      </c>
      <c r="B2859" t="inlineStr">
        <is>
          <t>C0358</t>
        </is>
      </c>
      <c r="C2859" t="n">
        <v>2</v>
      </c>
      <c r="D2859" t="inlineStr">
        <is>
          <t>Hub A</t>
        </is>
      </c>
      <c r="E2859" t="n">
        <v>44</v>
      </c>
      <c r="F2859" t="n">
        <v>47.544</v>
      </c>
    </row>
    <row r="2860">
      <c r="A2860" t="inlineStr">
        <is>
          <t>ORD02859</t>
        </is>
      </c>
      <c r="B2860" t="inlineStr">
        <is>
          <t>C0359</t>
        </is>
      </c>
      <c r="C2860" t="n">
        <v>3</v>
      </c>
      <c r="D2860" t="inlineStr">
        <is>
          <t>Hub A</t>
        </is>
      </c>
      <c r="E2860" t="n">
        <v>51</v>
      </c>
      <c r="F2860" t="n">
        <v>47.544</v>
      </c>
    </row>
    <row r="2861">
      <c r="A2861" t="inlineStr">
        <is>
          <t>ORD02860</t>
        </is>
      </c>
      <c r="B2861" t="inlineStr">
        <is>
          <t>C0360</t>
        </is>
      </c>
      <c r="C2861" t="n">
        <v>1</v>
      </c>
      <c r="D2861" t="inlineStr">
        <is>
          <t>Hub A</t>
        </is>
      </c>
      <c r="E2861" t="n">
        <v>58</v>
      </c>
      <c r="F2861" t="n">
        <v>47.544</v>
      </c>
    </row>
    <row r="2862">
      <c r="A2862" t="inlineStr">
        <is>
          <t>ORD02861</t>
        </is>
      </c>
      <c r="B2862" t="inlineStr">
        <is>
          <t>C0361</t>
        </is>
      </c>
      <c r="C2862" t="n">
        <v>2</v>
      </c>
      <c r="D2862" t="inlineStr">
        <is>
          <t>Hub A</t>
        </is>
      </c>
      <c r="E2862" t="n">
        <v>65</v>
      </c>
      <c r="F2862" t="n">
        <v>47.544</v>
      </c>
    </row>
    <row r="2863">
      <c r="A2863" t="inlineStr">
        <is>
          <t>ORD02862</t>
        </is>
      </c>
      <c r="B2863" t="inlineStr">
        <is>
          <t>C0362</t>
        </is>
      </c>
      <c r="C2863" t="n">
        <v>3</v>
      </c>
      <c r="D2863" t="inlineStr">
        <is>
          <t>Hub A</t>
        </is>
      </c>
      <c r="E2863" t="n">
        <v>72</v>
      </c>
      <c r="F2863" t="n">
        <v>47.544</v>
      </c>
    </row>
    <row r="2864">
      <c r="A2864" t="inlineStr">
        <is>
          <t>ORD02863</t>
        </is>
      </c>
      <c r="B2864" t="inlineStr">
        <is>
          <t>C0363</t>
        </is>
      </c>
      <c r="C2864" t="n">
        <v>1</v>
      </c>
      <c r="D2864" t="inlineStr">
        <is>
          <t>Hub A</t>
        </is>
      </c>
      <c r="E2864" t="n">
        <v>19</v>
      </c>
      <c r="F2864" t="n">
        <v>47.544</v>
      </c>
    </row>
    <row r="2865">
      <c r="A2865" t="inlineStr">
        <is>
          <t>ORD02864</t>
        </is>
      </c>
      <c r="B2865" t="inlineStr">
        <is>
          <t>C0364</t>
        </is>
      </c>
      <c r="C2865" t="n">
        <v>2</v>
      </c>
      <c r="D2865" t="inlineStr">
        <is>
          <t>Hub A</t>
        </is>
      </c>
      <c r="E2865" t="n">
        <v>26</v>
      </c>
      <c r="F2865" t="n">
        <v>47.544</v>
      </c>
    </row>
    <row r="2866">
      <c r="A2866" t="inlineStr">
        <is>
          <t>ORD02865</t>
        </is>
      </c>
      <c r="B2866" t="inlineStr">
        <is>
          <t>C0365</t>
        </is>
      </c>
      <c r="C2866" t="n">
        <v>3</v>
      </c>
      <c r="D2866" t="inlineStr">
        <is>
          <t>Hub A</t>
        </is>
      </c>
      <c r="E2866" t="n">
        <v>33</v>
      </c>
      <c r="F2866" t="n">
        <v>47.544</v>
      </c>
    </row>
    <row r="2867">
      <c r="A2867" t="inlineStr">
        <is>
          <t>ORD02866</t>
        </is>
      </c>
      <c r="B2867" t="inlineStr">
        <is>
          <t>C0366</t>
        </is>
      </c>
      <c r="C2867" t="n">
        <v>1</v>
      </c>
      <c r="D2867" t="inlineStr">
        <is>
          <t>Hub A</t>
        </is>
      </c>
      <c r="E2867" t="n">
        <v>40</v>
      </c>
      <c r="F2867" t="n">
        <v>47.544</v>
      </c>
    </row>
    <row r="2868">
      <c r="A2868" t="inlineStr">
        <is>
          <t>ORD02867</t>
        </is>
      </c>
      <c r="B2868" t="inlineStr">
        <is>
          <t>C0367</t>
        </is>
      </c>
      <c r="C2868" t="n">
        <v>2</v>
      </c>
      <c r="D2868" t="inlineStr">
        <is>
          <t>Hub A</t>
        </is>
      </c>
      <c r="E2868" t="n">
        <v>47</v>
      </c>
      <c r="F2868" t="n">
        <v>47.544</v>
      </c>
    </row>
    <row r="2869">
      <c r="A2869" t="inlineStr">
        <is>
          <t>ORD02868</t>
        </is>
      </c>
      <c r="B2869" t="inlineStr">
        <is>
          <t>C0368</t>
        </is>
      </c>
      <c r="C2869" t="n">
        <v>3</v>
      </c>
      <c r="D2869" t="inlineStr">
        <is>
          <t>Hub A</t>
        </is>
      </c>
      <c r="E2869" t="n">
        <v>54</v>
      </c>
      <c r="F2869" t="n">
        <v>47.544</v>
      </c>
    </row>
    <row r="2870">
      <c r="A2870" t="inlineStr">
        <is>
          <t>ORD02869</t>
        </is>
      </c>
      <c r="B2870" t="inlineStr">
        <is>
          <t>C0369</t>
        </is>
      </c>
      <c r="C2870" t="n">
        <v>1</v>
      </c>
      <c r="D2870" t="inlineStr">
        <is>
          <t>Hub A</t>
        </is>
      </c>
      <c r="E2870" t="n">
        <v>61</v>
      </c>
      <c r="F2870" t="n">
        <v>47.544</v>
      </c>
    </row>
    <row r="2871">
      <c r="A2871" t="inlineStr">
        <is>
          <t>ORD02870</t>
        </is>
      </c>
      <c r="B2871" t="inlineStr">
        <is>
          <t>C0370</t>
        </is>
      </c>
      <c r="C2871" t="n">
        <v>2</v>
      </c>
      <c r="D2871" t="inlineStr">
        <is>
          <t>Hub A</t>
        </is>
      </c>
      <c r="E2871" t="n">
        <v>68</v>
      </c>
      <c r="F2871" t="n">
        <v>47.544</v>
      </c>
    </row>
    <row r="2872">
      <c r="A2872" t="inlineStr">
        <is>
          <t>ORD02871</t>
        </is>
      </c>
      <c r="B2872" t="inlineStr">
        <is>
          <t>C0371</t>
        </is>
      </c>
      <c r="C2872" t="n">
        <v>3</v>
      </c>
      <c r="D2872" t="inlineStr">
        <is>
          <t>Hub A</t>
        </is>
      </c>
      <c r="E2872" t="n">
        <v>75</v>
      </c>
      <c r="F2872" t="n">
        <v>47.544</v>
      </c>
    </row>
    <row r="2873">
      <c r="A2873" t="inlineStr">
        <is>
          <t>ORD02872</t>
        </is>
      </c>
      <c r="B2873" t="inlineStr">
        <is>
          <t>C0372</t>
        </is>
      </c>
      <c r="C2873" t="n">
        <v>1</v>
      </c>
      <c r="D2873" t="inlineStr">
        <is>
          <t>Hub A</t>
        </is>
      </c>
      <c r="E2873" t="n">
        <v>22</v>
      </c>
      <c r="F2873" t="n">
        <v>47.544</v>
      </c>
    </row>
    <row r="2874">
      <c r="A2874" t="inlineStr">
        <is>
          <t>ORD02873</t>
        </is>
      </c>
      <c r="B2874" t="inlineStr">
        <is>
          <t>C0373</t>
        </is>
      </c>
      <c r="C2874" t="n">
        <v>2</v>
      </c>
      <c r="D2874" t="inlineStr">
        <is>
          <t>Hub A</t>
        </is>
      </c>
      <c r="E2874" t="n">
        <v>29</v>
      </c>
      <c r="F2874" t="n">
        <v>47.544</v>
      </c>
    </row>
    <row r="2875">
      <c r="A2875" t="inlineStr">
        <is>
          <t>ORD02874</t>
        </is>
      </c>
      <c r="B2875" t="inlineStr">
        <is>
          <t>C0374</t>
        </is>
      </c>
      <c r="C2875" t="n">
        <v>3</v>
      </c>
      <c r="D2875" t="inlineStr">
        <is>
          <t>Hub A</t>
        </is>
      </c>
      <c r="E2875" t="n">
        <v>36</v>
      </c>
      <c r="F2875" t="n">
        <v>47.544</v>
      </c>
    </row>
    <row r="2876">
      <c r="A2876" t="inlineStr">
        <is>
          <t>ORD02875</t>
        </is>
      </c>
      <c r="B2876" t="inlineStr">
        <is>
          <t>C0375</t>
        </is>
      </c>
      <c r="C2876" t="n">
        <v>1</v>
      </c>
      <c r="D2876" t="inlineStr">
        <is>
          <t>Hub A</t>
        </is>
      </c>
      <c r="E2876" t="n">
        <v>43</v>
      </c>
      <c r="F2876" t="n">
        <v>47.544</v>
      </c>
    </row>
    <row r="2877">
      <c r="A2877" t="inlineStr">
        <is>
          <t>ORD02876</t>
        </is>
      </c>
      <c r="B2877" t="inlineStr">
        <is>
          <t>C0376</t>
        </is>
      </c>
      <c r="C2877" t="n">
        <v>2</v>
      </c>
      <c r="D2877" t="inlineStr">
        <is>
          <t>Hub A</t>
        </is>
      </c>
      <c r="E2877" t="n">
        <v>50</v>
      </c>
      <c r="F2877" t="n">
        <v>47.544</v>
      </c>
    </row>
    <row r="2878">
      <c r="A2878" t="inlineStr">
        <is>
          <t>ORD02877</t>
        </is>
      </c>
      <c r="B2878" t="inlineStr">
        <is>
          <t>C0377</t>
        </is>
      </c>
      <c r="C2878" t="n">
        <v>3</v>
      </c>
      <c r="D2878" t="inlineStr">
        <is>
          <t>Hub A</t>
        </is>
      </c>
      <c r="E2878" t="n">
        <v>57</v>
      </c>
      <c r="F2878" t="n">
        <v>47.544</v>
      </c>
    </row>
    <row r="2879">
      <c r="A2879" t="inlineStr">
        <is>
          <t>ORD02878</t>
        </is>
      </c>
      <c r="B2879" t="inlineStr">
        <is>
          <t>C0378</t>
        </is>
      </c>
      <c r="C2879" t="n">
        <v>1</v>
      </c>
      <c r="D2879" t="inlineStr">
        <is>
          <t>Hub A</t>
        </is>
      </c>
      <c r="E2879" t="n">
        <v>64</v>
      </c>
      <c r="F2879" t="n">
        <v>47.544</v>
      </c>
    </row>
    <row r="2880">
      <c r="A2880" t="inlineStr">
        <is>
          <t>ORD02879</t>
        </is>
      </c>
      <c r="B2880" t="inlineStr">
        <is>
          <t>C0379</t>
        </is>
      </c>
      <c r="C2880" t="n">
        <v>2</v>
      </c>
      <c r="D2880" t="inlineStr">
        <is>
          <t>Hub A</t>
        </is>
      </c>
      <c r="E2880" t="n">
        <v>71</v>
      </c>
      <c r="F2880" t="n">
        <v>47.544</v>
      </c>
    </row>
    <row r="2881">
      <c r="A2881" t="inlineStr">
        <is>
          <t>ORD02880</t>
        </is>
      </c>
      <c r="B2881" t="inlineStr">
        <is>
          <t>C0380</t>
        </is>
      </c>
      <c r="C2881" t="n">
        <v>3</v>
      </c>
      <c r="D2881" t="inlineStr">
        <is>
          <t>Hub A</t>
        </is>
      </c>
      <c r="E2881" t="n">
        <v>18</v>
      </c>
      <c r="F2881" t="n">
        <v>47.544</v>
      </c>
    </row>
    <row r="2882">
      <c r="A2882" t="inlineStr">
        <is>
          <t>ORD02881</t>
        </is>
      </c>
      <c r="B2882" t="inlineStr">
        <is>
          <t>C0381</t>
        </is>
      </c>
      <c r="C2882" t="n">
        <v>1</v>
      </c>
      <c r="D2882" t="inlineStr">
        <is>
          <t>Hub A</t>
        </is>
      </c>
      <c r="E2882" t="n">
        <v>25</v>
      </c>
      <c r="F2882" t="n">
        <v>47.544</v>
      </c>
    </row>
    <row r="2883">
      <c r="A2883" t="inlineStr">
        <is>
          <t>ORD02882</t>
        </is>
      </c>
      <c r="B2883" t="inlineStr">
        <is>
          <t>C0382</t>
        </is>
      </c>
      <c r="C2883" t="n">
        <v>2</v>
      </c>
      <c r="D2883" t="inlineStr">
        <is>
          <t>Hub A</t>
        </is>
      </c>
      <c r="E2883" t="n">
        <v>32</v>
      </c>
      <c r="F2883" t="n">
        <v>47.544</v>
      </c>
    </row>
    <row r="2884">
      <c r="A2884" t="inlineStr">
        <is>
          <t>ORD02883</t>
        </is>
      </c>
      <c r="B2884" t="inlineStr">
        <is>
          <t>C0383</t>
        </is>
      </c>
      <c r="C2884" t="n">
        <v>3</v>
      </c>
      <c r="D2884" t="inlineStr">
        <is>
          <t>Hub A</t>
        </is>
      </c>
      <c r="E2884" t="n">
        <v>39</v>
      </c>
      <c r="F2884" t="n">
        <v>47.544</v>
      </c>
    </row>
    <row r="2885">
      <c r="A2885" t="inlineStr">
        <is>
          <t>ORD02884</t>
        </is>
      </c>
      <c r="B2885" t="inlineStr">
        <is>
          <t>C0384</t>
        </is>
      </c>
      <c r="C2885" t="n">
        <v>1</v>
      </c>
      <c r="D2885" t="inlineStr">
        <is>
          <t>Hub A</t>
        </is>
      </c>
      <c r="E2885" t="n">
        <v>46</v>
      </c>
      <c r="F2885" t="n">
        <v>47.544</v>
      </c>
    </row>
    <row r="2886">
      <c r="A2886" t="inlineStr">
        <is>
          <t>ORD02885</t>
        </is>
      </c>
      <c r="B2886" t="inlineStr">
        <is>
          <t>C0385</t>
        </is>
      </c>
      <c r="C2886" t="n">
        <v>2</v>
      </c>
      <c r="D2886" t="inlineStr">
        <is>
          <t>Hub A</t>
        </is>
      </c>
      <c r="E2886" t="n">
        <v>53</v>
      </c>
      <c r="F2886" t="n">
        <v>47.544</v>
      </c>
    </row>
    <row r="2887">
      <c r="A2887" t="inlineStr">
        <is>
          <t>ORD02886</t>
        </is>
      </c>
      <c r="B2887" t="inlineStr">
        <is>
          <t>C0386</t>
        </is>
      </c>
      <c r="C2887" t="n">
        <v>3</v>
      </c>
      <c r="D2887" t="inlineStr">
        <is>
          <t>Hub A</t>
        </is>
      </c>
      <c r="E2887" t="n">
        <v>60</v>
      </c>
      <c r="F2887" t="n">
        <v>47.544</v>
      </c>
    </row>
    <row r="2888">
      <c r="A2888" t="inlineStr">
        <is>
          <t>ORD02887</t>
        </is>
      </c>
      <c r="B2888" t="inlineStr">
        <is>
          <t>C0387</t>
        </is>
      </c>
      <c r="C2888" t="n">
        <v>1</v>
      </c>
      <c r="D2888" t="inlineStr">
        <is>
          <t>Hub A</t>
        </is>
      </c>
      <c r="E2888" t="n">
        <v>67</v>
      </c>
      <c r="F2888" t="n">
        <v>47.544</v>
      </c>
    </row>
    <row r="2889">
      <c r="A2889" t="inlineStr">
        <is>
          <t>ORD02888</t>
        </is>
      </c>
      <c r="B2889" t="inlineStr">
        <is>
          <t>C0388</t>
        </is>
      </c>
      <c r="C2889" t="n">
        <v>2</v>
      </c>
      <c r="D2889" t="inlineStr">
        <is>
          <t>Hub A</t>
        </is>
      </c>
      <c r="E2889" t="n">
        <v>74</v>
      </c>
      <c r="F2889" t="n">
        <v>47.544</v>
      </c>
    </row>
    <row r="2890">
      <c r="A2890" t="inlineStr">
        <is>
          <t>ORD02889</t>
        </is>
      </c>
      <c r="B2890" t="inlineStr">
        <is>
          <t>C0389</t>
        </is>
      </c>
      <c r="C2890" t="n">
        <v>3</v>
      </c>
      <c r="D2890" t="inlineStr">
        <is>
          <t>Hub A</t>
        </is>
      </c>
      <c r="E2890" t="n">
        <v>21</v>
      </c>
      <c r="F2890" t="n">
        <v>47.544</v>
      </c>
    </row>
    <row r="2891">
      <c r="A2891" t="inlineStr">
        <is>
          <t>ORD02890</t>
        </is>
      </c>
      <c r="B2891" t="inlineStr">
        <is>
          <t>C0390</t>
        </is>
      </c>
      <c r="C2891" t="n">
        <v>1</v>
      </c>
      <c r="D2891" t="inlineStr">
        <is>
          <t>Hub A</t>
        </is>
      </c>
      <c r="E2891" t="n">
        <v>28</v>
      </c>
      <c r="F2891" t="n">
        <v>47.544</v>
      </c>
    </row>
    <row r="2892">
      <c r="A2892" t="inlineStr">
        <is>
          <t>ORD02891</t>
        </is>
      </c>
      <c r="B2892" t="inlineStr">
        <is>
          <t>C0391</t>
        </is>
      </c>
      <c r="C2892" t="n">
        <v>2</v>
      </c>
      <c r="D2892" t="inlineStr">
        <is>
          <t>Hub A</t>
        </is>
      </c>
      <c r="E2892" t="n">
        <v>35</v>
      </c>
      <c r="F2892" t="n">
        <v>47.544</v>
      </c>
    </row>
    <row r="2893">
      <c r="A2893" t="inlineStr">
        <is>
          <t>ORD02892</t>
        </is>
      </c>
      <c r="B2893" t="inlineStr">
        <is>
          <t>C0392</t>
        </is>
      </c>
      <c r="C2893" t="n">
        <v>3</v>
      </c>
      <c r="D2893" t="inlineStr">
        <is>
          <t>Hub A</t>
        </is>
      </c>
      <c r="E2893" t="n">
        <v>42</v>
      </c>
      <c r="F2893" t="n">
        <v>47.544</v>
      </c>
    </row>
    <row r="2894">
      <c r="A2894" t="inlineStr">
        <is>
          <t>ORD02893</t>
        </is>
      </c>
      <c r="B2894" t="inlineStr">
        <is>
          <t>C0393</t>
        </is>
      </c>
      <c r="C2894" t="n">
        <v>1</v>
      </c>
      <c r="D2894" t="inlineStr">
        <is>
          <t>Hub A</t>
        </is>
      </c>
      <c r="E2894" t="n">
        <v>49</v>
      </c>
      <c r="F2894" t="n">
        <v>47.544</v>
      </c>
    </row>
    <row r="2895">
      <c r="A2895" t="inlineStr">
        <is>
          <t>ORD02894</t>
        </is>
      </c>
      <c r="B2895" t="inlineStr">
        <is>
          <t>C0394</t>
        </is>
      </c>
      <c r="C2895" t="n">
        <v>2</v>
      </c>
      <c r="D2895" t="inlineStr">
        <is>
          <t>Hub A</t>
        </is>
      </c>
      <c r="E2895" t="n">
        <v>56</v>
      </c>
      <c r="F2895" t="n">
        <v>47.544</v>
      </c>
    </row>
    <row r="2896">
      <c r="A2896" t="inlineStr">
        <is>
          <t>ORD02895</t>
        </is>
      </c>
      <c r="B2896" t="inlineStr">
        <is>
          <t>C0395</t>
        </is>
      </c>
      <c r="C2896" t="n">
        <v>3</v>
      </c>
      <c r="D2896" t="inlineStr">
        <is>
          <t>Hub A</t>
        </is>
      </c>
      <c r="E2896" t="n">
        <v>63</v>
      </c>
      <c r="F2896" t="n">
        <v>47.544</v>
      </c>
    </row>
    <row r="2897">
      <c r="A2897" t="inlineStr">
        <is>
          <t>ORD02896</t>
        </is>
      </c>
      <c r="B2897" t="inlineStr">
        <is>
          <t>C0396</t>
        </is>
      </c>
      <c r="C2897" t="n">
        <v>1</v>
      </c>
      <c r="D2897" t="inlineStr">
        <is>
          <t>Hub A</t>
        </is>
      </c>
      <c r="E2897" t="n">
        <v>70</v>
      </c>
      <c r="F2897" t="n">
        <v>47.544</v>
      </c>
    </row>
    <row r="2898">
      <c r="A2898" t="inlineStr">
        <is>
          <t>ORD02897</t>
        </is>
      </c>
      <c r="B2898" t="inlineStr">
        <is>
          <t>C0397</t>
        </is>
      </c>
      <c r="C2898" t="n">
        <v>2</v>
      </c>
      <c r="D2898" t="inlineStr">
        <is>
          <t>Hub A</t>
        </is>
      </c>
      <c r="E2898" t="n">
        <v>77</v>
      </c>
      <c r="F2898" t="n">
        <v>47.544</v>
      </c>
    </row>
    <row r="2899">
      <c r="A2899" t="inlineStr">
        <is>
          <t>ORD02898</t>
        </is>
      </c>
      <c r="B2899" t="inlineStr">
        <is>
          <t>C0398</t>
        </is>
      </c>
      <c r="C2899" t="n">
        <v>3</v>
      </c>
      <c r="D2899" t="inlineStr">
        <is>
          <t>Hub A</t>
        </is>
      </c>
      <c r="E2899" t="n">
        <v>24</v>
      </c>
      <c r="F2899" t="n">
        <v>47.544</v>
      </c>
    </row>
    <row r="2900">
      <c r="A2900" t="inlineStr">
        <is>
          <t>ORD02899</t>
        </is>
      </c>
      <c r="B2900" t="inlineStr">
        <is>
          <t>C0399</t>
        </is>
      </c>
      <c r="C2900" t="n">
        <v>1</v>
      </c>
      <c r="D2900" t="inlineStr">
        <is>
          <t>Hub A</t>
        </is>
      </c>
      <c r="E2900" t="n">
        <v>31</v>
      </c>
      <c r="F2900" t="n">
        <v>47.544</v>
      </c>
    </row>
    <row r="2901">
      <c r="A2901" t="inlineStr">
        <is>
          <t>ORD02900</t>
        </is>
      </c>
      <c r="B2901" t="inlineStr">
        <is>
          <t>C0400</t>
        </is>
      </c>
      <c r="C2901" t="n">
        <v>2</v>
      </c>
      <c r="D2901" t="inlineStr">
        <is>
          <t>Hub A</t>
        </is>
      </c>
      <c r="E2901" t="n">
        <v>38</v>
      </c>
      <c r="F2901" t="n">
        <v>47.544</v>
      </c>
    </row>
    <row r="2902">
      <c r="A2902" t="inlineStr">
        <is>
          <t>ORD02901</t>
        </is>
      </c>
      <c r="B2902" t="inlineStr">
        <is>
          <t>C0401</t>
        </is>
      </c>
      <c r="C2902" t="n">
        <v>3</v>
      </c>
      <c r="D2902" t="inlineStr">
        <is>
          <t>Hub A</t>
        </is>
      </c>
      <c r="E2902" t="n">
        <v>45</v>
      </c>
      <c r="F2902" t="n">
        <v>47.544</v>
      </c>
    </row>
    <row r="2903">
      <c r="A2903" t="inlineStr">
        <is>
          <t>ORD02902</t>
        </is>
      </c>
      <c r="B2903" t="inlineStr">
        <is>
          <t>C0402</t>
        </is>
      </c>
      <c r="C2903" t="n">
        <v>1</v>
      </c>
      <c r="D2903" t="inlineStr">
        <is>
          <t>Hub A</t>
        </is>
      </c>
      <c r="E2903" t="n">
        <v>52</v>
      </c>
      <c r="F2903" t="n">
        <v>47.544</v>
      </c>
    </row>
    <row r="2904">
      <c r="A2904" t="inlineStr">
        <is>
          <t>ORD02903</t>
        </is>
      </c>
      <c r="B2904" t="inlineStr">
        <is>
          <t>C0403</t>
        </is>
      </c>
      <c r="C2904" t="n">
        <v>2</v>
      </c>
      <c r="D2904" t="inlineStr">
        <is>
          <t>Hub A</t>
        </is>
      </c>
      <c r="E2904" t="n">
        <v>59</v>
      </c>
      <c r="F2904" t="n">
        <v>47.544</v>
      </c>
    </row>
    <row r="2905">
      <c r="A2905" t="inlineStr">
        <is>
          <t>ORD02904</t>
        </is>
      </c>
      <c r="B2905" t="inlineStr">
        <is>
          <t>C0404</t>
        </is>
      </c>
      <c r="C2905" t="n">
        <v>3</v>
      </c>
      <c r="D2905" t="inlineStr">
        <is>
          <t>Hub A</t>
        </is>
      </c>
      <c r="E2905" t="n">
        <v>66</v>
      </c>
      <c r="F2905" t="n">
        <v>47.544</v>
      </c>
    </row>
    <row r="2906">
      <c r="A2906" t="inlineStr">
        <is>
          <t>ORD02905</t>
        </is>
      </c>
      <c r="B2906" t="inlineStr">
        <is>
          <t>C0405</t>
        </is>
      </c>
      <c r="C2906" t="n">
        <v>1</v>
      </c>
      <c r="D2906" t="inlineStr">
        <is>
          <t>Hub A</t>
        </is>
      </c>
      <c r="E2906" t="n">
        <v>73</v>
      </c>
      <c r="F2906" t="n">
        <v>47.544</v>
      </c>
    </row>
    <row r="2907">
      <c r="A2907" t="inlineStr">
        <is>
          <t>ORD02906</t>
        </is>
      </c>
      <c r="B2907" t="inlineStr">
        <is>
          <t>C0406</t>
        </is>
      </c>
      <c r="C2907" t="n">
        <v>2</v>
      </c>
      <c r="D2907" t="inlineStr">
        <is>
          <t>Hub A</t>
        </is>
      </c>
      <c r="E2907" t="n">
        <v>20</v>
      </c>
      <c r="F2907" t="n">
        <v>47.544</v>
      </c>
    </row>
    <row r="2908">
      <c r="A2908" t="inlineStr">
        <is>
          <t>ORD02907</t>
        </is>
      </c>
      <c r="B2908" t="inlineStr">
        <is>
          <t>C0407</t>
        </is>
      </c>
      <c r="C2908" t="n">
        <v>3</v>
      </c>
      <c r="D2908" t="inlineStr">
        <is>
          <t>Hub A</t>
        </is>
      </c>
      <c r="E2908" t="n">
        <v>27</v>
      </c>
      <c r="F2908" t="n">
        <v>47.544</v>
      </c>
    </row>
    <row r="2909">
      <c r="A2909" t="inlineStr">
        <is>
          <t>ORD02908</t>
        </is>
      </c>
      <c r="B2909" t="inlineStr">
        <is>
          <t>C0408</t>
        </is>
      </c>
      <c r="C2909" t="n">
        <v>1</v>
      </c>
      <c r="D2909" t="inlineStr">
        <is>
          <t>Hub A</t>
        </is>
      </c>
      <c r="E2909" t="n">
        <v>34</v>
      </c>
      <c r="F2909" t="n">
        <v>47.544</v>
      </c>
    </row>
    <row r="2910">
      <c r="A2910" t="inlineStr">
        <is>
          <t>ORD02909</t>
        </is>
      </c>
      <c r="B2910" t="inlineStr">
        <is>
          <t>C0409</t>
        </is>
      </c>
      <c r="C2910" t="n">
        <v>2</v>
      </c>
      <c r="D2910" t="inlineStr">
        <is>
          <t>Hub A</t>
        </is>
      </c>
      <c r="E2910" t="n">
        <v>41</v>
      </c>
      <c r="F2910" t="n">
        <v>47.544</v>
      </c>
    </row>
    <row r="2911">
      <c r="A2911" t="inlineStr">
        <is>
          <t>ORD02910</t>
        </is>
      </c>
      <c r="B2911" t="inlineStr">
        <is>
          <t>C0410</t>
        </is>
      </c>
      <c r="C2911" t="n">
        <v>3</v>
      </c>
      <c r="D2911" t="inlineStr">
        <is>
          <t>Hub A</t>
        </is>
      </c>
      <c r="E2911" t="n">
        <v>48</v>
      </c>
      <c r="F2911" t="n">
        <v>47.544</v>
      </c>
    </row>
    <row r="2912">
      <c r="A2912" t="inlineStr">
        <is>
          <t>ORD02911</t>
        </is>
      </c>
      <c r="B2912" t="inlineStr">
        <is>
          <t>C0411</t>
        </is>
      </c>
      <c r="C2912" t="n">
        <v>1</v>
      </c>
      <c r="D2912" t="inlineStr">
        <is>
          <t>Hub A</t>
        </is>
      </c>
      <c r="E2912" t="n">
        <v>55</v>
      </c>
      <c r="F2912" t="n">
        <v>47.544</v>
      </c>
    </row>
    <row r="2913">
      <c r="A2913" t="inlineStr">
        <is>
          <t>ORD02912</t>
        </is>
      </c>
      <c r="B2913" t="inlineStr">
        <is>
          <t>C0412</t>
        </is>
      </c>
      <c r="C2913" t="n">
        <v>2</v>
      </c>
      <c r="D2913" t="inlineStr">
        <is>
          <t>Hub A</t>
        </is>
      </c>
      <c r="E2913" t="n">
        <v>62</v>
      </c>
      <c r="F2913" t="n">
        <v>47.544</v>
      </c>
    </row>
    <row r="2914">
      <c r="A2914" t="inlineStr">
        <is>
          <t>ORD02913</t>
        </is>
      </c>
      <c r="B2914" t="inlineStr">
        <is>
          <t>C0413</t>
        </is>
      </c>
      <c r="C2914" t="n">
        <v>3</v>
      </c>
      <c r="D2914" t="inlineStr">
        <is>
          <t>Hub A</t>
        </is>
      </c>
      <c r="E2914" t="n">
        <v>69</v>
      </c>
      <c r="F2914" t="n">
        <v>47.544</v>
      </c>
    </row>
    <row r="2915">
      <c r="A2915" t="inlineStr">
        <is>
          <t>ORD02914</t>
        </is>
      </c>
      <c r="B2915" t="inlineStr">
        <is>
          <t>C0414</t>
        </is>
      </c>
      <c r="C2915" t="n">
        <v>1</v>
      </c>
      <c r="D2915" t="inlineStr">
        <is>
          <t>Hub A</t>
        </is>
      </c>
      <c r="E2915" t="n">
        <v>76</v>
      </c>
      <c r="F2915" t="n">
        <v>47.544</v>
      </c>
    </row>
    <row r="2916">
      <c r="A2916" t="inlineStr">
        <is>
          <t>ORD02915</t>
        </is>
      </c>
      <c r="B2916" t="inlineStr">
        <is>
          <t>C0415</t>
        </is>
      </c>
      <c r="C2916" t="n">
        <v>2</v>
      </c>
      <c r="D2916" t="inlineStr">
        <is>
          <t>Hub A</t>
        </is>
      </c>
      <c r="E2916" t="n">
        <v>23</v>
      </c>
      <c r="F2916" t="n">
        <v>47.544</v>
      </c>
    </row>
    <row r="2917">
      <c r="A2917" t="inlineStr">
        <is>
          <t>ORD02916</t>
        </is>
      </c>
      <c r="B2917" t="inlineStr">
        <is>
          <t>C0416</t>
        </is>
      </c>
      <c r="C2917" t="n">
        <v>3</v>
      </c>
      <c r="D2917" t="inlineStr">
        <is>
          <t>Hub A</t>
        </is>
      </c>
      <c r="E2917" t="n">
        <v>30</v>
      </c>
      <c r="F2917" t="n">
        <v>47.544</v>
      </c>
    </row>
    <row r="2918">
      <c r="A2918" t="inlineStr">
        <is>
          <t>ORD02917</t>
        </is>
      </c>
      <c r="B2918" t="inlineStr">
        <is>
          <t>C0417</t>
        </is>
      </c>
      <c r="C2918" t="n">
        <v>1</v>
      </c>
      <c r="D2918" t="inlineStr">
        <is>
          <t>Hub A</t>
        </is>
      </c>
      <c r="E2918" t="n">
        <v>37</v>
      </c>
      <c r="F2918" t="n">
        <v>47.544</v>
      </c>
    </row>
    <row r="2919">
      <c r="A2919" t="inlineStr">
        <is>
          <t>ORD02918</t>
        </is>
      </c>
      <c r="B2919" t="inlineStr">
        <is>
          <t>C0418</t>
        </is>
      </c>
      <c r="C2919" t="n">
        <v>2</v>
      </c>
      <c r="D2919" t="inlineStr">
        <is>
          <t>Hub A</t>
        </is>
      </c>
      <c r="E2919" t="n">
        <v>44</v>
      </c>
      <c r="F2919" t="n">
        <v>47.544</v>
      </c>
    </row>
    <row r="2920">
      <c r="A2920" t="inlineStr">
        <is>
          <t>ORD02919</t>
        </is>
      </c>
      <c r="B2920" t="inlineStr">
        <is>
          <t>C0419</t>
        </is>
      </c>
      <c r="C2920" t="n">
        <v>3</v>
      </c>
      <c r="D2920" t="inlineStr">
        <is>
          <t>Hub A</t>
        </is>
      </c>
      <c r="E2920" t="n">
        <v>51</v>
      </c>
      <c r="F2920" t="n">
        <v>47.544</v>
      </c>
    </row>
    <row r="2921">
      <c r="A2921" t="inlineStr">
        <is>
          <t>ORD02920</t>
        </is>
      </c>
      <c r="B2921" t="inlineStr">
        <is>
          <t>C0420</t>
        </is>
      </c>
      <c r="C2921" t="n">
        <v>1</v>
      </c>
      <c r="D2921" t="inlineStr">
        <is>
          <t>Hub A</t>
        </is>
      </c>
      <c r="E2921" t="n">
        <v>58</v>
      </c>
      <c r="F2921" t="n">
        <v>47.544</v>
      </c>
    </row>
    <row r="2922">
      <c r="A2922" t="inlineStr">
        <is>
          <t>ORD02921</t>
        </is>
      </c>
      <c r="B2922" t="inlineStr">
        <is>
          <t>C0421</t>
        </is>
      </c>
      <c r="C2922" t="n">
        <v>2</v>
      </c>
      <c r="D2922" t="inlineStr">
        <is>
          <t>Hub A</t>
        </is>
      </c>
      <c r="E2922" t="n">
        <v>65</v>
      </c>
      <c r="F2922" t="n">
        <v>47.544</v>
      </c>
    </row>
    <row r="2923">
      <c r="A2923" t="inlineStr">
        <is>
          <t>ORD02922</t>
        </is>
      </c>
      <c r="B2923" t="inlineStr">
        <is>
          <t>C0422</t>
        </is>
      </c>
      <c r="C2923" t="n">
        <v>3</v>
      </c>
      <c r="D2923" t="inlineStr">
        <is>
          <t>Hub A</t>
        </is>
      </c>
      <c r="E2923" t="n">
        <v>72</v>
      </c>
      <c r="F2923" t="n">
        <v>47.544</v>
      </c>
    </row>
    <row r="2924">
      <c r="A2924" t="inlineStr">
        <is>
          <t>ORD02923</t>
        </is>
      </c>
      <c r="B2924" t="inlineStr">
        <is>
          <t>C0423</t>
        </is>
      </c>
      <c r="C2924" t="n">
        <v>1</v>
      </c>
      <c r="D2924" t="inlineStr">
        <is>
          <t>Hub A</t>
        </is>
      </c>
      <c r="E2924" t="n">
        <v>19</v>
      </c>
      <c r="F2924" t="n">
        <v>47.544</v>
      </c>
    </row>
    <row r="2925">
      <c r="A2925" t="inlineStr">
        <is>
          <t>ORD02924</t>
        </is>
      </c>
      <c r="B2925" t="inlineStr">
        <is>
          <t>C0424</t>
        </is>
      </c>
      <c r="C2925" t="n">
        <v>2</v>
      </c>
      <c r="D2925" t="inlineStr">
        <is>
          <t>Hub A</t>
        </is>
      </c>
      <c r="E2925" t="n">
        <v>26</v>
      </c>
      <c r="F2925" t="n">
        <v>47.544</v>
      </c>
    </row>
    <row r="2926">
      <c r="A2926" t="inlineStr">
        <is>
          <t>ORD02925</t>
        </is>
      </c>
      <c r="B2926" t="inlineStr">
        <is>
          <t>C0425</t>
        </is>
      </c>
      <c r="C2926" t="n">
        <v>3</v>
      </c>
      <c r="D2926" t="inlineStr">
        <is>
          <t>Hub A</t>
        </is>
      </c>
      <c r="E2926" t="n">
        <v>33</v>
      </c>
      <c r="F2926" t="n">
        <v>47.544</v>
      </c>
    </row>
    <row r="2927">
      <c r="A2927" t="inlineStr">
        <is>
          <t>ORD02926</t>
        </is>
      </c>
      <c r="B2927" t="inlineStr">
        <is>
          <t>C0426</t>
        </is>
      </c>
      <c r="C2927" t="n">
        <v>1</v>
      </c>
      <c r="D2927" t="inlineStr">
        <is>
          <t>Hub A</t>
        </is>
      </c>
      <c r="E2927" t="n">
        <v>40</v>
      </c>
      <c r="F2927" t="n">
        <v>47.544</v>
      </c>
    </row>
    <row r="2928">
      <c r="A2928" t="inlineStr">
        <is>
          <t>ORD02927</t>
        </is>
      </c>
      <c r="B2928" t="inlineStr">
        <is>
          <t>C0427</t>
        </is>
      </c>
      <c r="C2928" t="n">
        <v>2</v>
      </c>
      <c r="D2928" t="inlineStr">
        <is>
          <t>Hub A</t>
        </is>
      </c>
      <c r="E2928" t="n">
        <v>47</v>
      </c>
      <c r="F2928" t="n">
        <v>47.544</v>
      </c>
    </row>
    <row r="2929">
      <c r="A2929" t="inlineStr">
        <is>
          <t>ORD02928</t>
        </is>
      </c>
      <c r="B2929" t="inlineStr">
        <is>
          <t>C0428</t>
        </is>
      </c>
      <c r="C2929" t="n">
        <v>3</v>
      </c>
      <c r="D2929" t="inlineStr">
        <is>
          <t>Hub A</t>
        </is>
      </c>
      <c r="E2929" t="n">
        <v>54</v>
      </c>
      <c r="F2929" t="n">
        <v>47.544</v>
      </c>
    </row>
    <row r="2930">
      <c r="A2930" t="inlineStr">
        <is>
          <t>ORD02929</t>
        </is>
      </c>
      <c r="B2930" t="inlineStr">
        <is>
          <t>C0429</t>
        </is>
      </c>
      <c r="C2930" t="n">
        <v>1</v>
      </c>
      <c r="D2930" t="inlineStr">
        <is>
          <t>Hub A</t>
        </is>
      </c>
      <c r="E2930" t="n">
        <v>61</v>
      </c>
      <c r="F2930" t="n">
        <v>47.544</v>
      </c>
    </row>
    <row r="2931">
      <c r="A2931" t="inlineStr">
        <is>
          <t>ORD02930</t>
        </is>
      </c>
      <c r="B2931" t="inlineStr">
        <is>
          <t>C0430</t>
        </is>
      </c>
      <c r="C2931" t="n">
        <v>2</v>
      </c>
      <c r="D2931" t="inlineStr">
        <is>
          <t>Hub A</t>
        </is>
      </c>
      <c r="E2931" t="n">
        <v>68</v>
      </c>
      <c r="F2931" t="n">
        <v>47.544</v>
      </c>
    </row>
    <row r="2932">
      <c r="A2932" t="inlineStr">
        <is>
          <t>ORD02931</t>
        </is>
      </c>
      <c r="B2932" t="inlineStr">
        <is>
          <t>C0431</t>
        </is>
      </c>
      <c r="C2932" t="n">
        <v>3</v>
      </c>
      <c r="D2932" t="inlineStr">
        <is>
          <t>Hub A</t>
        </is>
      </c>
      <c r="E2932" t="n">
        <v>75</v>
      </c>
      <c r="F2932" t="n">
        <v>47.544</v>
      </c>
    </row>
    <row r="2933">
      <c r="A2933" t="inlineStr">
        <is>
          <t>ORD02932</t>
        </is>
      </c>
      <c r="B2933" t="inlineStr">
        <is>
          <t>C0432</t>
        </is>
      </c>
      <c r="C2933" t="n">
        <v>1</v>
      </c>
      <c r="D2933" t="inlineStr">
        <is>
          <t>Hub A</t>
        </is>
      </c>
      <c r="E2933" t="n">
        <v>22</v>
      </c>
      <c r="F2933" t="n">
        <v>47.544</v>
      </c>
    </row>
    <row r="2934">
      <c r="A2934" t="inlineStr">
        <is>
          <t>ORD02933</t>
        </is>
      </c>
      <c r="B2934" t="inlineStr">
        <is>
          <t>C0433</t>
        </is>
      </c>
      <c r="C2934" t="n">
        <v>2</v>
      </c>
      <c r="D2934" t="inlineStr">
        <is>
          <t>Hub A</t>
        </is>
      </c>
      <c r="E2934" t="n">
        <v>29</v>
      </c>
      <c r="F2934" t="n">
        <v>47.544</v>
      </c>
    </row>
    <row r="2935">
      <c r="A2935" t="inlineStr">
        <is>
          <t>ORD02934</t>
        </is>
      </c>
      <c r="B2935" t="inlineStr">
        <is>
          <t>C0434</t>
        </is>
      </c>
      <c r="C2935" t="n">
        <v>3</v>
      </c>
      <c r="D2935" t="inlineStr">
        <is>
          <t>Hub A</t>
        </is>
      </c>
      <c r="E2935" t="n">
        <v>36</v>
      </c>
      <c r="F2935" t="n">
        <v>47.544</v>
      </c>
    </row>
    <row r="2936">
      <c r="A2936" t="inlineStr">
        <is>
          <t>ORD02935</t>
        </is>
      </c>
      <c r="B2936" t="inlineStr">
        <is>
          <t>C0435</t>
        </is>
      </c>
      <c r="C2936" t="n">
        <v>1</v>
      </c>
      <c r="D2936" t="inlineStr">
        <is>
          <t>Hub A</t>
        </is>
      </c>
      <c r="E2936" t="n">
        <v>43</v>
      </c>
      <c r="F2936" t="n">
        <v>47.544</v>
      </c>
    </row>
    <row r="2937">
      <c r="A2937" t="inlineStr">
        <is>
          <t>ORD02936</t>
        </is>
      </c>
      <c r="B2937" t="inlineStr">
        <is>
          <t>C0436</t>
        </is>
      </c>
      <c r="C2937" t="n">
        <v>2</v>
      </c>
      <c r="D2937" t="inlineStr">
        <is>
          <t>Hub A</t>
        </is>
      </c>
      <c r="E2937" t="n">
        <v>50</v>
      </c>
      <c r="F2937" t="n">
        <v>47.544</v>
      </c>
    </row>
    <row r="2938">
      <c r="A2938" t="inlineStr">
        <is>
          <t>ORD02937</t>
        </is>
      </c>
      <c r="B2938" t="inlineStr">
        <is>
          <t>C0437</t>
        </is>
      </c>
      <c r="C2938" t="n">
        <v>3</v>
      </c>
      <c r="D2938" t="inlineStr">
        <is>
          <t>Hub A</t>
        </is>
      </c>
      <c r="E2938" t="n">
        <v>57</v>
      </c>
      <c r="F2938" t="n">
        <v>47.544</v>
      </c>
    </row>
    <row r="2939">
      <c r="A2939" t="inlineStr">
        <is>
          <t>ORD02938</t>
        </is>
      </c>
      <c r="B2939" t="inlineStr">
        <is>
          <t>C0438</t>
        </is>
      </c>
      <c r="C2939" t="n">
        <v>1</v>
      </c>
      <c r="D2939" t="inlineStr">
        <is>
          <t>Hub A</t>
        </is>
      </c>
      <c r="E2939" t="n">
        <v>64</v>
      </c>
      <c r="F2939" t="n">
        <v>47.544</v>
      </c>
    </row>
    <row r="2940">
      <c r="A2940" t="inlineStr">
        <is>
          <t>ORD02939</t>
        </is>
      </c>
      <c r="B2940" t="inlineStr">
        <is>
          <t>C0439</t>
        </is>
      </c>
      <c r="C2940" t="n">
        <v>2</v>
      </c>
      <c r="D2940" t="inlineStr">
        <is>
          <t>Hub A</t>
        </is>
      </c>
      <c r="E2940" t="n">
        <v>71</v>
      </c>
      <c r="F2940" t="n">
        <v>47.544</v>
      </c>
    </row>
    <row r="2941">
      <c r="A2941" t="inlineStr">
        <is>
          <t>ORD02940</t>
        </is>
      </c>
      <c r="B2941" t="inlineStr">
        <is>
          <t>C0440</t>
        </is>
      </c>
      <c r="C2941" t="n">
        <v>3</v>
      </c>
      <c r="D2941" t="inlineStr">
        <is>
          <t>Hub A</t>
        </is>
      </c>
      <c r="E2941" t="n">
        <v>18</v>
      </c>
      <c r="F2941" t="n">
        <v>47.544</v>
      </c>
    </row>
    <row r="2942">
      <c r="A2942" t="inlineStr">
        <is>
          <t>ORD02941</t>
        </is>
      </c>
      <c r="B2942" t="inlineStr">
        <is>
          <t>C0441</t>
        </is>
      </c>
      <c r="C2942" t="n">
        <v>1</v>
      </c>
      <c r="D2942" t="inlineStr">
        <is>
          <t>Hub A</t>
        </is>
      </c>
      <c r="E2942" t="n">
        <v>25</v>
      </c>
      <c r="F2942" t="n">
        <v>47.544</v>
      </c>
    </row>
    <row r="2943">
      <c r="A2943" t="inlineStr">
        <is>
          <t>ORD02942</t>
        </is>
      </c>
      <c r="B2943" t="inlineStr">
        <is>
          <t>C0442</t>
        </is>
      </c>
      <c r="C2943" t="n">
        <v>2</v>
      </c>
      <c r="D2943" t="inlineStr">
        <is>
          <t>Hub A</t>
        </is>
      </c>
      <c r="E2943" t="n">
        <v>32</v>
      </c>
      <c r="F2943" t="n">
        <v>47.544</v>
      </c>
    </row>
    <row r="2944">
      <c r="A2944" t="inlineStr">
        <is>
          <t>ORD02943</t>
        </is>
      </c>
      <c r="B2944" t="inlineStr">
        <is>
          <t>C0443</t>
        </is>
      </c>
      <c r="C2944" t="n">
        <v>3</v>
      </c>
      <c r="D2944" t="inlineStr">
        <is>
          <t>Hub A</t>
        </is>
      </c>
      <c r="E2944" t="n">
        <v>39</v>
      </c>
      <c r="F2944" t="n">
        <v>47.544</v>
      </c>
    </row>
    <row r="2945">
      <c r="A2945" t="inlineStr">
        <is>
          <t>ORD02944</t>
        </is>
      </c>
      <c r="B2945" t="inlineStr">
        <is>
          <t>C0444</t>
        </is>
      </c>
      <c r="C2945" t="n">
        <v>1</v>
      </c>
      <c r="D2945" t="inlineStr">
        <is>
          <t>Hub A</t>
        </is>
      </c>
      <c r="E2945" t="n">
        <v>46</v>
      </c>
      <c r="F2945" t="n">
        <v>47.544</v>
      </c>
    </row>
    <row r="2946">
      <c r="A2946" t="inlineStr">
        <is>
          <t>ORD02945</t>
        </is>
      </c>
      <c r="B2946" t="inlineStr">
        <is>
          <t>C0445</t>
        </is>
      </c>
      <c r="C2946" t="n">
        <v>2</v>
      </c>
      <c r="D2946" t="inlineStr">
        <is>
          <t>Hub A</t>
        </is>
      </c>
      <c r="E2946" t="n">
        <v>53</v>
      </c>
      <c r="F2946" t="n">
        <v>47.544</v>
      </c>
    </row>
    <row r="2947">
      <c r="A2947" t="inlineStr">
        <is>
          <t>ORD02946</t>
        </is>
      </c>
      <c r="B2947" t="inlineStr">
        <is>
          <t>C0446</t>
        </is>
      </c>
      <c r="C2947" t="n">
        <v>3</v>
      </c>
      <c r="D2947" t="inlineStr">
        <is>
          <t>Hub A</t>
        </is>
      </c>
      <c r="E2947" t="n">
        <v>60</v>
      </c>
      <c r="F2947" t="n">
        <v>47.544</v>
      </c>
    </row>
    <row r="2948">
      <c r="A2948" t="inlineStr">
        <is>
          <t>ORD02947</t>
        </is>
      </c>
      <c r="B2948" t="inlineStr">
        <is>
          <t>C0447</t>
        </is>
      </c>
      <c r="C2948" t="n">
        <v>1</v>
      </c>
      <c r="D2948" t="inlineStr">
        <is>
          <t>Hub A</t>
        </is>
      </c>
      <c r="E2948" t="n">
        <v>67</v>
      </c>
      <c r="F2948" t="n">
        <v>47.544</v>
      </c>
    </row>
    <row r="2949">
      <c r="A2949" t="inlineStr">
        <is>
          <t>ORD02948</t>
        </is>
      </c>
      <c r="B2949" t="inlineStr">
        <is>
          <t>C0448</t>
        </is>
      </c>
      <c r="C2949" t="n">
        <v>2</v>
      </c>
      <c r="D2949" t="inlineStr">
        <is>
          <t>Hub A</t>
        </is>
      </c>
      <c r="E2949" t="n">
        <v>74</v>
      </c>
      <c r="F2949" t="n">
        <v>47.544</v>
      </c>
    </row>
    <row r="2950">
      <c r="A2950" t="inlineStr">
        <is>
          <t>ORD02949</t>
        </is>
      </c>
      <c r="B2950" t="inlineStr">
        <is>
          <t>C0449</t>
        </is>
      </c>
      <c r="C2950" t="n">
        <v>3</v>
      </c>
      <c r="D2950" t="inlineStr">
        <is>
          <t>Hub A</t>
        </is>
      </c>
      <c r="E2950" t="n">
        <v>21</v>
      </c>
      <c r="F2950" t="n">
        <v>47.544</v>
      </c>
    </row>
    <row r="2951">
      <c r="A2951" t="inlineStr">
        <is>
          <t>ORD02950</t>
        </is>
      </c>
      <c r="B2951" t="inlineStr">
        <is>
          <t>C0450</t>
        </is>
      </c>
      <c r="C2951" t="n">
        <v>1</v>
      </c>
      <c r="D2951" t="inlineStr">
        <is>
          <t>Hub A</t>
        </is>
      </c>
      <c r="E2951" t="n">
        <v>28</v>
      </c>
      <c r="F2951" t="n">
        <v>47.544</v>
      </c>
    </row>
    <row r="2952">
      <c r="A2952" t="inlineStr">
        <is>
          <t>ORD02951</t>
        </is>
      </c>
      <c r="B2952" t="inlineStr">
        <is>
          <t>C0451</t>
        </is>
      </c>
      <c r="C2952" t="n">
        <v>2</v>
      </c>
      <c r="D2952" t="inlineStr">
        <is>
          <t>Hub A</t>
        </is>
      </c>
      <c r="E2952" t="n">
        <v>35</v>
      </c>
      <c r="F2952" t="n">
        <v>47.544</v>
      </c>
    </row>
    <row r="2953">
      <c r="A2953" t="inlineStr">
        <is>
          <t>ORD02952</t>
        </is>
      </c>
      <c r="B2953" t="inlineStr">
        <is>
          <t>C0452</t>
        </is>
      </c>
      <c r="C2953" t="n">
        <v>3</v>
      </c>
      <c r="D2953" t="inlineStr">
        <is>
          <t>Hub A</t>
        </is>
      </c>
      <c r="E2953" t="n">
        <v>42</v>
      </c>
      <c r="F2953" t="n">
        <v>47.544</v>
      </c>
    </row>
    <row r="2954">
      <c r="A2954" t="inlineStr">
        <is>
          <t>ORD02953</t>
        </is>
      </c>
      <c r="B2954" t="inlineStr">
        <is>
          <t>C0453</t>
        </is>
      </c>
      <c r="C2954" t="n">
        <v>1</v>
      </c>
      <c r="D2954" t="inlineStr">
        <is>
          <t>Hub A</t>
        </is>
      </c>
      <c r="E2954" t="n">
        <v>49</v>
      </c>
      <c r="F2954" t="n">
        <v>47.544</v>
      </c>
    </row>
    <row r="2955">
      <c r="A2955" t="inlineStr">
        <is>
          <t>ORD02954</t>
        </is>
      </c>
      <c r="B2955" t="inlineStr">
        <is>
          <t>C0454</t>
        </is>
      </c>
      <c r="C2955" t="n">
        <v>2</v>
      </c>
      <c r="D2955" t="inlineStr">
        <is>
          <t>Hub A</t>
        </is>
      </c>
      <c r="E2955" t="n">
        <v>56</v>
      </c>
      <c r="F2955" t="n">
        <v>47.544</v>
      </c>
    </row>
    <row r="2956">
      <c r="A2956" t="inlineStr">
        <is>
          <t>ORD02955</t>
        </is>
      </c>
      <c r="B2956" t="inlineStr">
        <is>
          <t>C0455</t>
        </is>
      </c>
      <c r="C2956" t="n">
        <v>3</v>
      </c>
      <c r="D2956" t="inlineStr">
        <is>
          <t>Hub A</t>
        </is>
      </c>
      <c r="E2956" t="n">
        <v>63</v>
      </c>
      <c r="F2956" t="n">
        <v>47.544</v>
      </c>
    </row>
    <row r="2957">
      <c r="A2957" t="inlineStr">
        <is>
          <t>ORD02956</t>
        </is>
      </c>
      <c r="B2957" t="inlineStr">
        <is>
          <t>C0456</t>
        </is>
      </c>
      <c r="C2957" t="n">
        <v>1</v>
      </c>
      <c r="D2957" t="inlineStr">
        <is>
          <t>Hub A</t>
        </is>
      </c>
      <c r="E2957" t="n">
        <v>70</v>
      </c>
      <c r="F2957" t="n">
        <v>47.544</v>
      </c>
    </row>
    <row r="2958">
      <c r="A2958" t="inlineStr">
        <is>
          <t>ORD02957</t>
        </is>
      </c>
      <c r="B2958" t="inlineStr">
        <is>
          <t>C0457</t>
        </is>
      </c>
      <c r="C2958" t="n">
        <v>2</v>
      </c>
      <c r="D2958" t="inlineStr">
        <is>
          <t>Hub A</t>
        </is>
      </c>
      <c r="E2958" t="n">
        <v>77</v>
      </c>
      <c r="F2958" t="n">
        <v>47.544</v>
      </c>
    </row>
    <row r="2959">
      <c r="A2959" t="inlineStr">
        <is>
          <t>ORD02958</t>
        </is>
      </c>
      <c r="B2959" t="inlineStr">
        <is>
          <t>C0458</t>
        </is>
      </c>
      <c r="C2959" t="n">
        <v>3</v>
      </c>
      <c r="D2959" t="inlineStr">
        <is>
          <t>Hub A</t>
        </is>
      </c>
      <c r="E2959" t="n">
        <v>24</v>
      </c>
      <c r="F2959" t="n">
        <v>47.544</v>
      </c>
    </row>
    <row r="2960">
      <c r="A2960" t="inlineStr">
        <is>
          <t>ORD02959</t>
        </is>
      </c>
      <c r="B2960" t="inlineStr">
        <is>
          <t>C0459</t>
        </is>
      </c>
      <c r="C2960" t="n">
        <v>1</v>
      </c>
      <c r="D2960" t="inlineStr">
        <is>
          <t>Hub A</t>
        </is>
      </c>
      <c r="E2960" t="n">
        <v>31</v>
      </c>
      <c r="F2960" t="n">
        <v>47.544</v>
      </c>
    </row>
    <row r="2961">
      <c r="A2961" t="inlineStr">
        <is>
          <t>ORD02960</t>
        </is>
      </c>
      <c r="B2961" t="inlineStr">
        <is>
          <t>C0460</t>
        </is>
      </c>
      <c r="C2961" t="n">
        <v>2</v>
      </c>
      <c r="D2961" t="inlineStr">
        <is>
          <t>Hub A</t>
        </is>
      </c>
      <c r="E2961" t="n">
        <v>38</v>
      </c>
      <c r="F2961" t="n">
        <v>47.544</v>
      </c>
    </row>
    <row r="2962">
      <c r="A2962" t="inlineStr">
        <is>
          <t>ORD02961</t>
        </is>
      </c>
      <c r="B2962" t="inlineStr">
        <is>
          <t>C0461</t>
        </is>
      </c>
      <c r="C2962" t="n">
        <v>3</v>
      </c>
      <c r="D2962" t="inlineStr">
        <is>
          <t>Hub A</t>
        </is>
      </c>
      <c r="E2962" t="n">
        <v>45</v>
      </c>
      <c r="F2962" t="n">
        <v>47.544</v>
      </c>
    </row>
    <row r="2963">
      <c r="A2963" t="inlineStr">
        <is>
          <t>ORD02962</t>
        </is>
      </c>
      <c r="B2963" t="inlineStr">
        <is>
          <t>C0462</t>
        </is>
      </c>
      <c r="C2963" t="n">
        <v>1</v>
      </c>
      <c r="D2963" t="inlineStr">
        <is>
          <t>Hub A</t>
        </is>
      </c>
      <c r="E2963" t="n">
        <v>52</v>
      </c>
      <c r="F2963" t="n">
        <v>47.544</v>
      </c>
    </row>
    <row r="2964">
      <c r="A2964" t="inlineStr">
        <is>
          <t>ORD02963</t>
        </is>
      </c>
      <c r="B2964" t="inlineStr">
        <is>
          <t>C0463</t>
        </is>
      </c>
      <c r="C2964" t="n">
        <v>2</v>
      </c>
      <c r="D2964" t="inlineStr">
        <is>
          <t>Hub A</t>
        </is>
      </c>
      <c r="E2964" t="n">
        <v>59</v>
      </c>
      <c r="F2964" t="n">
        <v>47.544</v>
      </c>
    </row>
    <row r="2965">
      <c r="A2965" t="inlineStr">
        <is>
          <t>ORD02964</t>
        </is>
      </c>
      <c r="B2965" t="inlineStr">
        <is>
          <t>C0464</t>
        </is>
      </c>
      <c r="C2965" t="n">
        <v>3</v>
      </c>
      <c r="D2965" t="inlineStr">
        <is>
          <t>Hub A</t>
        </is>
      </c>
      <c r="E2965" t="n">
        <v>66</v>
      </c>
      <c r="F2965" t="n">
        <v>47.544</v>
      </c>
    </row>
    <row r="2966">
      <c r="A2966" t="inlineStr">
        <is>
          <t>ORD02965</t>
        </is>
      </c>
      <c r="B2966" t="inlineStr">
        <is>
          <t>C0465</t>
        </is>
      </c>
      <c r="C2966" t="n">
        <v>1</v>
      </c>
      <c r="D2966" t="inlineStr">
        <is>
          <t>Hub A</t>
        </is>
      </c>
      <c r="E2966" t="n">
        <v>73</v>
      </c>
      <c r="F2966" t="n">
        <v>47.544</v>
      </c>
    </row>
    <row r="2967">
      <c r="A2967" t="inlineStr">
        <is>
          <t>ORD02966</t>
        </is>
      </c>
      <c r="B2967" t="inlineStr">
        <is>
          <t>C0466</t>
        </is>
      </c>
      <c r="C2967" t="n">
        <v>2</v>
      </c>
      <c r="D2967" t="inlineStr">
        <is>
          <t>Hub A</t>
        </is>
      </c>
      <c r="E2967" t="n">
        <v>20</v>
      </c>
      <c r="F2967" t="n">
        <v>47.544</v>
      </c>
    </row>
    <row r="2968">
      <c r="A2968" t="inlineStr">
        <is>
          <t>ORD02967</t>
        </is>
      </c>
      <c r="B2968" t="inlineStr">
        <is>
          <t>C0467</t>
        </is>
      </c>
      <c r="C2968" t="n">
        <v>3</v>
      </c>
      <c r="D2968" t="inlineStr">
        <is>
          <t>Hub A</t>
        </is>
      </c>
      <c r="E2968" t="n">
        <v>27</v>
      </c>
      <c r="F2968" t="n">
        <v>47.544</v>
      </c>
    </row>
    <row r="2969">
      <c r="A2969" t="inlineStr">
        <is>
          <t>ORD02968</t>
        </is>
      </c>
      <c r="B2969" t="inlineStr">
        <is>
          <t>C0468</t>
        </is>
      </c>
      <c r="C2969" t="n">
        <v>1</v>
      </c>
      <c r="D2969" t="inlineStr">
        <is>
          <t>Hub A</t>
        </is>
      </c>
      <c r="E2969" t="n">
        <v>34</v>
      </c>
      <c r="F2969" t="n">
        <v>47.544</v>
      </c>
    </row>
    <row r="2970">
      <c r="A2970" t="inlineStr">
        <is>
          <t>ORD02969</t>
        </is>
      </c>
      <c r="B2970" t="inlineStr">
        <is>
          <t>C0469</t>
        </is>
      </c>
      <c r="C2970" t="n">
        <v>2</v>
      </c>
      <c r="D2970" t="inlineStr">
        <is>
          <t>Hub A</t>
        </is>
      </c>
      <c r="E2970" t="n">
        <v>41</v>
      </c>
      <c r="F2970" t="n">
        <v>47.544</v>
      </c>
    </row>
    <row r="2971">
      <c r="A2971" t="inlineStr">
        <is>
          <t>ORD02970</t>
        </is>
      </c>
      <c r="B2971" t="inlineStr">
        <is>
          <t>C0470</t>
        </is>
      </c>
      <c r="C2971" t="n">
        <v>3</v>
      </c>
      <c r="D2971" t="inlineStr">
        <is>
          <t>Hub A</t>
        </is>
      </c>
      <c r="E2971" t="n">
        <v>48</v>
      </c>
      <c r="F2971" t="n">
        <v>47.544</v>
      </c>
    </row>
    <row r="2972">
      <c r="A2972" t="inlineStr">
        <is>
          <t>ORD02971</t>
        </is>
      </c>
      <c r="B2972" t="inlineStr">
        <is>
          <t>C0471</t>
        </is>
      </c>
      <c r="C2972" t="n">
        <v>1</v>
      </c>
      <c r="D2972" t="inlineStr">
        <is>
          <t>Hub A</t>
        </is>
      </c>
      <c r="E2972" t="n">
        <v>55</v>
      </c>
      <c r="F2972" t="n">
        <v>47.544</v>
      </c>
    </row>
    <row r="2973">
      <c r="A2973" t="inlineStr">
        <is>
          <t>ORD02972</t>
        </is>
      </c>
      <c r="B2973" t="inlineStr">
        <is>
          <t>C0472</t>
        </is>
      </c>
      <c r="C2973" t="n">
        <v>2</v>
      </c>
      <c r="D2973" t="inlineStr">
        <is>
          <t>Hub A</t>
        </is>
      </c>
      <c r="E2973" t="n">
        <v>62</v>
      </c>
      <c r="F2973" t="n">
        <v>47.544</v>
      </c>
    </row>
    <row r="2974">
      <c r="A2974" t="inlineStr">
        <is>
          <t>ORD02973</t>
        </is>
      </c>
      <c r="B2974" t="inlineStr">
        <is>
          <t>C0473</t>
        </is>
      </c>
      <c r="C2974" t="n">
        <v>3</v>
      </c>
      <c r="D2974" t="inlineStr">
        <is>
          <t>Hub A</t>
        </is>
      </c>
      <c r="E2974" t="n">
        <v>69</v>
      </c>
      <c r="F2974" t="n">
        <v>47.544</v>
      </c>
    </row>
    <row r="2975">
      <c r="A2975" t="inlineStr">
        <is>
          <t>ORD02974</t>
        </is>
      </c>
      <c r="B2975" t="inlineStr">
        <is>
          <t>C0474</t>
        </is>
      </c>
      <c r="C2975" t="n">
        <v>1</v>
      </c>
      <c r="D2975" t="inlineStr">
        <is>
          <t>Hub A</t>
        </is>
      </c>
      <c r="E2975" t="n">
        <v>76</v>
      </c>
      <c r="F2975" t="n">
        <v>47.544</v>
      </c>
    </row>
    <row r="2976">
      <c r="A2976" t="inlineStr">
        <is>
          <t>ORD02975</t>
        </is>
      </c>
      <c r="B2976" t="inlineStr">
        <is>
          <t>C0475</t>
        </is>
      </c>
      <c r="C2976" t="n">
        <v>2</v>
      </c>
      <c r="D2976" t="inlineStr">
        <is>
          <t>Hub A</t>
        </is>
      </c>
      <c r="E2976" t="n">
        <v>23</v>
      </c>
      <c r="F2976" t="n">
        <v>47.544</v>
      </c>
    </row>
    <row r="2977">
      <c r="A2977" t="inlineStr">
        <is>
          <t>ORD02976</t>
        </is>
      </c>
      <c r="B2977" t="inlineStr">
        <is>
          <t>C0476</t>
        </is>
      </c>
      <c r="C2977" t="n">
        <v>3</v>
      </c>
      <c r="D2977" t="inlineStr">
        <is>
          <t>Hub A</t>
        </is>
      </c>
      <c r="E2977" t="n">
        <v>30</v>
      </c>
      <c r="F2977" t="n">
        <v>47.544</v>
      </c>
    </row>
    <row r="2978">
      <c r="A2978" t="inlineStr">
        <is>
          <t>ORD02977</t>
        </is>
      </c>
      <c r="B2978" t="inlineStr">
        <is>
          <t>C0477</t>
        </is>
      </c>
      <c r="C2978" t="n">
        <v>1</v>
      </c>
      <c r="D2978" t="inlineStr">
        <is>
          <t>Hub A</t>
        </is>
      </c>
      <c r="E2978" t="n">
        <v>37</v>
      </c>
      <c r="F2978" t="n">
        <v>47.544</v>
      </c>
    </row>
    <row r="2979">
      <c r="A2979" t="inlineStr">
        <is>
          <t>ORD02978</t>
        </is>
      </c>
      <c r="B2979" t="inlineStr">
        <is>
          <t>C0478</t>
        </is>
      </c>
      <c r="C2979" t="n">
        <v>2</v>
      </c>
      <c r="D2979" t="inlineStr">
        <is>
          <t>Hub A</t>
        </is>
      </c>
      <c r="E2979" t="n">
        <v>44</v>
      </c>
      <c r="F2979" t="n">
        <v>47.544</v>
      </c>
    </row>
    <row r="2980">
      <c r="A2980" t="inlineStr">
        <is>
          <t>ORD02979</t>
        </is>
      </c>
      <c r="B2980" t="inlineStr">
        <is>
          <t>C0479</t>
        </is>
      </c>
      <c r="C2980" t="n">
        <v>3</v>
      </c>
      <c r="D2980" t="inlineStr">
        <is>
          <t>Hub A</t>
        </is>
      </c>
      <c r="E2980" t="n">
        <v>51</v>
      </c>
      <c r="F2980" t="n">
        <v>47.544</v>
      </c>
    </row>
    <row r="2981">
      <c r="A2981" t="inlineStr">
        <is>
          <t>ORD02980</t>
        </is>
      </c>
      <c r="B2981" t="inlineStr">
        <is>
          <t>C0480</t>
        </is>
      </c>
      <c r="C2981" t="n">
        <v>1</v>
      </c>
      <c r="D2981" t="inlineStr">
        <is>
          <t>Hub A</t>
        </is>
      </c>
      <c r="E2981" t="n">
        <v>58</v>
      </c>
      <c r="F2981" t="n">
        <v>47.544</v>
      </c>
    </row>
    <row r="2982">
      <c r="A2982" t="inlineStr">
        <is>
          <t>ORD02981</t>
        </is>
      </c>
      <c r="B2982" t="inlineStr">
        <is>
          <t>C0481</t>
        </is>
      </c>
      <c r="C2982" t="n">
        <v>2</v>
      </c>
      <c r="D2982" t="inlineStr">
        <is>
          <t>Hub A</t>
        </is>
      </c>
      <c r="E2982" t="n">
        <v>65</v>
      </c>
      <c r="F2982" t="n">
        <v>47.544</v>
      </c>
    </row>
    <row r="2983">
      <c r="A2983" t="inlineStr">
        <is>
          <t>ORD02982</t>
        </is>
      </c>
      <c r="B2983" t="inlineStr">
        <is>
          <t>C0482</t>
        </is>
      </c>
      <c r="C2983" t="n">
        <v>3</v>
      </c>
      <c r="D2983" t="inlineStr">
        <is>
          <t>Hub A</t>
        </is>
      </c>
      <c r="E2983" t="n">
        <v>72</v>
      </c>
      <c r="F2983" t="n">
        <v>47.544</v>
      </c>
    </row>
    <row r="2984">
      <c r="A2984" t="inlineStr">
        <is>
          <t>ORD02983</t>
        </is>
      </c>
      <c r="B2984" t="inlineStr">
        <is>
          <t>C0483</t>
        </is>
      </c>
      <c r="C2984" t="n">
        <v>1</v>
      </c>
      <c r="D2984" t="inlineStr">
        <is>
          <t>Hub A</t>
        </is>
      </c>
      <c r="E2984" t="n">
        <v>19</v>
      </c>
      <c r="F2984" t="n">
        <v>47.544</v>
      </c>
    </row>
    <row r="2985">
      <c r="A2985" t="inlineStr">
        <is>
          <t>ORD02984</t>
        </is>
      </c>
      <c r="B2985" t="inlineStr">
        <is>
          <t>C0484</t>
        </is>
      </c>
      <c r="C2985" t="n">
        <v>2</v>
      </c>
      <c r="D2985" t="inlineStr">
        <is>
          <t>Hub A</t>
        </is>
      </c>
      <c r="E2985" t="n">
        <v>26</v>
      </c>
      <c r="F2985" t="n">
        <v>47.544</v>
      </c>
    </row>
    <row r="2986">
      <c r="A2986" t="inlineStr">
        <is>
          <t>ORD02985</t>
        </is>
      </c>
      <c r="B2986" t="inlineStr">
        <is>
          <t>C0485</t>
        </is>
      </c>
      <c r="C2986" t="n">
        <v>3</v>
      </c>
      <c r="D2986" t="inlineStr">
        <is>
          <t>Hub A</t>
        </is>
      </c>
      <c r="E2986" t="n">
        <v>33</v>
      </c>
      <c r="F2986" t="n">
        <v>47.544</v>
      </c>
    </row>
    <row r="2987">
      <c r="A2987" t="inlineStr">
        <is>
          <t>ORD02986</t>
        </is>
      </c>
      <c r="B2987" t="inlineStr">
        <is>
          <t>C0486</t>
        </is>
      </c>
      <c r="C2987" t="n">
        <v>1</v>
      </c>
      <c r="D2987" t="inlineStr">
        <is>
          <t>Hub A</t>
        </is>
      </c>
      <c r="E2987" t="n">
        <v>40</v>
      </c>
      <c r="F2987" t="n">
        <v>47.544</v>
      </c>
    </row>
    <row r="2988">
      <c r="A2988" t="inlineStr">
        <is>
          <t>ORD02987</t>
        </is>
      </c>
      <c r="B2988" t="inlineStr">
        <is>
          <t>C0487</t>
        </is>
      </c>
      <c r="C2988" t="n">
        <v>2</v>
      </c>
      <c r="D2988" t="inlineStr">
        <is>
          <t>Hub A</t>
        </is>
      </c>
      <c r="E2988" t="n">
        <v>47</v>
      </c>
      <c r="F2988" t="n">
        <v>47.544</v>
      </c>
    </row>
    <row r="2989">
      <c r="A2989" t="inlineStr">
        <is>
          <t>ORD02988</t>
        </is>
      </c>
      <c r="B2989" t="inlineStr">
        <is>
          <t>C0488</t>
        </is>
      </c>
      <c r="C2989" t="n">
        <v>3</v>
      </c>
      <c r="D2989" t="inlineStr">
        <is>
          <t>Hub A</t>
        </is>
      </c>
      <c r="E2989" t="n">
        <v>54</v>
      </c>
      <c r="F2989" t="n">
        <v>47.544</v>
      </c>
    </row>
    <row r="2990">
      <c r="A2990" t="inlineStr">
        <is>
          <t>ORD02989</t>
        </is>
      </c>
      <c r="B2990" t="inlineStr">
        <is>
          <t>C0489</t>
        </is>
      </c>
      <c r="C2990" t="n">
        <v>1</v>
      </c>
      <c r="D2990" t="inlineStr">
        <is>
          <t>Hub A</t>
        </is>
      </c>
      <c r="E2990" t="n">
        <v>61</v>
      </c>
      <c r="F2990" t="n">
        <v>47.544</v>
      </c>
    </row>
    <row r="2991">
      <c r="A2991" t="inlineStr">
        <is>
          <t>ORD02990</t>
        </is>
      </c>
      <c r="B2991" t="inlineStr">
        <is>
          <t>C0490</t>
        </is>
      </c>
      <c r="C2991" t="n">
        <v>2</v>
      </c>
      <c r="D2991" t="inlineStr">
        <is>
          <t>Hub A</t>
        </is>
      </c>
      <c r="E2991" t="n">
        <v>68</v>
      </c>
      <c r="F2991" t="n">
        <v>47.544</v>
      </c>
    </row>
    <row r="2992">
      <c r="A2992" t="inlineStr">
        <is>
          <t>ORD02991</t>
        </is>
      </c>
      <c r="B2992" t="inlineStr">
        <is>
          <t>C0491</t>
        </is>
      </c>
      <c r="C2992" t="n">
        <v>3</v>
      </c>
      <c r="D2992" t="inlineStr">
        <is>
          <t>Hub A</t>
        </is>
      </c>
      <c r="E2992" t="n">
        <v>75</v>
      </c>
      <c r="F2992" t="n">
        <v>47.544</v>
      </c>
    </row>
    <row r="2993">
      <c r="A2993" t="inlineStr">
        <is>
          <t>ORD02992</t>
        </is>
      </c>
      <c r="B2993" t="inlineStr">
        <is>
          <t>C0492</t>
        </is>
      </c>
      <c r="C2993" t="n">
        <v>1</v>
      </c>
      <c r="D2993" t="inlineStr">
        <is>
          <t>Hub A</t>
        </is>
      </c>
      <c r="E2993" t="n">
        <v>22</v>
      </c>
      <c r="F2993" t="n">
        <v>47.544</v>
      </c>
    </row>
    <row r="2994">
      <c r="A2994" t="inlineStr">
        <is>
          <t>ORD02993</t>
        </is>
      </c>
      <c r="B2994" t="inlineStr">
        <is>
          <t>C0493</t>
        </is>
      </c>
      <c r="C2994" t="n">
        <v>2</v>
      </c>
      <c r="D2994" t="inlineStr">
        <is>
          <t>Hub A</t>
        </is>
      </c>
      <c r="E2994" t="n">
        <v>29</v>
      </c>
      <c r="F2994" t="n">
        <v>47.544</v>
      </c>
    </row>
    <row r="2995">
      <c r="A2995" t="inlineStr">
        <is>
          <t>ORD02994</t>
        </is>
      </c>
      <c r="B2995" t="inlineStr">
        <is>
          <t>C0494</t>
        </is>
      </c>
      <c r="C2995" t="n">
        <v>3</v>
      </c>
      <c r="D2995" t="inlineStr">
        <is>
          <t>Hub A</t>
        </is>
      </c>
      <c r="E2995" t="n">
        <v>36</v>
      </c>
      <c r="F2995" t="n">
        <v>47.544</v>
      </c>
    </row>
    <row r="2996">
      <c r="A2996" t="inlineStr">
        <is>
          <t>ORD02995</t>
        </is>
      </c>
      <c r="B2996" t="inlineStr">
        <is>
          <t>C0495</t>
        </is>
      </c>
      <c r="C2996" t="n">
        <v>1</v>
      </c>
      <c r="D2996" t="inlineStr">
        <is>
          <t>Hub A</t>
        </is>
      </c>
      <c r="E2996" t="n">
        <v>43</v>
      </c>
      <c r="F2996" t="n">
        <v>47.544</v>
      </c>
    </row>
    <row r="2997">
      <c r="A2997" t="inlineStr">
        <is>
          <t>ORD02996</t>
        </is>
      </c>
      <c r="B2997" t="inlineStr">
        <is>
          <t>C0496</t>
        </is>
      </c>
      <c r="C2997" t="n">
        <v>2</v>
      </c>
      <c r="D2997" t="inlineStr">
        <is>
          <t>Hub A</t>
        </is>
      </c>
      <c r="E2997" t="n">
        <v>50</v>
      </c>
      <c r="F2997" t="n">
        <v>47.544</v>
      </c>
    </row>
    <row r="2998">
      <c r="A2998" t="inlineStr">
        <is>
          <t>ORD02997</t>
        </is>
      </c>
      <c r="B2998" t="inlineStr">
        <is>
          <t>C0497</t>
        </is>
      </c>
      <c r="C2998" t="n">
        <v>3</v>
      </c>
      <c r="D2998" t="inlineStr">
        <is>
          <t>Hub A</t>
        </is>
      </c>
      <c r="E2998" t="n">
        <v>57</v>
      </c>
      <c r="F2998" t="n">
        <v>47.544</v>
      </c>
    </row>
    <row r="2999">
      <c r="A2999" t="inlineStr">
        <is>
          <t>ORD02998</t>
        </is>
      </c>
      <c r="B2999" t="inlineStr">
        <is>
          <t>C0498</t>
        </is>
      </c>
      <c r="C2999" t="n">
        <v>1</v>
      </c>
      <c r="D2999" t="inlineStr">
        <is>
          <t>Hub A</t>
        </is>
      </c>
      <c r="E2999" t="n">
        <v>64</v>
      </c>
      <c r="F2999" t="n">
        <v>47.544</v>
      </c>
    </row>
    <row r="3000">
      <c r="A3000" t="inlineStr">
        <is>
          <t>ORD02999</t>
        </is>
      </c>
      <c r="B3000" t="inlineStr">
        <is>
          <t>C0499</t>
        </is>
      </c>
      <c r="C3000" t="n">
        <v>2</v>
      </c>
      <c r="D3000" t="inlineStr">
        <is>
          <t>Hub A</t>
        </is>
      </c>
      <c r="E3000" t="n">
        <v>71</v>
      </c>
      <c r="F3000" t="n">
        <v>47.544</v>
      </c>
    </row>
    <row r="3001">
      <c r="A3001" t="inlineStr">
        <is>
          <t>ORD03000</t>
        </is>
      </c>
      <c r="B3001" t="inlineStr">
        <is>
          <t>C0500</t>
        </is>
      </c>
      <c r="C3001" t="n">
        <v>3</v>
      </c>
      <c r="D3001" t="inlineStr">
        <is>
          <t>Hub A</t>
        </is>
      </c>
      <c r="E3001" t="n">
        <v>18</v>
      </c>
      <c r="F3001" t="n">
        <v>47.544</v>
      </c>
    </row>
    <row r="3002">
      <c r="A3002" t="inlineStr">
        <is>
          <t>ORD03001</t>
        </is>
      </c>
      <c r="B3002" t="inlineStr">
        <is>
          <t>C0501</t>
        </is>
      </c>
      <c r="C3002" t="n">
        <v>1</v>
      </c>
      <c r="D3002" t="inlineStr">
        <is>
          <t>Hub A</t>
        </is>
      </c>
      <c r="E3002" t="n">
        <v>25</v>
      </c>
      <c r="F3002" t="n">
        <v>47.544</v>
      </c>
    </row>
    <row r="3003">
      <c r="A3003" t="inlineStr">
        <is>
          <t>ORD03002</t>
        </is>
      </c>
      <c r="B3003" t="inlineStr">
        <is>
          <t>C0502</t>
        </is>
      </c>
      <c r="C3003" t="n">
        <v>2</v>
      </c>
      <c r="D3003" t="inlineStr">
        <is>
          <t>Hub A</t>
        </is>
      </c>
      <c r="E3003" t="n">
        <v>32</v>
      </c>
      <c r="F3003" t="n">
        <v>47.544</v>
      </c>
    </row>
    <row r="3004">
      <c r="A3004" t="inlineStr">
        <is>
          <t>ORD03003</t>
        </is>
      </c>
      <c r="B3004" t="inlineStr">
        <is>
          <t>C0503</t>
        </is>
      </c>
      <c r="C3004" t="n">
        <v>3</v>
      </c>
      <c r="D3004" t="inlineStr">
        <is>
          <t>Hub A</t>
        </is>
      </c>
      <c r="E3004" t="n">
        <v>39</v>
      </c>
      <c r="F3004" t="n">
        <v>47.544</v>
      </c>
    </row>
    <row r="3005">
      <c r="A3005" t="inlineStr">
        <is>
          <t>ORD03004</t>
        </is>
      </c>
      <c r="B3005" t="inlineStr">
        <is>
          <t>C0504</t>
        </is>
      </c>
      <c r="C3005" t="n">
        <v>1</v>
      </c>
      <c r="D3005" t="inlineStr">
        <is>
          <t>Hub A</t>
        </is>
      </c>
      <c r="E3005" t="n">
        <v>46</v>
      </c>
      <c r="F3005" t="n">
        <v>47.544</v>
      </c>
    </row>
    <row r="3006">
      <c r="A3006" t="inlineStr">
        <is>
          <t>ORD03005</t>
        </is>
      </c>
      <c r="B3006" t="inlineStr">
        <is>
          <t>C0505</t>
        </is>
      </c>
      <c r="C3006" t="n">
        <v>2</v>
      </c>
      <c r="D3006" t="inlineStr">
        <is>
          <t>Hub A</t>
        </is>
      </c>
      <c r="E3006" t="n">
        <v>53</v>
      </c>
      <c r="F3006" t="n">
        <v>47.544</v>
      </c>
    </row>
    <row r="3007">
      <c r="A3007" t="inlineStr">
        <is>
          <t>ORD03006</t>
        </is>
      </c>
      <c r="B3007" t="inlineStr">
        <is>
          <t>C0506</t>
        </is>
      </c>
      <c r="C3007" t="n">
        <v>3</v>
      </c>
      <c r="D3007" t="inlineStr">
        <is>
          <t>Hub A</t>
        </is>
      </c>
      <c r="E3007" t="n">
        <v>60</v>
      </c>
      <c r="F3007" t="n">
        <v>47.544</v>
      </c>
    </row>
    <row r="3008">
      <c r="A3008" t="inlineStr">
        <is>
          <t>ORD03007</t>
        </is>
      </c>
      <c r="B3008" t="inlineStr">
        <is>
          <t>C0507</t>
        </is>
      </c>
      <c r="C3008" t="n">
        <v>1</v>
      </c>
      <c r="D3008" t="inlineStr">
        <is>
          <t>Hub A</t>
        </is>
      </c>
      <c r="E3008" t="n">
        <v>67</v>
      </c>
      <c r="F3008" t="n">
        <v>47.544</v>
      </c>
    </row>
    <row r="3009">
      <c r="A3009" t="inlineStr">
        <is>
          <t>ORD03008</t>
        </is>
      </c>
      <c r="B3009" t="inlineStr">
        <is>
          <t>C0508</t>
        </is>
      </c>
      <c r="C3009" t="n">
        <v>2</v>
      </c>
      <c r="D3009" t="inlineStr">
        <is>
          <t>Hub A</t>
        </is>
      </c>
      <c r="E3009" t="n">
        <v>74</v>
      </c>
      <c r="F3009" t="n">
        <v>47.544</v>
      </c>
    </row>
    <row r="3010">
      <c r="A3010" t="inlineStr">
        <is>
          <t>ORD03009</t>
        </is>
      </c>
      <c r="B3010" t="inlineStr">
        <is>
          <t>C0509</t>
        </is>
      </c>
      <c r="C3010" t="n">
        <v>3</v>
      </c>
      <c r="D3010" t="inlineStr">
        <is>
          <t>Hub A</t>
        </is>
      </c>
      <c r="E3010" t="n">
        <v>21</v>
      </c>
      <c r="F3010" t="n">
        <v>47.544</v>
      </c>
    </row>
    <row r="3011">
      <c r="A3011" t="inlineStr">
        <is>
          <t>ORD03010</t>
        </is>
      </c>
      <c r="B3011" t="inlineStr">
        <is>
          <t>C0510</t>
        </is>
      </c>
      <c r="C3011" t="n">
        <v>1</v>
      </c>
      <c r="D3011" t="inlineStr">
        <is>
          <t>Hub A</t>
        </is>
      </c>
      <c r="E3011" t="n">
        <v>28</v>
      </c>
      <c r="F3011" t="n">
        <v>47.544</v>
      </c>
    </row>
    <row r="3012">
      <c r="A3012" t="inlineStr">
        <is>
          <t>ORD03011</t>
        </is>
      </c>
      <c r="B3012" t="inlineStr">
        <is>
          <t>C0511</t>
        </is>
      </c>
      <c r="C3012" t="n">
        <v>2</v>
      </c>
      <c r="D3012" t="inlineStr">
        <is>
          <t>Hub A</t>
        </is>
      </c>
      <c r="E3012" t="n">
        <v>35</v>
      </c>
      <c r="F3012" t="n">
        <v>47.544</v>
      </c>
    </row>
    <row r="3013">
      <c r="A3013" t="inlineStr">
        <is>
          <t>ORD03012</t>
        </is>
      </c>
      <c r="B3013" t="inlineStr">
        <is>
          <t>C0512</t>
        </is>
      </c>
      <c r="C3013" t="n">
        <v>3</v>
      </c>
      <c r="D3013" t="inlineStr">
        <is>
          <t>Hub A</t>
        </is>
      </c>
      <c r="E3013" t="n">
        <v>42</v>
      </c>
      <c r="F3013" t="n">
        <v>47.544</v>
      </c>
    </row>
    <row r="3014">
      <c r="A3014" t="inlineStr">
        <is>
          <t>ORD03013</t>
        </is>
      </c>
      <c r="B3014" t="inlineStr">
        <is>
          <t>C0513</t>
        </is>
      </c>
      <c r="C3014" t="n">
        <v>1</v>
      </c>
      <c r="D3014" t="inlineStr">
        <is>
          <t>Hub A</t>
        </is>
      </c>
      <c r="E3014" t="n">
        <v>49</v>
      </c>
      <c r="F3014" t="n">
        <v>47.544</v>
      </c>
    </row>
    <row r="3015">
      <c r="A3015" t="inlineStr">
        <is>
          <t>ORD03014</t>
        </is>
      </c>
      <c r="B3015" t="inlineStr">
        <is>
          <t>C0514</t>
        </is>
      </c>
      <c r="C3015" t="n">
        <v>2</v>
      </c>
      <c r="D3015" t="inlineStr">
        <is>
          <t>Hub A</t>
        </is>
      </c>
      <c r="E3015" t="n">
        <v>56</v>
      </c>
      <c r="F3015" t="n">
        <v>47.544</v>
      </c>
    </row>
    <row r="3016">
      <c r="A3016" t="inlineStr">
        <is>
          <t>ORD03015</t>
        </is>
      </c>
      <c r="B3016" t="inlineStr">
        <is>
          <t>C0515</t>
        </is>
      </c>
      <c r="C3016" t="n">
        <v>3</v>
      </c>
      <c r="D3016" t="inlineStr">
        <is>
          <t>Hub A</t>
        </is>
      </c>
      <c r="E3016" t="n">
        <v>63</v>
      </c>
      <c r="F3016" t="n">
        <v>47.544</v>
      </c>
    </row>
    <row r="3017">
      <c r="A3017" t="inlineStr">
        <is>
          <t>ORD03016</t>
        </is>
      </c>
      <c r="B3017" t="inlineStr">
        <is>
          <t>C0516</t>
        </is>
      </c>
      <c r="C3017" t="n">
        <v>1</v>
      </c>
      <c r="D3017" t="inlineStr">
        <is>
          <t>Hub A</t>
        </is>
      </c>
      <c r="E3017" t="n">
        <v>70</v>
      </c>
      <c r="F3017" t="n">
        <v>47.544</v>
      </c>
    </row>
    <row r="3018">
      <c r="A3018" t="inlineStr">
        <is>
          <t>ORD03017</t>
        </is>
      </c>
      <c r="B3018" t="inlineStr">
        <is>
          <t>C0517</t>
        </is>
      </c>
      <c r="C3018" t="n">
        <v>2</v>
      </c>
      <c r="D3018" t="inlineStr">
        <is>
          <t>Hub A</t>
        </is>
      </c>
      <c r="E3018" t="n">
        <v>77</v>
      </c>
      <c r="F3018" t="n">
        <v>47.544</v>
      </c>
    </row>
    <row r="3019">
      <c r="A3019" t="inlineStr">
        <is>
          <t>ORD03018</t>
        </is>
      </c>
      <c r="B3019" t="inlineStr">
        <is>
          <t>C0518</t>
        </is>
      </c>
      <c r="C3019" t="n">
        <v>3</v>
      </c>
      <c r="D3019" t="inlineStr">
        <is>
          <t>Hub A</t>
        </is>
      </c>
      <c r="E3019" t="n">
        <v>24</v>
      </c>
      <c r="F3019" t="n">
        <v>47.544</v>
      </c>
    </row>
    <row r="3020">
      <c r="A3020" t="inlineStr">
        <is>
          <t>ORD03019</t>
        </is>
      </c>
      <c r="B3020" t="inlineStr">
        <is>
          <t>C0519</t>
        </is>
      </c>
      <c r="C3020" t="n">
        <v>1</v>
      </c>
      <c r="D3020" t="inlineStr">
        <is>
          <t>Hub A</t>
        </is>
      </c>
      <c r="E3020" t="n">
        <v>31</v>
      </c>
      <c r="F3020" t="n">
        <v>47.544</v>
      </c>
    </row>
    <row r="3021">
      <c r="A3021" t="inlineStr">
        <is>
          <t>ORD03020</t>
        </is>
      </c>
      <c r="B3021" t="inlineStr">
        <is>
          <t>C0520</t>
        </is>
      </c>
      <c r="C3021" t="n">
        <v>2</v>
      </c>
      <c r="D3021" t="inlineStr">
        <is>
          <t>Hub A</t>
        </is>
      </c>
      <c r="E3021" t="n">
        <v>38</v>
      </c>
      <c r="F3021" t="n">
        <v>47.544</v>
      </c>
    </row>
    <row r="3022">
      <c r="A3022" t="inlineStr">
        <is>
          <t>ORD03021</t>
        </is>
      </c>
      <c r="B3022" t="inlineStr">
        <is>
          <t>C0521</t>
        </is>
      </c>
      <c r="C3022" t="n">
        <v>3</v>
      </c>
      <c r="D3022" t="inlineStr">
        <is>
          <t>Hub A</t>
        </is>
      </c>
      <c r="E3022" t="n">
        <v>45</v>
      </c>
      <c r="F3022" t="n">
        <v>47.544</v>
      </c>
    </row>
    <row r="3023">
      <c r="A3023" t="inlineStr">
        <is>
          <t>ORD03022</t>
        </is>
      </c>
      <c r="B3023" t="inlineStr">
        <is>
          <t>C0522</t>
        </is>
      </c>
      <c r="C3023" t="n">
        <v>1</v>
      </c>
      <c r="D3023" t="inlineStr">
        <is>
          <t>Hub A</t>
        </is>
      </c>
      <c r="E3023" t="n">
        <v>52</v>
      </c>
      <c r="F3023" t="n">
        <v>47.544</v>
      </c>
    </row>
    <row r="3024">
      <c r="A3024" t="inlineStr">
        <is>
          <t>ORD03023</t>
        </is>
      </c>
      <c r="B3024" t="inlineStr">
        <is>
          <t>C0523</t>
        </is>
      </c>
      <c r="C3024" t="n">
        <v>2</v>
      </c>
      <c r="D3024" t="inlineStr">
        <is>
          <t>Hub A</t>
        </is>
      </c>
      <c r="E3024" t="n">
        <v>59</v>
      </c>
      <c r="F3024" t="n">
        <v>47.544</v>
      </c>
    </row>
    <row r="3025">
      <c r="A3025" t="inlineStr">
        <is>
          <t>ORD03024</t>
        </is>
      </c>
      <c r="B3025" t="inlineStr">
        <is>
          <t>C0524</t>
        </is>
      </c>
      <c r="C3025" t="n">
        <v>3</v>
      </c>
      <c r="D3025" t="inlineStr">
        <is>
          <t>Hub A</t>
        </is>
      </c>
      <c r="E3025" t="n">
        <v>66</v>
      </c>
      <c r="F3025" t="n">
        <v>47.544</v>
      </c>
    </row>
    <row r="3026">
      <c r="A3026" t="inlineStr">
        <is>
          <t>ORD03025</t>
        </is>
      </c>
      <c r="B3026" t="inlineStr">
        <is>
          <t>C0525</t>
        </is>
      </c>
      <c r="C3026" t="n">
        <v>1</v>
      </c>
      <c r="D3026" t="inlineStr">
        <is>
          <t>Hub A</t>
        </is>
      </c>
      <c r="E3026" t="n">
        <v>73</v>
      </c>
      <c r="F3026" t="n">
        <v>47.544</v>
      </c>
    </row>
    <row r="3027">
      <c r="A3027" t="inlineStr">
        <is>
          <t>ORD03026</t>
        </is>
      </c>
      <c r="B3027" t="inlineStr">
        <is>
          <t>C0526</t>
        </is>
      </c>
      <c r="C3027" t="n">
        <v>2</v>
      </c>
      <c r="D3027" t="inlineStr">
        <is>
          <t>Hub A</t>
        </is>
      </c>
      <c r="E3027" t="n">
        <v>20</v>
      </c>
      <c r="F3027" t="n">
        <v>47.544</v>
      </c>
    </row>
    <row r="3028">
      <c r="A3028" t="inlineStr">
        <is>
          <t>ORD03027</t>
        </is>
      </c>
      <c r="B3028" t="inlineStr">
        <is>
          <t>C0527</t>
        </is>
      </c>
      <c r="C3028" t="n">
        <v>3</v>
      </c>
      <c r="D3028" t="inlineStr">
        <is>
          <t>Hub A</t>
        </is>
      </c>
      <c r="E3028" t="n">
        <v>27</v>
      </c>
      <c r="F3028" t="n">
        <v>47.544</v>
      </c>
    </row>
    <row r="3029">
      <c r="A3029" t="inlineStr">
        <is>
          <t>ORD03028</t>
        </is>
      </c>
      <c r="B3029" t="inlineStr">
        <is>
          <t>C0528</t>
        </is>
      </c>
      <c r="C3029" t="n">
        <v>1</v>
      </c>
      <c r="D3029" t="inlineStr">
        <is>
          <t>Hub A</t>
        </is>
      </c>
      <c r="E3029" t="n">
        <v>34</v>
      </c>
      <c r="F3029" t="n">
        <v>47.544</v>
      </c>
    </row>
    <row r="3030">
      <c r="A3030" t="inlineStr">
        <is>
          <t>ORD03029</t>
        </is>
      </c>
      <c r="B3030" t="inlineStr">
        <is>
          <t>C0529</t>
        </is>
      </c>
      <c r="C3030" t="n">
        <v>2</v>
      </c>
      <c r="D3030" t="inlineStr">
        <is>
          <t>Hub A</t>
        </is>
      </c>
      <c r="E3030" t="n">
        <v>41</v>
      </c>
      <c r="F3030" t="n">
        <v>47.544</v>
      </c>
    </row>
    <row r="3031">
      <c r="A3031" t="inlineStr">
        <is>
          <t>ORD03030</t>
        </is>
      </c>
      <c r="B3031" t="inlineStr">
        <is>
          <t>C0530</t>
        </is>
      </c>
      <c r="C3031" t="n">
        <v>3</v>
      </c>
      <c r="D3031" t="inlineStr">
        <is>
          <t>Hub A</t>
        </is>
      </c>
      <c r="E3031" t="n">
        <v>48</v>
      </c>
      <c r="F3031" t="n">
        <v>47.544</v>
      </c>
    </row>
    <row r="3032">
      <c r="A3032" t="inlineStr">
        <is>
          <t>ORD03031</t>
        </is>
      </c>
      <c r="B3032" t="inlineStr">
        <is>
          <t>C0531</t>
        </is>
      </c>
      <c r="C3032" t="n">
        <v>1</v>
      </c>
      <c r="D3032" t="inlineStr">
        <is>
          <t>Hub A</t>
        </is>
      </c>
      <c r="E3032" t="n">
        <v>55</v>
      </c>
      <c r="F3032" t="n">
        <v>47.544</v>
      </c>
    </row>
    <row r="3033">
      <c r="A3033" t="inlineStr">
        <is>
          <t>ORD03032</t>
        </is>
      </c>
      <c r="B3033" t="inlineStr">
        <is>
          <t>C0532</t>
        </is>
      </c>
      <c r="C3033" t="n">
        <v>2</v>
      </c>
      <c r="D3033" t="inlineStr">
        <is>
          <t>Hub A</t>
        </is>
      </c>
      <c r="E3033" t="n">
        <v>62</v>
      </c>
      <c r="F3033" t="n">
        <v>47.544</v>
      </c>
    </row>
    <row r="3034">
      <c r="A3034" t="inlineStr">
        <is>
          <t>ORD03033</t>
        </is>
      </c>
      <c r="B3034" t="inlineStr">
        <is>
          <t>C0533</t>
        </is>
      </c>
      <c r="C3034" t="n">
        <v>3</v>
      </c>
      <c r="D3034" t="inlineStr">
        <is>
          <t>Hub A</t>
        </is>
      </c>
      <c r="E3034" t="n">
        <v>69</v>
      </c>
      <c r="F3034" t="n">
        <v>47.544</v>
      </c>
    </row>
    <row r="3035">
      <c r="A3035" t="inlineStr">
        <is>
          <t>ORD03034</t>
        </is>
      </c>
      <c r="B3035" t="inlineStr">
        <is>
          <t>C0534</t>
        </is>
      </c>
      <c r="C3035" t="n">
        <v>1</v>
      </c>
      <c r="D3035" t="inlineStr">
        <is>
          <t>Hub A</t>
        </is>
      </c>
      <c r="E3035" t="n">
        <v>76</v>
      </c>
      <c r="F3035" t="n">
        <v>47.544</v>
      </c>
    </row>
    <row r="3036">
      <c r="A3036" t="inlineStr">
        <is>
          <t>ORD03035</t>
        </is>
      </c>
      <c r="B3036" t="inlineStr">
        <is>
          <t>C0535</t>
        </is>
      </c>
      <c r="C3036" t="n">
        <v>2</v>
      </c>
      <c r="D3036" t="inlineStr">
        <is>
          <t>Hub A</t>
        </is>
      </c>
      <c r="E3036" t="n">
        <v>23</v>
      </c>
      <c r="F3036" t="n">
        <v>47.544</v>
      </c>
    </row>
    <row r="3037">
      <c r="A3037" t="inlineStr">
        <is>
          <t>ORD03036</t>
        </is>
      </c>
      <c r="B3037" t="inlineStr">
        <is>
          <t>C0536</t>
        </is>
      </c>
      <c r="C3037" t="n">
        <v>3</v>
      </c>
      <c r="D3037" t="inlineStr">
        <is>
          <t>Hub A</t>
        </is>
      </c>
      <c r="E3037" t="n">
        <v>30</v>
      </c>
      <c r="F3037" t="n">
        <v>47.544</v>
      </c>
    </row>
    <row r="3038">
      <c r="A3038" t="inlineStr">
        <is>
          <t>ORD03037</t>
        </is>
      </c>
      <c r="B3038" t="inlineStr">
        <is>
          <t>C0537</t>
        </is>
      </c>
      <c r="C3038" t="n">
        <v>1</v>
      </c>
      <c r="D3038" t="inlineStr">
        <is>
          <t>Hub A</t>
        </is>
      </c>
      <c r="E3038" t="n">
        <v>37</v>
      </c>
      <c r="F3038" t="n">
        <v>47.544</v>
      </c>
    </row>
    <row r="3039">
      <c r="A3039" t="inlineStr">
        <is>
          <t>ORD03038</t>
        </is>
      </c>
      <c r="B3039" t="inlineStr">
        <is>
          <t>C0538</t>
        </is>
      </c>
      <c r="C3039" t="n">
        <v>2</v>
      </c>
      <c r="D3039" t="inlineStr">
        <is>
          <t>Hub A</t>
        </is>
      </c>
      <c r="E3039" t="n">
        <v>44</v>
      </c>
      <c r="F3039" t="n">
        <v>47.544</v>
      </c>
    </row>
    <row r="3040">
      <c r="A3040" t="inlineStr">
        <is>
          <t>ORD03039</t>
        </is>
      </c>
      <c r="B3040" t="inlineStr">
        <is>
          <t>C0539</t>
        </is>
      </c>
      <c r="C3040" t="n">
        <v>3</v>
      </c>
      <c r="D3040" t="inlineStr">
        <is>
          <t>Hub A</t>
        </is>
      </c>
      <c r="E3040" t="n">
        <v>51</v>
      </c>
      <c r="F3040" t="n">
        <v>47.544</v>
      </c>
    </row>
    <row r="3041">
      <c r="A3041" t="inlineStr">
        <is>
          <t>ORD03040</t>
        </is>
      </c>
      <c r="B3041" t="inlineStr">
        <is>
          <t>C0540</t>
        </is>
      </c>
      <c r="C3041" t="n">
        <v>1</v>
      </c>
      <c r="D3041" t="inlineStr">
        <is>
          <t>Hub A</t>
        </is>
      </c>
      <c r="E3041" t="n">
        <v>58</v>
      </c>
      <c r="F3041" t="n">
        <v>47.544</v>
      </c>
    </row>
    <row r="3042">
      <c r="A3042" t="inlineStr">
        <is>
          <t>ORD03041</t>
        </is>
      </c>
      <c r="B3042" t="inlineStr">
        <is>
          <t>C0541</t>
        </is>
      </c>
      <c r="C3042" t="n">
        <v>2</v>
      </c>
      <c r="D3042" t="inlineStr">
        <is>
          <t>Hub A</t>
        </is>
      </c>
      <c r="E3042" t="n">
        <v>65</v>
      </c>
      <c r="F3042" t="n">
        <v>47.544</v>
      </c>
    </row>
    <row r="3043">
      <c r="A3043" t="inlineStr">
        <is>
          <t>ORD03042</t>
        </is>
      </c>
      <c r="B3043" t="inlineStr">
        <is>
          <t>C0542</t>
        </is>
      </c>
      <c r="C3043" t="n">
        <v>3</v>
      </c>
      <c r="D3043" t="inlineStr">
        <is>
          <t>Hub A</t>
        </is>
      </c>
      <c r="E3043" t="n">
        <v>72</v>
      </c>
      <c r="F3043" t="n">
        <v>47.544</v>
      </c>
    </row>
    <row r="3044">
      <c r="A3044" t="inlineStr">
        <is>
          <t>ORD03043</t>
        </is>
      </c>
      <c r="B3044" t="inlineStr">
        <is>
          <t>C0543</t>
        </is>
      </c>
      <c r="C3044" t="n">
        <v>1</v>
      </c>
      <c r="D3044" t="inlineStr">
        <is>
          <t>Hub A</t>
        </is>
      </c>
      <c r="E3044" t="n">
        <v>19</v>
      </c>
      <c r="F3044" t="n">
        <v>47.544</v>
      </c>
    </row>
    <row r="3045">
      <c r="A3045" t="inlineStr">
        <is>
          <t>ORD03044</t>
        </is>
      </c>
      <c r="B3045" t="inlineStr">
        <is>
          <t>C0544</t>
        </is>
      </c>
      <c r="C3045" t="n">
        <v>2</v>
      </c>
      <c r="D3045" t="inlineStr">
        <is>
          <t>Hub A</t>
        </is>
      </c>
      <c r="E3045" t="n">
        <v>26</v>
      </c>
      <c r="F3045" t="n">
        <v>47.544</v>
      </c>
    </row>
    <row r="3046">
      <c r="A3046" t="inlineStr">
        <is>
          <t>ORD03045</t>
        </is>
      </c>
      <c r="B3046" t="inlineStr">
        <is>
          <t>C0545</t>
        </is>
      </c>
      <c r="C3046" t="n">
        <v>3</v>
      </c>
      <c r="D3046" t="inlineStr">
        <is>
          <t>Hub A</t>
        </is>
      </c>
      <c r="E3046" t="n">
        <v>33</v>
      </c>
      <c r="F3046" t="n">
        <v>47.544</v>
      </c>
    </row>
    <row r="3047">
      <c r="A3047" t="inlineStr">
        <is>
          <t>ORD03046</t>
        </is>
      </c>
      <c r="B3047" t="inlineStr">
        <is>
          <t>C0546</t>
        </is>
      </c>
      <c r="C3047" t="n">
        <v>1</v>
      </c>
      <c r="D3047" t="inlineStr">
        <is>
          <t>Hub A</t>
        </is>
      </c>
      <c r="E3047" t="n">
        <v>40</v>
      </c>
      <c r="F3047" t="n">
        <v>47.544</v>
      </c>
    </row>
    <row r="3048">
      <c r="A3048" t="inlineStr">
        <is>
          <t>ORD03047</t>
        </is>
      </c>
      <c r="B3048" t="inlineStr">
        <is>
          <t>C0547</t>
        </is>
      </c>
      <c r="C3048" t="n">
        <v>2</v>
      </c>
      <c r="D3048" t="inlineStr">
        <is>
          <t>Hub A</t>
        </is>
      </c>
      <c r="E3048" t="n">
        <v>47</v>
      </c>
      <c r="F3048" t="n">
        <v>47.544</v>
      </c>
    </row>
    <row r="3049">
      <c r="A3049" t="inlineStr">
        <is>
          <t>ORD03048</t>
        </is>
      </c>
      <c r="B3049" t="inlineStr">
        <is>
          <t>C0548</t>
        </is>
      </c>
      <c r="C3049" t="n">
        <v>3</v>
      </c>
      <c r="D3049" t="inlineStr">
        <is>
          <t>Hub A</t>
        </is>
      </c>
      <c r="E3049" t="n">
        <v>54</v>
      </c>
      <c r="F3049" t="n">
        <v>47.544</v>
      </c>
    </row>
    <row r="3050">
      <c r="A3050" t="inlineStr">
        <is>
          <t>ORD03049</t>
        </is>
      </c>
      <c r="B3050" t="inlineStr">
        <is>
          <t>C0549</t>
        </is>
      </c>
      <c r="C3050" t="n">
        <v>1</v>
      </c>
      <c r="D3050" t="inlineStr">
        <is>
          <t>Hub A</t>
        </is>
      </c>
      <c r="E3050" t="n">
        <v>61</v>
      </c>
      <c r="F3050" t="n">
        <v>47.544</v>
      </c>
    </row>
    <row r="3051">
      <c r="A3051" t="inlineStr">
        <is>
          <t>ORD03050</t>
        </is>
      </c>
      <c r="B3051" t="inlineStr">
        <is>
          <t>C0550</t>
        </is>
      </c>
      <c r="C3051" t="n">
        <v>2</v>
      </c>
      <c r="D3051" t="inlineStr">
        <is>
          <t>Hub A</t>
        </is>
      </c>
      <c r="E3051" t="n">
        <v>68</v>
      </c>
      <c r="F3051" t="n">
        <v>47.544</v>
      </c>
    </row>
    <row r="3052">
      <c r="A3052" t="inlineStr">
        <is>
          <t>ORD03051</t>
        </is>
      </c>
      <c r="B3052" t="inlineStr">
        <is>
          <t>C0551</t>
        </is>
      </c>
      <c r="C3052" t="n">
        <v>3</v>
      </c>
      <c r="D3052" t="inlineStr">
        <is>
          <t>Hub A</t>
        </is>
      </c>
      <c r="E3052" t="n">
        <v>75</v>
      </c>
      <c r="F3052" t="n">
        <v>47.544</v>
      </c>
    </row>
    <row r="3053">
      <c r="A3053" t="inlineStr">
        <is>
          <t>ORD03052</t>
        </is>
      </c>
      <c r="B3053" t="inlineStr">
        <is>
          <t>C0552</t>
        </is>
      </c>
      <c r="C3053" t="n">
        <v>1</v>
      </c>
      <c r="D3053" t="inlineStr">
        <is>
          <t>Hub A</t>
        </is>
      </c>
      <c r="E3053" t="n">
        <v>22</v>
      </c>
      <c r="F3053" t="n">
        <v>47.544</v>
      </c>
    </row>
    <row r="3054">
      <c r="A3054" t="inlineStr">
        <is>
          <t>ORD03053</t>
        </is>
      </c>
      <c r="B3054" t="inlineStr">
        <is>
          <t>C0553</t>
        </is>
      </c>
      <c r="C3054" t="n">
        <v>2</v>
      </c>
      <c r="D3054" t="inlineStr">
        <is>
          <t>Hub A</t>
        </is>
      </c>
      <c r="E3054" t="n">
        <v>29</v>
      </c>
      <c r="F3054" t="n">
        <v>47.544</v>
      </c>
    </row>
    <row r="3055">
      <c r="A3055" t="inlineStr">
        <is>
          <t>ORD03054</t>
        </is>
      </c>
      <c r="B3055" t="inlineStr">
        <is>
          <t>C0554</t>
        </is>
      </c>
      <c r="C3055" t="n">
        <v>3</v>
      </c>
      <c r="D3055" t="inlineStr">
        <is>
          <t>Hub A</t>
        </is>
      </c>
      <c r="E3055" t="n">
        <v>36</v>
      </c>
      <c r="F3055" t="n">
        <v>47.544</v>
      </c>
    </row>
    <row r="3056">
      <c r="A3056" t="inlineStr">
        <is>
          <t>ORD03055</t>
        </is>
      </c>
      <c r="B3056" t="inlineStr">
        <is>
          <t>C0555</t>
        </is>
      </c>
      <c r="C3056" t="n">
        <v>1</v>
      </c>
      <c r="D3056" t="inlineStr">
        <is>
          <t>Hub A</t>
        </is>
      </c>
      <c r="E3056" t="n">
        <v>43</v>
      </c>
      <c r="F3056" t="n">
        <v>47.544</v>
      </c>
    </row>
    <row r="3057">
      <c r="A3057" t="inlineStr">
        <is>
          <t>ORD03056</t>
        </is>
      </c>
      <c r="B3057" t="inlineStr">
        <is>
          <t>C0556</t>
        </is>
      </c>
      <c r="C3057" t="n">
        <v>2</v>
      </c>
      <c r="D3057" t="inlineStr">
        <is>
          <t>Hub A</t>
        </is>
      </c>
      <c r="E3057" t="n">
        <v>50</v>
      </c>
      <c r="F3057" t="n">
        <v>47.544</v>
      </c>
    </row>
    <row r="3058">
      <c r="A3058" t="inlineStr">
        <is>
          <t>ORD03057</t>
        </is>
      </c>
      <c r="B3058" t="inlineStr">
        <is>
          <t>C0557</t>
        </is>
      </c>
      <c r="C3058" t="n">
        <v>3</v>
      </c>
      <c r="D3058" t="inlineStr">
        <is>
          <t>Hub A</t>
        </is>
      </c>
      <c r="E3058" t="n">
        <v>57</v>
      </c>
      <c r="F3058" t="n">
        <v>47.544</v>
      </c>
    </row>
    <row r="3059">
      <c r="A3059" t="inlineStr">
        <is>
          <t>ORD03058</t>
        </is>
      </c>
      <c r="B3059" t="inlineStr">
        <is>
          <t>C0558</t>
        </is>
      </c>
      <c r="C3059" t="n">
        <v>1</v>
      </c>
      <c r="D3059" t="inlineStr">
        <is>
          <t>Hub A</t>
        </is>
      </c>
      <c r="E3059" t="n">
        <v>64</v>
      </c>
      <c r="F3059" t="n">
        <v>47.544</v>
      </c>
    </row>
    <row r="3060">
      <c r="A3060" t="inlineStr">
        <is>
          <t>ORD03059</t>
        </is>
      </c>
      <c r="B3060" t="inlineStr">
        <is>
          <t>C0559</t>
        </is>
      </c>
      <c r="C3060" t="n">
        <v>2</v>
      </c>
      <c r="D3060" t="inlineStr">
        <is>
          <t>Hub A</t>
        </is>
      </c>
      <c r="E3060" t="n">
        <v>71</v>
      </c>
      <c r="F3060" t="n">
        <v>47.544</v>
      </c>
    </row>
    <row r="3061">
      <c r="A3061" t="inlineStr">
        <is>
          <t>ORD03060</t>
        </is>
      </c>
      <c r="B3061" t="inlineStr">
        <is>
          <t>C0560</t>
        </is>
      </c>
      <c r="C3061" t="n">
        <v>3</v>
      </c>
      <c r="D3061" t="inlineStr">
        <is>
          <t>Hub A</t>
        </is>
      </c>
      <c r="E3061" t="n">
        <v>18</v>
      </c>
      <c r="F3061" t="n">
        <v>47.544</v>
      </c>
    </row>
    <row r="3062">
      <c r="A3062" t="inlineStr">
        <is>
          <t>ORD03061</t>
        </is>
      </c>
      <c r="B3062" t="inlineStr">
        <is>
          <t>C0561</t>
        </is>
      </c>
      <c r="C3062" t="n">
        <v>1</v>
      </c>
      <c r="D3062" t="inlineStr">
        <is>
          <t>Hub A</t>
        </is>
      </c>
      <c r="E3062" t="n">
        <v>25</v>
      </c>
      <c r="F3062" t="n">
        <v>47.544</v>
      </c>
    </row>
    <row r="3063">
      <c r="A3063" t="inlineStr">
        <is>
          <t>ORD03062</t>
        </is>
      </c>
      <c r="B3063" t="inlineStr">
        <is>
          <t>C0562</t>
        </is>
      </c>
      <c r="C3063" t="n">
        <v>2</v>
      </c>
      <c r="D3063" t="inlineStr">
        <is>
          <t>Hub A</t>
        </is>
      </c>
      <c r="E3063" t="n">
        <v>32</v>
      </c>
      <c r="F3063" t="n">
        <v>47.544</v>
      </c>
    </row>
    <row r="3064">
      <c r="A3064" t="inlineStr">
        <is>
          <t>ORD03063</t>
        </is>
      </c>
      <c r="B3064" t="inlineStr">
        <is>
          <t>C0563</t>
        </is>
      </c>
      <c r="C3064" t="n">
        <v>3</v>
      </c>
      <c r="D3064" t="inlineStr">
        <is>
          <t>Hub A</t>
        </is>
      </c>
      <c r="E3064" t="n">
        <v>39</v>
      </c>
      <c r="F3064" t="n">
        <v>47.544</v>
      </c>
    </row>
    <row r="3065">
      <c r="A3065" t="inlineStr">
        <is>
          <t>ORD03064</t>
        </is>
      </c>
      <c r="B3065" t="inlineStr">
        <is>
          <t>C0564</t>
        </is>
      </c>
      <c r="C3065" t="n">
        <v>1</v>
      </c>
      <c r="D3065" t="inlineStr">
        <is>
          <t>Hub A</t>
        </is>
      </c>
      <c r="E3065" t="n">
        <v>46</v>
      </c>
      <c r="F3065" t="n">
        <v>47.544</v>
      </c>
    </row>
    <row r="3066">
      <c r="A3066" t="inlineStr">
        <is>
          <t>ORD03065</t>
        </is>
      </c>
      <c r="B3066" t="inlineStr">
        <is>
          <t>C0565</t>
        </is>
      </c>
      <c r="C3066" t="n">
        <v>2</v>
      </c>
      <c r="D3066" t="inlineStr">
        <is>
          <t>Hub A</t>
        </is>
      </c>
      <c r="E3066" t="n">
        <v>53</v>
      </c>
      <c r="F3066" t="n">
        <v>47.544</v>
      </c>
    </row>
    <row r="3067">
      <c r="A3067" t="inlineStr">
        <is>
          <t>ORD03066</t>
        </is>
      </c>
      <c r="B3067" t="inlineStr">
        <is>
          <t>C0566</t>
        </is>
      </c>
      <c r="C3067" t="n">
        <v>3</v>
      </c>
      <c r="D3067" t="inlineStr">
        <is>
          <t>Hub A</t>
        </is>
      </c>
      <c r="E3067" t="n">
        <v>60</v>
      </c>
      <c r="F3067" t="n">
        <v>47.544</v>
      </c>
    </row>
    <row r="3068">
      <c r="A3068" t="inlineStr">
        <is>
          <t>ORD03067</t>
        </is>
      </c>
      <c r="B3068" t="inlineStr">
        <is>
          <t>C0567</t>
        </is>
      </c>
      <c r="C3068" t="n">
        <v>1</v>
      </c>
      <c r="D3068" t="inlineStr">
        <is>
          <t>Hub A</t>
        </is>
      </c>
      <c r="E3068" t="n">
        <v>67</v>
      </c>
      <c r="F3068" t="n">
        <v>47.544</v>
      </c>
    </row>
    <row r="3069">
      <c r="A3069" t="inlineStr">
        <is>
          <t>ORD03068</t>
        </is>
      </c>
      <c r="B3069" t="inlineStr">
        <is>
          <t>C0568</t>
        </is>
      </c>
      <c r="C3069" t="n">
        <v>2</v>
      </c>
      <c r="D3069" t="inlineStr">
        <is>
          <t>Hub A</t>
        </is>
      </c>
      <c r="E3069" t="n">
        <v>74</v>
      </c>
      <c r="F3069" t="n">
        <v>47.544</v>
      </c>
    </row>
    <row r="3070">
      <c r="A3070" t="inlineStr">
        <is>
          <t>ORD03069</t>
        </is>
      </c>
      <c r="B3070" t="inlineStr">
        <is>
          <t>C0569</t>
        </is>
      </c>
      <c r="C3070" t="n">
        <v>3</v>
      </c>
      <c r="D3070" t="inlineStr">
        <is>
          <t>Hub A</t>
        </is>
      </c>
      <c r="E3070" t="n">
        <v>21</v>
      </c>
      <c r="F3070" t="n">
        <v>47.544</v>
      </c>
    </row>
    <row r="3071">
      <c r="A3071" t="inlineStr">
        <is>
          <t>ORD03070</t>
        </is>
      </c>
      <c r="B3071" t="inlineStr">
        <is>
          <t>C0570</t>
        </is>
      </c>
      <c r="C3071" t="n">
        <v>1</v>
      </c>
      <c r="D3071" t="inlineStr">
        <is>
          <t>Hub A</t>
        </is>
      </c>
      <c r="E3071" t="n">
        <v>28</v>
      </c>
      <c r="F3071" t="n">
        <v>47.544</v>
      </c>
    </row>
    <row r="3072">
      <c r="A3072" t="inlineStr">
        <is>
          <t>ORD03071</t>
        </is>
      </c>
      <c r="B3072" t="inlineStr">
        <is>
          <t>C0571</t>
        </is>
      </c>
      <c r="C3072" t="n">
        <v>2</v>
      </c>
      <c r="D3072" t="inlineStr">
        <is>
          <t>Hub A</t>
        </is>
      </c>
      <c r="E3072" t="n">
        <v>35</v>
      </c>
      <c r="F3072" t="n">
        <v>47.544</v>
      </c>
    </row>
    <row r="3073">
      <c r="A3073" t="inlineStr">
        <is>
          <t>ORD03072</t>
        </is>
      </c>
      <c r="B3073" t="inlineStr">
        <is>
          <t>C0572</t>
        </is>
      </c>
      <c r="C3073" t="n">
        <v>3</v>
      </c>
      <c r="D3073" t="inlineStr">
        <is>
          <t>Hub A</t>
        </is>
      </c>
      <c r="E3073" t="n">
        <v>42</v>
      </c>
      <c r="F3073" t="n">
        <v>47.544</v>
      </c>
    </row>
    <row r="3074">
      <c r="A3074" t="inlineStr">
        <is>
          <t>ORD03073</t>
        </is>
      </c>
      <c r="B3074" t="inlineStr">
        <is>
          <t>C0573</t>
        </is>
      </c>
      <c r="C3074" t="n">
        <v>1</v>
      </c>
      <c r="D3074" t="inlineStr">
        <is>
          <t>Hub A</t>
        </is>
      </c>
      <c r="E3074" t="n">
        <v>49</v>
      </c>
      <c r="F3074" t="n">
        <v>47.544</v>
      </c>
    </row>
    <row r="3075">
      <c r="A3075" t="inlineStr">
        <is>
          <t>ORD03074</t>
        </is>
      </c>
      <c r="B3075" t="inlineStr">
        <is>
          <t>C0574</t>
        </is>
      </c>
      <c r="C3075" t="n">
        <v>2</v>
      </c>
      <c r="D3075" t="inlineStr">
        <is>
          <t>Hub A</t>
        </is>
      </c>
      <c r="E3075" t="n">
        <v>56</v>
      </c>
      <c r="F3075" t="n">
        <v>47.544</v>
      </c>
    </row>
    <row r="3076">
      <c r="A3076" t="inlineStr">
        <is>
          <t>ORD03075</t>
        </is>
      </c>
      <c r="B3076" t="inlineStr">
        <is>
          <t>C0575</t>
        </is>
      </c>
      <c r="C3076" t="n">
        <v>3</v>
      </c>
      <c r="D3076" t="inlineStr">
        <is>
          <t>Hub A</t>
        </is>
      </c>
      <c r="E3076" t="n">
        <v>63</v>
      </c>
      <c r="F3076" t="n">
        <v>47.544</v>
      </c>
    </row>
    <row r="3077">
      <c r="A3077" t="inlineStr">
        <is>
          <t>ORD03076</t>
        </is>
      </c>
      <c r="B3077" t="inlineStr">
        <is>
          <t>C0576</t>
        </is>
      </c>
      <c r="C3077" t="n">
        <v>1</v>
      </c>
      <c r="D3077" t="inlineStr">
        <is>
          <t>Hub A</t>
        </is>
      </c>
      <c r="E3077" t="n">
        <v>70</v>
      </c>
      <c r="F3077" t="n">
        <v>47.544</v>
      </c>
    </row>
    <row r="3078">
      <c r="A3078" t="inlineStr">
        <is>
          <t>ORD03077</t>
        </is>
      </c>
      <c r="B3078" t="inlineStr">
        <is>
          <t>C0577</t>
        </is>
      </c>
      <c r="C3078" t="n">
        <v>2</v>
      </c>
      <c r="D3078" t="inlineStr">
        <is>
          <t>Hub A</t>
        </is>
      </c>
      <c r="E3078" t="n">
        <v>77</v>
      </c>
      <c r="F3078" t="n">
        <v>47.544</v>
      </c>
    </row>
    <row r="3079">
      <c r="A3079" t="inlineStr">
        <is>
          <t>ORD03078</t>
        </is>
      </c>
      <c r="B3079" t="inlineStr">
        <is>
          <t>C0578</t>
        </is>
      </c>
      <c r="C3079" t="n">
        <v>3</v>
      </c>
      <c r="D3079" t="inlineStr">
        <is>
          <t>Hub A</t>
        </is>
      </c>
      <c r="E3079" t="n">
        <v>24</v>
      </c>
      <c r="F3079" t="n">
        <v>47.544</v>
      </c>
    </row>
    <row r="3080">
      <c r="A3080" t="inlineStr">
        <is>
          <t>ORD03079</t>
        </is>
      </c>
      <c r="B3080" t="inlineStr">
        <is>
          <t>C0579</t>
        </is>
      </c>
      <c r="C3080" t="n">
        <v>1</v>
      </c>
      <c r="D3080" t="inlineStr">
        <is>
          <t>Hub A</t>
        </is>
      </c>
      <c r="E3080" t="n">
        <v>31</v>
      </c>
      <c r="F3080" t="n">
        <v>47.544</v>
      </c>
    </row>
    <row r="3081">
      <c r="A3081" t="inlineStr">
        <is>
          <t>ORD03080</t>
        </is>
      </c>
      <c r="B3081" t="inlineStr">
        <is>
          <t>C0580</t>
        </is>
      </c>
      <c r="C3081" t="n">
        <v>2</v>
      </c>
      <c r="D3081" t="inlineStr">
        <is>
          <t>Hub A</t>
        </is>
      </c>
      <c r="E3081" t="n">
        <v>38</v>
      </c>
      <c r="F3081" t="n">
        <v>47.544</v>
      </c>
    </row>
    <row r="3082">
      <c r="A3082" t="inlineStr">
        <is>
          <t>ORD03081</t>
        </is>
      </c>
      <c r="B3082" t="inlineStr">
        <is>
          <t>C0581</t>
        </is>
      </c>
      <c r="C3082" t="n">
        <v>3</v>
      </c>
      <c r="D3082" t="inlineStr">
        <is>
          <t>Hub A</t>
        </is>
      </c>
      <c r="E3082" t="n">
        <v>45</v>
      </c>
      <c r="F3082" t="n">
        <v>47.544</v>
      </c>
    </row>
    <row r="3083">
      <c r="A3083" t="inlineStr">
        <is>
          <t>ORD03082</t>
        </is>
      </c>
      <c r="B3083" t="inlineStr">
        <is>
          <t>C0582</t>
        </is>
      </c>
      <c r="C3083" t="n">
        <v>1</v>
      </c>
      <c r="D3083" t="inlineStr">
        <is>
          <t>Hub A</t>
        </is>
      </c>
      <c r="E3083" t="n">
        <v>52</v>
      </c>
      <c r="F3083" t="n">
        <v>47.544</v>
      </c>
    </row>
    <row r="3084">
      <c r="A3084" t="inlineStr">
        <is>
          <t>ORD03083</t>
        </is>
      </c>
      <c r="B3084" t="inlineStr">
        <is>
          <t>C0583</t>
        </is>
      </c>
      <c r="C3084" t="n">
        <v>2</v>
      </c>
      <c r="D3084" t="inlineStr">
        <is>
          <t>Hub A</t>
        </is>
      </c>
      <c r="E3084" t="n">
        <v>59</v>
      </c>
      <c r="F3084" t="n">
        <v>47.544</v>
      </c>
    </row>
    <row r="3085">
      <c r="A3085" t="inlineStr">
        <is>
          <t>ORD03084</t>
        </is>
      </c>
      <c r="B3085" t="inlineStr">
        <is>
          <t>C0584</t>
        </is>
      </c>
      <c r="C3085" t="n">
        <v>3</v>
      </c>
      <c r="D3085" t="inlineStr">
        <is>
          <t>Hub A</t>
        </is>
      </c>
      <c r="E3085" t="n">
        <v>66</v>
      </c>
      <c r="F3085" t="n">
        <v>47.544</v>
      </c>
    </row>
    <row r="3086">
      <c r="A3086" t="inlineStr">
        <is>
          <t>ORD03085</t>
        </is>
      </c>
      <c r="B3086" t="inlineStr">
        <is>
          <t>C0585</t>
        </is>
      </c>
      <c r="C3086" t="n">
        <v>1</v>
      </c>
      <c r="D3086" t="inlineStr">
        <is>
          <t>Hub A</t>
        </is>
      </c>
      <c r="E3086" t="n">
        <v>73</v>
      </c>
      <c r="F3086" t="n">
        <v>47.544</v>
      </c>
    </row>
    <row r="3087">
      <c r="A3087" t="inlineStr">
        <is>
          <t>ORD03086</t>
        </is>
      </c>
      <c r="B3087" t="inlineStr">
        <is>
          <t>C0586</t>
        </is>
      </c>
      <c r="C3087" t="n">
        <v>2</v>
      </c>
      <c r="D3087" t="inlineStr">
        <is>
          <t>Hub A</t>
        </is>
      </c>
      <c r="E3087" t="n">
        <v>20</v>
      </c>
      <c r="F3087" t="n">
        <v>47.544</v>
      </c>
    </row>
    <row r="3088">
      <c r="A3088" t="inlineStr">
        <is>
          <t>ORD03087</t>
        </is>
      </c>
      <c r="B3088" t="inlineStr">
        <is>
          <t>C0587</t>
        </is>
      </c>
      <c r="C3088" t="n">
        <v>3</v>
      </c>
      <c r="D3088" t="inlineStr">
        <is>
          <t>Hub A</t>
        </is>
      </c>
      <c r="E3088" t="n">
        <v>27</v>
      </c>
      <c r="F3088" t="n">
        <v>47.544</v>
      </c>
    </row>
    <row r="3089">
      <c r="A3089" t="inlineStr">
        <is>
          <t>ORD03088</t>
        </is>
      </c>
      <c r="B3089" t="inlineStr">
        <is>
          <t>C0588</t>
        </is>
      </c>
      <c r="C3089" t="n">
        <v>1</v>
      </c>
      <c r="D3089" t="inlineStr">
        <is>
          <t>Hub A</t>
        </is>
      </c>
      <c r="E3089" t="n">
        <v>34</v>
      </c>
      <c r="F3089" t="n">
        <v>47.544</v>
      </c>
    </row>
    <row r="3090">
      <c r="A3090" t="inlineStr">
        <is>
          <t>ORD03089</t>
        </is>
      </c>
      <c r="B3090" t="inlineStr">
        <is>
          <t>C0589</t>
        </is>
      </c>
      <c r="C3090" t="n">
        <v>2</v>
      </c>
      <c r="D3090" t="inlineStr">
        <is>
          <t>Hub A</t>
        </is>
      </c>
      <c r="E3090" t="n">
        <v>41</v>
      </c>
      <c r="F3090" t="n">
        <v>47.544</v>
      </c>
    </row>
    <row r="3091">
      <c r="A3091" t="inlineStr">
        <is>
          <t>ORD03090</t>
        </is>
      </c>
      <c r="B3091" t="inlineStr">
        <is>
          <t>C0590</t>
        </is>
      </c>
      <c r="C3091" t="n">
        <v>3</v>
      </c>
      <c r="D3091" t="inlineStr">
        <is>
          <t>Hub A</t>
        </is>
      </c>
      <c r="E3091" t="n">
        <v>48</v>
      </c>
      <c r="F3091" t="n">
        <v>47.544</v>
      </c>
    </row>
    <row r="3092">
      <c r="A3092" t="inlineStr">
        <is>
          <t>ORD03091</t>
        </is>
      </c>
      <c r="B3092" t="inlineStr">
        <is>
          <t>C0591</t>
        </is>
      </c>
      <c r="C3092" t="n">
        <v>1</v>
      </c>
      <c r="D3092" t="inlineStr">
        <is>
          <t>Hub A</t>
        </is>
      </c>
      <c r="E3092" t="n">
        <v>55</v>
      </c>
      <c r="F3092" t="n">
        <v>47.544</v>
      </c>
    </row>
    <row r="3093">
      <c r="A3093" t="inlineStr">
        <is>
          <t>ORD03092</t>
        </is>
      </c>
      <c r="B3093" t="inlineStr">
        <is>
          <t>C0592</t>
        </is>
      </c>
      <c r="C3093" t="n">
        <v>2</v>
      </c>
      <c r="D3093" t="inlineStr">
        <is>
          <t>Hub A</t>
        </is>
      </c>
      <c r="E3093" t="n">
        <v>62</v>
      </c>
      <c r="F3093" t="n">
        <v>47.544</v>
      </c>
    </row>
    <row r="3094">
      <c r="A3094" t="inlineStr">
        <is>
          <t>ORD03093</t>
        </is>
      </c>
      <c r="B3094" t="inlineStr">
        <is>
          <t>C0593</t>
        </is>
      </c>
      <c r="C3094" t="n">
        <v>3</v>
      </c>
      <c r="D3094" t="inlineStr">
        <is>
          <t>Hub A</t>
        </is>
      </c>
      <c r="E3094" t="n">
        <v>69</v>
      </c>
      <c r="F3094" t="n">
        <v>47.544</v>
      </c>
    </row>
    <row r="3095">
      <c r="A3095" t="inlineStr">
        <is>
          <t>ORD03094</t>
        </is>
      </c>
      <c r="B3095" t="inlineStr">
        <is>
          <t>C0594</t>
        </is>
      </c>
      <c r="C3095" t="n">
        <v>1</v>
      </c>
      <c r="D3095" t="inlineStr">
        <is>
          <t>Hub A</t>
        </is>
      </c>
      <c r="E3095" t="n">
        <v>76</v>
      </c>
      <c r="F3095" t="n">
        <v>47.544</v>
      </c>
    </row>
    <row r="3096">
      <c r="A3096" t="inlineStr">
        <is>
          <t>ORD03095</t>
        </is>
      </c>
      <c r="B3096" t="inlineStr">
        <is>
          <t>C0595</t>
        </is>
      </c>
      <c r="C3096" t="n">
        <v>2</v>
      </c>
      <c r="D3096" t="inlineStr">
        <is>
          <t>Hub A</t>
        </is>
      </c>
      <c r="E3096" t="n">
        <v>23</v>
      </c>
      <c r="F3096" t="n">
        <v>47.544</v>
      </c>
    </row>
    <row r="3097">
      <c r="A3097" t="inlineStr">
        <is>
          <t>ORD03096</t>
        </is>
      </c>
      <c r="B3097" t="inlineStr">
        <is>
          <t>C0596</t>
        </is>
      </c>
      <c r="C3097" t="n">
        <v>3</v>
      </c>
      <c r="D3097" t="inlineStr">
        <is>
          <t>Hub A</t>
        </is>
      </c>
      <c r="E3097" t="n">
        <v>30</v>
      </c>
      <c r="F3097" t="n">
        <v>47.544</v>
      </c>
    </row>
    <row r="3098">
      <c r="A3098" t="inlineStr">
        <is>
          <t>ORD03097</t>
        </is>
      </c>
      <c r="B3098" t="inlineStr">
        <is>
          <t>C0597</t>
        </is>
      </c>
      <c r="C3098" t="n">
        <v>1</v>
      </c>
      <c r="D3098" t="inlineStr">
        <is>
          <t>Hub A</t>
        </is>
      </c>
      <c r="E3098" t="n">
        <v>37</v>
      </c>
      <c r="F3098" t="n">
        <v>47.544</v>
      </c>
    </row>
    <row r="3099">
      <c r="A3099" t="inlineStr">
        <is>
          <t>ORD03098</t>
        </is>
      </c>
      <c r="B3099" t="inlineStr">
        <is>
          <t>C0598</t>
        </is>
      </c>
      <c r="C3099" t="n">
        <v>2</v>
      </c>
      <c r="D3099" t="inlineStr">
        <is>
          <t>Hub A</t>
        </is>
      </c>
      <c r="E3099" t="n">
        <v>44</v>
      </c>
      <c r="F3099" t="n">
        <v>47.544</v>
      </c>
    </row>
    <row r="3100">
      <c r="A3100" t="inlineStr">
        <is>
          <t>ORD03099</t>
        </is>
      </c>
      <c r="B3100" t="inlineStr">
        <is>
          <t>C0599</t>
        </is>
      </c>
      <c r="C3100" t="n">
        <v>3</v>
      </c>
      <c r="D3100" t="inlineStr">
        <is>
          <t>Hub A</t>
        </is>
      </c>
      <c r="E3100" t="n">
        <v>51</v>
      </c>
      <c r="F3100" t="n">
        <v>47.544</v>
      </c>
    </row>
    <row r="3101">
      <c r="A3101" t="inlineStr">
        <is>
          <t>ORD03100</t>
        </is>
      </c>
      <c r="B3101" t="inlineStr">
        <is>
          <t>C0600</t>
        </is>
      </c>
      <c r="C3101" t="n">
        <v>1</v>
      </c>
      <c r="D3101" t="inlineStr">
        <is>
          <t>Hub A</t>
        </is>
      </c>
      <c r="E3101" t="n">
        <v>58</v>
      </c>
      <c r="F3101" t="n">
        <v>47.544</v>
      </c>
    </row>
    <row r="3102">
      <c r="A3102" t="inlineStr">
        <is>
          <t>ORD03101</t>
        </is>
      </c>
      <c r="B3102" t="inlineStr">
        <is>
          <t>C0601</t>
        </is>
      </c>
      <c r="C3102" t="n">
        <v>2</v>
      </c>
      <c r="D3102" t="inlineStr">
        <is>
          <t>Hub A</t>
        </is>
      </c>
      <c r="E3102" t="n">
        <v>65</v>
      </c>
      <c r="F3102" t="n">
        <v>47.544</v>
      </c>
    </row>
    <row r="3103">
      <c r="A3103" t="inlineStr">
        <is>
          <t>ORD03102</t>
        </is>
      </c>
      <c r="B3103" t="inlineStr">
        <is>
          <t>C0602</t>
        </is>
      </c>
      <c r="C3103" t="n">
        <v>3</v>
      </c>
      <c r="D3103" t="inlineStr">
        <is>
          <t>Hub A</t>
        </is>
      </c>
      <c r="E3103" t="n">
        <v>72</v>
      </c>
      <c r="F3103" t="n">
        <v>47.544</v>
      </c>
    </row>
    <row r="3104">
      <c r="A3104" t="inlineStr">
        <is>
          <t>ORD03103</t>
        </is>
      </c>
      <c r="B3104" t="inlineStr">
        <is>
          <t>C0603</t>
        </is>
      </c>
      <c r="C3104" t="n">
        <v>1</v>
      </c>
      <c r="D3104" t="inlineStr">
        <is>
          <t>Hub A</t>
        </is>
      </c>
      <c r="E3104" t="n">
        <v>19</v>
      </c>
      <c r="F3104" t="n">
        <v>47.544</v>
      </c>
    </row>
    <row r="3105">
      <c r="A3105" t="inlineStr">
        <is>
          <t>ORD03104</t>
        </is>
      </c>
      <c r="B3105" t="inlineStr">
        <is>
          <t>C0604</t>
        </is>
      </c>
      <c r="C3105" t="n">
        <v>2</v>
      </c>
      <c r="D3105" t="inlineStr">
        <is>
          <t>Hub A</t>
        </is>
      </c>
      <c r="E3105" t="n">
        <v>26</v>
      </c>
      <c r="F3105" t="n">
        <v>47.544</v>
      </c>
    </row>
    <row r="3106">
      <c r="A3106" t="inlineStr">
        <is>
          <t>ORD03105</t>
        </is>
      </c>
      <c r="B3106" t="inlineStr">
        <is>
          <t>C0605</t>
        </is>
      </c>
      <c r="C3106" t="n">
        <v>3</v>
      </c>
      <c r="D3106" t="inlineStr">
        <is>
          <t>Hub A</t>
        </is>
      </c>
      <c r="E3106" t="n">
        <v>33</v>
      </c>
      <c r="F3106" t="n">
        <v>47.544</v>
      </c>
    </row>
    <row r="3107">
      <c r="A3107" t="inlineStr">
        <is>
          <t>ORD03106</t>
        </is>
      </c>
      <c r="B3107" t="inlineStr">
        <is>
          <t>C0606</t>
        </is>
      </c>
      <c r="C3107" t="n">
        <v>1</v>
      </c>
      <c r="D3107" t="inlineStr">
        <is>
          <t>Hub A</t>
        </is>
      </c>
      <c r="E3107" t="n">
        <v>40</v>
      </c>
      <c r="F3107" t="n">
        <v>47.544</v>
      </c>
    </row>
    <row r="3108">
      <c r="A3108" t="inlineStr">
        <is>
          <t>ORD03107</t>
        </is>
      </c>
      <c r="B3108" t="inlineStr">
        <is>
          <t>C0607</t>
        </is>
      </c>
      <c r="C3108" t="n">
        <v>2</v>
      </c>
      <c r="D3108" t="inlineStr">
        <is>
          <t>Hub A</t>
        </is>
      </c>
      <c r="E3108" t="n">
        <v>47</v>
      </c>
      <c r="F3108" t="n">
        <v>47.544</v>
      </c>
    </row>
    <row r="3109">
      <c r="A3109" t="inlineStr">
        <is>
          <t>ORD03108</t>
        </is>
      </c>
      <c r="B3109" t="inlineStr">
        <is>
          <t>C0608</t>
        </is>
      </c>
      <c r="C3109" t="n">
        <v>3</v>
      </c>
      <c r="D3109" t="inlineStr">
        <is>
          <t>Hub A</t>
        </is>
      </c>
      <c r="E3109" t="n">
        <v>54</v>
      </c>
      <c r="F3109" t="n">
        <v>47.544</v>
      </c>
    </row>
    <row r="3110">
      <c r="A3110" t="inlineStr">
        <is>
          <t>ORD03109</t>
        </is>
      </c>
      <c r="B3110" t="inlineStr">
        <is>
          <t>C0609</t>
        </is>
      </c>
      <c r="C3110" t="n">
        <v>1</v>
      </c>
      <c r="D3110" t="inlineStr">
        <is>
          <t>Hub A</t>
        </is>
      </c>
      <c r="E3110" t="n">
        <v>61</v>
      </c>
      <c r="F3110" t="n">
        <v>47.544</v>
      </c>
    </row>
    <row r="3111">
      <c r="A3111" t="inlineStr">
        <is>
          <t>ORD03110</t>
        </is>
      </c>
      <c r="B3111" t="inlineStr">
        <is>
          <t>C0610</t>
        </is>
      </c>
      <c r="C3111" t="n">
        <v>2</v>
      </c>
      <c r="D3111" t="inlineStr">
        <is>
          <t>Hub A</t>
        </is>
      </c>
      <c r="E3111" t="n">
        <v>68</v>
      </c>
      <c r="F3111" t="n">
        <v>47.544</v>
      </c>
    </row>
    <row r="3112">
      <c r="A3112" t="inlineStr">
        <is>
          <t>ORD03111</t>
        </is>
      </c>
      <c r="B3112" t="inlineStr">
        <is>
          <t>C0611</t>
        </is>
      </c>
      <c r="C3112" t="n">
        <v>3</v>
      </c>
      <c r="D3112" t="inlineStr">
        <is>
          <t>Hub A</t>
        </is>
      </c>
      <c r="E3112" t="n">
        <v>75</v>
      </c>
      <c r="F3112" t="n">
        <v>47.544</v>
      </c>
    </row>
    <row r="3113">
      <c r="A3113" t="inlineStr">
        <is>
          <t>ORD03112</t>
        </is>
      </c>
      <c r="B3113" t="inlineStr">
        <is>
          <t>C0612</t>
        </is>
      </c>
      <c r="C3113" t="n">
        <v>1</v>
      </c>
      <c r="D3113" t="inlineStr">
        <is>
          <t>Hub A</t>
        </is>
      </c>
      <c r="E3113" t="n">
        <v>22</v>
      </c>
      <c r="F3113" t="n">
        <v>47.544</v>
      </c>
    </row>
    <row r="3114">
      <c r="A3114" t="inlineStr">
        <is>
          <t>ORD03113</t>
        </is>
      </c>
      <c r="B3114" t="inlineStr">
        <is>
          <t>C0613</t>
        </is>
      </c>
      <c r="C3114" t="n">
        <v>2</v>
      </c>
      <c r="D3114" t="inlineStr">
        <is>
          <t>Hub A</t>
        </is>
      </c>
      <c r="E3114" t="n">
        <v>29</v>
      </c>
      <c r="F3114" t="n">
        <v>47.544</v>
      </c>
    </row>
    <row r="3115">
      <c r="A3115" t="inlineStr">
        <is>
          <t>ORD03114</t>
        </is>
      </c>
      <c r="B3115" t="inlineStr">
        <is>
          <t>C0614</t>
        </is>
      </c>
      <c r="C3115" t="n">
        <v>3</v>
      </c>
      <c r="D3115" t="inlineStr">
        <is>
          <t>Hub A</t>
        </is>
      </c>
      <c r="E3115" t="n">
        <v>36</v>
      </c>
      <c r="F3115" t="n">
        <v>47.544</v>
      </c>
    </row>
    <row r="3116">
      <c r="A3116" t="inlineStr">
        <is>
          <t>ORD03115</t>
        </is>
      </c>
      <c r="B3116" t="inlineStr">
        <is>
          <t>C0615</t>
        </is>
      </c>
      <c r="C3116" t="n">
        <v>1</v>
      </c>
      <c r="D3116" t="inlineStr">
        <is>
          <t>Hub A</t>
        </is>
      </c>
      <c r="E3116" t="n">
        <v>43</v>
      </c>
      <c r="F3116" t="n">
        <v>47.544</v>
      </c>
    </row>
    <row r="3117">
      <c r="A3117" t="inlineStr">
        <is>
          <t>ORD03116</t>
        </is>
      </c>
      <c r="B3117" t="inlineStr">
        <is>
          <t>C0616</t>
        </is>
      </c>
      <c r="C3117" t="n">
        <v>2</v>
      </c>
      <c r="D3117" t="inlineStr">
        <is>
          <t>Hub A</t>
        </is>
      </c>
      <c r="E3117" t="n">
        <v>50</v>
      </c>
      <c r="F3117" t="n">
        <v>47.544</v>
      </c>
    </row>
    <row r="3118">
      <c r="A3118" t="inlineStr">
        <is>
          <t>ORD03117</t>
        </is>
      </c>
      <c r="B3118" t="inlineStr">
        <is>
          <t>C0617</t>
        </is>
      </c>
      <c r="C3118" t="n">
        <v>3</v>
      </c>
      <c r="D3118" t="inlineStr">
        <is>
          <t>Hub A</t>
        </is>
      </c>
      <c r="E3118" t="n">
        <v>57</v>
      </c>
      <c r="F3118" t="n">
        <v>47.544</v>
      </c>
    </row>
    <row r="3119">
      <c r="A3119" t="inlineStr">
        <is>
          <t>ORD03118</t>
        </is>
      </c>
      <c r="B3119" t="inlineStr">
        <is>
          <t>C0618</t>
        </is>
      </c>
      <c r="C3119" t="n">
        <v>1</v>
      </c>
      <c r="D3119" t="inlineStr">
        <is>
          <t>Hub A</t>
        </is>
      </c>
      <c r="E3119" t="n">
        <v>64</v>
      </c>
      <c r="F3119" t="n">
        <v>47.544</v>
      </c>
    </row>
    <row r="3120">
      <c r="A3120" t="inlineStr">
        <is>
          <t>ORD03119</t>
        </is>
      </c>
      <c r="B3120" t="inlineStr">
        <is>
          <t>C0619</t>
        </is>
      </c>
      <c r="C3120" t="n">
        <v>2</v>
      </c>
      <c r="D3120" t="inlineStr">
        <is>
          <t>Hub A</t>
        </is>
      </c>
      <c r="E3120" t="n">
        <v>71</v>
      </c>
      <c r="F3120" t="n">
        <v>47.544</v>
      </c>
    </row>
    <row r="3121">
      <c r="A3121" t="inlineStr">
        <is>
          <t>ORD03120</t>
        </is>
      </c>
      <c r="B3121" t="inlineStr">
        <is>
          <t>C0620</t>
        </is>
      </c>
      <c r="C3121" t="n">
        <v>3</v>
      </c>
      <c r="D3121" t="inlineStr">
        <is>
          <t>Hub A</t>
        </is>
      </c>
      <c r="E3121" t="n">
        <v>18</v>
      </c>
      <c r="F3121" t="n">
        <v>47.544</v>
      </c>
    </row>
    <row r="3122">
      <c r="A3122" t="inlineStr">
        <is>
          <t>ORD03121</t>
        </is>
      </c>
      <c r="B3122" t="inlineStr">
        <is>
          <t>C0621</t>
        </is>
      </c>
      <c r="C3122" t="n">
        <v>1</v>
      </c>
      <c r="D3122" t="inlineStr">
        <is>
          <t>Hub A</t>
        </is>
      </c>
      <c r="E3122" t="n">
        <v>25</v>
      </c>
      <c r="F3122" t="n">
        <v>47.544</v>
      </c>
    </row>
    <row r="3123">
      <c r="A3123" t="inlineStr">
        <is>
          <t>ORD03122</t>
        </is>
      </c>
      <c r="B3123" t="inlineStr">
        <is>
          <t>C0622</t>
        </is>
      </c>
      <c r="C3123" t="n">
        <v>2</v>
      </c>
      <c r="D3123" t="inlineStr">
        <is>
          <t>Hub A</t>
        </is>
      </c>
      <c r="E3123" t="n">
        <v>32</v>
      </c>
      <c r="F3123" t="n">
        <v>47.544</v>
      </c>
    </row>
    <row r="3124">
      <c r="A3124" t="inlineStr">
        <is>
          <t>ORD03123</t>
        </is>
      </c>
      <c r="B3124" t="inlineStr">
        <is>
          <t>C0623</t>
        </is>
      </c>
      <c r="C3124" t="n">
        <v>3</v>
      </c>
      <c r="D3124" t="inlineStr">
        <is>
          <t>Hub A</t>
        </is>
      </c>
      <c r="E3124" t="n">
        <v>39</v>
      </c>
      <c r="F3124" t="n">
        <v>47.544</v>
      </c>
    </row>
    <row r="3125">
      <c r="A3125" t="inlineStr">
        <is>
          <t>ORD03124</t>
        </is>
      </c>
      <c r="B3125" t="inlineStr">
        <is>
          <t>C0624</t>
        </is>
      </c>
      <c r="C3125" t="n">
        <v>1</v>
      </c>
      <c r="D3125" t="inlineStr">
        <is>
          <t>Hub A</t>
        </is>
      </c>
      <c r="E3125" t="n">
        <v>46</v>
      </c>
      <c r="F3125" t="n">
        <v>47.544</v>
      </c>
    </row>
    <row r="3126">
      <c r="A3126" t="inlineStr">
        <is>
          <t>ORD03125</t>
        </is>
      </c>
      <c r="B3126" t="inlineStr">
        <is>
          <t>C0625</t>
        </is>
      </c>
      <c r="C3126" t="n">
        <v>2</v>
      </c>
      <c r="D3126" t="inlineStr">
        <is>
          <t>Hub A</t>
        </is>
      </c>
      <c r="E3126" t="n">
        <v>53</v>
      </c>
      <c r="F3126" t="n">
        <v>47.544</v>
      </c>
    </row>
    <row r="3127">
      <c r="A3127" t="inlineStr">
        <is>
          <t>ORD03126</t>
        </is>
      </c>
      <c r="B3127" t="inlineStr">
        <is>
          <t>C0626</t>
        </is>
      </c>
      <c r="C3127" t="n">
        <v>3</v>
      </c>
      <c r="D3127" t="inlineStr">
        <is>
          <t>Hub A</t>
        </is>
      </c>
      <c r="E3127" t="n">
        <v>60</v>
      </c>
      <c r="F3127" t="n">
        <v>47.544</v>
      </c>
    </row>
    <row r="3128">
      <c r="A3128" t="inlineStr">
        <is>
          <t>ORD03127</t>
        </is>
      </c>
      <c r="B3128" t="inlineStr">
        <is>
          <t>C0627</t>
        </is>
      </c>
      <c r="C3128" t="n">
        <v>1</v>
      </c>
      <c r="D3128" t="inlineStr">
        <is>
          <t>Hub A</t>
        </is>
      </c>
      <c r="E3128" t="n">
        <v>67</v>
      </c>
      <c r="F3128" t="n">
        <v>47.544</v>
      </c>
    </row>
    <row r="3129">
      <c r="A3129" t="inlineStr">
        <is>
          <t>ORD03128</t>
        </is>
      </c>
      <c r="B3129" t="inlineStr">
        <is>
          <t>C0628</t>
        </is>
      </c>
      <c r="C3129" t="n">
        <v>2</v>
      </c>
      <c r="D3129" t="inlineStr">
        <is>
          <t>Hub A</t>
        </is>
      </c>
      <c r="E3129" t="n">
        <v>74</v>
      </c>
      <c r="F3129" t="n">
        <v>47.544</v>
      </c>
    </row>
    <row r="3130">
      <c r="A3130" t="inlineStr">
        <is>
          <t>ORD03129</t>
        </is>
      </c>
      <c r="B3130" t="inlineStr">
        <is>
          <t>C0629</t>
        </is>
      </c>
      <c r="C3130" t="n">
        <v>3</v>
      </c>
      <c r="D3130" t="inlineStr">
        <is>
          <t>Hub A</t>
        </is>
      </c>
      <c r="E3130" t="n">
        <v>21</v>
      </c>
      <c r="F3130" t="n">
        <v>47.544</v>
      </c>
    </row>
    <row r="3131">
      <c r="A3131" t="inlineStr">
        <is>
          <t>ORD03130</t>
        </is>
      </c>
      <c r="B3131" t="inlineStr">
        <is>
          <t>C0630</t>
        </is>
      </c>
      <c r="C3131" t="n">
        <v>1</v>
      </c>
      <c r="D3131" t="inlineStr">
        <is>
          <t>Hub A</t>
        </is>
      </c>
      <c r="E3131" t="n">
        <v>28</v>
      </c>
      <c r="F3131" t="n">
        <v>47.544</v>
      </c>
    </row>
    <row r="3132">
      <c r="A3132" t="inlineStr">
        <is>
          <t>ORD03131</t>
        </is>
      </c>
      <c r="B3132" t="inlineStr">
        <is>
          <t>C0631</t>
        </is>
      </c>
      <c r="C3132" t="n">
        <v>2</v>
      </c>
      <c r="D3132" t="inlineStr">
        <is>
          <t>Hub A</t>
        </is>
      </c>
      <c r="E3132" t="n">
        <v>35</v>
      </c>
      <c r="F3132" t="n">
        <v>47.544</v>
      </c>
    </row>
    <row r="3133">
      <c r="A3133" t="inlineStr">
        <is>
          <t>ORD03132</t>
        </is>
      </c>
      <c r="B3133" t="inlineStr">
        <is>
          <t>C0632</t>
        </is>
      </c>
      <c r="C3133" t="n">
        <v>3</v>
      </c>
      <c r="D3133" t="inlineStr">
        <is>
          <t>Hub A</t>
        </is>
      </c>
      <c r="E3133" t="n">
        <v>42</v>
      </c>
      <c r="F3133" t="n">
        <v>47.544</v>
      </c>
    </row>
    <row r="3134">
      <c r="A3134" t="inlineStr">
        <is>
          <t>ORD03133</t>
        </is>
      </c>
      <c r="B3134" t="inlineStr">
        <is>
          <t>C0633</t>
        </is>
      </c>
      <c r="C3134" t="n">
        <v>1</v>
      </c>
      <c r="D3134" t="inlineStr">
        <is>
          <t>Hub A</t>
        </is>
      </c>
      <c r="E3134" t="n">
        <v>49</v>
      </c>
      <c r="F3134" t="n">
        <v>47.544</v>
      </c>
    </row>
    <row r="3135">
      <c r="A3135" t="inlineStr">
        <is>
          <t>ORD03134</t>
        </is>
      </c>
      <c r="B3135" t="inlineStr">
        <is>
          <t>C0634</t>
        </is>
      </c>
      <c r="C3135" t="n">
        <v>2</v>
      </c>
      <c r="D3135" t="inlineStr">
        <is>
          <t>Hub A</t>
        </is>
      </c>
      <c r="E3135" t="n">
        <v>56</v>
      </c>
      <c r="F3135" t="n">
        <v>47.544</v>
      </c>
    </row>
    <row r="3136">
      <c r="A3136" t="inlineStr">
        <is>
          <t>ORD03135</t>
        </is>
      </c>
      <c r="B3136" t="inlineStr">
        <is>
          <t>C0635</t>
        </is>
      </c>
      <c r="C3136" t="n">
        <v>3</v>
      </c>
      <c r="D3136" t="inlineStr">
        <is>
          <t>Hub A</t>
        </is>
      </c>
      <c r="E3136" t="n">
        <v>63</v>
      </c>
      <c r="F3136" t="n">
        <v>47.544</v>
      </c>
    </row>
    <row r="3137">
      <c r="A3137" t="inlineStr">
        <is>
          <t>ORD03136</t>
        </is>
      </c>
      <c r="B3137" t="inlineStr">
        <is>
          <t>C0636</t>
        </is>
      </c>
      <c r="C3137" t="n">
        <v>1</v>
      </c>
      <c r="D3137" t="inlineStr">
        <is>
          <t>Hub A</t>
        </is>
      </c>
      <c r="E3137" t="n">
        <v>70</v>
      </c>
      <c r="F3137" t="n">
        <v>47.544</v>
      </c>
    </row>
    <row r="3138">
      <c r="A3138" t="inlineStr">
        <is>
          <t>ORD03137</t>
        </is>
      </c>
      <c r="B3138" t="inlineStr">
        <is>
          <t>C0637</t>
        </is>
      </c>
      <c r="C3138" t="n">
        <v>2</v>
      </c>
      <c r="D3138" t="inlineStr">
        <is>
          <t>Hub A</t>
        </is>
      </c>
      <c r="E3138" t="n">
        <v>77</v>
      </c>
      <c r="F3138" t="n">
        <v>47.544</v>
      </c>
    </row>
    <row r="3139">
      <c r="A3139" t="inlineStr">
        <is>
          <t>ORD03138</t>
        </is>
      </c>
      <c r="B3139" t="inlineStr">
        <is>
          <t>C0638</t>
        </is>
      </c>
      <c r="C3139" t="n">
        <v>3</v>
      </c>
      <c r="D3139" t="inlineStr">
        <is>
          <t>Hub A</t>
        </is>
      </c>
      <c r="E3139" t="n">
        <v>24</v>
      </c>
      <c r="F3139" t="n">
        <v>47.544</v>
      </c>
    </row>
    <row r="3140">
      <c r="A3140" t="inlineStr">
        <is>
          <t>ORD03139</t>
        </is>
      </c>
      <c r="B3140" t="inlineStr">
        <is>
          <t>C0639</t>
        </is>
      </c>
      <c r="C3140" t="n">
        <v>1</v>
      </c>
      <c r="D3140" t="inlineStr">
        <is>
          <t>Hub A</t>
        </is>
      </c>
      <c r="E3140" t="n">
        <v>31</v>
      </c>
      <c r="F3140" t="n">
        <v>47.544</v>
      </c>
    </row>
    <row r="3141">
      <c r="A3141" t="inlineStr">
        <is>
          <t>ORD03140</t>
        </is>
      </c>
      <c r="B3141" t="inlineStr">
        <is>
          <t>C0640</t>
        </is>
      </c>
      <c r="C3141" t="n">
        <v>2</v>
      </c>
      <c r="D3141" t="inlineStr">
        <is>
          <t>Hub A</t>
        </is>
      </c>
      <c r="E3141" t="n">
        <v>38</v>
      </c>
      <c r="F3141" t="n">
        <v>47.544</v>
      </c>
    </row>
    <row r="3142">
      <c r="A3142" t="inlineStr">
        <is>
          <t>ORD03141</t>
        </is>
      </c>
      <c r="B3142" t="inlineStr">
        <is>
          <t>C0641</t>
        </is>
      </c>
      <c r="C3142" t="n">
        <v>3</v>
      </c>
      <c r="D3142" t="inlineStr">
        <is>
          <t>Hub A</t>
        </is>
      </c>
      <c r="E3142" t="n">
        <v>45</v>
      </c>
      <c r="F3142" t="n">
        <v>47.544</v>
      </c>
    </row>
    <row r="3143">
      <c r="A3143" t="inlineStr">
        <is>
          <t>ORD03142</t>
        </is>
      </c>
      <c r="B3143" t="inlineStr">
        <is>
          <t>C0642</t>
        </is>
      </c>
      <c r="C3143" t="n">
        <v>1</v>
      </c>
      <c r="D3143" t="inlineStr">
        <is>
          <t>Hub A</t>
        </is>
      </c>
      <c r="E3143" t="n">
        <v>52</v>
      </c>
      <c r="F3143" t="n">
        <v>47.544</v>
      </c>
    </row>
    <row r="3144">
      <c r="A3144" t="inlineStr">
        <is>
          <t>ORD03143</t>
        </is>
      </c>
      <c r="B3144" t="inlineStr">
        <is>
          <t>C0643</t>
        </is>
      </c>
      <c r="C3144" t="n">
        <v>2</v>
      </c>
      <c r="D3144" t="inlineStr">
        <is>
          <t>Hub A</t>
        </is>
      </c>
      <c r="E3144" t="n">
        <v>59</v>
      </c>
      <c r="F3144" t="n">
        <v>47.544</v>
      </c>
    </row>
    <row r="3145">
      <c r="A3145" t="inlineStr">
        <is>
          <t>ORD03144</t>
        </is>
      </c>
      <c r="B3145" t="inlineStr">
        <is>
          <t>C0644</t>
        </is>
      </c>
      <c r="C3145" t="n">
        <v>3</v>
      </c>
      <c r="D3145" t="inlineStr">
        <is>
          <t>Hub A</t>
        </is>
      </c>
      <c r="E3145" t="n">
        <v>66</v>
      </c>
      <c r="F3145" t="n">
        <v>47.544</v>
      </c>
    </row>
    <row r="3146">
      <c r="A3146" t="inlineStr">
        <is>
          <t>ORD03145</t>
        </is>
      </c>
      <c r="B3146" t="inlineStr">
        <is>
          <t>C0645</t>
        </is>
      </c>
      <c r="C3146" t="n">
        <v>1</v>
      </c>
      <c r="D3146" t="inlineStr">
        <is>
          <t>Hub A</t>
        </is>
      </c>
      <c r="E3146" t="n">
        <v>73</v>
      </c>
      <c r="F3146" t="n">
        <v>47.544</v>
      </c>
    </row>
    <row r="3147">
      <c r="A3147" t="inlineStr">
        <is>
          <t>ORD03146</t>
        </is>
      </c>
      <c r="B3147" t="inlineStr">
        <is>
          <t>C0646</t>
        </is>
      </c>
      <c r="C3147" t="n">
        <v>2</v>
      </c>
      <c r="D3147" t="inlineStr">
        <is>
          <t>Hub A</t>
        </is>
      </c>
      <c r="E3147" t="n">
        <v>20</v>
      </c>
      <c r="F3147" t="n">
        <v>47.544</v>
      </c>
    </row>
    <row r="3148">
      <c r="A3148" t="inlineStr">
        <is>
          <t>ORD03147</t>
        </is>
      </c>
      <c r="B3148" t="inlineStr">
        <is>
          <t>C0647</t>
        </is>
      </c>
      <c r="C3148" t="n">
        <v>3</v>
      </c>
      <c r="D3148" t="inlineStr">
        <is>
          <t>Hub A</t>
        </is>
      </c>
      <c r="E3148" t="n">
        <v>27</v>
      </c>
      <c r="F3148" t="n">
        <v>47.544</v>
      </c>
    </row>
    <row r="3149">
      <c r="A3149" t="inlineStr">
        <is>
          <t>ORD03148</t>
        </is>
      </c>
      <c r="B3149" t="inlineStr">
        <is>
          <t>C0648</t>
        </is>
      </c>
      <c r="C3149" t="n">
        <v>1</v>
      </c>
      <c r="D3149" t="inlineStr">
        <is>
          <t>Hub A</t>
        </is>
      </c>
      <c r="E3149" t="n">
        <v>34</v>
      </c>
      <c r="F3149" t="n">
        <v>47.544</v>
      </c>
    </row>
    <row r="3150">
      <c r="A3150" t="inlineStr">
        <is>
          <t>ORD03149</t>
        </is>
      </c>
      <c r="B3150" t="inlineStr">
        <is>
          <t>C0649</t>
        </is>
      </c>
      <c r="C3150" t="n">
        <v>2</v>
      </c>
      <c r="D3150" t="inlineStr">
        <is>
          <t>Hub A</t>
        </is>
      </c>
      <c r="E3150" t="n">
        <v>41</v>
      </c>
      <c r="F3150" t="n">
        <v>47.544</v>
      </c>
    </row>
    <row r="3151">
      <c r="A3151" t="inlineStr">
        <is>
          <t>ORD03150</t>
        </is>
      </c>
      <c r="B3151" t="inlineStr">
        <is>
          <t>C0650</t>
        </is>
      </c>
      <c r="C3151" t="n">
        <v>3</v>
      </c>
      <c r="D3151" t="inlineStr">
        <is>
          <t>Hub A</t>
        </is>
      </c>
      <c r="E3151" t="n">
        <v>48</v>
      </c>
      <c r="F3151" t="n">
        <v>47.544</v>
      </c>
    </row>
    <row r="3152">
      <c r="A3152" t="inlineStr">
        <is>
          <t>ORD03151</t>
        </is>
      </c>
      <c r="B3152" t="inlineStr">
        <is>
          <t>C0651</t>
        </is>
      </c>
      <c r="C3152" t="n">
        <v>1</v>
      </c>
      <c r="D3152" t="inlineStr">
        <is>
          <t>Hub A</t>
        </is>
      </c>
      <c r="E3152" t="n">
        <v>55</v>
      </c>
      <c r="F3152" t="n">
        <v>47.544</v>
      </c>
    </row>
    <row r="3153">
      <c r="A3153" t="inlineStr">
        <is>
          <t>ORD03152</t>
        </is>
      </c>
      <c r="B3153" t="inlineStr">
        <is>
          <t>C0652</t>
        </is>
      </c>
      <c r="C3153" t="n">
        <v>2</v>
      </c>
      <c r="D3153" t="inlineStr">
        <is>
          <t>Hub A</t>
        </is>
      </c>
      <c r="E3153" t="n">
        <v>62</v>
      </c>
      <c r="F3153" t="n">
        <v>47.544</v>
      </c>
    </row>
    <row r="3154">
      <c r="A3154" t="inlineStr">
        <is>
          <t>ORD03153</t>
        </is>
      </c>
      <c r="B3154" t="inlineStr">
        <is>
          <t>C0653</t>
        </is>
      </c>
      <c r="C3154" t="n">
        <v>3</v>
      </c>
      <c r="D3154" t="inlineStr">
        <is>
          <t>Hub A</t>
        </is>
      </c>
      <c r="E3154" t="n">
        <v>69</v>
      </c>
      <c r="F3154" t="n">
        <v>47.544</v>
      </c>
    </row>
    <row r="3155">
      <c r="A3155" t="inlineStr">
        <is>
          <t>ORD03154</t>
        </is>
      </c>
      <c r="B3155" t="inlineStr">
        <is>
          <t>C0654</t>
        </is>
      </c>
      <c r="C3155" t="n">
        <v>1</v>
      </c>
      <c r="D3155" t="inlineStr">
        <is>
          <t>Hub A</t>
        </is>
      </c>
      <c r="E3155" t="n">
        <v>76</v>
      </c>
      <c r="F3155" t="n">
        <v>47.544</v>
      </c>
    </row>
    <row r="3156">
      <c r="A3156" t="inlineStr">
        <is>
          <t>ORD03155</t>
        </is>
      </c>
      <c r="B3156" t="inlineStr">
        <is>
          <t>C0655</t>
        </is>
      </c>
      <c r="C3156" t="n">
        <v>2</v>
      </c>
      <c r="D3156" t="inlineStr">
        <is>
          <t>Hub A</t>
        </is>
      </c>
      <c r="E3156" t="n">
        <v>23</v>
      </c>
      <c r="F3156" t="n">
        <v>47.544</v>
      </c>
    </row>
    <row r="3157">
      <c r="A3157" t="inlineStr">
        <is>
          <t>ORD03156</t>
        </is>
      </c>
      <c r="B3157" t="inlineStr">
        <is>
          <t>C0656</t>
        </is>
      </c>
      <c r="C3157" t="n">
        <v>3</v>
      </c>
      <c r="D3157" t="inlineStr">
        <is>
          <t>Hub A</t>
        </is>
      </c>
      <c r="E3157" t="n">
        <v>30</v>
      </c>
      <c r="F3157" t="n">
        <v>47.544</v>
      </c>
    </row>
    <row r="3158">
      <c r="A3158" t="inlineStr">
        <is>
          <t>ORD03157</t>
        </is>
      </c>
      <c r="B3158" t="inlineStr">
        <is>
          <t>C0657</t>
        </is>
      </c>
      <c r="C3158" t="n">
        <v>1</v>
      </c>
      <c r="D3158" t="inlineStr">
        <is>
          <t>Hub A</t>
        </is>
      </c>
      <c r="E3158" t="n">
        <v>37</v>
      </c>
      <c r="F3158" t="n">
        <v>47.544</v>
      </c>
    </row>
    <row r="3159">
      <c r="A3159" t="inlineStr">
        <is>
          <t>ORD03158</t>
        </is>
      </c>
      <c r="B3159" t="inlineStr">
        <is>
          <t>C0658</t>
        </is>
      </c>
      <c r="C3159" t="n">
        <v>2</v>
      </c>
      <c r="D3159" t="inlineStr">
        <is>
          <t>Hub A</t>
        </is>
      </c>
      <c r="E3159" t="n">
        <v>44</v>
      </c>
      <c r="F3159" t="n">
        <v>47.544</v>
      </c>
    </row>
    <row r="3160">
      <c r="A3160" t="inlineStr">
        <is>
          <t>ORD03159</t>
        </is>
      </c>
      <c r="B3160" t="inlineStr">
        <is>
          <t>C0659</t>
        </is>
      </c>
      <c r="C3160" t="n">
        <v>3</v>
      </c>
      <c r="D3160" t="inlineStr">
        <is>
          <t>Hub A</t>
        </is>
      </c>
      <c r="E3160" t="n">
        <v>51</v>
      </c>
      <c r="F3160" t="n">
        <v>47.544</v>
      </c>
    </row>
    <row r="3161">
      <c r="A3161" t="inlineStr">
        <is>
          <t>ORD03160</t>
        </is>
      </c>
      <c r="B3161" t="inlineStr">
        <is>
          <t>C0660</t>
        </is>
      </c>
      <c r="C3161" t="n">
        <v>1</v>
      </c>
      <c r="D3161" t="inlineStr">
        <is>
          <t>Hub A</t>
        </is>
      </c>
      <c r="E3161" t="n">
        <v>58</v>
      </c>
      <c r="F3161" t="n">
        <v>47.544</v>
      </c>
    </row>
    <row r="3162">
      <c r="A3162" t="inlineStr">
        <is>
          <t>ORD03161</t>
        </is>
      </c>
      <c r="B3162" t="inlineStr">
        <is>
          <t>C0661</t>
        </is>
      </c>
      <c r="C3162" t="n">
        <v>2</v>
      </c>
      <c r="D3162" t="inlineStr">
        <is>
          <t>Hub A</t>
        </is>
      </c>
      <c r="E3162" t="n">
        <v>65</v>
      </c>
      <c r="F3162" t="n">
        <v>47.544</v>
      </c>
    </row>
    <row r="3163">
      <c r="A3163" t="inlineStr">
        <is>
          <t>ORD03162</t>
        </is>
      </c>
      <c r="B3163" t="inlineStr">
        <is>
          <t>C0662</t>
        </is>
      </c>
      <c r="C3163" t="n">
        <v>3</v>
      </c>
      <c r="D3163" t="inlineStr">
        <is>
          <t>Hub A</t>
        </is>
      </c>
      <c r="E3163" t="n">
        <v>72</v>
      </c>
      <c r="F3163" t="n">
        <v>47.544</v>
      </c>
    </row>
    <row r="3164">
      <c r="A3164" t="inlineStr">
        <is>
          <t>ORD03163</t>
        </is>
      </c>
      <c r="B3164" t="inlineStr">
        <is>
          <t>C0663</t>
        </is>
      </c>
      <c r="C3164" t="n">
        <v>1</v>
      </c>
      <c r="D3164" t="inlineStr">
        <is>
          <t>Hub A</t>
        </is>
      </c>
      <c r="E3164" t="n">
        <v>19</v>
      </c>
      <c r="F3164" t="n">
        <v>47.544</v>
      </c>
    </row>
    <row r="3165">
      <c r="A3165" t="inlineStr">
        <is>
          <t>ORD03164</t>
        </is>
      </c>
      <c r="B3165" t="inlineStr">
        <is>
          <t>C0664</t>
        </is>
      </c>
      <c r="C3165" t="n">
        <v>2</v>
      </c>
      <c r="D3165" t="inlineStr">
        <is>
          <t>Hub A</t>
        </is>
      </c>
      <c r="E3165" t="n">
        <v>26</v>
      </c>
      <c r="F3165" t="n">
        <v>47.544</v>
      </c>
    </row>
    <row r="3166">
      <c r="A3166" t="inlineStr">
        <is>
          <t>ORD03165</t>
        </is>
      </c>
      <c r="B3166" t="inlineStr">
        <is>
          <t>C0665</t>
        </is>
      </c>
      <c r="C3166" t="n">
        <v>3</v>
      </c>
      <c r="D3166" t="inlineStr">
        <is>
          <t>Hub A</t>
        </is>
      </c>
      <c r="E3166" t="n">
        <v>33</v>
      </c>
      <c r="F3166" t="n">
        <v>47.544</v>
      </c>
    </row>
    <row r="3167">
      <c r="A3167" t="inlineStr">
        <is>
          <t>ORD03166</t>
        </is>
      </c>
      <c r="B3167" t="inlineStr">
        <is>
          <t>C0666</t>
        </is>
      </c>
      <c r="C3167" t="n">
        <v>1</v>
      </c>
      <c r="D3167" t="inlineStr">
        <is>
          <t>Hub A</t>
        </is>
      </c>
      <c r="E3167" t="n">
        <v>40</v>
      </c>
      <c r="F3167" t="n">
        <v>47.544</v>
      </c>
    </row>
    <row r="3168">
      <c r="A3168" t="inlineStr">
        <is>
          <t>ORD03167</t>
        </is>
      </c>
      <c r="B3168" t="inlineStr">
        <is>
          <t>C0667</t>
        </is>
      </c>
      <c r="C3168" t="n">
        <v>2</v>
      </c>
      <c r="D3168" t="inlineStr">
        <is>
          <t>Hub A</t>
        </is>
      </c>
      <c r="E3168" t="n">
        <v>47</v>
      </c>
      <c r="F3168" t="n">
        <v>47.544</v>
      </c>
    </row>
    <row r="3169">
      <c r="A3169" t="inlineStr">
        <is>
          <t>ORD03168</t>
        </is>
      </c>
      <c r="B3169" t="inlineStr">
        <is>
          <t>C0668</t>
        </is>
      </c>
      <c r="C3169" t="n">
        <v>3</v>
      </c>
      <c r="D3169" t="inlineStr">
        <is>
          <t>Hub A</t>
        </is>
      </c>
      <c r="E3169" t="n">
        <v>54</v>
      </c>
      <c r="F3169" t="n">
        <v>47.544</v>
      </c>
    </row>
    <row r="3170">
      <c r="A3170" t="inlineStr">
        <is>
          <t>ORD03169</t>
        </is>
      </c>
      <c r="B3170" t="inlineStr">
        <is>
          <t>C0669</t>
        </is>
      </c>
      <c r="C3170" t="n">
        <v>1</v>
      </c>
      <c r="D3170" t="inlineStr">
        <is>
          <t>Hub A</t>
        </is>
      </c>
      <c r="E3170" t="n">
        <v>61</v>
      </c>
      <c r="F3170" t="n">
        <v>47.544</v>
      </c>
    </row>
    <row r="3171">
      <c r="A3171" t="inlineStr">
        <is>
          <t>ORD03170</t>
        </is>
      </c>
      <c r="B3171" t="inlineStr">
        <is>
          <t>C0670</t>
        </is>
      </c>
      <c r="C3171" t="n">
        <v>2</v>
      </c>
      <c r="D3171" t="inlineStr">
        <is>
          <t>Hub A</t>
        </is>
      </c>
      <c r="E3171" t="n">
        <v>68</v>
      </c>
      <c r="F3171" t="n">
        <v>47.544</v>
      </c>
    </row>
    <row r="3172">
      <c r="A3172" t="inlineStr">
        <is>
          <t>ORD03171</t>
        </is>
      </c>
      <c r="B3172" t="inlineStr">
        <is>
          <t>C0671</t>
        </is>
      </c>
      <c r="C3172" t="n">
        <v>3</v>
      </c>
      <c r="D3172" t="inlineStr">
        <is>
          <t>Hub A</t>
        </is>
      </c>
      <c r="E3172" t="n">
        <v>75</v>
      </c>
      <c r="F3172" t="n">
        <v>47.544</v>
      </c>
    </row>
    <row r="3173">
      <c r="A3173" t="inlineStr">
        <is>
          <t>ORD03172</t>
        </is>
      </c>
      <c r="B3173" t="inlineStr">
        <is>
          <t>C0672</t>
        </is>
      </c>
      <c r="C3173" t="n">
        <v>1</v>
      </c>
      <c r="D3173" t="inlineStr">
        <is>
          <t>Hub A</t>
        </is>
      </c>
      <c r="E3173" t="n">
        <v>22</v>
      </c>
      <c r="F3173" t="n">
        <v>47.544</v>
      </c>
    </row>
    <row r="3174">
      <c r="A3174" t="inlineStr">
        <is>
          <t>ORD03173</t>
        </is>
      </c>
      <c r="B3174" t="inlineStr">
        <is>
          <t>C0673</t>
        </is>
      </c>
      <c r="C3174" t="n">
        <v>2</v>
      </c>
      <c r="D3174" t="inlineStr">
        <is>
          <t>Hub A</t>
        </is>
      </c>
      <c r="E3174" t="n">
        <v>29</v>
      </c>
      <c r="F3174" t="n">
        <v>47.544</v>
      </c>
    </row>
    <row r="3175">
      <c r="A3175" t="inlineStr">
        <is>
          <t>ORD03174</t>
        </is>
      </c>
      <c r="B3175" t="inlineStr">
        <is>
          <t>C0674</t>
        </is>
      </c>
      <c r="C3175" t="n">
        <v>3</v>
      </c>
      <c r="D3175" t="inlineStr">
        <is>
          <t>Hub A</t>
        </is>
      </c>
      <c r="E3175" t="n">
        <v>36</v>
      </c>
      <c r="F3175" t="n">
        <v>47.544</v>
      </c>
    </row>
    <row r="3176">
      <c r="A3176" t="inlineStr">
        <is>
          <t>ORD03175</t>
        </is>
      </c>
      <c r="B3176" t="inlineStr">
        <is>
          <t>C0675</t>
        </is>
      </c>
      <c r="C3176" t="n">
        <v>1</v>
      </c>
      <c r="D3176" t="inlineStr">
        <is>
          <t>Hub A</t>
        </is>
      </c>
      <c r="E3176" t="n">
        <v>43</v>
      </c>
      <c r="F3176" t="n">
        <v>47.544</v>
      </c>
    </row>
    <row r="3177">
      <c r="A3177" t="inlineStr">
        <is>
          <t>ORD03176</t>
        </is>
      </c>
      <c r="B3177" t="inlineStr">
        <is>
          <t>C0676</t>
        </is>
      </c>
      <c r="C3177" t="n">
        <v>2</v>
      </c>
      <c r="D3177" t="inlineStr">
        <is>
          <t>Hub A</t>
        </is>
      </c>
      <c r="E3177" t="n">
        <v>50</v>
      </c>
      <c r="F3177" t="n">
        <v>47.544</v>
      </c>
    </row>
    <row r="3178">
      <c r="A3178" t="inlineStr">
        <is>
          <t>ORD03177</t>
        </is>
      </c>
      <c r="B3178" t="inlineStr">
        <is>
          <t>C0677</t>
        </is>
      </c>
      <c r="C3178" t="n">
        <v>3</v>
      </c>
      <c r="D3178" t="inlineStr">
        <is>
          <t>Hub A</t>
        </is>
      </c>
      <c r="E3178" t="n">
        <v>57</v>
      </c>
      <c r="F3178" t="n">
        <v>47.544</v>
      </c>
    </row>
    <row r="3179">
      <c r="A3179" t="inlineStr">
        <is>
          <t>ORD03178</t>
        </is>
      </c>
      <c r="B3179" t="inlineStr">
        <is>
          <t>C0678</t>
        </is>
      </c>
      <c r="C3179" t="n">
        <v>1</v>
      </c>
      <c r="D3179" t="inlineStr">
        <is>
          <t>Hub A</t>
        </is>
      </c>
      <c r="E3179" t="n">
        <v>64</v>
      </c>
      <c r="F3179" t="n">
        <v>47.544</v>
      </c>
    </row>
    <row r="3180">
      <c r="A3180" t="inlineStr">
        <is>
          <t>ORD03179</t>
        </is>
      </c>
      <c r="B3180" t="inlineStr">
        <is>
          <t>C0679</t>
        </is>
      </c>
      <c r="C3180" t="n">
        <v>2</v>
      </c>
      <c r="D3180" t="inlineStr">
        <is>
          <t>Hub A</t>
        </is>
      </c>
      <c r="E3180" t="n">
        <v>71</v>
      </c>
      <c r="F3180" t="n">
        <v>47.544</v>
      </c>
    </row>
    <row r="3181">
      <c r="A3181" t="inlineStr">
        <is>
          <t>ORD03180</t>
        </is>
      </c>
      <c r="B3181" t="inlineStr">
        <is>
          <t>C0680</t>
        </is>
      </c>
      <c r="C3181" t="n">
        <v>3</v>
      </c>
      <c r="D3181" t="inlineStr">
        <is>
          <t>Hub A</t>
        </is>
      </c>
      <c r="E3181" t="n">
        <v>18</v>
      </c>
      <c r="F3181" t="n">
        <v>47.544</v>
      </c>
    </row>
    <row r="3182">
      <c r="A3182" t="inlineStr">
        <is>
          <t>ORD03181</t>
        </is>
      </c>
      <c r="B3182" t="inlineStr">
        <is>
          <t>C0681</t>
        </is>
      </c>
      <c r="C3182" t="n">
        <v>1</v>
      </c>
      <c r="D3182" t="inlineStr">
        <is>
          <t>Hub A</t>
        </is>
      </c>
      <c r="E3182" t="n">
        <v>25</v>
      </c>
      <c r="F3182" t="n">
        <v>47.544</v>
      </c>
    </row>
    <row r="3183">
      <c r="A3183" t="inlineStr">
        <is>
          <t>ORD03182</t>
        </is>
      </c>
      <c r="B3183" t="inlineStr">
        <is>
          <t>C0682</t>
        </is>
      </c>
      <c r="C3183" t="n">
        <v>2</v>
      </c>
      <c r="D3183" t="inlineStr">
        <is>
          <t>Hub A</t>
        </is>
      </c>
      <c r="E3183" t="n">
        <v>32</v>
      </c>
      <c r="F3183" t="n">
        <v>47.544</v>
      </c>
    </row>
    <row r="3184">
      <c r="A3184" t="inlineStr">
        <is>
          <t>ORD03183</t>
        </is>
      </c>
      <c r="B3184" t="inlineStr">
        <is>
          <t>C0683</t>
        </is>
      </c>
      <c r="C3184" t="n">
        <v>3</v>
      </c>
      <c r="D3184" t="inlineStr">
        <is>
          <t>Hub A</t>
        </is>
      </c>
      <c r="E3184" t="n">
        <v>39</v>
      </c>
      <c r="F3184" t="n">
        <v>47.544</v>
      </c>
    </row>
    <row r="3185">
      <c r="A3185" t="inlineStr">
        <is>
          <t>ORD03184</t>
        </is>
      </c>
      <c r="B3185" t="inlineStr">
        <is>
          <t>C0684</t>
        </is>
      </c>
      <c r="C3185" t="n">
        <v>1</v>
      </c>
      <c r="D3185" t="inlineStr">
        <is>
          <t>Hub A</t>
        </is>
      </c>
      <c r="E3185" t="n">
        <v>46</v>
      </c>
      <c r="F3185" t="n">
        <v>47.544</v>
      </c>
    </row>
    <row r="3186">
      <c r="A3186" t="inlineStr">
        <is>
          <t>ORD03185</t>
        </is>
      </c>
      <c r="B3186" t="inlineStr">
        <is>
          <t>C0685</t>
        </is>
      </c>
      <c r="C3186" t="n">
        <v>2</v>
      </c>
      <c r="D3186" t="inlineStr">
        <is>
          <t>Hub A</t>
        </is>
      </c>
      <c r="E3186" t="n">
        <v>53</v>
      </c>
      <c r="F3186" t="n">
        <v>47.544</v>
      </c>
    </row>
    <row r="3187">
      <c r="A3187" t="inlineStr">
        <is>
          <t>ORD03186</t>
        </is>
      </c>
      <c r="B3187" t="inlineStr">
        <is>
          <t>C0686</t>
        </is>
      </c>
      <c r="C3187" t="n">
        <v>3</v>
      </c>
      <c r="D3187" t="inlineStr">
        <is>
          <t>Hub A</t>
        </is>
      </c>
      <c r="E3187" t="n">
        <v>60</v>
      </c>
      <c r="F3187" t="n">
        <v>47.544</v>
      </c>
    </row>
    <row r="3188">
      <c r="A3188" t="inlineStr">
        <is>
          <t>ORD03187</t>
        </is>
      </c>
      <c r="B3188" t="inlineStr">
        <is>
          <t>C0687</t>
        </is>
      </c>
      <c r="C3188" t="n">
        <v>1</v>
      </c>
      <c r="D3188" t="inlineStr">
        <is>
          <t>Hub A</t>
        </is>
      </c>
      <c r="E3188" t="n">
        <v>67</v>
      </c>
      <c r="F3188" t="n">
        <v>47.544</v>
      </c>
    </row>
    <row r="3189">
      <c r="A3189" t="inlineStr">
        <is>
          <t>ORD03188</t>
        </is>
      </c>
      <c r="B3189" t="inlineStr">
        <is>
          <t>C0688</t>
        </is>
      </c>
      <c r="C3189" t="n">
        <v>2</v>
      </c>
      <c r="D3189" t="inlineStr">
        <is>
          <t>Hub A</t>
        </is>
      </c>
      <c r="E3189" t="n">
        <v>74</v>
      </c>
      <c r="F3189" t="n">
        <v>47.544</v>
      </c>
    </row>
    <row r="3190">
      <c r="A3190" t="inlineStr">
        <is>
          <t>ORD03189</t>
        </is>
      </c>
      <c r="B3190" t="inlineStr">
        <is>
          <t>C0689</t>
        </is>
      </c>
      <c r="C3190" t="n">
        <v>3</v>
      </c>
      <c r="D3190" t="inlineStr">
        <is>
          <t>Hub A</t>
        </is>
      </c>
      <c r="E3190" t="n">
        <v>21</v>
      </c>
      <c r="F3190" t="n">
        <v>47.544</v>
      </c>
    </row>
    <row r="3191">
      <c r="A3191" t="inlineStr">
        <is>
          <t>ORD03190</t>
        </is>
      </c>
      <c r="B3191" t="inlineStr">
        <is>
          <t>C0690</t>
        </is>
      </c>
      <c r="C3191" t="n">
        <v>1</v>
      </c>
      <c r="D3191" t="inlineStr">
        <is>
          <t>Hub A</t>
        </is>
      </c>
      <c r="E3191" t="n">
        <v>28</v>
      </c>
      <c r="F3191" t="n">
        <v>47.544</v>
      </c>
    </row>
    <row r="3192">
      <c r="A3192" t="inlineStr">
        <is>
          <t>ORD03191</t>
        </is>
      </c>
      <c r="B3192" t="inlineStr">
        <is>
          <t>C0691</t>
        </is>
      </c>
      <c r="C3192" t="n">
        <v>2</v>
      </c>
      <c r="D3192" t="inlineStr">
        <is>
          <t>Hub A</t>
        </is>
      </c>
      <c r="E3192" t="n">
        <v>35</v>
      </c>
      <c r="F3192" t="n">
        <v>47.544</v>
      </c>
    </row>
    <row r="3193">
      <c r="A3193" t="inlineStr">
        <is>
          <t>ORD03192</t>
        </is>
      </c>
      <c r="B3193" t="inlineStr">
        <is>
          <t>C0692</t>
        </is>
      </c>
      <c r="C3193" t="n">
        <v>3</v>
      </c>
      <c r="D3193" t="inlineStr">
        <is>
          <t>Hub A</t>
        </is>
      </c>
      <c r="E3193" t="n">
        <v>42</v>
      </c>
      <c r="F3193" t="n">
        <v>47.544</v>
      </c>
    </row>
    <row r="3194">
      <c r="A3194" t="inlineStr">
        <is>
          <t>ORD03193</t>
        </is>
      </c>
      <c r="B3194" t="inlineStr">
        <is>
          <t>C0693</t>
        </is>
      </c>
      <c r="C3194" t="n">
        <v>1</v>
      </c>
      <c r="D3194" t="inlineStr">
        <is>
          <t>Hub A</t>
        </is>
      </c>
      <c r="E3194" t="n">
        <v>49</v>
      </c>
      <c r="F3194" t="n">
        <v>47.544</v>
      </c>
    </row>
    <row r="3195">
      <c r="A3195" t="inlineStr">
        <is>
          <t>ORD03194</t>
        </is>
      </c>
      <c r="B3195" t="inlineStr">
        <is>
          <t>C0694</t>
        </is>
      </c>
      <c r="C3195" t="n">
        <v>2</v>
      </c>
      <c r="D3195" t="inlineStr">
        <is>
          <t>Hub A</t>
        </is>
      </c>
      <c r="E3195" t="n">
        <v>56</v>
      </c>
      <c r="F3195" t="n">
        <v>47.544</v>
      </c>
    </row>
    <row r="3196">
      <c r="A3196" t="inlineStr">
        <is>
          <t>ORD03195</t>
        </is>
      </c>
      <c r="B3196" t="inlineStr">
        <is>
          <t>C0695</t>
        </is>
      </c>
      <c r="C3196" t="n">
        <v>3</v>
      </c>
      <c r="D3196" t="inlineStr">
        <is>
          <t>Hub A</t>
        </is>
      </c>
      <c r="E3196" t="n">
        <v>63</v>
      </c>
      <c r="F3196" t="n">
        <v>47.544</v>
      </c>
    </row>
    <row r="3197">
      <c r="A3197" t="inlineStr">
        <is>
          <t>ORD03196</t>
        </is>
      </c>
      <c r="B3197" t="inlineStr">
        <is>
          <t>C0696</t>
        </is>
      </c>
      <c r="C3197" t="n">
        <v>1</v>
      </c>
      <c r="D3197" t="inlineStr">
        <is>
          <t>Hub A</t>
        </is>
      </c>
      <c r="E3197" t="n">
        <v>70</v>
      </c>
      <c r="F3197" t="n">
        <v>47.544</v>
      </c>
    </row>
    <row r="3198">
      <c r="A3198" t="inlineStr">
        <is>
          <t>ORD03197</t>
        </is>
      </c>
      <c r="B3198" t="inlineStr">
        <is>
          <t>C0697</t>
        </is>
      </c>
      <c r="C3198" t="n">
        <v>2</v>
      </c>
      <c r="D3198" t="inlineStr">
        <is>
          <t>Hub A</t>
        </is>
      </c>
      <c r="E3198" t="n">
        <v>77</v>
      </c>
      <c r="F3198" t="n">
        <v>47.544</v>
      </c>
    </row>
    <row r="3199">
      <c r="A3199" t="inlineStr">
        <is>
          <t>ORD03198</t>
        </is>
      </c>
      <c r="B3199" t="inlineStr">
        <is>
          <t>C0698</t>
        </is>
      </c>
      <c r="C3199" t="n">
        <v>3</v>
      </c>
      <c r="D3199" t="inlineStr">
        <is>
          <t>Hub A</t>
        </is>
      </c>
      <c r="E3199" t="n">
        <v>24</v>
      </c>
      <c r="F3199" t="n">
        <v>47.544</v>
      </c>
    </row>
    <row r="3200">
      <c r="A3200" t="inlineStr">
        <is>
          <t>ORD03199</t>
        </is>
      </c>
      <c r="B3200" t="inlineStr">
        <is>
          <t>C0699</t>
        </is>
      </c>
      <c r="C3200" t="n">
        <v>1</v>
      </c>
      <c r="D3200" t="inlineStr">
        <is>
          <t>Hub A</t>
        </is>
      </c>
      <c r="E3200" t="n">
        <v>31</v>
      </c>
      <c r="F3200" t="n">
        <v>47.544</v>
      </c>
    </row>
    <row r="3201">
      <c r="A3201" t="inlineStr">
        <is>
          <t>ORD03200</t>
        </is>
      </c>
      <c r="B3201" t="inlineStr">
        <is>
          <t>C0700</t>
        </is>
      </c>
      <c r="C3201" t="n">
        <v>2</v>
      </c>
      <c r="D3201" t="inlineStr">
        <is>
          <t>Hub A</t>
        </is>
      </c>
      <c r="E3201" t="n">
        <v>38</v>
      </c>
      <c r="F3201" t="n">
        <v>47.544</v>
      </c>
    </row>
    <row r="3202">
      <c r="A3202" t="inlineStr">
        <is>
          <t>ORD03201</t>
        </is>
      </c>
      <c r="B3202" t="inlineStr">
        <is>
          <t>C0701</t>
        </is>
      </c>
      <c r="C3202" t="n">
        <v>3</v>
      </c>
      <c r="D3202" t="inlineStr">
        <is>
          <t>Hub A</t>
        </is>
      </c>
      <c r="E3202" t="n">
        <v>45</v>
      </c>
      <c r="F3202" t="n">
        <v>47.544</v>
      </c>
    </row>
    <row r="3203">
      <c r="A3203" t="inlineStr">
        <is>
          <t>ORD03202</t>
        </is>
      </c>
      <c r="B3203" t="inlineStr">
        <is>
          <t>C0702</t>
        </is>
      </c>
      <c r="C3203" t="n">
        <v>1</v>
      </c>
      <c r="D3203" t="inlineStr">
        <is>
          <t>Hub A</t>
        </is>
      </c>
      <c r="E3203" t="n">
        <v>52</v>
      </c>
      <c r="F3203" t="n">
        <v>47.544</v>
      </c>
    </row>
    <row r="3204">
      <c r="A3204" t="inlineStr">
        <is>
          <t>ORD03203</t>
        </is>
      </c>
      <c r="B3204" t="inlineStr">
        <is>
          <t>C0703</t>
        </is>
      </c>
      <c r="C3204" t="n">
        <v>2</v>
      </c>
      <c r="D3204" t="inlineStr">
        <is>
          <t>Hub A</t>
        </is>
      </c>
      <c r="E3204" t="n">
        <v>59</v>
      </c>
      <c r="F3204" t="n">
        <v>47.544</v>
      </c>
    </row>
    <row r="3205">
      <c r="A3205" t="inlineStr">
        <is>
          <t>ORD03204</t>
        </is>
      </c>
      <c r="B3205" t="inlineStr">
        <is>
          <t>C0704</t>
        </is>
      </c>
      <c r="C3205" t="n">
        <v>3</v>
      </c>
      <c r="D3205" t="inlineStr">
        <is>
          <t>Hub A</t>
        </is>
      </c>
      <c r="E3205" t="n">
        <v>66</v>
      </c>
      <c r="F3205" t="n">
        <v>47.544</v>
      </c>
    </row>
    <row r="3206">
      <c r="A3206" t="inlineStr">
        <is>
          <t>ORD03205</t>
        </is>
      </c>
      <c r="B3206" t="inlineStr">
        <is>
          <t>C0705</t>
        </is>
      </c>
      <c r="C3206" t="n">
        <v>1</v>
      </c>
      <c r="D3206" t="inlineStr">
        <is>
          <t>Hub A</t>
        </is>
      </c>
      <c r="E3206" t="n">
        <v>73</v>
      </c>
      <c r="F3206" t="n">
        <v>47.544</v>
      </c>
    </row>
    <row r="3207">
      <c r="A3207" t="inlineStr">
        <is>
          <t>ORD03206</t>
        </is>
      </c>
      <c r="B3207" t="inlineStr">
        <is>
          <t>C0706</t>
        </is>
      </c>
      <c r="C3207" t="n">
        <v>2</v>
      </c>
      <c r="D3207" t="inlineStr">
        <is>
          <t>Hub A</t>
        </is>
      </c>
      <c r="E3207" t="n">
        <v>20</v>
      </c>
      <c r="F3207" t="n">
        <v>47.544</v>
      </c>
    </row>
    <row r="3208">
      <c r="A3208" t="inlineStr">
        <is>
          <t>ORD03207</t>
        </is>
      </c>
      <c r="B3208" t="inlineStr">
        <is>
          <t>C0707</t>
        </is>
      </c>
      <c r="C3208" t="n">
        <v>3</v>
      </c>
      <c r="D3208" t="inlineStr">
        <is>
          <t>Hub A</t>
        </is>
      </c>
      <c r="E3208" t="n">
        <v>27</v>
      </c>
      <c r="F3208" t="n">
        <v>47.544</v>
      </c>
    </row>
    <row r="3209">
      <c r="A3209" t="inlineStr">
        <is>
          <t>ORD03208</t>
        </is>
      </c>
      <c r="B3209" t="inlineStr">
        <is>
          <t>C0708</t>
        </is>
      </c>
      <c r="C3209" t="n">
        <v>1</v>
      </c>
      <c r="D3209" t="inlineStr">
        <is>
          <t>Hub A</t>
        </is>
      </c>
      <c r="E3209" t="n">
        <v>34</v>
      </c>
      <c r="F3209" t="n">
        <v>47.544</v>
      </c>
    </row>
    <row r="3210">
      <c r="A3210" t="inlineStr">
        <is>
          <t>ORD03209</t>
        </is>
      </c>
      <c r="B3210" t="inlineStr">
        <is>
          <t>C0709</t>
        </is>
      </c>
      <c r="C3210" t="n">
        <v>2</v>
      </c>
      <c r="D3210" t="inlineStr">
        <is>
          <t>Hub A</t>
        </is>
      </c>
      <c r="E3210" t="n">
        <v>41</v>
      </c>
      <c r="F3210" t="n">
        <v>47.544</v>
      </c>
    </row>
    <row r="3211">
      <c r="A3211" t="inlineStr">
        <is>
          <t>ORD03210</t>
        </is>
      </c>
      <c r="B3211" t="inlineStr">
        <is>
          <t>C0710</t>
        </is>
      </c>
      <c r="C3211" t="n">
        <v>3</v>
      </c>
      <c r="D3211" t="inlineStr">
        <is>
          <t>Hub A</t>
        </is>
      </c>
      <c r="E3211" t="n">
        <v>48</v>
      </c>
      <c r="F3211" t="n">
        <v>47.544</v>
      </c>
    </row>
    <row r="3212">
      <c r="A3212" t="inlineStr">
        <is>
          <t>ORD03211</t>
        </is>
      </c>
      <c r="B3212" t="inlineStr">
        <is>
          <t>C0711</t>
        </is>
      </c>
      <c r="C3212" t="n">
        <v>1</v>
      </c>
      <c r="D3212" t="inlineStr">
        <is>
          <t>Hub A</t>
        </is>
      </c>
      <c r="E3212" t="n">
        <v>55</v>
      </c>
      <c r="F3212" t="n">
        <v>47.544</v>
      </c>
    </row>
    <row r="3213">
      <c r="A3213" t="inlineStr">
        <is>
          <t>ORD03212</t>
        </is>
      </c>
      <c r="B3213" t="inlineStr">
        <is>
          <t>C0712</t>
        </is>
      </c>
      <c r="C3213" t="n">
        <v>2</v>
      </c>
      <c r="D3213" t="inlineStr">
        <is>
          <t>Hub A</t>
        </is>
      </c>
      <c r="E3213" t="n">
        <v>62</v>
      </c>
      <c r="F3213" t="n">
        <v>47.544</v>
      </c>
    </row>
    <row r="3214">
      <c r="A3214" t="inlineStr">
        <is>
          <t>ORD03213</t>
        </is>
      </c>
      <c r="B3214" t="inlineStr">
        <is>
          <t>C0713</t>
        </is>
      </c>
      <c r="C3214" t="n">
        <v>3</v>
      </c>
      <c r="D3214" t="inlineStr">
        <is>
          <t>Hub A</t>
        </is>
      </c>
      <c r="E3214" t="n">
        <v>69</v>
      </c>
      <c r="F3214" t="n">
        <v>47.544</v>
      </c>
    </row>
    <row r="3215">
      <c r="A3215" t="inlineStr">
        <is>
          <t>ORD03214</t>
        </is>
      </c>
      <c r="B3215" t="inlineStr">
        <is>
          <t>C0714</t>
        </is>
      </c>
      <c r="C3215" t="n">
        <v>1</v>
      </c>
      <c r="D3215" t="inlineStr">
        <is>
          <t>Hub A</t>
        </is>
      </c>
      <c r="E3215" t="n">
        <v>76</v>
      </c>
      <c r="F3215" t="n">
        <v>47.544</v>
      </c>
    </row>
    <row r="3216">
      <c r="A3216" t="inlineStr">
        <is>
          <t>ORD03215</t>
        </is>
      </c>
      <c r="B3216" t="inlineStr">
        <is>
          <t>C0715</t>
        </is>
      </c>
      <c r="C3216" t="n">
        <v>2</v>
      </c>
      <c r="D3216" t="inlineStr">
        <is>
          <t>Hub A</t>
        </is>
      </c>
      <c r="E3216" t="n">
        <v>23</v>
      </c>
      <c r="F3216" t="n">
        <v>47.544</v>
      </c>
    </row>
    <row r="3217">
      <c r="A3217" t="inlineStr">
        <is>
          <t>ORD03216</t>
        </is>
      </c>
      <c r="B3217" t="inlineStr">
        <is>
          <t>C0716</t>
        </is>
      </c>
      <c r="C3217" t="n">
        <v>3</v>
      </c>
      <c r="D3217" t="inlineStr">
        <is>
          <t>Hub A</t>
        </is>
      </c>
      <c r="E3217" t="n">
        <v>30</v>
      </c>
      <c r="F3217" t="n">
        <v>47.544</v>
      </c>
    </row>
    <row r="3218">
      <c r="A3218" t="inlineStr">
        <is>
          <t>ORD03217</t>
        </is>
      </c>
      <c r="B3218" t="inlineStr">
        <is>
          <t>C0717</t>
        </is>
      </c>
      <c r="C3218" t="n">
        <v>1</v>
      </c>
      <c r="D3218" t="inlineStr">
        <is>
          <t>Hub A</t>
        </is>
      </c>
      <c r="E3218" t="n">
        <v>37</v>
      </c>
      <c r="F3218" t="n">
        <v>47.544</v>
      </c>
    </row>
    <row r="3219">
      <c r="A3219" t="inlineStr">
        <is>
          <t>ORD03218</t>
        </is>
      </c>
      <c r="B3219" t="inlineStr">
        <is>
          <t>C0718</t>
        </is>
      </c>
      <c r="C3219" t="n">
        <v>2</v>
      </c>
      <c r="D3219" t="inlineStr">
        <is>
          <t>Hub A</t>
        </is>
      </c>
      <c r="E3219" t="n">
        <v>44</v>
      </c>
      <c r="F3219" t="n">
        <v>47.544</v>
      </c>
    </row>
    <row r="3220">
      <c r="A3220" t="inlineStr">
        <is>
          <t>ORD03219</t>
        </is>
      </c>
      <c r="B3220" t="inlineStr">
        <is>
          <t>C0719</t>
        </is>
      </c>
      <c r="C3220" t="n">
        <v>3</v>
      </c>
      <c r="D3220" t="inlineStr">
        <is>
          <t>Hub A</t>
        </is>
      </c>
      <c r="E3220" t="n">
        <v>51</v>
      </c>
      <c r="F3220" t="n">
        <v>47.544</v>
      </c>
    </row>
    <row r="3221">
      <c r="A3221" t="inlineStr">
        <is>
          <t>ORD03220</t>
        </is>
      </c>
      <c r="B3221" t="inlineStr">
        <is>
          <t>C0720</t>
        </is>
      </c>
      <c r="C3221" t="n">
        <v>1</v>
      </c>
      <c r="D3221" t="inlineStr">
        <is>
          <t>Hub A</t>
        </is>
      </c>
      <c r="E3221" t="n">
        <v>58</v>
      </c>
      <c r="F3221" t="n">
        <v>47.544</v>
      </c>
    </row>
    <row r="3222">
      <c r="A3222" t="inlineStr">
        <is>
          <t>ORD03221</t>
        </is>
      </c>
      <c r="B3222" t="inlineStr">
        <is>
          <t>C0721</t>
        </is>
      </c>
      <c r="C3222" t="n">
        <v>2</v>
      </c>
      <c r="D3222" t="inlineStr">
        <is>
          <t>Hub A</t>
        </is>
      </c>
      <c r="E3222" t="n">
        <v>65</v>
      </c>
      <c r="F3222" t="n">
        <v>47.544</v>
      </c>
    </row>
    <row r="3223">
      <c r="A3223" t="inlineStr">
        <is>
          <t>ORD03222</t>
        </is>
      </c>
      <c r="B3223" t="inlineStr">
        <is>
          <t>C0722</t>
        </is>
      </c>
      <c r="C3223" t="n">
        <v>3</v>
      </c>
      <c r="D3223" t="inlineStr">
        <is>
          <t>Hub A</t>
        </is>
      </c>
      <c r="E3223" t="n">
        <v>72</v>
      </c>
      <c r="F3223" t="n">
        <v>47.544</v>
      </c>
    </row>
    <row r="3224">
      <c r="A3224" t="inlineStr">
        <is>
          <t>ORD03223</t>
        </is>
      </c>
      <c r="B3224" t="inlineStr">
        <is>
          <t>C0723</t>
        </is>
      </c>
      <c r="C3224" t="n">
        <v>1</v>
      </c>
      <c r="D3224" t="inlineStr">
        <is>
          <t>Hub A</t>
        </is>
      </c>
      <c r="E3224" t="n">
        <v>19</v>
      </c>
      <c r="F3224" t="n">
        <v>47.544</v>
      </c>
    </row>
    <row r="3225">
      <c r="A3225" t="inlineStr">
        <is>
          <t>ORD03224</t>
        </is>
      </c>
      <c r="B3225" t="inlineStr">
        <is>
          <t>C0724</t>
        </is>
      </c>
      <c r="C3225" t="n">
        <v>2</v>
      </c>
      <c r="D3225" t="inlineStr">
        <is>
          <t>Hub A</t>
        </is>
      </c>
      <c r="E3225" t="n">
        <v>26</v>
      </c>
      <c r="F3225" t="n">
        <v>47.544</v>
      </c>
    </row>
    <row r="3226">
      <c r="A3226" t="inlineStr">
        <is>
          <t>ORD03225</t>
        </is>
      </c>
      <c r="B3226" t="inlineStr">
        <is>
          <t>C0725</t>
        </is>
      </c>
      <c r="C3226" t="n">
        <v>3</v>
      </c>
      <c r="D3226" t="inlineStr">
        <is>
          <t>Hub A</t>
        </is>
      </c>
      <c r="E3226" t="n">
        <v>33</v>
      </c>
      <c r="F3226" t="n">
        <v>47.544</v>
      </c>
    </row>
    <row r="3227">
      <c r="A3227" t="inlineStr">
        <is>
          <t>ORD03226</t>
        </is>
      </c>
      <c r="B3227" t="inlineStr">
        <is>
          <t>C0726</t>
        </is>
      </c>
      <c r="C3227" t="n">
        <v>1</v>
      </c>
      <c r="D3227" t="inlineStr">
        <is>
          <t>Hub A</t>
        </is>
      </c>
      <c r="E3227" t="n">
        <v>40</v>
      </c>
      <c r="F3227" t="n">
        <v>47.544</v>
      </c>
    </row>
    <row r="3228">
      <c r="A3228" t="inlineStr">
        <is>
          <t>ORD03227</t>
        </is>
      </c>
      <c r="B3228" t="inlineStr">
        <is>
          <t>C0727</t>
        </is>
      </c>
      <c r="C3228" t="n">
        <v>2</v>
      </c>
      <c r="D3228" t="inlineStr">
        <is>
          <t>Hub A</t>
        </is>
      </c>
      <c r="E3228" t="n">
        <v>47</v>
      </c>
      <c r="F3228" t="n">
        <v>47.544</v>
      </c>
    </row>
    <row r="3229">
      <c r="A3229" t="inlineStr">
        <is>
          <t>ORD03228</t>
        </is>
      </c>
      <c r="B3229" t="inlineStr">
        <is>
          <t>C0728</t>
        </is>
      </c>
      <c r="C3229" t="n">
        <v>3</v>
      </c>
      <c r="D3229" t="inlineStr">
        <is>
          <t>Hub A</t>
        </is>
      </c>
      <c r="E3229" t="n">
        <v>54</v>
      </c>
      <c r="F3229" t="n">
        <v>47.544</v>
      </c>
    </row>
    <row r="3230">
      <c r="A3230" t="inlineStr">
        <is>
          <t>ORD03229</t>
        </is>
      </c>
      <c r="B3230" t="inlineStr">
        <is>
          <t>C0729</t>
        </is>
      </c>
      <c r="C3230" t="n">
        <v>1</v>
      </c>
      <c r="D3230" t="inlineStr">
        <is>
          <t>Hub A</t>
        </is>
      </c>
      <c r="E3230" t="n">
        <v>61</v>
      </c>
      <c r="F3230" t="n">
        <v>47.544</v>
      </c>
    </row>
    <row r="3231">
      <c r="A3231" t="inlineStr">
        <is>
          <t>ORD03230</t>
        </is>
      </c>
      <c r="B3231" t="inlineStr">
        <is>
          <t>C0730</t>
        </is>
      </c>
      <c r="C3231" t="n">
        <v>2</v>
      </c>
      <c r="D3231" t="inlineStr">
        <is>
          <t>Hub A</t>
        </is>
      </c>
      <c r="E3231" t="n">
        <v>68</v>
      </c>
      <c r="F3231" t="n">
        <v>47.544</v>
      </c>
    </row>
    <row r="3232">
      <c r="A3232" t="inlineStr">
        <is>
          <t>ORD03231</t>
        </is>
      </c>
      <c r="B3232" t="inlineStr">
        <is>
          <t>C0731</t>
        </is>
      </c>
      <c r="C3232" t="n">
        <v>3</v>
      </c>
      <c r="D3232" t="inlineStr">
        <is>
          <t>Hub A</t>
        </is>
      </c>
      <c r="E3232" t="n">
        <v>75</v>
      </c>
      <c r="F3232" t="n">
        <v>47.544</v>
      </c>
    </row>
    <row r="3233">
      <c r="A3233" t="inlineStr">
        <is>
          <t>ORD03232</t>
        </is>
      </c>
      <c r="B3233" t="inlineStr">
        <is>
          <t>C0732</t>
        </is>
      </c>
      <c r="C3233" t="n">
        <v>1</v>
      </c>
      <c r="D3233" t="inlineStr">
        <is>
          <t>Hub A</t>
        </is>
      </c>
      <c r="E3233" t="n">
        <v>22</v>
      </c>
      <c r="F3233" t="n">
        <v>47.544</v>
      </c>
    </row>
    <row r="3234">
      <c r="A3234" t="inlineStr">
        <is>
          <t>ORD03233</t>
        </is>
      </c>
      <c r="B3234" t="inlineStr">
        <is>
          <t>C0733</t>
        </is>
      </c>
      <c r="C3234" t="n">
        <v>2</v>
      </c>
      <c r="D3234" t="inlineStr">
        <is>
          <t>Hub A</t>
        </is>
      </c>
      <c r="E3234" t="n">
        <v>29</v>
      </c>
      <c r="F3234" t="n">
        <v>47.544</v>
      </c>
    </row>
    <row r="3235">
      <c r="A3235" t="inlineStr">
        <is>
          <t>ORD03234</t>
        </is>
      </c>
      <c r="B3235" t="inlineStr">
        <is>
          <t>C0734</t>
        </is>
      </c>
      <c r="C3235" t="n">
        <v>3</v>
      </c>
      <c r="D3235" t="inlineStr">
        <is>
          <t>Hub A</t>
        </is>
      </c>
      <c r="E3235" t="n">
        <v>36</v>
      </c>
      <c r="F3235" t="n">
        <v>47.544</v>
      </c>
    </row>
    <row r="3236">
      <c r="A3236" t="inlineStr">
        <is>
          <t>ORD03235</t>
        </is>
      </c>
      <c r="B3236" t="inlineStr">
        <is>
          <t>C0735</t>
        </is>
      </c>
      <c r="C3236" t="n">
        <v>1</v>
      </c>
      <c r="D3236" t="inlineStr">
        <is>
          <t>Hub A</t>
        </is>
      </c>
      <c r="E3236" t="n">
        <v>43</v>
      </c>
      <c r="F3236" t="n">
        <v>47.544</v>
      </c>
    </row>
    <row r="3237">
      <c r="A3237" t="inlineStr">
        <is>
          <t>ORD03236</t>
        </is>
      </c>
      <c r="B3237" t="inlineStr">
        <is>
          <t>C0736</t>
        </is>
      </c>
      <c r="C3237" t="n">
        <v>2</v>
      </c>
      <c r="D3237" t="inlineStr">
        <is>
          <t>Hub A</t>
        </is>
      </c>
      <c r="E3237" t="n">
        <v>50</v>
      </c>
      <c r="F3237" t="n">
        <v>47.544</v>
      </c>
    </row>
    <row r="3238">
      <c r="A3238" t="inlineStr">
        <is>
          <t>ORD03237</t>
        </is>
      </c>
      <c r="B3238" t="inlineStr">
        <is>
          <t>C0737</t>
        </is>
      </c>
      <c r="C3238" t="n">
        <v>3</v>
      </c>
      <c r="D3238" t="inlineStr">
        <is>
          <t>Hub A</t>
        </is>
      </c>
      <c r="E3238" t="n">
        <v>57</v>
      </c>
      <c r="F3238" t="n">
        <v>47.544</v>
      </c>
    </row>
    <row r="3239">
      <c r="A3239" t="inlineStr">
        <is>
          <t>ORD03238</t>
        </is>
      </c>
      <c r="B3239" t="inlineStr">
        <is>
          <t>C0738</t>
        </is>
      </c>
      <c r="C3239" t="n">
        <v>1</v>
      </c>
      <c r="D3239" t="inlineStr">
        <is>
          <t>Hub A</t>
        </is>
      </c>
      <c r="E3239" t="n">
        <v>64</v>
      </c>
      <c r="F3239" t="n">
        <v>47.544</v>
      </c>
    </row>
    <row r="3240">
      <c r="A3240" t="inlineStr">
        <is>
          <t>ORD03239</t>
        </is>
      </c>
      <c r="B3240" t="inlineStr">
        <is>
          <t>C0739</t>
        </is>
      </c>
      <c r="C3240" t="n">
        <v>2</v>
      </c>
      <c r="D3240" t="inlineStr">
        <is>
          <t>Hub A</t>
        </is>
      </c>
      <c r="E3240" t="n">
        <v>71</v>
      </c>
      <c r="F3240" t="n">
        <v>47.544</v>
      </c>
    </row>
    <row r="3241">
      <c r="A3241" t="inlineStr">
        <is>
          <t>ORD03240</t>
        </is>
      </c>
      <c r="B3241" t="inlineStr">
        <is>
          <t>C0740</t>
        </is>
      </c>
      <c r="C3241" t="n">
        <v>3</v>
      </c>
      <c r="D3241" t="inlineStr">
        <is>
          <t>Hub A</t>
        </is>
      </c>
      <c r="E3241" t="n">
        <v>18</v>
      </c>
      <c r="F3241" t="n">
        <v>47.544</v>
      </c>
    </row>
    <row r="3242">
      <c r="A3242" t="inlineStr">
        <is>
          <t>ORD03241</t>
        </is>
      </c>
      <c r="B3242" t="inlineStr">
        <is>
          <t>C0741</t>
        </is>
      </c>
      <c r="C3242" t="n">
        <v>1</v>
      </c>
      <c r="D3242" t="inlineStr">
        <is>
          <t>Hub A</t>
        </is>
      </c>
      <c r="E3242" t="n">
        <v>25</v>
      </c>
      <c r="F3242" t="n">
        <v>47.544</v>
      </c>
    </row>
    <row r="3243">
      <c r="A3243" t="inlineStr">
        <is>
          <t>ORD03242</t>
        </is>
      </c>
      <c r="B3243" t="inlineStr">
        <is>
          <t>C0742</t>
        </is>
      </c>
      <c r="C3243" t="n">
        <v>2</v>
      </c>
      <c r="D3243" t="inlineStr">
        <is>
          <t>Hub A</t>
        </is>
      </c>
      <c r="E3243" t="n">
        <v>32</v>
      </c>
      <c r="F3243" t="n">
        <v>47.544</v>
      </c>
    </row>
    <row r="3244">
      <c r="A3244" t="inlineStr">
        <is>
          <t>ORD03243</t>
        </is>
      </c>
      <c r="B3244" t="inlineStr">
        <is>
          <t>C0743</t>
        </is>
      </c>
      <c r="C3244" t="n">
        <v>3</v>
      </c>
      <c r="D3244" t="inlineStr">
        <is>
          <t>Hub A</t>
        </is>
      </c>
      <c r="E3244" t="n">
        <v>39</v>
      </c>
      <c r="F3244" t="n">
        <v>47.544</v>
      </c>
    </row>
    <row r="3245">
      <c r="A3245" t="inlineStr">
        <is>
          <t>ORD03244</t>
        </is>
      </c>
      <c r="B3245" t="inlineStr">
        <is>
          <t>C0744</t>
        </is>
      </c>
      <c r="C3245" t="n">
        <v>1</v>
      </c>
      <c r="D3245" t="inlineStr">
        <is>
          <t>Hub A</t>
        </is>
      </c>
      <c r="E3245" t="n">
        <v>46</v>
      </c>
      <c r="F3245" t="n">
        <v>47.544</v>
      </c>
    </row>
    <row r="3246">
      <c r="A3246" t="inlineStr">
        <is>
          <t>ORD03245</t>
        </is>
      </c>
      <c r="B3246" t="inlineStr">
        <is>
          <t>C0745</t>
        </is>
      </c>
      <c r="C3246" t="n">
        <v>2</v>
      </c>
      <c r="D3246" t="inlineStr">
        <is>
          <t>Hub A</t>
        </is>
      </c>
      <c r="E3246" t="n">
        <v>53</v>
      </c>
      <c r="F3246" t="n">
        <v>47.544</v>
      </c>
    </row>
    <row r="3247">
      <c r="A3247" t="inlineStr">
        <is>
          <t>ORD03246</t>
        </is>
      </c>
      <c r="B3247" t="inlineStr">
        <is>
          <t>C0746</t>
        </is>
      </c>
      <c r="C3247" t="n">
        <v>3</v>
      </c>
      <c r="D3247" t="inlineStr">
        <is>
          <t>Hub A</t>
        </is>
      </c>
      <c r="E3247" t="n">
        <v>60</v>
      </c>
      <c r="F3247" t="n">
        <v>47.544</v>
      </c>
    </row>
    <row r="3248">
      <c r="A3248" t="inlineStr">
        <is>
          <t>ORD03247</t>
        </is>
      </c>
      <c r="B3248" t="inlineStr">
        <is>
          <t>C0747</t>
        </is>
      </c>
      <c r="C3248" t="n">
        <v>1</v>
      </c>
      <c r="D3248" t="inlineStr">
        <is>
          <t>Hub A</t>
        </is>
      </c>
      <c r="E3248" t="n">
        <v>67</v>
      </c>
      <c r="F3248" t="n">
        <v>47.544</v>
      </c>
    </row>
    <row r="3249">
      <c r="A3249" t="inlineStr">
        <is>
          <t>ORD03248</t>
        </is>
      </c>
      <c r="B3249" t="inlineStr">
        <is>
          <t>C0748</t>
        </is>
      </c>
      <c r="C3249" t="n">
        <v>2</v>
      </c>
      <c r="D3249" t="inlineStr">
        <is>
          <t>Hub A</t>
        </is>
      </c>
      <c r="E3249" t="n">
        <v>74</v>
      </c>
      <c r="F3249" t="n">
        <v>47.544</v>
      </c>
    </row>
    <row r="3250">
      <c r="A3250" t="inlineStr">
        <is>
          <t>ORD03249</t>
        </is>
      </c>
      <c r="B3250" t="inlineStr">
        <is>
          <t>C0749</t>
        </is>
      </c>
      <c r="C3250" t="n">
        <v>3</v>
      </c>
      <c r="D3250" t="inlineStr">
        <is>
          <t>Hub A</t>
        </is>
      </c>
      <c r="E3250" t="n">
        <v>21</v>
      </c>
      <c r="F3250" t="n">
        <v>47.544</v>
      </c>
    </row>
    <row r="3251">
      <c r="A3251" t="inlineStr">
        <is>
          <t>ORD03250</t>
        </is>
      </c>
      <c r="B3251" t="inlineStr">
        <is>
          <t>C0750</t>
        </is>
      </c>
      <c r="C3251" t="n">
        <v>1</v>
      </c>
      <c r="D3251" t="inlineStr">
        <is>
          <t>Hub A</t>
        </is>
      </c>
      <c r="E3251" t="n">
        <v>28</v>
      </c>
      <c r="F3251" t="n">
        <v>47.544</v>
      </c>
    </row>
    <row r="3252">
      <c r="A3252" t="inlineStr">
        <is>
          <t>ORD03251</t>
        </is>
      </c>
      <c r="B3252" t="inlineStr">
        <is>
          <t>C0751</t>
        </is>
      </c>
      <c r="C3252" t="n">
        <v>2</v>
      </c>
      <c r="D3252" t="inlineStr">
        <is>
          <t>Hub A</t>
        </is>
      </c>
      <c r="E3252" t="n">
        <v>35</v>
      </c>
      <c r="F3252" t="n">
        <v>47.544</v>
      </c>
    </row>
    <row r="3253">
      <c r="A3253" t="inlineStr">
        <is>
          <t>ORD03252</t>
        </is>
      </c>
      <c r="B3253" t="inlineStr">
        <is>
          <t>C0752</t>
        </is>
      </c>
      <c r="C3253" t="n">
        <v>3</v>
      </c>
      <c r="D3253" t="inlineStr">
        <is>
          <t>Hub A</t>
        </is>
      </c>
      <c r="E3253" t="n">
        <v>42</v>
      </c>
      <c r="F3253" t="n">
        <v>47.544</v>
      </c>
    </row>
    <row r="3254">
      <c r="A3254" t="inlineStr">
        <is>
          <t>ORD03253</t>
        </is>
      </c>
      <c r="B3254" t="inlineStr">
        <is>
          <t>C0753</t>
        </is>
      </c>
      <c r="C3254" t="n">
        <v>1</v>
      </c>
      <c r="D3254" t="inlineStr">
        <is>
          <t>Hub A</t>
        </is>
      </c>
      <c r="E3254" t="n">
        <v>49</v>
      </c>
      <c r="F3254" t="n">
        <v>47.544</v>
      </c>
    </row>
    <row r="3255">
      <c r="A3255" t="inlineStr">
        <is>
          <t>ORD03254</t>
        </is>
      </c>
      <c r="B3255" t="inlineStr">
        <is>
          <t>C0754</t>
        </is>
      </c>
      <c r="C3255" t="n">
        <v>2</v>
      </c>
      <c r="D3255" t="inlineStr">
        <is>
          <t>Hub A</t>
        </is>
      </c>
      <c r="E3255" t="n">
        <v>56</v>
      </c>
      <c r="F3255" t="n">
        <v>47.544</v>
      </c>
    </row>
    <row r="3256">
      <c r="A3256" t="inlineStr">
        <is>
          <t>ORD03255</t>
        </is>
      </c>
      <c r="B3256" t="inlineStr">
        <is>
          <t>C0755</t>
        </is>
      </c>
      <c r="C3256" t="n">
        <v>3</v>
      </c>
      <c r="D3256" t="inlineStr">
        <is>
          <t>Hub A</t>
        </is>
      </c>
      <c r="E3256" t="n">
        <v>63</v>
      </c>
      <c r="F3256" t="n">
        <v>47.544</v>
      </c>
    </row>
    <row r="3257">
      <c r="A3257" t="inlineStr">
        <is>
          <t>ORD03256</t>
        </is>
      </c>
      <c r="B3257" t="inlineStr">
        <is>
          <t>C0756</t>
        </is>
      </c>
      <c r="C3257" t="n">
        <v>1</v>
      </c>
      <c r="D3257" t="inlineStr">
        <is>
          <t>Hub A</t>
        </is>
      </c>
      <c r="E3257" t="n">
        <v>70</v>
      </c>
      <c r="F3257" t="n">
        <v>47.544</v>
      </c>
    </row>
    <row r="3258">
      <c r="A3258" t="inlineStr">
        <is>
          <t>ORD03257</t>
        </is>
      </c>
      <c r="B3258" t="inlineStr">
        <is>
          <t>C0757</t>
        </is>
      </c>
      <c r="C3258" t="n">
        <v>2</v>
      </c>
      <c r="D3258" t="inlineStr">
        <is>
          <t>Hub A</t>
        </is>
      </c>
      <c r="E3258" t="n">
        <v>77</v>
      </c>
      <c r="F3258" t="n">
        <v>47.544</v>
      </c>
    </row>
    <row r="3259">
      <c r="A3259" t="inlineStr">
        <is>
          <t>ORD03258</t>
        </is>
      </c>
      <c r="B3259" t="inlineStr">
        <is>
          <t>C0758</t>
        </is>
      </c>
      <c r="C3259" t="n">
        <v>3</v>
      </c>
      <c r="D3259" t="inlineStr">
        <is>
          <t>Hub A</t>
        </is>
      </c>
      <c r="E3259" t="n">
        <v>24</v>
      </c>
      <c r="F3259" t="n">
        <v>47.544</v>
      </c>
    </row>
    <row r="3260">
      <c r="A3260" t="inlineStr">
        <is>
          <t>ORD03259</t>
        </is>
      </c>
      <c r="B3260" t="inlineStr">
        <is>
          <t>C0759</t>
        </is>
      </c>
      <c r="C3260" t="n">
        <v>1</v>
      </c>
      <c r="D3260" t="inlineStr">
        <is>
          <t>Hub A</t>
        </is>
      </c>
      <c r="E3260" t="n">
        <v>31</v>
      </c>
      <c r="F3260" t="n">
        <v>47.544</v>
      </c>
    </row>
    <row r="3261">
      <c r="A3261" t="inlineStr">
        <is>
          <t>ORD03260</t>
        </is>
      </c>
      <c r="B3261" t="inlineStr">
        <is>
          <t>C0760</t>
        </is>
      </c>
      <c r="C3261" t="n">
        <v>2</v>
      </c>
      <c r="D3261" t="inlineStr">
        <is>
          <t>Hub A</t>
        </is>
      </c>
      <c r="E3261" t="n">
        <v>38</v>
      </c>
      <c r="F3261" t="n">
        <v>47.544</v>
      </c>
    </row>
    <row r="3262">
      <c r="A3262" t="inlineStr">
        <is>
          <t>ORD03261</t>
        </is>
      </c>
      <c r="B3262" t="inlineStr">
        <is>
          <t>C0761</t>
        </is>
      </c>
      <c r="C3262" t="n">
        <v>3</v>
      </c>
      <c r="D3262" t="inlineStr">
        <is>
          <t>Hub A</t>
        </is>
      </c>
      <c r="E3262" t="n">
        <v>45</v>
      </c>
      <c r="F3262" t="n">
        <v>47.544</v>
      </c>
    </row>
    <row r="3263">
      <c r="A3263" t="inlineStr">
        <is>
          <t>ORD03262</t>
        </is>
      </c>
      <c r="B3263" t="inlineStr">
        <is>
          <t>C0762</t>
        </is>
      </c>
      <c r="C3263" t="n">
        <v>1</v>
      </c>
      <c r="D3263" t="inlineStr">
        <is>
          <t>Hub A</t>
        </is>
      </c>
      <c r="E3263" t="n">
        <v>52</v>
      </c>
      <c r="F3263" t="n">
        <v>47.544</v>
      </c>
    </row>
    <row r="3264">
      <c r="A3264" t="inlineStr">
        <is>
          <t>ORD03263</t>
        </is>
      </c>
      <c r="B3264" t="inlineStr">
        <is>
          <t>C0763</t>
        </is>
      </c>
      <c r="C3264" t="n">
        <v>2</v>
      </c>
      <c r="D3264" t="inlineStr">
        <is>
          <t>Hub A</t>
        </is>
      </c>
      <c r="E3264" t="n">
        <v>59</v>
      </c>
      <c r="F3264" t="n">
        <v>47.544</v>
      </c>
    </row>
    <row r="3265">
      <c r="A3265" t="inlineStr">
        <is>
          <t>ORD03264</t>
        </is>
      </c>
      <c r="B3265" t="inlineStr">
        <is>
          <t>C0764</t>
        </is>
      </c>
      <c r="C3265" t="n">
        <v>3</v>
      </c>
      <c r="D3265" t="inlineStr">
        <is>
          <t>Hub A</t>
        </is>
      </c>
      <c r="E3265" t="n">
        <v>66</v>
      </c>
      <c r="F3265" t="n">
        <v>47.544</v>
      </c>
    </row>
    <row r="3266">
      <c r="A3266" t="inlineStr">
        <is>
          <t>ORD03265</t>
        </is>
      </c>
      <c r="B3266" t="inlineStr">
        <is>
          <t>C0765</t>
        </is>
      </c>
      <c r="C3266" t="n">
        <v>1</v>
      </c>
      <c r="D3266" t="inlineStr">
        <is>
          <t>Hub A</t>
        </is>
      </c>
      <c r="E3266" t="n">
        <v>73</v>
      </c>
      <c r="F3266" t="n">
        <v>47.544</v>
      </c>
    </row>
    <row r="3267">
      <c r="A3267" t="inlineStr">
        <is>
          <t>ORD03266</t>
        </is>
      </c>
      <c r="B3267" t="inlineStr">
        <is>
          <t>C0766</t>
        </is>
      </c>
      <c r="C3267" t="n">
        <v>2</v>
      </c>
      <c r="D3267" t="inlineStr">
        <is>
          <t>Hub A</t>
        </is>
      </c>
      <c r="E3267" t="n">
        <v>20</v>
      </c>
      <c r="F3267" t="n">
        <v>47.544</v>
      </c>
    </row>
    <row r="3268">
      <c r="A3268" t="inlineStr">
        <is>
          <t>ORD03267</t>
        </is>
      </c>
      <c r="B3268" t="inlineStr">
        <is>
          <t>C0767</t>
        </is>
      </c>
      <c r="C3268" t="n">
        <v>3</v>
      </c>
      <c r="D3268" t="inlineStr">
        <is>
          <t>Hub A</t>
        </is>
      </c>
      <c r="E3268" t="n">
        <v>27</v>
      </c>
      <c r="F3268" t="n">
        <v>47.544</v>
      </c>
    </row>
    <row r="3269">
      <c r="A3269" t="inlineStr">
        <is>
          <t>ORD03268</t>
        </is>
      </c>
      <c r="B3269" t="inlineStr">
        <is>
          <t>C0768</t>
        </is>
      </c>
      <c r="C3269" t="n">
        <v>1</v>
      </c>
      <c r="D3269" t="inlineStr">
        <is>
          <t>Hub A</t>
        </is>
      </c>
      <c r="E3269" t="n">
        <v>34</v>
      </c>
      <c r="F3269" t="n">
        <v>47.544</v>
      </c>
    </row>
    <row r="3270">
      <c r="A3270" t="inlineStr">
        <is>
          <t>ORD03269</t>
        </is>
      </c>
      <c r="B3270" t="inlineStr">
        <is>
          <t>C0769</t>
        </is>
      </c>
      <c r="C3270" t="n">
        <v>2</v>
      </c>
      <c r="D3270" t="inlineStr">
        <is>
          <t>Hub A</t>
        </is>
      </c>
      <c r="E3270" t="n">
        <v>41</v>
      </c>
      <c r="F3270" t="n">
        <v>47.544</v>
      </c>
    </row>
    <row r="3271">
      <c r="A3271" t="inlineStr">
        <is>
          <t>ORD03270</t>
        </is>
      </c>
      <c r="B3271" t="inlineStr">
        <is>
          <t>C0770</t>
        </is>
      </c>
      <c r="C3271" t="n">
        <v>3</v>
      </c>
      <c r="D3271" t="inlineStr">
        <is>
          <t>Hub A</t>
        </is>
      </c>
      <c r="E3271" t="n">
        <v>48</v>
      </c>
      <c r="F3271" t="n">
        <v>47.544</v>
      </c>
    </row>
    <row r="3272">
      <c r="A3272" t="inlineStr">
        <is>
          <t>ORD03271</t>
        </is>
      </c>
      <c r="B3272" t="inlineStr">
        <is>
          <t>C0771</t>
        </is>
      </c>
      <c r="C3272" t="n">
        <v>1</v>
      </c>
      <c r="D3272" t="inlineStr">
        <is>
          <t>Hub A</t>
        </is>
      </c>
      <c r="E3272" t="n">
        <v>55</v>
      </c>
      <c r="F3272" t="n">
        <v>47.544</v>
      </c>
    </row>
    <row r="3273">
      <c r="A3273" t="inlineStr">
        <is>
          <t>ORD03272</t>
        </is>
      </c>
      <c r="B3273" t="inlineStr">
        <is>
          <t>C0772</t>
        </is>
      </c>
      <c r="C3273" t="n">
        <v>2</v>
      </c>
      <c r="D3273" t="inlineStr">
        <is>
          <t>Hub A</t>
        </is>
      </c>
      <c r="E3273" t="n">
        <v>62</v>
      </c>
      <c r="F3273" t="n">
        <v>47.544</v>
      </c>
    </row>
    <row r="3274">
      <c r="A3274" t="inlineStr">
        <is>
          <t>ORD03273</t>
        </is>
      </c>
      <c r="B3274" t="inlineStr">
        <is>
          <t>C0773</t>
        </is>
      </c>
      <c r="C3274" t="n">
        <v>3</v>
      </c>
      <c r="D3274" t="inlineStr">
        <is>
          <t>Hub A</t>
        </is>
      </c>
      <c r="E3274" t="n">
        <v>69</v>
      </c>
      <c r="F3274" t="n">
        <v>47.544</v>
      </c>
    </row>
    <row r="3275">
      <c r="A3275" t="inlineStr">
        <is>
          <t>ORD03274</t>
        </is>
      </c>
      <c r="B3275" t="inlineStr">
        <is>
          <t>C0774</t>
        </is>
      </c>
      <c r="C3275" t="n">
        <v>1</v>
      </c>
      <c r="D3275" t="inlineStr">
        <is>
          <t>Hub A</t>
        </is>
      </c>
      <c r="E3275" t="n">
        <v>76</v>
      </c>
      <c r="F3275" t="n">
        <v>47.544</v>
      </c>
    </row>
    <row r="3276">
      <c r="A3276" t="inlineStr">
        <is>
          <t>ORD03275</t>
        </is>
      </c>
      <c r="B3276" t="inlineStr">
        <is>
          <t>C0775</t>
        </is>
      </c>
      <c r="C3276" t="n">
        <v>2</v>
      </c>
      <c r="D3276" t="inlineStr">
        <is>
          <t>Hub A</t>
        </is>
      </c>
      <c r="E3276" t="n">
        <v>23</v>
      </c>
      <c r="F3276" t="n">
        <v>47.544</v>
      </c>
    </row>
    <row r="3277">
      <c r="A3277" t="inlineStr">
        <is>
          <t>ORD03276</t>
        </is>
      </c>
      <c r="B3277" t="inlineStr">
        <is>
          <t>C0776</t>
        </is>
      </c>
      <c r="C3277" t="n">
        <v>3</v>
      </c>
      <c r="D3277" t="inlineStr">
        <is>
          <t>Hub A</t>
        </is>
      </c>
      <c r="E3277" t="n">
        <v>30</v>
      </c>
      <c r="F3277" t="n">
        <v>47.544</v>
      </c>
    </row>
    <row r="3278">
      <c r="A3278" t="inlineStr">
        <is>
          <t>ORD03277</t>
        </is>
      </c>
      <c r="B3278" t="inlineStr">
        <is>
          <t>C0777</t>
        </is>
      </c>
      <c r="C3278" t="n">
        <v>1</v>
      </c>
      <c r="D3278" t="inlineStr">
        <is>
          <t>Hub A</t>
        </is>
      </c>
      <c r="E3278" t="n">
        <v>37</v>
      </c>
      <c r="F3278" t="n">
        <v>47.544</v>
      </c>
    </row>
    <row r="3279">
      <c r="A3279" t="inlineStr">
        <is>
          <t>ORD03278</t>
        </is>
      </c>
      <c r="B3279" t="inlineStr">
        <is>
          <t>C0778</t>
        </is>
      </c>
      <c r="C3279" t="n">
        <v>2</v>
      </c>
      <c r="D3279" t="inlineStr">
        <is>
          <t>Hub A</t>
        </is>
      </c>
      <c r="E3279" t="n">
        <v>44</v>
      </c>
      <c r="F3279" t="n">
        <v>47.544</v>
      </c>
    </row>
    <row r="3280">
      <c r="A3280" t="inlineStr">
        <is>
          <t>ORD03279</t>
        </is>
      </c>
      <c r="B3280" t="inlineStr">
        <is>
          <t>C0779</t>
        </is>
      </c>
      <c r="C3280" t="n">
        <v>3</v>
      </c>
      <c r="D3280" t="inlineStr">
        <is>
          <t>Hub A</t>
        </is>
      </c>
      <c r="E3280" t="n">
        <v>51</v>
      </c>
      <c r="F3280" t="n">
        <v>47.544</v>
      </c>
    </row>
    <row r="3281">
      <c r="A3281" t="inlineStr">
        <is>
          <t>ORD03280</t>
        </is>
      </c>
      <c r="B3281" t="inlineStr">
        <is>
          <t>C0780</t>
        </is>
      </c>
      <c r="C3281" t="n">
        <v>1</v>
      </c>
      <c r="D3281" t="inlineStr">
        <is>
          <t>Hub A</t>
        </is>
      </c>
      <c r="E3281" t="n">
        <v>58</v>
      </c>
      <c r="F3281" t="n">
        <v>47.544</v>
      </c>
    </row>
    <row r="3282">
      <c r="A3282" t="inlineStr">
        <is>
          <t>ORD03281</t>
        </is>
      </c>
      <c r="B3282" t="inlineStr">
        <is>
          <t>C0781</t>
        </is>
      </c>
      <c r="C3282" t="n">
        <v>2</v>
      </c>
      <c r="D3282" t="inlineStr">
        <is>
          <t>Hub A</t>
        </is>
      </c>
      <c r="E3282" t="n">
        <v>65</v>
      </c>
      <c r="F3282" t="n">
        <v>47.544</v>
      </c>
    </row>
    <row r="3283">
      <c r="A3283" t="inlineStr">
        <is>
          <t>ORD03282</t>
        </is>
      </c>
      <c r="B3283" t="inlineStr">
        <is>
          <t>C0782</t>
        </is>
      </c>
      <c r="C3283" t="n">
        <v>3</v>
      </c>
      <c r="D3283" t="inlineStr">
        <is>
          <t>Hub A</t>
        </is>
      </c>
      <c r="E3283" t="n">
        <v>72</v>
      </c>
      <c r="F3283" t="n">
        <v>47.544</v>
      </c>
    </row>
    <row r="3284">
      <c r="A3284" t="inlineStr">
        <is>
          <t>ORD03283</t>
        </is>
      </c>
      <c r="B3284" t="inlineStr">
        <is>
          <t>C0783</t>
        </is>
      </c>
      <c r="C3284" t="n">
        <v>1</v>
      </c>
      <c r="D3284" t="inlineStr">
        <is>
          <t>Hub A</t>
        </is>
      </c>
      <c r="E3284" t="n">
        <v>19</v>
      </c>
      <c r="F3284" t="n">
        <v>47.544</v>
      </c>
    </row>
    <row r="3285">
      <c r="A3285" t="inlineStr">
        <is>
          <t>ORD03284</t>
        </is>
      </c>
      <c r="B3285" t="inlineStr">
        <is>
          <t>C0784</t>
        </is>
      </c>
      <c r="C3285" t="n">
        <v>2</v>
      </c>
      <c r="D3285" t="inlineStr">
        <is>
          <t>Hub A</t>
        </is>
      </c>
      <c r="E3285" t="n">
        <v>26</v>
      </c>
      <c r="F3285" t="n">
        <v>47.544</v>
      </c>
    </row>
    <row r="3286">
      <c r="A3286" t="inlineStr">
        <is>
          <t>ORD03285</t>
        </is>
      </c>
      <c r="B3286" t="inlineStr">
        <is>
          <t>C0785</t>
        </is>
      </c>
      <c r="C3286" t="n">
        <v>3</v>
      </c>
      <c r="D3286" t="inlineStr">
        <is>
          <t>Hub A</t>
        </is>
      </c>
      <c r="E3286" t="n">
        <v>33</v>
      </c>
      <c r="F3286" t="n">
        <v>47.544</v>
      </c>
    </row>
    <row r="3287">
      <c r="A3287" t="inlineStr">
        <is>
          <t>ORD03286</t>
        </is>
      </c>
      <c r="B3287" t="inlineStr">
        <is>
          <t>C0786</t>
        </is>
      </c>
      <c r="C3287" t="n">
        <v>1</v>
      </c>
      <c r="D3287" t="inlineStr">
        <is>
          <t>Hub A</t>
        </is>
      </c>
      <c r="E3287" t="n">
        <v>40</v>
      </c>
      <c r="F3287" t="n">
        <v>47.544</v>
      </c>
    </row>
    <row r="3288">
      <c r="A3288" t="inlineStr">
        <is>
          <t>ORD03287</t>
        </is>
      </c>
      <c r="B3288" t="inlineStr">
        <is>
          <t>C0787</t>
        </is>
      </c>
      <c r="C3288" t="n">
        <v>2</v>
      </c>
      <c r="D3288" t="inlineStr">
        <is>
          <t>Hub A</t>
        </is>
      </c>
      <c r="E3288" t="n">
        <v>47</v>
      </c>
      <c r="F3288" t="n">
        <v>47.544</v>
      </c>
    </row>
    <row r="3289">
      <c r="A3289" t="inlineStr">
        <is>
          <t>ORD03288</t>
        </is>
      </c>
      <c r="B3289" t="inlineStr">
        <is>
          <t>C0788</t>
        </is>
      </c>
      <c r="C3289" t="n">
        <v>3</v>
      </c>
      <c r="D3289" t="inlineStr">
        <is>
          <t>Hub A</t>
        </is>
      </c>
      <c r="E3289" t="n">
        <v>54</v>
      </c>
      <c r="F3289" t="n">
        <v>47.544</v>
      </c>
    </row>
    <row r="3290">
      <c r="A3290" t="inlineStr">
        <is>
          <t>ORD03289</t>
        </is>
      </c>
      <c r="B3290" t="inlineStr">
        <is>
          <t>C0789</t>
        </is>
      </c>
      <c r="C3290" t="n">
        <v>1</v>
      </c>
      <c r="D3290" t="inlineStr">
        <is>
          <t>Hub A</t>
        </is>
      </c>
      <c r="E3290" t="n">
        <v>61</v>
      </c>
      <c r="F3290" t="n">
        <v>47.544</v>
      </c>
    </row>
    <row r="3291">
      <c r="A3291" t="inlineStr">
        <is>
          <t>ORD03290</t>
        </is>
      </c>
      <c r="B3291" t="inlineStr">
        <is>
          <t>C0790</t>
        </is>
      </c>
      <c r="C3291" t="n">
        <v>2</v>
      </c>
      <c r="D3291" t="inlineStr">
        <is>
          <t>Hub A</t>
        </is>
      </c>
      <c r="E3291" t="n">
        <v>68</v>
      </c>
      <c r="F3291" t="n">
        <v>47.544</v>
      </c>
    </row>
    <row r="3292">
      <c r="A3292" t="inlineStr">
        <is>
          <t>ORD03291</t>
        </is>
      </c>
      <c r="B3292" t="inlineStr">
        <is>
          <t>C0791</t>
        </is>
      </c>
      <c r="C3292" t="n">
        <v>3</v>
      </c>
      <c r="D3292" t="inlineStr">
        <is>
          <t>Hub A</t>
        </is>
      </c>
      <c r="E3292" t="n">
        <v>75</v>
      </c>
      <c r="F3292" t="n">
        <v>47.544</v>
      </c>
    </row>
    <row r="3293">
      <c r="A3293" t="inlineStr">
        <is>
          <t>ORD03292</t>
        </is>
      </c>
      <c r="B3293" t="inlineStr">
        <is>
          <t>C0792</t>
        </is>
      </c>
      <c r="C3293" t="n">
        <v>1</v>
      </c>
      <c r="D3293" t="inlineStr">
        <is>
          <t>Hub A</t>
        </is>
      </c>
      <c r="E3293" t="n">
        <v>22</v>
      </c>
      <c r="F3293" t="n">
        <v>47.544</v>
      </c>
    </row>
    <row r="3294">
      <c r="A3294" t="inlineStr">
        <is>
          <t>ORD03293</t>
        </is>
      </c>
      <c r="B3294" t="inlineStr">
        <is>
          <t>C0793</t>
        </is>
      </c>
      <c r="C3294" t="n">
        <v>2</v>
      </c>
      <c r="D3294" t="inlineStr">
        <is>
          <t>Hub A</t>
        </is>
      </c>
      <c r="E3294" t="n">
        <v>29</v>
      </c>
      <c r="F3294" t="n">
        <v>47.544</v>
      </c>
    </row>
    <row r="3295">
      <c r="A3295" t="inlineStr">
        <is>
          <t>ORD03294</t>
        </is>
      </c>
      <c r="B3295" t="inlineStr">
        <is>
          <t>C0794</t>
        </is>
      </c>
      <c r="C3295" t="n">
        <v>3</v>
      </c>
      <c r="D3295" t="inlineStr">
        <is>
          <t>Hub A</t>
        </is>
      </c>
      <c r="E3295" t="n">
        <v>36</v>
      </c>
      <c r="F3295" t="n">
        <v>47.544</v>
      </c>
    </row>
    <row r="3296">
      <c r="A3296" t="inlineStr">
        <is>
          <t>ORD03295</t>
        </is>
      </c>
      <c r="B3296" t="inlineStr">
        <is>
          <t>C0795</t>
        </is>
      </c>
      <c r="C3296" t="n">
        <v>1</v>
      </c>
      <c r="D3296" t="inlineStr">
        <is>
          <t>Hub A</t>
        </is>
      </c>
      <c r="E3296" t="n">
        <v>43</v>
      </c>
      <c r="F3296" t="n">
        <v>47.544</v>
      </c>
    </row>
    <row r="3297">
      <c r="A3297" t="inlineStr">
        <is>
          <t>ORD03296</t>
        </is>
      </c>
      <c r="B3297" t="inlineStr">
        <is>
          <t>C0796</t>
        </is>
      </c>
      <c r="C3297" t="n">
        <v>2</v>
      </c>
      <c r="D3297" t="inlineStr">
        <is>
          <t>Hub A</t>
        </is>
      </c>
      <c r="E3297" t="n">
        <v>50</v>
      </c>
      <c r="F3297" t="n">
        <v>47.544</v>
      </c>
    </row>
    <row r="3298">
      <c r="A3298" t="inlineStr">
        <is>
          <t>ORD03297</t>
        </is>
      </c>
      <c r="B3298" t="inlineStr">
        <is>
          <t>C0797</t>
        </is>
      </c>
      <c r="C3298" t="n">
        <v>3</v>
      </c>
      <c r="D3298" t="inlineStr">
        <is>
          <t>Hub A</t>
        </is>
      </c>
      <c r="E3298" t="n">
        <v>57</v>
      </c>
      <c r="F3298" t="n">
        <v>47.544</v>
      </c>
    </row>
    <row r="3299">
      <c r="A3299" t="inlineStr">
        <is>
          <t>ORD03298</t>
        </is>
      </c>
      <c r="B3299" t="inlineStr">
        <is>
          <t>C0798</t>
        </is>
      </c>
      <c r="C3299" t="n">
        <v>1</v>
      </c>
      <c r="D3299" t="inlineStr">
        <is>
          <t>Hub A</t>
        </is>
      </c>
      <c r="E3299" t="n">
        <v>64</v>
      </c>
      <c r="F3299" t="n">
        <v>47.544</v>
      </c>
    </row>
    <row r="3300">
      <c r="A3300" t="inlineStr">
        <is>
          <t>ORD03299</t>
        </is>
      </c>
      <c r="B3300" t="inlineStr">
        <is>
          <t>C0799</t>
        </is>
      </c>
      <c r="C3300" t="n">
        <v>2</v>
      </c>
      <c r="D3300" t="inlineStr">
        <is>
          <t>Hub A</t>
        </is>
      </c>
      <c r="E3300" t="n">
        <v>71</v>
      </c>
      <c r="F3300" t="n">
        <v>47.544</v>
      </c>
    </row>
    <row r="3301">
      <c r="A3301" t="inlineStr">
        <is>
          <t>ORD03300</t>
        </is>
      </c>
      <c r="B3301" t="inlineStr">
        <is>
          <t>C0800</t>
        </is>
      </c>
      <c r="C3301" t="n">
        <v>3</v>
      </c>
      <c r="D3301" t="inlineStr">
        <is>
          <t>Hub A</t>
        </is>
      </c>
      <c r="E3301" t="n">
        <v>18</v>
      </c>
      <c r="F3301" t="n">
        <v>47.544</v>
      </c>
    </row>
    <row r="3302">
      <c r="A3302" t="inlineStr">
        <is>
          <t>ORD03301</t>
        </is>
      </c>
      <c r="B3302" t="inlineStr">
        <is>
          <t>C0801</t>
        </is>
      </c>
      <c r="C3302" t="n">
        <v>1</v>
      </c>
      <c r="D3302" t="inlineStr">
        <is>
          <t>Hub A</t>
        </is>
      </c>
      <c r="E3302" t="n">
        <v>25</v>
      </c>
      <c r="F3302" t="n">
        <v>47.544</v>
      </c>
    </row>
    <row r="3303">
      <c r="A3303" t="inlineStr">
        <is>
          <t>ORD03302</t>
        </is>
      </c>
      <c r="B3303" t="inlineStr">
        <is>
          <t>C0802</t>
        </is>
      </c>
      <c r="C3303" t="n">
        <v>2</v>
      </c>
      <c r="D3303" t="inlineStr">
        <is>
          <t>Hub A</t>
        </is>
      </c>
      <c r="E3303" t="n">
        <v>32</v>
      </c>
      <c r="F3303" t="n">
        <v>47.544</v>
      </c>
    </row>
    <row r="3304">
      <c r="A3304" t="inlineStr">
        <is>
          <t>ORD03303</t>
        </is>
      </c>
      <c r="B3304" t="inlineStr">
        <is>
          <t>C0803</t>
        </is>
      </c>
      <c r="C3304" t="n">
        <v>3</v>
      </c>
      <c r="D3304" t="inlineStr">
        <is>
          <t>Hub A</t>
        </is>
      </c>
      <c r="E3304" t="n">
        <v>39</v>
      </c>
      <c r="F3304" t="n">
        <v>47.544</v>
      </c>
    </row>
    <row r="3305">
      <c r="A3305" t="inlineStr">
        <is>
          <t>ORD03304</t>
        </is>
      </c>
      <c r="B3305" t="inlineStr">
        <is>
          <t>C0804</t>
        </is>
      </c>
      <c r="C3305" t="n">
        <v>1</v>
      </c>
      <c r="D3305" t="inlineStr">
        <is>
          <t>Hub A</t>
        </is>
      </c>
      <c r="E3305" t="n">
        <v>46</v>
      </c>
      <c r="F3305" t="n">
        <v>47.544</v>
      </c>
    </row>
    <row r="3306">
      <c r="A3306" t="inlineStr">
        <is>
          <t>ORD03305</t>
        </is>
      </c>
      <c r="B3306" t="inlineStr">
        <is>
          <t>C0805</t>
        </is>
      </c>
      <c r="C3306" t="n">
        <v>2</v>
      </c>
      <c r="D3306" t="inlineStr">
        <is>
          <t>Hub A</t>
        </is>
      </c>
      <c r="E3306" t="n">
        <v>53</v>
      </c>
      <c r="F3306" t="n">
        <v>47.544</v>
      </c>
    </row>
    <row r="3307">
      <c r="A3307" t="inlineStr">
        <is>
          <t>ORD03306</t>
        </is>
      </c>
      <c r="B3307" t="inlineStr">
        <is>
          <t>C0806</t>
        </is>
      </c>
      <c r="C3307" t="n">
        <v>3</v>
      </c>
      <c r="D3307" t="inlineStr">
        <is>
          <t>Hub A</t>
        </is>
      </c>
      <c r="E3307" t="n">
        <v>60</v>
      </c>
      <c r="F3307" t="n">
        <v>47.544</v>
      </c>
    </row>
    <row r="3308">
      <c r="A3308" t="inlineStr">
        <is>
          <t>ORD03307</t>
        </is>
      </c>
      <c r="B3308" t="inlineStr">
        <is>
          <t>C0807</t>
        </is>
      </c>
      <c r="C3308" t="n">
        <v>1</v>
      </c>
      <c r="D3308" t="inlineStr">
        <is>
          <t>Hub A</t>
        </is>
      </c>
      <c r="E3308" t="n">
        <v>67</v>
      </c>
      <c r="F3308" t="n">
        <v>47.544</v>
      </c>
    </row>
    <row r="3309">
      <c r="A3309" t="inlineStr">
        <is>
          <t>ORD03308</t>
        </is>
      </c>
      <c r="B3309" t="inlineStr">
        <is>
          <t>C0808</t>
        </is>
      </c>
      <c r="C3309" t="n">
        <v>2</v>
      </c>
      <c r="D3309" t="inlineStr">
        <is>
          <t>Hub A</t>
        </is>
      </c>
      <c r="E3309" t="n">
        <v>74</v>
      </c>
      <c r="F3309" t="n">
        <v>47.544</v>
      </c>
    </row>
    <row r="3310">
      <c r="A3310" t="inlineStr">
        <is>
          <t>ORD03309</t>
        </is>
      </c>
      <c r="B3310" t="inlineStr">
        <is>
          <t>C0809</t>
        </is>
      </c>
      <c r="C3310" t="n">
        <v>3</v>
      </c>
      <c r="D3310" t="inlineStr">
        <is>
          <t>Hub A</t>
        </is>
      </c>
      <c r="E3310" t="n">
        <v>21</v>
      </c>
      <c r="F3310" t="n">
        <v>47.544</v>
      </c>
    </row>
    <row r="3311">
      <c r="A3311" t="inlineStr">
        <is>
          <t>ORD03310</t>
        </is>
      </c>
      <c r="B3311" t="inlineStr">
        <is>
          <t>C0810</t>
        </is>
      </c>
      <c r="C3311" t="n">
        <v>1</v>
      </c>
      <c r="D3311" t="inlineStr">
        <is>
          <t>Hub A</t>
        </is>
      </c>
      <c r="E3311" t="n">
        <v>28</v>
      </c>
      <c r="F3311" t="n">
        <v>47.544</v>
      </c>
    </row>
    <row r="3312">
      <c r="A3312" t="inlineStr">
        <is>
          <t>ORD03311</t>
        </is>
      </c>
      <c r="B3312" t="inlineStr">
        <is>
          <t>C0811</t>
        </is>
      </c>
      <c r="C3312" t="n">
        <v>2</v>
      </c>
      <c r="D3312" t="inlineStr">
        <is>
          <t>Hub A</t>
        </is>
      </c>
      <c r="E3312" t="n">
        <v>35</v>
      </c>
      <c r="F3312" t="n">
        <v>47.544</v>
      </c>
    </row>
    <row r="3313">
      <c r="A3313" t="inlineStr">
        <is>
          <t>ORD03312</t>
        </is>
      </c>
      <c r="B3313" t="inlineStr">
        <is>
          <t>C0812</t>
        </is>
      </c>
      <c r="C3313" t="n">
        <v>3</v>
      </c>
      <c r="D3313" t="inlineStr">
        <is>
          <t>Hub A</t>
        </is>
      </c>
      <c r="E3313" t="n">
        <v>42</v>
      </c>
      <c r="F3313" t="n">
        <v>47.544</v>
      </c>
    </row>
    <row r="3314">
      <c r="A3314" t="inlineStr">
        <is>
          <t>ORD03313</t>
        </is>
      </c>
      <c r="B3314" t="inlineStr">
        <is>
          <t>C0813</t>
        </is>
      </c>
      <c r="C3314" t="n">
        <v>1</v>
      </c>
      <c r="D3314" t="inlineStr">
        <is>
          <t>Hub A</t>
        </is>
      </c>
      <c r="E3314" t="n">
        <v>49</v>
      </c>
      <c r="F3314" t="n">
        <v>47.544</v>
      </c>
    </row>
    <row r="3315">
      <c r="A3315" t="inlineStr">
        <is>
          <t>ORD03314</t>
        </is>
      </c>
      <c r="B3315" t="inlineStr">
        <is>
          <t>C0814</t>
        </is>
      </c>
      <c r="C3315" t="n">
        <v>2</v>
      </c>
      <c r="D3315" t="inlineStr">
        <is>
          <t>Hub A</t>
        </is>
      </c>
      <c r="E3315" t="n">
        <v>56</v>
      </c>
      <c r="F3315" t="n">
        <v>47.544</v>
      </c>
    </row>
    <row r="3316">
      <c r="A3316" t="inlineStr">
        <is>
          <t>ORD03315</t>
        </is>
      </c>
      <c r="B3316" t="inlineStr">
        <is>
          <t>C0815</t>
        </is>
      </c>
      <c r="C3316" t="n">
        <v>3</v>
      </c>
      <c r="D3316" t="inlineStr">
        <is>
          <t>Hub A</t>
        </is>
      </c>
      <c r="E3316" t="n">
        <v>63</v>
      </c>
      <c r="F3316" t="n">
        <v>47.544</v>
      </c>
    </row>
    <row r="3317">
      <c r="A3317" t="inlineStr">
        <is>
          <t>ORD03316</t>
        </is>
      </c>
      <c r="B3317" t="inlineStr">
        <is>
          <t>C0816</t>
        </is>
      </c>
      <c r="C3317" t="n">
        <v>1</v>
      </c>
      <c r="D3317" t="inlineStr">
        <is>
          <t>Hub A</t>
        </is>
      </c>
      <c r="E3317" t="n">
        <v>70</v>
      </c>
      <c r="F3317" t="n">
        <v>47.544</v>
      </c>
    </row>
    <row r="3318">
      <c r="A3318" t="inlineStr">
        <is>
          <t>ORD03317</t>
        </is>
      </c>
      <c r="B3318" t="inlineStr">
        <is>
          <t>C0817</t>
        </is>
      </c>
      <c r="C3318" t="n">
        <v>2</v>
      </c>
      <c r="D3318" t="inlineStr">
        <is>
          <t>Hub A</t>
        </is>
      </c>
      <c r="E3318" t="n">
        <v>77</v>
      </c>
      <c r="F3318" t="n">
        <v>47.544</v>
      </c>
    </row>
    <row r="3319">
      <c r="A3319" t="inlineStr">
        <is>
          <t>ORD03318</t>
        </is>
      </c>
      <c r="B3319" t="inlineStr">
        <is>
          <t>C0818</t>
        </is>
      </c>
      <c r="C3319" t="n">
        <v>3</v>
      </c>
      <c r="D3319" t="inlineStr">
        <is>
          <t>Hub A</t>
        </is>
      </c>
      <c r="E3319" t="n">
        <v>24</v>
      </c>
      <c r="F3319" t="n">
        <v>47.544</v>
      </c>
    </row>
    <row r="3320">
      <c r="A3320" t="inlineStr">
        <is>
          <t>ORD03319</t>
        </is>
      </c>
      <c r="B3320" t="inlineStr">
        <is>
          <t>C0819</t>
        </is>
      </c>
      <c r="C3320" t="n">
        <v>1</v>
      </c>
      <c r="D3320" t="inlineStr">
        <is>
          <t>Hub A</t>
        </is>
      </c>
      <c r="E3320" t="n">
        <v>31</v>
      </c>
      <c r="F3320" t="n">
        <v>47.544</v>
      </c>
    </row>
    <row r="3321">
      <c r="A3321" t="inlineStr">
        <is>
          <t>ORD03320</t>
        </is>
      </c>
      <c r="B3321" t="inlineStr">
        <is>
          <t>C0820</t>
        </is>
      </c>
      <c r="C3321" t="n">
        <v>2</v>
      </c>
      <c r="D3321" t="inlineStr">
        <is>
          <t>Hub B</t>
        </is>
      </c>
      <c r="E3321" t="n">
        <v>38</v>
      </c>
      <c r="F3321" t="n">
        <v>19</v>
      </c>
    </row>
    <row r="3322">
      <c r="A3322" t="inlineStr">
        <is>
          <t>ORD03321</t>
        </is>
      </c>
      <c r="B3322" t="inlineStr">
        <is>
          <t>C0821</t>
        </is>
      </c>
      <c r="C3322" t="n">
        <v>3</v>
      </c>
      <c r="D3322" t="inlineStr">
        <is>
          <t>Hub B</t>
        </is>
      </c>
      <c r="E3322" t="n">
        <v>45</v>
      </c>
      <c r="F3322" t="n">
        <v>19</v>
      </c>
    </row>
    <row r="3323">
      <c r="A3323" t="inlineStr">
        <is>
          <t>ORD03322</t>
        </is>
      </c>
      <c r="B3323" t="inlineStr">
        <is>
          <t>C0822</t>
        </is>
      </c>
      <c r="C3323" t="n">
        <v>1</v>
      </c>
      <c r="D3323" t="inlineStr">
        <is>
          <t>Hub B</t>
        </is>
      </c>
      <c r="E3323" t="n">
        <v>52</v>
      </c>
      <c r="F3323" t="n">
        <v>19</v>
      </c>
    </row>
    <row r="3324">
      <c r="A3324" t="inlineStr">
        <is>
          <t>ORD03323</t>
        </is>
      </c>
      <c r="B3324" t="inlineStr">
        <is>
          <t>C0823</t>
        </is>
      </c>
      <c r="C3324" t="n">
        <v>2</v>
      </c>
      <c r="D3324" t="inlineStr">
        <is>
          <t>Hub B</t>
        </is>
      </c>
      <c r="E3324" t="n">
        <v>59</v>
      </c>
      <c r="F3324" t="n">
        <v>19</v>
      </c>
    </row>
    <row r="3325">
      <c r="A3325" t="inlineStr">
        <is>
          <t>ORD03324</t>
        </is>
      </c>
      <c r="B3325" t="inlineStr">
        <is>
          <t>C0824</t>
        </is>
      </c>
      <c r="C3325" t="n">
        <v>3</v>
      </c>
      <c r="D3325" t="inlineStr">
        <is>
          <t>Hub B</t>
        </is>
      </c>
      <c r="E3325" t="n">
        <v>66</v>
      </c>
      <c r="F3325" t="n">
        <v>19</v>
      </c>
    </row>
    <row r="3326">
      <c r="A3326" t="inlineStr">
        <is>
          <t>ORD03325</t>
        </is>
      </c>
      <c r="B3326" t="inlineStr">
        <is>
          <t>C0825</t>
        </is>
      </c>
      <c r="C3326" t="n">
        <v>1</v>
      </c>
      <c r="D3326" t="inlineStr">
        <is>
          <t>Hub B</t>
        </is>
      </c>
      <c r="E3326" t="n">
        <v>73</v>
      </c>
      <c r="F3326" t="n">
        <v>19</v>
      </c>
    </row>
    <row r="3327">
      <c r="A3327" t="inlineStr">
        <is>
          <t>ORD03326</t>
        </is>
      </c>
      <c r="B3327" t="inlineStr">
        <is>
          <t>C0826</t>
        </is>
      </c>
      <c r="C3327" t="n">
        <v>2</v>
      </c>
      <c r="D3327" t="inlineStr">
        <is>
          <t>Hub B</t>
        </is>
      </c>
      <c r="E3327" t="n">
        <v>20</v>
      </c>
      <c r="F3327" t="n">
        <v>19</v>
      </c>
    </row>
    <row r="3328">
      <c r="A3328" t="inlineStr">
        <is>
          <t>ORD03327</t>
        </is>
      </c>
      <c r="B3328" t="inlineStr">
        <is>
          <t>C0827</t>
        </is>
      </c>
      <c r="C3328" t="n">
        <v>3</v>
      </c>
      <c r="D3328" t="inlineStr">
        <is>
          <t>Hub B</t>
        </is>
      </c>
      <c r="E3328" t="n">
        <v>27</v>
      </c>
      <c r="F3328" t="n">
        <v>19</v>
      </c>
    </row>
    <row r="3329">
      <c r="A3329" t="inlineStr">
        <is>
          <t>ORD03328</t>
        </is>
      </c>
      <c r="B3329" t="inlineStr">
        <is>
          <t>C0828</t>
        </is>
      </c>
      <c r="C3329" t="n">
        <v>1</v>
      </c>
      <c r="D3329" t="inlineStr">
        <is>
          <t>Hub B</t>
        </is>
      </c>
      <c r="E3329" t="n">
        <v>34</v>
      </c>
      <c r="F3329" t="n">
        <v>19</v>
      </c>
    </row>
    <row r="3330">
      <c r="A3330" t="inlineStr">
        <is>
          <t>ORD03329</t>
        </is>
      </c>
      <c r="B3330" t="inlineStr">
        <is>
          <t>C0829</t>
        </is>
      </c>
      <c r="C3330" t="n">
        <v>2</v>
      </c>
      <c r="D3330" t="inlineStr">
        <is>
          <t>Hub B</t>
        </is>
      </c>
      <c r="E3330" t="n">
        <v>41</v>
      </c>
      <c r="F3330" t="n">
        <v>19</v>
      </c>
    </row>
    <row r="3331">
      <c r="A3331" t="inlineStr">
        <is>
          <t>ORD03330</t>
        </is>
      </c>
      <c r="B3331" t="inlineStr">
        <is>
          <t>C0830</t>
        </is>
      </c>
      <c r="C3331" t="n">
        <v>3</v>
      </c>
      <c r="D3331" t="inlineStr">
        <is>
          <t>Hub B</t>
        </is>
      </c>
      <c r="E3331" t="n">
        <v>48</v>
      </c>
      <c r="F3331" t="n">
        <v>19</v>
      </c>
    </row>
    <row r="3332">
      <c r="A3332" t="inlineStr">
        <is>
          <t>ORD03331</t>
        </is>
      </c>
      <c r="B3332" t="inlineStr">
        <is>
          <t>C0831</t>
        </is>
      </c>
      <c r="C3332" t="n">
        <v>1</v>
      </c>
      <c r="D3332" t="inlineStr">
        <is>
          <t>Hub B</t>
        </is>
      </c>
      <c r="E3332" t="n">
        <v>55</v>
      </c>
      <c r="F3332" t="n">
        <v>19</v>
      </c>
    </row>
    <row r="3333">
      <c r="A3333" t="inlineStr">
        <is>
          <t>ORD03332</t>
        </is>
      </c>
      <c r="B3333" t="inlineStr">
        <is>
          <t>C0832</t>
        </is>
      </c>
      <c r="C3333" t="n">
        <v>2</v>
      </c>
      <c r="D3333" t="inlineStr">
        <is>
          <t>Hub B</t>
        </is>
      </c>
      <c r="E3333" t="n">
        <v>62</v>
      </c>
      <c r="F3333" t="n">
        <v>19</v>
      </c>
    </row>
    <row r="3334">
      <c r="A3334" t="inlineStr">
        <is>
          <t>ORD03333</t>
        </is>
      </c>
      <c r="B3334" t="inlineStr">
        <is>
          <t>C0833</t>
        </is>
      </c>
      <c r="C3334" t="n">
        <v>3</v>
      </c>
      <c r="D3334" t="inlineStr">
        <is>
          <t>Hub B</t>
        </is>
      </c>
      <c r="E3334" t="n">
        <v>69</v>
      </c>
      <c r="F3334" t="n">
        <v>19</v>
      </c>
    </row>
    <row r="3335">
      <c r="A3335" t="inlineStr">
        <is>
          <t>ORD03334</t>
        </is>
      </c>
      <c r="B3335" t="inlineStr">
        <is>
          <t>C0834</t>
        </is>
      </c>
      <c r="C3335" t="n">
        <v>1</v>
      </c>
      <c r="D3335" t="inlineStr">
        <is>
          <t>Hub B</t>
        </is>
      </c>
      <c r="E3335" t="n">
        <v>76</v>
      </c>
      <c r="F3335" t="n">
        <v>19</v>
      </c>
    </row>
    <row r="3336">
      <c r="A3336" t="inlineStr">
        <is>
          <t>ORD03335</t>
        </is>
      </c>
      <c r="B3336" t="inlineStr">
        <is>
          <t>C0835</t>
        </is>
      </c>
      <c r="C3336" t="n">
        <v>2</v>
      </c>
      <c r="D3336" t="inlineStr">
        <is>
          <t>Hub B</t>
        </is>
      </c>
      <c r="E3336" t="n">
        <v>23</v>
      </c>
      <c r="F3336" t="n">
        <v>19</v>
      </c>
    </row>
    <row r="3337">
      <c r="A3337" t="inlineStr">
        <is>
          <t>ORD03336</t>
        </is>
      </c>
      <c r="B3337" t="inlineStr">
        <is>
          <t>C0836</t>
        </is>
      </c>
      <c r="C3337" t="n">
        <v>3</v>
      </c>
      <c r="D3337" t="inlineStr">
        <is>
          <t>Hub B</t>
        </is>
      </c>
      <c r="E3337" t="n">
        <v>30</v>
      </c>
      <c r="F3337" t="n">
        <v>19</v>
      </c>
    </row>
    <row r="3338">
      <c r="A3338" t="inlineStr">
        <is>
          <t>ORD03337</t>
        </is>
      </c>
      <c r="B3338" t="inlineStr">
        <is>
          <t>C0837</t>
        </is>
      </c>
      <c r="C3338" t="n">
        <v>1</v>
      </c>
      <c r="D3338" t="inlineStr">
        <is>
          <t>Hub B</t>
        </is>
      </c>
      <c r="E3338" t="n">
        <v>37</v>
      </c>
      <c r="F3338" t="n">
        <v>19</v>
      </c>
    </row>
    <row r="3339">
      <c r="A3339" t="inlineStr">
        <is>
          <t>ORD03338</t>
        </is>
      </c>
      <c r="B3339" t="inlineStr">
        <is>
          <t>C0838</t>
        </is>
      </c>
      <c r="C3339" t="n">
        <v>2</v>
      </c>
      <c r="D3339" t="inlineStr">
        <is>
          <t>Hub B</t>
        </is>
      </c>
      <c r="E3339" t="n">
        <v>44</v>
      </c>
      <c r="F3339" t="n">
        <v>19</v>
      </c>
    </row>
    <row r="3340">
      <c r="A3340" t="inlineStr">
        <is>
          <t>ORD03339</t>
        </is>
      </c>
      <c r="B3340" t="inlineStr">
        <is>
          <t>C0839</t>
        </is>
      </c>
      <c r="C3340" t="n">
        <v>3</v>
      </c>
      <c r="D3340" t="inlineStr">
        <is>
          <t>Hub B</t>
        </is>
      </c>
      <c r="E3340" t="n">
        <v>51</v>
      </c>
      <c r="F3340" t="n">
        <v>19</v>
      </c>
    </row>
    <row r="3341">
      <c r="A3341" t="inlineStr">
        <is>
          <t>ORD03340</t>
        </is>
      </c>
      <c r="B3341" t="inlineStr">
        <is>
          <t>C0840</t>
        </is>
      </c>
      <c r="C3341" t="n">
        <v>1</v>
      </c>
      <c r="D3341" t="inlineStr">
        <is>
          <t>Hub B</t>
        </is>
      </c>
      <c r="E3341" t="n">
        <v>58</v>
      </c>
      <c r="F3341" t="n">
        <v>19</v>
      </c>
    </row>
    <row r="3342">
      <c r="A3342" t="inlineStr">
        <is>
          <t>ORD03341</t>
        </is>
      </c>
      <c r="B3342" t="inlineStr">
        <is>
          <t>C0841</t>
        </is>
      </c>
      <c r="C3342" t="n">
        <v>2</v>
      </c>
      <c r="D3342" t="inlineStr">
        <is>
          <t>Hub B</t>
        </is>
      </c>
      <c r="E3342" t="n">
        <v>65</v>
      </c>
      <c r="F3342" t="n">
        <v>19</v>
      </c>
    </row>
    <row r="3343">
      <c r="A3343" t="inlineStr">
        <is>
          <t>ORD03342</t>
        </is>
      </c>
      <c r="B3343" t="inlineStr">
        <is>
          <t>C0842</t>
        </is>
      </c>
      <c r="C3343" t="n">
        <v>3</v>
      </c>
      <c r="D3343" t="inlineStr">
        <is>
          <t>Hub B</t>
        </is>
      </c>
      <c r="E3343" t="n">
        <v>72</v>
      </c>
      <c r="F3343" t="n">
        <v>19</v>
      </c>
    </row>
    <row r="3344">
      <c r="A3344" t="inlineStr">
        <is>
          <t>ORD03343</t>
        </is>
      </c>
      <c r="B3344" t="inlineStr">
        <is>
          <t>C0843</t>
        </is>
      </c>
      <c r="C3344" t="n">
        <v>1</v>
      </c>
      <c r="D3344" t="inlineStr">
        <is>
          <t>Hub B</t>
        </is>
      </c>
      <c r="E3344" t="n">
        <v>19</v>
      </c>
      <c r="F3344" t="n">
        <v>19</v>
      </c>
    </row>
    <row r="3345">
      <c r="A3345" t="inlineStr">
        <is>
          <t>ORD03344</t>
        </is>
      </c>
      <c r="B3345" t="inlineStr">
        <is>
          <t>C0844</t>
        </is>
      </c>
      <c r="C3345" t="n">
        <v>2</v>
      </c>
      <c r="D3345" t="inlineStr">
        <is>
          <t>Hub B</t>
        </is>
      </c>
      <c r="E3345" t="n">
        <v>26</v>
      </c>
      <c r="F3345" t="n">
        <v>19</v>
      </c>
    </row>
    <row r="3346">
      <c r="A3346" t="inlineStr">
        <is>
          <t>ORD03345</t>
        </is>
      </c>
      <c r="B3346" t="inlineStr">
        <is>
          <t>C0845</t>
        </is>
      </c>
      <c r="C3346" t="n">
        <v>3</v>
      </c>
      <c r="D3346" t="inlineStr">
        <is>
          <t>Hub B</t>
        </is>
      </c>
      <c r="E3346" t="n">
        <v>33</v>
      </c>
      <c r="F3346" t="n">
        <v>19</v>
      </c>
    </row>
    <row r="3347">
      <c r="A3347" t="inlineStr">
        <is>
          <t>ORD03346</t>
        </is>
      </c>
      <c r="B3347" t="inlineStr">
        <is>
          <t>C0846</t>
        </is>
      </c>
      <c r="C3347" t="n">
        <v>1</v>
      </c>
      <c r="D3347" t="inlineStr">
        <is>
          <t>Hub B</t>
        </is>
      </c>
      <c r="E3347" t="n">
        <v>40</v>
      </c>
      <c r="F3347" t="n">
        <v>19</v>
      </c>
    </row>
    <row r="3348">
      <c r="A3348" t="inlineStr">
        <is>
          <t>ORD03347</t>
        </is>
      </c>
      <c r="B3348" t="inlineStr">
        <is>
          <t>C0847</t>
        </is>
      </c>
      <c r="C3348" t="n">
        <v>2</v>
      </c>
      <c r="D3348" t="inlineStr">
        <is>
          <t>Hub B</t>
        </is>
      </c>
      <c r="E3348" t="n">
        <v>47</v>
      </c>
      <c r="F3348" t="n">
        <v>19</v>
      </c>
    </row>
    <row r="3349">
      <c r="A3349" t="inlineStr">
        <is>
          <t>ORD03348</t>
        </is>
      </c>
      <c r="B3349" t="inlineStr">
        <is>
          <t>C0848</t>
        </is>
      </c>
      <c r="C3349" t="n">
        <v>3</v>
      </c>
      <c r="D3349" t="inlineStr">
        <is>
          <t>Hub B</t>
        </is>
      </c>
      <c r="E3349" t="n">
        <v>54</v>
      </c>
      <c r="F3349" t="n">
        <v>19</v>
      </c>
    </row>
    <row r="3350">
      <c r="A3350" t="inlineStr">
        <is>
          <t>ORD03349</t>
        </is>
      </c>
      <c r="B3350" t="inlineStr">
        <is>
          <t>C0849</t>
        </is>
      </c>
      <c r="C3350" t="n">
        <v>1</v>
      </c>
      <c r="D3350" t="inlineStr">
        <is>
          <t>Hub B</t>
        </is>
      </c>
      <c r="E3350" t="n">
        <v>61</v>
      </c>
      <c r="F3350" t="n">
        <v>19</v>
      </c>
    </row>
    <row r="3351">
      <c r="A3351" t="inlineStr">
        <is>
          <t>ORD03350</t>
        </is>
      </c>
      <c r="B3351" t="inlineStr">
        <is>
          <t>C0850</t>
        </is>
      </c>
      <c r="C3351" t="n">
        <v>2</v>
      </c>
      <c r="D3351" t="inlineStr">
        <is>
          <t>Hub B</t>
        </is>
      </c>
      <c r="E3351" t="n">
        <v>68</v>
      </c>
      <c r="F3351" t="n">
        <v>19</v>
      </c>
    </row>
    <row r="3352">
      <c r="A3352" t="inlineStr">
        <is>
          <t>ORD03351</t>
        </is>
      </c>
      <c r="B3352" t="inlineStr">
        <is>
          <t>C0851</t>
        </is>
      </c>
      <c r="C3352" t="n">
        <v>3</v>
      </c>
      <c r="D3352" t="inlineStr">
        <is>
          <t>Hub B</t>
        </is>
      </c>
      <c r="E3352" t="n">
        <v>75</v>
      </c>
      <c r="F3352" t="n">
        <v>19</v>
      </c>
    </row>
    <row r="3353">
      <c r="A3353" t="inlineStr">
        <is>
          <t>ORD03352</t>
        </is>
      </c>
      <c r="B3353" t="inlineStr">
        <is>
          <t>C0852</t>
        </is>
      </c>
      <c r="C3353" t="n">
        <v>1</v>
      </c>
      <c r="D3353" t="inlineStr">
        <is>
          <t>Hub B</t>
        </is>
      </c>
      <c r="E3353" t="n">
        <v>22</v>
      </c>
      <c r="F3353" t="n">
        <v>19</v>
      </c>
    </row>
    <row r="3354">
      <c r="A3354" t="inlineStr">
        <is>
          <t>ORD03353</t>
        </is>
      </c>
      <c r="B3354" t="inlineStr">
        <is>
          <t>C0853</t>
        </is>
      </c>
      <c r="C3354" t="n">
        <v>2</v>
      </c>
      <c r="D3354" t="inlineStr">
        <is>
          <t>Hub B</t>
        </is>
      </c>
      <c r="E3354" t="n">
        <v>29</v>
      </c>
      <c r="F3354" t="n">
        <v>19</v>
      </c>
    </row>
    <row r="3355">
      <c r="A3355" t="inlineStr">
        <is>
          <t>ORD03354</t>
        </is>
      </c>
      <c r="B3355" t="inlineStr">
        <is>
          <t>C0854</t>
        </is>
      </c>
      <c r="C3355" t="n">
        <v>3</v>
      </c>
      <c r="D3355" t="inlineStr">
        <is>
          <t>Hub B</t>
        </is>
      </c>
      <c r="E3355" t="n">
        <v>36</v>
      </c>
      <c r="F3355" t="n">
        <v>19</v>
      </c>
    </row>
    <row r="3356">
      <c r="A3356" t="inlineStr">
        <is>
          <t>ORD03355</t>
        </is>
      </c>
      <c r="B3356" t="inlineStr">
        <is>
          <t>C0855</t>
        </is>
      </c>
      <c r="C3356" t="n">
        <v>1</v>
      </c>
      <c r="D3356" t="inlineStr">
        <is>
          <t>Hub B</t>
        </is>
      </c>
      <c r="E3356" t="n">
        <v>43</v>
      </c>
      <c r="F3356" t="n">
        <v>19</v>
      </c>
    </row>
    <row r="3357">
      <c r="A3357" t="inlineStr">
        <is>
          <t>ORD03356</t>
        </is>
      </c>
      <c r="B3357" t="inlineStr">
        <is>
          <t>C0856</t>
        </is>
      </c>
      <c r="C3357" t="n">
        <v>2</v>
      </c>
      <c r="D3357" t="inlineStr">
        <is>
          <t>Hub B</t>
        </is>
      </c>
      <c r="E3357" t="n">
        <v>50</v>
      </c>
      <c r="F3357" t="n">
        <v>19</v>
      </c>
    </row>
    <row r="3358">
      <c r="A3358" t="inlineStr">
        <is>
          <t>ORD03357</t>
        </is>
      </c>
      <c r="B3358" t="inlineStr">
        <is>
          <t>C0857</t>
        </is>
      </c>
      <c r="C3358" t="n">
        <v>3</v>
      </c>
      <c r="D3358" t="inlineStr">
        <is>
          <t>Hub B</t>
        </is>
      </c>
      <c r="E3358" t="n">
        <v>57</v>
      </c>
      <c r="F3358" t="n">
        <v>19</v>
      </c>
    </row>
    <row r="3359">
      <c r="A3359" t="inlineStr">
        <is>
          <t>ORD03358</t>
        </is>
      </c>
      <c r="B3359" t="inlineStr">
        <is>
          <t>C0858</t>
        </is>
      </c>
      <c r="C3359" t="n">
        <v>1</v>
      </c>
      <c r="D3359" t="inlineStr">
        <is>
          <t>Hub B</t>
        </is>
      </c>
      <c r="E3359" t="n">
        <v>64</v>
      </c>
      <c r="F3359" t="n">
        <v>19</v>
      </c>
    </row>
    <row r="3360">
      <c r="A3360" t="inlineStr">
        <is>
          <t>ORD03359</t>
        </is>
      </c>
      <c r="B3360" t="inlineStr">
        <is>
          <t>C0859</t>
        </is>
      </c>
      <c r="C3360" t="n">
        <v>2</v>
      </c>
      <c r="D3360" t="inlineStr">
        <is>
          <t>Hub B</t>
        </is>
      </c>
      <c r="E3360" t="n">
        <v>71</v>
      </c>
      <c r="F3360" t="n">
        <v>19</v>
      </c>
    </row>
    <row r="3361">
      <c r="A3361" t="inlineStr">
        <is>
          <t>ORD03360</t>
        </is>
      </c>
      <c r="B3361" t="inlineStr">
        <is>
          <t>C0860</t>
        </is>
      </c>
      <c r="C3361" t="n">
        <v>3</v>
      </c>
      <c r="D3361" t="inlineStr">
        <is>
          <t>Hub B</t>
        </is>
      </c>
      <c r="E3361" t="n">
        <v>18</v>
      </c>
      <c r="F3361" t="n">
        <v>19</v>
      </c>
    </row>
    <row r="3362">
      <c r="A3362" t="inlineStr">
        <is>
          <t>ORD03361</t>
        </is>
      </c>
      <c r="B3362" t="inlineStr">
        <is>
          <t>C0861</t>
        </is>
      </c>
      <c r="C3362" t="n">
        <v>1</v>
      </c>
      <c r="D3362" t="inlineStr">
        <is>
          <t>Hub B</t>
        </is>
      </c>
      <c r="E3362" t="n">
        <v>25</v>
      </c>
      <c r="F3362" t="n">
        <v>19</v>
      </c>
    </row>
    <row r="3363">
      <c r="A3363" t="inlineStr">
        <is>
          <t>ORD03362</t>
        </is>
      </c>
      <c r="B3363" t="inlineStr">
        <is>
          <t>C0862</t>
        </is>
      </c>
      <c r="C3363" t="n">
        <v>2</v>
      </c>
      <c r="D3363" t="inlineStr">
        <is>
          <t>Hub B</t>
        </is>
      </c>
      <c r="E3363" t="n">
        <v>32</v>
      </c>
      <c r="F3363" t="n">
        <v>19</v>
      </c>
    </row>
    <row r="3364">
      <c r="A3364" t="inlineStr">
        <is>
          <t>ORD03363</t>
        </is>
      </c>
      <c r="B3364" t="inlineStr">
        <is>
          <t>C0863</t>
        </is>
      </c>
      <c r="C3364" t="n">
        <v>3</v>
      </c>
      <c r="D3364" t="inlineStr">
        <is>
          <t>Hub B</t>
        </is>
      </c>
      <c r="E3364" t="n">
        <v>39</v>
      </c>
      <c r="F3364" t="n">
        <v>19</v>
      </c>
    </row>
    <row r="3365">
      <c r="A3365" t="inlineStr">
        <is>
          <t>ORD03364</t>
        </is>
      </c>
      <c r="B3365" t="inlineStr">
        <is>
          <t>C0864</t>
        </is>
      </c>
      <c r="C3365" t="n">
        <v>1</v>
      </c>
      <c r="D3365" t="inlineStr">
        <is>
          <t>Hub B</t>
        </is>
      </c>
      <c r="E3365" t="n">
        <v>46</v>
      </c>
      <c r="F3365" t="n">
        <v>19</v>
      </c>
    </row>
    <row r="3366">
      <c r="A3366" t="inlineStr">
        <is>
          <t>ORD03365</t>
        </is>
      </c>
      <c r="B3366" t="inlineStr">
        <is>
          <t>C0865</t>
        </is>
      </c>
      <c r="C3366" t="n">
        <v>2</v>
      </c>
      <c r="D3366" t="inlineStr">
        <is>
          <t>Hub B</t>
        </is>
      </c>
      <c r="E3366" t="n">
        <v>53</v>
      </c>
      <c r="F3366" t="n">
        <v>19</v>
      </c>
    </row>
    <row r="3367">
      <c r="A3367" t="inlineStr">
        <is>
          <t>ORD03366</t>
        </is>
      </c>
      <c r="B3367" t="inlineStr">
        <is>
          <t>C0866</t>
        </is>
      </c>
      <c r="C3367" t="n">
        <v>3</v>
      </c>
      <c r="D3367" t="inlineStr">
        <is>
          <t>Hub B</t>
        </is>
      </c>
      <c r="E3367" t="n">
        <v>60</v>
      </c>
      <c r="F3367" t="n">
        <v>19</v>
      </c>
    </row>
    <row r="3368">
      <c r="A3368" t="inlineStr">
        <is>
          <t>ORD03367</t>
        </is>
      </c>
      <c r="B3368" t="inlineStr">
        <is>
          <t>C0867</t>
        </is>
      </c>
      <c r="C3368" t="n">
        <v>1</v>
      </c>
      <c r="D3368" t="inlineStr">
        <is>
          <t>Hub B</t>
        </is>
      </c>
      <c r="E3368" t="n">
        <v>67</v>
      </c>
      <c r="F3368" t="n">
        <v>19</v>
      </c>
    </row>
    <row r="3369">
      <c r="A3369" t="inlineStr">
        <is>
          <t>ORD03368</t>
        </is>
      </c>
      <c r="B3369" t="inlineStr">
        <is>
          <t>C0868</t>
        </is>
      </c>
      <c r="C3369" t="n">
        <v>2</v>
      </c>
      <c r="D3369" t="inlineStr">
        <is>
          <t>Hub B</t>
        </is>
      </c>
      <c r="E3369" t="n">
        <v>74</v>
      </c>
      <c r="F3369" t="n">
        <v>19</v>
      </c>
    </row>
    <row r="3370">
      <c r="A3370" t="inlineStr">
        <is>
          <t>ORD03369</t>
        </is>
      </c>
      <c r="B3370" t="inlineStr">
        <is>
          <t>C0869</t>
        </is>
      </c>
      <c r="C3370" t="n">
        <v>3</v>
      </c>
      <c r="D3370" t="inlineStr">
        <is>
          <t>Hub B</t>
        </is>
      </c>
      <c r="E3370" t="n">
        <v>21</v>
      </c>
      <c r="F3370" t="n">
        <v>19</v>
      </c>
    </row>
    <row r="3371">
      <c r="A3371" t="inlineStr">
        <is>
          <t>ORD03370</t>
        </is>
      </c>
      <c r="B3371" t="inlineStr">
        <is>
          <t>C0870</t>
        </is>
      </c>
      <c r="C3371" t="n">
        <v>1</v>
      </c>
      <c r="D3371" t="inlineStr">
        <is>
          <t>Hub B</t>
        </is>
      </c>
      <c r="E3371" t="n">
        <v>28</v>
      </c>
      <c r="F3371" t="n">
        <v>19</v>
      </c>
    </row>
    <row r="3372">
      <c r="A3372" t="inlineStr">
        <is>
          <t>ORD03371</t>
        </is>
      </c>
      <c r="B3372" t="inlineStr">
        <is>
          <t>C0871</t>
        </is>
      </c>
      <c r="C3372" t="n">
        <v>2</v>
      </c>
      <c r="D3372" t="inlineStr">
        <is>
          <t>Hub B</t>
        </is>
      </c>
      <c r="E3372" t="n">
        <v>35</v>
      </c>
      <c r="F3372" t="n">
        <v>19</v>
      </c>
    </row>
    <row r="3373">
      <c r="A3373" t="inlineStr">
        <is>
          <t>ORD03372</t>
        </is>
      </c>
      <c r="B3373" t="inlineStr">
        <is>
          <t>C0872</t>
        </is>
      </c>
      <c r="C3373" t="n">
        <v>3</v>
      </c>
      <c r="D3373" t="inlineStr">
        <is>
          <t>Hub B</t>
        </is>
      </c>
      <c r="E3373" t="n">
        <v>42</v>
      </c>
      <c r="F3373" t="n">
        <v>19</v>
      </c>
    </row>
    <row r="3374">
      <c r="A3374" t="inlineStr">
        <is>
          <t>ORD03373</t>
        </is>
      </c>
      <c r="B3374" t="inlineStr">
        <is>
          <t>C0873</t>
        </is>
      </c>
      <c r="C3374" t="n">
        <v>1</v>
      </c>
      <c r="D3374" t="inlineStr">
        <is>
          <t>Hub B</t>
        </is>
      </c>
      <c r="E3374" t="n">
        <v>49</v>
      </c>
      <c r="F3374" t="n">
        <v>19</v>
      </c>
    </row>
    <row r="3375">
      <c r="A3375" t="inlineStr">
        <is>
          <t>ORD03374</t>
        </is>
      </c>
      <c r="B3375" t="inlineStr">
        <is>
          <t>C0874</t>
        </is>
      </c>
      <c r="C3375" t="n">
        <v>2</v>
      </c>
      <c r="D3375" t="inlineStr">
        <is>
          <t>Hub B</t>
        </is>
      </c>
      <c r="E3375" t="n">
        <v>56</v>
      </c>
      <c r="F3375" t="n">
        <v>19</v>
      </c>
    </row>
    <row r="3376">
      <c r="A3376" t="inlineStr">
        <is>
          <t>ORD03375</t>
        </is>
      </c>
      <c r="B3376" t="inlineStr">
        <is>
          <t>C0875</t>
        </is>
      </c>
      <c r="C3376" t="n">
        <v>3</v>
      </c>
      <c r="D3376" t="inlineStr">
        <is>
          <t>Hub B</t>
        </is>
      </c>
      <c r="E3376" t="n">
        <v>63</v>
      </c>
      <c r="F3376" t="n">
        <v>19</v>
      </c>
    </row>
    <row r="3377">
      <c r="A3377" t="inlineStr">
        <is>
          <t>ORD03376</t>
        </is>
      </c>
      <c r="B3377" t="inlineStr">
        <is>
          <t>C0876</t>
        </is>
      </c>
      <c r="C3377" t="n">
        <v>1</v>
      </c>
      <c r="D3377" t="inlineStr">
        <is>
          <t>Hub B</t>
        </is>
      </c>
      <c r="E3377" t="n">
        <v>70</v>
      </c>
      <c r="F3377" t="n">
        <v>19</v>
      </c>
    </row>
    <row r="3378">
      <c r="A3378" t="inlineStr">
        <is>
          <t>ORD03377</t>
        </is>
      </c>
      <c r="B3378" t="inlineStr">
        <is>
          <t>C0877</t>
        </is>
      </c>
      <c r="C3378" t="n">
        <v>2</v>
      </c>
      <c r="D3378" t="inlineStr">
        <is>
          <t>Hub B</t>
        </is>
      </c>
      <c r="E3378" t="n">
        <v>77</v>
      </c>
      <c r="F3378" t="n">
        <v>19</v>
      </c>
    </row>
    <row r="3379">
      <c r="A3379" t="inlineStr">
        <is>
          <t>ORD03378</t>
        </is>
      </c>
      <c r="B3379" t="inlineStr">
        <is>
          <t>C0878</t>
        </is>
      </c>
      <c r="C3379" t="n">
        <v>3</v>
      </c>
      <c r="D3379" t="inlineStr">
        <is>
          <t>Hub B</t>
        </is>
      </c>
      <c r="E3379" t="n">
        <v>24</v>
      </c>
      <c r="F3379" t="n">
        <v>19</v>
      </c>
    </row>
    <row r="3380">
      <c r="A3380" t="inlineStr">
        <is>
          <t>ORD03379</t>
        </is>
      </c>
      <c r="B3380" t="inlineStr">
        <is>
          <t>C0879</t>
        </is>
      </c>
      <c r="C3380" t="n">
        <v>1</v>
      </c>
      <c r="D3380" t="inlineStr">
        <is>
          <t>Hub B</t>
        </is>
      </c>
      <c r="E3380" t="n">
        <v>31</v>
      </c>
      <c r="F3380" t="n">
        <v>19</v>
      </c>
    </row>
    <row r="3381">
      <c r="A3381" t="inlineStr">
        <is>
          <t>ORD03380</t>
        </is>
      </c>
      <c r="B3381" t="inlineStr">
        <is>
          <t>C0880</t>
        </is>
      </c>
      <c r="C3381" t="n">
        <v>2</v>
      </c>
      <c r="D3381" t="inlineStr">
        <is>
          <t>Hub B</t>
        </is>
      </c>
      <c r="E3381" t="n">
        <v>38</v>
      </c>
      <c r="F3381" t="n">
        <v>19</v>
      </c>
    </row>
    <row r="3382">
      <c r="A3382" t="inlineStr">
        <is>
          <t>ORD03381</t>
        </is>
      </c>
      <c r="B3382" t="inlineStr">
        <is>
          <t>C0881</t>
        </is>
      </c>
      <c r="C3382" t="n">
        <v>3</v>
      </c>
      <c r="D3382" t="inlineStr">
        <is>
          <t>Hub B</t>
        </is>
      </c>
      <c r="E3382" t="n">
        <v>45</v>
      </c>
      <c r="F3382" t="n">
        <v>19</v>
      </c>
    </row>
    <row r="3383">
      <c r="A3383" t="inlineStr">
        <is>
          <t>ORD03382</t>
        </is>
      </c>
      <c r="B3383" t="inlineStr">
        <is>
          <t>C0882</t>
        </is>
      </c>
      <c r="C3383" t="n">
        <v>1</v>
      </c>
      <c r="D3383" t="inlineStr">
        <is>
          <t>Hub B</t>
        </is>
      </c>
      <c r="E3383" t="n">
        <v>52</v>
      </c>
      <c r="F3383" t="n">
        <v>19</v>
      </c>
    </row>
    <row r="3384">
      <c r="A3384" t="inlineStr">
        <is>
          <t>ORD03383</t>
        </is>
      </c>
      <c r="B3384" t="inlineStr">
        <is>
          <t>C0883</t>
        </is>
      </c>
      <c r="C3384" t="n">
        <v>2</v>
      </c>
      <c r="D3384" t="inlineStr">
        <is>
          <t>Hub B</t>
        </is>
      </c>
      <c r="E3384" t="n">
        <v>59</v>
      </c>
      <c r="F3384" t="n">
        <v>19</v>
      </c>
    </row>
    <row r="3385">
      <c r="A3385" t="inlineStr">
        <is>
          <t>ORD03384</t>
        </is>
      </c>
      <c r="B3385" t="inlineStr">
        <is>
          <t>C0884</t>
        </is>
      </c>
      <c r="C3385" t="n">
        <v>3</v>
      </c>
      <c r="D3385" t="inlineStr">
        <is>
          <t>Hub B</t>
        </is>
      </c>
      <c r="E3385" t="n">
        <v>66</v>
      </c>
      <c r="F3385" t="n">
        <v>19</v>
      </c>
    </row>
    <row r="3386">
      <c r="A3386" t="inlineStr">
        <is>
          <t>ORD03385</t>
        </is>
      </c>
      <c r="B3386" t="inlineStr">
        <is>
          <t>C0885</t>
        </is>
      </c>
      <c r="C3386" t="n">
        <v>1</v>
      </c>
      <c r="D3386" t="inlineStr">
        <is>
          <t>Hub B</t>
        </is>
      </c>
      <c r="E3386" t="n">
        <v>73</v>
      </c>
      <c r="F3386" t="n">
        <v>19</v>
      </c>
    </row>
    <row r="3387">
      <c r="A3387" t="inlineStr">
        <is>
          <t>ORD03386</t>
        </is>
      </c>
      <c r="B3387" t="inlineStr">
        <is>
          <t>C0886</t>
        </is>
      </c>
      <c r="C3387" t="n">
        <v>2</v>
      </c>
      <c r="D3387" t="inlineStr">
        <is>
          <t>Hub B</t>
        </is>
      </c>
      <c r="E3387" t="n">
        <v>20</v>
      </c>
      <c r="F3387" t="n">
        <v>19</v>
      </c>
    </row>
    <row r="3388">
      <c r="A3388" t="inlineStr">
        <is>
          <t>ORD03387</t>
        </is>
      </c>
      <c r="B3388" t="inlineStr">
        <is>
          <t>C0887</t>
        </is>
      </c>
      <c r="C3388" t="n">
        <v>3</v>
      </c>
      <c r="D3388" t="inlineStr">
        <is>
          <t>Hub B</t>
        </is>
      </c>
      <c r="E3388" t="n">
        <v>27</v>
      </c>
      <c r="F3388" t="n">
        <v>19</v>
      </c>
    </row>
    <row r="3389">
      <c r="A3389" t="inlineStr">
        <is>
          <t>ORD03388</t>
        </is>
      </c>
      <c r="B3389" t="inlineStr">
        <is>
          <t>C0888</t>
        </is>
      </c>
      <c r="C3389" t="n">
        <v>1</v>
      </c>
      <c r="D3389" t="inlineStr">
        <is>
          <t>Hub B</t>
        </is>
      </c>
      <c r="E3389" t="n">
        <v>34</v>
      </c>
      <c r="F3389" t="n">
        <v>19</v>
      </c>
    </row>
    <row r="3390">
      <c r="A3390" t="inlineStr">
        <is>
          <t>ORD03389</t>
        </is>
      </c>
      <c r="B3390" t="inlineStr">
        <is>
          <t>C0889</t>
        </is>
      </c>
      <c r="C3390" t="n">
        <v>2</v>
      </c>
      <c r="D3390" t="inlineStr">
        <is>
          <t>Hub B</t>
        </is>
      </c>
      <c r="E3390" t="n">
        <v>41</v>
      </c>
      <c r="F3390" t="n">
        <v>19</v>
      </c>
    </row>
    <row r="3391">
      <c r="A3391" t="inlineStr">
        <is>
          <t>ORD03390</t>
        </is>
      </c>
      <c r="B3391" t="inlineStr">
        <is>
          <t>C0890</t>
        </is>
      </c>
      <c r="C3391" t="n">
        <v>3</v>
      </c>
      <c r="D3391" t="inlineStr">
        <is>
          <t>Hub B</t>
        </is>
      </c>
      <c r="E3391" t="n">
        <v>48</v>
      </c>
      <c r="F3391" t="n">
        <v>19</v>
      </c>
    </row>
    <row r="3392">
      <c r="A3392" t="inlineStr">
        <is>
          <t>ORD03391</t>
        </is>
      </c>
      <c r="B3392" t="inlineStr">
        <is>
          <t>C0891</t>
        </is>
      </c>
      <c r="C3392" t="n">
        <v>1</v>
      </c>
      <c r="D3392" t="inlineStr">
        <is>
          <t>Hub B</t>
        </is>
      </c>
      <c r="E3392" t="n">
        <v>55</v>
      </c>
      <c r="F3392" t="n">
        <v>19</v>
      </c>
    </row>
    <row r="3393">
      <c r="A3393" t="inlineStr">
        <is>
          <t>ORD03392</t>
        </is>
      </c>
      <c r="B3393" t="inlineStr">
        <is>
          <t>C0892</t>
        </is>
      </c>
      <c r="C3393" t="n">
        <v>2</v>
      </c>
      <c r="D3393" t="inlineStr">
        <is>
          <t>Hub B</t>
        </is>
      </c>
      <c r="E3393" t="n">
        <v>62</v>
      </c>
      <c r="F3393" t="n">
        <v>19</v>
      </c>
    </row>
    <row r="3394">
      <c r="A3394" t="inlineStr">
        <is>
          <t>ORD03393</t>
        </is>
      </c>
      <c r="B3394" t="inlineStr">
        <is>
          <t>C0893</t>
        </is>
      </c>
      <c r="C3394" t="n">
        <v>3</v>
      </c>
      <c r="D3394" t="inlineStr">
        <is>
          <t>Hub B</t>
        </is>
      </c>
      <c r="E3394" t="n">
        <v>69</v>
      </c>
      <c r="F3394" t="n">
        <v>19</v>
      </c>
    </row>
    <row r="3395">
      <c r="A3395" t="inlineStr">
        <is>
          <t>ORD03394</t>
        </is>
      </c>
      <c r="B3395" t="inlineStr">
        <is>
          <t>C0894</t>
        </is>
      </c>
      <c r="C3395" t="n">
        <v>1</v>
      </c>
      <c r="D3395" t="inlineStr">
        <is>
          <t>Hub B</t>
        </is>
      </c>
      <c r="E3395" t="n">
        <v>76</v>
      </c>
      <c r="F3395" t="n">
        <v>19</v>
      </c>
    </row>
    <row r="3396">
      <c r="A3396" t="inlineStr">
        <is>
          <t>ORD03395</t>
        </is>
      </c>
      <c r="B3396" t="inlineStr">
        <is>
          <t>C0895</t>
        </is>
      </c>
      <c r="C3396" t="n">
        <v>2</v>
      </c>
      <c r="D3396" t="inlineStr">
        <is>
          <t>Hub B</t>
        </is>
      </c>
      <c r="E3396" t="n">
        <v>23</v>
      </c>
      <c r="F3396" t="n">
        <v>19</v>
      </c>
    </row>
    <row r="3397">
      <c r="A3397" t="inlineStr">
        <is>
          <t>ORD03396</t>
        </is>
      </c>
      <c r="B3397" t="inlineStr">
        <is>
          <t>C0896</t>
        </is>
      </c>
      <c r="C3397" t="n">
        <v>3</v>
      </c>
      <c r="D3397" t="inlineStr">
        <is>
          <t>Hub B</t>
        </is>
      </c>
      <c r="E3397" t="n">
        <v>30</v>
      </c>
      <c r="F3397" t="n">
        <v>19</v>
      </c>
    </row>
    <row r="3398">
      <c r="A3398" t="inlineStr">
        <is>
          <t>ORD03397</t>
        </is>
      </c>
      <c r="B3398" t="inlineStr">
        <is>
          <t>C0897</t>
        </is>
      </c>
      <c r="C3398" t="n">
        <v>1</v>
      </c>
      <c r="D3398" t="inlineStr">
        <is>
          <t>Hub B</t>
        </is>
      </c>
      <c r="E3398" t="n">
        <v>37</v>
      </c>
      <c r="F3398" t="n">
        <v>19</v>
      </c>
    </row>
    <row r="3399">
      <c r="A3399" t="inlineStr">
        <is>
          <t>ORD03398</t>
        </is>
      </c>
      <c r="B3399" t="inlineStr">
        <is>
          <t>C0898</t>
        </is>
      </c>
      <c r="C3399" t="n">
        <v>2</v>
      </c>
      <c r="D3399" t="inlineStr">
        <is>
          <t>Hub B</t>
        </is>
      </c>
      <c r="E3399" t="n">
        <v>44</v>
      </c>
      <c r="F3399" t="n">
        <v>19</v>
      </c>
    </row>
    <row r="3400">
      <c r="A3400" t="inlineStr">
        <is>
          <t>ORD03399</t>
        </is>
      </c>
      <c r="B3400" t="inlineStr">
        <is>
          <t>C0899</t>
        </is>
      </c>
      <c r="C3400" t="n">
        <v>3</v>
      </c>
      <c r="D3400" t="inlineStr">
        <is>
          <t>Hub B</t>
        </is>
      </c>
      <c r="E3400" t="n">
        <v>51</v>
      </c>
      <c r="F3400" t="n">
        <v>19</v>
      </c>
    </row>
    <row r="3401">
      <c r="A3401" t="inlineStr">
        <is>
          <t>ORD03400</t>
        </is>
      </c>
      <c r="B3401" t="inlineStr">
        <is>
          <t>C0900</t>
        </is>
      </c>
      <c r="C3401" t="n">
        <v>1</v>
      </c>
      <c r="D3401" t="inlineStr">
        <is>
          <t>Hub B</t>
        </is>
      </c>
      <c r="E3401" t="n">
        <v>58</v>
      </c>
      <c r="F3401" t="n">
        <v>19</v>
      </c>
    </row>
    <row r="3402">
      <c r="A3402" t="inlineStr">
        <is>
          <t>ORD03401</t>
        </is>
      </c>
      <c r="B3402" t="inlineStr">
        <is>
          <t>C0901</t>
        </is>
      </c>
      <c r="C3402" t="n">
        <v>2</v>
      </c>
      <c r="D3402" t="inlineStr">
        <is>
          <t>Hub B</t>
        </is>
      </c>
      <c r="E3402" t="n">
        <v>65</v>
      </c>
      <c r="F3402" t="n">
        <v>19</v>
      </c>
    </row>
    <row r="3403">
      <c r="A3403" t="inlineStr">
        <is>
          <t>ORD03402</t>
        </is>
      </c>
      <c r="B3403" t="inlineStr">
        <is>
          <t>C0902</t>
        </is>
      </c>
      <c r="C3403" t="n">
        <v>3</v>
      </c>
      <c r="D3403" t="inlineStr">
        <is>
          <t>Hub B</t>
        </is>
      </c>
      <c r="E3403" t="n">
        <v>72</v>
      </c>
      <c r="F3403" t="n">
        <v>19</v>
      </c>
    </row>
    <row r="3404">
      <c r="A3404" t="inlineStr">
        <is>
          <t>ORD03403</t>
        </is>
      </c>
      <c r="B3404" t="inlineStr">
        <is>
          <t>C0903</t>
        </is>
      </c>
      <c r="C3404" t="n">
        <v>1</v>
      </c>
      <c r="D3404" t="inlineStr">
        <is>
          <t>Hub B</t>
        </is>
      </c>
      <c r="E3404" t="n">
        <v>19</v>
      </c>
      <c r="F3404" t="n">
        <v>19</v>
      </c>
    </row>
    <row r="3405">
      <c r="A3405" t="inlineStr">
        <is>
          <t>ORD03404</t>
        </is>
      </c>
      <c r="B3405" t="inlineStr">
        <is>
          <t>C0904</t>
        </is>
      </c>
      <c r="C3405" t="n">
        <v>2</v>
      </c>
      <c r="D3405" t="inlineStr">
        <is>
          <t>Hub B</t>
        </is>
      </c>
      <c r="E3405" t="n">
        <v>26</v>
      </c>
      <c r="F3405" t="n">
        <v>19</v>
      </c>
    </row>
    <row r="3406">
      <c r="A3406" t="inlineStr">
        <is>
          <t>ORD03405</t>
        </is>
      </c>
      <c r="B3406" t="inlineStr">
        <is>
          <t>C0905</t>
        </is>
      </c>
      <c r="C3406" t="n">
        <v>3</v>
      </c>
      <c r="D3406" t="inlineStr">
        <is>
          <t>Hub B</t>
        </is>
      </c>
      <c r="E3406" t="n">
        <v>33</v>
      </c>
      <c r="F3406" t="n">
        <v>19</v>
      </c>
    </row>
    <row r="3407">
      <c r="A3407" t="inlineStr">
        <is>
          <t>ORD03406</t>
        </is>
      </c>
      <c r="B3407" t="inlineStr">
        <is>
          <t>C0906</t>
        </is>
      </c>
      <c r="C3407" t="n">
        <v>1</v>
      </c>
      <c r="D3407" t="inlineStr">
        <is>
          <t>Hub B</t>
        </is>
      </c>
      <c r="E3407" t="n">
        <v>40</v>
      </c>
      <c r="F3407" t="n">
        <v>19</v>
      </c>
    </row>
    <row r="3408">
      <c r="A3408" t="inlineStr">
        <is>
          <t>ORD03407</t>
        </is>
      </c>
      <c r="B3408" t="inlineStr">
        <is>
          <t>C0907</t>
        </is>
      </c>
      <c r="C3408" t="n">
        <v>2</v>
      </c>
      <c r="D3408" t="inlineStr">
        <is>
          <t>Hub B</t>
        </is>
      </c>
      <c r="E3408" t="n">
        <v>47</v>
      </c>
      <c r="F3408" t="n">
        <v>19</v>
      </c>
    </row>
    <row r="3409">
      <c r="A3409" t="inlineStr">
        <is>
          <t>ORD03408</t>
        </is>
      </c>
      <c r="B3409" t="inlineStr">
        <is>
          <t>C0908</t>
        </is>
      </c>
      <c r="C3409" t="n">
        <v>3</v>
      </c>
      <c r="D3409" t="inlineStr">
        <is>
          <t>Hub B</t>
        </is>
      </c>
      <c r="E3409" t="n">
        <v>54</v>
      </c>
      <c r="F3409" t="n">
        <v>19</v>
      </c>
    </row>
    <row r="3410">
      <c r="A3410" t="inlineStr">
        <is>
          <t>ORD03409</t>
        </is>
      </c>
      <c r="B3410" t="inlineStr">
        <is>
          <t>C0909</t>
        </is>
      </c>
      <c r="C3410" t="n">
        <v>1</v>
      </c>
      <c r="D3410" t="inlineStr">
        <is>
          <t>Hub B</t>
        </is>
      </c>
      <c r="E3410" t="n">
        <v>61</v>
      </c>
      <c r="F3410" t="n">
        <v>19</v>
      </c>
    </row>
    <row r="3411">
      <c r="A3411" t="inlineStr">
        <is>
          <t>ORD03410</t>
        </is>
      </c>
      <c r="B3411" t="inlineStr">
        <is>
          <t>C0910</t>
        </is>
      </c>
      <c r="C3411" t="n">
        <v>2</v>
      </c>
      <c r="D3411" t="inlineStr">
        <is>
          <t>Hub B</t>
        </is>
      </c>
      <c r="E3411" t="n">
        <v>68</v>
      </c>
      <c r="F3411" t="n">
        <v>19</v>
      </c>
    </row>
    <row r="3412">
      <c r="A3412" t="inlineStr">
        <is>
          <t>ORD03411</t>
        </is>
      </c>
      <c r="B3412" t="inlineStr">
        <is>
          <t>C0911</t>
        </is>
      </c>
      <c r="C3412" t="n">
        <v>3</v>
      </c>
      <c r="D3412" t="inlineStr">
        <is>
          <t>Hub B</t>
        </is>
      </c>
      <c r="E3412" t="n">
        <v>75</v>
      </c>
      <c r="F3412" t="n">
        <v>19</v>
      </c>
    </row>
    <row r="3413">
      <c r="A3413" t="inlineStr">
        <is>
          <t>ORD03412</t>
        </is>
      </c>
      <c r="B3413" t="inlineStr">
        <is>
          <t>C0912</t>
        </is>
      </c>
      <c r="C3413" t="n">
        <v>1</v>
      </c>
      <c r="D3413" t="inlineStr">
        <is>
          <t>Hub B</t>
        </is>
      </c>
      <c r="E3413" t="n">
        <v>22</v>
      </c>
      <c r="F3413" t="n">
        <v>19</v>
      </c>
    </row>
    <row r="3414">
      <c r="A3414" t="inlineStr">
        <is>
          <t>ORD03413</t>
        </is>
      </c>
      <c r="B3414" t="inlineStr">
        <is>
          <t>C0913</t>
        </is>
      </c>
      <c r="C3414" t="n">
        <v>2</v>
      </c>
      <c r="D3414" t="inlineStr">
        <is>
          <t>Hub B</t>
        </is>
      </c>
      <c r="E3414" t="n">
        <v>29</v>
      </c>
      <c r="F3414" t="n">
        <v>19</v>
      </c>
    </row>
    <row r="3415">
      <c r="A3415" t="inlineStr">
        <is>
          <t>ORD03414</t>
        </is>
      </c>
      <c r="B3415" t="inlineStr">
        <is>
          <t>C0914</t>
        </is>
      </c>
      <c r="C3415" t="n">
        <v>3</v>
      </c>
      <c r="D3415" t="inlineStr">
        <is>
          <t>Hub B</t>
        </is>
      </c>
      <c r="E3415" t="n">
        <v>36</v>
      </c>
      <c r="F3415" t="n">
        <v>19</v>
      </c>
    </row>
    <row r="3416">
      <c r="A3416" t="inlineStr">
        <is>
          <t>ORD03415</t>
        </is>
      </c>
      <c r="B3416" t="inlineStr">
        <is>
          <t>C0915</t>
        </is>
      </c>
      <c r="C3416" t="n">
        <v>1</v>
      </c>
      <c r="D3416" t="inlineStr">
        <is>
          <t>Hub B</t>
        </is>
      </c>
      <c r="E3416" t="n">
        <v>43</v>
      </c>
      <c r="F3416" t="n">
        <v>19</v>
      </c>
    </row>
    <row r="3417">
      <c r="A3417" t="inlineStr">
        <is>
          <t>ORD03416</t>
        </is>
      </c>
      <c r="B3417" t="inlineStr">
        <is>
          <t>C0916</t>
        </is>
      </c>
      <c r="C3417" t="n">
        <v>2</v>
      </c>
      <c r="D3417" t="inlineStr">
        <is>
          <t>Hub B</t>
        </is>
      </c>
      <c r="E3417" t="n">
        <v>50</v>
      </c>
      <c r="F3417" t="n">
        <v>19</v>
      </c>
    </row>
    <row r="3418">
      <c r="A3418" t="inlineStr">
        <is>
          <t>ORD03417</t>
        </is>
      </c>
      <c r="B3418" t="inlineStr">
        <is>
          <t>C0917</t>
        </is>
      </c>
      <c r="C3418" t="n">
        <v>3</v>
      </c>
      <c r="D3418" t="inlineStr">
        <is>
          <t>Hub B</t>
        </is>
      </c>
      <c r="E3418" t="n">
        <v>57</v>
      </c>
      <c r="F3418" t="n">
        <v>19</v>
      </c>
    </row>
    <row r="3419">
      <c r="A3419" t="inlineStr">
        <is>
          <t>ORD03418</t>
        </is>
      </c>
      <c r="B3419" t="inlineStr">
        <is>
          <t>C0918</t>
        </is>
      </c>
      <c r="C3419" t="n">
        <v>1</v>
      </c>
      <c r="D3419" t="inlineStr">
        <is>
          <t>Hub B</t>
        </is>
      </c>
      <c r="E3419" t="n">
        <v>64</v>
      </c>
      <c r="F3419" t="n">
        <v>19</v>
      </c>
    </row>
    <row r="3420">
      <c r="A3420" t="inlineStr">
        <is>
          <t>ORD03419</t>
        </is>
      </c>
      <c r="B3420" t="inlineStr">
        <is>
          <t>C0919</t>
        </is>
      </c>
      <c r="C3420" t="n">
        <v>2</v>
      </c>
      <c r="D3420" t="inlineStr">
        <is>
          <t>Hub B</t>
        </is>
      </c>
      <c r="E3420" t="n">
        <v>71</v>
      </c>
      <c r="F3420" t="n">
        <v>19</v>
      </c>
    </row>
    <row r="3421">
      <c r="A3421" t="inlineStr">
        <is>
          <t>ORD03420</t>
        </is>
      </c>
      <c r="B3421" t="inlineStr">
        <is>
          <t>C0920</t>
        </is>
      </c>
      <c r="C3421" t="n">
        <v>3</v>
      </c>
      <c r="D3421" t="inlineStr">
        <is>
          <t>Hub B</t>
        </is>
      </c>
      <c r="E3421" t="n">
        <v>18</v>
      </c>
      <c r="F3421" t="n">
        <v>19</v>
      </c>
    </row>
    <row r="3422">
      <c r="A3422" t="inlineStr">
        <is>
          <t>ORD03421</t>
        </is>
      </c>
      <c r="B3422" t="inlineStr">
        <is>
          <t>C0921</t>
        </is>
      </c>
      <c r="C3422" t="n">
        <v>1</v>
      </c>
      <c r="D3422" t="inlineStr">
        <is>
          <t>Hub B</t>
        </is>
      </c>
      <c r="E3422" t="n">
        <v>25</v>
      </c>
      <c r="F3422" t="n">
        <v>19</v>
      </c>
    </row>
    <row r="3423">
      <c r="A3423" t="inlineStr">
        <is>
          <t>ORD03422</t>
        </is>
      </c>
      <c r="B3423" t="inlineStr">
        <is>
          <t>C0922</t>
        </is>
      </c>
      <c r="C3423" t="n">
        <v>2</v>
      </c>
      <c r="D3423" t="inlineStr">
        <is>
          <t>Hub B</t>
        </is>
      </c>
      <c r="E3423" t="n">
        <v>32</v>
      </c>
      <c r="F3423" t="n">
        <v>19</v>
      </c>
    </row>
    <row r="3424">
      <c r="A3424" t="inlineStr">
        <is>
          <t>ORD03423</t>
        </is>
      </c>
      <c r="B3424" t="inlineStr">
        <is>
          <t>C0923</t>
        </is>
      </c>
      <c r="C3424" t="n">
        <v>3</v>
      </c>
      <c r="D3424" t="inlineStr">
        <is>
          <t>Hub B</t>
        </is>
      </c>
      <c r="E3424" t="n">
        <v>39</v>
      </c>
      <c r="F3424" t="n">
        <v>19</v>
      </c>
    </row>
    <row r="3425">
      <c r="A3425" t="inlineStr">
        <is>
          <t>ORD03424</t>
        </is>
      </c>
      <c r="B3425" t="inlineStr">
        <is>
          <t>C0924</t>
        </is>
      </c>
      <c r="C3425" t="n">
        <v>1</v>
      </c>
      <c r="D3425" t="inlineStr">
        <is>
          <t>Hub B</t>
        </is>
      </c>
      <c r="E3425" t="n">
        <v>46</v>
      </c>
      <c r="F3425" t="n">
        <v>19</v>
      </c>
    </row>
    <row r="3426">
      <c r="A3426" t="inlineStr">
        <is>
          <t>ORD03425</t>
        </is>
      </c>
      <c r="B3426" t="inlineStr">
        <is>
          <t>C0925</t>
        </is>
      </c>
      <c r="C3426" t="n">
        <v>2</v>
      </c>
      <c r="D3426" t="inlineStr">
        <is>
          <t>Hub B</t>
        </is>
      </c>
      <c r="E3426" t="n">
        <v>53</v>
      </c>
      <c r="F3426" t="n">
        <v>19</v>
      </c>
    </row>
    <row r="3427">
      <c r="A3427" t="inlineStr">
        <is>
          <t>ORD03426</t>
        </is>
      </c>
      <c r="B3427" t="inlineStr">
        <is>
          <t>C0926</t>
        </is>
      </c>
      <c r="C3427" t="n">
        <v>3</v>
      </c>
      <c r="D3427" t="inlineStr">
        <is>
          <t>Hub B</t>
        </is>
      </c>
      <c r="E3427" t="n">
        <v>60</v>
      </c>
      <c r="F3427" t="n">
        <v>19</v>
      </c>
    </row>
    <row r="3428">
      <c r="A3428" t="inlineStr">
        <is>
          <t>ORD03427</t>
        </is>
      </c>
      <c r="B3428" t="inlineStr">
        <is>
          <t>C0927</t>
        </is>
      </c>
      <c r="C3428" t="n">
        <v>1</v>
      </c>
      <c r="D3428" t="inlineStr">
        <is>
          <t>Hub B</t>
        </is>
      </c>
      <c r="E3428" t="n">
        <v>67</v>
      </c>
      <c r="F3428" t="n">
        <v>19</v>
      </c>
    </row>
    <row r="3429">
      <c r="A3429" t="inlineStr">
        <is>
          <t>ORD03428</t>
        </is>
      </c>
      <c r="B3429" t="inlineStr">
        <is>
          <t>C0928</t>
        </is>
      </c>
      <c r="C3429" t="n">
        <v>2</v>
      </c>
      <c r="D3429" t="inlineStr">
        <is>
          <t>Hub B</t>
        </is>
      </c>
      <c r="E3429" t="n">
        <v>74</v>
      </c>
      <c r="F3429" t="n">
        <v>19</v>
      </c>
    </row>
    <row r="3430">
      <c r="A3430" t="inlineStr">
        <is>
          <t>ORD03429</t>
        </is>
      </c>
      <c r="B3430" t="inlineStr">
        <is>
          <t>C0929</t>
        </is>
      </c>
      <c r="C3430" t="n">
        <v>3</v>
      </c>
      <c r="D3430" t="inlineStr">
        <is>
          <t>Hub B</t>
        </is>
      </c>
      <c r="E3430" t="n">
        <v>21</v>
      </c>
      <c r="F3430" t="n">
        <v>19</v>
      </c>
    </row>
    <row r="3431">
      <c r="A3431" t="inlineStr">
        <is>
          <t>ORD03430</t>
        </is>
      </c>
      <c r="B3431" t="inlineStr">
        <is>
          <t>C0930</t>
        </is>
      </c>
      <c r="C3431" t="n">
        <v>1</v>
      </c>
      <c r="D3431" t="inlineStr">
        <is>
          <t>Hub B</t>
        </is>
      </c>
      <c r="E3431" t="n">
        <v>28</v>
      </c>
      <c r="F3431" t="n">
        <v>19</v>
      </c>
    </row>
    <row r="3432">
      <c r="A3432" t="inlineStr">
        <is>
          <t>ORD03431</t>
        </is>
      </c>
      <c r="B3432" t="inlineStr">
        <is>
          <t>C0931</t>
        </is>
      </c>
      <c r="C3432" t="n">
        <v>2</v>
      </c>
      <c r="D3432" t="inlineStr">
        <is>
          <t>Hub B</t>
        </is>
      </c>
      <c r="E3432" t="n">
        <v>35</v>
      </c>
      <c r="F3432" t="n">
        <v>19</v>
      </c>
    </row>
    <row r="3433">
      <c r="A3433" t="inlineStr">
        <is>
          <t>ORD03432</t>
        </is>
      </c>
      <c r="B3433" t="inlineStr">
        <is>
          <t>C0932</t>
        </is>
      </c>
      <c r="C3433" t="n">
        <v>3</v>
      </c>
      <c r="D3433" t="inlineStr">
        <is>
          <t>Hub B</t>
        </is>
      </c>
      <c r="E3433" t="n">
        <v>42</v>
      </c>
      <c r="F3433" t="n">
        <v>19</v>
      </c>
    </row>
    <row r="3434">
      <c r="A3434" t="inlineStr">
        <is>
          <t>ORD03433</t>
        </is>
      </c>
      <c r="B3434" t="inlineStr">
        <is>
          <t>C0933</t>
        </is>
      </c>
      <c r="C3434" t="n">
        <v>1</v>
      </c>
      <c r="D3434" t="inlineStr">
        <is>
          <t>Hub B</t>
        </is>
      </c>
      <c r="E3434" t="n">
        <v>49</v>
      </c>
      <c r="F3434" t="n">
        <v>19</v>
      </c>
    </row>
    <row r="3435">
      <c r="A3435" t="inlineStr">
        <is>
          <t>ORD03434</t>
        </is>
      </c>
      <c r="B3435" t="inlineStr">
        <is>
          <t>C0934</t>
        </is>
      </c>
      <c r="C3435" t="n">
        <v>2</v>
      </c>
      <c r="D3435" t="inlineStr">
        <is>
          <t>Hub B</t>
        </is>
      </c>
      <c r="E3435" t="n">
        <v>56</v>
      </c>
      <c r="F3435" t="n">
        <v>19</v>
      </c>
    </row>
    <row r="3436">
      <c r="A3436" t="inlineStr">
        <is>
          <t>ORD03435</t>
        </is>
      </c>
      <c r="B3436" t="inlineStr">
        <is>
          <t>C0935</t>
        </is>
      </c>
      <c r="C3436" t="n">
        <v>3</v>
      </c>
      <c r="D3436" t="inlineStr">
        <is>
          <t>Hub B</t>
        </is>
      </c>
      <c r="E3436" t="n">
        <v>63</v>
      </c>
      <c r="F3436" t="n">
        <v>19</v>
      </c>
    </row>
    <row r="3437">
      <c r="A3437" t="inlineStr">
        <is>
          <t>ORD03436</t>
        </is>
      </c>
      <c r="B3437" t="inlineStr">
        <is>
          <t>C0936</t>
        </is>
      </c>
      <c r="C3437" t="n">
        <v>1</v>
      </c>
      <c r="D3437" t="inlineStr">
        <is>
          <t>Hub B</t>
        </is>
      </c>
      <c r="E3437" t="n">
        <v>70</v>
      </c>
      <c r="F3437" t="n">
        <v>19</v>
      </c>
    </row>
    <row r="3438">
      <c r="A3438" t="inlineStr">
        <is>
          <t>ORD03437</t>
        </is>
      </c>
      <c r="B3438" t="inlineStr">
        <is>
          <t>C0937</t>
        </is>
      </c>
      <c r="C3438" t="n">
        <v>2</v>
      </c>
      <c r="D3438" t="inlineStr">
        <is>
          <t>Hub B</t>
        </is>
      </c>
      <c r="E3438" t="n">
        <v>77</v>
      </c>
      <c r="F3438" t="n">
        <v>19</v>
      </c>
    </row>
    <row r="3439">
      <c r="A3439" t="inlineStr">
        <is>
          <t>ORD03438</t>
        </is>
      </c>
      <c r="B3439" t="inlineStr">
        <is>
          <t>C0938</t>
        </is>
      </c>
      <c r="C3439" t="n">
        <v>3</v>
      </c>
      <c r="D3439" t="inlineStr">
        <is>
          <t>Hub B</t>
        </is>
      </c>
      <c r="E3439" t="n">
        <v>24</v>
      </c>
      <c r="F3439" t="n">
        <v>19</v>
      </c>
    </row>
    <row r="3440">
      <c r="A3440" t="inlineStr">
        <is>
          <t>ORD03439</t>
        </is>
      </c>
      <c r="B3440" t="inlineStr">
        <is>
          <t>C0939</t>
        </is>
      </c>
      <c r="C3440" t="n">
        <v>1</v>
      </c>
      <c r="D3440" t="inlineStr">
        <is>
          <t>Hub B</t>
        </is>
      </c>
      <c r="E3440" t="n">
        <v>31</v>
      </c>
      <c r="F3440" t="n">
        <v>19</v>
      </c>
    </row>
    <row r="3441">
      <c r="A3441" t="inlineStr">
        <is>
          <t>ORD03440</t>
        </is>
      </c>
      <c r="B3441" t="inlineStr">
        <is>
          <t>C0940</t>
        </is>
      </c>
      <c r="C3441" t="n">
        <v>2</v>
      </c>
      <c r="D3441" t="inlineStr">
        <is>
          <t>Hub B</t>
        </is>
      </c>
      <c r="E3441" t="n">
        <v>38</v>
      </c>
      <c r="F3441" t="n">
        <v>19</v>
      </c>
    </row>
    <row r="3442">
      <c r="A3442" t="inlineStr">
        <is>
          <t>ORD03441</t>
        </is>
      </c>
      <c r="B3442" t="inlineStr">
        <is>
          <t>C0941</t>
        </is>
      </c>
      <c r="C3442" t="n">
        <v>3</v>
      </c>
      <c r="D3442" t="inlineStr">
        <is>
          <t>Hub B</t>
        </is>
      </c>
      <c r="E3442" t="n">
        <v>45</v>
      </c>
      <c r="F3442" t="n">
        <v>19</v>
      </c>
    </row>
    <row r="3443">
      <c r="A3443" t="inlineStr">
        <is>
          <t>ORD03442</t>
        </is>
      </c>
      <c r="B3443" t="inlineStr">
        <is>
          <t>C0942</t>
        </is>
      </c>
      <c r="C3443" t="n">
        <v>1</v>
      </c>
      <c r="D3443" t="inlineStr">
        <is>
          <t>Hub B</t>
        </is>
      </c>
      <c r="E3443" t="n">
        <v>52</v>
      </c>
      <c r="F3443" t="n">
        <v>19</v>
      </c>
    </row>
    <row r="3444">
      <c r="A3444" t="inlineStr">
        <is>
          <t>ORD03443</t>
        </is>
      </c>
      <c r="B3444" t="inlineStr">
        <is>
          <t>C0943</t>
        </is>
      </c>
      <c r="C3444" t="n">
        <v>2</v>
      </c>
      <c r="D3444" t="inlineStr">
        <is>
          <t>Hub B</t>
        </is>
      </c>
      <c r="E3444" t="n">
        <v>59</v>
      </c>
      <c r="F3444" t="n">
        <v>19</v>
      </c>
    </row>
    <row r="3445">
      <c r="A3445" t="inlineStr">
        <is>
          <t>ORD03444</t>
        </is>
      </c>
      <c r="B3445" t="inlineStr">
        <is>
          <t>C0944</t>
        </is>
      </c>
      <c r="C3445" t="n">
        <v>3</v>
      </c>
      <c r="D3445" t="inlineStr">
        <is>
          <t>Hub B</t>
        </is>
      </c>
      <c r="E3445" t="n">
        <v>66</v>
      </c>
      <c r="F3445" t="n">
        <v>19</v>
      </c>
    </row>
    <row r="3446">
      <c r="A3446" t="inlineStr">
        <is>
          <t>ORD03445</t>
        </is>
      </c>
      <c r="B3446" t="inlineStr">
        <is>
          <t>C0945</t>
        </is>
      </c>
      <c r="C3446" t="n">
        <v>1</v>
      </c>
      <c r="D3446" t="inlineStr">
        <is>
          <t>Hub B</t>
        </is>
      </c>
      <c r="E3446" t="n">
        <v>73</v>
      </c>
      <c r="F3446" t="n">
        <v>19</v>
      </c>
    </row>
    <row r="3447">
      <c r="A3447" t="inlineStr">
        <is>
          <t>ORD03446</t>
        </is>
      </c>
      <c r="B3447" t="inlineStr">
        <is>
          <t>C0946</t>
        </is>
      </c>
      <c r="C3447" t="n">
        <v>2</v>
      </c>
      <c r="D3447" t="inlineStr">
        <is>
          <t>Hub B</t>
        </is>
      </c>
      <c r="E3447" t="n">
        <v>20</v>
      </c>
      <c r="F3447" t="n">
        <v>19</v>
      </c>
    </row>
    <row r="3448">
      <c r="A3448" t="inlineStr">
        <is>
          <t>ORD03447</t>
        </is>
      </c>
      <c r="B3448" t="inlineStr">
        <is>
          <t>C0947</t>
        </is>
      </c>
      <c r="C3448" t="n">
        <v>3</v>
      </c>
      <c r="D3448" t="inlineStr">
        <is>
          <t>Hub B</t>
        </is>
      </c>
      <c r="E3448" t="n">
        <v>27</v>
      </c>
      <c r="F3448" t="n">
        <v>19</v>
      </c>
    </row>
    <row r="3449">
      <c r="A3449" t="inlineStr">
        <is>
          <t>ORD03448</t>
        </is>
      </c>
      <c r="B3449" t="inlineStr">
        <is>
          <t>C0948</t>
        </is>
      </c>
      <c r="C3449" t="n">
        <v>1</v>
      </c>
      <c r="D3449" t="inlineStr">
        <is>
          <t>Hub B</t>
        </is>
      </c>
      <c r="E3449" t="n">
        <v>34</v>
      </c>
      <c r="F3449" t="n">
        <v>19</v>
      </c>
    </row>
    <row r="3450">
      <c r="A3450" t="inlineStr">
        <is>
          <t>ORD03449</t>
        </is>
      </c>
      <c r="B3450" t="inlineStr">
        <is>
          <t>C0949</t>
        </is>
      </c>
      <c r="C3450" t="n">
        <v>2</v>
      </c>
      <c r="D3450" t="inlineStr">
        <is>
          <t>Hub B</t>
        </is>
      </c>
      <c r="E3450" t="n">
        <v>41</v>
      </c>
      <c r="F3450" t="n">
        <v>19</v>
      </c>
    </row>
    <row r="3451">
      <c r="A3451" t="inlineStr">
        <is>
          <t>ORD03450</t>
        </is>
      </c>
      <c r="B3451" t="inlineStr">
        <is>
          <t>C0950</t>
        </is>
      </c>
      <c r="C3451" t="n">
        <v>3</v>
      </c>
      <c r="D3451" t="inlineStr">
        <is>
          <t>Hub B</t>
        </is>
      </c>
      <c r="E3451" t="n">
        <v>48</v>
      </c>
      <c r="F3451" t="n">
        <v>19</v>
      </c>
    </row>
    <row r="3452">
      <c r="A3452" t="inlineStr">
        <is>
          <t>ORD03451</t>
        </is>
      </c>
      <c r="B3452" t="inlineStr">
        <is>
          <t>C0951</t>
        </is>
      </c>
      <c r="C3452" t="n">
        <v>1</v>
      </c>
      <c r="D3452" t="inlineStr">
        <is>
          <t>Hub B</t>
        </is>
      </c>
      <c r="E3452" t="n">
        <v>55</v>
      </c>
      <c r="F3452" t="n">
        <v>19</v>
      </c>
    </row>
    <row r="3453">
      <c r="A3453" t="inlineStr">
        <is>
          <t>ORD03452</t>
        </is>
      </c>
      <c r="B3453" t="inlineStr">
        <is>
          <t>C0952</t>
        </is>
      </c>
      <c r="C3453" t="n">
        <v>2</v>
      </c>
      <c r="D3453" t="inlineStr">
        <is>
          <t>Hub B</t>
        </is>
      </c>
      <c r="E3453" t="n">
        <v>62</v>
      </c>
      <c r="F3453" t="n">
        <v>19</v>
      </c>
    </row>
    <row r="3454">
      <c r="A3454" t="inlineStr">
        <is>
          <t>ORD03453</t>
        </is>
      </c>
      <c r="B3454" t="inlineStr">
        <is>
          <t>C0953</t>
        </is>
      </c>
      <c r="C3454" t="n">
        <v>3</v>
      </c>
      <c r="D3454" t="inlineStr">
        <is>
          <t>Hub B</t>
        </is>
      </c>
      <c r="E3454" t="n">
        <v>69</v>
      </c>
      <c r="F3454" t="n">
        <v>19</v>
      </c>
    </row>
    <row r="3455">
      <c r="A3455" t="inlineStr">
        <is>
          <t>ORD03454</t>
        </is>
      </c>
      <c r="B3455" t="inlineStr">
        <is>
          <t>C0954</t>
        </is>
      </c>
      <c r="C3455" t="n">
        <v>1</v>
      </c>
      <c r="D3455" t="inlineStr">
        <is>
          <t>Hub B</t>
        </is>
      </c>
      <c r="E3455" t="n">
        <v>76</v>
      </c>
      <c r="F3455" t="n">
        <v>19</v>
      </c>
    </row>
    <row r="3456">
      <c r="A3456" t="inlineStr">
        <is>
          <t>ORD03455</t>
        </is>
      </c>
      <c r="B3456" t="inlineStr">
        <is>
          <t>C0955</t>
        </is>
      </c>
      <c r="C3456" t="n">
        <v>2</v>
      </c>
      <c r="D3456" t="inlineStr">
        <is>
          <t>Hub B</t>
        </is>
      </c>
      <c r="E3456" t="n">
        <v>23</v>
      </c>
      <c r="F3456" t="n">
        <v>19</v>
      </c>
    </row>
    <row r="3457">
      <c r="A3457" t="inlineStr">
        <is>
          <t>ORD03456</t>
        </is>
      </c>
      <c r="B3457" t="inlineStr">
        <is>
          <t>C0956</t>
        </is>
      </c>
      <c r="C3457" t="n">
        <v>3</v>
      </c>
      <c r="D3457" t="inlineStr">
        <is>
          <t>Hub B</t>
        </is>
      </c>
      <c r="E3457" t="n">
        <v>30</v>
      </c>
      <c r="F3457" t="n">
        <v>19</v>
      </c>
    </row>
    <row r="3458">
      <c r="A3458" t="inlineStr">
        <is>
          <t>ORD03457</t>
        </is>
      </c>
      <c r="B3458" t="inlineStr">
        <is>
          <t>C0957</t>
        </is>
      </c>
      <c r="C3458" t="n">
        <v>1</v>
      </c>
      <c r="D3458" t="inlineStr">
        <is>
          <t>Hub B</t>
        </is>
      </c>
      <c r="E3458" t="n">
        <v>37</v>
      </c>
      <c r="F3458" t="n">
        <v>19</v>
      </c>
    </row>
    <row r="3459">
      <c r="A3459" t="inlineStr">
        <is>
          <t>ORD03458</t>
        </is>
      </c>
      <c r="B3459" t="inlineStr">
        <is>
          <t>C0958</t>
        </is>
      </c>
      <c r="C3459" t="n">
        <v>2</v>
      </c>
      <c r="D3459" t="inlineStr">
        <is>
          <t>Hub B</t>
        </is>
      </c>
      <c r="E3459" t="n">
        <v>44</v>
      </c>
      <c r="F3459" t="n">
        <v>19</v>
      </c>
    </row>
    <row r="3460">
      <c r="A3460" t="inlineStr">
        <is>
          <t>ORD03459</t>
        </is>
      </c>
      <c r="B3460" t="inlineStr">
        <is>
          <t>C0959</t>
        </is>
      </c>
      <c r="C3460" t="n">
        <v>3</v>
      </c>
      <c r="D3460" t="inlineStr">
        <is>
          <t>Hub B</t>
        </is>
      </c>
      <c r="E3460" t="n">
        <v>51</v>
      </c>
      <c r="F3460" t="n">
        <v>19</v>
      </c>
    </row>
    <row r="3461">
      <c r="A3461" t="inlineStr">
        <is>
          <t>ORD03460</t>
        </is>
      </c>
      <c r="B3461" t="inlineStr">
        <is>
          <t>C0960</t>
        </is>
      </c>
      <c r="C3461" t="n">
        <v>1</v>
      </c>
      <c r="D3461" t="inlineStr">
        <is>
          <t>Hub B</t>
        </is>
      </c>
      <c r="E3461" t="n">
        <v>58</v>
      </c>
      <c r="F3461" t="n">
        <v>19</v>
      </c>
    </row>
    <row r="3462">
      <c r="A3462" t="inlineStr">
        <is>
          <t>ORD03461</t>
        </is>
      </c>
      <c r="B3462" t="inlineStr">
        <is>
          <t>C0961</t>
        </is>
      </c>
      <c r="C3462" t="n">
        <v>2</v>
      </c>
      <c r="D3462" t="inlineStr">
        <is>
          <t>Hub B</t>
        </is>
      </c>
      <c r="E3462" t="n">
        <v>65</v>
      </c>
      <c r="F3462" t="n">
        <v>19</v>
      </c>
    </row>
    <row r="3463">
      <c r="A3463" t="inlineStr">
        <is>
          <t>ORD03462</t>
        </is>
      </c>
      <c r="B3463" t="inlineStr">
        <is>
          <t>C0962</t>
        </is>
      </c>
      <c r="C3463" t="n">
        <v>3</v>
      </c>
      <c r="D3463" t="inlineStr">
        <is>
          <t>Hub B</t>
        </is>
      </c>
      <c r="E3463" t="n">
        <v>72</v>
      </c>
      <c r="F3463" t="n">
        <v>19</v>
      </c>
    </row>
    <row r="3464">
      <c r="A3464" t="inlineStr">
        <is>
          <t>ORD03463</t>
        </is>
      </c>
      <c r="B3464" t="inlineStr">
        <is>
          <t>C0963</t>
        </is>
      </c>
      <c r="C3464" t="n">
        <v>1</v>
      </c>
      <c r="D3464" t="inlineStr">
        <is>
          <t>Hub B</t>
        </is>
      </c>
      <c r="E3464" t="n">
        <v>19</v>
      </c>
      <c r="F3464" t="n">
        <v>19</v>
      </c>
    </row>
    <row r="3465">
      <c r="A3465" t="inlineStr">
        <is>
          <t>ORD03464</t>
        </is>
      </c>
      <c r="B3465" t="inlineStr">
        <is>
          <t>C0964</t>
        </is>
      </c>
      <c r="C3465" t="n">
        <v>2</v>
      </c>
      <c r="D3465" t="inlineStr">
        <is>
          <t>Hub B</t>
        </is>
      </c>
      <c r="E3465" t="n">
        <v>26</v>
      </c>
      <c r="F3465" t="n">
        <v>19</v>
      </c>
    </row>
    <row r="3466">
      <c r="A3466" t="inlineStr">
        <is>
          <t>ORD03465</t>
        </is>
      </c>
      <c r="B3466" t="inlineStr">
        <is>
          <t>C0965</t>
        </is>
      </c>
      <c r="C3466" t="n">
        <v>3</v>
      </c>
      <c r="D3466" t="inlineStr">
        <is>
          <t>Hub B</t>
        </is>
      </c>
      <c r="E3466" t="n">
        <v>33</v>
      </c>
      <c r="F3466" t="n">
        <v>19</v>
      </c>
    </row>
    <row r="3467">
      <c r="A3467" t="inlineStr">
        <is>
          <t>ORD03466</t>
        </is>
      </c>
      <c r="B3467" t="inlineStr">
        <is>
          <t>C0966</t>
        </is>
      </c>
      <c r="C3467" t="n">
        <v>1</v>
      </c>
      <c r="D3467" t="inlineStr">
        <is>
          <t>Hub B</t>
        </is>
      </c>
      <c r="E3467" t="n">
        <v>40</v>
      </c>
      <c r="F3467" t="n">
        <v>19</v>
      </c>
    </row>
    <row r="3468">
      <c r="A3468" t="inlineStr">
        <is>
          <t>ORD03467</t>
        </is>
      </c>
      <c r="B3468" t="inlineStr">
        <is>
          <t>C0967</t>
        </is>
      </c>
      <c r="C3468" t="n">
        <v>2</v>
      </c>
      <c r="D3468" t="inlineStr">
        <is>
          <t>Hub B</t>
        </is>
      </c>
      <c r="E3468" t="n">
        <v>47</v>
      </c>
      <c r="F3468" t="n">
        <v>19</v>
      </c>
    </row>
    <row r="3469">
      <c r="A3469" t="inlineStr">
        <is>
          <t>ORD03468</t>
        </is>
      </c>
      <c r="B3469" t="inlineStr">
        <is>
          <t>C0968</t>
        </is>
      </c>
      <c r="C3469" t="n">
        <v>3</v>
      </c>
      <c r="D3469" t="inlineStr">
        <is>
          <t>Hub B</t>
        </is>
      </c>
      <c r="E3469" t="n">
        <v>54</v>
      </c>
      <c r="F3469" t="n">
        <v>19</v>
      </c>
    </row>
    <row r="3470">
      <c r="A3470" t="inlineStr">
        <is>
          <t>ORD03469</t>
        </is>
      </c>
      <c r="B3470" t="inlineStr">
        <is>
          <t>C0969</t>
        </is>
      </c>
      <c r="C3470" t="n">
        <v>1</v>
      </c>
      <c r="D3470" t="inlineStr">
        <is>
          <t>Hub B</t>
        </is>
      </c>
      <c r="E3470" t="n">
        <v>61</v>
      </c>
      <c r="F3470" t="n">
        <v>19</v>
      </c>
    </row>
    <row r="3471">
      <c r="A3471" t="inlineStr">
        <is>
          <t>ORD03470</t>
        </is>
      </c>
      <c r="B3471" t="inlineStr">
        <is>
          <t>C0970</t>
        </is>
      </c>
      <c r="C3471" t="n">
        <v>2</v>
      </c>
      <c r="D3471" t="inlineStr">
        <is>
          <t>Hub B</t>
        </is>
      </c>
      <c r="E3471" t="n">
        <v>68</v>
      </c>
      <c r="F3471" t="n">
        <v>19</v>
      </c>
    </row>
    <row r="3472">
      <c r="A3472" t="inlineStr">
        <is>
          <t>ORD03471</t>
        </is>
      </c>
      <c r="B3472" t="inlineStr">
        <is>
          <t>C0971</t>
        </is>
      </c>
      <c r="C3472" t="n">
        <v>3</v>
      </c>
      <c r="D3472" t="inlineStr">
        <is>
          <t>Hub B</t>
        </is>
      </c>
      <c r="E3472" t="n">
        <v>75</v>
      </c>
      <c r="F3472" t="n">
        <v>19</v>
      </c>
    </row>
    <row r="3473">
      <c r="A3473" t="inlineStr">
        <is>
          <t>ORD03472</t>
        </is>
      </c>
      <c r="B3473" t="inlineStr">
        <is>
          <t>C0972</t>
        </is>
      </c>
      <c r="C3473" t="n">
        <v>1</v>
      </c>
      <c r="D3473" t="inlineStr">
        <is>
          <t>Hub B</t>
        </is>
      </c>
      <c r="E3473" t="n">
        <v>22</v>
      </c>
      <c r="F3473" t="n">
        <v>19</v>
      </c>
    </row>
    <row r="3474">
      <c r="A3474" t="inlineStr">
        <is>
          <t>ORD03473</t>
        </is>
      </c>
      <c r="B3474" t="inlineStr">
        <is>
          <t>C0973</t>
        </is>
      </c>
      <c r="C3474" t="n">
        <v>2</v>
      </c>
      <c r="D3474" t="inlineStr">
        <is>
          <t>Hub B</t>
        </is>
      </c>
      <c r="E3474" t="n">
        <v>29</v>
      </c>
      <c r="F3474" t="n">
        <v>19</v>
      </c>
    </row>
    <row r="3475">
      <c r="A3475" t="inlineStr">
        <is>
          <t>ORD03474</t>
        </is>
      </c>
      <c r="B3475" t="inlineStr">
        <is>
          <t>C0974</t>
        </is>
      </c>
      <c r="C3475" t="n">
        <v>3</v>
      </c>
      <c r="D3475" t="inlineStr">
        <is>
          <t>Hub B</t>
        </is>
      </c>
      <c r="E3475" t="n">
        <v>36</v>
      </c>
      <c r="F3475" t="n">
        <v>19</v>
      </c>
    </row>
    <row r="3476">
      <c r="A3476" t="inlineStr">
        <is>
          <t>ORD03475</t>
        </is>
      </c>
      <c r="B3476" t="inlineStr">
        <is>
          <t>C0975</t>
        </is>
      </c>
      <c r="C3476" t="n">
        <v>1</v>
      </c>
      <c r="D3476" t="inlineStr">
        <is>
          <t>Hub B</t>
        </is>
      </c>
      <c r="E3476" t="n">
        <v>43</v>
      </c>
      <c r="F3476" t="n">
        <v>19</v>
      </c>
    </row>
    <row r="3477">
      <c r="A3477" t="inlineStr">
        <is>
          <t>ORD03476</t>
        </is>
      </c>
      <c r="B3477" t="inlineStr">
        <is>
          <t>C0976</t>
        </is>
      </c>
      <c r="C3477" t="n">
        <v>2</v>
      </c>
      <c r="D3477" t="inlineStr">
        <is>
          <t>Hub B</t>
        </is>
      </c>
      <c r="E3477" t="n">
        <v>50</v>
      </c>
      <c r="F3477" t="n">
        <v>19</v>
      </c>
    </row>
    <row r="3478">
      <c r="A3478" t="inlineStr">
        <is>
          <t>ORD03477</t>
        </is>
      </c>
      <c r="B3478" t="inlineStr">
        <is>
          <t>C0977</t>
        </is>
      </c>
      <c r="C3478" t="n">
        <v>3</v>
      </c>
      <c r="D3478" t="inlineStr">
        <is>
          <t>Hub B</t>
        </is>
      </c>
      <c r="E3478" t="n">
        <v>57</v>
      </c>
      <c r="F3478" t="n">
        <v>19</v>
      </c>
    </row>
    <row r="3479">
      <c r="A3479" t="inlineStr">
        <is>
          <t>ORD03478</t>
        </is>
      </c>
      <c r="B3479" t="inlineStr">
        <is>
          <t>C0978</t>
        </is>
      </c>
      <c r="C3479" t="n">
        <v>1</v>
      </c>
      <c r="D3479" t="inlineStr">
        <is>
          <t>Hub B</t>
        </is>
      </c>
      <c r="E3479" t="n">
        <v>64</v>
      </c>
      <c r="F3479" t="n">
        <v>19</v>
      </c>
    </row>
    <row r="3480">
      <c r="A3480" t="inlineStr">
        <is>
          <t>ORD03479</t>
        </is>
      </c>
      <c r="B3480" t="inlineStr">
        <is>
          <t>C0979</t>
        </is>
      </c>
      <c r="C3480" t="n">
        <v>2</v>
      </c>
      <c r="D3480" t="inlineStr">
        <is>
          <t>Hub B</t>
        </is>
      </c>
      <c r="E3480" t="n">
        <v>71</v>
      </c>
      <c r="F3480" t="n">
        <v>19</v>
      </c>
    </row>
    <row r="3481">
      <c r="A3481" t="inlineStr">
        <is>
          <t>ORD03480</t>
        </is>
      </c>
      <c r="B3481" t="inlineStr">
        <is>
          <t>C0980</t>
        </is>
      </c>
      <c r="C3481" t="n">
        <v>3</v>
      </c>
      <c r="D3481" t="inlineStr">
        <is>
          <t>Hub B</t>
        </is>
      </c>
      <c r="E3481" t="n">
        <v>18</v>
      </c>
      <c r="F3481" t="n">
        <v>19</v>
      </c>
    </row>
    <row r="3482">
      <c r="A3482" t="inlineStr">
        <is>
          <t>ORD03481</t>
        </is>
      </c>
      <c r="B3482" t="inlineStr">
        <is>
          <t>C0981</t>
        </is>
      </c>
      <c r="C3482" t="n">
        <v>1</v>
      </c>
      <c r="D3482" t="inlineStr">
        <is>
          <t>Hub B</t>
        </is>
      </c>
      <c r="E3482" t="n">
        <v>25</v>
      </c>
      <c r="F3482" t="n">
        <v>19</v>
      </c>
    </row>
    <row r="3483">
      <c r="A3483" t="inlineStr">
        <is>
          <t>ORD03482</t>
        </is>
      </c>
      <c r="B3483" t="inlineStr">
        <is>
          <t>C0982</t>
        </is>
      </c>
      <c r="C3483" t="n">
        <v>2</v>
      </c>
      <c r="D3483" t="inlineStr">
        <is>
          <t>Hub B</t>
        </is>
      </c>
      <c r="E3483" t="n">
        <v>32</v>
      </c>
      <c r="F3483" t="n">
        <v>19</v>
      </c>
    </row>
    <row r="3484">
      <c r="A3484" t="inlineStr">
        <is>
          <t>ORD03483</t>
        </is>
      </c>
      <c r="B3484" t="inlineStr">
        <is>
          <t>C0983</t>
        </is>
      </c>
      <c r="C3484" t="n">
        <v>3</v>
      </c>
      <c r="D3484" t="inlineStr">
        <is>
          <t>Hub B</t>
        </is>
      </c>
      <c r="E3484" t="n">
        <v>39</v>
      </c>
      <c r="F3484" t="n">
        <v>19</v>
      </c>
    </row>
    <row r="3485">
      <c r="A3485" t="inlineStr">
        <is>
          <t>ORD03484</t>
        </is>
      </c>
      <c r="B3485" t="inlineStr">
        <is>
          <t>C0984</t>
        </is>
      </c>
      <c r="C3485" t="n">
        <v>1</v>
      </c>
      <c r="D3485" t="inlineStr">
        <is>
          <t>Hub B</t>
        </is>
      </c>
      <c r="E3485" t="n">
        <v>46</v>
      </c>
      <c r="F3485" t="n">
        <v>19</v>
      </c>
    </row>
    <row r="3486">
      <c r="A3486" t="inlineStr">
        <is>
          <t>ORD03485</t>
        </is>
      </c>
      <c r="B3486" t="inlineStr">
        <is>
          <t>C0985</t>
        </is>
      </c>
      <c r="C3486" t="n">
        <v>2</v>
      </c>
      <c r="D3486" t="inlineStr">
        <is>
          <t>Hub B</t>
        </is>
      </c>
      <c r="E3486" t="n">
        <v>53</v>
      </c>
      <c r="F3486" t="n">
        <v>19</v>
      </c>
    </row>
    <row r="3487">
      <c r="A3487" t="inlineStr">
        <is>
          <t>ORD03486</t>
        </is>
      </c>
      <c r="B3487" t="inlineStr">
        <is>
          <t>C0986</t>
        </is>
      </c>
      <c r="C3487" t="n">
        <v>3</v>
      </c>
      <c r="D3487" t="inlineStr">
        <is>
          <t>Hub B</t>
        </is>
      </c>
      <c r="E3487" t="n">
        <v>60</v>
      </c>
      <c r="F3487" t="n">
        <v>19</v>
      </c>
    </row>
    <row r="3488">
      <c r="A3488" t="inlineStr">
        <is>
          <t>ORD03487</t>
        </is>
      </c>
      <c r="B3488" t="inlineStr">
        <is>
          <t>C0987</t>
        </is>
      </c>
      <c r="C3488" t="n">
        <v>1</v>
      </c>
      <c r="D3488" t="inlineStr">
        <is>
          <t>Hub B</t>
        </is>
      </c>
      <c r="E3488" t="n">
        <v>67</v>
      </c>
      <c r="F3488" t="n">
        <v>19</v>
      </c>
    </row>
    <row r="3489">
      <c r="A3489" t="inlineStr">
        <is>
          <t>ORD03488</t>
        </is>
      </c>
      <c r="B3489" t="inlineStr">
        <is>
          <t>C0988</t>
        </is>
      </c>
      <c r="C3489" t="n">
        <v>2</v>
      </c>
      <c r="D3489" t="inlineStr">
        <is>
          <t>Hub B</t>
        </is>
      </c>
      <c r="E3489" t="n">
        <v>74</v>
      </c>
      <c r="F3489" t="n">
        <v>19</v>
      </c>
    </row>
    <row r="3490">
      <c r="A3490" t="inlineStr">
        <is>
          <t>ORD03489</t>
        </is>
      </c>
      <c r="B3490" t="inlineStr">
        <is>
          <t>C0989</t>
        </is>
      </c>
      <c r="C3490" t="n">
        <v>3</v>
      </c>
      <c r="D3490" t="inlineStr">
        <is>
          <t>Hub B</t>
        </is>
      </c>
      <c r="E3490" t="n">
        <v>21</v>
      </c>
      <c r="F3490" t="n">
        <v>19</v>
      </c>
    </row>
    <row r="3491">
      <c r="A3491" t="inlineStr">
        <is>
          <t>ORD03490</t>
        </is>
      </c>
      <c r="B3491" t="inlineStr">
        <is>
          <t>C0990</t>
        </is>
      </c>
      <c r="C3491" t="n">
        <v>1</v>
      </c>
      <c r="D3491" t="inlineStr">
        <is>
          <t>Hub B</t>
        </is>
      </c>
      <c r="E3491" t="n">
        <v>28</v>
      </c>
      <c r="F3491" t="n">
        <v>19</v>
      </c>
    </row>
    <row r="3492">
      <c r="A3492" t="inlineStr">
        <is>
          <t>ORD03491</t>
        </is>
      </c>
      <c r="B3492" t="inlineStr">
        <is>
          <t>C0991</t>
        </is>
      </c>
      <c r="C3492" t="n">
        <v>2</v>
      </c>
      <c r="D3492" t="inlineStr">
        <is>
          <t>Hub B</t>
        </is>
      </c>
      <c r="E3492" t="n">
        <v>35</v>
      </c>
      <c r="F3492" t="n">
        <v>19</v>
      </c>
    </row>
    <row r="3493">
      <c r="A3493" t="inlineStr">
        <is>
          <t>ORD03492</t>
        </is>
      </c>
      <c r="B3493" t="inlineStr">
        <is>
          <t>C0992</t>
        </is>
      </c>
      <c r="C3493" t="n">
        <v>3</v>
      </c>
      <c r="D3493" t="inlineStr">
        <is>
          <t>Hub B</t>
        </is>
      </c>
      <c r="E3493" t="n">
        <v>42</v>
      </c>
      <c r="F3493" t="n">
        <v>19</v>
      </c>
    </row>
    <row r="3494">
      <c r="A3494" t="inlineStr">
        <is>
          <t>ORD03493</t>
        </is>
      </c>
      <c r="B3494" t="inlineStr">
        <is>
          <t>C0993</t>
        </is>
      </c>
      <c r="C3494" t="n">
        <v>1</v>
      </c>
      <c r="D3494" t="inlineStr">
        <is>
          <t>Hub B</t>
        </is>
      </c>
      <c r="E3494" t="n">
        <v>49</v>
      </c>
      <c r="F3494" t="n">
        <v>19</v>
      </c>
    </row>
    <row r="3495">
      <c r="A3495" t="inlineStr">
        <is>
          <t>ORD03494</t>
        </is>
      </c>
      <c r="B3495" t="inlineStr">
        <is>
          <t>C0994</t>
        </is>
      </c>
      <c r="C3495" t="n">
        <v>2</v>
      </c>
      <c r="D3495" t="inlineStr">
        <is>
          <t>Hub B</t>
        </is>
      </c>
      <c r="E3495" t="n">
        <v>56</v>
      </c>
      <c r="F3495" t="n">
        <v>19</v>
      </c>
    </row>
    <row r="3496">
      <c r="A3496" t="inlineStr">
        <is>
          <t>ORD03495</t>
        </is>
      </c>
      <c r="B3496" t="inlineStr">
        <is>
          <t>C0995</t>
        </is>
      </c>
      <c r="C3496" t="n">
        <v>3</v>
      </c>
      <c r="D3496" t="inlineStr">
        <is>
          <t>Hub B</t>
        </is>
      </c>
      <c r="E3496" t="n">
        <v>63</v>
      </c>
      <c r="F3496" t="n">
        <v>19</v>
      </c>
    </row>
    <row r="3497">
      <c r="A3497" t="inlineStr">
        <is>
          <t>ORD03496</t>
        </is>
      </c>
      <c r="B3497" t="inlineStr">
        <is>
          <t>C0996</t>
        </is>
      </c>
      <c r="C3497" t="n">
        <v>1</v>
      </c>
      <c r="D3497" t="inlineStr">
        <is>
          <t>Hub B</t>
        </is>
      </c>
      <c r="E3497" t="n">
        <v>70</v>
      </c>
      <c r="F3497" t="n">
        <v>19</v>
      </c>
    </row>
    <row r="3498">
      <c r="A3498" t="inlineStr">
        <is>
          <t>ORD03497</t>
        </is>
      </c>
      <c r="B3498" t="inlineStr">
        <is>
          <t>C0997</t>
        </is>
      </c>
      <c r="C3498" t="n">
        <v>2</v>
      </c>
      <c r="D3498" t="inlineStr">
        <is>
          <t>Hub B</t>
        </is>
      </c>
      <c r="E3498" t="n">
        <v>77</v>
      </c>
      <c r="F3498" t="n">
        <v>19</v>
      </c>
    </row>
    <row r="3499">
      <c r="A3499" t="inlineStr">
        <is>
          <t>ORD03498</t>
        </is>
      </c>
      <c r="B3499" t="inlineStr">
        <is>
          <t>C0998</t>
        </is>
      </c>
      <c r="C3499" t="n">
        <v>3</v>
      </c>
      <c r="D3499" t="inlineStr">
        <is>
          <t>Hub B</t>
        </is>
      </c>
      <c r="E3499" t="n">
        <v>24</v>
      </c>
      <c r="F3499" t="n">
        <v>19</v>
      </c>
    </row>
    <row r="3500">
      <c r="A3500" t="inlineStr">
        <is>
          <t>ORD03499</t>
        </is>
      </c>
      <c r="B3500" t="inlineStr">
        <is>
          <t>C0999</t>
        </is>
      </c>
      <c r="C3500" t="n">
        <v>1</v>
      </c>
      <c r="D3500" t="inlineStr">
        <is>
          <t>Hub B</t>
        </is>
      </c>
      <c r="E3500" t="n">
        <v>31</v>
      </c>
      <c r="F3500" t="n">
        <v>19</v>
      </c>
    </row>
    <row r="3501">
      <c r="A3501" t="inlineStr">
        <is>
          <t>ORD03500</t>
        </is>
      </c>
      <c r="B3501" t="inlineStr">
        <is>
          <t>C1000</t>
        </is>
      </c>
      <c r="C3501" t="n">
        <v>2</v>
      </c>
      <c r="D3501" t="inlineStr">
        <is>
          <t>Hub B</t>
        </is>
      </c>
      <c r="E3501" t="n">
        <v>38</v>
      </c>
      <c r="F3501" t="n">
        <v>19</v>
      </c>
    </row>
    <row r="3502">
      <c r="A3502" t="inlineStr">
        <is>
          <t>ORD03501</t>
        </is>
      </c>
      <c r="B3502" t="inlineStr">
        <is>
          <t>C1001</t>
        </is>
      </c>
      <c r="C3502" t="n">
        <v>3</v>
      </c>
      <c r="D3502" t="inlineStr">
        <is>
          <t>Hub B</t>
        </is>
      </c>
      <c r="E3502" t="n">
        <v>45</v>
      </c>
      <c r="F3502" t="n">
        <v>19</v>
      </c>
    </row>
    <row r="3503">
      <c r="A3503" t="inlineStr">
        <is>
          <t>ORD03502</t>
        </is>
      </c>
      <c r="B3503" t="inlineStr">
        <is>
          <t>C1002</t>
        </is>
      </c>
      <c r="C3503" t="n">
        <v>1</v>
      </c>
      <c r="D3503" t="inlineStr">
        <is>
          <t>Hub B</t>
        </is>
      </c>
      <c r="E3503" t="n">
        <v>52</v>
      </c>
      <c r="F3503" t="n">
        <v>19</v>
      </c>
    </row>
    <row r="3504">
      <c r="A3504" t="inlineStr">
        <is>
          <t>ORD03503</t>
        </is>
      </c>
      <c r="B3504" t="inlineStr">
        <is>
          <t>C1003</t>
        </is>
      </c>
      <c r="C3504" t="n">
        <v>2</v>
      </c>
      <c r="D3504" t="inlineStr">
        <is>
          <t>Hub B</t>
        </is>
      </c>
      <c r="E3504" t="n">
        <v>59</v>
      </c>
      <c r="F3504" t="n">
        <v>19</v>
      </c>
    </row>
    <row r="3505">
      <c r="A3505" t="inlineStr">
        <is>
          <t>ORD03504</t>
        </is>
      </c>
      <c r="B3505" t="inlineStr">
        <is>
          <t>C1004</t>
        </is>
      </c>
      <c r="C3505" t="n">
        <v>3</v>
      </c>
      <c r="D3505" t="inlineStr">
        <is>
          <t>Hub B</t>
        </is>
      </c>
      <c r="E3505" t="n">
        <v>66</v>
      </c>
      <c r="F3505" t="n">
        <v>19</v>
      </c>
    </row>
    <row r="3506">
      <c r="A3506" t="inlineStr">
        <is>
          <t>ORD03505</t>
        </is>
      </c>
      <c r="B3506" t="inlineStr">
        <is>
          <t>C1005</t>
        </is>
      </c>
      <c r="C3506" t="n">
        <v>1</v>
      </c>
      <c r="D3506" t="inlineStr">
        <is>
          <t>Hub B</t>
        </is>
      </c>
      <c r="E3506" t="n">
        <v>73</v>
      </c>
      <c r="F3506" t="n">
        <v>19</v>
      </c>
    </row>
    <row r="3507">
      <c r="A3507" t="inlineStr">
        <is>
          <t>ORD03506</t>
        </is>
      </c>
      <c r="B3507" t="inlineStr">
        <is>
          <t>C1006</t>
        </is>
      </c>
      <c r="C3507" t="n">
        <v>2</v>
      </c>
      <c r="D3507" t="inlineStr">
        <is>
          <t>Hub B</t>
        </is>
      </c>
      <c r="E3507" t="n">
        <v>20</v>
      </c>
      <c r="F3507" t="n">
        <v>19</v>
      </c>
    </row>
    <row r="3508">
      <c r="A3508" t="inlineStr">
        <is>
          <t>ORD03507</t>
        </is>
      </c>
      <c r="B3508" t="inlineStr">
        <is>
          <t>C1007</t>
        </is>
      </c>
      <c r="C3508" t="n">
        <v>3</v>
      </c>
      <c r="D3508" t="inlineStr">
        <is>
          <t>Hub B</t>
        </is>
      </c>
      <c r="E3508" t="n">
        <v>27</v>
      </c>
      <c r="F3508" t="n">
        <v>19</v>
      </c>
    </row>
    <row r="3509">
      <c r="A3509" t="inlineStr">
        <is>
          <t>ORD03508</t>
        </is>
      </c>
      <c r="B3509" t="inlineStr">
        <is>
          <t>C1008</t>
        </is>
      </c>
      <c r="C3509" t="n">
        <v>1</v>
      </c>
      <c r="D3509" t="inlineStr">
        <is>
          <t>Hub B</t>
        </is>
      </c>
      <c r="E3509" t="n">
        <v>34</v>
      </c>
      <c r="F3509" t="n">
        <v>19</v>
      </c>
    </row>
    <row r="3510">
      <c r="A3510" t="inlineStr">
        <is>
          <t>ORD03509</t>
        </is>
      </c>
      <c r="B3510" t="inlineStr">
        <is>
          <t>C1009</t>
        </is>
      </c>
      <c r="C3510" t="n">
        <v>2</v>
      </c>
      <c r="D3510" t="inlineStr">
        <is>
          <t>Hub B</t>
        </is>
      </c>
      <c r="E3510" t="n">
        <v>41</v>
      </c>
      <c r="F3510" t="n">
        <v>19</v>
      </c>
    </row>
    <row r="3511">
      <c r="A3511" t="inlineStr">
        <is>
          <t>ORD03510</t>
        </is>
      </c>
      <c r="B3511" t="inlineStr">
        <is>
          <t>C1010</t>
        </is>
      </c>
      <c r="C3511" t="n">
        <v>3</v>
      </c>
      <c r="D3511" t="inlineStr">
        <is>
          <t>Hub B</t>
        </is>
      </c>
      <c r="E3511" t="n">
        <v>48</v>
      </c>
      <c r="F3511" t="n">
        <v>19</v>
      </c>
    </row>
    <row r="3512">
      <c r="A3512" t="inlineStr">
        <is>
          <t>ORD03511</t>
        </is>
      </c>
      <c r="B3512" t="inlineStr">
        <is>
          <t>C1011</t>
        </is>
      </c>
      <c r="C3512" t="n">
        <v>1</v>
      </c>
      <c r="D3512" t="inlineStr">
        <is>
          <t>Hub B</t>
        </is>
      </c>
      <c r="E3512" t="n">
        <v>55</v>
      </c>
      <c r="F3512" t="n">
        <v>19</v>
      </c>
    </row>
    <row r="3513">
      <c r="A3513" t="inlineStr">
        <is>
          <t>ORD03512</t>
        </is>
      </c>
      <c r="B3513" t="inlineStr">
        <is>
          <t>C1012</t>
        </is>
      </c>
      <c r="C3513" t="n">
        <v>2</v>
      </c>
      <c r="D3513" t="inlineStr">
        <is>
          <t>Hub B</t>
        </is>
      </c>
      <c r="E3513" t="n">
        <v>62</v>
      </c>
      <c r="F3513" t="n">
        <v>19</v>
      </c>
    </row>
    <row r="3514">
      <c r="A3514" t="inlineStr">
        <is>
          <t>ORD03513</t>
        </is>
      </c>
      <c r="B3514" t="inlineStr">
        <is>
          <t>C1013</t>
        </is>
      </c>
      <c r="C3514" t="n">
        <v>3</v>
      </c>
      <c r="D3514" t="inlineStr">
        <is>
          <t>Hub B</t>
        </is>
      </c>
      <c r="E3514" t="n">
        <v>69</v>
      </c>
      <c r="F3514" t="n">
        <v>19</v>
      </c>
    </row>
    <row r="3515">
      <c r="A3515" t="inlineStr">
        <is>
          <t>ORD03514</t>
        </is>
      </c>
      <c r="B3515" t="inlineStr">
        <is>
          <t>C1014</t>
        </is>
      </c>
      <c r="C3515" t="n">
        <v>1</v>
      </c>
      <c r="D3515" t="inlineStr">
        <is>
          <t>Hub B</t>
        </is>
      </c>
      <c r="E3515" t="n">
        <v>76</v>
      </c>
      <c r="F3515" t="n">
        <v>19</v>
      </c>
    </row>
    <row r="3516">
      <c r="A3516" t="inlineStr">
        <is>
          <t>ORD03515</t>
        </is>
      </c>
      <c r="B3516" t="inlineStr">
        <is>
          <t>C1015</t>
        </is>
      </c>
      <c r="C3516" t="n">
        <v>2</v>
      </c>
      <c r="D3516" t="inlineStr">
        <is>
          <t>Hub B</t>
        </is>
      </c>
      <c r="E3516" t="n">
        <v>23</v>
      </c>
      <c r="F3516" t="n">
        <v>19</v>
      </c>
    </row>
    <row r="3517">
      <c r="A3517" t="inlineStr">
        <is>
          <t>ORD03516</t>
        </is>
      </c>
      <c r="B3517" t="inlineStr">
        <is>
          <t>C1016</t>
        </is>
      </c>
      <c r="C3517" t="n">
        <v>3</v>
      </c>
      <c r="D3517" t="inlineStr">
        <is>
          <t>Hub B</t>
        </is>
      </c>
      <c r="E3517" t="n">
        <v>30</v>
      </c>
      <c r="F3517" t="n">
        <v>19</v>
      </c>
    </row>
    <row r="3518">
      <c r="A3518" t="inlineStr">
        <is>
          <t>ORD03517</t>
        </is>
      </c>
      <c r="B3518" t="inlineStr">
        <is>
          <t>C1017</t>
        </is>
      </c>
      <c r="C3518" t="n">
        <v>1</v>
      </c>
      <c r="D3518" t="inlineStr">
        <is>
          <t>Hub B</t>
        </is>
      </c>
      <c r="E3518" t="n">
        <v>37</v>
      </c>
      <c r="F3518" t="n">
        <v>19</v>
      </c>
    </row>
    <row r="3519">
      <c r="A3519" t="inlineStr">
        <is>
          <t>ORD03518</t>
        </is>
      </c>
      <c r="B3519" t="inlineStr">
        <is>
          <t>C1018</t>
        </is>
      </c>
      <c r="C3519" t="n">
        <v>2</v>
      </c>
      <c r="D3519" t="inlineStr">
        <is>
          <t>Hub B</t>
        </is>
      </c>
      <c r="E3519" t="n">
        <v>44</v>
      </c>
      <c r="F3519" t="n">
        <v>19</v>
      </c>
    </row>
    <row r="3520">
      <c r="A3520" t="inlineStr">
        <is>
          <t>ORD03519</t>
        </is>
      </c>
      <c r="B3520" t="inlineStr">
        <is>
          <t>C1019</t>
        </is>
      </c>
      <c r="C3520" t="n">
        <v>3</v>
      </c>
      <c r="D3520" t="inlineStr">
        <is>
          <t>Hub B</t>
        </is>
      </c>
      <c r="E3520" t="n">
        <v>51</v>
      </c>
      <c r="F3520" t="n">
        <v>19</v>
      </c>
    </row>
    <row r="3521">
      <c r="A3521" t="inlineStr">
        <is>
          <t>ORD03520</t>
        </is>
      </c>
      <c r="B3521" t="inlineStr">
        <is>
          <t>C1020</t>
        </is>
      </c>
      <c r="C3521" t="n">
        <v>1</v>
      </c>
      <c r="D3521" t="inlineStr">
        <is>
          <t>Hub B</t>
        </is>
      </c>
      <c r="E3521" t="n">
        <v>58</v>
      </c>
      <c r="F3521" t="n">
        <v>19</v>
      </c>
    </row>
    <row r="3522">
      <c r="A3522" t="inlineStr">
        <is>
          <t>ORD03521</t>
        </is>
      </c>
      <c r="B3522" t="inlineStr">
        <is>
          <t>C1021</t>
        </is>
      </c>
      <c r="C3522" t="n">
        <v>2</v>
      </c>
      <c r="D3522" t="inlineStr">
        <is>
          <t>Hub B</t>
        </is>
      </c>
      <c r="E3522" t="n">
        <v>65</v>
      </c>
      <c r="F3522" t="n">
        <v>19</v>
      </c>
    </row>
    <row r="3523">
      <c r="A3523" t="inlineStr">
        <is>
          <t>ORD03522</t>
        </is>
      </c>
      <c r="B3523" t="inlineStr">
        <is>
          <t>C1022</t>
        </is>
      </c>
      <c r="C3523" t="n">
        <v>3</v>
      </c>
      <c r="D3523" t="inlineStr">
        <is>
          <t>Hub B</t>
        </is>
      </c>
      <c r="E3523" t="n">
        <v>72</v>
      </c>
      <c r="F3523" t="n">
        <v>19</v>
      </c>
    </row>
    <row r="3524">
      <c r="A3524" t="inlineStr">
        <is>
          <t>ORD03523</t>
        </is>
      </c>
      <c r="B3524" t="inlineStr">
        <is>
          <t>C1023</t>
        </is>
      </c>
      <c r="C3524" t="n">
        <v>1</v>
      </c>
      <c r="D3524" t="inlineStr">
        <is>
          <t>Hub B</t>
        </is>
      </c>
      <c r="E3524" t="n">
        <v>19</v>
      </c>
      <c r="F3524" t="n">
        <v>19</v>
      </c>
    </row>
    <row r="3525">
      <c r="A3525" t="inlineStr">
        <is>
          <t>ORD03524</t>
        </is>
      </c>
      <c r="B3525" t="inlineStr">
        <is>
          <t>C1024</t>
        </is>
      </c>
      <c r="C3525" t="n">
        <v>2</v>
      </c>
      <c r="D3525" t="inlineStr">
        <is>
          <t>Hub B</t>
        </is>
      </c>
      <c r="E3525" t="n">
        <v>26</v>
      </c>
      <c r="F3525" t="n">
        <v>19</v>
      </c>
    </row>
    <row r="3526">
      <c r="A3526" t="inlineStr">
        <is>
          <t>ORD03525</t>
        </is>
      </c>
      <c r="B3526" t="inlineStr">
        <is>
          <t>C1025</t>
        </is>
      </c>
      <c r="C3526" t="n">
        <v>3</v>
      </c>
      <c r="D3526" t="inlineStr">
        <is>
          <t>Hub B</t>
        </is>
      </c>
      <c r="E3526" t="n">
        <v>33</v>
      </c>
      <c r="F3526" t="n">
        <v>19</v>
      </c>
    </row>
    <row r="3527">
      <c r="A3527" t="inlineStr">
        <is>
          <t>ORD03526</t>
        </is>
      </c>
      <c r="B3527" t="inlineStr">
        <is>
          <t>C1026</t>
        </is>
      </c>
      <c r="C3527" t="n">
        <v>1</v>
      </c>
      <c r="D3527" t="inlineStr">
        <is>
          <t>Hub B</t>
        </is>
      </c>
      <c r="E3527" t="n">
        <v>40</v>
      </c>
      <c r="F3527" t="n">
        <v>19</v>
      </c>
    </row>
    <row r="3528">
      <c r="A3528" t="inlineStr">
        <is>
          <t>ORD03527</t>
        </is>
      </c>
      <c r="B3528" t="inlineStr">
        <is>
          <t>C1027</t>
        </is>
      </c>
      <c r="C3528" t="n">
        <v>2</v>
      </c>
      <c r="D3528" t="inlineStr">
        <is>
          <t>Hub B</t>
        </is>
      </c>
      <c r="E3528" t="n">
        <v>47</v>
      </c>
      <c r="F3528" t="n">
        <v>19</v>
      </c>
    </row>
    <row r="3529">
      <c r="A3529" t="inlineStr">
        <is>
          <t>ORD03528</t>
        </is>
      </c>
      <c r="B3529" t="inlineStr">
        <is>
          <t>C1028</t>
        </is>
      </c>
      <c r="C3529" t="n">
        <v>3</v>
      </c>
      <c r="D3529" t="inlineStr">
        <is>
          <t>Hub B</t>
        </is>
      </c>
      <c r="E3529" t="n">
        <v>54</v>
      </c>
      <c r="F3529" t="n">
        <v>19</v>
      </c>
    </row>
    <row r="3530">
      <c r="A3530" t="inlineStr">
        <is>
          <t>ORD03529</t>
        </is>
      </c>
      <c r="B3530" t="inlineStr">
        <is>
          <t>C1029</t>
        </is>
      </c>
      <c r="C3530" t="n">
        <v>1</v>
      </c>
      <c r="D3530" t="inlineStr">
        <is>
          <t>Hub B</t>
        </is>
      </c>
      <c r="E3530" t="n">
        <v>61</v>
      </c>
      <c r="F3530" t="n">
        <v>19</v>
      </c>
    </row>
    <row r="3531">
      <c r="A3531" t="inlineStr">
        <is>
          <t>ORD03530</t>
        </is>
      </c>
      <c r="B3531" t="inlineStr">
        <is>
          <t>C1030</t>
        </is>
      </c>
      <c r="C3531" t="n">
        <v>2</v>
      </c>
      <c r="D3531" t="inlineStr">
        <is>
          <t>Hub B</t>
        </is>
      </c>
      <c r="E3531" t="n">
        <v>68</v>
      </c>
      <c r="F3531" t="n">
        <v>19</v>
      </c>
    </row>
    <row r="3532">
      <c r="A3532" t="inlineStr">
        <is>
          <t>ORD03531</t>
        </is>
      </c>
      <c r="B3532" t="inlineStr">
        <is>
          <t>C1031</t>
        </is>
      </c>
      <c r="C3532" t="n">
        <v>3</v>
      </c>
      <c r="D3532" t="inlineStr">
        <is>
          <t>Hub B</t>
        </is>
      </c>
      <c r="E3532" t="n">
        <v>75</v>
      </c>
      <c r="F3532" t="n">
        <v>19</v>
      </c>
    </row>
    <row r="3533">
      <c r="A3533" t="inlineStr">
        <is>
          <t>ORD03532</t>
        </is>
      </c>
      <c r="B3533" t="inlineStr">
        <is>
          <t>C1032</t>
        </is>
      </c>
      <c r="C3533" t="n">
        <v>1</v>
      </c>
      <c r="D3533" t="inlineStr">
        <is>
          <t>Hub B</t>
        </is>
      </c>
      <c r="E3533" t="n">
        <v>22</v>
      </c>
      <c r="F3533" t="n">
        <v>19</v>
      </c>
    </row>
    <row r="3534">
      <c r="A3534" t="inlineStr">
        <is>
          <t>ORD03533</t>
        </is>
      </c>
      <c r="B3534" t="inlineStr">
        <is>
          <t>C1033</t>
        </is>
      </c>
      <c r="C3534" t="n">
        <v>2</v>
      </c>
      <c r="D3534" t="inlineStr">
        <is>
          <t>Hub B</t>
        </is>
      </c>
      <c r="E3534" t="n">
        <v>29</v>
      </c>
      <c r="F3534" t="n">
        <v>19</v>
      </c>
    </row>
    <row r="3535">
      <c r="A3535" t="inlineStr">
        <is>
          <t>ORD03534</t>
        </is>
      </c>
      <c r="B3535" t="inlineStr">
        <is>
          <t>C1034</t>
        </is>
      </c>
      <c r="C3535" t="n">
        <v>3</v>
      </c>
      <c r="D3535" t="inlineStr">
        <is>
          <t>Hub B</t>
        </is>
      </c>
      <c r="E3535" t="n">
        <v>36</v>
      </c>
      <c r="F3535" t="n">
        <v>19</v>
      </c>
    </row>
    <row r="3536">
      <c r="A3536" t="inlineStr">
        <is>
          <t>ORD03535</t>
        </is>
      </c>
      <c r="B3536" t="inlineStr">
        <is>
          <t>C1035</t>
        </is>
      </c>
      <c r="C3536" t="n">
        <v>1</v>
      </c>
      <c r="D3536" t="inlineStr">
        <is>
          <t>Hub B</t>
        </is>
      </c>
      <c r="E3536" t="n">
        <v>43</v>
      </c>
      <c r="F3536" t="n">
        <v>19</v>
      </c>
    </row>
    <row r="3537">
      <c r="A3537" t="inlineStr">
        <is>
          <t>ORD03536</t>
        </is>
      </c>
      <c r="B3537" t="inlineStr">
        <is>
          <t>C1036</t>
        </is>
      </c>
      <c r="C3537" t="n">
        <v>2</v>
      </c>
      <c r="D3537" t="inlineStr">
        <is>
          <t>Hub B</t>
        </is>
      </c>
      <c r="E3537" t="n">
        <v>50</v>
      </c>
      <c r="F3537" t="n">
        <v>19</v>
      </c>
    </row>
    <row r="3538">
      <c r="A3538" t="inlineStr">
        <is>
          <t>ORD03537</t>
        </is>
      </c>
      <c r="B3538" t="inlineStr">
        <is>
          <t>C1037</t>
        </is>
      </c>
      <c r="C3538" t="n">
        <v>3</v>
      </c>
      <c r="D3538" t="inlineStr">
        <is>
          <t>Hub B</t>
        </is>
      </c>
      <c r="E3538" t="n">
        <v>57</v>
      </c>
      <c r="F3538" t="n">
        <v>19</v>
      </c>
    </row>
    <row r="3539">
      <c r="A3539" t="inlineStr">
        <is>
          <t>ORD03538</t>
        </is>
      </c>
      <c r="B3539" t="inlineStr">
        <is>
          <t>C1038</t>
        </is>
      </c>
      <c r="C3539" t="n">
        <v>1</v>
      </c>
      <c r="D3539" t="inlineStr">
        <is>
          <t>Hub B</t>
        </is>
      </c>
      <c r="E3539" t="n">
        <v>64</v>
      </c>
      <c r="F3539" t="n">
        <v>19</v>
      </c>
    </row>
    <row r="3540">
      <c r="A3540" t="inlineStr">
        <is>
          <t>ORD03539</t>
        </is>
      </c>
      <c r="B3540" t="inlineStr">
        <is>
          <t>C1039</t>
        </is>
      </c>
      <c r="C3540" t="n">
        <v>2</v>
      </c>
      <c r="D3540" t="inlineStr">
        <is>
          <t>Hub B</t>
        </is>
      </c>
      <c r="E3540" t="n">
        <v>71</v>
      </c>
      <c r="F3540" t="n">
        <v>19</v>
      </c>
    </row>
    <row r="3541">
      <c r="A3541" t="inlineStr">
        <is>
          <t>ORD03540</t>
        </is>
      </c>
      <c r="B3541" t="inlineStr">
        <is>
          <t>C1040</t>
        </is>
      </c>
      <c r="C3541" t="n">
        <v>3</v>
      </c>
      <c r="D3541" t="inlineStr">
        <is>
          <t>Hub B</t>
        </is>
      </c>
      <c r="E3541" t="n">
        <v>18</v>
      </c>
      <c r="F3541" t="n">
        <v>19</v>
      </c>
    </row>
    <row r="3542">
      <c r="A3542" t="inlineStr">
        <is>
          <t>ORD03541</t>
        </is>
      </c>
      <c r="B3542" t="inlineStr">
        <is>
          <t>C1041</t>
        </is>
      </c>
      <c r="C3542" t="n">
        <v>1</v>
      </c>
      <c r="D3542" t="inlineStr">
        <is>
          <t>Hub B</t>
        </is>
      </c>
      <c r="E3542" t="n">
        <v>25</v>
      </c>
      <c r="F3542" t="n">
        <v>19</v>
      </c>
    </row>
    <row r="3543">
      <c r="A3543" t="inlineStr">
        <is>
          <t>ORD03542</t>
        </is>
      </c>
      <c r="B3543" t="inlineStr">
        <is>
          <t>C1042</t>
        </is>
      </c>
      <c r="C3543" t="n">
        <v>2</v>
      </c>
      <c r="D3543" t="inlineStr">
        <is>
          <t>Hub B</t>
        </is>
      </c>
      <c r="E3543" t="n">
        <v>32</v>
      </c>
      <c r="F3543" t="n">
        <v>19</v>
      </c>
    </row>
    <row r="3544">
      <c r="A3544" t="inlineStr">
        <is>
          <t>ORD03543</t>
        </is>
      </c>
      <c r="B3544" t="inlineStr">
        <is>
          <t>C1043</t>
        </is>
      </c>
      <c r="C3544" t="n">
        <v>3</v>
      </c>
      <c r="D3544" t="inlineStr">
        <is>
          <t>Hub B</t>
        </is>
      </c>
      <c r="E3544" t="n">
        <v>39</v>
      </c>
      <c r="F3544" t="n">
        <v>19</v>
      </c>
    </row>
    <row r="3545">
      <c r="A3545" t="inlineStr">
        <is>
          <t>ORD03544</t>
        </is>
      </c>
      <c r="B3545" t="inlineStr">
        <is>
          <t>C1044</t>
        </is>
      </c>
      <c r="C3545" t="n">
        <v>1</v>
      </c>
      <c r="D3545" t="inlineStr">
        <is>
          <t>Hub B</t>
        </is>
      </c>
      <c r="E3545" t="n">
        <v>46</v>
      </c>
      <c r="F3545" t="n">
        <v>19</v>
      </c>
    </row>
    <row r="3546">
      <c r="A3546" t="inlineStr">
        <is>
          <t>ORD03545</t>
        </is>
      </c>
      <c r="B3546" t="inlineStr">
        <is>
          <t>C1045</t>
        </is>
      </c>
      <c r="C3546" t="n">
        <v>2</v>
      </c>
      <c r="D3546" t="inlineStr">
        <is>
          <t>Hub B</t>
        </is>
      </c>
      <c r="E3546" t="n">
        <v>53</v>
      </c>
      <c r="F3546" t="n">
        <v>19</v>
      </c>
    </row>
    <row r="3547">
      <c r="A3547" t="inlineStr">
        <is>
          <t>ORD03546</t>
        </is>
      </c>
      <c r="B3547" t="inlineStr">
        <is>
          <t>C1046</t>
        </is>
      </c>
      <c r="C3547" t="n">
        <v>3</v>
      </c>
      <c r="D3547" t="inlineStr">
        <is>
          <t>Hub B</t>
        </is>
      </c>
      <c r="E3547" t="n">
        <v>60</v>
      </c>
      <c r="F3547" t="n">
        <v>19</v>
      </c>
    </row>
    <row r="3548">
      <c r="A3548" t="inlineStr">
        <is>
          <t>ORD03547</t>
        </is>
      </c>
      <c r="B3548" t="inlineStr">
        <is>
          <t>C1047</t>
        </is>
      </c>
      <c r="C3548" t="n">
        <v>1</v>
      </c>
      <c r="D3548" t="inlineStr">
        <is>
          <t>Hub B</t>
        </is>
      </c>
      <c r="E3548" t="n">
        <v>67</v>
      </c>
      <c r="F3548" t="n">
        <v>19</v>
      </c>
    </row>
    <row r="3549">
      <c r="A3549" t="inlineStr">
        <is>
          <t>ORD03548</t>
        </is>
      </c>
      <c r="B3549" t="inlineStr">
        <is>
          <t>C1048</t>
        </is>
      </c>
      <c r="C3549" t="n">
        <v>2</v>
      </c>
      <c r="D3549" t="inlineStr">
        <is>
          <t>Hub B</t>
        </is>
      </c>
      <c r="E3549" t="n">
        <v>74</v>
      </c>
      <c r="F3549" t="n">
        <v>19</v>
      </c>
    </row>
    <row r="3550">
      <c r="A3550" t="inlineStr">
        <is>
          <t>ORD03549</t>
        </is>
      </c>
      <c r="B3550" t="inlineStr">
        <is>
          <t>C1049</t>
        </is>
      </c>
      <c r="C3550" t="n">
        <v>3</v>
      </c>
      <c r="D3550" t="inlineStr">
        <is>
          <t>Hub B</t>
        </is>
      </c>
      <c r="E3550" t="n">
        <v>21</v>
      </c>
      <c r="F3550" t="n">
        <v>19</v>
      </c>
    </row>
    <row r="3551">
      <c r="A3551" t="inlineStr">
        <is>
          <t>ORD03550</t>
        </is>
      </c>
      <c r="B3551" t="inlineStr">
        <is>
          <t>C1050</t>
        </is>
      </c>
      <c r="C3551" t="n">
        <v>1</v>
      </c>
      <c r="D3551" t="inlineStr">
        <is>
          <t>Hub B</t>
        </is>
      </c>
      <c r="E3551" t="n">
        <v>28</v>
      </c>
      <c r="F3551" t="n">
        <v>19</v>
      </c>
    </row>
    <row r="3552">
      <c r="A3552" t="inlineStr">
        <is>
          <t>ORD03551</t>
        </is>
      </c>
      <c r="B3552" t="inlineStr">
        <is>
          <t>C1051</t>
        </is>
      </c>
      <c r="C3552" t="n">
        <v>2</v>
      </c>
      <c r="D3552" t="inlineStr">
        <is>
          <t>Hub B</t>
        </is>
      </c>
      <c r="E3552" t="n">
        <v>35</v>
      </c>
      <c r="F3552" t="n">
        <v>19</v>
      </c>
    </row>
    <row r="3553">
      <c r="A3553" t="inlineStr">
        <is>
          <t>ORD03552</t>
        </is>
      </c>
      <c r="B3553" t="inlineStr">
        <is>
          <t>C1052</t>
        </is>
      </c>
      <c r="C3553" t="n">
        <v>3</v>
      </c>
      <c r="D3553" t="inlineStr">
        <is>
          <t>Hub B</t>
        </is>
      </c>
      <c r="E3553" t="n">
        <v>42</v>
      </c>
      <c r="F3553" t="n">
        <v>19</v>
      </c>
    </row>
    <row r="3554">
      <c r="A3554" t="inlineStr">
        <is>
          <t>ORD03553</t>
        </is>
      </c>
      <c r="B3554" t="inlineStr">
        <is>
          <t>C1053</t>
        </is>
      </c>
      <c r="C3554" t="n">
        <v>1</v>
      </c>
      <c r="D3554" t="inlineStr">
        <is>
          <t>Hub B</t>
        </is>
      </c>
      <c r="E3554" t="n">
        <v>49</v>
      </c>
      <c r="F3554" t="n">
        <v>19</v>
      </c>
    </row>
    <row r="3555">
      <c r="A3555" t="inlineStr">
        <is>
          <t>ORD03554</t>
        </is>
      </c>
      <c r="B3555" t="inlineStr">
        <is>
          <t>C1054</t>
        </is>
      </c>
      <c r="C3555" t="n">
        <v>2</v>
      </c>
      <c r="D3555" t="inlineStr">
        <is>
          <t>Hub B</t>
        </is>
      </c>
      <c r="E3555" t="n">
        <v>56</v>
      </c>
      <c r="F3555" t="n">
        <v>19</v>
      </c>
    </row>
    <row r="3556">
      <c r="A3556" t="inlineStr">
        <is>
          <t>ORD03555</t>
        </is>
      </c>
      <c r="B3556" t="inlineStr">
        <is>
          <t>C1055</t>
        </is>
      </c>
      <c r="C3556" t="n">
        <v>3</v>
      </c>
      <c r="D3556" t="inlineStr">
        <is>
          <t>Hub B</t>
        </is>
      </c>
      <c r="E3556" t="n">
        <v>63</v>
      </c>
      <c r="F3556" t="n">
        <v>19</v>
      </c>
    </row>
    <row r="3557">
      <c r="A3557" t="inlineStr">
        <is>
          <t>ORD03556</t>
        </is>
      </c>
      <c r="B3557" t="inlineStr">
        <is>
          <t>C1056</t>
        </is>
      </c>
      <c r="C3557" t="n">
        <v>1</v>
      </c>
      <c r="D3557" t="inlineStr">
        <is>
          <t>Hub B</t>
        </is>
      </c>
      <c r="E3557" t="n">
        <v>70</v>
      </c>
      <c r="F3557" t="n">
        <v>19</v>
      </c>
    </row>
    <row r="3558">
      <c r="A3558" t="inlineStr">
        <is>
          <t>ORD03557</t>
        </is>
      </c>
      <c r="B3558" t="inlineStr">
        <is>
          <t>C1057</t>
        </is>
      </c>
      <c r="C3558" t="n">
        <v>2</v>
      </c>
      <c r="D3558" t="inlineStr">
        <is>
          <t>Hub B</t>
        </is>
      </c>
      <c r="E3558" t="n">
        <v>77</v>
      </c>
      <c r="F3558" t="n">
        <v>19</v>
      </c>
    </row>
    <row r="3559">
      <c r="A3559" t="inlineStr">
        <is>
          <t>ORD03558</t>
        </is>
      </c>
      <c r="B3559" t="inlineStr">
        <is>
          <t>C1058</t>
        </is>
      </c>
      <c r="C3559" t="n">
        <v>3</v>
      </c>
      <c r="D3559" t="inlineStr">
        <is>
          <t>Hub B</t>
        </is>
      </c>
      <c r="E3559" t="n">
        <v>24</v>
      </c>
      <c r="F3559" t="n">
        <v>19</v>
      </c>
    </row>
    <row r="3560">
      <c r="A3560" t="inlineStr">
        <is>
          <t>ORD03559</t>
        </is>
      </c>
      <c r="B3560" t="inlineStr">
        <is>
          <t>C1059</t>
        </is>
      </c>
      <c r="C3560" t="n">
        <v>1</v>
      </c>
      <c r="D3560" t="inlineStr">
        <is>
          <t>Hub B</t>
        </is>
      </c>
      <c r="E3560" t="n">
        <v>31</v>
      </c>
      <c r="F3560" t="n">
        <v>19</v>
      </c>
    </row>
    <row r="3561">
      <c r="A3561" t="inlineStr">
        <is>
          <t>ORD03560</t>
        </is>
      </c>
      <c r="B3561" t="inlineStr">
        <is>
          <t>C1060</t>
        </is>
      </c>
      <c r="C3561" t="n">
        <v>2</v>
      </c>
      <c r="D3561" t="inlineStr">
        <is>
          <t>Hub B</t>
        </is>
      </c>
      <c r="E3561" t="n">
        <v>38</v>
      </c>
      <c r="F3561" t="n">
        <v>19</v>
      </c>
    </row>
    <row r="3562">
      <c r="A3562" t="inlineStr">
        <is>
          <t>ORD03561</t>
        </is>
      </c>
      <c r="B3562" t="inlineStr">
        <is>
          <t>C1061</t>
        </is>
      </c>
      <c r="C3562" t="n">
        <v>3</v>
      </c>
      <c r="D3562" t="inlineStr">
        <is>
          <t>Hub B</t>
        </is>
      </c>
      <c r="E3562" t="n">
        <v>45</v>
      </c>
      <c r="F3562" t="n">
        <v>19</v>
      </c>
    </row>
    <row r="3563">
      <c r="A3563" t="inlineStr">
        <is>
          <t>ORD03562</t>
        </is>
      </c>
      <c r="B3563" t="inlineStr">
        <is>
          <t>C1062</t>
        </is>
      </c>
      <c r="C3563" t="n">
        <v>1</v>
      </c>
      <c r="D3563" t="inlineStr">
        <is>
          <t>Hub B</t>
        </is>
      </c>
      <c r="E3563" t="n">
        <v>52</v>
      </c>
      <c r="F3563" t="n">
        <v>19</v>
      </c>
    </row>
    <row r="3564">
      <c r="A3564" t="inlineStr">
        <is>
          <t>ORD03563</t>
        </is>
      </c>
      <c r="B3564" t="inlineStr">
        <is>
          <t>C1063</t>
        </is>
      </c>
      <c r="C3564" t="n">
        <v>2</v>
      </c>
      <c r="D3564" t="inlineStr">
        <is>
          <t>Hub B</t>
        </is>
      </c>
      <c r="E3564" t="n">
        <v>59</v>
      </c>
      <c r="F3564" t="n">
        <v>19</v>
      </c>
    </row>
    <row r="3565">
      <c r="A3565" t="inlineStr">
        <is>
          <t>ORD03564</t>
        </is>
      </c>
      <c r="B3565" t="inlineStr">
        <is>
          <t>C1064</t>
        </is>
      </c>
      <c r="C3565" t="n">
        <v>3</v>
      </c>
      <c r="D3565" t="inlineStr">
        <is>
          <t>Hub B</t>
        </is>
      </c>
      <c r="E3565" t="n">
        <v>66</v>
      </c>
      <c r="F3565" t="n">
        <v>19</v>
      </c>
    </row>
    <row r="3566">
      <c r="A3566" t="inlineStr">
        <is>
          <t>ORD03565</t>
        </is>
      </c>
      <c r="B3566" t="inlineStr">
        <is>
          <t>C1065</t>
        </is>
      </c>
      <c r="C3566" t="n">
        <v>1</v>
      </c>
      <c r="D3566" t="inlineStr">
        <is>
          <t>Hub B</t>
        </is>
      </c>
      <c r="E3566" t="n">
        <v>73</v>
      </c>
      <c r="F3566" t="n">
        <v>19</v>
      </c>
    </row>
    <row r="3567">
      <c r="A3567" t="inlineStr">
        <is>
          <t>ORD03566</t>
        </is>
      </c>
      <c r="B3567" t="inlineStr">
        <is>
          <t>C1066</t>
        </is>
      </c>
      <c r="C3567" t="n">
        <v>2</v>
      </c>
      <c r="D3567" t="inlineStr">
        <is>
          <t>Hub B</t>
        </is>
      </c>
      <c r="E3567" t="n">
        <v>20</v>
      </c>
      <c r="F3567" t="n">
        <v>19</v>
      </c>
    </row>
    <row r="3568">
      <c r="A3568" t="inlineStr">
        <is>
          <t>ORD03567</t>
        </is>
      </c>
      <c r="B3568" t="inlineStr">
        <is>
          <t>C1067</t>
        </is>
      </c>
      <c r="C3568" t="n">
        <v>3</v>
      </c>
      <c r="D3568" t="inlineStr">
        <is>
          <t>Hub B</t>
        </is>
      </c>
      <c r="E3568" t="n">
        <v>27</v>
      </c>
      <c r="F3568" t="n">
        <v>19</v>
      </c>
    </row>
    <row r="3569">
      <c r="A3569" t="inlineStr">
        <is>
          <t>ORD03568</t>
        </is>
      </c>
      <c r="B3569" t="inlineStr">
        <is>
          <t>C1068</t>
        </is>
      </c>
      <c r="C3569" t="n">
        <v>1</v>
      </c>
      <c r="D3569" t="inlineStr">
        <is>
          <t>Hub B</t>
        </is>
      </c>
      <c r="E3569" t="n">
        <v>34</v>
      </c>
      <c r="F3569" t="n">
        <v>19</v>
      </c>
    </row>
    <row r="3570">
      <c r="A3570" t="inlineStr">
        <is>
          <t>ORD03569</t>
        </is>
      </c>
      <c r="B3570" t="inlineStr">
        <is>
          <t>C1069</t>
        </is>
      </c>
      <c r="C3570" t="n">
        <v>2</v>
      </c>
      <c r="D3570" t="inlineStr">
        <is>
          <t>Hub B</t>
        </is>
      </c>
      <c r="E3570" t="n">
        <v>41</v>
      </c>
      <c r="F3570" t="n">
        <v>19</v>
      </c>
    </row>
    <row r="3571">
      <c r="A3571" t="inlineStr">
        <is>
          <t>ORD03570</t>
        </is>
      </c>
      <c r="B3571" t="inlineStr">
        <is>
          <t>C1070</t>
        </is>
      </c>
      <c r="C3571" t="n">
        <v>3</v>
      </c>
      <c r="D3571" t="inlineStr">
        <is>
          <t>Hub B</t>
        </is>
      </c>
      <c r="E3571" t="n">
        <v>48</v>
      </c>
      <c r="F3571" t="n">
        <v>19</v>
      </c>
    </row>
    <row r="3572">
      <c r="A3572" t="inlineStr">
        <is>
          <t>ORD03571</t>
        </is>
      </c>
      <c r="B3572" t="inlineStr">
        <is>
          <t>C1071</t>
        </is>
      </c>
      <c r="C3572" t="n">
        <v>1</v>
      </c>
      <c r="D3572" t="inlineStr">
        <is>
          <t>Hub B</t>
        </is>
      </c>
      <c r="E3572" t="n">
        <v>55</v>
      </c>
      <c r="F3572" t="n">
        <v>19</v>
      </c>
    </row>
    <row r="3573">
      <c r="A3573" t="inlineStr">
        <is>
          <t>ORD03572</t>
        </is>
      </c>
      <c r="B3573" t="inlineStr">
        <is>
          <t>C1072</t>
        </is>
      </c>
      <c r="C3573" t="n">
        <v>2</v>
      </c>
      <c r="D3573" t="inlineStr">
        <is>
          <t>Hub B</t>
        </is>
      </c>
      <c r="E3573" t="n">
        <v>62</v>
      </c>
      <c r="F3573" t="n">
        <v>19</v>
      </c>
    </row>
    <row r="3574">
      <c r="A3574" t="inlineStr">
        <is>
          <t>ORD03573</t>
        </is>
      </c>
      <c r="B3574" t="inlineStr">
        <is>
          <t>C1073</t>
        </is>
      </c>
      <c r="C3574" t="n">
        <v>3</v>
      </c>
      <c r="D3574" t="inlineStr">
        <is>
          <t>Hub B</t>
        </is>
      </c>
      <c r="E3574" t="n">
        <v>69</v>
      </c>
      <c r="F3574" t="n">
        <v>19</v>
      </c>
    </row>
    <row r="3575">
      <c r="A3575" t="inlineStr">
        <is>
          <t>ORD03574</t>
        </is>
      </c>
      <c r="B3575" t="inlineStr">
        <is>
          <t>C1074</t>
        </is>
      </c>
      <c r="C3575" t="n">
        <v>1</v>
      </c>
      <c r="D3575" t="inlineStr">
        <is>
          <t>Hub B</t>
        </is>
      </c>
      <c r="E3575" t="n">
        <v>76</v>
      </c>
      <c r="F3575" t="n">
        <v>19</v>
      </c>
    </row>
    <row r="3576">
      <c r="A3576" t="inlineStr">
        <is>
          <t>ORD03575</t>
        </is>
      </c>
      <c r="B3576" t="inlineStr">
        <is>
          <t>C1075</t>
        </is>
      </c>
      <c r="C3576" t="n">
        <v>2</v>
      </c>
      <c r="D3576" t="inlineStr">
        <is>
          <t>Hub B</t>
        </is>
      </c>
      <c r="E3576" t="n">
        <v>23</v>
      </c>
      <c r="F3576" t="n">
        <v>19</v>
      </c>
    </row>
    <row r="3577">
      <c r="A3577" t="inlineStr">
        <is>
          <t>ORD03576</t>
        </is>
      </c>
      <c r="B3577" t="inlineStr">
        <is>
          <t>C1076</t>
        </is>
      </c>
      <c r="C3577" t="n">
        <v>3</v>
      </c>
      <c r="D3577" t="inlineStr">
        <is>
          <t>Hub B</t>
        </is>
      </c>
      <c r="E3577" t="n">
        <v>30</v>
      </c>
      <c r="F3577" t="n">
        <v>19</v>
      </c>
    </row>
    <row r="3578">
      <c r="A3578" t="inlineStr">
        <is>
          <t>ORD03577</t>
        </is>
      </c>
      <c r="B3578" t="inlineStr">
        <is>
          <t>C1077</t>
        </is>
      </c>
      <c r="C3578" t="n">
        <v>1</v>
      </c>
      <c r="D3578" t="inlineStr">
        <is>
          <t>Hub B</t>
        </is>
      </c>
      <c r="E3578" t="n">
        <v>37</v>
      </c>
      <c r="F3578" t="n">
        <v>19</v>
      </c>
    </row>
    <row r="3579">
      <c r="A3579" t="inlineStr">
        <is>
          <t>ORD03578</t>
        </is>
      </c>
      <c r="B3579" t="inlineStr">
        <is>
          <t>C1078</t>
        </is>
      </c>
      <c r="C3579" t="n">
        <v>2</v>
      </c>
      <c r="D3579" t="inlineStr">
        <is>
          <t>Hub B</t>
        </is>
      </c>
      <c r="E3579" t="n">
        <v>44</v>
      </c>
      <c r="F3579" t="n">
        <v>19</v>
      </c>
    </row>
    <row r="3580">
      <c r="A3580" t="inlineStr">
        <is>
          <t>ORD03579</t>
        </is>
      </c>
      <c r="B3580" t="inlineStr">
        <is>
          <t>C1079</t>
        </is>
      </c>
      <c r="C3580" t="n">
        <v>3</v>
      </c>
      <c r="D3580" t="inlineStr">
        <is>
          <t>Hub B</t>
        </is>
      </c>
      <c r="E3580" t="n">
        <v>51</v>
      </c>
      <c r="F3580" t="n">
        <v>19</v>
      </c>
    </row>
    <row r="3581">
      <c r="A3581" t="inlineStr">
        <is>
          <t>ORD03580</t>
        </is>
      </c>
      <c r="B3581" t="inlineStr">
        <is>
          <t>C1080</t>
        </is>
      </c>
      <c r="C3581" t="n">
        <v>1</v>
      </c>
      <c r="D3581" t="inlineStr">
        <is>
          <t>Hub B</t>
        </is>
      </c>
      <c r="E3581" t="n">
        <v>58</v>
      </c>
      <c r="F3581" t="n">
        <v>19</v>
      </c>
    </row>
    <row r="3582">
      <c r="A3582" t="inlineStr">
        <is>
          <t>ORD03581</t>
        </is>
      </c>
      <c r="B3582" t="inlineStr">
        <is>
          <t>C1081</t>
        </is>
      </c>
      <c r="C3582" t="n">
        <v>2</v>
      </c>
      <c r="D3582" t="inlineStr">
        <is>
          <t>Hub B</t>
        </is>
      </c>
      <c r="E3582" t="n">
        <v>65</v>
      </c>
      <c r="F3582" t="n">
        <v>19</v>
      </c>
    </row>
    <row r="3583">
      <c r="A3583" t="inlineStr">
        <is>
          <t>ORD03582</t>
        </is>
      </c>
      <c r="B3583" t="inlineStr">
        <is>
          <t>C1082</t>
        </is>
      </c>
      <c r="C3583" t="n">
        <v>3</v>
      </c>
      <c r="D3583" t="inlineStr">
        <is>
          <t>Hub B</t>
        </is>
      </c>
      <c r="E3583" t="n">
        <v>72</v>
      </c>
      <c r="F3583" t="n">
        <v>19</v>
      </c>
    </row>
    <row r="3584">
      <c r="A3584" t="inlineStr">
        <is>
          <t>ORD03583</t>
        </is>
      </c>
      <c r="B3584" t="inlineStr">
        <is>
          <t>C1083</t>
        </is>
      </c>
      <c r="C3584" t="n">
        <v>1</v>
      </c>
      <c r="D3584" t="inlineStr">
        <is>
          <t>Hub B</t>
        </is>
      </c>
      <c r="E3584" t="n">
        <v>19</v>
      </c>
      <c r="F3584" t="n">
        <v>19</v>
      </c>
    </row>
    <row r="3585">
      <c r="A3585" t="inlineStr">
        <is>
          <t>ORD03584</t>
        </is>
      </c>
      <c r="B3585" t="inlineStr">
        <is>
          <t>C1084</t>
        </is>
      </c>
      <c r="C3585" t="n">
        <v>2</v>
      </c>
      <c r="D3585" t="inlineStr">
        <is>
          <t>Hub B</t>
        </is>
      </c>
      <c r="E3585" t="n">
        <v>26</v>
      </c>
      <c r="F3585" t="n">
        <v>19</v>
      </c>
    </row>
    <row r="3586">
      <c r="A3586" t="inlineStr">
        <is>
          <t>ORD03585</t>
        </is>
      </c>
      <c r="B3586" t="inlineStr">
        <is>
          <t>C1085</t>
        </is>
      </c>
      <c r="C3586" t="n">
        <v>3</v>
      </c>
      <c r="D3586" t="inlineStr">
        <is>
          <t>Hub B</t>
        </is>
      </c>
      <c r="E3586" t="n">
        <v>33</v>
      </c>
      <c r="F3586" t="n">
        <v>19</v>
      </c>
    </row>
    <row r="3587">
      <c r="A3587" t="inlineStr">
        <is>
          <t>ORD03586</t>
        </is>
      </c>
      <c r="B3587" t="inlineStr">
        <is>
          <t>C1086</t>
        </is>
      </c>
      <c r="C3587" t="n">
        <v>1</v>
      </c>
      <c r="D3587" t="inlineStr">
        <is>
          <t>Hub B</t>
        </is>
      </c>
      <c r="E3587" t="n">
        <v>40</v>
      </c>
      <c r="F3587" t="n">
        <v>19</v>
      </c>
    </row>
    <row r="3588">
      <c r="A3588" t="inlineStr">
        <is>
          <t>ORD03587</t>
        </is>
      </c>
      <c r="B3588" t="inlineStr">
        <is>
          <t>C1087</t>
        </is>
      </c>
      <c r="C3588" t="n">
        <v>2</v>
      </c>
      <c r="D3588" t="inlineStr">
        <is>
          <t>Hub B</t>
        </is>
      </c>
      <c r="E3588" t="n">
        <v>47</v>
      </c>
      <c r="F3588" t="n">
        <v>19</v>
      </c>
    </row>
    <row r="3589">
      <c r="A3589" t="inlineStr">
        <is>
          <t>ORD03588</t>
        </is>
      </c>
      <c r="B3589" t="inlineStr">
        <is>
          <t>C1088</t>
        </is>
      </c>
      <c r="C3589" t="n">
        <v>3</v>
      </c>
      <c r="D3589" t="inlineStr">
        <is>
          <t>Hub B</t>
        </is>
      </c>
      <c r="E3589" t="n">
        <v>54</v>
      </c>
      <c r="F3589" t="n">
        <v>19</v>
      </c>
    </row>
    <row r="3590">
      <c r="A3590" t="inlineStr">
        <is>
          <t>ORD03589</t>
        </is>
      </c>
      <c r="B3590" t="inlineStr">
        <is>
          <t>C1089</t>
        </is>
      </c>
      <c r="C3590" t="n">
        <v>1</v>
      </c>
      <c r="D3590" t="inlineStr">
        <is>
          <t>Hub B</t>
        </is>
      </c>
      <c r="E3590" t="n">
        <v>61</v>
      </c>
      <c r="F3590" t="n">
        <v>19</v>
      </c>
    </row>
    <row r="3591">
      <c r="A3591" t="inlineStr">
        <is>
          <t>ORD03590</t>
        </is>
      </c>
      <c r="B3591" t="inlineStr">
        <is>
          <t>C1090</t>
        </is>
      </c>
      <c r="C3591" t="n">
        <v>2</v>
      </c>
      <c r="D3591" t="inlineStr">
        <is>
          <t>Hub B</t>
        </is>
      </c>
      <c r="E3591" t="n">
        <v>68</v>
      </c>
      <c r="F3591" t="n">
        <v>19</v>
      </c>
    </row>
    <row r="3592">
      <c r="A3592" t="inlineStr">
        <is>
          <t>ORD03591</t>
        </is>
      </c>
      <c r="B3592" t="inlineStr">
        <is>
          <t>C1091</t>
        </is>
      </c>
      <c r="C3592" t="n">
        <v>3</v>
      </c>
      <c r="D3592" t="inlineStr">
        <is>
          <t>Hub B</t>
        </is>
      </c>
      <c r="E3592" t="n">
        <v>75</v>
      </c>
      <c r="F3592" t="n">
        <v>19</v>
      </c>
    </row>
    <row r="3593">
      <c r="A3593" t="inlineStr">
        <is>
          <t>ORD03592</t>
        </is>
      </c>
      <c r="B3593" t="inlineStr">
        <is>
          <t>C1092</t>
        </is>
      </c>
      <c r="C3593" t="n">
        <v>1</v>
      </c>
      <c r="D3593" t="inlineStr">
        <is>
          <t>Hub B</t>
        </is>
      </c>
      <c r="E3593" t="n">
        <v>22</v>
      </c>
      <c r="F3593" t="n">
        <v>19</v>
      </c>
    </row>
    <row r="3594">
      <c r="A3594" t="inlineStr">
        <is>
          <t>ORD03593</t>
        </is>
      </c>
      <c r="B3594" t="inlineStr">
        <is>
          <t>C1093</t>
        </is>
      </c>
      <c r="C3594" t="n">
        <v>2</v>
      </c>
      <c r="D3594" t="inlineStr">
        <is>
          <t>Hub B</t>
        </is>
      </c>
      <c r="E3594" t="n">
        <v>29</v>
      </c>
      <c r="F3594" t="n">
        <v>19</v>
      </c>
    </row>
    <row r="3595">
      <c r="A3595" t="inlineStr">
        <is>
          <t>ORD03594</t>
        </is>
      </c>
      <c r="B3595" t="inlineStr">
        <is>
          <t>C1094</t>
        </is>
      </c>
      <c r="C3595" t="n">
        <v>3</v>
      </c>
      <c r="D3595" t="inlineStr">
        <is>
          <t>Hub B</t>
        </is>
      </c>
      <c r="E3595" t="n">
        <v>36</v>
      </c>
      <c r="F3595" t="n">
        <v>19</v>
      </c>
    </row>
    <row r="3596">
      <c r="A3596" t="inlineStr">
        <is>
          <t>ORD03595</t>
        </is>
      </c>
      <c r="B3596" t="inlineStr">
        <is>
          <t>C1095</t>
        </is>
      </c>
      <c r="C3596" t="n">
        <v>1</v>
      </c>
      <c r="D3596" t="inlineStr">
        <is>
          <t>Hub B</t>
        </is>
      </c>
      <c r="E3596" t="n">
        <v>43</v>
      </c>
      <c r="F3596" t="n">
        <v>19</v>
      </c>
    </row>
    <row r="3597">
      <c r="A3597" t="inlineStr">
        <is>
          <t>ORD03596</t>
        </is>
      </c>
      <c r="B3597" t="inlineStr">
        <is>
          <t>C1096</t>
        </is>
      </c>
      <c r="C3597" t="n">
        <v>2</v>
      </c>
      <c r="D3597" t="inlineStr">
        <is>
          <t>Hub B</t>
        </is>
      </c>
      <c r="E3597" t="n">
        <v>50</v>
      </c>
      <c r="F3597" t="n">
        <v>19</v>
      </c>
    </row>
    <row r="3598">
      <c r="A3598" t="inlineStr">
        <is>
          <t>ORD03597</t>
        </is>
      </c>
      <c r="B3598" t="inlineStr">
        <is>
          <t>C1097</t>
        </is>
      </c>
      <c r="C3598" t="n">
        <v>3</v>
      </c>
      <c r="D3598" t="inlineStr">
        <is>
          <t>Hub B</t>
        </is>
      </c>
      <c r="E3598" t="n">
        <v>57</v>
      </c>
      <c r="F3598" t="n">
        <v>19</v>
      </c>
    </row>
    <row r="3599">
      <c r="A3599" t="inlineStr">
        <is>
          <t>ORD03598</t>
        </is>
      </c>
      <c r="B3599" t="inlineStr">
        <is>
          <t>C1098</t>
        </is>
      </c>
      <c r="C3599" t="n">
        <v>1</v>
      </c>
      <c r="D3599" t="inlineStr">
        <is>
          <t>Hub B</t>
        </is>
      </c>
      <c r="E3599" t="n">
        <v>64</v>
      </c>
      <c r="F3599" t="n">
        <v>19</v>
      </c>
    </row>
    <row r="3600">
      <c r="A3600" t="inlineStr">
        <is>
          <t>ORD03599</t>
        </is>
      </c>
      <c r="B3600" t="inlineStr">
        <is>
          <t>C1099</t>
        </is>
      </c>
      <c r="C3600" t="n">
        <v>2</v>
      </c>
      <c r="D3600" t="inlineStr">
        <is>
          <t>Hub B</t>
        </is>
      </c>
      <c r="E3600" t="n">
        <v>71</v>
      </c>
      <c r="F3600" t="n">
        <v>19</v>
      </c>
    </row>
    <row r="3601">
      <c r="A3601" t="inlineStr">
        <is>
          <t>ORD03600</t>
        </is>
      </c>
      <c r="B3601" t="inlineStr">
        <is>
          <t>C1100</t>
        </is>
      </c>
      <c r="C3601" t="n">
        <v>3</v>
      </c>
      <c r="D3601" t="inlineStr">
        <is>
          <t>Hub B</t>
        </is>
      </c>
      <c r="E3601" t="n">
        <v>18</v>
      </c>
      <c r="F3601" t="n">
        <v>19</v>
      </c>
    </row>
    <row r="3602">
      <c r="A3602" t="inlineStr">
        <is>
          <t>ORD03601</t>
        </is>
      </c>
      <c r="B3602" t="inlineStr">
        <is>
          <t>C1101</t>
        </is>
      </c>
      <c r="C3602" t="n">
        <v>1</v>
      </c>
      <c r="D3602" t="inlineStr">
        <is>
          <t>Hub B</t>
        </is>
      </c>
      <c r="E3602" t="n">
        <v>25</v>
      </c>
      <c r="F3602" t="n">
        <v>19</v>
      </c>
    </row>
    <row r="3603">
      <c r="A3603" t="inlineStr">
        <is>
          <t>ORD03602</t>
        </is>
      </c>
      <c r="B3603" t="inlineStr">
        <is>
          <t>C1102</t>
        </is>
      </c>
      <c r="C3603" t="n">
        <v>2</v>
      </c>
      <c r="D3603" t="inlineStr">
        <is>
          <t>Hub B</t>
        </is>
      </c>
      <c r="E3603" t="n">
        <v>32</v>
      </c>
      <c r="F3603" t="n">
        <v>19</v>
      </c>
    </row>
    <row r="3604">
      <c r="A3604" t="inlineStr">
        <is>
          <t>ORD03603</t>
        </is>
      </c>
      <c r="B3604" t="inlineStr">
        <is>
          <t>C1103</t>
        </is>
      </c>
      <c r="C3604" t="n">
        <v>3</v>
      </c>
      <c r="D3604" t="inlineStr">
        <is>
          <t>Hub B</t>
        </is>
      </c>
      <c r="E3604" t="n">
        <v>39</v>
      </c>
      <c r="F3604" t="n">
        <v>19</v>
      </c>
    </row>
    <row r="3605">
      <c r="A3605" t="inlineStr">
        <is>
          <t>ORD03604</t>
        </is>
      </c>
      <c r="B3605" t="inlineStr">
        <is>
          <t>C1104</t>
        </is>
      </c>
      <c r="C3605" t="n">
        <v>1</v>
      </c>
      <c r="D3605" t="inlineStr">
        <is>
          <t>Hub B</t>
        </is>
      </c>
      <c r="E3605" t="n">
        <v>46</v>
      </c>
      <c r="F3605" t="n">
        <v>19</v>
      </c>
    </row>
    <row r="3606">
      <c r="A3606" t="inlineStr">
        <is>
          <t>ORD03605</t>
        </is>
      </c>
      <c r="B3606" t="inlineStr">
        <is>
          <t>C1105</t>
        </is>
      </c>
      <c r="C3606" t="n">
        <v>2</v>
      </c>
      <c r="D3606" t="inlineStr">
        <is>
          <t>Hub B</t>
        </is>
      </c>
      <c r="E3606" t="n">
        <v>53</v>
      </c>
      <c r="F3606" t="n">
        <v>19</v>
      </c>
    </row>
    <row r="3607">
      <c r="A3607" t="inlineStr">
        <is>
          <t>ORD03606</t>
        </is>
      </c>
      <c r="B3607" t="inlineStr">
        <is>
          <t>C1106</t>
        </is>
      </c>
      <c r="C3607" t="n">
        <v>3</v>
      </c>
      <c r="D3607" t="inlineStr">
        <is>
          <t>Hub B</t>
        </is>
      </c>
      <c r="E3607" t="n">
        <v>60</v>
      </c>
      <c r="F3607" t="n">
        <v>19</v>
      </c>
    </row>
    <row r="3608">
      <c r="A3608" t="inlineStr">
        <is>
          <t>ORD03607</t>
        </is>
      </c>
      <c r="B3608" t="inlineStr">
        <is>
          <t>C1107</t>
        </is>
      </c>
      <c r="C3608" t="n">
        <v>1</v>
      </c>
      <c r="D3608" t="inlineStr">
        <is>
          <t>Hub B</t>
        </is>
      </c>
      <c r="E3608" t="n">
        <v>67</v>
      </c>
      <c r="F3608" t="n">
        <v>19</v>
      </c>
    </row>
    <row r="3609">
      <c r="A3609" t="inlineStr">
        <is>
          <t>ORD03608</t>
        </is>
      </c>
      <c r="B3609" t="inlineStr">
        <is>
          <t>C1108</t>
        </is>
      </c>
      <c r="C3609" t="n">
        <v>2</v>
      </c>
      <c r="D3609" t="inlineStr">
        <is>
          <t>Hub B</t>
        </is>
      </c>
      <c r="E3609" t="n">
        <v>74</v>
      </c>
      <c r="F3609" t="n">
        <v>19</v>
      </c>
    </row>
    <row r="3610">
      <c r="A3610" t="inlineStr">
        <is>
          <t>ORD03609</t>
        </is>
      </c>
      <c r="B3610" t="inlineStr">
        <is>
          <t>C1109</t>
        </is>
      </c>
      <c r="C3610" t="n">
        <v>3</v>
      </c>
      <c r="D3610" t="inlineStr">
        <is>
          <t>Hub B</t>
        </is>
      </c>
      <c r="E3610" t="n">
        <v>21</v>
      </c>
      <c r="F3610" t="n">
        <v>19</v>
      </c>
    </row>
    <row r="3611">
      <c r="A3611" t="inlineStr">
        <is>
          <t>ORD03610</t>
        </is>
      </c>
      <c r="B3611" t="inlineStr">
        <is>
          <t>C1110</t>
        </is>
      </c>
      <c r="C3611" t="n">
        <v>1</v>
      </c>
      <c r="D3611" t="inlineStr">
        <is>
          <t>Hub B</t>
        </is>
      </c>
      <c r="E3611" t="n">
        <v>28</v>
      </c>
      <c r="F3611" t="n">
        <v>19</v>
      </c>
    </row>
    <row r="3612">
      <c r="A3612" t="inlineStr">
        <is>
          <t>ORD03611</t>
        </is>
      </c>
      <c r="B3612" t="inlineStr">
        <is>
          <t>C1111</t>
        </is>
      </c>
      <c r="C3612" t="n">
        <v>2</v>
      </c>
      <c r="D3612" t="inlineStr">
        <is>
          <t>Hub B</t>
        </is>
      </c>
      <c r="E3612" t="n">
        <v>35</v>
      </c>
      <c r="F3612" t="n">
        <v>19</v>
      </c>
    </row>
    <row r="3613">
      <c r="A3613" t="inlineStr">
        <is>
          <t>ORD03612</t>
        </is>
      </c>
      <c r="B3613" t="inlineStr">
        <is>
          <t>C1112</t>
        </is>
      </c>
      <c r="C3613" t="n">
        <v>3</v>
      </c>
      <c r="D3613" t="inlineStr">
        <is>
          <t>Hub B</t>
        </is>
      </c>
      <c r="E3613" t="n">
        <v>42</v>
      </c>
      <c r="F3613" t="n">
        <v>19</v>
      </c>
    </row>
    <row r="3614">
      <c r="A3614" t="inlineStr">
        <is>
          <t>ORD03613</t>
        </is>
      </c>
      <c r="B3614" t="inlineStr">
        <is>
          <t>C1113</t>
        </is>
      </c>
      <c r="C3614" t="n">
        <v>1</v>
      </c>
      <c r="D3614" t="inlineStr">
        <is>
          <t>Hub B</t>
        </is>
      </c>
      <c r="E3614" t="n">
        <v>49</v>
      </c>
      <c r="F3614" t="n">
        <v>19</v>
      </c>
    </row>
    <row r="3615">
      <c r="A3615" t="inlineStr">
        <is>
          <t>ORD03614</t>
        </is>
      </c>
      <c r="B3615" t="inlineStr">
        <is>
          <t>C1114</t>
        </is>
      </c>
      <c r="C3615" t="n">
        <v>2</v>
      </c>
      <c r="D3615" t="inlineStr">
        <is>
          <t>Hub B</t>
        </is>
      </c>
      <c r="E3615" t="n">
        <v>56</v>
      </c>
      <c r="F3615" t="n">
        <v>19</v>
      </c>
    </row>
    <row r="3616">
      <c r="A3616" t="inlineStr">
        <is>
          <t>ORD03615</t>
        </is>
      </c>
      <c r="B3616" t="inlineStr">
        <is>
          <t>C1115</t>
        </is>
      </c>
      <c r="C3616" t="n">
        <v>3</v>
      </c>
      <c r="D3616" t="inlineStr">
        <is>
          <t>Hub B</t>
        </is>
      </c>
      <c r="E3616" t="n">
        <v>63</v>
      </c>
      <c r="F3616" t="n">
        <v>19</v>
      </c>
    </row>
    <row r="3617">
      <c r="A3617" t="inlineStr">
        <is>
          <t>ORD03616</t>
        </is>
      </c>
      <c r="B3617" t="inlineStr">
        <is>
          <t>C1116</t>
        </is>
      </c>
      <c r="C3617" t="n">
        <v>1</v>
      </c>
      <c r="D3617" t="inlineStr">
        <is>
          <t>Hub B</t>
        </is>
      </c>
      <c r="E3617" t="n">
        <v>70</v>
      </c>
      <c r="F3617" t="n">
        <v>19</v>
      </c>
    </row>
    <row r="3618">
      <c r="A3618" t="inlineStr">
        <is>
          <t>ORD03617</t>
        </is>
      </c>
      <c r="B3618" t="inlineStr">
        <is>
          <t>C1117</t>
        </is>
      </c>
      <c r="C3618" t="n">
        <v>2</v>
      </c>
      <c r="D3618" t="inlineStr">
        <is>
          <t>Hub B</t>
        </is>
      </c>
      <c r="E3618" t="n">
        <v>77</v>
      </c>
      <c r="F3618" t="n">
        <v>19</v>
      </c>
    </row>
    <row r="3619">
      <c r="A3619" t="inlineStr">
        <is>
          <t>ORD03618</t>
        </is>
      </c>
      <c r="B3619" t="inlineStr">
        <is>
          <t>C1118</t>
        </is>
      </c>
      <c r="C3619" t="n">
        <v>3</v>
      </c>
      <c r="D3619" t="inlineStr">
        <is>
          <t>Hub B</t>
        </is>
      </c>
      <c r="E3619" t="n">
        <v>24</v>
      </c>
      <c r="F3619" t="n">
        <v>19</v>
      </c>
    </row>
    <row r="3620">
      <c r="A3620" t="inlineStr">
        <is>
          <t>ORD03619</t>
        </is>
      </c>
      <c r="B3620" t="inlineStr">
        <is>
          <t>C1119</t>
        </is>
      </c>
      <c r="C3620" t="n">
        <v>1</v>
      </c>
      <c r="D3620" t="inlineStr">
        <is>
          <t>Hub B</t>
        </is>
      </c>
      <c r="E3620" t="n">
        <v>31</v>
      </c>
      <c r="F3620" t="n">
        <v>19</v>
      </c>
    </row>
    <row r="3621">
      <c r="A3621" t="inlineStr">
        <is>
          <t>ORD03620</t>
        </is>
      </c>
      <c r="B3621" t="inlineStr">
        <is>
          <t>C1120</t>
        </is>
      </c>
      <c r="C3621" t="n">
        <v>2</v>
      </c>
      <c r="D3621" t="inlineStr">
        <is>
          <t>Hub B</t>
        </is>
      </c>
      <c r="E3621" t="n">
        <v>38</v>
      </c>
      <c r="F3621" t="n">
        <v>19</v>
      </c>
    </row>
    <row r="3622">
      <c r="A3622" t="inlineStr">
        <is>
          <t>ORD03621</t>
        </is>
      </c>
      <c r="B3622" t="inlineStr">
        <is>
          <t>C1121</t>
        </is>
      </c>
      <c r="C3622" t="n">
        <v>3</v>
      </c>
      <c r="D3622" t="inlineStr">
        <is>
          <t>Hub B</t>
        </is>
      </c>
      <c r="E3622" t="n">
        <v>45</v>
      </c>
      <c r="F3622" t="n">
        <v>19</v>
      </c>
    </row>
    <row r="3623">
      <c r="A3623" t="inlineStr">
        <is>
          <t>ORD03622</t>
        </is>
      </c>
      <c r="B3623" t="inlineStr">
        <is>
          <t>C1122</t>
        </is>
      </c>
      <c r="C3623" t="n">
        <v>1</v>
      </c>
      <c r="D3623" t="inlineStr">
        <is>
          <t>Hub B</t>
        </is>
      </c>
      <c r="E3623" t="n">
        <v>52</v>
      </c>
      <c r="F3623" t="n">
        <v>19</v>
      </c>
    </row>
    <row r="3624">
      <c r="A3624" t="inlineStr">
        <is>
          <t>ORD03623</t>
        </is>
      </c>
      <c r="B3624" t="inlineStr">
        <is>
          <t>C1123</t>
        </is>
      </c>
      <c r="C3624" t="n">
        <v>2</v>
      </c>
      <c r="D3624" t="inlineStr">
        <is>
          <t>Hub B</t>
        </is>
      </c>
      <c r="E3624" t="n">
        <v>59</v>
      </c>
      <c r="F3624" t="n">
        <v>19</v>
      </c>
    </row>
    <row r="3625">
      <c r="A3625" t="inlineStr">
        <is>
          <t>ORD03624</t>
        </is>
      </c>
      <c r="B3625" t="inlineStr">
        <is>
          <t>C1124</t>
        </is>
      </c>
      <c r="C3625" t="n">
        <v>3</v>
      </c>
      <c r="D3625" t="inlineStr">
        <is>
          <t>Hub B</t>
        </is>
      </c>
      <c r="E3625" t="n">
        <v>66</v>
      </c>
      <c r="F3625" t="n">
        <v>19</v>
      </c>
    </row>
    <row r="3626">
      <c r="A3626" t="inlineStr">
        <is>
          <t>ORD03625</t>
        </is>
      </c>
      <c r="B3626" t="inlineStr">
        <is>
          <t>C1125</t>
        </is>
      </c>
      <c r="C3626" t="n">
        <v>1</v>
      </c>
      <c r="D3626" t="inlineStr">
        <is>
          <t>Hub B</t>
        </is>
      </c>
      <c r="E3626" t="n">
        <v>73</v>
      </c>
      <c r="F3626" t="n">
        <v>19</v>
      </c>
    </row>
    <row r="3627">
      <c r="A3627" t="inlineStr">
        <is>
          <t>ORD03626</t>
        </is>
      </c>
      <c r="B3627" t="inlineStr">
        <is>
          <t>C1126</t>
        </is>
      </c>
      <c r="C3627" t="n">
        <v>2</v>
      </c>
      <c r="D3627" t="inlineStr">
        <is>
          <t>Hub B</t>
        </is>
      </c>
      <c r="E3627" t="n">
        <v>20</v>
      </c>
      <c r="F3627" t="n">
        <v>19</v>
      </c>
    </row>
    <row r="3628">
      <c r="A3628" t="inlineStr">
        <is>
          <t>ORD03627</t>
        </is>
      </c>
      <c r="B3628" t="inlineStr">
        <is>
          <t>C1127</t>
        </is>
      </c>
      <c r="C3628" t="n">
        <v>3</v>
      </c>
      <c r="D3628" t="inlineStr">
        <is>
          <t>Hub B</t>
        </is>
      </c>
      <c r="E3628" t="n">
        <v>27</v>
      </c>
      <c r="F3628" t="n">
        <v>19</v>
      </c>
    </row>
    <row r="3629">
      <c r="A3629" t="inlineStr">
        <is>
          <t>ORD03628</t>
        </is>
      </c>
      <c r="B3629" t="inlineStr">
        <is>
          <t>C1128</t>
        </is>
      </c>
      <c r="C3629" t="n">
        <v>1</v>
      </c>
      <c r="D3629" t="inlineStr">
        <is>
          <t>Hub B</t>
        </is>
      </c>
      <c r="E3629" t="n">
        <v>34</v>
      </c>
      <c r="F3629" t="n">
        <v>19</v>
      </c>
    </row>
    <row r="3630">
      <c r="A3630" t="inlineStr">
        <is>
          <t>ORD03629</t>
        </is>
      </c>
      <c r="B3630" t="inlineStr">
        <is>
          <t>C1129</t>
        </is>
      </c>
      <c r="C3630" t="n">
        <v>2</v>
      </c>
      <c r="D3630" t="inlineStr">
        <is>
          <t>Hub B</t>
        </is>
      </c>
      <c r="E3630" t="n">
        <v>41</v>
      </c>
      <c r="F3630" t="n">
        <v>19</v>
      </c>
    </row>
    <row r="3631">
      <c r="A3631" t="inlineStr">
        <is>
          <t>ORD03630</t>
        </is>
      </c>
      <c r="B3631" t="inlineStr">
        <is>
          <t>C1130</t>
        </is>
      </c>
      <c r="C3631" t="n">
        <v>3</v>
      </c>
      <c r="D3631" t="inlineStr">
        <is>
          <t>Hub B</t>
        </is>
      </c>
      <c r="E3631" t="n">
        <v>48</v>
      </c>
      <c r="F3631" t="n">
        <v>19</v>
      </c>
    </row>
    <row r="3632">
      <c r="A3632" t="inlineStr">
        <is>
          <t>ORD03631</t>
        </is>
      </c>
      <c r="B3632" t="inlineStr">
        <is>
          <t>C1131</t>
        </is>
      </c>
      <c r="C3632" t="n">
        <v>1</v>
      </c>
      <c r="D3632" t="inlineStr">
        <is>
          <t>Hub B</t>
        </is>
      </c>
      <c r="E3632" t="n">
        <v>55</v>
      </c>
      <c r="F3632" t="n">
        <v>19</v>
      </c>
    </row>
    <row r="3633">
      <c r="A3633" t="inlineStr">
        <is>
          <t>ORD03632</t>
        </is>
      </c>
      <c r="B3633" t="inlineStr">
        <is>
          <t>C1132</t>
        </is>
      </c>
      <c r="C3633" t="n">
        <v>2</v>
      </c>
      <c r="D3633" t="inlineStr">
        <is>
          <t>Hub B</t>
        </is>
      </c>
      <c r="E3633" t="n">
        <v>62</v>
      </c>
      <c r="F3633" t="n">
        <v>19</v>
      </c>
    </row>
    <row r="3634">
      <c r="A3634" t="inlineStr">
        <is>
          <t>ORD03633</t>
        </is>
      </c>
      <c r="B3634" t="inlineStr">
        <is>
          <t>C1133</t>
        </is>
      </c>
      <c r="C3634" t="n">
        <v>3</v>
      </c>
      <c r="D3634" t="inlineStr">
        <is>
          <t>Hub B</t>
        </is>
      </c>
      <c r="E3634" t="n">
        <v>69</v>
      </c>
      <c r="F3634" t="n">
        <v>19</v>
      </c>
    </row>
    <row r="3635">
      <c r="A3635" t="inlineStr">
        <is>
          <t>ORD03634</t>
        </is>
      </c>
      <c r="B3635" t="inlineStr">
        <is>
          <t>C1134</t>
        </is>
      </c>
      <c r="C3635" t="n">
        <v>1</v>
      </c>
      <c r="D3635" t="inlineStr">
        <is>
          <t>Hub B</t>
        </is>
      </c>
      <c r="E3635" t="n">
        <v>76</v>
      </c>
      <c r="F3635" t="n">
        <v>19</v>
      </c>
    </row>
    <row r="3636">
      <c r="A3636" t="inlineStr">
        <is>
          <t>ORD03635</t>
        </is>
      </c>
      <c r="B3636" t="inlineStr">
        <is>
          <t>C1135</t>
        </is>
      </c>
      <c r="C3636" t="n">
        <v>2</v>
      </c>
      <c r="D3636" t="inlineStr">
        <is>
          <t>Hub B</t>
        </is>
      </c>
      <c r="E3636" t="n">
        <v>23</v>
      </c>
      <c r="F3636" t="n">
        <v>19</v>
      </c>
    </row>
    <row r="3637">
      <c r="A3637" t="inlineStr">
        <is>
          <t>ORD03636</t>
        </is>
      </c>
      <c r="B3637" t="inlineStr">
        <is>
          <t>C1136</t>
        </is>
      </c>
      <c r="C3637" t="n">
        <v>3</v>
      </c>
      <c r="D3637" t="inlineStr">
        <is>
          <t>Hub B</t>
        </is>
      </c>
      <c r="E3637" t="n">
        <v>30</v>
      </c>
      <c r="F3637" t="n">
        <v>19</v>
      </c>
    </row>
    <row r="3638">
      <c r="A3638" t="inlineStr">
        <is>
          <t>ORD03637</t>
        </is>
      </c>
      <c r="B3638" t="inlineStr">
        <is>
          <t>C1137</t>
        </is>
      </c>
      <c r="C3638" t="n">
        <v>1</v>
      </c>
      <c r="D3638" t="inlineStr">
        <is>
          <t>Hub B</t>
        </is>
      </c>
      <c r="E3638" t="n">
        <v>37</v>
      </c>
      <c r="F3638" t="n">
        <v>19</v>
      </c>
    </row>
    <row r="3639">
      <c r="A3639" t="inlineStr">
        <is>
          <t>ORD03638</t>
        </is>
      </c>
      <c r="B3639" t="inlineStr">
        <is>
          <t>C1138</t>
        </is>
      </c>
      <c r="C3639" t="n">
        <v>2</v>
      </c>
      <c r="D3639" t="inlineStr">
        <is>
          <t>Hub B</t>
        </is>
      </c>
      <c r="E3639" t="n">
        <v>44</v>
      </c>
      <c r="F3639" t="n">
        <v>19</v>
      </c>
    </row>
    <row r="3640">
      <c r="A3640" t="inlineStr">
        <is>
          <t>ORD03639</t>
        </is>
      </c>
      <c r="B3640" t="inlineStr">
        <is>
          <t>C1139</t>
        </is>
      </c>
      <c r="C3640" t="n">
        <v>3</v>
      </c>
      <c r="D3640" t="inlineStr">
        <is>
          <t>Hub B</t>
        </is>
      </c>
      <c r="E3640" t="n">
        <v>51</v>
      </c>
      <c r="F3640" t="n">
        <v>19</v>
      </c>
    </row>
    <row r="3641">
      <c r="A3641" t="inlineStr">
        <is>
          <t>ORD03640</t>
        </is>
      </c>
      <c r="B3641" t="inlineStr">
        <is>
          <t>C1140</t>
        </is>
      </c>
      <c r="C3641" t="n">
        <v>1</v>
      </c>
      <c r="D3641" t="inlineStr">
        <is>
          <t>Hub B</t>
        </is>
      </c>
      <c r="E3641" t="n">
        <v>58</v>
      </c>
      <c r="F3641" t="n">
        <v>19</v>
      </c>
    </row>
    <row r="3642">
      <c r="A3642" t="inlineStr">
        <is>
          <t>ORD03641</t>
        </is>
      </c>
      <c r="B3642" t="inlineStr">
        <is>
          <t>C1141</t>
        </is>
      </c>
      <c r="C3642" t="n">
        <v>2</v>
      </c>
      <c r="D3642" t="inlineStr">
        <is>
          <t>Hub B</t>
        </is>
      </c>
      <c r="E3642" t="n">
        <v>65</v>
      </c>
      <c r="F3642" t="n">
        <v>19</v>
      </c>
    </row>
    <row r="3643">
      <c r="A3643" t="inlineStr">
        <is>
          <t>ORD03642</t>
        </is>
      </c>
      <c r="B3643" t="inlineStr">
        <is>
          <t>C1142</t>
        </is>
      </c>
      <c r="C3643" t="n">
        <v>3</v>
      </c>
      <c r="D3643" t="inlineStr">
        <is>
          <t>Hub B</t>
        </is>
      </c>
      <c r="E3643" t="n">
        <v>72</v>
      </c>
      <c r="F3643" t="n">
        <v>19</v>
      </c>
    </row>
    <row r="3644">
      <c r="A3644" t="inlineStr">
        <is>
          <t>ORD03643</t>
        </is>
      </c>
      <c r="B3644" t="inlineStr">
        <is>
          <t>C1143</t>
        </is>
      </c>
      <c r="C3644" t="n">
        <v>1</v>
      </c>
      <c r="D3644" t="inlineStr">
        <is>
          <t>Hub B</t>
        </is>
      </c>
      <c r="E3644" t="n">
        <v>19</v>
      </c>
      <c r="F3644" t="n">
        <v>19</v>
      </c>
    </row>
    <row r="3645">
      <c r="A3645" t="inlineStr">
        <is>
          <t>ORD03644</t>
        </is>
      </c>
      <c r="B3645" t="inlineStr">
        <is>
          <t>C1144</t>
        </is>
      </c>
      <c r="C3645" t="n">
        <v>2</v>
      </c>
      <c r="D3645" t="inlineStr">
        <is>
          <t>Hub B</t>
        </is>
      </c>
      <c r="E3645" t="n">
        <v>26</v>
      </c>
      <c r="F3645" t="n">
        <v>19</v>
      </c>
    </row>
    <row r="3646">
      <c r="A3646" t="inlineStr">
        <is>
          <t>ORD03645</t>
        </is>
      </c>
      <c r="B3646" t="inlineStr">
        <is>
          <t>C1145</t>
        </is>
      </c>
      <c r="C3646" t="n">
        <v>3</v>
      </c>
      <c r="D3646" t="inlineStr">
        <is>
          <t>Hub B</t>
        </is>
      </c>
      <c r="E3646" t="n">
        <v>33</v>
      </c>
      <c r="F3646" t="n">
        <v>19</v>
      </c>
    </row>
    <row r="3647">
      <c r="A3647" t="inlineStr">
        <is>
          <t>ORD03646</t>
        </is>
      </c>
      <c r="B3647" t="inlineStr">
        <is>
          <t>C1146</t>
        </is>
      </c>
      <c r="C3647" t="n">
        <v>1</v>
      </c>
      <c r="D3647" t="inlineStr">
        <is>
          <t>Hub B</t>
        </is>
      </c>
      <c r="E3647" t="n">
        <v>40</v>
      </c>
      <c r="F3647" t="n">
        <v>19</v>
      </c>
    </row>
    <row r="3648">
      <c r="A3648" t="inlineStr">
        <is>
          <t>ORD03647</t>
        </is>
      </c>
      <c r="B3648" t="inlineStr">
        <is>
          <t>C1147</t>
        </is>
      </c>
      <c r="C3648" t="n">
        <v>2</v>
      </c>
      <c r="D3648" t="inlineStr">
        <is>
          <t>Hub B</t>
        </is>
      </c>
      <c r="E3648" t="n">
        <v>47</v>
      </c>
      <c r="F3648" t="n">
        <v>19</v>
      </c>
    </row>
    <row r="3649">
      <c r="A3649" t="inlineStr">
        <is>
          <t>ORD03648</t>
        </is>
      </c>
      <c r="B3649" t="inlineStr">
        <is>
          <t>C1148</t>
        </is>
      </c>
      <c r="C3649" t="n">
        <v>3</v>
      </c>
      <c r="D3649" t="inlineStr">
        <is>
          <t>Hub B</t>
        </is>
      </c>
      <c r="E3649" t="n">
        <v>54</v>
      </c>
      <c r="F3649" t="n">
        <v>19</v>
      </c>
    </row>
    <row r="3650">
      <c r="A3650" t="inlineStr">
        <is>
          <t>ORD03649</t>
        </is>
      </c>
      <c r="B3650" t="inlineStr">
        <is>
          <t>C1149</t>
        </is>
      </c>
      <c r="C3650" t="n">
        <v>1</v>
      </c>
      <c r="D3650" t="inlineStr">
        <is>
          <t>Hub B</t>
        </is>
      </c>
      <c r="E3650" t="n">
        <v>61</v>
      </c>
      <c r="F3650" t="n">
        <v>19</v>
      </c>
    </row>
    <row r="3651">
      <c r="A3651" t="inlineStr">
        <is>
          <t>ORD03650</t>
        </is>
      </c>
      <c r="B3651" t="inlineStr">
        <is>
          <t>C1150</t>
        </is>
      </c>
      <c r="C3651" t="n">
        <v>2</v>
      </c>
      <c r="D3651" t="inlineStr">
        <is>
          <t>Hub B</t>
        </is>
      </c>
      <c r="E3651" t="n">
        <v>68</v>
      </c>
      <c r="F3651" t="n">
        <v>19</v>
      </c>
    </row>
    <row r="3652">
      <c r="A3652" t="inlineStr">
        <is>
          <t>ORD03651</t>
        </is>
      </c>
      <c r="B3652" t="inlineStr">
        <is>
          <t>C1151</t>
        </is>
      </c>
      <c r="C3652" t="n">
        <v>3</v>
      </c>
      <c r="D3652" t="inlineStr">
        <is>
          <t>Hub B</t>
        </is>
      </c>
      <c r="E3652" t="n">
        <v>75</v>
      </c>
      <c r="F3652" t="n">
        <v>19</v>
      </c>
    </row>
    <row r="3653">
      <c r="A3653" t="inlineStr">
        <is>
          <t>ORD03652</t>
        </is>
      </c>
      <c r="B3653" t="inlineStr">
        <is>
          <t>C1152</t>
        </is>
      </c>
      <c r="C3653" t="n">
        <v>1</v>
      </c>
      <c r="D3653" t="inlineStr">
        <is>
          <t>Hub B</t>
        </is>
      </c>
      <c r="E3653" t="n">
        <v>22</v>
      </c>
      <c r="F3653" t="n">
        <v>19</v>
      </c>
    </row>
    <row r="3654">
      <c r="A3654" t="inlineStr">
        <is>
          <t>ORD03653</t>
        </is>
      </c>
      <c r="B3654" t="inlineStr">
        <is>
          <t>C1153</t>
        </is>
      </c>
      <c r="C3654" t="n">
        <v>2</v>
      </c>
      <c r="D3654" t="inlineStr">
        <is>
          <t>Hub B</t>
        </is>
      </c>
      <c r="E3654" t="n">
        <v>29</v>
      </c>
      <c r="F3654" t="n">
        <v>19</v>
      </c>
    </row>
    <row r="3655">
      <c r="A3655" t="inlineStr">
        <is>
          <t>ORD03654</t>
        </is>
      </c>
      <c r="B3655" t="inlineStr">
        <is>
          <t>C1154</t>
        </is>
      </c>
      <c r="C3655" t="n">
        <v>3</v>
      </c>
      <c r="D3655" t="inlineStr">
        <is>
          <t>Hub B</t>
        </is>
      </c>
      <c r="E3655" t="n">
        <v>36</v>
      </c>
      <c r="F3655" t="n">
        <v>19</v>
      </c>
    </row>
    <row r="3656">
      <c r="A3656" t="inlineStr">
        <is>
          <t>ORD03655</t>
        </is>
      </c>
      <c r="B3656" t="inlineStr">
        <is>
          <t>C1155</t>
        </is>
      </c>
      <c r="C3656" t="n">
        <v>1</v>
      </c>
      <c r="D3656" t="inlineStr">
        <is>
          <t>Hub B</t>
        </is>
      </c>
      <c r="E3656" t="n">
        <v>43</v>
      </c>
      <c r="F3656" t="n">
        <v>19</v>
      </c>
    </row>
    <row r="3657">
      <c r="A3657" t="inlineStr">
        <is>
          <t>ORD03656</t>
        </is>
      </c>
      <c r="B3657" t="inlineStr">
        <is>
          <t>C1156</t>
        </is>
      </c>
      <c r="C3657" t="n">
        <v>2</v>
      </c>
      <c r="D3657" t="inlineStr">
        <is>
          <t>Hub B</t>
        </is>
      </c>
      <c r="E3657" t="n">
        <v>50</v>
      </c>
      <c r="F3657" t="n">
        <v>19</v>
      </c>
    </row>
    <row r="3658">
      <c r="A3658" t="inlineStr">
        <is>
          <t>ORD03657</t>
        </is>
      </c>
      <c r="B3658" t="inlineStr">
        <is>
          <t>C1157</t>
        </is>
      </c>
      <c r="C3658" t="n">
        <v>3</v>
      </c>
      <c r="D3658" t="inlineStr">
        <is>
          <t>Hub B</t>
        </is>
      </c>
      <c r="E3658" t="n">
        <v>57</v>
      </c>
      <c r="F3658" t="n">
        <v>19</v>
      </c>
    </row>
    <row r="3659">
      <c r="A3659" t="inlineStr">
        <is>
          <t>ORD03658</t>
        </is>
      </c>
      <c r="B3659" t="inlineStr">
        <is>
          <t>C1158</t>
        </is>
      </c>
      <c r="C3659" t="n">
        <v>1</v>
      </c>
      <c r="D3659" t="inlineStr">
        <is>
          <t>Hub B</t>
        </is>
      </c>
      <c r="E3659" t="n">
        <v>64</v>
      </c>
      <c r="F3659" t="n">
        <v>19</v>
      </c>
    </row>
    <row r="3660">
      <c r="A3660" t="inlineStr">
        <is>
          <t>ORD03659</t>
        </is>
      </c>
      <c r="B3660" t="inlineStr">
        <is>
          <t>C1159</t>
        </is>
      </c>
      <c r="C3660" t="n">
        <v>2</v>
      </c>
      <c r="D3660" t="inlineStr">
        <is>
          <t>Hub B</t>
        </is>
      </c>
      <c r="E3660" t="n">
        <v>71</v>
      </c>
      <c r="F3660" t="n">
        <v>19</v>
      </c>
    </row>
    <row r="3661">
      <c r="A3661" t="inlineStr">
        <is>
          <t>ORD03660</t>
        </is>
      </c>
      <c r="B3661" t="inlineStr">
        <is>
          <t>C1160</t>
        </is>
      </c>
      <c r="C3661" t="n">
        <v>3</v>
      </c>
      <c r="D3661" t="inlineStr">
        <is>
          <t>Hub B</t>
        </is>
      </c>
      <c r="E3661" t="n">
        <v>18</v>
      </c>
      <c r="F3661" t="n">
        <v>19</v>
      </c>
    </row>
    <row r="3662">
      <c r="A3662" t="inlineStr">
        <is>
          <t>ORD03661</t>
        </is>
      </c>
      <c r="B3662" t="inlineStr">
        <is>
          <t>C1161</t>
        </is>
      </c>
      <c r="C3662" t="n">
        <v>1</v>
      </c>
      <c r="D3662" t="inlineStr">
        <is>
          <t>Hub B</t>
        </is>
      </c>
      <c r="E3662" t="n">
        <v>25</v>
      </c>
      <c r="F3662" t="n">
        <v>19</v>
      </c>
    </row>
    <row r="3663">
      <c r="A3663" t="inlineStr">
        <is>
          <t>ORD03662</t>
        </is>
      </c>
      <c r="B3663" t="inlineStr">
        <is>
          <t>C1162</t>
        </is>
      </c>
      <c r="C3663" t="n">
        <v>2</v>
      </c>
      <c r="D3663" t="inlineStr">
        <is>
          <t>Hub B</t>
        </is>
      </c>
      <c r="E3663" t="n">
        <v>32</v>
      </c>
      <c r="F3663" t="n">
        <v>19</v>
      </c>
    </row>
    <row r="3664">
      <c r="A3664" t="inlineStr">
        <is>
          <t>ORD03663</t>
        </is>
      </c>
      <c r="B3664" t="inlineStr">
        <is>
          <t>C1163</t>
        </is>
      </c>
      <c r="C3664" t="n">
        <v>3</v>
      </c>
      <c r="D3664" t="inlineStr">
        <is>
          <t>Hub B</t>
        </is>
      </c>
      <c r="E3664" t="n">
        <v>39</v>
      </c>
      <c r="F3664" t="n">
        <v>19</v>
      </c>
    </row>
    <row r="3665">
      <c r="A3665" t="inlineStr">
        <is>
          <t>ORD03664</t>
        </is>
      </c>
      <c r="B3665" t="inlineStr">
        <is>
          <t>C1164</t>
        </is>
      </c>
      <c r="C3665" t="n">
        <v>1</v>
      </c>
      <c r="D3665" t="inlineStr">
        <is>
          <t>Hub B</t>
        </is>
      </c>
      <c r="E3665" t="n">
        <v>46</v>
      </c>
      <c r="F3665" t="n">
        <v>19</v>
      </c>
    </row>
    <row r="3666">
      <c r="A3666" t="inlineStr">
        <is>
          <t>ORD03665</t>
        </is>
      </c>
      <c r="B3666" t="inlineStr">
        <is>
          <t>C1165</t>
        </is>
      </c>
      <c r="C3666" t="n">
        <v>2</v>
      </c>
      <c r="D3666" t="inlineStr">
        <is>
          <t>Hub B</t>
        </is>
      </c>
      <c r="E3666" t="n">
        <v>53</v>
      </c>
      <c r="F3666" t="n">
        <v>19</v>
      </c>
    </row>
    <row r="3667">
      <c r="A3667" t="inlineStr">
        <is>
          <t>ORD03666</t>
        </is>
      </c>
      <c r="B3667" t="inlineStr">
        <is>
          <t>C1166</t>
        </is>
      </c>
      <c r="C3667" t="n">
        <v>3</v>
      </c>
      <c r="D3667" t="inlineStr">
        <is>
          <t>Hub B</t>
        </is>
      </c>
      <c r="E3667" t="n">
        <v>60</v>
      </c>
      <c r="F3667" t="n">
        <v>19</v>
      </c>
    </row>
    <row r="3668">
      <c r="A3668" t="inlineStr">
        <is>
          <t>ORD03667</t>
        </is>
      </c>
      <c r="B3668" t="inlineStr">
        <is>
          <t>C1167</t>
        </is>
      </c>
      <c r="C3668" t="n">
        <v>1</v>
      </c>
      <c r="D3668" t="inlineStr">
        <is>
          <t>Hub B</t>
        </is>
      </c>
      <c r="E3668" t="n">
        <v>67</v>
      </c>
      <c r="F3668" t="n">
        <v>19</v>
      </c>
    </row>
    <row r="3669">
      <c r="A3669" t="inlineStr">
        <is>
          <t>ORD03668</t>
        </is>
      </c>
      <c r="B3669" t="inlineStr">
        <is>
          <t>C1168</t>
        </is>
      </c>
      <c r="C3669" t="n">
        <v>2</v>
      </c>
      <c r="D3669" t="inlineStr">
        <is>
          <t>Hub B</t>
        </is>
      </c>
      <c r="E3669" t="n">
        <v>74</v>
      </c>
      <c r="F3669" t="n">
        <v>19</v>
      </c>
    </row>
    <row r="3670">
      <c r="A3670" t="inlineStr">
        <is>
          <t>ORD03669</t>
        </is>
      </c>
      <c r="B3670" t="inlineStr">
        <is>
          <t>C1169</t>
        </is>
      </c>
      <c r="C3670" t="n">
        <v>3</v>
      </c>
      <c r="D3670" t="inlineStr">
        <is>
          <t>Hub B</t>
        </is>
      </c>
      <c r="E3670" t="n">
        <v>21</v>
      </c>
      <c r="F3670" t="n">
        <v>19</v>
      </c>
    </row>
    <row r="3671">
      <c r="A3671" t="inlineStr">
        <is>
          <t>ORD03670</t>
        </is>
      </c>
      <c r="B3671" t="inlineStr">
        <is>
          <t>C1170</t>
        </is>
      </c>
      <c r="C3671" t="n">
        <v>1</v>
      </c>
      <c r="D3671" t="inlineStr">
        <is>
          <t>Hub B</t>
        </is>
      </c>
      <c r="E3671" t="n">
        <v>28</v>
      </c>
      <c r="F3671" t="n">
        <v>19</v>
      </c>
    </row>
    <row r="3672">
      <c r="A3672" t="inlineStr">
        <is>
          <t>ORD03671</t>
        </is>
      </c>
      <c r="B3672" t="inlineStr">
        <is>
          <t>C1171</t>
        </is>
      </c>
      <c r="C3672" t="n">
        <v>2</v>
      </c>
      <c r="D3672" t="inlineStr">
        <is>
          <t>Hub B</t>
        </is>
      </c>
      <c r="E3672" t="n">
        <v>35</v>
      </c>
      <c r="F3672" t="n">
        <v>19</v>
      </c>
    </row>
    <row r="3673">
      <c r="A3673" t="inlineStr">
        <is>
          <t>ORD03672</t>
        </is>
      </c>
      <c r="B3673" t="inlineStr">
        <is>
          <t>C1172</t>
        </is>
      </c>
      <c r="C3673" t="n">
        <v>3</v>
      </c>
      <c r="D3673" t="inlineStr">
        <is>
          <t>Hub B</t>
        </is>
      </c>
      <c r="E3673" t="n">
        <v>42</v>
      </c>
      <c r="F3673" t="n">
        <v>19</v>
      </c>
    </row>
    <row r="3674">
      <c r="A3674" t="inlineStr">
        <is>
          <t>ORD03673</t>
        </is>
      </c>
      <c r="B3674" t="inlineStr">
        <is>
          <t>C1173</t>
        </is>
      </c>
      <c r="C3674" t="n">
        <v>1</v>
      </c>
      <c r="D3674" t="inlineStr">
        <is>
          <t>Hub B</t>
        </is>
      </c>
      <c r="E3674" t="n">
        <v>49</v>
      </c>
      <c r="F3674" t="n">
        <v>19</v>
      </c>
    </row>
    <row r="3675">
      <c r="A3675" t="inlineStr">
        <is>
          <t>ORD03674</t>
        </is>
      </c>
      <c r="B3675" t="inlineStr">
        <is>
          <t>C1174</t>
        </is>
      </c>
      <c r="C3675" t="n">
        <v>2</v>
      </c>
      <c r="D3675" t="inlineStr">
        <is>
          <t>Hub B</t>
        </is>
      </c>
      <c r="E3675" t="n">
        <v>56</v>
      </c>
      <c r="F3675" t="n">
        <v>19</v>
      </c>
    </row>
    <row r="3676">
      <c r="A3676" t="inlineStr">
        <is>
          <t>ORD03675</t>
        </is>
      </c>
      <c r="B3676" t="inlineStr">
        <is>
          <t>C1175</t>
        </is>
      </c>
      <c r="C3676" t="n">
        <v>3</v>
      </c>
      <c r="D3676" t="inlineStr">
        <is>
          <t>Hub B</t>
        </is>
      </c>
      <c r="E3676" t="n">
        <v>63</v>
      </c>
      <c r="F3676" t="n">
        <v>19</v>
      </c>
    </row>
    <row r="3677">
      <c r="A3677" t="inlineStr">
        <is>
          <t>ORD03676</t>
        </is>
      </c>
      <c r="B3677" t="inlineStr">
        <is>
          <t>C1176</t>
        </is>
      </c>
      <c r="C3677" t="n">
        <v>1</v>
      </c>
      <c r="D3677" t="inlineStr">
        <is>
          <t>Hub B</t>
        </is>
      </c>
      <c r="E3677" t="n">
        <v>70</v>
      </c>
      <c r="F3677" t="n">
        <v>19</v>
      </c>
    </row>
    <row r="3678">
      <c r="A3678" t="inlineStr">
        <is>
          <t>ORD03677</t>
        </is>
      </c>
      <c r="B3678" t="inlineStr">
        <is>
          <t>C1177</t>
        </is>
      </c>
      <c r="C3678" t="n">
        <v>2</v>
      </c>
      <c r="D3678" t="inlineStr">
        <is>
          <t>Hub B</t>
        </is>
      </c>
      <c r="E3678" t="n">
        <v>77</v>
      </c>
      <c r="F3678" t="n">
        <v>19</v>
      </c>
    </row>
    <row r="3679">
      <c r="A3679" t="inlineStr">
        <is>
          <t>ORD03678</t>
        </is>
      </c>
      <c r="B3679" t="inlineStr">
        <is>
          <t>C1178</t>
        </is>
      </c>
      <c r="C3679" t="n">
        <v>3</v>
      </c>
      <c r="D3679" t="inlineStr">
        <is>
          <t>Hub B</t>
        </is>
      </c>
      <c r="E3679" t="n">
        <v>24</v>
      </c>
      <c r="F3679" t="n">
        <v>19</v>
      </c>
    </row>
    <row r="3680">
      <c r="A3680" t="inlineStr">
        <is>
          <t>ORD03679</t>
        </is>
      </c>
      <c r="B3680" t="inlineStr">
        <is>
          <t>C1179</t>
        </is>
      </c>
      <c r="C3680" t="n">
        <v>1</v>
      </c>
      <c r="D3680" t="inlineStr">
        <is>
          <t>Hub B</t>
        </is>
      </c>
      <c r="E3680" t="n">
        <v>31</v>
      </c>
      <c r="F3680" t="n">
        <v>19</v>
      </c>
    </row>
    <row r="3681">
      <c r="A3681" t="inlineStr">
        <is>
          <t>ORD03680</t>
        </is>
      </c>
      <c r="B3681" t="inlineStr">
        <is>
          <t>C1180</t>
        </is>
      </c>
      <c r="C3681" t="n">
        <v>2</v>
      </c>
      <c r="D3681" t="inlineStr">
        <is>
          <t>Hub B</t>
        </is>
      </c>
      <c r="E3681" t="n">
        <v>38</v>
      </c>
      <c r="F3681" t="n">
        <v>19</v>
      </c>
    </row>
    <row r="3682">
      <c r="A3682" t="inlineStr">
        <is>
          <t>ORD03681</t>
        </is>
      </c>
      <c r="B3682" t="inlineStr">
        <is>
          <t>C1181</t>
        </is>
      </c>
      <c r="C3682" t="n">
        <v>3</v>
      </c>
      <c r="D3682" t="inlineStr">
        <is>
          <t>Hub B</t>
        </is>
      </c>
      <c r="E3682" t="n">
        <v>45</v>
      </c>
      <c r="F3682" t="n">
        <v>19</v>
      </c>
    </row>
    <row r="3683">
      <c r="A3683" t="inlineStr">
        <is>
          <t>ORD03682</t>
        </is>
      </c>
      <c r="B3683" t="inlineStr">
        <is>
          <t>C1182</t>
        </is>
      </c>
      <c r="C3683" t="n">
        <v>1</v>
      </c>
      <c r="D3683" t="inlineStr">
        <is>
          <t>Hub B</t>
        </is>
      </c>
      <c r="E3683" t="n">
        <v>52</v>
      </c>
      <c r="F3683" t="n">
        <v>19</v>
      </c>
    </row>
    <row r="3684">
      <c r="A3684" t="inlineStr">
        <is>
          <t>ORD03683</t>
        </is>
      </c>
      <c r="B3684" t="inlineStr">
        <is>
          <t>C1183</t>
        </is>
      </c>
      <c r="C3684" t="n">
        <v>2</v>
      </c>
      <c r="D3684" t="inlineStr">
        <is>
          <t>Hub B</t>
        </is>
      </c>
      <c r="E3684" t="n">
        <v>59</v>
      </c>
      <c r="F3684" t="n">
        <v>19</v>
      </c>
    </row>
    <row r="3685">
      <c r="A3685" t="inlineStr">
        <is>
          <t>ORD03684</t>
        </is>
      </c>
      <c r="B3685" t="inlineStr">
        <is>
          <t>C1184</t>
        </is>
      </c>
      <c r="C3685" t="n">
        <v>3</v>
      </c>
      <c r="D3685" t="inlineStr">
        <is>
          <t>Hub B</t>
        </is>
      </c>
      <c r="E3685" t="n">
        <v>66</v>
      </c>
      <c r="F3685" t="n">
        <v>19</v>
      </c>
    </row>
    <row r="3686">
      <c r="A3686" t="inlineStr">
        <is>
          <t>ORD03685</t>
        </is>
      </c>
      <c r="B3686" t="inlineStr">
        <is>
          <t>C1185</t>
        </is>
      </c>
      <c r="C3686" t="n">
        <v>1</v>
      </c>
      <c r="D3686" t="inlineStr">
        <is>
          <t>Hub B</t>
        </is>
      </c>
      <c r="E3686" t="n">
        <v>73</v>
      </c>
      <c r="F3686" t="n">
        <v>19</v>
      </c>
    </row>
    <row r="3687">
      <c r="A3687" t="inlineStr">
        <is>
          <t>ORD03686</t>
        </is>
      </c>
      <c r="B3687" t="inlineStr">
        <is>
          <t>C1186</t>
        </is>
      </c>
      <c r="C3687" t="n">
        <v>2</v>
      </c>
      <c r="D3687" t="inlineStr">
        <is>
          <t>Hub B</t>
        </is>
      </c>
      <c r="E3687" t="n">
        <v>20</v>
      </c>
      <c r="F3687" t="n">
        <v>19</v>
      </c>
    </row>
    <row r="3688">
      <c r="A3688" t="inlineStr">
        <is>
          <t>ORD03687</t>
        </is>
      </c>
      <c r="B3688" t="inlineStr">
        <is>
          <t>C1187</t>
        </is>
      </c>
      <c r="C3688" t="n">
        <v>3</v>
      </c>
      <c r="D3688" t="inlineStr">
        <is>
          <t>Hub B</t>
        </is>
      </c>
      <c r="E3688" t="n">
        <v>27</v>
      </c>
      <c r="F3688" t="n">
        <v>19</v>
      </c>
    </row>
    <row r="3689">
      <c r="A3689" t="inlineStr">
        <is>
          <t>ORD03688</t>
        </is>
      </c>
      <c r="B3689" t="inlineStr">
        <is>
          <t>C1188</t>
        </is>
      </c>
      <c r="C3689" t="n">
        <v>1</v>
      </c>
      <c r="D3689" t="inlineStr">
        <is>
          <t>Hub B</t>
        </is>
      </c>
      <c r="E3689" t="n">
        <v>34</v>
      </c>
      <c r="F3689" t="n">
        <v>19</v>
      </c>
    </row>
    <row r="3690">
      <c r="A3690" t="inlineStr">
        <is>
          <t>ORD03689</t>
        </is>
      </c>
      <c r="B3690" t="inlineStr">
        <is>
          <t>C1189</t>
        </is>
      </c>
      <c r="C3690" t="n">
        <v>2</v>
      </c>
      <c r="D3690" t="inlineStr">
        <is>
          <t>Hub B</t>
        </is>
      </c>
      <c r="E3690" t="n">
        <v>41</v>
      </c>
      <c r="F3690" t="n">
        <v>19</v>
      </c>
    </row>
    <row r="3691">
      <c r="A3691" t="inlineStr">
        <is>
          <t>ORD03690</t>
        </is>
      </c>
      <c r="B3691" t="inlineStr">
        <is>
          <t>C1190</t>
        </is>
      </c>
      <c r="C3691" t="n">
        <v>3</v>
      </c>
      <c r="D3691" t="inlineStr">
        <is>
          <t>Hub B</t>
        </is>
      </c>
      <c r="E3691" t="n">
        <v>48</v>
      </c>
      <c r="F3691" t="n">
        <v>19</v>
      </c>
    </row>
    <row r="3692">
      <c r="A3692" t="inlineStr">
        <is>
          <t>ORD03691</t>
        </is>
      </c>
      <c r="B3692" t="inlineStr">
        <is>
          <t>C1191</t>
        </is>
      </c>
      <c r="C3692" t="n">
        <v>1</v>
      </c>
      <c r="D3692" t="inlineStr">
        <is>
          <t>Hub B</t>
        </is>
      </c>
      <c r="E3692" t="n">
        <v>55</v>
      </c>
      <c r="F3692" t="n">
        <v>19</v>
      </c>
    </row>
    <row r="3693">
      <c r="A3693" t="inlineStr">
        <is>
          <t>ORD03692</t>
        </is>
      </c>
      <c r="B3693" t="inlineStr">
        <is>
          <t>C1192</t>
        </is>
      </c>
      <c r="C3693" t="n">
        <v>2</v>
      </c>
      <c r="D3693" t="inlineStr">
        <is>
          <t>Hub B</t>
        </is>
      </c>
      <c r="E3693" t="n">
        <v>62</v>
      </c>
      <c r="F3693" t="n">
        <v>19</v>
      </c>
    </row>
    <row r="3694">
      <c r="A3694" t="inlineStr">
        <is>
          <t>ORD03693</t>
        </is>
      </c>
      <c r="B3694" t="inlineStr">
        <is>
          <t>C1193</t>
        </is>
      </c>
      <c r="C3694" t="n">
        <v>3</v>
      </c>
      <c r="D3694" t="inlineStr">
        <is>
          <t>Hub B</t>
        </is>
      </c>
      <c r="E3694" t="n">
        <v>69</v>
      </c>
      <c r="F3694" t="n">
        <v>19</v>
      </c>
    </row>
    <row r="3695">
      <c r="A3695" t="inlineStr">
        <is>
          <t>ORD03694</t>
        </is>
      </c>
      <c r="B3695" t="inlineStr">
        <is>
          <t>C1194</t>
        </is>
      </c>
      <c r="C3695" t="n">
        <v>1</v>
      </c>
      <c r="D3695" t="inlineStr">
        <is>
          <t>Hub B</t>
        </is>
      </c>
      <c r="E3695" t="n">
        <v>76</v>
      </c>
      <c r="F3695" t="n">
        <v>19</v>
      </c>
    </row>
    <row r="3696">
      <c r="A3696" t="inlineStr">
        <is>
          <t>ORD03695</t>
        </is>
      </c>
      <c r="B3696" t="inlineStr">
        <is>
          <t>C1195</t>
        </is>
      </c>
      <c r="C3696" t="n">
        <v>2</v>
      </c>
      <c r="D3696" t="inlineStr">
        <is>
          <t>Hub B</t>
        </is>
      </c>
      <c r="E3696" t="n">
        <v>23</v>
      </c>
      <c r="F3696" t="n">
        <v>19</v>
      </c>
    </row>
    <row r="3697">
      <c r="A3697" t="inlineStr">
        <is>
          <t>ORD03696</t>
        </is>
      </c>
      <c r="B3697" t="inlineStr">
        <is>
          <t>C1196</t>
        </is>
      </c>
      <c r="C3697" t="n">
        <v>3</v>
      </c>
      <c r="D3697" t="inlineStr">
        <is>
          <t>Hub B</t>
        </is>
      </c>
      <c r="E3697" t="n">
        <v>30</v>
      </c>
      <c r="F3697" t="n">
        <v>19</v>
      </c>
    </row>
    <row r="3698">
      <c r="A3698" t="inlineStr">
        <is>
          <t>ORD03697</t>
        </is>
      </c>
      <c r="B3698" t="inlineStr">
        <is>
          <t>C1197</t>
        </is>
      </c>
      <c r="C3698" t="n">
        <v>1</v>
      </c>
      <c r="D3698" t="inlineStr">
        <is>
          <t>Hub B</t>
        </is>
      </c>
      <c r="E3698" t="n">
        <v>37</v>
      </c>
      <c r="F3698" t="n">
        <v>19</v>
      </c>
    </row>
    <row r="3699">
      <c r="A3699" t="inlineStr">
        <is>
          <t>ORD03698</t>
        </is>
      </c>
      <c r="B3699" t="inlineStr">
        <is>
          <t>C1198</t>
        </is>
      </c>
      <c r="C3699" t="n">
        <v>2</v>
      </c>
      <c r="D3699" t="inlineStr">
        <is>
          <t>Hub B</t>
        </is>
      </c>
      <c r="E3699" t="n">
        <v>44</v>
      </c>
      <c r="F3699" t="n">
        <v>19</v>
      </c>
    </row>
    <row r="3700">
      <c r="A3700" t="inlineStr">
        <is>
          <t>ORD03699</t>
        </is>
      </c>
      <c r="B3700" t="inlineStr">
        <is>
          <t>C1199</t>
        </is>
      </c>
      <c r="C3700" t="n">
        <v>3</v>
      </c>
      <c r="D3700" t="inlineStr">
        <is>
          <t>Hub B</t>
        </is>
      </c>
      <c r="E3700" t="n">
        <v>51</v>
      </c>
      <c r="F3700" t="n">
        <v>19</v>
      </c>
    </row>
    <row r="3701">
      <c r="A3701" t="inlineStr">
        <is>
          <t>ORD03700</t>
        </is>
      </c>
      <c r="B3701" t="inlineStr">
        <is>
          <t>C1200</t>
        </is>
      </c>
      <c r="C3701" t="n">
        <v>1</v>
      </c>
      <c r="D3701" t="inlineStr">
        <is>
          <t>Hub B</t>
        </is>
      </c>
      <c r="E3701" t="n">
        <v>58</v>
      </c>
      <c r="F3701" t="n">
        <v>19</v>
      </c>
    </row>
    <row r="3702">
      <c r="A3702" t="inlineStr">
        <is>
          <t>ORD03701</t>
        </is>
      </c>
      <c r="B3702" t="inlineStr">
        <is>
          <t>C1201</t>
        </is>
      </c>
      <c r="C3702" t="n">
        <v>2</v>
      </c>
      <c r="D3702" t="inlineStr">
        <is>
          <t>Hub B</t>
        </is>
      </c>
      <c r="E3702" t="n">
        <v>65</v>
      </c>
      <c r="F3702" t="n">
        <v>19</v>
      </c>
    </row>
    <row r="3703">
      <c r="A3703" t="inlineStr">
        <is>
          <t>ORD03702</t>
        </is>
      </c>
      <c r="B3703" t="inlineStr">
        <is>
          <t>C1202</t>
        </is>
      </c>
      <c r="C3703" t="n">
        <v>3</v>
      </c>
      <c r="D3703" t="inlineStr">
        <is>
          <t>Hub B</t>
        </is>
      </c>
      <c r="E3703" t="n">
        <v>72</v>
      </c>
      <c r="F3703" t="n">
        <v>19</v>
      </c>
    </row>
    <row r="3704">
      <c r="A3704" t="inlineStr">
        <is>
          <t>ORD03703</t>
        </is>
      </c>
      <c r="B3704" t="inlineStr">
        <is>
          <t>C1203</t>
        </is>
      </c>
      <c r="C3704" t="n">
        <v>1</v>
      </c>
      <c r="D3704" t="inlineStr">
        <is>
          <t>Hub B</t>
        </is>
      </c>
      <c r="E3704" t="n">
        <v>19</v>
      </c>
      <c r="F3704" t="n">
        <v>19</v>
      </c>
    </row>
    <row r="3705">
      <c r="A3705" t="inlineStr">
        <is>
          <t>ORD03704</t>
        </is>
      </c>
      <c r="B3705" t="inlineStr">
        <is>
          <t>C1204</t>
        </is>
      </c>
      <c r="C3705" t="n">
        <v>2</v>
      </c>
      <c r="D3705" t="inlineStr">
        <is>
          <t>Hub B</t>
        </is>
      </c>
      <c r="E3705" t="n">
        <v>26</v>
      </c>
      <c r="F3705" t="n">
        <v>19</v>
      </c>
    </row>
    <row r="3706">
      <c r="A3706" t="inlineStr">
        <is>
          <t>ORD03705</t>
        </is>
      </c>
      <c r="B3706" t="inlineStr">
        <is>
          <t>C1205</t>
        </is>
      </c>
      <c r="C3706" t="n">
        <v>3</v>
      </c>
      <c r="D3706" t="inlineStr">
        <is>
          <t>Hub B</t>
        </is>
      </c>
      <c r="E3706" t="n">
        <v>33</v>
      </c>
      <c r="F3706" t="n">
        <v>19</v>
      </c>
    </row>
    <row r="3707">
      <c r="A3707" t="inlineStr">
        <is>
          <t>ORD03706</t>
        </is>
      </c>
      <c r="B3707" t="inlineStr">
        <is>
          <t>C1206</t>
        </is>
      </c>
      <c r="C3707" t="n">
        <v>1</v>
      </c>
      <c r="D3707" t="inlineStr">
        <is>
          <t>Hub B</t>
        </is>
      </c>
      <c r="E3707" t="n">
        <v>40</v>
      </c>
      <c r="F3707" t="n">
        <v>19</v>
      </c>
    </row>
    <row r="3708">
      <c r="A3708" t="inlineStr">
        <is>
          <t>ORD03707</t>
        </is>
      </c>
      <c r="B3708" t="inlineStr">
        <is>
          <t>C1207</t>
        </is>
      </c>
      <c r="C3708" t="n">
        <v>2</v>
      </c>
      <c r="D3708" t="inlineStr">
        <is>
          <t>Hub B</t>
        </is>
      </c>
      <c r="E3708" t="n">
        <v>47</v>
      </c>
      <c r="F3708" t="n">
        <v>19</v>
      </c>
    </row>
    <row r="3709">
      <c r="A3709" t="inlineStr">
        <is>
          <t>ORD03708</t>
        </is>
      </c>
      <c r="B3709" t="inlineStr">
        <is>
          <t>C1208</t>
        </is>
      </c>
      <c r="C3709" t="n">
        <v>3</v>
      </c>
      <c r="D3709" t="inlineStr">
        <is>
          <t>Hub B</t>
        </is>
      </c>
      <c r="E3709" t="n">
        <v>54</v>
      </c>
      <c r="F3709" t="n">
        <v>19</v>
      </c>
    </row>
    <row r="3710">
      <c r="A3710" t="inlineStr">
        <is>
          <t>ORD03709</t>
        </is>
      </c>
      <c r="B3710" t="inlineStr">
        <is>
          <t>C1209</t>
        </is>
      </c>
      <c r="C3710" t="n">
        <v>1</v>
      </c>
      <c r="D3710" t="inlineStr">
        <is>
          <t>Hub B</t>
        </is>
      </c>
      <c r="E3710" t="n">
        <v>61</v>
      </c>
      <c r="F3710" t="n">
        <v>19</v>
      </c>
    </row>
    <row r="3711">
      <c r="A3711" t="inlineStr">
        <is>
          <t>ORD03710</t>
        </is>
      </c>
      <c r="B3711" t="inlineStr">
        <is>
          <t>C1210</t>
        </is>
      </c>
      <c r="C3711" t="n">
        <v>2</v>
      </c>
      <c r="D3711" t="inlineStr">
        <is>
          <t>Hub B</t>
        </is>
      </c>
      <c r="E3711" t="n">
        <v>68</v>
      </c>
      <c r="F3711" t="n">
        <v>19</v>
      </c>
    </row>
    <row r="3712">
      <c r="A3712" t="inlineStr">
        <is>
          <t>ORD03711</t>
        </is>
      </c>
      <c r="B3712" t="inlineStr">
        <is>
          <t>C1211</t>
        </is>
      </c>
      <c r="C3712" t="n">
        <v>3</v>
      </c>
      <c r="D3712" t="inlineStr">
        <is>
          <t>Hub B</t>
        </is>
      </c>
      <c r="E3712" t="n">
        <v>75</v>
      </c>
      <c r="F3712" t="n">
        <v>19</v>
      </c>
    </row>
    <row r="3713">
      <c r="A3713" t="inlineStr">
        <is>
          <t>ORD03712</t>
        </is>
      </c>
      <c r="B3713" t="inlineStr">
        <is>
          <t>C1212</t>
        </is>
      </c>
      <c r="C3713" t="n">
        <v>1</v>
      </c>
      <c r="D3713" t="inlineStr">
        <is>
          <t>Hub B</t>
        </is>
      </c>
      <c r="E3713" t="n">
        <v>22</v>
      </c>
      <c r="F3713" t="n">
        <v>19</v>
      </c>
    </row>
    <row r="3714">
      <c r="A3714" t="inlineStr">
        <is>
          <t>ORD03713</t>
        </is>
      </c>
      <c r="B3714" t="inlineStr">
        <is>
          <t>C1213</t>
        </is>
      </c>
      <c r="C3714" t="n">
        <v>2</v>
      </c>
      <c r="D3714" t="inlineStr">
        <is>
          <t>Hub B</t>
        </is>
      </c>
      <c r="E3714" t="n">
        <v>29</v>
      </c>
      <c r="F3714" t="n">
        <v>19</v>
      </c>
    </row>
    <row r="3715">
      <c r="A3715" t="inlineStr">
        <is>
          <t>ORD03714</t>
        </is>
      </c>
      <c r="B3715" t="inlineStr">
        <is>
          <t>C1214</t>
        </is>
      </c>
      <c r="C3715" t="n">
        <v>3</v>
      </c>
      <c r="D3715" t="inlineStr">
        <is>
          <t>Hub B</t>
        </is>
      </c>
      <c r="E3715" t="n">
        <v>36</v>
      </c>
      <c r="F3715" t="n">
        <v>19</v>
      </c>
    </row>
    <row r="3716">
      <c r="A3716" t="inlineStr">
        <is>
          <t>ORD03715</t>
        </is>
      </c>
      <c r="B3716" t="inlineStr">
        <is>
          <t>C1215</t>
        </is>
      </c>
      <c r="C3716" t="n">
        <v>1</v>
      </c>
      <c r="D3716" t="inlineStr">
        <is>
          <t>Hub B</t>
        </is>
      </c>
      <c r="E3716" t="n">
        <v>43</v>
      </c>
      <c r="F3716" t="n">
        <v>19</v>
      </c>
    </row>
    <row r="3717">
      <c r="A3717" t="inlineStr">
        <is>
          <t>ORD03716</t>
        </is>
      </c>
      <c r="B3717" t="inlineStr">
        <is>
          <t>C1216</t>
        </is>
      </c>
      <c r="C3717" t="n">
        <v>2</v>
      </c>
      <c r="D3717" t="inlineStr">
        <is>
          <t>Hub B</t>
        </is>
      </c>
      <c r="E3717" t="n">
        <v>50</v>
      </c>
      <c r="F3717" t="n">
        <v>19</v>
      </c>
    </row>
    <row r="3718">
      <c r="A3718" t="inlineStr">
        <is>
          <t>ORD03717</t>
        </is>
      </c>
      <c r="B3718" t="inlineStr">
        <is>
          <t>C1217</t>
        </is>
      </c>
      <c r="C3718" t="n">
        <v>3</v>
      </c>
      <c r="D3718" t="inlineStr">
        <is>
          <t>Hub B</t>
        </is>
      </c>
      <c r="E3718" t="n">
        <v>57</v>
      </c>
      <c r="F3718" t="n">
        <v>19</v>
      </c>
    </row>
    <row r="3719">
      <c r="A3719" t="inlineStr">
        <is>
          <t>ORD03718</t>
        </is>
      </c>
      <c r="B3719" t="inlineStr">
        <is>
          <t>C1218</t>
        </is>
      </c>
      <c r="C3719" t="n">
        <v>1</v>
      </c>
      <c r="D3719" t="inlineStr">
        <is>
          <t>Hub B</t>
        </is>
      </c>
      <c r="E3719" t="n">
        <v>64</v>
      </c>
      <c r="F3719" t="n">
        <v>19</v>
      </c>
    </row>
    <row r="3720">
      <c r="A3720" t="inlineStr">
        <is>
          <t>ORD03719</t>
        </is>
      </c>
      <c r="B3720" t="inlineStr">
        <is>
          <t>C1219</t>
        </is>
      </c>
      <c r="C3720" t="n">
        <v>2</v>
      </c>
      <c r="D3720" t="inlineStr">
        <is>
          <t>Hub B</t>
        </is>
      </c>
      <c r="E3720" t="n">
        <v>71</v>
      </c>
      <c r="F3720" t="n">
        <v>19</v>
      </c>
    </row>
    <row r="3721">
      <c r="A3721" t="inlineStr">
        <is>
          <t>ORD03720</t>
        </is>
      </c>
      <c r="B3721" t="inlineStr">
        <is>
          <t>C1220</t>
        </is>
      </c>
      <c r="C3721" t="n">
        <v>3</v>
      </c>
      <c r="D3721" t="inlineStr">
        <is>
          <t>Hub B</t>
        </is>
      </c>
      <c r="E3721" t="n">
        <v>18</v>
      </c>
      <c r="F3721" t="n">
        <v>19</v>
      </c>
    </row>
    <row r="3722">
      <c r="A3722" t="inlineStr">
        <is>
          <t>ORD03721</t>
        </is>
      </c>
      <c r="B3722" t="inlineStr">
        <is>
          <t>C1221</t>
        </is>
      </c>
      <c r="C3722" t="n">
        <v>1</v>
      </c>
      <c r="D3722" t="inlineStr">
        <is>
          <t>Hub B</t>
        </is>
      </c>
      <c r="E3722" t="n">
        <v>25</v>
      </c>
      <c r="F3722" t="n">
        <v>19</v>
      </c>
    </row>
    <row r="3723">
      <c r="A3723" t="inlineStr">
        <is>
          <t>ORD03722</t>
        </is>
      </c>
      <c r="B3723" t="inlineStr">
        <is>
          <t>C1222</t>
        </is>
      </c>
      <c r="C3723" t="n">
        <v>2</v>
      </c>
      <c r="D3723" t="inlineStr">
        <is>
          <t>Hub B</t>
        </is>
      </c>
      <c r="E3723" t="n">
        <v>32</v>
      </c>
      <c r="F3723" t="n">
        <v>19</v>
      </c>
    </row>
    <row r="3724">
      <c r="A3724" t="inlineStr">
        <is>
          <t>ORD03723</t>
        </is>
      </c>
      <c r="B3724" t="inlineStr">
        <is>
          <t>C1223</t>
        </is>
      </c>
      <c r="C3724" t="n">
        <v>3</v>
      </c>
      <c r="D3724" t="inlineStr">
        <is>
          <t>Hub B</t>
        </is>
      </c>
      <c r="E3724" t="n">
        <v>39</v>
      </c>
      <c r="F3724" t="n">
        <v>19</v>
      </c>
    </row>
    <row r="3725">
      <c r="A3725" t="inlineStr">
        <is>
          <t>ORD03724</t>
        </is>
      </c>
      <c r="B3725" t="inlineStr">
        <is>
          <t>C1224</t>
        </is>
      </c>
      <c r="C3725" t="n">
        <v>1</v>
      </c>
      <c r="D3725" t="inlineStr">
        <is>
          <t>Hub B</t>
        </is>
      </c>
      <c r="E3725" t="n">
        <v>46</v>
      </c>
      <c r="F3725" t="n">
        <v>19</v>
      </c>
    </row>
    <row r="3726">
      <c r="A3726" t="inlineStr">
        <is>
          <t>ORD03725</t>
        </is>
      </c>
      <c r="B3726" t="inlineStr">
        <is>
          <t>C1225</t>
        </is>
      </c>
      <c r="C3726" t="n">
        <v>2</v>
      </c>
      <c r="D3726" t="inlineStr">
        <is>
          <t>Hub B</t>
        </is>
      </c>
      <c r="E3726" t="n">
        <v>53</v>
      </c>
      <c r="F3726" t="n">
        <v>19</v>
      </c>
    </row>
    <row r="3727">
      <c r="A3727" t="inlineStr">
        <is>
          <t>ORD03726</t>
        </is>
      </c>
      <c r="B3727" t="inlineStr">
        <is>
          <t>C1226</t>
        </is>
      </c>
      <c r="C3727" t="n">
        <v>3</v>
      </c>
      <c r="D3727" t="inlineStr">
        <is>
          <t>Hub B</t>
        </is>
      </c>
      <c r="E3727" t="n">
        <v>60</v>
      </c>
      <c r="F3727" t="n">
        <v>19</v>
      </c>
    </row>
    <row r="3728">
      <c r="A3728" t="inlineStr">
        <is>
          <t>ORD03727</t>
        </is>
      </c>
      <c r="B3728" t="inlineStr">
        <is>
          <t>C1227</t>
        </is>
      </c>
      <c r="C3728" t="n">
        <v>1</v>
      </c>
      <c r="D3728" t="inlineStr">
        <is>
          <t>Hub B</t>
        </is>
      </c>
      <c r="E3728" t="n">
        <v>67</v>
      </c>
      <c r="F3728" t="n">
        <v>19</v>
      </c>
    </row>
    <row r="3729">
      <c r="A3729" t="inlineStr">
        <is>
          <t>ORD03728</t>
        </is>
      </c>
      <c r="B3729" t="inlineStr">
        <is>
          <t>C1228</t>
        </is>
      </c>
      <c r="C3729" t="n">
        <v>2</v>
      </c>
      <c r="D3729" t="inlineStr">
        <is>
          <t>Hub B</t>
        </is>
      </c>
      <c r="E3729" t="n">
        <v>74</v>
      </c>
      <c r="F3729" t="n">
        <v>19</v>
      </c>
    </row>
    <row r="3730">
      <c r="A3730" t="inlineStr">
        <is>
          <t>ORD03729</t>
        </is>
      </c>
      <c r="B3730" t="inlineStr">
        <is>
          <t>C1229</t>
        </is>
      </c>
      <c r="C3730" t="n">
        <v>3</v>
      </c>
      <c r="D3730" t="inlineStr">
        <is>
          <t>Hub B</t>
        </is>
      </c>
      <c r="E3730" t="n">
        <v>21</v>
      </c>
      <c r="F3730" t="n">
        <v>19</v>
      </c>
    </row>
    <row r="3731">
      <c r="A3731" t="inlineStr">
        <is>
          <t>ORD03730</t>
        </is>
      </c>
      <c r="B3731" t="inlineStr">
        <is>
          <t>C1230</t>
        </is>
      </c>
      <c r="C3731" t="n">
        <v>1</v>
      </c>
      <c r="D3731" t="inlineStr">
        <is>
          <t>Hub B</t>
        </is>
      </c>
      <c r="E3731" t="n">
        <v>28</v>
      </c>
      <c r="F3731" t="n">
        <v>19</v>
      </c>
    </row>
    <row r="3732">
      <c r="A3732" t="inlineStr">
        <is>
          <t>ORD03731</t>
        </is>
      </c>
      <c r="B3732" t="inlineStr">
        <is>
          <t>C1231</t>
        </is>
      </c>
      <c r="C3732" t="n">
        <v>2</v>
      </c>
      <c r="D3732" t="inlineStr">
        <is>
          <t>Hub B</t>
        </is>
      </c>
      <c r="E3732" t="n">
        <v>35</v>
      </c>
      <c r="F3732" t="n">
        <v>19</v>
      </c>
    </row>
    <row r="3733">
      <c r="A3733" t="inlineStr">
        <is>
          <t>ORD03732</t>
        </is>
      </c>
      <c r="B3733" t="inlineStr">
        <is>
          <t>C1232</t>
        </is>
      </c>
      <c r="C3733" t="n">
        <v>3</v>
      </c>
      <c r="D3733" t="inlineStr">
        <is>
          <t>Hub B</t>
        </is>
      </c>
      <c r="E3733" t="n">
        <v>42</v>
      </c>
      <c r="F3733" t="n">
        <v>19</v>
      </c>
    </row>
    <row r="3734">
      <c r="A3734" t="inlineStr">
        <is>
          <t>ORD03733</t>
        </is>
      </c>
      <c r="B3734" t="inlineStr">
        <is>
          <t>C1233</t>
        </is>
      </c>
      <c r="C3734" t="n">
        <v>1</v>
      </c>
      <c r="D3734" t="inlineStr">
        <is>
          <t>Hub B</t>
        </is>
      </c>
      <c r="E3734" t="n">
        <v>49</v>
      </c>
      <c r="F3734" t="n">
        <v>19</v>
      </c>
    </row>
    <row r="3735">
      <c r="A3735" t="inlineStr">
        <is>
          <t>ORD03734</t>
        </is>
      </c>
      <c r="B3735" t="inlineStr">
        <is>
          <t>C1234</t>
        </is>
      </c>
      <c r="C3735" t="n">
        <v>2</v>
      </c>
      <c r="D3735" t="inlineStr">
        <is>
          <t>Hub B</t>
        </is>
      </c>
      <c r="E3735" t="n">
        <v>56</v>
      </c>
      <c r="F3735" t="n">
        <v>19</v>
      </c>
    </row>
    <row r="3736">
      <c r="A3736" t="inlineStr">
        <is>
          <t>ORD03735</t>
        </is>
      </c>
      <c r="B3736" t="inlineStr">
        <is>
          <t>C1235</t>
        </is>
      </c>
      <c r="C3736" t="n">
        <v>3</v>
      </c>
      <c r="D3736" t="inlineStr">
        <is>
          <t>Hub B</t>
        </is>
      </c>
      <c r="E3736" t="n">
        <v>63</v>
      </c>
      <c r="F3736" t="n">
        <v>19</v>
      </c>
    </row>
    <row r="3737">
      <c r="A3737" t="inlineStr">
        <is>
          <t>ORD03736</t>
        </is>
      </c>
      <c r="B3737" t="inlineStr">
        <is>
          <t>C1236</t>
        </is>
      </c>
      <c r="C3737" t="n">
        <v>1</v>
      </c>
      <c r="D3737" t="inlineStr">
        <is>
          <t>Hub B</t>
        </is>
      </c>
      <c r="E3737" t="n">
        <v>70</v>
      </c>
      <c r="F3737" t="n">
        <v>19</v>
      </c>
    </row>
    <row r="3738">
      <c r="A3738" t="inlineStr">
        <is>
          <t>ORD03737</t>
        </is>
      </c>
      <c r="B3738" t="inlineStr">
        <is>
          <t>C1237</t>
        </is>
      </c>
      <c r="C3738" t="n">
        <v>2</v>
      </c>
      <c r="D3738" t="inlineStr">
        <is>
          <t>Hub B</t>
        </is>
      </c>
      <c r="E3738" t="n">
        <v>77</v>
      </c>
      <c r="F3738" t="n">
        <v>19</v>
      </c>
    </row>
    <row r="3739">
      <c r="A3739" t="inlineStr">
        <is>
          <t>ORD03738</t>
        </is>
      </c>
      <c r="B3739" t="inlineStr">
        <is>
          <t>C1238</t>
        </is>
      </c>
      <c r="C3739" t="n">
        <v>3</v>
      </c>
      <c r="D3739" t="inlineStr">
        <is>
          <t>Hub B</t>
        </is>
      </c>
      <c r="E3739" t="n">
        <v>24</v>
      </c>
      <c r="F3739" t="n">
        <v>19</v>
      </c>
    </row>
    <row r="3740">
      <c r="A3740" t="inlineStr">
        <is>
          <t>ORD03739</t>
        </is>
      </c>
      <c r="B3740" t="inlineStr">
        <is>
          <t>C1239</t>
        </is>
      </c>
      <c r="C3740" t="n">
        <v>1</v>
      </c>
      <c r="D3740" t="inlineStr">
        <is>
          <t>Hub B</t>
        </is>
      </c>
      <c r="E3740" t="n">
        <v>31</v>
      </c>
      <c r="F3740" t="n">
        <v>19</v>
      </c>
    </row>
    <row r="3741">
      <c r="A3741" t="inlineStr">
        <is>
          <t>ORD03740</t>
        </is>
      </c>
      <c r="B3741" t="inlineStr">
        <is>
          <t>C1240</t>
        </is>
      </c>
      <c r="C3741" t="n">
        <v>2</v>
      </c>
      <c r="D3741" t="inlineStr">
        <is>
          <t>Hub B</t>
        </is>
      </c>
      <c r="E3741" t="n">
        <v>38</v>
      </c>
      <c r="F3741" t="n">
        <v>19</v>
      </c>
    </row>
    <row r="3742">
      <c r="A3742" t="inlineStr">
        <is>
          <t>ORD03741</t>
        </is>
      </c>
      <c r="B3742" t="inlineStr">
        <is>
          <t>C1241</t>
        </is>
      </c>
      <c r="C3742" t="n">
        <v>3</v>
      </c>
      <c r="D3742" t="inlineStr">
        <is>
          <t>Hub B</t>
        </is>
      </c>
      <c r="E3742" t="n">
        <v>45</v>
      </c>
      <c r="F3742" t="n">
        <v>19</v>
      </c>
    </row>
    <row r="3743">
      <c r="A3743" t="inlineStr">
        <is>
          <t>ORD03742</t>
        </is>
      </c>
      <c r="B3743" t="inlineStr">
        <is>
          <t>C1242</t>
        </is>
      </c>
      <c r="C3743" t="n">
        <v>1</v>
      </c>
      <c r="D3743" t="inlineStr">
        <is>
          <t>Hub B</t>
        </is>
      </c>
      <c r="E3743" t="n">
        <v>52</v>
      </c>
      <c r="F3743" t="n">
        <v>19</v>
      </c>
    </row>
    <row r="3744">
      <c r="A3744" t="inlineStr">
        <is>
          <t>ORD03743</t>
        </is>
      </c>
      <c r="B3744" t="inlineStr">
        <is>
          <t>C1243</t>
        </is>
      </c>
      <c r="C3744" t="n">
        <v>2</v>
      </c>
      <c r="D3744" t="inlineStr">
        <is>
          <t>Hub B</t>
        </is>
      </c>
      <c r="E3744" t="n">
        <v>59</v>
      </c>
      <c r="F3744" t="n">
        <v>19</v>
      </c>
    </row>
    <row r="3745">
      <c r="A3745" t="inlineStr">
        <is>
          <t>ORD03744</t>
        </is>
      </c>
      <c r="B3745" t="inlineStr">
        <is>
          <t>C1244</t>
        </is>
      </c>
      <c r="C3745" t="n">
        <v>3</v>
      </c>
      <c r="D3745" t="inlineStr">
        <is>
          <t>Hub B</t>
        </is>
      </c>
      <c r="E3745" t="n">
        <v>66</v>
      </c>
      <c r="F3745" t="n">
        <v>19</v>
      </c>
    </row>
    <row r="3746">
      <c r="A3746" t="inlineStr">
        <is>
          <t>ORD03745</t>
        </is>
      </c>
      <c r="B3746" t="inlineStr">
        <is>
          <t>C1245</t>
        </is>
      </c>
      <c r="C3746" t="n">
        <v>1</v>
      </c>
      <c r="D3746" t="inlineStr">
        <is>
          <t>Hub B</t>
        </is>
      </c>
      <c r="E3746" t="n">
        <v>73</v>
      </c>
      <c r="F3746" t="n">
        <v>19</v>
      </c>
    </row>
    <row r="3747">
      <c r="A3747" t="inlineStr">
        <is>
          <t>ORD03746</t>
        </is>
      </c>
      <c r="B3747" t="inlineStr">
        <is>
          <t>C1246</t>
        </is>
      </c>
      <c r="C3747" t="n">
        <v>2</v>
      </c>
      <c r="D3747" t="inlineStr">
        <is>
          <t>Hub B</t>
        </is>
      </c>
      <c r="E3747" t="n">
        <v>20</v>
      </c>
      <c r="F3747" t="n">
        <v>19</v>
      </c>
    </row>
    <row r="3748">
      <c r="A3748" t="inlineStr">
        <is>
          <t>ORD03747</t>
        </is>
      </c>
      <c r="B3748" t="inlineStr">
        <is>
          <t>C1247</t>
        </is>
      </c>
      <c r="C3748" t="n">
        <v>3</v>
      </c>
      <c r="D3748" t="inlineStr">
        <is>
          <t>Hub B</t>
        </is>
      </c>
      <c r="E3748" t="n">
        <v>27</v>
      </c>
      <c r="F3748" t="n">
        <v>19</v>
      </c>
    </row>
    <row r="3749">
      <c r="A3749" t="inlineStr">
        <is>
          <t>ORD03748</t>
        </is>
      </c>
      <c r="B3749" t="inlineStr">
        <is>
          <t>C1248</t>
        </is>
      </c>
      <c r="C3749" t="n">
        <v>1</v>
      </c>
      <c r="D3749" t="inlineStr">
        <is>
          <t>Hub B</t>
        </is>
      </c>
      <c r="E3749" t="n">
        <v>34</v>
      </c>
      <c r="F3749" t="n">
        <v>19</v>
      </c>
    </row>
    <row r="3750">
      <c r="A3750" t="inlineStr">
        <is>
          <t>ORD03749</t>
        </is>
      </c>
      <c r="B3750" t="inlineStr">
        <is>
          <t>C1249</t>
        </is>
      </c>
      <c r="C3750" t="n">
        <v>2</v>
      </c>
      <c r="D3750" t="inlineStr">
        <is>
          <t>Hub B</t>
        </is>
      </c>
      <c r="E3750" t="n">
        <v>41</v>
      </c>
      <c r="F3750" t="n">
        <v>19</v>
      </c>
    </row>
    <row r="3751">
      <c r="A3751" t="inlineStr">
        <is>
          <t>ORD03750</t>
        </is>
      </c>
      <c r="B3751" t="inlineStr">
        <is>
          <t>C1250</t>
        </is>
      </c>
      <c r="C3751" t="n">
        <v>3</v>
      </c>
      <c r="D3751" t="inlineStr">
        <is>
          <t>Hub B</t>
        </is>
      </c>
      <c r="E3751" t="n">
        <v>48</v>
      </c>
      <c r="F3751" t="n">
        <v>19</v>
      </c>
    </row>
    <row r="3752">
      <c r="A3752" t="inlineStr">
        <is>
          <t>ORD03751</t>
        </is>
      </c>
      <c r="B3752" t="inlineStr">
        <is>
          <t>C1251</t>
        </is>
      </c>
      <c r="C3752" t="n">
        <v>1</v>
      </c>
      <c r="D3752" t="inlineStr">
        <is>
          <t>Hub B</t>
        </is>
      </c>
      <c r="E3752" t="n">
        <v>55</v>
      </c>
      <c r="F3752" t="n">
        <v>19</v>
      </c>
    </row>
    <row r="3753">
      <c r="A3753" t="inlineStr">
        <is>
          <t>ORD03752</t>
        </is>
      </c>
      <c r="B3753" t="inlineStr">
        <is>
          <t>C1252</t>
        </is>
      </c>
      <c r="C3753" t="n">
        <v>2</v>
      </c>
      <c r="D3753" t="inlineStr">
        <is>
          <t>Hub B</t>
        </is>
      </c>
      <c r="E3753" t="n">
        <v>62</v>
      </c>
      <c r="F3753" t="n">
        <v>19</v>
      </c>
    </row>
    <row r="3754">
      <c r="A3754" t="inlineStr">
        <is>
          <t>ORD03753</t>
        </is>
      </c>
      <c r="B3754" t="inlineStr">
        <is>
          <t>C1253</t>
        </is>
      </c>
      <c r="C3754" t="n">
        <v>3</v>
      </c>
      <c r="D3754" t="inlineStr">
        <is>
          <t>Hub B</t>
        </is>
      </c>
      <c r="E3754" t="n">
        <v>69</v>
      </c>
      <c r="F3754" t="n">
        <v>19</v>
      </c>
    </row>
    <row r="3755">
      <c r="A3755" t="inlineStr">
        <is>
          <t>ORD03754</t>
        </is>
      </c>
      <c r="B3755" t="inlineStr">
        <is>
          <t>C1254</t>
        </is>
      </c>
      <c r="C3755" t="n">
        <v>1</v>
      </c>
      <c r="D3755" t="inlineStr">
        <is>
          <t>Hub B</t>
        </is>
      </c>
      <c r="E3755" t="n">
        <v>76</v>
      </c>
      <c r="F3755" t="n">
        <v>19</v>
      </c>
    </row>
    <row r="3756">
      <c r="A3756" t="inlineStr">
        <is>
          <t>ORD03755</t>
        </is>
      </c>
      <c r="B3756" t="inlineStr">
        <is>
          <t>C1255</t>
        </is>
      </c>
      <c r="C3756" t="n">
        <v>2</v>
      </c>
      <c r="D3756" t="inlineStr">
        <is>
          <t>Hub B</t>
        </is>
      </c>
      <c r="E3756" t="n">
        <v>23</v>
      </c>
      <c r="F3756" t="n">
        <v>19</v>
      </c>
    </row>
    <row r="3757">
      <c r="A3757" t="inlineStr">
        <is>
          <t>ORD03756</t>
        </is>
      </c>
      <c r="B3757" t="inlineStr">
        <is>
          <t>C1256</t>
        </is>
      </c>
      <c r="C3757" t="n">
        <v>3</v>
      </c>
      <c r="D3757" t="inlineStr">
        <is>
          <t>Hub B</t>
        </is>
      </c>
      <c r="E3757" t="n">
        <v>30</v>
      </c>
      <c r="F3757" t="n">
        <v>19</v>
      </c>
    </row>
    <row r="3758">
      <c r="A3758" t="inlineStr">
        <is>
          <t>ORD03757</t>
        </is>
      </c>
      <c r="B3758" t="inlineStr">
        <is>
          <t>C1257</t>
        </is>
      </c>
      <c r="C3758" t="n">
        <v>1</v>
      </c>
      <c r="D3758" t="inlineStr">
        <is>
          <t>Hub B</t>
        </is>
      </c>
      <c r="E3758" t="n">
        <v>37</v>
      </c>
      <c r="F3758" t="n">
        <v>19</v>
      </c>
    </row>
    <row r="3759">
      <c r="A3759" t="inlineStr">
        <is>
          <t>ORD03758</t>
        </is>
      </c>
      <c r="B3759" t="inlineStr">
        <is>
          <t>C1258</t>
        </is>
      </c>
      <c r="C3759" t="n">
        <v>2</v>
      </c>
      <c r="D3759" t="inlineStr">
        <is>
          <t>Hub B</t>
        </is>
      </c>
      <c r="E3759" t="n">
        <v>44</v>
      </c>
      <c r="F3759" t="n">
        <v>19</v>
      </c>
    </row>
    <row r="3760">
      <c r="A3760" t="inlineStr">
        <is>
          <t>ORD03759</t>
        </is>
      </c>
      <c r="B3760" t="inlineStr">
        <is>
          <t>C1259</t>
        </is>
      </c>
      <c r="C3760" t="n">
        <v>3</v>
      </c>
      <c r="D3760" t="inlineStr">
        <is>
          <t>Hub B</t>
        </is>
      </c>
      <c r="E3760" t="n">
        <v>51</v>
      </c>
      <c r="F3760" t="n">
        <v>19</v>
      </c>
    </row>
    <row r="3761">
      <c r="A3761" t="inlineStr">
        <is>
          <t>ORD03760</t>
        </is>
      </c>
      <c r="B3761" t="inlineStr">
        <is>
          <t>C1260</t>
        </is>
      </c>
      <c r="C3761" t="n">
        <v>1</v>
      </c>
      <c r="D3761" t="inlineStr">
        <is>
          <t>Hub B</t>
        </is>
      </c>
      <c r="E3761" t="n">
        <v>58</v>
      </c>
      <c r="F3761" t="n">
        <v>19</v>
      </c>
    </row>
    <row r="3762">
      <c r="A3762" t="inlineStr">
        <is>
          <t>ORD03761</t>
        </is>
      </c>
      <c r="B3762" t="inlineStr">
        <is>
          <t>C1261</t>
        </is>
      </c>
      <c r="C3762" t="n">
        <v>2</v>
      </c>
      <c r="D3762" t="inlineStr">
        <is>
          <t>Hub B</t>
        </is>
      </c>
      <c r="E3762" t="n">
        <v>65</v>
      </c>
      <c r="F3762" t="n">
        <v>19</v>
      </c>
    </row>
    <row r="3763">
      <c r="A3763" t="inlineStr">
        <is>
          <t>ORD03762</t>
        </is>
      </c>
      <c r="B3763" t="inlineStr">
        <is>
          <t>C1262</t>
        </is>
      </c>
      <c r="C3763" t="n">
        <v>3</v>
      </c>
      <c r="D3763" t="inlineStr">
        <is>
          <t>Hub B</t>
        </is>
      </c>
      <c r="E3763" t="n">
        <v>72</v>
      </c>
      <c r="F3763" t="n">
        <v>19</v>
      </c>
    </row>
    <row r="3764">
      <c r="A3764" t="inlineStr">
        <is>
          <t>ORD03763</t>
        </is>
      </c>
      <c r="B3764" t="inlineStr">
        <is>
          <t>C1263</t>
        </is>
      </c>
      <c r="C3764" t="n">
        <v>1</v>
      </c>
      <c r="D3764" t="inlineStr">
        <is>
          <t>Hub B</t>
        </is>
      </c>
      <c r="E3764" t="n">
        <v>19</v>
      </c>
      <c r="F3764" t="n">
        <v>19</v>
      </c>
    </row>
    <row r="3765">
      <c r="A3765" t="inlineStr">
        <is>
          <t>ORD03764</t>
        </is>
      </c>
      <c r="B3765" t="inlineStr">
        <is>
          <t>C1264</t>
        </is>
      </c>
      <c r="C3765" t="n">
        <v>2</v>
      </c>
      <c r="D3765" t="inlineStr">
        <is>
          <t>Hub B</t>
        </is>
      </c>
      <c r="E3765" t="n">
        <v>26</v>
      </c>
      <c r="F3765" t="n">
        <v>19</v>
      </c>
    </row>
    <row r="3766">
      <c r="A3766" t="inlineStr">
        <is>
          <t>ORD03765</t>
        </is>
      </c>
      <c r="B3766" t="inlineStr">
        <is>
          <t>C1265</t>
        </is>
      </c>
      <c r="C3766" t="n">
        <v>3</v>
      </c>
      <c r="D3766" t="inlineStr">
        <is>
          <t>Hub B</t>
        </is>
      </c>
      <c r="E3766" t="n">
        <v>33</v>
      </c>
      <c r="F3766" t="n">
        <v>19</v>
      </c>
    </row>
    <row r="3767">
      <c r="A3767" t="inlineStr">
        <is>
          <t>ORD03766</t>
        </is>
      </c>
      <c r="B3767" t="inlineStr">
        <is>
          <t>C1266</t>
        </is>
      </c>
      <c r="C3767" t="n">
        <v>1</v>
      </c>
      <c r="D3767" t="inlineStr">
        <is>
          <t>Hub B</t>
        </is>
      </c>
      <c r="E3767" t="n">
        <v>40</v>
      </c>
      <c r="F3767" t="n">
        <v>19</v>
      </c>
    </row>
    <row r="3768">
      <c r="A3768" t="inlineStr">
        <is>
          <t>ORD03767</t>
        </is>
      </c>
      <c r="B3768" t="inlineStr">
        <is>
          <t>C1267</t>
        </is>
      </c>
      <c r="C3768" t="n">
        <v>2</v>
      </c>
      <c r="D3768" t="inlineStr">
        <is>
          <t>Hub B</t>
        </is>
      </c>
      <c r="E3768" t="n">
        <v>47</v>
      </c>
      <c r="F3768" t="n">
        <v>19</v>
      </c>
    </row>
    <row r="3769">
      <c r="A3769" t="inlineStr">
        <is>
          <t>ORD03768</t>
        </is>
      </c>
      <c r="B3769" t="inlineStr">
        <is>
          <t>C1268</t>
        </is>
      </c>
      <c r="C3769" t="n">
        <v>3</v>
      </c>
      <c r="D3769" t="inlineStr">
        <is>
          <t>Hub B</t>
        </is>
      </c>
      <c r="E3769" t="n">
        <v>54</v>
      </c>
      <c r="F3769" t="n">
        <v>19</v>
      </c>
    </row>
    <row r="3770">
      <c r="A3770" t="inlineStr">
        <is>
          <t>ORD03769</t>
        </is>
      </c>
      <c r="B3770" t="inlineStr">
        <is>
          <t>C1269</t>
        </is>
      </c>
      <c r="C3770" t="n">
        <v>1</v>
      </c>
      <c r="D3770" t="inlineStr">
        <is>
          <t>Hub B</t>
        </is>
      </c>
      <c r="E3770" t="n">
        <v>61</v>
      </c>
      <c r="F3770" t="n">
        <v>19</v>
      </c>
    </row>
    <row r="3771">
      <c r="A3771" t="inlineStr">
        <is>
          <t>ORD03770</t>
        </is>
      </c>
      <c r="B3771" t="inlineStr">
        <is>
          <t>C1270</t>
        </is>
      </c>
      <c r="C3771" t="n">
        <v>2</v>
      </c>
      <c r="D3771" t="inlineStr">
        <is>
          <t>Hub B</t>
        </is>
      </c>
      <c r="E3771" t="n">
        <v>68</v>
      </c>
      <c r="F3771" t="n">
        <v>19</v>
      </c>
    </row>
    <row r="3772">
      <c r="A3772" t="inlineStr">
        <is>
          <t>ORD03771</t>
        </is>
      </c>
      <c r="B3772" t="inlineStr">
        <is>
          <t>C1271</t>
        </is>
      </c>
      <c r="C3772" t="n">
        <v>3</v>
      </c>
      <c r="D3772" t="inlineStr">
        <is>
          <t>Hub B</t>
        </is>
      </c>
      <c r="E3772" t="n">
        <v>75</v>
      </c>
      <c r="F3772" t="n">
        <v>19</v>
      </c>
    </row>
    <row r="3773">
      <c r="A3773" t="inlineStr">
        <is>
          <t>ORD03772</t>
        </is>
      </c>
      <c r="B3773" t="inlineStr">
        <is>
          <t>C1272</t>
        </is>
      </c>
      <c r="C3773" t="n">
        <v>1</v>
      </c>
      <c r="D3773" t="inlineStr">
        <is>
          <t>Hub B</t>
        </is>
      </c>
      <c r="E3773" t="n">
        <v>22</v>
      </c>
      <c r="F3773" t="n">
        <v>19</v>
      </c>
    </row>
    <row r="3774">
      <c r="A3774" t="inlineStr">
        <is>
          <t>ORD03773</t>
        </is>
      </c>
      <c r="B3774" t="inlineStr">
        <is>
          <t>C1273</t>
        </is>
      </c>
      <c r="C3774" t="n">
        <v>2</v>
      </c>
      <c r="D3774" t="inlineStr">
        <is>
          <t>Hub B</t>
        </is>
      </c>
      <c r="E3774" t="n">
        <v>29</v>
      </c>
      <c r="F3774" t="n">
        <v>19</v>
      </c>
    </row>
    <row r="3775">
      <c r="A3775" t="inlineStr">
        <is>
          <t>ORD03774</t>
        </is>
      </c>
      <c r="B3775" t="inlineStr">
        <is>
          <t>C1274</t>
        </is>
      </c>
      <c r="C3775" t="n">
        <v>3</v>
      </c>
      <c r="D3775" t="inlineStr">
        <is>
          <t>Hub B</t>
        </is>
      </c>
      <c r="E3775" t="n">
        <v>36</v>
      </c>
      <c r="F3775" t="n">
        <v>19</v>
      </c>
    </row>
    <row r="3776">
      <c r="A3776" t="inlineStr">
        <is>
          <t>ORD03775</t>
        </is>
      </c>
      <c r="B3776" t="inlineStr">
        <is>
          <t>C1275</t>
        </is>
      </c>
      <c r="C3776" t="n">
        <v>1</v>
      </c>
      <c r="D3776" t="inlineStr">
        <is>
          <t>Hub B</t>
        </is>
      </c>
      <c r="E3776" t="n">
        <v>43</v>
      </c>
      <c r="F3776" t="n">
        <v>19</v>
      </c>
    </row>
    <row r="3777">
      <c r="A3777" t="inlineStr">
        <is>
          <t>ORD03776</t>
        </is>
      </c>
      <c r="B3777" t="inlineStr">
        <is>
          <t>C1276</t>
        </is>
      </c>
      <c r="C3777" t="n">
        <v>2</v>
      </c>
      <c r="D3777" t="inlineStr">
        <is>
          <t>Hub B</t>
        </is>
      </c>
      <c r="E3777" t="n">
        <v>50</v>
      </c>
      <c r="F3777" t="n">
        <v>19</v>
      </c>
    </row>
    <row r="3778">
      <c r="A3778" t="inlineStr">
        <is>
          <t>ORD03777</t>
        </is>
      </c>
      <c r="B3778" t="inlineStr">
        <is>
          <t>C1277</t>
        </is>
      </c>
      <c r="C3778" t="n">
        <v>3</v>
      </c>
      <c r="D3778" t="inlineStr">
        <is>
          <t>Hub B</t>
        </is>
      </c>
      <c r="E3778" t="n">
        <v>57</v>
      </c>
      <c r="F3778" t="n">
        <v>19</v>
      </c>
    </row>
    <row r="3779">
      <c r="A3779" t="inlineStr">
        <is>
          <t>ORD03778</t>
        </is>
      </c>
      <c r="B3779" t="inlineStr">
        <is>
          <t>C1278</t>
        </is>
      </c>
      <c r="C3779" t="n">
        <v>1</v>
      </c>
      <c r="D3779" t="inlineStr">
        <is>
          <t>Hub B</t>
        </is>
      </c>
      <c r="E3779" t="n">
        <v>64</v>
      </c>
      <c r="F3779" t="n">
        <v>19</v>
      </c>
    </row>
    <row r="3780">
      <c r="A3780" t="inlineStr">
        <is>
          <t>ORD03779</t>
        </is>
      </c>
      <c r="B3780" t="inlineStr">
        <is>
          <t>C1279</t>
        </is>
      </c>
      <c r="C3780" t="n">
        <v>2</v>
      </c>
      <c r="D3780" t="inlineStr">
        <is>
          <t>Hub B</t>
        </is>
      </c>
      <c r="E3780" t="n">
        <v>71</v>
      </c>
      <c r="F3780" t="n">
        <v>19</v>
      </c>
    </row>
    <row r="3781">
      <c r="A3781" t="inlineStr">
        <is>
          <t>ORD03780</t>
        </is>
      </c>
      <c r="B3781" t="inlineStr">
        <is>
          <t>C1280</t>
        </is>
      </c>
      <c r="C3781" t="n">
        <v>3</v>
      </c>
      <c r="D3781" t="inlineStr">
        <is>
          <t>Hub B</t>
        </is>
      </c>
      <c r="E3781" t="n">
        <v>18</v>
      </c>
      <c r="F3781" t="n">
        <v>19</v>
      </c>
    </row>
    <row r="3782">
      <c r="A3782" t="inlineStr">
        <is>
          <t>ORD03781</t>
        </is>
      </c>
      <c r="B3782" t="inlineStr">
        <is>
          <t>C1281</t>
        </is>
      </c>
      <c r="C3782" t="n">
        <v>1</v>
      </c>
      <c r="D3782" t="inlineStr">
        <is>
          <t>Hub B</t>
        </is>
      </c>
      <c r="E3782" t="n">
        <v>25</v>
      </c>
      <c r="F3782" t="n">
        <v>19</v>
      </c>
    </row>
    <row r="3783">
      <c r="A3783" t="inlineStr">
        <is>
          <t>ORD03782</t>
        </is>
      </c>
      <c r="B3783" t="inlineStr">
        <is>
          <t>C1282</t>
        </is>
      </c>
      <c r="C3783" t="n">
        <v>2</v>
      </c>
      <c r="D3783" t="inlineStr">
        <is>
          <t>Hub B</t>
        </is>
      </c>
      <c r="E3783" t="n">
        <v>32</v>
      </c>
      <c r="F3783" t="n">
        <v>19</v>
      </c>
    </row>
    <row r="3784">
      <c r="A3784" t="inlineStr">
        <is>
          <t>ORD03783</t>
        </is>
      </c>
      <c r="B3784" t="inlineStr">
        <is>
          <t>C1283</t>
        </is>
      </c>
      <c r="C3784" t="n">
        <v>3</v>
      </c>
      <c r="D3784" t="inlineStr">
        <is>
          <t>Hub B</t>
        </is>
      </c>
      <c r="E3784" t="n">
        <v>39</v>
      </c>
      <c r="F3784" t="n">
        <v>19</v>
      </c>
    </row>
    <row r="3785">
      <c r="A3785" t="inlineStr">
        <is>
          <t>ORD03784</t>
        </is>
      </c>
      <c r="B3785" t="inlineStr">
        <is>
          <t>C1284</t>
        </is>
      </c>
      <c r="C3785" t="n">
        <v>1</v>
      </c>
      <c r="D3785" t="inlineStr">
        <is>
          <t>Hub B</t>
        </is>
      </c>
      <c r="E3785" t="n">
        <v>46</v>
      </c>
      <c r="F3785" t="n">
        <v>19</v>
      </c>
    </row>
    <row r="3786">
      <c r="A3786" t="inlineStr">
        <is>
          <t>ORD03785</t>
        </is>
      </c>
      <c r="B3786" t="inlineStr">
        <is>
          <t>C1285</t>
        </is>
      </c>
      <c r="C3786" t="n">
        <v>2</v>
      </c>
      <c r="D3786" t="inlineStr">
        <is>
          <t>Hub B</t>
        </is>
      </c>
      <c r="E3786" t="n">
        <v>53</v>
      </c>
      <c r="F3786" t="n">
        <v>19</v>
      </c>
    </row>
    <row r="3787">
      <c r="A3787" t="inlineStr">
        <is>
          <t>ORD03786</t>
        </is>
      </c>
      <c r="B3787" t="inlineStr">
        <is>
          <t>C1286</t>
        </is>
      </c>
      <c r="C3787" t="n">
        <v>3</v>
      </c>
      <c r="D3787" t="inlineStr">
        <is>
          <t>Hub B</t>
        </is>
      </c>
      <c r="E3787" t="n">
        <v>60</v>
      </c>
      <c r="F3787" t="n">
        <v>19</v>
      </c>
    </row>
    <row r="3788">
      <c r="A3788" t="inlineStr">
        <is>
          <t>ORD03787</t>
        </is>
      </c>
      <c r="B3788" t="inlineStr">
        <is>
          <t>C1287</t>
        </is>
      </c>
      <c r="C3788" t="n">
        <v>1</v>
      </c>
      <c r="D3788" t="inlineStr">
        <is>
          <t>Hub B</t>
        </is>
      </c>
      <c r="E3788" t="n">
        <v>67</v>
      </c>
      <c r="F3788" t="n">
        <v>19</v>
      </c>
    </row>
    <row r="3789">
      <c r="A3789" t="inlineStr">
        <is>
          <t>ORD03788</t>
        </is>
      </c>
      <c r="B3789" t="inlineStr">
        <is>
          <t>C1288</t>
        </is>
      </c>
      <c r="C3789" t="n">
        <v>2</v>
      </c>
      <c r="D3789" t="inlineStr">
        <is>
          <t>Hub B</t>
        </is>
      </c>
      <c r="E3789" t="n">
        <v>74</v>
      </c>
      <c r="F3789" t="n">
        <v>19</v>
      </c>
    </row>
    <row r="3790">
      <c r="A3790" t="inlineStr">
        <is>
          <t>ORD03789</t>
        </is>
      </c>
      <c r="B3790" t="inlineStr">
        <is>
          <t>C1289</t>
        </is>
      </c>
      <c r="C3790" t="n">
        <v>3</v>
      </c>
      <c r="D3790" t="inlineStr">
        <is>
          <t>Hub B</t>
        </is>
      </c>
      <c r="E3790" t="n">
        <v>21</v>
      </c>
      <c r="F3790" t="n">
        <v>19</v>
      </c>
    </row>
    <row r="3791">
      <c r="A3791" t="inlineStr">
        <is>
          <t>ORD03790</t>
        </is>
      </c>
      <c r="B3791" t="inlineStr">
        <is>
          <t>C1290</t>
        </is>
      </c>
      <c r="C3791" t="n">
        <v>1</v>
      </c>
      <c r="D3791" t="inlineStr">
        <is>
          <t>Hub B</t>
        </is>
      </c>
      <c r="E3791" t="n">
        <v>28</v>
      </c>
      <c r="F3791" t="n">
        <v>19</v>
      </c>
    </row>
    <row r="3792">
      <c r="A3792" t="inlineStr">
        <is>
          <t>ORD03791</t>
        </is>
      </c>
      <c r="B3792" t="inlineStr">
        <is>
          <t>C1291</t>
        </is>
      </c>
      <c r="C3792" t="n">
        <v>2</v>
      </c>
      <c r="D3792" t="inlineStr">
        <is>
          <t>Hub B</t>
        </is>
      </c>
      <c r="E3792" t="n">
        <v>35</v>
      </c>
      <c r="F3792" t="n">
        <v>19</v>
      </c>
    </row>
    <row r="3793">
      <c r="A3793" t="inlineStr">
        <is>
          <t>ORD03792</t>
        </is>
      </c>
      <c r="B3793" t="inlineStr">
        <is>
          <t>C1292</t>
        </is>
      </c>
      <c r="C3793" t="n">
        <v>3</v>
      </c>
      <c r="D3793" t="inlineStr">
        <is>
          <t>Hub B</t>
        </is>
      </c>
      <c r="E3793" t="n">
        <v>42</v>
      </c>
      <c r="F3793" t="n">
        <v>19</v>
      </c>
    </row>
    <row r="3794">
      <c r="A3794" t="inlineStr">
        <is>
          <t>ORD03793</t>
        </is>
      </c>
      <c r="B3794" t="inlineStr">
        <is>
          <t>C1293</t>
        </is>
      </c>
      <c r="C3794" t="n">
        <v>1</v>
      </c>
      <c r="D3794" t="inlineStr">
        <is>
          <t>Hub B</t>
        </is>
      </c>
      <c r="E3794" t="n">
        <v>49</v>
      </c>
      <c r="F3794" t="n">
        <v>19</v>
      </c>
    </row>
    <row r="3795">
      <c r="A3795" t="inlineStr">
        <is>
          <t>ORD03794</t>
        </is>
      </c>
      <c r="B3795" t="inlineStr">
        <is>
          <t>C1294</t>
        </is>
      </c>
      <c r="C3795" t="n">
        <v>2</v>
      </c>
      <c r="D3795" t="inlineStr">
        <is>
          <t>Hub B</t>
        </is>
      </c>
      <c r="E3795" t="n">
        <v>56</v>
      </c>
      <c r="F3795" t="n">
        <v>19</v>
      </c>
    </row>
    <row r="3796">
      <c r="A3796" t="inlineStr">
        <is>
          <t>ORD03795</t>
        </is>
      </c>
      <c r="B3796" t="inlineStr">
        <is>
          <t>C1295</t>
        </is>
      </c>
      <c r="C3796" t="n">
        <v>3</v>
      </c>
      <c r="D3796" t="inlineStr">
        <is>
          <t>Hub B</t>
        </is>
      </c>
      <c r="E3796" t="n">
        <v>63</v>
      </c>
      <c r="F3796" t="n">
        <v>19</v>
      </c>
    </row>
    <row r="3797">
      <c r="A3797" t="inlineStr">
        <is>
          <t>ORD03796</t>
        </is>
      </c>
      <c r="B3797" t="inlineStr">
        <is>
          <t>C1296</t>
        </is>
      </c>
      <c r="C3797" t="n">
        <v>1</v>
      </c>
      <c r="D3797" t="inlineStr">
        <is>
          <t>Hub B</t>
        </is>
      </c>
      <c r="E3797" t="n">
        <v>70</v>
      </c>
      <c r="F3797" t="n">
        <v>19</v>
      </c>
    </row>
    <row r="3798">
      <c r="A3798" t="inlineStr">
        <is>
          <t>ORD03797</t>
        </is>
      </c>
      <c r="B3798" t="inlineStr">
        <is>
          <t>C1297</t>
        </is>
      </c>
      <c r="C3798" t="n">
        <v>2</v>
      </c>
      <c r="D3798" t="inlineStr">
        <is>
          <t>Hub B</t>
        </is>
      </c>
      <c r="E3798" t="n">
        <v>77</v>
      </c>
      <c r="F3798" t="n">
        <v>19</v>
      </c>
    </row>
    <row r="3799">
      <c r="A3799" t="inlineStr">
        <is>
          <t>ORD03798</t>
        </is>
      </c>
      <c r="B3799" t="inlineStr">
        <is>
          <t>C1298</t>
        </is>
      </c>
      <c r="C3799" t="n">
        <v>3</v>
      </c>
      <c r="D3799" t="inlineStr">
        <is>
          <t>Hub B</t>
        </is>
      </c>
      <c r="E3799" t="n">
        <v>24</v>
      </c>
      <c r="F3799" t="n">
        <v>19</v>
      </c>
    </row>
    <row r="3800">
      <c r="A3800" t="inlineStr">
        <is>
          <t>ORD03799</t>
        </is>
      </c>
      <c r="B3800" t="inlineStr">
        <is>
          <t>C1299</t>
        </is>
      </c>
      <c r="C3800" t="n">
        <v>1</v>
      </c>
      <c r="D3800" t="inlineStr">
        <is>
          <t>Hub B</t>
        </is>
      </c>
      <c r="E3800" t="n">
        <v>31</v>
      </c>
      <c r="F3800" t="n">
        <v>19</v>
      </c>
    </row>
    <row r="3801">
      <c r="A3801" t="inlineStr">
        <is>
          <t>ORD03800</t>
        </is>
      </c>
      <c r="B3801" t="inlineStr">
        <is>
          <t>C1300</t>
        </is>
      </c>
      <c r="C3801" t="n">
        <v>2</v>
      </c>
      <c r="D3801" t="inlineStr">
        <is>
          <t>Hub B</t>
        </is>
      </c>
      <c r="E3801" t="n">
        <v>38</v>
      </c>
      <c r="F3801" t="n">
        <v>19</v>
      </c>
    </row>
    <row r="3802">
      <c r="A3802" t="inlineStr">
        <is>
          <t>ORD03801</t>
        </is>
      </c>
      <c r="B3802" t="inlineStr">
        <is>
          <t>C1301</t>
        </is>
      </c>
      <c r="C3802" t="n">
        <v>3</v>
      </c>
      <c r="D3802" t="inlineStr">
        <is>
          <t>Hub B</t>
        </is>
      </c>
      <c r="E3802" t="n">
        <v>45</v>
      </c>
      <c r="F3802" t="n">
        <v>19</v>
      </c>
    </row>
    <row r="3803">
      <c r="A3803" t="inlineStr">
        <is>
          <t>ORD03802</t>
        </is>
      </c>
      <c r="B3803" t="inlineStr">
        <is>
          <t>C1302</t>
        </is>
      </c>
      <c r="C3803" t="n">
        <v>1</v>
      </c>
      <c r="D3803" t="inlineStr">
        <is>
          <t>Hub B</t>
        </is>
      </c>
      <c r="E3803" t="n">
        <v>52</v>
      </c>
      <c r="F3803" t="n">
        <v>19</v>
      </c>
    </row>
    <row r="3804">
      <c r="A3804" t="inlineStr">
        <is>
          <t>ORD03803</t>
        </is>
      </c>
      <c r="B3804" t="inlineStr">
        <is>
          <t>C1303</t>
        </is>
      </c>
      <c r="C3804" t="n">
        <v>2</v>
      </c>
      <c r="D3804" t="inlineStr">
        <is>
          <t>Hub B</t>
        </is>
      </c>
      <c r="E3804" t="n">
        <v>59</v>
      </c>
      <c r="F3804" t="n">
        <v>19</v>
      </c>
    </row>
    <row r="3805">
      <c r="A3805" t="inlineStr">
        <is>
          <t>ORD03804</t>
        </is>
      </c>
      <c r="B3805" t="inlineStr">
        <is>
          <t>C1304</t>
        </is>
      </c>
      <c r="C3805" t="n">
        <v>3</v>
      </c>
      <c r="D3805" t="inlineStr">
        <is>
          <t>Hub B</t>
        </is>
      </c>
      <c r="E3805" t="n">
        <v>66</v>
      </c>
      <c r="F3805" t="n">
        <v>19</v>
      </c>
    </row>
    <row r="3806">
      <c r="A3806" t="inlineStr">
        <is>
          <t>ORD03805</t>
        </is>
      </c>
      <c r="B3806" t="inlineStr">
        <is>
          <t>C1305</t>
        </is>
      </c>
      <c r="C3806" t="n">
        <v>1</v>
      </c>
      <c r="D3806" t="inlineStr">
        <is>
          <t>Hub B</t>
        </is>
      </c>
      <c r="E3806" t="n">
        <v>73</v>
      </c>
      <c r="F3806" t="n">
        <v>19</v>
      </c>
    </row>
    <row r="3807">
      <c r="A3807" t="inlineStr">
        <is>
          <t>ORD03806</t>
        </is>
      </c>
      <c r="B3807" t="inlineStr">
        <is>
          <t>C1306</t>
        </is>
      </c>
      <c r="C3807" t="n">
        <v>2</v>
      </c>
      <c r="D3807" t="inlineStr">
        <is>
          <t>Hub B</t>
        </is>
      </c>
      <c r="E3807" t="n">
        <v>20</v>
      </c>
      <c r="F3807" t="n">
        <v>19</v>
      </c>
    </row>
    <row r="3808">
      <c r="A3808" t="inlineStr">
        <is>
          <t>ORD03807</t>
        </is>
      </c>
      <c r="B3808" t="inlineStr">
        <is>
          <t>C1307</t>
        </is>
      </c>
      <c r="C3808" t="n">
        <v>3</v>
      </c>
      <c r="D3808" t="inlineStr">
        <is>
          <t>Hub B</t>
        </is>
      </c>
      <c r="E3808" t="n">
        <v>27</v>
      </c>
      <c r="F3808" t="n">
        <v>19</v>
      </c>
    </row>
    <row r="3809">
      <c r="A3809" t="inlineStr">
        <is>
          <t>ORD03808</t>
        </is>
      </c>
      <c r="B3809" t="inlineStr">
        <is>
          <t>C1308</t>
        </is>
      </c>
      <c r="C3809" t="n">
        <v>1</v>
      </c>
      <c r="D3809" t="inlineStr">
        <is>
          <t>Hub B</t>
        </is>
      </c>
      <c r="E3809" t="n">
        <v>34</v>
      </c>
      <c r="F3809" t="n">
        <v>19</v>
      </c>
    </row>
    <row r="3810">
      <c r="A3810" t="inlineStr">
        <is>
          <t>ORD03809</t>
        </is>
      </c>
      <c r="B3810" t="inlineStr">
        <is>
          <t>C1309</t>
        </is>
      </c>
      <c r="C3810" t="n">
        <v>2</v>
      </c>
      <c r="D3810" t="inlineStr">
        <is>
          <t>Hub B</t>
        </is>
      </c>
      <c r="E3810" t="n">
        <v>41</v>
      </c>
      <c r="F3810" t="n">
        <v>19</v>
      </c>
    </row>
    <row r="3811">
      <c r="A3811" t="inlineStr">
        <is>
          <t>ORD03810</t>
        </is>
      </c>
      <c r="B3811" t="inlineStr">
        <is>
          <t>C1310</t>
        </is>
      </c>
      <c r="C3811" t="n">
        <v>3</v>
      </c>
      <c r="D3811" t="inlineStr">
        <is>
          <t>Hub B</t>
        </is>
      </c>
      <c r="E3811" t="n">
        <v>48</v>
      </c>
      <c r="F3811" t="n">
        <v>19</v>
      </c>
    </row>
    <row r="3812">
      <c r="A3812" t="inlineStr">
        <is>
          <t>ORD03811</t>
        </is>
      </c>
      <c r="B3812" t="inlineStr">
        <is>
          <t>C1311</t>
        </is>
      </c>
      <c r="C3812" t="n">
        <v>1</v>
      </c>
      <c r="D3812" t="inlineStr">
        <is>
          <t>Hub B</t>
        </is>
      </c>
      <c r="E3812" t="n">
        <v>55</v>
      </c>
      <c r="F3812" t="n">
        <v>19</v>
      </c>
    </row>
    <row r="3813">
      <c r="A3813" t="inlineStr">
        <is>
          <t>ORD03812</t>
        </is>
      </c>
      <c r="B3813" t="inlineStr">
        <is>
          <t>C1312</t>
        </is>
      </c>
      <c r="C3813" t="n">
        <v>2</v>
      </c>
      <c r="D3813" t="inlineStr">
        <is>
          <t>Hub B</t>
        </is>
      </c>
      <c r="E3813" t="n">
        <v>62</v>
      </c>
      <c r="F3813" t="n">
        <v>19</v>
      </c>
    </row>
    <row r="3814">
      <c r="A3814" t="inlineStr">
        <is>
          <t>ORD03813</t>
        </is>
      </c>
      <c r="B3814" t="inlineStr">
        <is>
          <t>C1313</t>
        </is>
      </c>
      <c r="C3814" t="n">
        <v>3</v>
      </c>
      <c r="D3814" t="inlineStr">
        <is>
          <t>Hub B</t>
        </is>
      </c>
      <c r="E3814" t="n">
        <v>69</v>
      </c>
      <c r="F3814" t="n">
        <v>19</v>
      </c>
    </row>
    <row r="3815">
      <c r="A3815" t="inlineStr">
        <is>
          <t>ORD03814</t>
        </is>
      </c>
      <c r="B3815" t="inlineStr">
        <is>
          <t>C1314</t>
        </is>
      </c>
      <c r="C3815" t="n">
        <v>1</v>
      </c>
      <c r="D3815" t="inlineStr">
        <is>
          <t>Hub B</t>
        </is>
      </c>
      <c r="E3815" t="n">
        <v>76</v>
      </c>
      <c r="F3815" t="n">
        <v>19</v>
      </c>
    </row>
    <row r="3816">
      <c r="A3816" t="inlineStr">
        <is>
          <t>ORD03815</t>
        </is>
      </c>
      <c r="B3816" t="inlineStr">
        <is>
          <t>C1315</t>
        </is>
      </c>
      <c r="C3816" t="n">
        <v>2</v>
      </c>
      <c r="D3816" t="inlineStr">
        <is>
          <t>Hub B</t>
        </is>
      </c>
      <c r="E3816" t="n">
        <v>23</v>
      </c>
      <c r="F3816" t="n">
        <v>19</v>
      </c>
    </row>
    <row r="3817">
      <c r="A3817" t="inlineStr">
        <is>
          <t>ORD03816</t>
        </is>
      </c>
      <c r="B3817" t="inlineStr">
        <is>
          <t>C1316</t>
        </is>
      </c>
      <c r="C3817" t="n">
        <v>3</v>
      </c>
      <c r="D3817" t="inlineStr">
        <is>
          <t>Hub B</t>
        </is>
      </c>
      <c r="E3817" t="n">
        <v>30</v>
      </c>
      <c r="F3817" t="n">
        <v>19</v>
      </c>
    </row>
    <row r="3818">
      <c r="A3818" t="inlineStr">
        <is>
          <t>ORD03817</t>
        </is>
      </c>
      <c r="B3818" t="inlineStr">
        <is>
          <t>C1317</t>
        </is>
      </c>
      <c r="C3818" t="n">
        <v>1</v>
      </c>
      <c r="D3818" t="inlineStr">
        <is>
          <t>Hub B</t>
        </is>
      </c>
      <c r="E3818" t="n">
        <v>37</v>
      </c>
      <c r="F3818" t="n">
        <v>19</v>
      </c>
    </row>
    <row r="3819">
      <c r="A3819" t="inlineStr">
        <is>
          <t>ORD03818</t>
        </is>
      </c>
      <c r="B3819" t="inlineStr">
        <is>
          <t>C1318</t>
        </is>
      </c>
      <c r="C3819" t="n">
        <v>2</v>
      </c>
      <c r="D3819" t="inlineStr">
        <is>
          <t>Hub B</t>
        </is>
      </c>
      <c r="E3819" t="n">
        <v>44</v>
      </c>
      <c r="F3819" t="n">
        <v>19</v>
      </c>
    </row>
    <row r="3820">
      <c r="A3820" t="inlineStr">
        <is>
          <t>ORD03819</t>
        </is>
      </c>
      <c r="B3820" t="inlineStr">
        <is>
          <t>C1319</t>
        </is>
      </c>
      <c r="C3820" t="n">
        <v>3</v>
      </c>
      <c r="D3820" t="inlineStr">
        <is>
          <t>Hub B</t>
        </is>
      </c>
      <c r="E3820" t="n">
        <v>51</v>
      </c>
      <c r="F3820" t="n">
        <v>19</v>
      </c>
    </row>
    <row r="3821">
      <c r="A3821" t="inlineStr">
        <is>
          <t>ORD03820</t>
        </is>
      </c>
      <c r="B3821" t="inlineStr">
        <is>
          <t>C1320</t>
        </is>
      </c>
      <c r="C3821" t="n">
        <v>1</v>
      </c>
      <c r="D3821" t="inlineStr">
        <is>
          <t>Hub B</t>
        </is>
      </c>
      <c r="E3821" t="n">
        <v>58</v>
      </c>
      <c r="F3821" t="n">
        <v>19</v>
      </c>
    </row>
    <row r="3822">
      <c r="A3822" t="inlineStr">
        <is>
          <t>ORD03821</t>
        </is>
      </c>
      <c r="B3822" t="inlineStr">
        <is>
          <t>C1321</t>
        </is>
      </c>
      <c r="C3822" t="n">
        <v>2</v>
      </c>
      <c r="D3822" t="inlineStr">
        <is>
          <t>Hub B</t>
        </is>
      </c>
      <c r="E3822" t="n">
        <v>65</v>
      </c>
      <c r="F3822" t="n">
        <v>19</v>
      </c>
    </row>
    <row r="3823">
      <c r="A3823" t="inlineStr">
        <is>
          <t>ORD03822</t>
        </is>
      </c>
      <c r="B3823" t="inlineStr">
        <is>
          <t>C1322</t>
        </is>
      </c>
      <c r="C3823" t="n">
        <v>3</v>
      </c>
      <c r="D3823" t="inlineStr">
        <is>
          <t>Hub B</t>
        </is>
      </c>
      <c r="E3823" t="n">
        <v>72</v>
      </c>
      <c r="F3823" t="n">
        <v>19</v>
      </c>
    </row>
    <row r="3824">
      <c r="A3824" t="inlineStr">
        <is>
          <t>ORD03823</t>
        </is>
      </c>
      <c r="B3824" t="inlineStr">
        <is>
          <t>C1323</t>
        </is>
      </c>
      <c r="C3824" t="n">
        <v>1</v>
      </c>
      <c r="D3824" t="inlineStr">
        <is>
          <t>Hub B</t>
        </is>
      </c>
      <c r="E3824" t="n">
        <v>19</v>
      </c>
      <c r="F3824" t="n">
        <v>19</v>
      </c>
    </row>
    <row r="3825">
      <c r="A3825" t="inlineStr">
        <is>
          <t>ORD03824</t>
        </is>
      </c>
      <c r="B3825" t="inlineStr">
        <is>
          <t>C1324</t>
        </is>
      </c>
      <c r="C3825" t="n">
        <v>2</v>
      </c>
      <c r="D3825" t="inlineStr">
        <is>
          <t>Hub B</t>
        </is>
      </c>
      <c r="E3825" t="n">
        <v>26</v>
      </c>
      <c r="F3825" t="n">
        <v>19</v>
      </c>
    </row>
    <row r="3826">
      <c r="A3826" t="inlineStr">
        <is>
          <t>ORD03825</t>
        </is>
      </c>
      <c r="B3826" t="inlineStr">
        <is>
          <t>C1325</t>
        </is>
      </c>
      <c r="C3826" t="n">
        <v>3</v>
      </c>
      <c r="D3826" t="inlineStr">
        <is>
          <t>Hub B</t>
        </is>
      </c>
      <c r="E3826" t="n">
        <v>33</v>
      </c>
      <c r="F3826" t="n">
        <v>19</v>
      </c>
    </row>
    <row r="3827">
      <c r="A3827" t="inlineStr">
        <is>
          <t>ORD03826</t>
        </is>
      </c>
      <c r="B3827" t="inlineStr">
        <is>
          <t>C1326</t>
        </is>
      </c>
      <c r="C3827" t="n">
        <v>1</v>
      </c>
      <c r="D3827" t="inlineStr">
        <is>
          <t>Hub B</t>
        </is>
      </c>
      <c r="E3827" t="n">
        <v>40</v>
      </c>
      <c r="F3827" t="n">
        <v>19</v>
      </c>
    </row>
    <row r="3828">
      <c r="A3828" t="inlineStr">
        <is>
          <t>ORD03827</t>
        </is>
      </c>
      <c r="B3828" t="inlineStr">
        <is>
          <t>C1327</t>
        </is>
      </c>
      <c r="C3828" t="n">
        <v>2</v>
      </c>
      <c r="D3828" t="inlineStr">
        <is>
          <t>Hub B</t>
        </is>
      </c>
      <c r="E3828" t="n">
        <v>47</v>
      </c>
      <c r="F3828" t="n">
        <v>19</v>
      </c>
    </row>
    <row r="3829">
      <c r="A3829" t="inlineStr">
        <is>
          <t>ORD03828</t>
        </is>
      </c>
      <c r="B3829" t="inlineStr">
        <is>
          <t>C1328</t>
        </is>
      </c>
      <c r="C3829" t="n">
        <v>3</v>
      </c>
      <c r="D3829" t="inlineStr">
        <is>
          <t>Hub B</t>
        </is>
      </c>
      <c r="E3829" t="n">
        <v>54</v>
      </c>
      <c r="F3829" t="n">
        <v>19</v>
      </c>
    </row>
    <row r="3830">
      <c r="A3830" t="inlineStr">
        <is>
          <t>ORD03829</t>
        </is>
      </c>
      <c r="B3830" t="inlineStr">
        <is>
          <t>C1329</t>
        </is>
      </c>
      <c r="C3830" t="n">
        <v>1</v>
      </c>
      <c r="D3830" t="inlineStr">
        <is>
          <t>Hub B</t>
        </is>
      </c>
      <c r="E3830" t="n">
        <v>61</v>
      </c>
      <c r="F3830" t="n">
        <v>19</v>
      </c>
    </row>
    <row r="3831">
      <c r="A3831" t="inlineStr">
        <is>
          <t>ORD03830</t>
        </is>
      </c>
      <c r="B3831" t="inlineStr">
        <is>
          <t>C1330</t>
        </is>
      </c>
      <c r="C3831" t="n">
        <v>2</v>
      </c>
      <c r="D3831" t="inlineStr">
        <is>
          <t>Hub B</t>
        </is>
      </c>
      <c r="E3831" t="n">
        <v>68</v>
      </c>
      <c r="F3831" t="n">
        <v>19</v>
      </c>
    </row>
    <row r="3832">
      <c r="A3832" t="inlineStr">
        <is>
          <t>ORD03831</t>
        </is>
      </c>
      <c r="B3832" t="inlineStr">
        <is>
          <t>C1331</t>
        </is>
      </c>
      <c r="C3832" t="n">
        <v>3</v>
      </c>
      <c r="D3832" t="inlineStr">
        <is>
          <t>Hub B</t>
        </is>
      </c>
      <c r="E3832" t="n">
        <v>75</v>
      </c>
      <c r="F3832" t="n">
        <v>19</v>
      </c>
    </row>
    <row r="3833">
      <c r="A3833" t="inlineStr">
        <is>
          <t>ORD03832</t>
        </is>
      </c>
      <c r="B3833" t="inlineStr">
        <is>
          <t>C1332</t>
        </is>
      </c>
      <c r="C3833" t="n">
        <v>1</v>
      </c>
      <c r="D3833" t="inlineStr">
        <is>
          <t>Hub B</t>
        </is>
      </c>
      <c r="E3833" t="n">
        <v>22</v>
      </c>
      <c r="F3833" t="n">
        <v>19</v>
      </c>
    </row>
    <row r="3834">
      <c r="A3834" t="inlineStr">
        <is>
          <t>ORD03833</t>
        </is>
      </c>
      <c r="B3834" t="inlineStr">
        <is>
          <t>C1333</t>
        </is>
      </c>
      <c r="C3834" t="n">
        <v>2</v>
      </c>
      <c r="D3834" t="inlineStr">
        <is>
          <t>Hub B</t>
        </is>
      </c>
      <c r="E3834" t="n">
        <v>29</v>
      </c>
      <c r="F3834" t="n">
        <v>19</v>
      </c>
    </row>
    <row r="3835">
      <c r="A3835" t="inlineStr">
        <is>
          <t>ORD03834</t>
        </is>
      </c>
      <c r="B3835" t="inlineStr">
        <is>
          <t>C1334</t>
        </is>
      </c>
      <c r="C3835" t="n">
        <v>3</v>
      </c>
      <c r="D3835" t="inlineStr">
        <is>
          <t>Hub B</t>
        </is>
      </c>
      <c r="E3835" t="n">
        <v>36</v>
      </c>
      <c r="F3835" t="n">
        <v>19</v>
      </c>
    </row>
    <row r="3836">
      <c r="A3836" t="inlineStr">
        <is>
          <t>ORD03835</t>
        </is>
      </c>
      <c r="B3836" t="inlineStr">
        <is>
          <t>C1335</t>
        </is>
      </c>
      <c r="C3836" t="n">
        <v>1</v>
      </c>
      <c r="D3836" t="inlineStr">
        <is>
          <t>Hub B</t>
        </is>
      </c>
      <c r="E3836" t="n">
        <v>43</v>
      </c>
      <c r="F3836" t="n">
        <v>19</v>
      </c>
    </row>
    <row r="3837">
      <c r="A3837" t="inlineStr">
        <is>
          <t>ORD03836</t>
        </is>
      </c>
      <c r="B3837" t="inlineStr">
        <is>
          <t>C1336</t>
        </is>
      </c>
      <c r="C3837" t="n">
        <v>2</v>
      </c>
      <c r="D3837" t="inlineStr">
        <is>
          <t>Hub B</t>
        </is>
      </c>
      <c r="E3837" t="n">
        <v>50</v>
      </c>
      <c r="F3837" t="n">
        <v>19</v>
      </c>
    </row>
    <row r="3838">
      <c r="A3838" t="inlineStr">
        <is>
          <t>ORD03837</t>
        </is>
      </c>
      <c r="B3838" t="inlineStr">
        <is>
          <t>C1337</t>
        </is>
      </c>
      <c r="C3838" t="n">
        <v>3</v>
      </c>
      <c r="D3838" t="inlineStr">
        <is>
          <t>Hub B</t>
        </is>
      </c>
      <c r="E3838" t="n">
        <v>57</v>
      </c>
      <c r="F3838" t="n">
        <v>19</v>
      </c>
    </row>
    <row r="3839">
      <c r="A3839" t="inlineStr">
        <is>
          <t>ORD03838</t>
        </is>
      </c>
      <c r="B3839" t="inlineStr">
        <is>
          <t>C1338</t>
        </is>
      </c>
      <c r="C3839" t="n">
        <v>1</v>
      </c>
      <c r="D3839" t="inlineStr">
        <is>
          <t>Hub B</t>
        </is>
      </c>
      <c r="E3839" t="n">
        <v>64</v>
      </c>
      <c r="F3839" t="n">
        <v>19</v>
      </c>
    </row>
    <row r="3840">
      <c r="A3840" t="inlineStr">
        <is>
          <t>ORD03839</t>
        </is>
      </c>
      <c r="B3840" t="inlineStr">
        <is>
          <t>C1339</t>
        </is>
      </c>
      <c r="C3840" t="n">
        <v>2</v>
      </c>
      <c r="D3840" t="inlineStr">
        <is>
          <t>Hub B</t>
        </is>
      </c>
      <c r="E3840" t="n">
        <v>71</v>
      </c>
      <c r="F3840" t="n">
        <v>19</v>
      </c>
    </row>
    <row r="3841">
      <c r="A3841" t="inlineStr">
        <is>
          <t>ORD03840</t>
        </is>
      </c>
      <c r="B3841" t="inlineStr">
        <is>
          <t>C1340</t>
        </is>
      </c>
      <c r="C3841" t="n">
        <v>3</v>
      </c>
      <c r="D3841" t="inlineStr">
        <is>
          <t>Hub B</t>
        </is>
      </c>
      <c r="E3841" t="n">
        <v>18</v>
      </c>
      <c r="F3841" t="n">
        <v>19</v>
      </c>
    </row>
    <row r="3842">
      <c r="A3842" t="inlineStr">
        <is>
          <t>ORD03841</t>
        </is>
      </c>
      <c r="B3842" t="inlineStr">
        <is>
          <t>C1341</t>
        </is>
      </c>
      <c r="C3842" t="n">
        <v>1</v>
      </c>
      <c r="D3842" t="inlineStr">
        <is>
          <t>Hub B</t>
        </is>
      </c>
      <c r="E3842" t="n">
        <v>25</v>
      </c>
      <c r="F3842" t="n">
        <v>19</v>
      </c>
    </row>
    <row r="3843">
      <c r="A3843" t="inlineStr">
        <is>
          <t>ORD03842</t>
        </is>
      </c>
      <c r="B3843" t="inlineStr">
        <is>
          <t>C1342</t>
        </is>
      </c>
      <c r="C3843" t="n">
        <v>2</v>
      </c>
      <c r="D3843" t="inlineStr">
        <is>
          <t>Hub B</t>
        </is>
      </c>
      <c r="E3843" t="n">
        <v>32</v>
      </c>
      <c r="F3843" t="n">
        <v>19</v>
      </c>
    </row>
    <row r="3844">
      <c r="A3844" t="inlineStr">
        <is>
          <t>ORD03843</t>
        </is>
      </c>
      <c r="B3844" t="inlineStr">
        <is>
          <t>C1343</t>
        </is>
      </c>
      <c r="C3844" t="n">
        <v>3</v>
      </c>
      <c r="D3844" t="inlineStr">
        <is>
          <t>Hub B</t>
        </is>
      </c>
      <c r="E3844" t="n">
        <v>39</v>
      </c>
      <c r="F3844" t="n">
        <v>19</v>
      </c>
    </row>
    <row r="3845">
      <c r="A3845" t="inlineStr">
        <is>
          <t>ORD03844</t>
        </is>
      </c>
      <c r="B3845" t="inlineStr">
        <is>
          <t>C1344</t>
        </is>
      </c>
      <c r="C3845" t="n">
        <v>1</v>
      </c>
      <c r="D3845" t="inlineStr">
        <is>
          <t>Hub B</t>
        </is>
      </c>
      <c r="E3845" t="n">
        <v>46</v>
      </c>
      <c r="F3845" t="n">
        <v>19</v>
      </c>
    </row>
    <row r="3846">
      <c r="A3846" t="inlineStr">
        <is>
          <t>ORD03845</t>
        </is>
      </c>
      <c r="B3846" t="inlineStr">
        <is>
          <t>C1345</t>
        </is>
      </c>
      <c r="C3846" t="n">
        <v>2</v>
      </c>
      <c r="D3846" t="inlineStr">
        <is>
          <t>Hub B</t>
        </is>
      </c>
      <c r="E3846" t="n">
        <v>53</v>
      </c>
      <c r="F3846" t="n">
        <v>19</v>
      </c>
    </row>
    <row r="3847">
      <c r="A3847" t="inlineStr">
        <is>
          <t>ORD03846</t>
        </is>
      </c>
      <c r="B3847" t="inlineStr">
        <is>
          <t>C1346</t>
        </is>
      </c>
      <c r="C3847" t="n">
        <v>3</v>
      </c>
      <c r="D3847" t="inlineStr">
        <is>
          <t>Hub B</t>
        </is>
      </c>
      <c r="E3847" t="n">
        <v>60</v>
      </c>
      <c r="F3847" t="n">
        <v>19</v>
      </c>
    </row>
    <row r="3848">
      <c r="A3848" t="inlineStr">
        <is>
          <t>ORD03847</t>
        </is>
      </c>
      <c r="B3848" t="inlineStr">
        <is>
          <t>C1347</t>
        </is>
      </c>
      <c r="C3848" t="n">
        <v>1</v>
      </c>
      <c r="D3848" t="inlineStr">
        <is>
          <t>Hub B</t>
        </is>
      </c>
      <c r="E3848" t="n">
        <v>67</v>
      </c>
      <c r="F3848" t="n">
        <v>19</v>
      </c>
    </row>
    <row r="3849">
      <c r="A3849" t="inlineStr">
        <is>
          <t>ORD03848</t>
        </is>
      </c>
      <c r="B3849" t="inlineStr">
        <is>
          <t>C1348</t>
        </is>
      </c>
      <c r="C3849" t="n">
        <v>2</v>
      </c>
      <c r="D3849" t="inlineStr">
        <is>
          <t>Hub B</t>
        </is>
      </c>
      <c r="E3849" t="n">
        <v>74</v>
      </c>
      <c r="F3849" t="n">
        <v>19</v>
      </c>
    </row>
    <row r="3850">
      <c r="A3850" t="inlineStr">
        <is>
          <t>ORD03849</t>
        </is>
      </c>
      <c r="B3850" t="inlineStr">
        <is>
          <t>C1349</t>
        </is>
      </c>
      <c r="C3850" t="n">
        <v>3</v>
      </c>
      <c r="D3850" t="inlineStr">
        <is>
          <t>Hub B</t>
        </is>
      </c>
      <c r="E3850" t="n">
        <v>21</v>
      </c>
      <c r="F3850" t="n">
        <v>19</v>
      </c>
    </row>
    <row r="3851">
      <c r="A3851" t="inlineStr">
        <is>
          <t>ORD03850</t>
        </is>
      </c>
      <c r="B3851" t="inlineStr">
        <is>
          <t>C1350</t>
        </is>
      </c>
      <c r="C3851" t="n">
        <v>1</v>
      </c>
      <c r="D3851" t="inlineStr">
        <is>
          <t>Hub B</t>
        </is>
      </c>
      <c r="E3851" t="n">
        <v>28</v>
      </c>
      <c r="F3851" t="n">
        <v>19</v>
      </c>
    </row>
    <row r="3852">
      <c r="A3852" t="inlineStr">
        <is>
          <t>ORD03851</t>
        </is>
      </c>
      <c r="B3852" t="inlineStr">
        <is>
          <t>C1351</t>
        </is>
      </c>
      <c r="C3852" t="n">
        <v>2</v>
      </c>
      <c r="D3852" t="inlineStr">
        <is>
          <t>Hub B</t>
        </is>
      </c>
      <c r="E3852" t="n">
        <v>35</v>
      </c>
      <c r="F3852" t="n">
        <v>19</v>
      </c>
    </row>
    <row r="3853">
      <c r="A3853" t="inlineStr">
        <is>
          <t>ORD03852</t>
        </is>
      </c>
      <c r="B3853" t="inlineStr">
        <is>
          <t>C1352</t>
        </is>
      </c>
      <c r="C3853" t="n">
        <v>3</v>
      </c>
      <c r="D3853" t="inlineStr">
        <is>
          <t>Hub B</t>
        </is>
      </c>
      <c r="E3853" t="n">
        <v>42</v>
      </c>
      <c r="F3853" t="n">
        <v>19</v>
      </c>
    </row>
    <row r="3854">
      <c r="A3854" t="inlineStr">
        <is>
          <t>ORD03853</t>
        </is>
      </c>
      <c r="B3854" t="inlineStr">
        <is>
          <t>C1353</t>
        </is>
      </c>
      <c r="C3854" t="n">
        <v>1</v>
      </c>
      <c r="D3854" t="inlineStr">
        <is>
          <t>Hub B</t>
        </is>
      </c>
      <c r="E3854" t="n">
        <v>49</v>
      </c>
      <c r="F3854" t="n">
        <v>19</v>
      </c>
    </row>
    <row r="3855">
      <c r="A3855" t="inlineStr">
        <is>
          <t>ORD03854</t>
        </is>
      </c>
      <c r="B3855" t="inlineStr">
        <is>
          <t>C1354</t>
        </is>
      </c>
      <c r="C3855" t="n">
        <v>2</v>
      </c>
      <c r="D3855" t="inlineStr">
        <is>
          <t>Hub B</t>
        </is>
      </c>
      <c r="E3855" t="n">
        <v>56</v>
      </c>
      <c r="F3855" t="n">
        <v>19</v>
      </c>
    </row>
    <row r="3856">
      <c r="A3856" t="inlineStr">
        <is>
          <t>ORD03855</t>
        </is>
      </c>
      <c r="B3856" t="inlineStr">
        <is>
          <t>C1355</t>
        </is>
      </c>
      <c r="C3856" t="n">
        <v>3</v>
      </c>
      <c r="D3856" t="inlineStr">
        <is>
          <t>Hub B</t>
        </is>
      </c>
      <c r="E3856" t="n">
        <v>63</v>
      </c>
      <c r="F3856" t="n">
        <v>19</v>
      </c>
    </row>
    <row r="3857">
      <c r="A3857" t="inlineStr">
        <is>
          <t>ORD03856</t>
        </is>
      </c>
      <c r="B3857" t="inlineStr">
        <is>
          <t>C1356</t>
        </is>
      </c>
      <c r="C3857" t="n">
        <v>1</v>
      </c>
      <c r="D3857" t="inlineStr">
        <is>
          <t>Hub B</t>
        </is>
      </c>
      <c r="E3857" t="n">
        <v>70</v>
      </c>
      <c r="F3857" t="n">
        <v>19</v>
      </c>
    </row>
    <row r="3858">
      <c r="A3858" t="inlineStr">
        <is>
          <t>ORD03857</t>
        </is>
      </c>
      <c r="B3858" t="inlineStr">
        <is>
          <t>C1357</t>
        </is>
      </c>
      <c r="C3858" t="n">
        <v>2</v>
      </c>
      <c r="D3858" t="inlineStr">
        <is>
          <t>Hub B</t>
        </is>
      </c>
      <c r="E3858" t="n">
        <v>77</v>
      </c>
      <c r="F3858" t="n">
        <v>19</v>
      </c>
    </row>
    <row r="3859">
      <c r="A3859" t="inlineStr">
        <is>
          <t>ORD03858</t>
        </is>
      </c>
      <c r="B3859" t="inlineStr">
        <is>
          <t>C1358</t>
        </is>
      </c>
      <c r="C3859" t="n">
        <v>3</v>
      </c>
      <c r="D3859" t="inlineStr">
        <is>
          <t>Hub B</t>
        </is>
      </c>
      <c r="E3859" t="n">
        <v>24</v>
      </c>
      <c r="F3859" t="n">
        <v>19</v>
      </c>
    </row>
    <row r="3860">
      <c r="A3860" t="inlineStr">
        <is>
          <t>ORD03859</t>
        </is>
      </c>
      <c r="B3860" t="inlineStr">
        <is>
          <t>C1359</t>
        </is>
      </c>
      <c r="C3860" t="n">
        <v>1</v>
      </c>
      <c r="D3860" t="inlineStr">
        <is>
          <t>Hub B</t>
        </is>
      </c>
      <c r="E3860" t="n">
        <v>31</v>
      </c>
      <c r="F3860" t="n">
        <v>19</v>
      </c>
    </row>
    <row r="3861">
      <c r="A3861" t="inlineStr">
        <is>
          <t>ORD03860</t>
        </is>
      </c>
      <c r="B3861" t="inlineStr">
        <is>
          <t>C1360</t>
        </is>
      </c>
      <c r="C3861" t="n">
        <v>2</v>
      </c>
      <c r="D3861" t="inlineStr">
        <is>
          <t>Hub B</t>
        </is>
      </c>
      <c r="E3861" t="n">
        <v>38</v>
      </c>
      <c r="F3861" t="n">
        <v>19</v>
      </c>
    </row>
    <row r="3862">
      <c r="A3862" t="inlineStr">
        <is>
          <t>ORD03861</t>
        </is>
      </c>
      <c r="B3862" t="inlineStr">
        <is>
          <t>C1361</t>
        </is>
      </c>
      <c r="C3862" t="n">
        <v>3</v>
      </c>
      <c r="D3862" t="inlineStr">
        <is>
          <t>Hub B</t>
        </is>
      </c>
      <c r="E3862" t="n">
        <v>45</v>
      </c>
      <c r="F3862" t="n">
        <v>19</v>
      </c>
    </row>
    <row r="3863">
      <c r="A3863" t="inlineStr">
        <is>
          <t>ORD03862</t>
        </is>
      </c>
      <c r="B3863" t="inlineStr">
        <is>
          <t>C1362</t>
        </is>
      </c>
      <c r="C3863" t="n">
        <v>1</v>
      </c>
      <c r="D3863" t="inlineStr">
        <is>
          <t>Hub B</t>
        </is>
      </c>
      <c r="E3863" t="n">
        <v>52</v>
      </c>
      <c r="F3863" t="n">
        <v>19</v>
      </c>
    </row>
    <row r="3864">
      <c r="A3864" t="inlineStr">
        <is>
          <t>ORD03863</t>
        </is>
      </c>
      <c r="B3864" t="inlineStr">
        <is>
          <t>C1363</t>
        </is>
      </c>
      <c r="C3864" t="n">
        <v>2</v>
      </c>
      <c r="D3864" t="inlineStr">
        <is>
          <t>Hub B</t>
        </is>
      </c>
      <c r="E3864" t="n">
        <v>59</v>
      </c>
      <c r="F3864" t="n">
        <v>19</v>
      </c>
    </row>
    <row r="3865">
      <c r="A3865" t="inlineStr">
        <is>
          <t>ORD03864</t>
        </is>
      </c>
      <c r="B3865" t="inlineStr">
        <is>
          <t>C1364</t>
        </is>
      </c>
      <c r="C3865" t="n">
        <v>3</v>
      </c>
      <c r="D3865" t="inlineStr">
        <is>
          <t>Hub B</t>
        </is>
      </c>
      <c r="E3865" t="n">
        <v>66</v>
      </c>
      <c r="F3865" t="n">
        <v>19</v>
      </c>
    </row>
    <row r="3866">
      <c r="A3866" t="inlineStr">
        <is>
          <t>ORD03865</t>
        </is>
      </c>
      <c r="B3866" t="inlineStr">
        <is>
          <t>C1365</t>
        </is>
      </c>
      <c r="C3866" t="n">
        <v>1</v>
      </c>
      <c r="D3866" t="inlineStr">
        <is>
          <t>Hub B</t>
        </is>
      </c>
      <c r="E3866" t="n">
        <v>73</v>
      </c>
      <c r="F3866" t="n">
        <v>19</v>
      </c>
    </row>
    <row r="3867">
      <c r="A3867" t="inlineStr">
        <is>
          <t>ORD03866</t>
        </is>
      </c>
      <c r="B3867" t="inlineStr">
        <is>
          <t>C1366</t>
        </is>
      </c>
      <c r="C3867" t="n">
        <v>2</v>
      </c>
      <c r="D3867" t="inlineStr">
        <is>
          <t>Hub B</t>
        </is>
      </c>
      <c r="E3867" t="n">
        <v>20</v>
      </c>
      <c r="F3867" t="n">
        <v>19</v>
      </c>
    </row>
    <row r="3868">
      <c r="A3868" t="inlineStr">
        <is>
          <t>ORD03867</t>
        </is>
      </c>
      <c r="B3868" t="inlineStr">
        <is>
          <t>C1367</t>
        </is>
      </c>
      <c r="C3868" t="n">
        <v>3</v>
      </c>
      <c r="D3868" t="inlineStr">
        <is>
          <t>Hub B</t>
        </is>
      </c>
      <c r="E3868" t="n">
        <v>27</v>
      </c>
      <c r="F3868" t="n">
        <v>19</v>
      </c>
    </row>
    <row r="3869">
      <c r="A3869" t="inlineStr">
        <is>
          <t>ORD03868</t>
        </is>
      </c>
      <c r="B3869" t="inlineStr">
        <is>
          <t>C1368</t>
        </is>
      </c>
      <c r="C3869" t="n">
        <v>1</v>
      </c>
      <c r="D3869" t="inlineStr">
        <is>
          <t>Hub B</t>
        </is>
      </c>
      <c r="E3869" t="n">
        <v>34</v>
      </c>
      <c r="F3869" t="n">
        <v>19</v>
      </c>
    </row>
    <row r="3870">
      <c r="A3870" t="inlineStr">
        <is>
          <t>ORD03869</t>
        </is>
      </c>
      <c r="B3870" t="inlineStr">
        <is>
          <t>C1369</t>
        </is>
      </c>
      <c r="C3870" t="n">
        <v>2</v>
      </c>
      <c r="D3870" t="inlineStr">
        <is>
          <t>Hub B</t>
        </is>
      </c>
      <c r="E3870" t="n">
        <v>41</v>
      </c>
      <c r="F3870" t="n">
        <v>19</v>
      </c>
    </row>
    <row r="3871">
      <c r="A3871" t="inlineStr">
        <is>
          <t>ORD03870</t>
        </is>
      </c>
      <c r="B3871" t="inlineStr">
        <is>
          <t>C1370</t>
        </is>
      </c>
      <c r="C3871" t="n">
        <v>3</v>
      </c>
      <c r="D3871" t="inlineStr">
        <is>
          <t>Hub B</t>
        </is>
      </c>
      <c r="E3871" t="n">
        <v>48</v>
      </c>
      <c r="F3871" t="n">
        <v>19</v>
      </c>
    </row>
    <row r="3872">
      <c r="A3872" t="inlineStr">
        <is>
          <t>ORD03871</t>
        </is>
      </c>
      <c r="B3872" t="inlineStr">
        <is>
          <t>C1371</t>
        </is>
      </c>
      <c r="C3872" t="n">
        <v>1</v>
      </c>
      <c r="D3872" t="inlineStr">
        <is>
          <t>Hub B</t>
        </is>
      </c>
      <c r="E3872" t="n">
        <v>55</v>
      </c>
      <c r="F3872" t="n">
        <v>19</v>
      </c>
    </row>
    <row r="3873">
      <c r="A3873" t="inlineStr">
        <is>
          <t>ORD03872</t>
        </is>
      </c>
      <c r="B3873" t="inlineStr">
        <is>
          <t>C1372</t>
        </is>
      </c>
      <c r="C3873" t="n">
        <v>2</v>
      </c>
      <c r="D3873" t="inlineStr">
        <is>
          <t>Hub B</t>
        </is>
      </c>
      <c r="E3873" t="n">
        <v>62</v>
      </c>
      <c r="F3873" t="n">
        <v>19</v>
      </c>
    </row>
    <row r="3874">
      <c r="A3874" t="inlineStr">
        <is>
          <t>ORD03873</t>
        </is>
      </c>
      <c r="B3874" t="inlineStr">
        <is>
          <t>C1373</t>
        </is>
      </c>
      <c r="C3874" t="n">
        <v>3</v>
      </c>
      <c r="D3874" t="inlineStr">
        <is>
          <t>Hub B</t>
        </is>
      </c>
      <c r="E3874" t="n">
        <v>69</v>
      </c>
      <c r="F3874" t="n">
        <v>19</v>
      </c>
    </row>
    <row r="3875">
      <c r="A3875" t="inlineStr">
        <is>
          <t>ORD03874</t>
        </is>
      </c>
      <c r="B3875" t="inlineStr">
        <is>
          <t>C1374</t>
        </is>
      </c>
      <c r="C3875" t="n">
        <v>1</v>
      </c>
      <c r="D3875" t="inlineStr">
        <is>
          <t>Hub B</t>
        </is>
      </c>
      <c r="E3875" t="n">
        <v>76</v>
      </c>
      <c r="F3875" t="n">
        <v>19</v>
      </c>
    </row>
    <row r="3876">
      <c r="A3876" t="inlineStr">
        <is>
          <t>ORD03875</t>
        </is>
      </c>
      <c r="B3876" t="inlineStr">
        <is>
          <t>C1375</t>
        </is>
      </c>
      <c r="C3876" t="n">
        <v>2</v>
      </c>
      <c r="D3876" t="inlineStr">
        <is>
          <t>Hub B</t>
        </is>
      </c>
      <c r="E3876" t="n">
        <v>23</v>
      </c>
      <c r="F3876" t="n">
        <v>19</v>
      </c>
    </row>
    <row r="3877">
      <c r="A3877" t="inlineStr">
        <is>
          <t>ORD03876</t>
        </is>
      </c>
      <c r="B3877" t="inlineStr">
        <is>
          <t>C1376</t>
        </is>
      </c>
      <c r="C3877" t="n">
        <v>3</v>
      </c>
      <c r="D3877" t="inlineStr">
        <is>
          <t>Hub B</t>
        </is>
      </c>
      <c r="E3877" t="n">
        <v>30</v>
      </c>
      <c r="F3877" t="n">
        <v>19</v>
      </c>
    </row>
    <row r="3878">
      <c r="A3878" t="inlineStr">
        <is>
          <t>ORD03877</t>
        </is>
      </c>
      <c r="B3878" t="inlineStr">
        <is>
          <t>C1377</t>
        </is>
      </c>
      <c r="C3878" t="n">
        <v>1</v>
      </c>
      <c r="D3878" t="inlineStr">
        <is>
          <t>Hub B</t>
        </is>
      </c>
      <c r="E3878" t="n">
        <v>37</v>
      </c>
      <c r="F3878" t="n">
        <v>19</v>
      </c>
    </row>
    <row r="3879">
      <c r="A3879" t="inlineStr">
        <is>
          <t>ORD03878</t>
        </is>
      </c>
      <c r="B3879" t="inlineStr">
        <is>
          <t>C1378</t>
        </is>
      </c>
      <c r="C3879" t="n">
        <v>2</v>
      </c>
      <c r="D3879" t="inlineStr">
        <is>
          <t>Hub B</t>
        </is>
      </c>
      <c r="E3879" t="n">
        <v>44</v>
      </c>
      <c r="F3879" t="n">
        <v>19</v>
      </c>
    </row>
    <row r="3880">
      <c r="A3880" t="inlineStr">
        <is>
          <t>ORD03879</t>
        </is>
      </c>
      <c r="B3880" t="inlineStr">
        <is>
          <t>C1379</t>
        </is>
      </c>
      <c r="C3880" t="n">
        <v>3</v>
      </c>
      <c r="D3880" t="inlineStr">
        <is>
          <t>Hub B</t>
        </is>
      </c>
      <c r="E3880" t="n">
        <v>51</v>
      </c>
      <c r="F3880" t="n">
        <v>19</v>
      </c>
    </row>
    <row r="3881">
      <c r="A3881" t="inlineStr">
        <is>
          <t>ORD03880</t>
        </is>
      </c>
      <c r="B3881" t="inlineStr">
        <is>
          <t>C1380</t>
        </is>
      </c>
      <c r="C3881" t="n">
        <v>1</v>
      </c>
      <c r="D3881" t="inlineStr">
        <is>
          <t>Hub B</t>
        </is>
      </c>
      <c r="E3881" t="n">
        <v>58</v>
      </c>
      <c r="F3881" t="n">
        <v>19</v>
      </c>
    </row>
    <row r="3882">
      <c r="A3882" t="inlineStr">
        <is>
          <t>ORD03881</t>
        </is>
      </c>
      <c r="B3882" t="inlineStr">
        <is>
          <t>C1381</t>
        </is>
      </c>
      <c r="C3882" t="n">
        <v>2</v>
      </c>
      <c r="D3882" t="inlineStr">
        <is>
          <t>Hub B</t>
        </is>
      </c>
      <c r="E3882" t="n">
        <v>65</v>
      </c>
      <c r="F3882" t="n">
        <v>19</v>
      </c>
    </row>
    <row r="3883">
      <c r="A3883" t="inlineStr">
        <is>
          <t>ORD03882</t>
        </is>
      </c>
      <c r="B3883" t="inlineStr">
        <is>
          <t>C1382</t>
        </is>
      </c>
      <c r="C3883" t="n">
        <v>3</v>
      </c>
      <c r="D3883" t="inlineStr">
        <is>
          <t>Hub B</t>
        </is>
      </c>
      <c r="E3883" t="n">
        <v>72</v>
      </c>
      <c r="F3883" t="n">
        <v>19</v>
      </c>
    </row>
    <row r="3884">
      <c r="A3884" t="inlineStr">
        <is>
          <t>ORD03883</t>
        </is>
      </c>
      <c r="B3884" t="inlineStr">
        <is>
          <t>C1383</t>
        </is>
      </c>
      <c r="C3884" t="n">
        <v>1</v>
      </c>
      <c r="D3884" t="inlineStr">
        <is>
          <t>Hub B</t>
        </is>
      </c>
      <c r="E3884" t="n">
        <v>19</v>
      </c>
      <c r="F3884" t="n">
        <v>19</v>
      </c>
    </row>
    <row r="3885">
      <c r="A3885" t="inlineStr">
        <is>
          <t>ORD03884</t>
        </is>
      </c>
      <c r="B3885" t="inlineStr">
        <is>
          <t>C1384</t>
        </is>
      </c>
      <c r="C3885" t="n">
        <v>2</v>
      </c>
      <c r="D3885" t="inlineStr">
        <is>
          <t>Hub B</t>
        </is>
      </c>
      <c r="E3885" t="n">
        <v>26</v>
      </c>
      <c r="F3885" t="n">
        <v>19</v>
      </c>
    </row>
    <row r="3886">
      <c r="A3886" t="inlineStr">
        <is>
          <t>ORD03885</t>
        </is>
      </c>
      <c r="B3886" t="inlineStr">
        <is>
          <t>C1385</t>
        </is>
      </c>
      <c r="C3886" t="n">
        <v>3</v>
      </c>
      <c r="D3886" t="inlineStr">
        <is>
          <t>Hub B</t>
        </is>
      </c>
      <c r="E3886" t="n">
        <v>33</v>
      </c>
      <c r="F3886" t="n">
        <v>19</v>
      </c>
    </row>
    <row r="3887">
      <c r="A3887" t="inlineStr">
        <is>
          <t>ORD03886</t>
        </is>
      </c>
      <c r="B3887" t="inlineStr">
        <is>
          <t>C1386</t>
        </is>
      </c>
      <c r="C3887" t="n">
        <v>1</v>
      </c>
      <c r="D3887" t="inlineStr">
        <is>
          <t>Hub B</t>
        </is>
      </c>
      <c r="E3887" t="n">
        <v>40</v>
      </c>
      <c r="F3887" t="n">
        <v>19</v>
      </c>
    </row>
    <row r="3888">
      <c r="A3888" t="inlineStr">
        <is>
          <t>ORD03887</t>
        </is>
      </c>
      <c r="B3888" t="inlineStr">
        <is>
          <t>C1387</t>
        </is>
      </c>
      <c r="C3888" t="n">
        <v>2</v>
      </c>
      <c r="D3888" t="inlineStr">
        <is>
          <t>Hub B</t>
        </is>
      </c>
      <c r="E3888" t="n">
        <v>47</v>
      </c>
      <c r="F3888" t="n">
        <v>19</v>
      </c>
    </row>
    <row r="3889">
      <c r="A3889" t="inlineStr">
        <is>
          <t>ORD03888</t>
        </is>
      </c>
      <c r="B3889" t="inlineStr">
        <is>
          <t>C1388</t>
        </is>
      </c>
      <c r="C3889" t="n">
        <v>3</v>
      </c>
      <c r="D3889" t="inlineStr">
        <is>
          <t>Hub B</t>
        </is>
      </c>
      <c r="E3889" t="n">
        <v>54</v>
      </c>
      <c r="F3889" t="n">
        <v>19</v>
      </c>
    </row>
    <row r="3890">
      <c r="A3890" t="inlineStr">
        <is>
          <t>ORD03889</t>
        </is>
      </c>
      <c r="B3890" t="inlineStr">
        <is>
          <t>C1389</t>
        </is>
      </c>
      <c r="C3890" t="n">
        <v>1</v>
      </c>
      <c r="D3890" t="inlineStr">
        <is>
          <t>Hub B</t>
        </is>
      </c>
      <c r="E3890" t="n">
        <v>61</v>
      </c>
      <c r="F3890" t="n">
        <v>19</v>
      </c>
    </row>
    <row r="3891">
      <c r="A3891" t="inlineStr">
        <is>
          <t>ORD03890</t>
        </is>
      </c>
      <c r="B3891" t="inlineStr">
        <is>
          <t>C1390</t>
        </is>
      </c>
      <c r="C3891" t="n">
        <v>2</v>
      </c>
      <c r="D3891" t="inlineStr">
        <is>
          <t>Hub B</t>
        </is>
      </c>
      <c r="E3891" t="n">
        <v>68</v>
      </c>
      <c r="F3891" t="n">
        <v>19</v>
      </c>
    </row>
    <row r="3892">
      <c r="A3892" t="inlineStr">
        <is>
          <t>ORD03891</t>
        </is>
      </c>
      <c r="B3892" t="inlineStr">
        <is>
          <t>C1391</t>
        </is>
      </c>
      <c r="C3892" t="n">
        <v>3</v>
      </c>
      <c r="D3892" t="inlineStr">
        <is>
          <t>Hub B</t>
        </is>
      </c>
      <c r="E3892" t="n">
        <v>75</v>
      </c>
      <c r="F3892" t="n">
        <v>19</v>
      </c>
    </row>
    <row r="3893">
      <c r="A3893" t="inlineStr">
        <is>
          <t>ORD03892</t>
        </is>
      </c>
      <c r="B3893" t="inlineStr">
        <is>
          <t>C1392</t>
        </is>
      </c>
      <c r="C3893" t="n">
        <v>1</v>
      </c>
      <c r="D3893" t="inlineStr">
        <is>
          <t>Hub B</t>
        </is>
      </c>
      <c r="E3893" t="n">
        <v>22</v>
      </c>
      <c r="F3893" t="n">
        <v>19</v>
      </c>
    </row>
    <row r="3894">
      <c r="A3894" t="inlineStr">
        <is>
          <t>ORD03893</t>
        </is>
      </c>
      <c r="B3894" t="inlineStr">
        <is>
          <t>C1393</t>
        </is>
      </c>
      <c r="C3894" t="n">
        <v>2</v>
      </c>
      <c r="D3894" t="inlineStr">
        <is>
          <t>Hub B</t>
        </is>
      </c>
      <c r="E3894" t="n">
        <v>29</v>
      </c>
      <c r="F3894" t="n">
        <v>19</v>
      </c>
    </row>
    <row r="3895">
      <c r="A3895" t="inlineStr">
        <is>
          <t>ORD03894</t>
        </is>
      </c>
      <c r="B3895" t="inlineStr">
        <is>
          <t>C1394</t>
        </is>
      </c>
      <c r="C3895" t="n">
        <v>3</v>
      </c>
      <c r="D3895" t="inlineStr">
        <is>
          <t>Hub B</t>
        </is>
      </c>
      <c r="E3895" t="n">
        <v>36</v>
      </c>
      <c r="F3895" t="n">
        <v>19</v>
      </c>
    </row>
    <row r="3896">
      <c r="A3896" t="inlineStr">
        <is>
          <t>ORD03895</t>
        </is>
      </c>
      <c r="B3896" t="inlineStr">
        <is>
          <t>C1395</t>
        </is>
      </c>
      <c r="C3896" t="n">
        <v>1</v>
      </c>
      <c r="D3896" t="inlineStr">
        <is>
          <t>Hub B</t>
        </is>
      </c>
      <c r="E3896" t="n">
        <v>43</v>
      </c>
      <c r="F3896" t="n">
        <v>19</v>
      </c>
    </row>
    <row r="3897">
      <c r="A3897" t="inlineStr">
        <is>
          <t>ORD03896</t>
        </is>
      </c>
      <c r="B3897" t="inlineStr">
        <is>
          <t>C1396</t>
        </is>
      </c>
      <c r="C3897" t="n">
        <v>2</v>
      </c>
      <c r="D3897" t="inlineStr">
        <is>
          <t>Hub B</t>
        </is>
      </c>
      <c r="E3897" t="n">
        <v>50</v>
      </c>
      <c r="F3897" t="n">
        <v>19</v>
      </c>
    </row>
    <row r="3898">
      <c r="A3898" t="inlineStr">
        <is>
          <t>ORD03897</t>
        </is>
      </c>
      <c r="B3898" t="inlineStr">
        <is>
          <t>C1397</t>
        </is>
      </c>
      <c r="C3898" t="n">
        <v>3</v>
      </c>
      <c r="D3898" t="inlineStr">
        <is>
          <t>Hub B</t>
        </is>
      </c>
      <c r="E3898" t="n">
        <v>57</v>
      </c>
      <c r="F3898" t="n">
        <v>19</v>
      </c>
    </row>
    <row r="3899">
      <c r="A3899" t="inlineStr">
        <is>
          <t>ORD03898</t>
        </is>
      </c>
      <c r="B3899" t="inlineStr">
        <is>
          <t>C1398</t>
        </is>
      </c>
      <c r="C3899" t="n">
        <v>1</v>
      </c>
      <c r="D3899" t="inlineStr">
        <is>
          <t>Hub B</t>
        </is>
      </c>
      <c r="E3899" t="n">
        <v>64</v>
      </c>
      <c r="F3899" t="n">
        <v>19</v>
      </c>
    </row>
    <row r="3900">
      <c r="A3900" t="inlineStr">
        <is>
          <t>ORD03899</t>
        </is>
      </c>
      <c r="B3900" t="inlineStr">
        <is>
          <t>C1399</t>
        </is>
      </c>
      <c r="C3900" t="n">
        <v>2</v>
      </c>
      <c r="D3900" t="inlineStr">
        <is>
          <t>Hub B</t>
        </is>
      </c>
      <c r="E3900" t="n">
        <v>71</v>
      </c>
      <c r="F3900" t="n">
        <v>19</v>
      </c>
    </row>
    <row r="3901">
      <c r="A3901" t="inlineStr">
        <is>
          <t>ORD03900</t>
        </is>
      </c>
      <c r="B3901" t="inlineStr">
        <is>
          <t>C1400</t>
        </is>
      </c>
      <c r="C3901" t="n">
        <v>3</v>
      </c>
      <c r="D3901" t="inlineStr">
        <is>
          <t>Hub B</t>
        </is>
      </c>
      <c r="E3901" t="n">
        <v>18</v>
      </c>
      <c r="F3901" t="n">
        <v>19</v>
      </c>
    </row>
    <row r="3902">
      <c r="A3902" t="inlineStr">
        <is>
          <t>ORD03901</t>
        </is>
      </c>
      <c r="B3902" t="inlineStr">
        <is>
          <t>C1401</t>
        </is>
      </c>
      <c r="C3902" t="n">
        <v>1</v>
      </c>
      <c r="D3902" t="inlineStr">
        <is>
          <t>Hub B</t>
        </is>
      </c>
      <c r="E3902" t="n">
        <v>25</v>
      </c>
      <c r="F3902" t="n">
        <v>19</v>
      </c>
    </row>
    <row r="3903">
      <c r="A3903" t="inlineStr">
        <is>
          <t>ORD03902</t>
        </is>
      </c>
      <c r="B3903" t="inlineStr">
        <is>
          <t>C1402</t>
        </is>
      </c>
      <c r="C3903" t="n">
        <v>2</v>
      </c>
      <c r="D3903" t="inlineStr">
        <is>
          <t>Hub B</t>
        </is>
      </c>
      <c r="E3903" t="n">
        <v>32</v>
      </c>
      <c r="F3903" t="n">
        <v>19</v>
      </c>
    </row>
    <row r="3904">
      <c r="A3904" t="inlineStr">
        <is>
          <t>ORD03903</t>
        </is>
      </c>
      <c r="B3904" t="inlineStr">
        <is>
          <t>C1403</t>
        </is>
      </c>
      <c r="C3904" t="n">
        <v>3</v>
      </c>
      <c r="D3904" t="inlineStr">
        <is>
          <t>Hub B</t>
        </is>
      </c>
      <c r="E3904" t="n">
        <v>39</v>
      </c>
      <c r="F3904" t="n">
        <v>19</v>
      </c>
    </row>
    <row r="3905">
      <c r="A3905" t="inlineStr">
        <is>
          <t>ORD03904</t>
        </is>
      </c>
      <c r="B3905" t="inlineStr">
        <is>
          <t>C1404</t>
        </is>
      </c>
      <c r="C3905" t="n">
        <v>1</v>
      </c>
      <c r="D3905" t="inlineStr">
        <is>
          <t>Hub B</t>
        </is>
      </c>
      <c r="E3905" t="n">
        <v>46</v>
      </c>
      <c r="F3905" t="n">
        <v>19</v>
      </c>
    </row>
    <row r="3906">
      <c r="A3906" t="inlineStr">
        <is>
          <t>ORD03905</t>
        </is>
      </c>
      <c r="B3906" t="inlineStr">
        <is>
          <t>C1405</t>
        </is>
      </c>
      <c r="C3906" t="n">
        <v>2</v>
      </c>
      <c r="D3906" t="inlineStr">
        <is>
          <t>Hub B</t>
        </is>
      </c>
      <c r="E3906" t="n">
        <v>53</v>
      </c>
      <c r="F3906" t="n">
        <v>19</v>
      </c>
    </row>
    <row r="3907">
      <c r="A3907" t="inlineStr">
        <is>
          <t>ORD03906</t>
        </is>
      </c>
      <c r="B3907" t="inlineStr">
        <is>
          <t>C1406</t>
        </is>
      </c>
      <c r="C3907" t="n">
        <v>3</v>
      </c>
      <c r="D3907" t="inlineStr">
        <is>
          <t>Hub B</t>
        </is>
      </c>
      <c r="E3907" t="n">
        <v>60</v>
      </c>
      <c r="F3907" t="n">
        <v>19</v>
      </c>
    </row>
    <row r="3908">
      <c r="A3908" t="inlineStr">
        <is>
          <t>ORD03907</t>
        </is>
      </c>
      <c r="B3908" t="inlineStr">
        <is>
          <t>C1407</t>
        </is>
      </c>
      <c r="C3908" t="n">
        <v>1</v>
      </c>
      <c r="D3908" t="inlineStr">
        <is>
          <t>Hub B</t>
        </is>
      </c>
      <c r="E3908" t="n">
        <v>67</v>
      </c>
      <c r="F3908" t="n">
        <v>19</v>
      </c>
    </row>
    <row r="3909">
      <c r="A3909" t="inlineStr">
        <is>
          <t>ORD03908</t>
        </is>
      </c>
      <c r="B3909" t="inlineStr">
        <is>
          <t>C1408</t>
        </is>
      </c>
      <c r="C3909" t="n">
        <v>2</v>
      </c>
      <c r="D3909" t="inlineStr">
        <is>
          <t>Hub B</t>
        </is>
      </c>
      <c r="E3909" t="n">
        <v>74</v>
      </c>
      <c r="F3909" t="n">
        <v>19</v>
      </c>
    </row>
    <row r="3910">
      <c r="A3910" t="inlineStr">
        <is>
          <t>ORD03909</t>
        </is>
      </c>
      <c r="B3910" t="inlineStr">
        <is>
          <t>C1409</t>
        </is>
      </c>
      <c r="C3910" t="n">
        <v>3</v>
      </c>
      <c r="D3910" t="inlineStr">
        <is>
          <t>Hub B</t>
        </is>
      </c>
      <c r="E3910" t="n">
        <v>21</v>
      </c>
      <c r="F3910" t="n">
        <v>19</v>
      </c>
    </row>
    <row r="3911">
      <c r="A3911" t="inlineStr">
        <is>
          <t>ORD03910</t>
        </is>
      </c>
      <c r="B3911" t="inlineStr">
        <is>
          <t>C1410</t>
        </is>
      </c>
      <c r="C3911" t="n">
        <v>1</v>
      </c>
      <c r="D3911" t="inlineStr">
        <is>
          <t>Hub B</t>
        </is>
      </c>
      <c r="E3911" t="n">
        <v>28</v>
      </c>
      <c r="F3911" t="n">
        <v>19</v>
      </c>
    </row>
    <row r="3912">
      <c r="A3912" t="inlineStr">
        <is>
          <t>ORD03911</t>
        </is>
      </c>
      <c r="B3912" t="inlineStr">
        <is>
          <t>C1411</t>
        </is>
      </c>
      <c r="C3912" t="n">
        <v>2</v>
      </c>
      <c r="D3912" t="inlineStr">
        <is>
          <t>Hub B</t>
        </is>
      </c>
      <c r="E3912" t="n">
        <v>35</v>
      </c>
      <c r="F3912" t="n">
        <v>19</v>
      </c>
    </row>
    <row r="3913">
      <c r="A3913" t="inlineStr">
        <is>
          <t>ORD03912</t>
        </is>
      </c>
      <c r="B3913" t="inlineStr">
        <is>
          <t>C1412</t>
        </is>
      </c>
      <c r="C3913" t="n">
        <v>3</v>
      </c>
      <c r="D3913" t="inlineStr">
        <is>
          <t>Hub B</t>
        </is>
      </c>
      <c r="E3913" t="n">
        <v>42</v>
      </c>
      <c r="F3913" t="n">
        <v>19</v>
      </c>
    </row>
    <row r="3914">
      <c r="A3914" t="inlineStr">
        <is>
          <t>ORD03913</t>
        </is>
      </c>
      <c r="B3914" t="inlineStr">
        <is>
          <t>C1413</t>
        </is>
      </c>
      <c r="C3914" t="n">
        <v>1</v>
      </c>
      <c r="D3914" t="inlineStr">
        <is>
          <t>Hub B</t>
        </is>
      </c>
      <c r="E3914" t="n">
        <v>49</v>
      </c>
      <c r="F3914" t="n">
        <v>19</v>
      </c>
    </row>
    <row r="3915">
      <c r="A3915" t="inlineStr">
        <is>
          <t>ORD03914</t>
        </is>
      </c>
      <c r="B3915" t="inlineStr">
        <is>
          <t>C1414</t>
        </is>
      </c>
      <c r="C3915" t="n">
        <v>2</v>
      </c>
      <c r="D3915" t="inlineStr">
        <is>
          <t>Hub B</t>
        </is>
      </c>
      <c r="E3915" t="n">
        <v>56</v>
      </c>
      <c r="F3915" t="n">
        <v>19</v>
      </c>
    </row>
    <row r="3916">
      <c r="A3916" t="inlineStr">
        <is>
          <t>ORD03915</t>
        </is>
      </c>
      <c r="B3916" t="inlineStr">
        <is>
          <t>C1415</t>
        </is>
      </c>
      <c r="C3916" t="n">
        <v>3</v>
      </c>
      <c r="D3916" t="inlineStr">
        <is>
          <t>Hub B</t>
        </is>
      </c>
      <c r="E3916" t="n">
        <v>63</v>
      </c>
      <c r="F3916" t="n">
        <v>19</v>
      </c>
    </row>
    <row r="3917">
      <c r="A3917" t="inlineStr">
        <is>
          <t>ORD03916</t>
        </is>
      </c>
      <c r="B3917" t="inlineStr">
        <is>
          <t>C1416</t>
        </is>
      </c>
      <c r="C3917" t="n">
        <v>1</v>
      </c>
      <c r="D3917" t="inlineStr">
        <is>
          <t>Hub B</t>
        </is>
      </c>
      <c r="E3917" t="n">
        <v>70</v>
      </c>
      <c r="F3917" t="n">
        <v>19</v>
      </c>
    </row>
    <row r="3918">
      <c r="A3918" t="inlineStr">
        <is>
          <t>ORD03917</t>
        </is>
      </c>
      <c r="B3918" t="inlineStr">
        <is>
          <t>C1417</t>
        </is>
      </c>
      <c r="C3918" t="n">
        <v>2</v>
      </c>
      <c r="D3918" t="inlineStr">
        <is>
          <t>Hub B</t>
        </is>
      </c>
      <c r="E3918" t="n">
        <v>77</v>
      </c>
      <c r="F3918" t="n">
        <v>19</v>
      </c>
    </row>
    <row r="3919">
      <c r="A3919" t="inlineStr">
        <is>
          <t>ORD03918</t>
        </is>
      </c>
      <c r="B3919" t="inlineStr">
        <is>
          <t>C1418</t>
        </is>
      </c>
      <c r="C3919" t="n">
        <v>3</v>
      </c>
      <c r="D3919" t="inlineStr">
        <is>
          <t>Hub B</t>
        </is>
      </c>
      <c r="E3919" t="n">
        <v>24</v>
      </c>
      <c r="F3919" t="n">
        <v>19</v>
      </c>
    </row>
    <row r="3920">
      <c r="A3920" t="inlineStr">
        <is>
          <t>ORD03919</t>
        </is>
      </c>
      <c r="B3920" t="inlineStr">
        <is>
          <t>C1419</t>
        </is>
      </c>
      <c r="C3920" t="n">
        <v>1</v>
      </c>
      <c r="D3920" t="inlineStr">
        <is>
          <t>Hub B</t>
        </is>
      </c>
      <c r="E3920" t="n">
        <v>31</v>
      </c>
      <c r="F3920" t="n">
        <v>19</v>
      </c>
    </row>
    <row r="3921">
      <c r="A3921" t="inlineStr">
        <is>
          <t>ORD03920</t>
        </is>
      </c>
      <c r="B3921" t="inlineStr">
        <is>
          <t>C1420</t>
        </is>
      </c>
      <c r="C3921" t="n">
        <v>2</v>
      </c>
      <c r="D3921" t="inlineStr">
        <is>
          <t>Hub B</t>
        </is>
      </c>
      <c r="E3921" t="n">
        <v>38</v>
      </c>
      <c r="F3921" t="n">
        <v>19</v>
      </c>
    </row>
    <row r="3922">
      <c r="A3922" t="inlineStr">
        <is>
          <t>ORD03921</t>
        </is>
      </c>
      <c r="B3922" t="inlineStr">
        <is>
          <t>C1421</t>
        </is>
      </c>
      <c r="C3922" t="n">
        <v>3</v>
      </c>
      <c r="D3922" t="inlineStr">
        <is>
          <t>Hub B</t>
        </is>
      </c>
      <c r="E3922" t="n">
        <v>45</v>
      </c>
      <c r="F3922" t="n">
        <v>19</v>
      </c>
    </row>
    <row r="3923">
      <c r="A3923" t="inlineStr">
        <is>
          <t>ORD03922</t>
        </is>
      </c>
      <c r="B3923" t="inlineStr">
        <is>
          <t>C1422</t>
        </is>
      </c>
      <c r="C3923" t="n">
        <v>1</v>
      </c>
      <c r="D3923" t="inlineStr">
        <is>
          <t>Hub B</t>
        </is>
      </c>
      <c r="E3923" t="n">
        <v>52</v>
      </c>
      <c r="F3923" t="n">
        <v>19</v>
      </c>
    </row>
    <row r="3924">
      <c r="A3924" t="inlineStr">
        <is>
          <t>ORD03923</t>
        </is>
      </c>
      <c r="B3924" t="inlineStr">
        <is>
          <t>C1423</t>
        </is>
      </c>
      <c r="C3924" t="n">
        <v>2</v>
      </c>
      <c r="D3924" t="inlineStr">
        <is>
          <t>Hub B</t>
        </is>
      </c>
      <c r="E3924" t="n">
        <v>59</v>
      </c>
      <c r="F3924" t="n">
        <v>19</v>
      </c>
    </row>
    <row r="3925">
      <c r="A3925" t="inlineStr">
        <is>
          <t>ORD03924</t>
        </is>
      </c>
      <c r="B3925" t="inlineStr">
        <is>
          <t>C1424</t>
        </is>
      </c>
      <c r="C3925" t="n">
        <v>3</v>
      </c>
      <c r="D3925" t="inlineStr">
        <is>
          <t>Hub B</t>
        </is>
      </c>
      <c r="E3925" t="n">
        <v>66</v>
      </c>
      <c r="F3925" t="n">
        <v>19</v>
      </c>
    </row>
    <row r="3926">
      <c r="A3926" t="inlineStr">
        <is>
          <t>ORD03925</t>
        </is>
      </c>
      <c r="B3926" t="inlineStr">
        <is>
          <t>C1425</t>
        </is>
      </c>
      <c r="C3926" t="n">
        <v>1</v>
      </c>
      <c r="D3926" t="inlineStr">
        <is>
          <t>Hub B</t>
        </is>
      </c>
      <c r="E3926" t="n">
        <v>73</v>
      </c>
      <c r="F3926" t="n">
        <v>19</v>
      </c>
    </row>
    <row r="3927">
      <c r="A3927" t="inlineStr">
        <is>
          <t>ORD03926</t>
        </is>
      </c>
      <c r="B3927" t="inlineStr">
        <is>
          <t>C1426</t>
        </is>
      </c>
      <c r="C3927" t="n">
        <v>2</v>
      </c>
      <c r="D3927" t="inlineStr">
        <is>
          <t>Hub B</t>
        </is>
      </c>
      <c r="E3927" t="n">
        <v>20</v>
      </c>
      <c r="F3927" t="n">
        <v>19</v>
      </c>
    </row>
    <row r="3928">
      <c r="A3928" t="inlineStr">
        <is>
          <t>ORD03927</t>
        </is>
      </c>
      <c r="B3928" t="inlineStr">
        <is>
          <t>C1427</t>
        </is>
      </c>
      <c r="C3928" t="n">
        <v>3</v>
      </c>
      <c r="D3928" t="inlineStr">
        <is>
          <t>Hub B</t>
        </is>
      </c>
      <c r="E3928" t="n">
        <v>27</v>
      </c>
      <c r="F3928" t="n">
        <v>19</v>
      </c>
    </row>
    <row r="3929">
      <c r="A3929" t="inlineStr">
        <is>
          <t>ORD03928</t>
        </is>
      </c>
      <c r="B3929" t="inlineStr">
        <is>
          <t>C1428</t>
        </is>
      </c>
      <c r="C3929" t="n">
        <v>1</v>
      </c>
      <c r="D3929" t="inlineStr">
        <is>
          <t>Hub B</t>
        </is>
      </c>
      <c r="E3929" t="n">
        <v>34</v>
      </c>
      <c r="F3929" t="n">
        <v>19</v>
      </c>
    </row>
    <row r="3930">
      <c r="A3930" t="inlineStr">
        <is>
          <t>ORD03929</t>
        </is>
      </c>
      <c r="B3930" t="inlineStr">
        <is>
          <t>C1429</t>
        </is>
      </c>
      <c r="C3930" t="n">
        <v>2</v>
      </c>
      <c r="D3930" t="inlineStr">
        <is>
          <t>Hub B</t>
        </is>
      </c>
      <c r="E3930" t="n">
        <v>41</v>
      </c>
      <c r="F3930" t="n">
        <v>19</v>
      </c>
    </row>
    <row r="3931">
      <c r="A3931" t="inlineStr">
        <is>
          <t>ORD03930</t>
        </is>
      </c>
      <c r="B3931" t="inlineStr">
        <is>
          <t>C1430</t>
        </is>
      </c>
      <c r="C3931" t="n">
        <v>3</v>
      </c>
      <c r="D3931" t="inlineStr">
        <is>
          <t>Hub B</t>
        </is>
      </c>
      <c r="E3931" t="n">
        <v>48</v>
      </c>
      <c r="F3931" t="n">
        <v>19</v>
      </c>
    </row>
    <row r="3932">
      <c r="A3932" t="inlineStr">
        <is>
          <t>ORD03931</t>
        </is>
      </c>
      <c r="B3932" t="inlineStr">
        <is>
          <t>C1431</t>
        </is>
      </c>
      <c r="C3932" t="n">
        <v>1</v>
      </c>
      <c r="D3932" t="inlineStr">
        <is>
          <t>Hub B</t>
        </is>
      </c>
      <c r="E3932" t="n">
        <v>55</v>
      </c>
      <c r="F3932" t="n">
        <v>19</v>
      </c>
    </row>
    <row r="3933">
      <c r="A3933" t="inlineStr">
        <is>
          <t>ORD03932</t>
        </is>
      </c>
      <c r="B3933" t="inlineStr">
        <is>
          <t>C1432</t>
        </is>
      </c>
      <c r="C3933" t="n">
        <v>2</v>
      </c>
      <c r="D3933" t="inlineStr">
        <is>
          <t>Hub B</t>
        </is>
      </c>
      <c r="E3933" t="n">
        <v>62</v>
      </c>
      <c r="F3933" t="n">
        <v>19</v>
      </c>
    </row>
    <row r="3934">
      <c r="A3934" t="inlineStr">
        <is>
          <t>ORD03933</t>
        </is>
      </c>
      <c r="B3934" t="inlineStr">
        <is>
          <t>C1433</t>
        </is>
      </c>
      <c r="C3934" t="n">
        <v>3</v>
      </c>
      <c r="D3934" t="inlineStr">
        <is>
          <t>Hub B</t>
        </is>
      </c>
      <c r="E3934" t="n">
        <v>69</v>
      </c>
      <c r="F3934" t="n">
        <v>19</v>
      </c>
    </row>
    <row r="3935">
      <c r="A3935" t="inlineStr">
        <is>
          <t>ORD03934</t>
        </is>
      </c>
      <c r="B3935" t="inlineStr">
        <is>
          <t>C1434</t>
        </is>
      </c>
      <c r="C3935" t="n">
        <v>1</v>
      </c>
      <c r="D3935" t="inlineStr">
        <is>
          <t>Hub B</t>
        </is>
      </c>
      <c r="E3935" t="n">
        <v>76</v>
      </c>
      <c r="F3935" t="n">
        <v>19</v>
      </c>
    </row>
    <row r="3936">
      <c r="A3936" t="inlineStr">
        <is>
          <t>ORD03935</t>
        </is>
      </c>
      <c r="B3936" t="inlineStr">
        <is>
          <t>C1435</t>
        </is>
      </c>
      <c r="C3936" t="n">
        <v>2</v>
      </c>
      <c r="D3936" t="inlineStr">
        <is>
          <t>Hub B</t>
        </is>
      </c>
      <c r="E3936" t="n">
        <v>23</v>
      </c>
      <c r="F3936" t="n">
        <v>19</v>
      </c>
    </row>
    <row r="3937">
      <c r="A3937" t="inlineStr">
        <is>
          <t>ORD03936</t>
        </is>
      </c>
      <c r="B3937" t="inlineStr">
        <is>
          <t>C1436</t>
        </is>
      </c>
      <c r="C3937" t="n">
        <v>3</v>
      </c>
      <c r="D3937" t="inlineStr">
        <is>
          <t>Hub B</t>
        </is>
      </c>
      <c r="E3937" t="n">
        <v>30</v>
      </c>
      <c r="F3937" t="n">
        <v>19</v>
      </c>
    </row>
    <row r="3938">
      <c r="A3938" t="inlineStr">
        <is>
          <t>ORD03937</t>
        </is>
      </c>
      <c r="B3938" t="inlineStr">
        <is>
          <t>C1437</t>
        </is>
      </c>
      <c r="C3938" t="n">
        <v>1</v>
      </c>
      <c r="D3938" t="inlineStr">
        <is>
          <t>Hub B</t>
        </is>
      </c>
      <c r="E3938" t="n">
        <v>37</v>
      </c>
      <c r="F3938" t="n">
        <v>19</v>
      </c>
    </row>
    <row r="3939">
      <c r="A3939" t="inlineStr">
        <is>
          <t>ORD03938</t>
        </is>
      </c>
      <c r="B3939" t="inlineStr">
        <is>
          <t>C1438</t>
        </is>
      </c>
      <c r="C3939" t="n">
        <v>2</v>
      </c>
      <c r="D3939" t="inlineStr">
        <is>
          <t>Hub B</t>
        </is>
      </c>
      <c r="E3939" t="n">
        <v>44</v>
      </c>
      <c r="F3939" t="n">
        <v>19</v>
      </c>
    </row>
    <row r="3940">
      <c r="A3940" t="inlineStr">
        <is>
          <t>ORD03939</t>
        </is>
      </c>
      <c r="B3940" t="inlineStr">
        <is>
          <t>C1439</t>
        </is>
      </c>
      <c r="C3940" t="n">
        <v>3</v>
      </c>
      <c r="D3940" t="inlineStr">
        <is>
          <t>Hub B</t>
        </is>
      </c>
      <c r="E3940" t="n">
        <v>51</v>
      </c>
      <c r="F3940" t="n">
        <v>19</v>
      </c>
    </row>
    <row r="3941">
      <c r="A3941" t="inlineStr">
        <is>
          <t>ORD03940</t>
        </is>
      </c>
      <c r="B3941" t="inlineStr">
        <is>
          <t>C1440</t>
        </is>
      </c>
      <c r="C3941" t="n">
        <v>1</v>
      </c>
      <c r="D3941" t="inlineStr">
        <is>
          <t>Hub B</t>
        </is>
      </c>
      <c r="E3941" t="n">
        <v>58</v>
      </c>
      <c r="F3941" t="n">
        <v>19</v>
      </c>
    </row>
    <row r="3942">
      <c r="A3942" t="inlineStr">
        <is>
          <t>ORD03941</t>
        </is>
      </c>
      <c r="B3942" t="inlineStr">
        <is>
          <t>C1441</t>
        </is>
      </c>
      <c r="C3942" t="n">
        <v>2</v>
      </c>
      <c r="D3942" t="inlineStr">
        <is>
          <t>Hub B</t>
        </is>
      </c>
      <c r="E3942" t="n">
        <v>65</v>
      </c>
      <c r="F3942" t="n">
        <v>19</v>
      </c>
    </row>
    <row r="3943">
      <c r="A3943" t="inlineStr">
        <is>
          <t>ORD03942</t>
        </is>
      </c>
      <c r="B3943" t="inlineStr">
        <is>
          <t>C1442</t>
        </is>
      </c>
      <c r="C3943" t="n">
        <v>3</v>
      </c>
      <c r="D3943" t="inlineStr">
        <is>
          <t>Hub B</t>
        </is>
      </c>
      <c r="E3943" t="n">
        <v>72</v>
      </c>
      <c r="F3943" t="n">
        <v>19</v>
      </c>
    </row>
    <row r="3944">
      <c r="A3944" t="inlineStr">
        <is>
          <t>ORD03943</t>
        </is>
      </c>
      <c r="B3944" t="inlineStr">
        <is>
          <t>C1443</t>
        </is>
      </c>
      <c r="C3944" t="n">
        <v>1</v>
      </c>
      <c r="D3944" t="inlineStr">
        <is>
          <t>Hub B</t>
        </is>
      </c>
      <c r="E3944" t="n">
        <v>19</v>
      </c>
      <c r="F3944" t="n">
        <v>19</v>
      </c>
    </row>
    <row r="3945">
      <c r="A3945" t="inlineStr">
        <is>
          <t>ORD03944</t>
        </is>
      </c>
      <c r="B3945" t="inlineStr">
        <is>
          <t>C1444</t>
        </is>
      </c>
      <c r="C3945" t="n">
        <v>2</v>
      </c>
      <c r="D3945" t="inlineStr">
        <is>
          <t>Hub B</t>
        </is>
      </c>
      <c r="E3945" t="n">
        <v>26</v>
      </c>
      <c r="F3945" t="n">
        <v>19</v>
      </c>
    </row>
    <row r="3946">
      <c r="A3946" t="inlineStr">
        <is>
          <t>ORD03945</t>
        </is>
      </c>
      <c r="B3946" t="inlineStr">
        <is>
          <t>C1445</t>
        </is>
      </c>
      <c r="C3946" t="n">
        <v>3</v>
      </c>
      <c r="D3946" t="inlineStr">
        <is>
          <t>Hub B</t>
        </is>
      </c>
      <c r="E3946" t="n">
        <v>33</v>
      </c>
      <c r="F3946" t="n">
        <v>19</v>
      </c>
    </row>
    <row r="3947">
      <c r="A3947" t="inlineStr">
        <is>
          <t>ORD03946</t>
        </is>
      </c>
      <c r="B3947" t="inlineStr">
        <is>
          <t>C1446</t>
        </is>
      </c>
      <c r="C3947" t="n">
        <v>1</v>
      </c>
      <c r="D3947" t="inlineStr">
        <is>
          <t>Hub B</t>
        </is>
      </c>
      <c r="E3947" t="n">
        <v>40</v>
      </c>
      <c r="F3947" t="n">
        <v>19</v>
      </c>
    </row>
    <row r="3948">
      <c r="A3948" t="inlineStr">
        <is>
          <t>ORD03947</t>
        </is>
      </c>
      <c r="B3948" t="inlineStr">
        <is>
          <t>C1447</t>
        </is>
      </c>
      <c r="C3948" t="n">
        <v>2</v>
      </c>
      <c r="D3948" t="inlineStr">
        <is>
          <t>Hub B</t>
        </is>
      </c>
      <c r="E3948" t="n">
        <v>47</v>
      </c>
      <c r="F3948" t="n">
        <v>19</v>
      </c>
    </row>
    <row r="3949">
      <c r="A3949" t="inlineStr">
        <is>
          <t>ORD03948</t>
        </is>
      </c>
      <c r="B3949" t="inlineStr">
        <is>
          <t>C1448</t>
        </is>
      </c>
      <c r="C3949" t="n">
        <v>3</v>
      </c>
      <c r="D3949" t="inlineStr">
        <is>
          <t>Hub B</t>
        </is>
      </c>
      <c r="E3949" t="n">
        <v>54</v>
      </c>
      <c r="F3949" t="n">
        <v>19</v>
      </c>
    </row>
    <row r="3950">
      <c r="A3950" t="inlineStr">
        <is>
          <t>ORD03949</t>
        </is>
      </c>
      <c r="B3950" t="inlineStr">
        <is>
          <t>C1449</t>
        </is>
      </c>
      <c r="C3950" t="n">
        <v>1</v>
      </c>
      <c r="D3950" t="inlineStr">
        <is>
          <t>Hub B</t>
        </is>
      </c>
      <c r="E3950" t="n">
        <v>61</v>
      </c>
      <c r="F3950" t="n">
        <v>19</v>
      </c>
    </row>
    <row r="3951">
      <c r="A3951" t="inlineStr">
        <is>
          <t>ORD03950</t>
        </is>
      </c>
      <c r="B3951" t="inlineStr">
        <is>
          <t>C1450</t>
        </is>
      </c>
      <c r="C3951" t="n">
        <v>2</v>
      </c>
      <c r="D3951" t="inlineStr">
        <is>
          <t>Hub B</t>
        </is>
      </c>
      <c r="E3951" t="n">
        <v>68</v>
      </c>
      <c r="F3951" t="n">
        <v>19</v>
      </c>
    </row>
    <row r="3952">
      <c r="A3952" t="inlineStr">
        <is>
          <t>ORD03951</t>
        </is>
      </c>
      <c r="B3952" t="inlineStr">
        <is>
          <t>C1451</t>
        </is>
      </c>
      <c r="C3952" t="n">
        <v>3</v>
      </c>
      <c r="D3952" t="inlineStr">
        <is>
          <t>Hub B</t>
        </is>
      </c>
      <c r="E3952" t="n">
        <v>75</v>
      </c>
      <c r="F3952" t="n">
        <v>19</v>
      </c>
    </row>
    <row r="3953">
      <c r="A3953" t="inlineStr">
        <is>
          <t>ORD03952</t>
        </is>
      </c>
      <c r="B3953" t="inlineStr">
        <is>
          <t>C1452</t>
        </is>
      </c>
      <c r="C3953" t="n">
        <v>1</v>
      </c>
      <c r="D3953" t="inlineStr">
        <is>
          <t>Hub B</t>
        </is>
      </c>
      <c r="E3953" t="n">
        <v>22</v>
      </c>
      <c r="F3953" t="n">
        <v>19</v>
      </c>
    </row>
    <row r="3954">
      <c r="A3954" t="inlineStr">
        <is>
          <t>ORD03953</t>
        </is>
      </c>
      <c r="B3954" t="inlineStr">
        <is>
          <t>C1453</t>
        </is>
      </c>
      <c r="C3954" t="n">
        <v>2</v>
      </c>
      <c r="D3954" t="inlineStr">
        <is>
          <t>Hub B</t>
        </is>
      </c>
      <c r="E3954" t="n">
        <v>29</v>
      </c>
      <c r="F3954" t="n">
        <v>19</v>
      </c>
    </row>
    <row r="3955">
      <c r="A3955" t="inlineStr">
        <is>
          <t>ORD03954</t>
        </is>
      </c>
      <c r="B3955" t="inlineStr">
        <is>
          <t>C1454</t>
        </is>
      </c>
      <c r="C3955" t="n">
        <v>3</v>
      </c>
      <c r="D3955" t="inlineStr">
        <is>
          <t>Hub B</t>
        </is>
      </c>
      <c r="E3955" t="n">
        <v>36</v>
      </c>
      <c r="F3955" t="n">
        <v>19</v>
      </c>
    </row>
    <row r="3956">
      <c r="A3956" t="inlineStr">
        <is>
          <t>ORD03955</t>
        </is>
      </c>
      <c r="B3956" t="inlineStr">
        <is>
          <t>C1455</t>
        </is>
      </c>
      <c r="C3956" t="n">
        <v>1</v>
      </c>
      <c r="D3956" t="inlineStr">
        <is>
          <t>Hub B</t>
        </is>
      </c>
      <c r="E3956" t="n">
        <v>43</v>
      </c>
      <c r="F3956" t="n">
        <v>19</v>
      </c>
    </row>
    <row r="3957">
      <c r="A3957" t="inlineStr">
        <is>
          <t>ORD03956</t>
        </is>
      </c>
      <c r="B3957" t="inlineStr">
        <is>
          <t>C1456</t>
        </is>
      </c>
      <c r="C3957" t="n">
        <v>2</v>
      </c>
      <c r="D3957" t="inlineStr">
        <is>
          <t>Hub B</t>
        </is>
      </c>
      <c r="E3957" t="n">
        <v>50</v>
      </c>
      <c r="F3957" t="n">
        <v>19</v>
      </c>
    </row>
    <row r="3958">
      <c r="A3958" t="inlineStr">
        <is>
          <t>ORD03957</t>
        </is>
      </c>
      <c r="B3958" t="inlineStr">
        <is>
          <t>C1457</t>
        </is>
      </c>
      <c r="C3958" t="n">
        <v>3</v>
      </c>
      <c r="D3958" t="inlineStr">
        <is>
          <t>Hub B</t>
        </is>
      </c>
      <c r="E3958" t="n">
        <v>57</v>
      </c>
      <c r="F3958" t="n">
        <v>19</v>
      </c>
    </row>
    <row r="3959">
      <c r="A3959" t="inlineStr">
        <is>
          <t>ORD03958</t>
        </is>
      </c>
      <c r="B3959" t="inlineStr">
        <is>
          <t>C1458</t>
        </is>
      </c>
      <c r="C3959" t="n">
        <v>1</v>
      </c>
      <c r="D3959" t="inlineStr">
        <is>
          <t>Hub B</t>
        </is>
      </c>
      <c r="E3959" t="n">
        <v>64</v>
      </c>
      <c r="F3959" t="n">
        <v>19</v>
      </c>
    </row>
    <row r="3960">
      <c r="A3960" t="inlineStr">
        <is>
          <t>ORD03959</t>
        </is>
      </c>
      <c r="B3960" t="inlineStr">
        <is>
          <t>C1459</t>
        </is>
      </c>
      <c r="C3960" t="n">
        <v>2</v>
      </c>
      <c r="D3960" t="inlineStr">
        <is>
          <t>Hub B</t>
        </is>
      </c>
      <c r="E3960" t="n">
        <v>71</v>
      </c>
      <c r="F3960" t="n">
        <v>19</v>
      </c>
    </row>
    <row r="3961">
      <c r="A3961" t="inlineStr">
        <is>
          <t>ORD03960</t>
        </is>
      </c>
      <c r="B3961" t="inlineStr">
        <is>
          <t>C1460</t>
        </is>
      </c>
      <c r="C3961" t="n">
        <v>3</v>
      </c>
      <c r="D3961" t="inlineStr">
        <is>
          <t>Hub B</t>
        </is>
      </c>
      <c r="E3961" t="n">
        <v>18</v>
      </c>
      <c r="F3961" t="n">
        <v>19</v>
      </c>
    </row>
    <row r="3962">
      <c r="A3962" t="inlineStr">
        <is>
          <t>ORD03961</t>
        </is>
      </c>
      <c r="B3962" t="inlineStr">
        <is>
          <t>C1461</t>
        </is>
      </c>
      <c r="C3962" t="n">
        <v>1</v>
      </c>
      <c r="D3962" t="inlineStr">
        <is>
          <t>Hub B</t>
        </is>
      </c>
      <c r="E3962" t="n">
        <v>25</v>
      </c>
      <c r="F3962" t="n">
        <v>19</v>
      </c>
    </row>
    <row r="3963">
      <c r="A3963" t="inlineStr">
        <is>
          <t>ORD03962</t>
        </is>
      </c>
      <c r="B3963" t="inlineStr">
        <is>
          <t>C1462</t>
        </is>
      </c>
      <c r="C3963" t="n">
        <v>2</v>
      </c>
      <c r="D3963" t="inlineStr">
        <is>
          <t>Hub B</t>
        </is>
      </c>
      <c r="E3963" t="n">
        <v>32</v>
      </c>
      <c r="F3963" t="n">
        <v>19</v>
      </c>
    </row>
    <row r="3964">
      <c r="A3964" t="inlineStr">
        <is>
          <t>ORD03963</t>
        </is>
      </c>
      <c r="B3964" t="inlineStr">
        <is>
          <t>C1463</t>
        </is>
      </c>
      <c r="C3964" t="n">
        <v>3</v>
      </c>
      <c r="D3964" t="inlineStr">
        <is>
          <t>Hub B</t>
        </is>
      </c>
      <c r="E3964" t="n">
        <v>39</v>
      </c>
      <c r="F3964" t="n">
        <v>19</v>
      </c>
    </row>
    <row r="3965">
      <c r="A3965" t="inlineStr">
        <is>
          <t>ORD03964</t>
        </is>
      </c>
      <c r="B3965" t="inlineStr">
        <is>
          <t>C1464</t>
        </is>
      </c>
      <c r="C3965" t="n">
        <v>1</v>
      </c>
      <c r="D3965" t="inlineStr">
        <is>
          <t>Hub B</t>
        </is>
      </c>
      <c r="E3965" t="n">
        <v>46</v>
      </c>
      <c r="F3965" t="n">
        <v>19</v>
      </c>
    </row>
    <row r="3966">
      <c r="A3966" t="inlineStr">
        <is>
          <t>ORD03965</t>
        </is>
      </c>
      <c r="B3966" t="inlineStr">
        <is>
          <t>C1465</t>
        </is>
      </c>
      <c r="C3966" t="n">
        <v>2</v>
      </c>
      <c r="D3966" t="inlineStr">
        <is>
          <t>Hub B</t>
        </is>
      </c>
      <c r="E3966" t="n">
        <v>53</v>
      </c>
      <c r="F3966" t="n">
        <v>19</v>
      </c>
    </row>
    <row r="3967">
      <c r="A3967" t="inlineStr">
        <is>
          <t>ORD03966</t>
        </is>
      </c>
      <c r="B3967" t="inlineStr">
        <is>
          <t>C1466</t>
        </is>
      </c>
      <c r="C3967" t="n">
        <v>3</v>
      </c>
      <c r="D3967" t="inlineStr">
        <is>
          <t>Hub B</t>
        </is>
      </c>
      <c r="E3967" t="n">
        <v>60</v>
      </c>
      <c r="F3967" t="n">
        <v>19</v>
      </c>
    </row>
    <row r="3968">
      <c r="A3968" t="inlineStr">
        <is>
          <t>ORD03967</t>
        </is>
      </c>
      <c r="B3968" t="inlineStr">
        <is>
          <t>C1467</t>
        </is>
      </c>
      <c r="C3968" t="n">
        <v>1</v>
      </c>
      <c r="D3968" t="inlineStr">
        <is>
          <t>Hub B</t>
        </is>
      </c>
      <c r="E3968" t="n">
        <v>67</v>
      </c>
      <c r="F3968" t="n">
        <v>19</v>
      </c>
    </row>
    <row r="3969">
      <c r="A3969" t="inlineStr">
        <is>
          <t>ORD03968</t>
        </is>
      </c>
      <c r="B3969" t="inlineStr">
        <is>
          <t>C1468</t>
        </is>
      </c>
      <c r="C3969" t="n">
        <v>2</v>
      </c>
      <c r="D3969" t="inlineStr">
        <is>
          <t>Hub B</t>
        </is>
      </c>
      <c r="E3969" t="n">
        <v>74</v>
      </c>
      <c r="F3969" t="n">
        <v>19</v>
      </c>
    </row>
    <row r="3970">
      <c r="A3970" t="inlineStr">
        <is>
          <t>ORD03969</t>
        </is>
      </c>
      <c r="B3970" t="inlineStr">
        <is>
          <t>C1469</t>
        </is>
      </c>
      <c r="C3970" t="n">
        <v>3</v>
      </c>
      <c r="D3970" t="inlineStr">
        <is>
          <t>Hub B</t>
        </is>
      </c>
      <c r="E3970" t="n">
        <v>21</v>
      </c>
      <c r="F3970" t="n">
        <v>19</v>
      </c>
    </row>
    <row r="3971">
      <c r="A3971" t="inlineStr">
        <is>
          <t>ORD03970</t>
        </is>
      </c>
      <c r="B3971" t="inlineStr">
        <is>
          <t>C1470</t>
        </is>
      </c>
      <c r="C3971" t="n">
        <v>1</v>
      </c>
      <c r="D3971" t="inlineStr">
        <is>
          <t>Hub B</t>
        </is>
      </c>
      <c r="E3971" t="n">
        <v>28</v>
      </c>
      <c r="F3971" t="n">
        <v>19</v>
      </c>
    </row>
    <row r="3972">
      <c r="A3972" t="inlineStr">
        <is>
          <t>ORD03971</t>
        </is>
      </c>
      <c r="B3972" t="inlineStr">
        <is>
          <t>C1471</t>
        </is>
      </c>
      <c r="C3972" t="n">
        <v>2</v>
      </c>
      <c r="D3972" t="inlineStr">
        <is>
          <t>Hub B</t>
        </is>
      </c>
      <c r="E3972" t="n">
        <v>35</v>
      </c>
      <c r="F3972" t="n">
        <v>19</v>
      </c>
    </row>
    <row r="3973">
      <c r="A3973" t="inlineStr">
        <is>
          <t>ORD03972</t>
        </is>
      </c>
      <c r="B3973" t="inlineStr">
        <is>
          <t>C1472</t>
        </is>
      </c>
      <c r="C3973" t="n">
        <v>3</v>
      </c>
      <c r="D3973" t="inlineStr">
        <is>
          <t>Hub B</t>
        </is>
      </c>
      <c r="E3973" t="n">
        <v>42</v>
      </c>
      <c r="F3973" t="n">
        <v>19</v>
      </c>
    </row>
    <row r="3974">
      <c r="A3974" t="inlineStr">
        <is>
          <t>ORD03973</t>
        </is>
      </c>
      <c r="B3974" t="inlineStr">
        <is>
          <t>C1473</t>
        </is>
      </c>
      <c r="C3974" t="n">
        <v>1</v>
      </c>
      <c r="D3974" t="inlineStr">
        <is>
          <t>Hub B</t>
        </is>
      </c>
      <c r="E3974" t="n">
        <v>49</v>
      </c>
      <c r="F3974" t="n">
        <v>19</v>
      </c>
    </row>
    <row r="3975">
      <c r="A3975" t="inlineStr">
        <is>
          <t>ORD03974</t>
        </is>
      </c>
      <c r="B3975" t="inlineStr">
        <is>
          <t>C1474</t>
        </is>
      </c>
      <c r="C3975" t="n">
        <v>2</v>
      </c>
      <c r="D3975" t="inlineStr">
        <is>
          <t>Hub B</t>
        </is>
      </c>
      <c r="E3975" t="n">
        <v>56</v>
      </c>
      <c r="F3975" t="n">
        <v>19</v>
      </c>
    </row>
    <row r="3976">
      <c r="A3976" t="inlineStr">
        <is>
          <t>ORD03975</t>
        </is>
      </c>
      <c r="B3976" t="inlineStr">
        <is>
          <t>C1475</t>
        </is>
      </c>
      <c r="C3976" t="n">
        <v>3</v>
      </c>
      <c r="D3976" t="inlineStr">
        <is>
          <t>Hub B</t>
        </is>
      </c>
      <c r="E3976" t="n">
        <v>63</v>
      </c>
      <c r="F3976" t="n">
        <v>19</v>
      </c>
    </row>
    <row r="3977">
      <c r="A3977" t="inlineStr">
        <is>
          <t>ORD03976</t>
        </is>
      </c>
      <c r="B3977" t="inlineStr">
        <is>
          <t>C1476</t>
        </is>
      </c>
      <c r="C3977" t="n">
        <v>1</v>
      </c>
      <c r="D3977" t="inlineStr">
        <is>
          <t>Hub B</t>
        </is>
      </c>
      <c r="E3977" t="n">
        <v>70</v>
      </c>
      <c r="F3977" t="n">
        <v>19</v>
      </c>
    </row>
    <row r="3978">
      <c r="A3978" t="inlineStr">
        <is>
          <t>ORD03977</t>
        </is>
      </c>
      <c r="B3978" t="inlineStr">
        <is>
          <t>C1477</t>
        </is>
      </c>
      <c r="C3978" t="n">
        <v>2</v>
      </c>
      <c r="D3978" t="inlineStr">
        <is>
          <t>Hub B</t>
        </is>
      </c>
      <c r="E3978" t="n">
        <v>77</v>
      </c>
      <c r="F3978" t="n">
        <v>19</v>
      </c>
    </row>
    <row r="3979">
      <c r="A3979" t="inlineStr">
        <is>
          <t>ORD03978</t>
        </is>
      </c>
      <c r="B3979" t="inlineStr">
        <is>
          <t>C1478</t>
        </is>
      </c>
      <c r="C3979" t="n">
        <v>3</v>
      </c>
      <c r="D3979" t="inlineStr">
        <is>
          <t>Hub B</t>
        </is>
      </c>
      <c r="E3979" t="n">
        <v>24</v>
      </c>
      <c r="F3979" t="n">
        <v>19</v>
      </c>
    </row>
    <row r="3980">
      <c r="A3980" t="inlineStr">
        <is>
          <t>ORD03979</t>
        </is>
      </c>
      <c r="B3980" t="inlineStr">
        <is>
          <t>C1479</t>
        </is>
      </c>
      <c r="C3980" t="n">
        <v>1</v>
      </c>
      <c r="D3980" t="inlineStr">
        <is>
          <t>Hub B</t>
        </is>
      </c>
      <c r="E3980" t="n">
        <v>31</v>
      </c>
      <c r="F3980" t="n">
        <v>19</v>
      </c>
    </row>
    <row r="3981">
      <c r="A3981" t="inlineStr">
        <is>
          <t>ORD03980</t>
        </is>
      </c>
      <c r="B3981" t="inlineStr">
        <is>
          <t>C1480</t>
        </is>
      </c>
      <c r="C3981" t="n">
        <v>2</v>
      </c>
      <c r="D3981" t="inlineStr">
        <is>
          <t>Hub B</t>
        </is>
      </c>
      <c r="E3981" t="n">
        <v>38</v>
      </c>
      <c r="F3981" t="n">
        <v>19</v>
      </c>
    </row>
    <row r="3982">
      <c r="A3982" t="inlineStr">
        <is>
          <t>ORD03981</t>
        </is>
      </c>
      <c r="B3982" t="inlineStr">
        <is>
          <t>C1481</t>
        </is>
      </c>
      <c r="C3982" t="n">
        <v>3</v>
      </c>
      <c r="D3982" t="inlineStr">
        <is>
          <t>Hub B</t>
        </is>
      </c>
      <c r="E3982" t="n">
        <v>45</v>
      </c>
      <c r="F3982" t="n">
        <v>19</v>
      </c>
    </row>
    <row r="3983">
      <c r="A3983" t="inlineStr">
        <is>
          <t>ORD03982</t>
        </is>
      </c>
      <c r="B3983" t="inlineStr">
        <is>
          <t>C1482</t>
        </is>
      </c>
      <c r="C3983" t="n">
        <v>1</v>
      </c>
      <c r="D3983" t="inlineStr">
        <is>
          <t>Hub B</t>
        </is>
      </c>
      <c r="E3983" t="n">
        <v>52</v>
      </c>
      <c r="F3983" t="n">
        <v>19</v>
      </c>
    </row>
    <row r="3984">
      <c r="A3984" t="inlineStr">
        <is>
          <t>ORD03983</t>
        </is>
      </c>
      <c r="B3984" t="inlineStr">
        <is>
          <t>C1483</t>
        </is>
      </c>
      <c r="C3984" t="n">
        <v>2</v>
      </c>
      <c r="D3984" t="inlineStr">
        <is>
          <t>Hub B</t>
        </is>
      </c>
      <c r="E3984" t="n">
        <v>59</v>
      </c>
      <c r="F3984" t="n">
        <v>19</v>
      </c>
    </row>
    <row r="3985">
      <c r="A3985" t="inlineStr">
        <is>
          <t>ORD03984</t>
        </is>
      </c>
      <c r="B3985" t="inlineStr">
        <is>
          <t>C1484</t>
        </is>
      </c>
      <c r="C3985" t="n">
        <v>3</v>
      </c>
      <c r="D3985" t="inlineStr">
        <is>
          <t>Hub B</t>
        </is>
      </c>
      <c r="E3985" t="n">
        <v>66</v>
      </c>
      <c r="F3985" t="n">
        <v>19</v>
      </c>
    </row>
    <row r="3986">
      <c r="A3986" t="inlineStr">
        <is>
          <t>ORD03985</t>
        </is>
      </c>
      <c r="B3986" t="inlineStr">
        <is>
          <t>C1485</t>
        </is>
      </c>
      <c r="C3986" t="n">
        <v>1</v>
      </c>
      <c r="D3986" t="inlineStr">
        <is>
          <t>Hub B</t>
        </is>
      </c>
      <c r="E3986" t="n">
        <v>73</v>
      </c>
      <c r="F3986" t="n">
        <v>19</v>
      </c>
    </row>
    <row r="3987">
      <c r="A3987" t="inlineStr">
        <is>
          <t>ORD03986</t>
        </is>
      </c>
      <c r="B3987" t="inlineStr">
        <is>
          <t>C1486</t>
        </is>
      </c>
      <c r="C3987" t="n">
        <v>2</v>
      </c>
      <c r="D3987" t="inlineStr">
        <is>
          <t>Hub B</t>
        </is>
      </c>
      <c r="E3987" t="n">
        <v>20</v>
      </c>
      <c r="F3987" t="n">
        <v>19</v>
      </c>
    </row>
    <row r="3988">
      <c r="A3988" t="inlineStr">
        <is>
          <t>ORD03987</t>
        </is>
      </c>
      <c r="B3988" t="inlineStr">
        <is>
          <t>C1487</t>
        </is>
      </c>
      <c r="C3988" t="n">
        <v>3</v>
      </c>
      <c r="D3988" t="inlineStr">
        <is>
          <t>Hub B</t>
        </is>
      </c>
      <c r="E3988" t="n">
        <v>27</v>
      </c>
      <c r="F3988" t="n">
        <v>19</v>
      </c>
    </row>
    <row r="3989">
      <c r="A3989" t="inlineStr">
        <is>
          <t>ORD03988</t>
        </is>
      </c>
      <c r="B3989" t="inlineStr">
        <is>
          <t>C1488</t>
        </is>
      </c>
      <c r="C3989" t="n">
        <v>1</v>
      </c>
      <c r="D3989" t="inlineStr">
        <is>
          <t>Hub B</t>
        </is>
      </c>
      <c r="E3989" t="n">
        <v>34</v>
      </c>
      <c r="F3989" t="n">
        <v>19</v>
      </c>
    </row>
    <row r="3990">
      <c r="A3990" t="inlineStr">
        <is>
          <t>ORD03989</t>
        </is>
      </c>
      <c r="B3990" t="inlineStr">
        <is>
          <t>C1489</t>
        </is>
      </c>
      <c r="C3990" t="n">
        <v>2</v>
      </c>
      <c r="D3990" t="inlineStr">
        <is>
          <t>Hub B</t>
        </is>
      </c>
      <c r="E3990" t="n">
        <v>41</v>
      </c>
      <c r="F3990" t="n">
        <v>19</v>
      </c>
    </row>
    <row r="3991">
      <c r="A3991" t="inlineStr">
        <is>
          <t>ORD03990</t>
        </is>
      </c>
      <c r="B3991" t="inlineStr">
        <is>
          <t>C1490</t>
        </is>
      </c>
      <c r="C3991" t="n">
        <v>3</v>
      </c>
      <c r="D3991" t="inlineStr">
        <is>
          <t>Hub B</t>
        </is>
      </c>
      <c r="E3991" t="n">
        <v>48</v>
      </c>
      <c r="F3991" t="n">
        <v>19</v>
      </c>
    </row>
    <row r="3992">
      <c r="A3992" t="inlineStr">
        <is>
          <t>ORD03991</t>
        </is>
      </c>
      <c r="B3992" t="inlineStr">
        <is>
          <t>C1491</t>
        </is>
      </c>
      <c r="C3992" t="n">
        <v>1</v>
      </c>
      <c r="D3992" t="inlineStr">
        <is>
          <t>Hub B</t>
        </is>
      </c>
      <c r="E3992" t="n">
        <v>55</v>
      </c>
      <c r="F3992" t="n">
        <v>19</v>
      </c>
    </row>
    <row r="3993">
      <c r="A3993" t="inlineStr">
        <is>
          <t>ORD03992</t>
        </is>
      </c>
      <c r="B3993" t="inlineStr">
        <is>
          <t>C1492</t>
        </is>
      </c>
      <c r="C3993" t="n">
        <v>2</v>
      </c>
      <c r="D3993" t="inlineStr">
        <is>
          <t>Hub B</t>
        </is>
      </c>
      <c r="E3993" t="n">
        <v>62</v>
      </c>
      <c r="F3993" t="n">
        <v>19</v>
      </c>
    </row>
    <row r="3994">
      <c r="A3994" t="inlineStr">
        <is>
          <t>ORD03993</t>
        </is>
      </c>
      <c r="B3994" t="inlineStr">
        <is>
          <t>C1493</t>
        </is>
      </c>
      <c r="C3994" t="n">
        <v>3</v>
      </c>
      <c r="D3994" t="inlineStr">
        <is>
          <t>Hub B</t>
        </is>
      </c>
      <c r="E3994" t="n">
        <v>69</v>
      </c>
      <c r="F3994" t="n">
        <v>19</v>
      </c>
    </row>
    <row r="3995">
      <c r="A3995" t="inlineStr">
        <is>
          <t>ORD03994</t>
        </is>
      </c>
      <c r="B3995" t="inlineStr">
        <is>
          <t>C1494</t>
        </is>
      </c>
      <c r="C3995" t="n">
        <v>1</v>
      </c>
      <c r="D3995" t="inlineStr">
        <is>
          <t>Hub B</t>
        </is>
      </c>
      <c r="E3995" t="n">
        <v>76</v>
      </c>
      <c r="F3995" t="n">
        <v>19</v>
      </c>
    </row>
    <row r="3996">
      <c r="A3996" t="inlineStr">
        <is>
          <t>ORD03995</t>
        </is>
      </c>
      <c r="B3996" t="inlineStr">
        <is>
          <t>C1495</t>
        </is>
      </c>
      <c r="C3996" t="n">
        <v>2</v>
      </c>
      <c r="D3996" t="inlineStr">
        <is>
          <t>Hub B</t>
        </is>
      </c>
      <c r="E3996" t="n">
        <v>23</v>
      </c>
      <c r="F3996" t="n">
        <v>19</v>
      </c>
    </row>
    <row r="3997">
      <c r="A3997" t="inlineStr">
        <is>
          <t>ORD03996</t>
        </is>
      </c>
      <c r="B3997" t="inlineStr">
        <is>
          <t>C1496</t>
        </is>
      </c>
      <c r="C3997" t="n">
        <v>3</v>
      </c>
      <c r="D3997" t="inlineStr">
        <is>
          <t>Hub B</t>
        </is>
      </c>
      <c r="E3997" t="n">
        <v>30</v>
      </c>
      <c r="F3997" t="n">
        <v>19</v>
      </c>
    </row>
    <row r="3998">
      <c r="A3998" t="inlineStr">
        <is>
          <t>ORD03997</t>
        </is>
      </c>
      <c r="B3998" t="inlineStr">
        <is>
          <t>C1497</t>
        </is>
      </c>
      <c r="C3998" t="n">
        <v>1</v>
      </c>
      <c r="D3998" t="inlineStr">
        <is>
          <t>Hub B</t>
        </is>
      </c>
      <c r="E3998" t="n">
        <v>37</v>
      </c>
      <c r="F3998" t="n">
        <v>19</v>
      </c>
    </row>
    <row r="3999">
      <c r="A3999" t="inlineStr">
        <is>
          <t>ORD03998</t>
        </is>
      </c>
      <c r="B3999" t="inlineStr">
        <is>
          <t>C1498</t>
        </is>
      </c>
      <c r="C3999" t="n">
        <v>2</v>
      </c>
      <c r="D3999" t="inlineStr">
        <is>
          <t>Hub B</t>
        </is>
      </c>
      <c r="E3999" t="n">
        <v>44</v>
      </c>
      <c r="F3999" t="n">
        <v>19</v>
      </c>
    </row>
    <row r="4000">
      <c r="A4000" t="inlineStr">
        <is>
          <t>ORD03999</t>
        </is>
      </c>
      <c r="B4000" t="inlineStr">
        <is>
          <t>C1499</t>
        </is>
      </c>
      <c r="C4000" t="n">
        <v>3</v>
      </c>
      <c r="D4000" t="inlineStr">
        <is>
          <t>Hub B</t>
        </is>
      </c>
      <c r="E4000" t="n">
        <v>51</v>
      </c>
      <c r="F4000" t="n">
        <v>19</v>
      </c>
    </row>
    <row r="4001">
      <c r="A4001" t="inlineStr">
        <is>
          <t>ORD04000</t>
        </is>
      </c>
      <c r="B4001" t="inlineStr">
        <is>
          <t>C1500</t>
        </is>
      </c>
      <c r="C4001" t="n">
        <v>1</v>
      </c>
      <c r="D4001" t="inlineStr">
        <is>
          <t>Hub B</t>
        </is>
      </c>
      <c r="E4001" t="n">
        <v>58</v>
      </c>
      <c r="F4001" t="n">
        <v>19</v>
      </c>
    </row>
    <row r="4002">
      <c r="A4002" t="inlineStr">
        <is>
          <t>ORD04001</t>
        </is>
      </c>
      <c r="B4002" t="inlineStr">
        <is>
          <t>C1501</t>
        </is>
      </c>
      <c r="C4002" t="n">
        <v>2</v>
      </c>
      <c r="D4002" t="inlineStr">
        <is>
          <t>Hub B</t>
        </is>
      </c>
      <c r="E4002" t="n">
        <v>65</v>
      </c>
      <c r="F4002" t="n">
        <v>19</v>
      </c>
    </row>
    <row r="4003">
      <c r="A4003" t="inlineStr">
        <is>
          <t>ORD04002</t>
        </is>
      </c>
      <c r="B4003" t="inlineStr">
        <is>
          <t>C1502</t>
        </is>
      </c>
      <c r="C4003" t="n">
        <v>3</v>
      </c>
      <c r="D4003" t="inlineStr">
        <is>
          <t>Hub B</t>
        </is>
      </c>
      <c r="E4003" t="n">
        <v>72</v>
      </c>
      <c r="F4003" t="n">
        <v>19</v>
      </c>
    </row>
    <row r="4004">
      <c r="A4004" t="inlineStr">
        <is>
          <t>ORD04003</t>
        </is>
      </c>
      <c r="B4004" t="inlineStr">
        <is>
          <t>C1503</t>
        </is>
      </c>
      <c r="C4004" t="n">
        <v>1</v>
      </c>
      <c r="D4004" t="inlineStr">
        <is>
          <t>Hub B</t>
        </is>
      </c>
      <c r="E4004" t="n">
        <v>19</v>
      </c>
      <c r="F4004" t="n">
        <v>19</v>
      </c>
    </row>
    <row r="4005">
      <c r="A4005" t="inlineStr">
        <is>
          <t>ORD04004</t>
        </is>
      </c>
      <c r="B4005" t="inlineStr">
        <is>
          <t>C1504</t>
        </is>
      </c>
      <c r="C4005" t="n">
        <v>2</v>
      </c>
      <c r="D4005" t="inlineStr">
        <is>
          <t>Hub B</t>
        </is>
      </c>
      <c r="E4005" t="n">
        <v>26</v>
      </c>
      <c r="F4005" t="n">
        <v>19</v>
      </c>
    </row>
    <row r="4006">
      <c r="A4006" t="inlineStr">
        <is>
          <t>ORD04005</t>
        </is>
      </c>
      <c r="B4006" t="inlineStr">
        <is>
          <t>C1505</t>
        </is>
      </c>
      <c r="C4006" t="n">
        <v>3</v>
      </c>
      <c r="D4006" t="inlineStr">
        <is>
          <t>Hub B</t>
        </is>
      </c>
      <c r="E4006" t="n">
        <v>33</v>
      </c>
      <c r="F4006" t="n">
        <v>19</v>
      </c>
    </row>
    <row r="4007">
      <c r="A4007" t="inlineStr">
        <is>
          <t>ORD04006</t>
        </is>
      </c>
      <c r="B4007" t="inlineStr">
        <is>
          <t>C1506</t>
        </is>
      </c>
      <c r="C4007" t="n">
        <v>1</v>
      </c>
      <c r="D4007" t="inlineStr">
        <is>
          <t>Hub B</t>
        </is>
      </c>
      <c r="E4007" t="n">
        <v>40</v>
      </c>
      <c r="F4007" t="n">
        <v>19</v>
      </c>
    </row>
    <row r="4008">
      <c r="A4008" t="inlineStr">
        <is>
          <t>ORD04007</t>
        </is>
      </c>
      <c r="B4008" t="inlineStr">
        <is>
          <t>C1507</t>
        </is>
      </c>
      <c r="C4008" t="n">
        <v>2</v>
      </c>
      <c r="D4008" t="inlineStr">
        <is>
          <t>Hub B</t>
        </is>
      </c>
      <c r="E4008" t="n">
        <v>47</v>
      </c>
      <c r="F4008" t="n">
        <v>19</v>
      </c>
    </row>
    <row r="4009">
      <c r="A4009" t="inlineStr">
        <is>
          <t>ORD04008</t>
        </is>
      </c>
      <c r="B4009" t="inlineStr">
        <is>
          <t>C1508</t>
        </is>
      </c>
      <c r="C4009" t="n">
        <v>3</v>
      </c>
      <c r="D4009" t="inlineStr">
        <is>
          <t>Hub B</t>
        </is>
      </c>
      <c r="E4009" t="n">
        <v>54</v>
      </c>
      <c r="F4009" t="n">
        <v>19</v>
      </c>
    </row>
    <row r="4010">
      <c r="A4010" t="inlineStr">
        <is>
          <t>ORD04009</t>
        </is>
      </c>
      <c r="B4010" t="inlineStr">
        <is>
          <t>C1509</t>
        </is>
      </c>
      <c r="C4010" t="n">
        <v>1</v>
      </c>
      <c r="D4010" t="inlineStr">
        <is>
          <t>Hub B</t>
        </is>
      </c>
      <c r="E4010" t="n">
        <v>61</v>
      </c>
      <c r="F4010" t="n">
        <v>19</v>
      </c>
    </row>
    <row r="4011">
      <c r="A4011" t="inlineStr">
        <is>
          <t>ORD04010</t>
        </is>
      </c>
      <c r="B4011" t="inlineStr">
        <is>
          <t>C1510</t>
        </is>
      </c>
      <c r="C4011" t="n">
        <v>2</v>
      </c>
      <c r="D4011" t="inlineStr">
        <is>
          <t>Hub B</t>
        </is>
      </c>
      <c r="E4011" t="n">
        <v>68</v>
      </c>
      <c r="F4011" t="n">
        <v>19</v>
      </c>
    </row>
    <row r="4012">
      <c r="A4012" t="inlineStr">
        <is>
          <t>ORD04011</t>
        </is>
      </c>
      <c r="B4012" t="inlineStr">
        <is>
          <t>C1511</t>
        </is>
      </c>
      <c r="C4012" t="n">
        <v>3</v>
      </c>
      <c r="D4012" t="inlineStr">
        <is>
          <t>Hub B</t>
        </is>
      </c>
      <c r="E4012" t="n">
        <v>75</v>
      </c>
      <c r="F4012" t="n">
        <v>19</v>
      </c>
    </row>
    <row r="4013">
      <c r="A4013" t="inlineStr">
        <is>
          <t>ORD04012</t>
        </is>
      </c>
      <c r="B4013" t="inlineStr">
        <is>
          <t>C1512</t>
        </is>
      </c>
      <c r="C4013" t="n">
        <v>1</v>
      </c>
      <c r="D4013" t="inlineStr">
        <is>
          <t>Hub B</t>
        </is>
      </c>
      <c r="E4013" t="n">
        <v>22</v>
      </c>
      <c r="F4013" t="n">
        <v>19</v>
      </c>
    </row>
    <row r="4014">
      <c r="A4014" t="inlineStr">
        <is>
          <t>ORD04013</t>
        </is>
      </c>
      <c r="B4014" t="inlineStr">
        <is>
          <t>C1513</t>
        </is>
      </c>
      <c r="C4014" t="n">
        <v>2</v>
      </c>
      <c r="D4014" t="inlineStr">
        <is>
          <t>Hub B</t>
        </is>
      </c>
      <c r="E4014" t="n">
        <v>29</v>
      </c>
      <c r="F4014" t="n">
        <v>19</v>
      </c>
    </row>
    <row r="4015">
      <c r="A4015" t="inlineStr">
        <is>
          <t>ORD04014</t>
        </is>
      </c>
      <c r="B4015" t="inlineStr">
        <is>
          <t>C1514</t>
        </is>
      </c>
      <c r="C4015" t="n">
        <v>3</v>
      </c>
      <c r="D4015" t="inlineStr">
        <is>
          <t>Hub B</t>
        </is>
      </c>
      <c r="E4015" t="n">
        <v>36</v>
      </c>
      <c r="F4015" t="n">
        <v>19</v>
      </c>
    </row>
    <row r="4016">
      <c r="A4016" t="inlineStr">
        <is>
          <t>ORD04015</t>
        </is>
      </c>
      <c r="B4016" t="inlineStr">
        <is>
          <t>C1515</t>
        </is>
      </c>
      <c r="C4016" t="n">
        <v>1</v>
      </c>
      <c r="D4016" t="inlineStr">
        <is>
          <t>Hub B</t>
        </is>
      </c>
      <c r="E4016" t="n">
        <v>43</v>
      </c>
      <c r="F4016" t="n">
        <v>19</v>
      </c>
    </row>
    <row r="4017">
      <c r="A4017" t="inlineStr">
        <is>
          <t>ORD04016</t>
        </is>
      </c>
      <c r="B4017" t="inlineStr">
        <is>
          <t>C1516</t>
        </is>
      </c>
      <c r="C4017" t="n">
        <v>2</v>
      </c>
      <c r="D4017" t="inlineStr">
        <is>
          <t>Hub B</t>
        </is>
      </c>
      <c r="E4017" t="n">
        <v>50</v>
      </c>
      <c r="F4017" t="n">
        <v>19</v>
      </c>
    </row>
    <row r="4018">
      <c r="A4018" t="inlineStr">
        <is>
          <t>ORD04017</t>
        </is>
      </c>
      <c r="B4018" t="inlineStr">
        <is>
          <t>C1517</t>
        </is>
      </c>
      <c r="C4018" t="n">
        <v>3</v>
      </c>
      <c r="D4018" t="inlineStr">
        <is>
          <t>Hub B</t>
        </is>
      </c>
      <c r="E4018" t="n">
        <v>57</v>
      </c>
      <c r="F4018" t="n">
        <v>19</v>
      </c>
    </row>
    <row r="4019">
      <c r="A4019" t="inlineStr">
        <is>
          <t>ORD04018</t>
        </is>
      </c>
      <c r="B4019" t="inlineStr">
        <is>
          <t>C1518</t>
        </is>
      </c>
      <c r="C4019" t="n">
        <v>1</v>
      </c>
      <c r="D4019" t="inlineStr">
        <is>
          <t>Hub B</t>
        </is>
      </c>
      <c r="E4019" t="n">
        <v>64</v>
      </c>
      <c r="F4019" t="n">
        <v>19</v>
      </c>
    </row>
    <row r="4020">
      <c r="A4020" t="inlineStr">
        <is>
          <t>ORD04019</t>
        </is>
      </c>
      <c r="B4020" t="inlineStr">
        <is>
          <t>C1519</t>
        </is>
      </c>
      <c r="C4020" t="n">
        <v>2</v>
      </c>
      <c r="D4020" t="inlineStr">
        <is>
          <t>Hub B</t>
        </is>
      </c>
      <c r="E4020" t="n">
        <v>71</v>
      </c>
      <c r="F4020" t="n">
        <v>19</v>
      </c>
    </row>
    <row r="4021">
      <c r="A4021" t="inlineStr">
        <is>
          <t>ORD04020</t>
        </is>
      </c>
      <c r="B4021" t="inlineStr">
        <is>
          <t>C1520</t>
        </is>
      </c>
      <c r="C4021" t="n">
        <v>3</v>
      </c>
      <c r="D4021" t="inlineStr">
        <is>
          <t>Hub B</t>
        </is>
      </c>
      <c r="E4021" t="n">
        <v>18</v>
      </c>
      <c r="F4021" t="n">
        <v>19</v>
      </c>
    </row>
    <row r="4022">
      <c r="A4022" t="inlineStr">
        <is>
          <t>ORD04021</t>
        </is>
      </c>
      <c r="B4022" t="inlineStr">
        <is>
          <t>C1521</t>
        </is>
      </c>
      <c r="C4022" t="n">
        <v>1</v>
      </c>
      <c r="D4022" t="inlineStr">
        <is>
          <t>Hub B</t>
        </is>
      </c>
      <c r="E4022" t="n">
        <v>25</v>
      </c>
      <c r="F4022" t="n">
        <v>19</v>
      </c>
    </row>
    <row r="4023">
      <c r="A4023" t="inlineStr">
        <is>
          <t>ORD04022</t>
        </is>
      </c>
      <c r="B4023" t="inlineStr">
        <is>
          <t>C1522</t>
        </is>
      </c>
      <c r="C4023" t="n">
        <v>2</v>
      </c>
      <c r="D4023" t="inlineStr">
        <is>
          <t>Hub B</t>
        </is>
      </c>
      <c r="E4023" t="n">
        <v>32</v>
      </c>
      <c r="F4023" t="n">
        <v>19</v>
      </c>
    </row>
    <row r="4024">
      <c r="A4024" t="inlineStr">
        <is>
          <t>ORD04023</t>
        </is>
      </c>
      <c r="B4024" t="inlineStr">
        <is>
          <t>C1523</t>
        </is>
      </c>
      <c r="C4024" t="n">
        <v>3</v>
      </c>
      <c r="D4024" t="inlineStr">
        <is>
          <t>Hub B</t>
        </is>
      </c>
      <c r="E4024" t="n">
        <v>39</v>
      </c>
      <c r="F4024" t="n">
        <v>19</v>
      </c>
    </row>
    <row r="4025">
      <c r="A4025" t="inlineStr">
        <is>
          <t>ORD04024</t>
        </is>
      </c>
      <c r="B4025" t="inlineStr">
        <is>
          <t>C1524</t>
        </is>
      </c>
      <c r="C4025" t="n">
        <v>1</v>
      </c>
      <c r="D4025" t="inlineStr">
        <is>
          <t>Hub B</t>
        </is>
      </c>
      <c r="E4025" t="n">
        <v>46</v>
      </c>
      <c r="F4025" t="n">
        <v>19</v>
      </c>
    </row>
    <row r="4026">
      <c r="A4026" t="inlineStr">
        <is>
          <t>ORD04025</t>
        </is>
      </c>
      <c r="B4026" t="inlineStr">
        <is>
          <t>C1525</t>
        </is>
      </c>
      <c r="C4026" t="n">
        <v>2</v>
      </c>
      <c r="D4026" t="inlineStr">
        <is>
          <t>Hub B</t>
        </is>
      </c>
      <c r="E4026" t="n">
        <v>53</v>
      </c>
      <c r="F4026" t="n">
        <v>19</v>
      </c>
    </row>
    <row r="4027">
      <c r="A4027" t="inlineStr">
        <is>
          <t>ORD04026</t>
        </is>
      </c>
      <c r="B4027" t="inlineStr">
        <is>
          <t>C1526</t>
        </is>
      </c>
      <c r="C4027" t="n">
        <v>3</v>
      </c>
      <c r="D4027" t="inlineStr">
        <is>
          <t>Hub B</t>
        </is>
      </c>
      <c r="E4027" t="n">
        <v>60</v>
      </c>
      <c r="F4027" t="n">
        <v>19</v>
      </c>
    </row>
    <row r="4028">
      <c r="A4028" t="inlineStr">
        <is>
          <t>ORD04027</t>
        </is>
      </c>
      <c r="B4028" t="inlineStr">
        <is>
          <t>C1527</t>
        </is>
      </c>
      <c r="C4028" t="n">
        <v>1</v>
      </c>
      <c r="D4028" t="inlineStr">
        <is>
          <t>Hub B</t>
        </is>
      </c>
      <c r="E4028" t="n">
        <v>67</v>
      </c>
      <c r="F4028" t="n">
        <v>19</v>
      </c>
    </row>
    <row r="4029">
      <c r="A4029" t="inlineStr">
        <is>
          <t>ORD04028</t>
        </is>
      </c>
      <c r="B4029" t="inlineStr">
        <is>
          <t>C1528</t>
        </is>
      </c>
      <c r="C4029" t="n">
        <v>2</v>
      </c>
      <c r="D4029" t="inlineStr">
        <is>
          <t>Hub B</t>
        </is>
      </c>
      <c r="E4029" t="n">
        <v>74</v>
      </c>
      <c r="F4029" t="n">
        <v>19</v>
      </c>
    </row>
    <row r="4030">
      <c r="A4030" t="inlineStr">
        <is>
          <t>ORD04029</t>
        </is>
      </c>
      <c r="B4030" t="inlineStr">
        <is>
          <t>C1529</t>
        </is>
      </c>
      <c r="C4030" t="n">
        <v>3</v>
      </c>
      <c r="D4030" t="inlineStr">
        <is>
          <t>Hub B</t>
        </is>
      </c>
      <c r="E4030" t="n">
        <v>21</v>
      </c>
      <c r="F4030" t="n">
        <v>19</v>
      </c>
    </row>
    <row r="4031">
      <c r="A4031" t="inlineStr">
        <is>
          <t>ORD04030</t>
        </is>
      </c>
      <c r="B4031" t="inlineStr">
        <is>
          <t>C1530</t>
        </is>
      </c>
      <c r="C4031" t="n">
        <v>1</v>
      </c>
      <c r="D4031" t="inlineStr">
        <is>
          <t>Hub B</t>
        </is>
      </c>
      <c r="E4031" t="n">
        <v>28</v>
      </c>
      <c r="F4031" t="n">
        <v>19</v>
      </c>
    </row>
    <row r="4032">
      <c r="A4032" t="inlineStr">
        <is>
          <t>ORD04031</t>
        </is>
      </c>
      <c r="B4032" t="inlineStr">
        <is>
          <t>C1531</t>
        </is>
      </c>
      <c r="C4032" t="n">
        <v>2</v>
      </c>
      <c r="D4032" t="inlineStr">
        <is>
          <t>Hub B</t>
        </is>
      </c>
      <c r="E4032" t="n">
        <v>35</v>
      </c>
      <c r="F4032" t="n">
        <v>19</v>
      </c>
    </row>
    <row r="4033">
      <c r="A4033" t="inlineStr">
        <is>
          <t>ORD04032</t>
        </is>
      </c>
      <c r="B4033" t="inlineStr">
        <is>
          <t>C1532</t>
        </is>
      </c>
      <c r="C4033" t="n">
        <v>3</v>
      </c>
      <c r="D4033" t="inlineStr">
        <is>
          <t>Hub B</t>
        </is>
      </c>
      <c r="E4033" t="n">
        <v>42</v>
      </c>
      <c r="F4033" t="n">
        <v>19</v>
      </c>
    </row>
    <row r="4034">
      <c r="A4034" t="inlineStr">
        <is>
          <t>ORD04033</t>
        </is>
      </c>
      <c r="B4034" t="inlineStr">
        <is>
          <t>C1533</t>
        </is>
      </c>
      <c r="C4034" t="n">
        <v>1</v>
      </c>
      <c r="D4034" t="inlineStr">
        <is>
          <t>Hub B</t>
        </is>
      </c>
      <c r="E4034" t="n">
        <v>49</v>
      </c>
      <c r="F4034" t="n">
        <v>19</v>
      </c>
    </row>
    <row r="4035">
      <c r="A4035" t="inlineStr">
        <is>
          <t>ORD04034</t>
        </is>
      </c>
      <c r="B4035" t="inlineStr">
        <is>
          <t>C1534</t>
        </is>
      </c>
      <c r="C4035" t="n">
        <v>2</v>
      </c>
      <c r="D4035" t="inlineStr">
        <is>
          <t>Hub B</t>
        </is>
      </c>
      <c r="E4035" t="n">
        <v>56</v>
      </c>
      <c r="F4035" t="n">
        <v>19</v>
      </c>
    </row>
    <row r="4036">
      <c r="A4036" t="inlineStr">
        <is>
          <t>ORD04035</t>
        </is>
      </c>
      <c r="B4036" t="inlineStr">
        <is>
          <t>C1535</t>
        </is>
      </c>
      <c r="C4036" t="n">
        <v>3</v>
      </c>
      <c r="D4036" t="inlineStr">
        <is>
          <t>Hub B</t>
        </is>
      </c>
      <c r="E4036" t="n">
        <v>63</v>
      </c>
      <c r="F4036" t="n">
        <v>19</v>
      </c>
    </row>
    <row r="4037">
      <c r="A4037" t="inlineStr">
        <is>
          <t>ORD04036</t>
        </is>
      </c>
      <c r="B4037" t="inlineStr">
        <is>
          <t>C1536</t>
        </is>
      </c>
      <c r="C4037" t="n">
        <v>1</v>
      </c>
      <c r="D4037" t="inlineStr">
        <is>
          <t>Hub B</t>
        </is>
      </c>
      <c r="E4037" t="n">
        <v>70</v>
      </c>
      <c r="F4037" t="n">
        <v>19</v>
      </c>
    </row>
    <row r="4038">
      <c r="A4038" t="inlineStr">
        <is>
          <t>ORD04037</t>
        </is>
      </c>
      <c r="B4038" t="inlineStr">
        <is>
          <t>C1537</t>
        </is>
      </c>
      <c r="C4038" t="n">
        <v>2</v>
      </c>
      <c r="D4038" t="inlineStr">
        <is>
          <t>Hub B</t>
        </is>
      </c>
      <c r="E4038" t="n">
        <v>77</v>
      </c>
      <c r="F4038" t="n">
        <v>19</v>
      </c>
    </row>
    <row r="4039">
      <c r="A4039" t="inlineStr">
        <is>
          <t>ORD04038</t>
        </is>
      </c>
      <c r="B4039" t="inlineStr">
        <is>
          <t>C1538</t>
        </is>
      </c>
      <c r="C4039" t="n">
        <v>3</v>
      </c>
      <c r="D4039" t="inlineStr">
        <is>
          <t>Hub B</t>
        </is>
      </c>
      <c r="E4039" t="n">
        <v>24</v>
      </c>
      <c r="F4039" t="n">
        <v>19</v>
      </c>
    </row>
    <row r="4040">
      <c r="A4040" t="inlineStr">
        <is>
          <t>ORD04039</t>
        </is>
      </c>
      <c r="B4040" t="inlineStr">
        <is>
          <t>C1539</t>
        </is>
      </c>
      <c r="C4040" t="n">
        <v>1</v>
      </c>
      <c r="D4040" t="inlineStr">
        <is>
          <t>Hub B</t>
        </is>
      </c>
      <c r="E4040" t="n">
        <v>31</v>
      </c>
      <c r="F4040" t="n">
        <v>19</v>
      </c>
    </row>
    <row r="4041">
      <c r="A4041" t="inlineStr">
        <is>
          <t>ORD04040</t>
        </is>
      </c>
      <c r="B4041" t="inlineStr">
        <is>
          <t>C1540</t>
        </is>
      </c>
      <c r="C4041" t="n">
        <v>2</v>
      </c>
      <c r="D4041" t="inlineStr">
        <is>
          <t>Hub B</t>
        </is>
      </c>
      <c r="E4041" t="n">
        <v>38</v>
      </c>
      <c r="F4041" t="n">
        <v>19</v>
      </c>
    </row>
    <row r="4042">
      <c r="A4042" t="inlineStr">
        <is>
          <t>ORD04041</t>
        </is>
      </c>
      <c r="B4042" t="inlineStr">
        <is>
          <t>C1541</t>
        </is>
      </c>
      <c r="C4042" t="n">
        <v>3</v>
      </c>
      <c r="D4042" t="inlineStr">
        <is>
          <t>Hub B</t>
        </is>
      </c>
      <c r="E4042" t="n">
        <v>45</v>
      </c>
      <c r="F4042" t="n">
        <v>19</v>
      </c>
    </row>
    <row r="4043">
      <c r="A4043" t="inlineStr">
        <is>
          <t>ORD04042</t>
        </is>
      </c>
      <c r="B4043" t="inlineStr">
        <is>
          <t>C1542</t>
        </is>
      </c>
      <c r="C4043" t="n">
        <v>1</v>
      </c>
      <c r="D4043" t="inlineStr">
        <is>
          <t>Hub B</t>
        </is>
      </c>
      <c r="E4043" t="n">
        <v>52</v>
      </c>
      <c r="F4043" t="n">
        <v>19</v>
      </c>
    </row>
    <row r="4044">
      <c r="A4044" t="inlineStr">
        <is>
          <t>ORD04043</t>
        </is>
      </c>
      <c r="B4044" t="inlineStr">
        <is>
          <t>C1543</t>
        </is>
      </c>
      <c r="C4044" t="n">
        <v>2</v>
      </c>
      <c r="D4044" t="inlineStr">
        <is>
          <t>Hub B</t>
        </is>
      </c>
      <c r="E4044" t="n">
        <v>59</v>
      </c>
      <c r="F4044" t="n">
        <v>19</v>
      </c>
    </row>
    <row r="4045">
      <c r="A4045" t="inlineStr">
        <is>
          <t>ORD04044</t>
        </is>
      </c>
      <c r="B4045" t="inlineStr">
        <is>
          <t>C1544</t>
        </is>
      </c>
      <c r="C4045" t="n">
        <v>3</v>
      </c>
      <c r="D4045" t="inlineStr">
        <is>
          <t>Hub B</t>
        </is>
      </c>
      <c r="E4045" t="n">
        <v>66</v>
      </c>
      <c r="F4045" t="n">
        <v>19</v>
      </c>
    </row>
    <row r="4046">
      <c r="A4046" t="inlineStr">
        <is>
          <t>ORD04045</t>
        </is>
      </c>
      <c r="B4046" t="inlineStr">
        <is>
          <t>C1545</t>
        </is>
      </c>
      <c r="C4046" t="n">
        <v>1</v>
      </c>
      <c r="D4046" t="inlineStr">
        <is>
          <t>Hub B</t>
        </is>
      </c>
      <c r="E4046" t="n">
        <v>73</v>
      </c>
      <c r="F4046" t="n">
        <v>19</v>
      </c>
    </row>
    <row r="4047">
      <c r="A4047" t="inlineStr">
        <is>
          <t>ORD04046</t>
        </is>
      </c>
      <c r="B4047" t="inlineStr">
        <is>
          <t>C1546</t>
        </is>
      </c>
      <c r="C4047" t="n">
        <v>2</v>
      </c>
      <c r="D4047" t="inlineStr">
        <is>
          <t>Hub B</t>
        </is>
      </c>
      <c r="E4047" t="n">
        <v>20</v>
      </c>
      <c r="F4047" t="n">
        <v>19</v>
      </c>
    </row>
    <row r="4048">
      <c r="A4048" t="inlineStr">
        <is>
          <t>ORD04047</t>
        </is>
      </c>
      <c r="B4048" t="inlineStr">
        <is>
          <t>C1547</t>
        </is>
      </c>
      <c r="C4048" t="n">
        <v>3</v>
      </c>
      <c r="D4048" t="inlineStr">
        <is>
          <t>Hub B</t>
        </is>
      </c>
      <c r="E4048" t="n">
        <v>27</v>
      </c>
      <c r="F4048" t="n">
        <v>19</v>
      </c>
    </row>
    <row r="4049">
      <c r="A4049" t="inlineStr">
        <is>
          <t>ORD04048</t>
        </is>
      </c>
      <c r="B4049" t="inlineStr">
        <is>
          <t>C1548</t>
        </is>
      </c>
      <c r="C4049" t="n">
        <v>1</v>
      </c>
      <c r="D4049" t="inlineStr">
        <is>
          <t>Hub B</t>
        </is>
      </c>
      <c r="E4049" t="n">
        <v>34</v>
      </c>
      <c r="F4049" t="n">
        <v>19</v>
      </c>
    </row>
    <row r="4050">
      <c r="A4050" t="inlineStr">
        <is>
          <t>ORD04049</t>
        </is>
      </c>
      <c r="B4050" t="inlineStr">
        <is>
          <t>C1549</t>
        </is>
      </c>
      <c r="C4050" t="n">
        <v>2</v>
      </c>
      <c r="D4050" t="inlineStr">
        <is>
          <t>Hub B</t>
        </is>
      </c>
      <c r="E4050" t="n">
        <v>41</v>
      </c>
      <c r="F4050" t="n">
        <v>19</v>
      </c>
    </row>
    <row r="4051">
      <c r="A4051" t="inlineStr">
        <is>
          <t>ORD04050</t>
        </is>
      </c>
      <c r="B4051" t="inlineStr">
        <is>
          <t>C1550</t>
        </is>
      </c>
      <c r="C4051" t="n">
        <v>3</v>
      </c>
      <c r="D4051" t="inlineStr">
        <is>
          <t>Hub B</t>
        </is>
      </c>
      <c r="E4051" t="n">
        <v>48</v>
      </c>
      <c r="F4051" t="n">
        <v>19</v>
      </c>
    </row>
    <row r="4052">
      <c r="A4052" t="inlineStr">
        <is>
          <t>ORD04051</t>
        </is>
      </c>
      <c r="B4052" t="inlineStr">
        <is>
          <t>C1551</t>
        </is>
      </c>
      <c r="C4052" t="n">
        <v>1</v>
      </c>
      <c r="D4052" t="inlineStr">
        <is>
          <t>Hub B</t>
        </is>
      </c>
      <c r="E4052" t="n">
        <v>55</v>
      </c>
      <c r="F4052" t="n">
        <v>19</v>
      </c>
    </row>
    <row r="4053">
      <c r="A4053" t="inlineStr">
        <is>
          <t>ORD04052</t>
        </is>
      </c>
      <c r="B4053" t="inlineStr">
        <is>
          <t>C1552</t>
        </is>
      </c>
      <c r="C4053" t="n">
        <v>2</v>
      </c>
      <c r="D4053" t="inlineStr">
        <is>
          <t>Hub B</t>
        </is>
      </c>
      <c r="E4053" t="n">
        <v>62</v>
      </c>
      <c r="F4053" t="n">
        <v>19</v>
      </c>
    </row>
    <row r="4054">
      <c r="A4054" t="inlineStr">
        <is>
          <t>ORD04053</t>
        </is>
      </c>
      <c r="B4054" t="inlineStr">
        <is>
          <t>C1553</t>
        </is>
      </c>
      <c r="C4054" t="n">
        <v>3</v>
      </c>
      <c r="D4054" t="inlineStr">
        <is>
          <t>Hub B</t>
        </is>
      </c>
      <c r="E4054" t="n">
        <v>69</v>
      </c>
      <c r="F4054" t="n">
        <v>19</v>
      </c>
    </row>
    <row r="4055">
      <c r="A4055" t="inlineStr">
        <is>
          <t>ORD04054</t>
        </is>
      </c>
      <c r="B4055" t="inlineStr">
        <is>
          <t>C1554</t>
        </is>
      </c>
      <c r="C4055" t="n">
        <v>1</v>
      </c>
      <c r="D4055" t="inlineStr">
        <is>
          <t>Hub B</t>
        </is>
      </c>
      <c r="E4055" t="n">
        <v>76</v>
      </c>
      <c r="F4055" t="n">
        <v>19</v>
      </c>
    </row>
    <row r="4056">
      <c r="A4056" t="inlineStr">
        <is>
          <t>ORD04055</t>
        </is>
      </c>
      <c r="B4056" t="inlineStr">
        <is>
          <t>C1555</t>
        </is>
      </c>
      <c r="C4056" t="n">
        <v>2</v>
      </c>
      <c r="D4056" t="inlineStr">
        <is>
          <t>Hub B</t>
        </is>
      </c>
      <c r="E4056" t="n">
        <v>23</v>
      </c>
      <c r="F4056" t="n">
        <v>19</v>
      </c>
    </row>
    <row r="4057">
      <c r="A4057" t="inlineStr">
        <is>
          <t>ORD04056</t>
        </is>
      </c>
      <c r="B4057" t="inlineStr">
        <is>
          <t>C1556</t>
        </is>
      </c>
      <c r="C4057" t="n">
        <v>3</v>
      </c>
      <c r="D4057" t="inlineStr">
        <is>
          <t>Hub B</t>
        </is>
      </c>
      <c r="E4057" t="n">
        <v>30</v>
      </c>
      <c r="F4057" t="n">
        <v>19</v>
      </c>
    </row>
    <row r="4058">
      <c r="A4058" t="inlineStr">
        <is>
          <t>ORD04057</t>
        </is>
      </c>
      <c r="B4058" t="inlineStr">
        <is>
          <t>C1557</t>
        </is>
      </c>
      <c r="C4058" t="n">
        <v>1</v>
      </c>
      <c r="D4058" t="inlineStr">
        <is>
          <t>Hub B</t>
        </is>
      </c>
      <c r="E4058" t="n">
        <v>37</v>
      </c>
      <c r="F4058" t="n">
        <v>19</v>
      </c>
    </row>
    <row r="4059">
      <c r="A4059" t="inlineStr">
        <is>
          <t>ORD04058</t>
        </is>
      </c>
      <c r="B4059" t="inlineStr">
        <is>
          <t>C1558</t>
        </is>
      </c>
      <c r="C4059" t="n">
        <v>2</v>
      </c>
      <c r="D4059" t="inlineStr">
        <is>
          <t>Hub B</t>
        </is>
      </c>
      <c r="E4059" t="n">
        <v>44</v>
      </c>
      <c r="F4059" t="n">
        <v>19</v>
      </c>
    </row>
    <row r="4060">
      <c r="A4060" t="inlineStr">
        <is>
          <t>ORD04059</t>
        </is>
      </c>
      <c r="B4060" t="inlineStr">
        <is>
          <t>C1559</t>
        </is>
      </c>
      <c r="C4060" t="n">
        <v>3</v>
      </c>
      <c r="D4060" t="inlineStr">
        <is>
          <t>Hub B</t>
        </is>
      </c>
      <c r="E4060" t="n">
        <v>51</v>
      </c>
      <c r="F4060" t="n">
        <v>19</v>
      </c>
    </row>
    <row r="4061">
      <c r="A4061" t="inlineStr">
        <is>
          <t>ORD04060</t>
        </is>
      </c>
      <c r="B4061" t="inlineStr">
        <is>
          <t>C1560</t>
        </is>
      </c>
      <c r="C4061" t="n">
        <v>1</v>
      </c>
      <c r="D4061" t="inlineStr">
        <is>
          <t>Hub B</t>
        </is>
      </c>
      <c r="E4061" t="n">
        <v>58</v>
      </c>
      <c r="F4061" t="n">
        <v>19</v>
      </c>
    </row>
    <row r="4062">
      <c r="A4062" t="inlineStr">
        <is>
          <t>ORD04061</t>
        </is>
      </c>
      <c r="B4062" t="inlineStr">
        <is>
          <t>C1561</t>
        </is>
      </c>
      <c r="C4062" t="n">
        <v>2</v>
      </c>
      <c r="D4062" t="inlineStr">
        <is>
          <t>Hub B</t>
        </is>
      </c>
      <c r="E4062" t="n">
        <v>65</v>
      </c>
      <c r="F4062" t="n">
        <v>19</v>
      </c>
    </row>
    <row r="4063">
      <c r="A4063" t="inlineStr">
        <is>
          <t>ORD04062</t>
        </is>
      </c>
      <c r="B4063" t="inlineStr">
        <is>
          <t>C1562</t>
        </is>
      </c>
      <c r="C4063" t="n">
        <v>3</v>
      </c>
      <c r="D4063" t="inlineStr">
        <is>
          <t>Hub B</t>
        </is>
      </c>
      <c r="E4063" t="n">
        <v>72</v>
      </c>
      <c r="F4063" t="n">
        <v>19</v>
      </c>
    </row>
    <row r="4064">
      <c r="A4064" t="inlineStr">
        <is>
          <t>ORD04063</t>
        </is>
      </c>
      <c r="B4064" t="inlineStr">
        <is>
          <t>C1563</t>
        </is>
      </c>
      <c r="C4064" t="n">
        <v>1</v>
      </c>
      <c r="D4064" t="inlineStr">
        <is>
          <t>Hub B</t>
        </is>
      </c>
      <c r="E4064" t="n">
        <v>19</v>
      </c>
      <c r="F4064" t="n">
        <v>19</v>
      </c>
    </row>
    <row r="4065">
      <c r="A4065" t="inlineStr">
        <is>
          <t>ORD04064</t>
        </is>
      </c>
      <c r="B4065" t="inlineStr">
        <is>
          <t>C1564</t>
        </is>
      </c>
      <c r="C4065" t="n">
        <v>2</v>
      </c>
      <c r="D4065" t="inlineStr">
        <is>
          <t>Hub B</t>
        </is>
      </c>
      <c r="E4065" t="n">
        <v>26</v>
      </c>
      <c r="F4065" t="n">
        <v>19</v>
      </c>
    </row>
    <row r="4066">
      <c r="A4066" t="inlineStr">
        <is>
          <t>ORD04065</t>
        </is>
      </c>
      <c r="B4066" t="inlineStr">
        <is>
          <t>C1565</t>
        </is>
      </c>
      <c r="C4066" t="n">
        <v>3</v>
      </c>
      <c r="D4066" t="inlineStr">
        <is>
          <t>Hub B</t>
        </is>
      </c>
      <c r="E4066" t="n">
        <v>33</v>
      </c>
      <c r="F4066" t="n">
        <v>19</v>
      </c>
    </row>
    <row r="4067">
      <c r="A4067" t="inlineStr">
        <is>
          <t>ORD04066</t>
        </is>
      </c>
      <c r="B4067" t="inlineStr">
        <is>
          <t>C1566</t>
        </is>
      </c>
      <c r="C4067" t="n">
        <v>1</v>
      </c>
      <c r="D4067" t="inlineStr">
        <is>
          <t>Hub B</t>
        </is>
      </c>
      <c r="E4067" t="n">
        <v>40</v>
      </c>
      <c r="F4067" t="n">
        <v>19</v>
      </c>
    </row>
    <row r="4068">
      <c r="A4068" t="inlineStr">
        <is>
          <t>ORD04067</t>
        </is>
      </c>
      <c r="B4068" t="inlineStr">
        <is>
          <t>C1567</t>
        </is>
      </c>
      <c r="C4068" t="n">
        <v>2</v>
      </c>
      <c r="D4068" t="inlineStr">
        <is>
          <t>Hub B</t>
        </is>
      </c>
      <c r="E4068" t="n">
        <v>47</v>
      </c>
      <c r="F4068" t="n">
        <v>19</v>
      </c>
    </row>
    <row r="4069">
      <c r="A4069" t="inlineStr">
        <is>
          <t>ORD04068</t>
        </is>
      </c>
      <c r="B4069" t="inlineStr">
        <is>
          <t>C1568</t>
        </is>
      </c>
      <c r="C4069" t="n">
        <v>3</v>
      </c>
      <c r="D4069" t="inlineStr">
        <is>
          <t>Hub B</t>
        </is>
      </c>
      <c r="E4069" t="n">
        <v>54</v>
      </c>
      <c r="F4069" t="n">
        <v>19</v>
      </c>
    </row>
    <row r="4070">
      <c r="A4070" t="inlineStr">
        <is>
          <t>ORD04069</t>
        </is>
      </c>
      <c r="B4070" t="inlineStr">
        <is>
          <t>C1569</t>
        </is>
      </c>
      <c r="C4070" t="n">
        <v>1</v>
      </c>
      <c r="D4070" t="inlineStr">
        <is>
          <t>Hub B</t>
        </is>
      </c>
      <c r="E4070" t="n">
        <v>61</v>
      </c>
      <c r="F4070" t="n">
        <v>19</v>
      </c>
    </row>
    <row r="4071">
      <c r="A4071" t="inlineStr">
        <is>
          <t>ORD04070</t>
        </is>
      </c>
      <c r="B4071" t="inlineStr">
        <is>
          <t>C1570</t>
        </is>
      </c>
      <c r="C4071" t="n">
        <v>2</v>
      </c>
      <c r="D4071" t="inlineStr">
        <is>
          <t>Hub B</t>
        </is>
      </c>
      <c r="E4071" t="n">
        <v>68</v>
      </c>
      <c r="F4071" t="n">
        <v>19</v>
      </c>
    </row>
    <row r="4072">
      <c r="A4072" t="inlineStr">
        <is>
          <t>ORD04071</t>
        </is>
      </c>
      <c r="B4072" t="inlineStr">
        <is>
          <t>C1571</t>
        </is>
      </c>
      <c r="C4072" t="n">
        <v>3</v>
      </c>
      <c r="D4072" t="inlineStr">
        <is>
          <t>Hub B</t>
        </is>
      </c>
      <c r="E4072" t="n">
        <v>75</v>
      </c>
      <c r="F4072" t="n">
        <v>19</v>
      </c>
    </row>
    <row r="4073">
      <c r="A4073" t="inlineStr">
        <is>
          <t>ORD04072</t>
        </is>
      </c>
      <c r="B4073" t="inlineStr">
        <is>
          <t>C1572</t>
        </is>
      </c>
      <c r="C4073" t="n">
        <v>1</v>
      </c>
      <c r="D4073" t="inlineStr">
        <is>
          <t>Hub B</t>
        </is>
      </c>
      <c r="E4073" t="n">
        <v>22</v>
      </c>
      <c r="F4073" t="n">
        <v>19</v>
      </c>
    </row>
    <row r="4074">
      <c r="A4074" t="inlineStr">
        <is>
          <t>ORD04073</t>
        </is>
      </c>
      <c r="B4074" t="inlineStr">
        <is>
          <t>C1573</t>
        </is>
      </c>
      <c r="C4074" t="n">
        <v>2</v>
      </c>
      <c r="D4074" t="inlineStr">
        <is>
          <t>Hub B</t>
        </is>
      </c>
      <c r="E4074" t="n">
        <v>29</v>
      </c>
      <c r="F4074" t="n">
        <v>19</v>
      </c>
    </row>
    <row r="4075">
      <c r="A4075" t="inlineStr">
        <is>
          <t>ORD04074</t>
        </is>
      </c>
      <c r="B4075" t="inlineStr">
        <is>
          <t>C1574</t>
        </is>
      </c>
      <c r="C4075" t="n">
        <v>3</v>
      </c>
      <c r="D4075" t="inlineStr">
        <is>
          <t>Hub B</t>
        </is>
      </c>
      <c r="E4075" t="n">
        <v>36</v>
      </c>
      <c r="F4075" t="n">
        <v>19</v>
      </c>
    </row>
    <row r="4076">
      <c r="A4076" t="inlineStr">
        <is>
          <t>ORD04075</t>
        </is>
      </c>
      <c r="B4076" t="inlineStr">
        <is>
          <t>C1575</t>
        </is>
      </c>
      <c r="C4076" t="n">
        <v>1</v>
      </c>
      <c r="D4076" t="inlineStr">
        <is>
          <t>Hub B</t>
        </is>
      </c>
      <c r="E4076" t="n">
        <v>43</v>
      </c>
      <c r="F4076" t="n">
        <v>19</v>
      </c>
    </row>
    <row r="4077">
      <c r="A4077" t="inlineStr">
        <is>
          <t>ORD04076</t>
        </is>
      </c>
      <c r="B4077" t="inlineStr">
        <is>
          <t>C1576</t>
        </is>
      </c>
      <c r="C4077" t="n">
        <v>2</v>
      </c>
      <c r="D4077" t="inlineStr">
        <is>
          <t>Hub B</t>
        </is>
      </c>
      <c r="E4077" t="n">
        <v>50</v>
      </c>
      <c r="F4077" t="n">
        <v>19</v>
      </c>
    </row>
    <row r="4078">
      <c r="A4078" t="inlineStr">
        <is>
          <t>ORD04077</t>
        </is>
      </c>
      <c r="B4078" t="inlineStr">
        <is>
          <t>C1577</t>
        </is>
      </c>
      <c r="C4078" t="n">
        <v>3</v>
      </c>
      <c r="D4078" t="inlineStr">
        <is>
          <t>Hub B</t>
        </is>
      </c>
      <c r="E4078" t="n">
        <v>57</v>
      </c>
      <c r="F4078" t="n">
        <v>19</v>
      </c>
    </row>
    <row r="4079">
      <c r="A4079" t="inlineStr">
        <is>
          <t>ORD04078</t>
        </is>
      </c>
      <c r="B4079" t="inlineStr">
        <is>
          <t>C1578</t>
        </is>
      </c>
      <c r="C4079" t="n">
        <v>1</v>
      </c>
      <c r="D4079" t="inlineStr">
        <is>
          <t>Hub B</t>
        </is>
      </c>
      <c r="E4079" t="n">
        <v>64</v>
      </c>
      <c r="F4079" t="n">
        <v>19</v>
      </c>
    </row>
    <row r="4080">
      <c r="A4080" t="inlineStr">
        <is>
          <t>ORD04079</t>
        </is>
      </c>
      <c r="B4080" t="inlineStr">
        <is>
          <t>C1579</t>
        </is>
      </c>
      <c r="C4080" t="n">
        <v>2</v>
      </c>
      <c r="D4080" t="inlineStr">
        <is>
          <t>Hub B</t>
        </is>
      </c>
      <c r="E4080" t="n">
        <v>71</v>
      </c>
      <c r="F4080" t="n">
        <v>19</v>
      </c>
    </row>
    <row r="4081">
      <c r="A4081" t="inlineStr">
        <is>
          <t>ORD04080</t>
        </is>
      </c>
      <c r="B4081" t="inlineStr">
        <is>
          <t>C1580</t>
        </is>
      </c>
      <c r="C4081" t="n">
        <v>3</v>
      </c>
      <c r="D4081" t="inlineStr">
        <is>
          <t>Hub B</t>
        </is>
      </c>
      <c r="E4081" t="n">
        <v>18</v>
      </c>
      <c r="F4081" t="n">
        <v>19</v>
      </c>
    </row>
    <row r="4082">
      <c r="A4082" t="inlineStr">
        <is>
          <t>ORD04081</t>
        </is>
      </c>
      <c r="B4082" t="inlineStr">
        <is>
          <t>C1581</t>
        </is>
      </c>
      <c r="C4082" t="n">
        <v>1</v>
      </c>
      <c r="D4082" t="inlineStr">
        <is>
          <t>Hub B</t>
        </is>
      </c>
      <c r="E4082" t="n">
        <v>25</v>
      </c>
      <c r="F4082" t="n">
        <v>19</v>
      </c>
    </row>
    <row r="4083">
      <c r="A4083" t="inlineStr">
        <is>
          <t>ORD04082</t>
        </is>
      </c>
      <c r="B4083" t="inlineStr">
        <is>
          <t>C1582</t>
        </is>
      </c>
      <c r="C4083" t="n">
        <v>2</v>
      </c>
      <c r="D4083" t="inlineStr">
        <is>
          <t>Hub B</t>
        </is>
      </c>
      <c r="E4083" t="n">
        <v>32</v>
      </c>
      <c r="F4083" t="n">
        <v>19</v>
      </c>
    </row>
    <row r="4084">
      <c r="A4084" t="inlineStr">
        <is>
          <t>ORD04083</t>
        </is>
      </c>
      <c r="B4084" t="inlineStr">
        <is>
          <t>C1583</t>
        </is>
      </c>
      <c r="C4084" t="n">
        <v>3</v>
      </c>
      <c r="D4084" t="inlineStr">
        <is>
          <t>Hub B</t>
        </is>
      </c>
      <c r="E4084" t="n">
        <v>39</v>
      </c>
      <c r="F4084" t="n">
        <v>19</v>
      </c>
    </row>
    <row r="4085">
      <c r="A4085" t="inlineStr">
        <is>
          <t>ORD04084</t>
        </is>
      </c>
      <c r="B4085" t="inlineStr">
        <is>
          <t>C1584</t>
        </is>
      </c>
      <c r="C4085" t="n">
        <v>1</v>
      </c>
      <c r="D4085" t="inlineStr">
        <is>
          <t>Hub B</t>
        </is>
      </c>
      <c r="E4085" t="n">
        <v>46</v>
      </c>
      <c r="F4085" t="n">
        <v>19</v>
      </c>
    </row>
    <row r="4086">
      <c r="A4086" t="inlineStr">
        <is>
          <t>ORD04085</t>
        </is>
      </c>
      <c r="B4086" t="inlineStr">
        <is>
          <t>C1585</t>
        </is>
      </c>
      <c r="C4086" t="n">
        <v>2</v>
      </c>
      <c r="D4086" t="inlineStr">
        <is>
          <t>Hub B</t>
        </is>
      </c>
      <c r="E4086" t="n">
        <v>53</v>
      </c>
      <c r="F4086" t="n">
        <v>19</v>
      </c>
    </row>
    <row r="4087">
      <c r="A4087" t="inlineStr">
        <is>
          <t>ORD04086</t>
        </is>
      </c>
      <c r="B4087" t="inlineStr">
        <is>
          <t>C1586</t>
        </is>
      </c>
      <c r="C4087" t="n">
        <v>3</v>
      </c>
      <c r="D4087" t="inlineStr">
        <is>
          <t>Hub B</t>
        </is>
      </c>
      <c r="E4087" t="n">
        <v>60</v>
      </c>
      <c r="F4087" t="n">
        <v>19</v>
      </c>
    </row>
    <row r="4088">
      <c r="A4088" t="inlineStr">
        <is>
          <t>ORD04087</t>
        </is>
      </c>
      <c r="B4088" t="inlineStr">
        <is>
          <t>C1587</t>
        </is>
      </c>
      <c r="C4088" t="n">
        <v>1</v>
      </c>
      <c r="D4088" t="inlineStr">
        <is>
          <t>Hub B</t>
        </is>
      </c>
      <c r="E4088" t="n">
        <v>67</v>
      </c>
      <c r="F4088" t="n">
        <v>19</v>
      </c>
    </row>
    <row r="4089">
      <c r="A4089" t="inlineStr">
        <is>
          <t>ORD04088</t>
        </is>
      </c>
      <c r="B4089" t="inlineStr">
        <is>
          <t>C1588</t>
        </is>
      </c>
      <c r="C4089" t="n">
        <v>2</v>
      </c>
      <c r="D4089" t="inlineStr">
        <is>
          <t>Hub B</t>
        </is>
      </c>
      <c r="E4089" t="n">
        <v>74</v>
      </c>
      <c r="F4089" t="n">
        <v>19</v>
      </c>
    </row>
    <row r="4090">
      <c r="A4090" t="inlineStr">
        <is>
          <t>ORD04089</t>
        </is>
      </c>
      <c r="B4090" t="inlineStr">
        <is>
          <t>C1589</t>
        </is>
      </c>
      <c r="C4090" t="n">
        <v>3</v>
      </c>
      <c r="D4090" t="inlineStr">
        <is>
          <t>Hub B</t>
        </is>
      </c>
      <c r="E4090" t="n">
        <v>21</v>
      </c>
      <c r="F4090" t="n">
        <v>19</v>
      </c>
    </row>
    <row r="4091">
      <c r="A4091" t="inlineStr">
        <is>
          <t>ORD04090</t>
        </is>
      </c>
      <c r="B4091" t="inlineStr">
        <is>
          <t>C1590</t>
        </is>
      </c>
      <c r="C4091" t="n">
        <v>1</v>
      </c>
      <c r="D4091" t="inlineStr">
        <is>
          <t>Hub B</t>
        </is>
      </c>
      <c r="E4091" t="n">
        <v>28</v>
      </c>
      <c r="F4091" t="n">
        <v>19</v>
      </c>
    </row>
    <row r="4092">
      <c r="A4092" t="inlineStr">
        <is>
          <t>ORD04091</t>
        </is>
      </c>
      <c r="B4092" t="inlineStr">
        <is>
          <t>C1591</t>
        </is>
      </c>
      <c r="C4092" t="n">
        <v>2</v>
      </c>
      <c r="D4092" t="inlineStr">
        <is>
          <t>Hub B</t>
        </is>
      </c>
      <c r="E4092" t="n">
        <v>35</v>
      </c>
      <c r="F4092" t="n">
        <v>19</v>
      </c>
    </row>
    <row r="4093">
      <c r="A4093" t="inlineStr">
        <is>
          <t>ORD04092</t>
        </is>
      </c>
      <c r="B4093" t="inlineStr">
        <is>
          <t>C1592</t>
        </is>
      </c>
      <c r="C4093" t="n">
        <v>3</v>
      </c>
      <c r="D4093" t="inlineStr">
        <is>
          <t>Hub B</t>
        </is>
      </c>
      <c r="E4093" t="n">
        <v>42</v>
      </c>
      <c r="F4093" t="n">
        <v>19</v>
      </c>
    </row>
    <row r="4094">
      <c r="A4094" t="inlineStr">
        <is>
          <t>ORD04093</t>
        </is>
      </c>
      <c r="B4094" t="inlineStr">
        <is>
          <t>C1593</t>
        </is>
      </c>
      <c r="C4094" t="n">
        <v>1</v>
      </c>
      <c r="D4094" t="inlineStr">
        <is>
          <t>Hub B</t>
        </is>
      </c>
      <c r="E4094" t="n">
        <v>49</v>
      </c>
      <c r="F4094" t="n">
        <v>19</v>
      </c>
    </row>
    <row r="4095">
      <c r="A4095" t="inlineStr">
        <is>
          <t>ORD04094</t>
        </is>
      </c>
      <c r="B4095" t="inlineStr">
        <is>
          <t>C1594</t>
        </is>
      </c>
      <c r="C4095" t="n">
        <v>2</v>
      </c>
      <c r="D4095" t="inlineStr">
        <is>
          <t>Hub B</t>
        </is>
      </c>
      <c r="E4095" t="n">
        <v>56</v>
      </c>
      <c r="F4095" t="n">
        <v>19</v>
      </c>
    </row>
    <row r="4096">
      <c r="A4096" t="inlineStr">
        <is>
          <t>ORD04095</t>
        </is>
      </c>
      <c r="B4096" t="inlineStr">
        <is>
          <t>C1595</t>
        </is>
      </c>
      <c r="C4096" t="n">
        <v>3</v>
      </c>
      <c r="D4096" t="inlineStr">
        <is>
          <t>Hub B</t>
        </is>
      </c>
      <c r="E4096" t="n">
        <v>63</v>
      </c>
      <c r="F4096" t="n">
        <v>19</v>
      </c>
    </row>
    <row r="4097">
      <c r="A4097" t="inlineStr">
        <is>
          <t>ORD04096</t>
        </is>
      </c>
      <c r="B4097" t="inlineStr">
        <is>
          <t>C1596</t>
        </is>
      </c>
      <c r="C4097" t="n">
        <v>1</v>
      </c>
      <c r="D4097" t="inlineStr">
        <is>
          <t>Hub B</t>
        </is>
      </c>
      <c r="E4097" t="n">
        <v>70</v>
      </c>
      <c r="F4097" t="n">
        <v>19</v>
      </c>
    </row>
    <row r="4098">
      <c r="A4098" t="inlineStr">
        <is>
          <t>ORD04097</t>
        </is>
      </c>
      <c r="B4098" t="inlineStr">
        <is>
          <t>C1597</t>
        </is>
      </c>
      <c r="C4098" t="n">
        <v>2</v>
      </c>
      <c r="D4098" t="inlineStr">
        <is>
          <t>Hub B</t>
        </is>
      </c>
      <c r="E4098" t="n">
        <v>77</v>
      </c>
      <c r="F4098" t="n">
        <v>19</v>
      </c>
    </row>
    <row r="4099">
      <c r="A4099" t="inlineStr">
        <is>
          <t>ORD04098</t>
        </is>
      </c>
      <c r="B4099" t="inlineStr">
        <is>
          <t>C1598</t>
        </is>
      </c>
      <c r="C4099" t="n">
        <v>3</v>
      </c>
      <c r="D4099" t="inlineStr">
        <is>
          <t>Hub B</t>
        </is>
      </c>
      <c r="E4099" t="n">
        <v>24</v>
      </c>
      <c r="F4099" t="n">
        <v>19</v>
      </c>
    </row>
    <row r="4100">
      <c r="A4100" t="inlineStr">
        <is>
          <t>ORD04099</t>
        </is>
      </c>
      <c r="B4100" t="inlineStr">
        <is>
          <t>C1599</t>
        </is>
      </c>
      <c r="C4100" t="n">
        <v>1</v>
      </c>
      <c r="D4100" t="inlineStr">
        <is>
          <t>Hub B</t>
        </is>
      </c>
      <c r="E4100" t="n">
        <v>31</v>
      </c>
      <c r="F4100" t="n">
        <v>19</v>
      </c>
    </row>
    <row r="4101">
      <c r="A4101" t="inlineStr">
        <is>
          <t>ORD04100</t>
        </is>
      </c>
      <c r="B4101" t="inlineStr">
        <is>
          <t>C1600</t>
        </is>
      </c>
      <c r="C4101" t="n">
        <v>2</v>
      </c>
      <c r="D4101" t="inlineStr">
        <is>
          <t>Hub B</t>
        </is>
      </c>
      <c r="E4101" t="n">
        <v>38</v>
      </c>
      <c r="F4101" t="n">
        <v>19</v>
      </c>
    </row>
    <row r="4102">
      <c r="A4102" t="inlineStr">
        <is>
          <t>ORD04101</t>
        </is>
      </c>
      <c r="B4102" t="inlineStr">
        <is>
          <t>C1601</t>
        </is>
      </c>
      <c r="C4102" t="n">
        <v>3</v>
      </c>
      <c r="D4102" t="inlineStr">
        <is>
          <t>Hub B</t>
        </is>
      </c>
      <c r="E4102" t="n">
        <v>45</v>
      </c>
      <c r="F4102" t="n">
        <v>19</v>
      </c>
    </row>
    <row r="4103">
      <c r="A4103" t="inlineStr">
        <is>
          <t>ORD04102</t>
        </is>
      </c>
      <c r="B4103" t="inlineStr">
        <is>
          <t>C1602</t>
        </is>
      </c>
      <c r="C4103" t="n">
        <v>1</v>
      </c>
      <c r="D4103" t="inlineStr">
        <is>
          <t>Hub B</t>
        </is>
      </c>
      <c r="E4103" t="n">
        <v>52</v>
      </c>
      <c r="F4103" t="n">
        <v>19</v>
      </c>
    </row>
    <row r="4104">
      <c r="A4104" t="inlineStr">
        <is>
          <t>ORD04103</t>
        </is>
      </c>
      <c r="B4104" t="inlineStr">
        <is>
          <t>C1603</t>
        </is>
      </c>
      <c r="C4104" t="n">
        <v>2</v>
      </c>
      <c r="D4104" t="inlineStr">
        <is>
          <t>Hub B</t>
        </is>
      </c>
      <c r="E4104" t="n">
        <v>59</v>
      </c>
      <c r="F4104" t="n">
        <v>19</v>
      </c>
    </row>
    <row r="4105">
      <c r="A4105" t="inlineStr">
        <is>
          <t>ORD04104</t>
        </is>
      </c>
      <c r="B4105" t="inlineStr">
        <is>
          <t>C1604</t>
        </is>
      </c>
      <c r="C4105" t="n">
        <v>3</v>
      </c>
      <c r="D4105" t="inlineStr">
        <is>
          <t>Hub B</t>
        </is>
      </c>
      <c r="E4105" t="n">
        <v>66</v>
      </c>
      <c r="F4105" t="n">
        <v>19</v>
      </c>
    </row>
    <row r="4106">
      <c r="A4106" t="inlineStr">
        <is>
          <t>ORD04105</t>
        </is>
      </c>
      <c r="B4106" t="inlineStr">
        <is>
          <t>C1605</t>
        </is>
      </c>
      <c r="C4106" t="n">
        <v>1</v>
      </c>
      <c r="D4106" t="inlineStr">
        <is>
          <t>Hub B</t>
        </is>
      </c>
      <c r="E4106" t="n">
        <v>73</v>
      </c>
      <c r="F4106" t="n">
        <v>19</v>
      </c>
    </row>
    <row r="4107">
      <c r="A4107" t="inlineStr">
        <is>
          <t>ORD04106</t>
        </is>
      </c>
      <c r="B4107" t="inlineStr">
        <is>
          <t>C1606</t>
        </is>
      </c>
      <c r="C4107" t="n">
        <v>2</v>
      </c>
      <c r="D4107" t="inlineStr">
        <is>
          <t>Hub B</t>
        </is>
      </c>
      <c r="E4107" t="n">
        <v>20</v>
      </c>
      <c r="F4107" t="n">
        <v>19</v>
      </c>
    </row>
    <row r="4108">
      <c r="A4108" t="inlineStr">
        <is>
          <t>ORD04107</t>
        </is>
      </c>
      <c r="B4108" t="inlineStr">
        <is>
          <t>C1607</t>
        </is>
      </c>
      <c r="C4108" t="n">
        <v>3</v>
      </c>
      <c r="D4108" t="inlineStr">
        <is>
          <t>Hub B</t>
        </is>
      </c>
      <c r="E4108" t="n">
        <v>27</v>
      </c>
      <c r="F4108" t="n">
        <v>19</v>
      </c>
    </row>
    <row r="4109">
      <c r="A4109" t="inlineStr">
        <is>
          <t>ORD04108</t>
        </is>
      </c>
      <c r="B4109" t="inlineStr">
        <is>
          <t>C1608</t>
        </is>
      </c>
      <c r="C4109" t="n">
        <v>1</v>
      </c>
      <c r="D4109" t="inlineStr">
        <is>
          <t>Hub B</t>
        </is>
      </c>
      <c r="E4109" t="n">
        <v>34</v>
      </c>
      <c r="F4109" t="n">
        <v>19</v>
      </c>
    </row>
    <row r="4110">
      <c r="A4110" t="inlineStr">
        <is>
          <t>ORD04109</t>
        </is>
      </c>
      <c r="B4110" t="inlineStr">
        <is>
          <t>C1609</t>
        </is>
      </c>
      <c r="C4110" t="n">
        <v>2</v>
      </c>
      <c r="D4110" t="inlineStr">
        <is>
          <t>Hub B</t>
        </is>
      </c>
      <c r="E4110" t="n">
        <v>41</v>
      </c>
      <c r="F4110" t="n">
        <v>19</v>
      </c>
    </row>
    <row r="4111">
      <c r="A4111" t="inlineStr">
        <is>
          <t>ORD04110</t>
        </is>
      </c>
      <c r="B4111" t="inlineStr">
        <is>
          <t>C1610</t>
        </is>
      </c>
      <c r="C4111" t="n">
        <v>3</v>
      </c>
      <c r="D4111" t="inlineStr">
        <is>
          <t>Hub B</t>
        </is>
      </c>
      <c r="E4111" t="n">
        <v>48</v>
      </c>
      <c r="F4111" t="n">
        <v>19</v>
      </c>
    </row>
    <row r="4112">
      <c r="A4112" t="inlineStr">
        <is>
          <t>ORD04111</t>
        </is>
      </c>
      <c r="B4112" t="inlineStr">
        <is>
          <t>C1611</t>
        </is>
      </c>
      <c r="C4112" t="n">
        <v>1</v>
      </c>
      <c r="D4112" t="inlineStr">
        <is>
          <t>Hub B</t>
        </is>
      </c>
      <c r="E4112" t="n">
        <v>55</v>
      </c>
      <c r="F4112" t="n">
        <v>19</v>
      </c>
    </row>
    <row r="4113">
      <c r="A4113" t="inlineStr">
        <is>
          <t>ORD04112</t>
        </is>
      </c>
      <c r="B4113" t="inlineStr">
        <is>
          <t>C1612</t>
        </is>
      </c>
      <c r="C4113" t="n">
        <v>2</v>
      </c>
      <c r="D4113" t="inlineStr">
        <is>
          <t>Hub B</t>
        </is>
      </c>
      <c r="E4113" t="n">
        <v>62</v>
      </c>
      <c r="F4113" t="n">
        <v>19</v>
      </c>
    </row>
    <row r="4114">
      <c r="A4114" t="inlineStr">
        <is>
          <t>ORD04113</t>
        </is>
      </c>
      <c r="B4114" t="inlineStr">
        <is>
          <t>C1613</t>
        </is>
      </c>
      <c r="C4114" t="n">
        <v>3</v>
      </c>
      <c r="D4114" t="inlineStr">
        <is>
          <t>Hub B</t>
        </is>
      </c>
      <c r="E4114" t="n">
        <v>69</v>
      </c>
      <c r="F4114" t="n">
        <v>19</v>
      </c>
    </row>
    <row r="4115">
      <c r="A4115" t="inlineStr">
        <is>
          <t>ORD04114</t>
        </is>
      </c>
      <c r="B4115" t="inlineStr">
        <is>
          <t>C1614</t>
        </is>
      </c>
      <c r="C4115" t="n">
        <v>1</v>
      </c>
      <c r="D4115" t="inlineStr">
        <is>
          <t>Hub B</t>
        </is>
      </c>
      <c r="E4115" t="n">
        <v>76</v>
      </c>
      <c r="F4115" t="n">
        <v>19</v>
      </c>
    </row>
    <row r="4116">
      <c r="A4116" t="inlineStr">
        <is>
          <t>ORD04115</t>
        </is>
      </c>
      <c r="B4116" t="inlineStr">
        <is>
          <t>C1615</t>
        </is>
      </c>
      <c r="C4116" t="n">
        <v>2</v>
      </c>
      <c r="D4116" t="inlineStr">
        <is>
          <t>Hub B</t>
        </is>
      </c>
      <c r="E4116" t="n">
        <v>23</v>
      </c>
      <c r="F4116" t="n">
        <v>19</v>
      </c>
    </row>
    <row r="4117">
      <c r="A4117" t="inlineStr">
        <is>
          <t>ORD04116</t>
        </is>
      </c>
      <c r="B4117" t="inlineStr">
        <is>
          <t>C1616</t>
        </is>
      </c>
      <c r="C4117" t="n">
        <v>3</v>
      </c>
      <c r="D4117" t="inlineStr">
        <is>
          <t>Hub B</t>
        </is>
      </c>
      <c r="E4117" t="n">
        <v>30</v>
      </c>
      <c r="F4117" t="n">
        <v>19</v>
      </c>
    </row>
    <row r="4118">
      <c r="A4118" t="inlineStr">
        <is>
          <t>ORD04117</t>
        </is>
      </c>
      <c r="B4118" t="inlineStr">
        <is>
          <t>C1617</t>
        </is>
      </c>
      <c r="C4118" t="n">
        <v>1</v>
      </c>
      <c r="D4118" t="inlineStr">
        <is>
          <t>Hub B</t>
        </is>
      </c>
      <c r="E4118" t="n">
        <v>37</v>
      </c>
      <c r="F4118" t="n">
        <v>19</v>
      </c>
    </row>
    <row r="4119">
      <c r="A4119" t="inlineStr">
        <is>
          <t>ORD04118</t>
        </is>
      </c>
      <c r="B4119" t="inlineStr">
        <is>
          <t>C1618</t>
        </is>
      </c>
      <c r="C4119" t="n">
        <v>2</v>
      </c>
      <c r="D4119" t="inlineStr">
        <is>
          <t>Hub B</t>
        </is>
      </c>
      <c r="E4119" t="n">
        <v>44</v>
      </c>
      <c r="F4119" t="n">
        <v>19</v>
      </c>
    </row>
    <row r="4120">
      <c r="A4120" t="inlineStr">
        <is>
          <t>ORD04119</t>
        </is>
      </c>
      <c r="B4120" t="inlineStr">
        <is>
          <t>C1619</t>
        </is>
      </c>
      <c r="C4120" t="n">
        <v>3</v>
      </c>
      <c r="D4120" t="inlineStr">
        <is>
          <t>Hub B</t>
        </is>
      </c>
      <c r="E4120" t="n">
        <v>51</v>
      </c>
      <c r="F4120" t="n">
        <v>19</v>
      </c>
    </row>
    <row r="4121">
      <c r="A4121" t="inlineStr">
        <is>
          <t>ORD04120</t>
        </is>
      </c>
      <c r="B4121" t="inlineStr">
        <is>
          <t>C1620</t>
        </is>
      </c>
      <c r="C4121" t="n">
        <v>1</v>
      </c>
      <c r="D4121" t="inlineStr">
        <is>
          <t>Hub B</t>
        </is>
      </c>
      <c r="E4121" t="n">
        <v>58</v>
      </c>
      <c r="F4121" t="n">
        <v>19</v>
      </c>
    </row>
    <row r="4122">
      <c r="A4122" t="inlineStr">
        <is>
          <t>ORD04121</t>
        </is>
      </c>
      <c r="B4122" t="inlineStr">
        <is>
          <t>C1621</t>
        </is>
      </c>
      <c r="C4122" t="n">
        <v>2</v>
      </c>
      <c r="D4122" t="inlineStr">
        <is>
          <t>Hub B</t>
        </is>
      </c>
      <c r="E4122" t="n">
        <v>65</v>
      </c>
      <c r="F4122" t="n">
        <v>19</v>
      </c>
    </row>
    <row r="4123">
      <c r="A4123" t="inlineStr">
        <is>
          <t>ORD04122</t>
        </is>
      </c>
      <c r="B4123" t="inlineStr">
        <is>
          <t>C1622</t>
        </is>
      </c>
      <c r="C4123" t="n">
        <v>3</v>
      </c>
      <c r="D4123" t="inlineStr">
        <is>
          <t>Hub B</t>
        </is>
      </c>
      <c r="E4123" t="n">
        <v>72</v>
      </c>
      <c r="F4123" t="n">
        <v>19</v>
      </c>
    </row>
    <row r="4124">
      <c r="A4124" t="inlineStr">
        <is>
          <t>ORD04123</t>
        </is>
      </c>
      <c r="B4124" t="inlineStr">
        <is>
          <t>C1623</t>
        </is>
      </c>
      <c r="C4124" t="n">
        <v>1</v>
      </c>
      <c r="D4124" t="inlineStr">
        <is>
          <t>Hub B</t>
        </is>
      </c>
      <c r="E4124" t="n">
        <v>19</v>
      </c>
      <c r="F4124" t="n">
        <v>19</v>
      </c>
    </row>
    <row r="4125">
      <c r="A4125" t="inlineStr">
        <is>
          <t>ORD04124</t>
        </is>
      </c>
      <c r="B4125" t="inlineStr">
        <is>
          <t>C1624</t>
        </is>
      </c>
      <c r="C4125" t="n">
        <v>2</v>
      </c>
      <c r="D4125" t="inlineStr">
        <is>
          <t>Hub B</t>
        </is>
      </c>
      <c r="E4125" t="n">
        <v>26</v>
      </c>
      <c r="F4125" t="n">
        <v>19</v>
      </c>
    </row>
    <row r="4126">
      <c r="A4126" t="inlineStr">
        <is>
          <t>ORD04125</t>
        </is>
      </c>
      <c r="B4126" t="inlineStr">
        <is>
          <t>C1625</t>
        </is>
      </c>
      <c r="C4126" t="n">
        <v>3</v>
      </c>
      <c r="D4126" t="inlineStr">
        <is>
          <t>Hub B</t>
        </is>
      </c>
      <c r="E4126" t="n">
        <v>33</v>
      </c>
      <c r="F4126" t="n">
        <v>19</v>
      </c>
    </row>
    <row r="4127">
      <c r="A4127" t="inlineStr">
        <is>
          <t>ORD04126</t>
        </is>
      </c>
      <c r="B4127" t="inlineStr">
        <is>
          <t>C1626</t>
        </is>
      </c>
      <c r="C4127" t="n">
        <v>1</v>
      </c>
      <c r="D4127" t="inlineStr">
        <is>
          <t>Hub B</t>
        </is>
      </c>
      <c r="E4127" t="n">
        <v>40</v>
      </c>
      <c r="F4127" t="n">
        <v>19</v>
      </c>
    </row>
    <row r="4128">
      <c r="A4128" t="inlineStr">
        <is>
          <t>ORD04127</t>
        </is>
      </c>
      <c r="B4128" t="inlineStr">
        <is>
          <t>C1627</t>
        </is>
      </c>
      <c r="C4128" t="n">
        <v>2</v>
      </c>
      <c r="D4128" t="inlineStr">
        <is>
          <t>Hub B</t>
        </is>
      </c>
      <c r="E4128" t="n">
        <v>47</v>
      </c>
      <c r="F4128" t="n">
        <v>19</v>
      </c>
    </row>
    <row r="4129">
      <c r="A4129" t="inlineStr">
        <is>
          <t>ORD04128</t>
        </is>
      </c>
      <c r="B4129" t="inlineStr">
        <is>
          <t>C1628</t>
        </is>
      </c>
      <c r="C4129" t="n">
        <v>3</v>
      </c>
      <c r="D4129" t="inlineStr">
        <is>
          <t>Hub B</t>
        </is>
      </c>
      <c r="E4129" t="n">
        <v>54</v>
      </c>
      <c r="F4129" t="n">
        <v>19</v>
      </c>
    </row>
    <row r="4130">
      <c r="A4130" t="inlineStr">
        <is>
          <t>ORD04129</t>
        </is>
      </c>
      <c r="B4130" t="inlineStr">
        <is>
          <t>C1629</t>
        </is>
      </c>
      <c r="C4130" t="n">
        <v>1</v>
      </c>
      <c r="D4130" t="inlineStr">
        <is>
          <t>Hub B</t>
        </is>
      </c>
      <c r="E4130" t="n">
        <v>61</v>
      </c>
      <c r="F4130" t="n">
        <v>19</v>
      </c>
    </row>
    <row r="4131">
      <c r="A4131" t="inlineStr">
        <is>
          <t>ORD04130</t>
        </is>
      </c>
      <c r="B4131" t="inlineStr">
        <is>
          <t>C1630</t>
        </is>
      </c>
      <c r="C4131" t="n">
        <v>2</v>
      </c>
      <c r="D4131" t="inlineStr">
        <is>
          <t>Hub B</t>
        </is>
      </c>
      <c r="E4131" t="n">
        <v>68</v>
      </c>
      <c r="F4131" t="n">
        <v>19</v>
      </c>
    </row>
    <row r="4132">
      <c r="A4132" t="inlineStr">
        <is>
          <t>ORD04131</t>
        </is>
      </c>
      <c r="B4132" t="inlineStr">
        <is>
          <t>C1631</t>
        </is>
      </c>
      <c r="C4132" t="n">
        <v>3</v>
      </c>
      <c r="D4132" t="inlineStr">
        <is>
          <t>Hub B</t>
        </is>
      </c>
      <c r="E4132" t="n">
        <v>75</v>
      </c>
      <c r="F4132" t="n">
        <v>19</v>
      </c>
    </row>
    <row r="4133">
      <c r="A4133" t="inlineStr">
        <is>
          <t>ORD04132</t>
        </is>
      </c>
      <c r="B4133" t="inlineStr">
        <is>
          <t>C1632</t>
        </is>
      </c>
      <c r="C4133" t="n">
        <v>1</v>
      </c>
      <c r="D4133" t="inlineStr">
        <is>
          <t>Hub B</t>
        </is>
      </c>
      <c r="E4133" t="n">
        <v>22</v>
      </c>
      <c r="F4133" t="n">
        <v>19</v>
      </c>
    </row>
    <row r="4134">
      <c r="A4134" t="inlineStr">
        <is>
          <t>ORD04133</t>
        </is>
      </c>
      <c r="B4134" t="inlineStr">
        <is>
          <t>C1633</t>
        </is>
      </c>
      <c r="C4134" t="n">
        <v>2</v>
      </c>
      <c r="D4134" t="inlineStr">
        <is>
          <t>Hub B</t>
        </is>
      </c>
      <c r="E4134" t="n">
        <v>29</v>
      </c>
      <c r="F4134" t="n">
        <v>19</v>
      </c>
    </row>
    <row r="4135">
      <c r="A4135" t="inlineStr">
        <is>
          <t>ORD04134</t>
        </is>
      </c>
      <c r="B4135" t="inlineStr">
        <is>
          <t>C1634</t>
        </is>
      </c>
      <c r="C4135" t="n">
        <v>3</v>
      </c>
      <c r="D4135" t="inlineStr">
        <is>
          <t>Hub B</t>
        </is>
      </c>
      <c r="E4135" t="n">
        <v>36</v>
      </c>
      <c r="F4135" t="n">
        <v>19</v>
      </c>
    </row>
    <row r="4136">
      <c r="A4136" t="inlineStr">
        <is>
          <t>ORD04135</t>
        </is>
      </c>
      <c r="B4136" t="inlineStr">
        <is>
          <t>C1635</t>
        </is>
      </c>
      <c r="C4136" t="n">
        <v>1</v>
      </c>
      <c r="D4136" t="inlineStr">
        <is>
          <t>Hub B</t>
        </is>
      </c>
      <c r="E4136" t="n">
        <v>43</v>
      </c>
      <c r="F4136" t="n">
        <v>19</v>
      </c>
    </row>
    <row r="4137">
      <c r="A4137" t="inlineStr">
        <is>
          <t>ORD04136</t>
        </is>
      </c>
      <c r="B4137" t="inlineStr">
        <is>
          <t>C1636</t>
        </is>
      </c>
      <c r="C4137" t="n">
        <v>2</v>
      </c>
      <c r="D4137" t="inlineStr">
        <is>
          <t>Hub B</t>
        </is>
      </c>
      <c r="E4137" t="n">
        <v>50</v>
      </c>
      <c r="F4137" t="n">
        <v>19</v>
      </c>
    </row>
    <row r="4138">
      <c r="A4138" t="inlineStr">
        <is>
          <t>ORD04137</t>
        </is>
      </c>
      <c r="B4138" t="inlineStr">
        <is>
          <t>C1637</t>
        </is>
      </c>
      <c r="C4138" t="n">
        <v>3</v>
      </c>
      <c r="D4138" t="inlineStr">
        <is>
          <t>Hub B</t>
        </is>
      </c>
      <c r="E4138" t="n">
        <v>57</v>
      </c>
      <c r="F4138" t="n">
        <v>19</v>
      </c>
    </row>
    <row r="4139">
      <c r="A4139" t="inlineStr">
        <is>
          <t>ORD04138</t>
        </is>
      </c>
      <c r="B4139" t="inlineStr">
        <is>
          <t>C1638</t>
        </is>
      </c>
      <c r="C4139" t="n">
        <v>1</v>
      </c>
      <c r="D4139" t="inlineStr">
        <is>
          <t>Hub B</t>
        </is>
      </c>
      <c r="E4139" t="n">
        <v>64</v>
      </c>
      <c r="F4139" t="n">
        <v>19</v>
      </c>
    </row>
    <row r="4140">
      <c r="A4140" t="inlineStr">
        <is>
          <t>ORD04139</t>
        </is>
      </c>
      <c r="B4140" t="inlineStr">
        <is>
          <t>C1639</t>
        </is>
      </c>
      <c r="C4140" t="n">
        <v>2</v>
      </c>
      <c r="D4140" t="inlineStr">
        <is>
          <t>Hub B</t>
        </is>
      </c>
      <c r="E4140" t="n">
        <v>71</v>
      </c>
      <c r="F4140" t="n">
        <v>19</v>
      </c>
    </row>
    <row r="4141">
      <c r="A4141" t="inlineStr">
        <is>
          <t>ORD04140</t>
        </is>
      </c>
      <c r="B4141" t="inlineStr">
        <is>
          <t>C1640</t>
        </is>
      </c>
      <c r="C4141" t="n">
        <v>3</v>
      </c>
      <c r="D4141" t="inlineStr">
        <is>
          <t>Hub B</t>
        </is>
      </c>
      <c r="E4141" t="n">
        <v>18</v>
      </c>
      <c r="F4141" t="n">
        <v>19</v>
      </c>
    </row>
    <row r="4142">
      <c r="A4142" t="inlineStr">
        <is>
          <t>ORD04141</t>
        </is>
      </c>
      <c r="B4142" t="inlineStr">
        <is>
          <t>C1641</t>
        </is>
      </c>
      <c r="C4142" t="n">
        <v>1</v>
      </c>
      <c r="D4142" t="inlineStr">
        <is>
          <t>Hub B</t>
        </is>
      </c>
      <c r="E4142" t="n">
        <v>25</v>
      </c>
      <c r="F4142" t="n">
        <v>19</v>
      </c>
    </row>
    <row r="4143">
      <c r="A4143" t="inlineStr">
        <is>
          <t>ORD04142</t>
        </is>
      </c>
      <c r="B4143" t="inlineStr">
        <is>
          <t>C1642</t>
        </is>
      </c>
      <c r="C4143" t="n">
        <v>2</v>
      </c>
      <c r="D4143" t="inlineStr">
        <is>
          <t>Hub B</t>
        </is>
      </c>
      <c r="E4143" t="n">
        <v>32</v>
      </c>
      <c r="F4143" t="n">
        <v>19</v>
      </c>
    </row>
    <row r="4144">
      <c r="A4144" t="inlineStr">
        <is>
          <t>ORD04143</t>
        </is>
      </c>
      <c r="B4144" t="inlineStr">
        <is>
          <t>C1643</t>
        </is>
      </c>
      <c r="C4144" t="n">
        <v>3</v>
      </c>
      <c r="D4144" t="inlineStr">
        <is>
          <t>Hub B</t>
        </is>
      </c>
      <c r="E4144" t="n">
        <v>39</v>
      </c>
      <c r="F4144" t="n">
        <v>19</v>
      </c>
    </row>
    <row r="4145">
      <c r="A4145" t="inlineStr">
        <is>
          <t>ORD04144</t>
        </is>
      </c>
      <c r="B4145" t="inlineStr">
        <is>
          <t>C1644</t>
        </is>
      </c>
      <c r="C4145" t="n">
        <v>1</v>
      </c>
      <c r="D4145" t="inlineStr">
        <is>
          <t>Hub B</t>
        </is>
      </c>
      <c r="E4145" t="n">
        <v>46</v>
      </c>
      <c r="F4145" t="n">
        <v>19</v>
      </c>
    </row>
    <row r="4146">
      <c r="A4146" t="inlineStr">
        <is>
          <t>ORD04145</t>
        </is>
      </c>
      <c r="B4146" t="inlineStr">
        <is>
          <t>C1645</t>
        </is>
      </c>
      <c r="C4146" t="n">
        <v>2</v>
      </c>
      <c r="D4146" t="inlineStr">
        <is>
          <t>Hub B</t>
        </is>
      </c>
      <c r="E4146" t="n">
        <v>53</v>
      </c>
      <c r="F4146" t="n">
        <v>19</v>
      </c>
    </row>
    <row r="4147">
      <c r="A4147" t="inlineStr">
        <is>
          <t>ORD04146</t>
        </is>
      </c>
      <c r="B4147" t="inlineStr">
        <is>
          <t>C1646</t>
        </is>
      </c>
      <c r="C4147" t="n">
        <v>3</v>
      </c>
      <c r="D4147" t="inlineStr">
        <is>
          <t>Hub B</t>
        </is>
      </c>
      <c r="E4147" t="n">
        <v>60</v>
      </c>
      <c r="F4147" t="n">
        <v>19</v>
      </c>
    </row>
    <row r="4148">
      <c r="A4148" t="inlineStr">
        <is>
          <t>ORD04147</t>
        </is>
      </c>
      <c r="B4148" t="inlineStr">
        <is>
          <t>C1647</t>
        </is>
      </c>
      <c r="C4148" t="n">
        <v>1</v>
      </c>
      <c r="D4148" t="inlineStr">
        <is>
          <t>Hub B</t>
        </is>
      </c>
      <c r="E4148" t="n">
        <v>67</v>
      </c>
      <c r="F4148" t="n">
        <v>19</v>
      </c>
    </row>
    <row r="4149">
      <c r="A4149" t="inlineStr">
        <is>
          <t>ORD04148</t>
        </is>
      </c>
      <c r="B4149" t="inlineStr">
        <is>
          <t>C1648</t>
        </is>
      </c>
      <c r="C4149" t="n">
        <v>2</v>
      </c>
      <c r="D4149" t="inlineStr">
        <is>
          <t>Hub B</t>
        </is>
      </c>
      <c r="E4149" t="n">
        <v>74</v>
      </c>
      <c r="F4149" t="n">
        <v>19</v>
      </c>
    </row>
    <row r="4150">
      <c r="A4150" t="inlineStr">
        <is>
          <t>ORD04149</t>
        </is>
      </c>
      <c r="B4150" t="inlineStr">
        <is>
          <t>C1649</t>
        </is>
      </c>
      <c r="C4150" t="n">
        <v>3</v>
      </c>
      <c r="D4150" t="inlineStr">
        <is>
          <t>Hub B</t>
        </is>
      </c>
      <c r="E4150" t="n">
        <v>21</v>
      </c>
      <c r="F4150" t="n">
        <v>19</v>
      </c>
    </row>
    <row r="4151">
      <c r="A4151" t="inlineStr">
        <is>
          <t>ORD04150</t>
        </is>
      </c>
      <c r="B4151" t="inlineStr">
        <is>
          <t>C1650</t>
        </is>
      </c>
      <c r="C4151" t="n">
        <v>1</v>
      </c>
      <c r="D4151" t="inlineStr">
        <is>
          <t>Hub B</t>
        </is>
      </c>
      <c r="E4151" t="n">
        <v>28</v>
      </c>
      <c r="F4151" t="n">
        <v>22</v>
      </c>
    </row>
    <row r="4152">
      <c r="A4152" t="inlineStr">
        <is>
          <t>ORD04151</t>
        </is>
      </c>
      <c r="B4152" t="inlineStr">
        <is>
          <t>C1651</t>
        </is>
      </c>
      <c r="C4152" t="n">
        <v>2</v>
      </c>
      <c r="D4152" t="inlineStr">
        <is>
          <t>Hub B</t>
        </is>
      </c>
      <c r="E4152" t="n">
        <v>35</v>
      </c>
      <c r="F4152" t="n">
        <v>22</v>
      </c>
    </row>
    <row r="4153">
      <c r="A4153" t="inlineStr">
        <is>
          <t>ORD04152</t>
        </is>
      </c>
      <c r="B4153" t="inlineStr">
        <is>
          <t>C1652</t>
        </is>
      </c>
      <c r="C4153" t="n">
        <v>3</v>
      </c>
      <c r="D4153" t="inlineStr">
        <is>
          <t>Hub B</t>
        </is>
      </c>
      <c r="E4153" t="n">
        <v>42</v>
      </c>
      <c r="F4153" t="n">
        <v>22</v>
      </c>
    </row>
    <row r="4154">
      <c r="A4154" t="inlineStr">
        <is>
          <t>ORD04153</t>
        </is>
      </c>
      <c r="B4154" t="inlineStr">
        <is>
          <t>C1653</t>
        </is>
      </c>
      <c r="C4154" t="n">
        <v>1</v>
      </c>
      <c r="D4154" t="inlineStr">
        <is>
          <t>Hub B</t>
        </is>
      </c>
      <c r="E4154" t="n">
        <v>49</v>
      </c>
      <c r="F4154" t="n">
        <v>22</v>
      </c>
    </row>
    <row r="4155">
      <c r="A4155" t="inlineStr">
        <is>
          <t>ORD04154</t>
        </is>
      </c>
      <c r="B4155" t="inlineStr">
        <is>
          <t>C1654</t>
        </is>
      </c>
      <c r="C4155" t="n">
        <v>2</v>
      </c>
      <c r="D4155" t="inlineStr">
        <is>
          <t>Hub B</t>
        </is>
      </c>
      <c r="E4155" t="n">
        <v>56</v>
      </c>
      <c r="F4155" t="n">
        <v>22</v>
      </c>
    </row>
    <row r="4156">
      <c r="A4156" t="inlineStr">
        <is>
          <t>ORD04155</t>
        </is>
      </c>
      <c r="B4156" t="inlineStr">
        <is>
          <t>C1655</t>
        </is>
      </c>
      <c r="C4156" t="n">
        <v>3</v>
      </c>
      <c r="D4156" t="inlineStr">
        <is>
          <t>Hub B</t>
        </is>
      </c>
      <c r="E4156" t="n">
        <v>63</v>
      </c>
      <c r="F4156" t="n">
        <v>22</v>
      </c>
    </row>
    <row r="4157">
      <c r="A4157" t="inlineStr">
        <is>
          <t>ORD04156</t>
        </is>
      </c>
      <c r="B4157" t="inlineStr">
        <is>
          <t>C1656</t>
        </is>
      </c>
      <c r="C4157" t="n">
        <v>1</v>
      </c>
      <c r="D4157" t="inlineStr">
        <is>
          <t>Hub B</t>
        </is>
      </c>
      <c r="E4157" t="n">
        <v>70</v>
      </c>
      <c r="F4157" t="n">
        <v>22</v>
      </c>
    </row>
    <row r="4158">
      <c r="A4158" t="inlineStr">
        <is>
          <t>ORD04157</t>
        </is>
      </c>
      <c r="B4158" t="inlineStr">
        <is>
          <t>C1657</t>
        </is>
      </c>
      <c r="C4158" t="n">
        <v>2</v>
      </c>
      <c r="D4158" t="inlineStr">
        <is>
          <t>Hub B</t>
        </is>
      </c>
      <c r="E4158" t="n">
        <v>77</v>
      </c>
      <c r="F4158" t="n">
        <v>22</v>
      </c>
    </row>
    <row r="4159">
      <c r="A4159" t="inlineStr">
        <is>
          <t>ORD04158</t>
        </is>
      </c>
      <c r="B4159" t="inlineStr">
        <is>
          <t>C1658</t>
        </is>
      </c>
      <c r="C4159" t="n">
        <v>3</v>
      </c>
      <c r="D4159" t="inlineStr">
        <is>
          <t>Hub B</t>
        </is>
      </c>
      <c r="E4159" t="n">
        <v>24</v>
      </c>
      <c r="F4159" t="n">
        <v>22</v>
      </c>
    </row>
    <row r="4160">
      <c r="A4160" t="inlineStr">
        <is>
          <t>ORD04159</t>
        </is>
      </c>
      <c r="B4160" t="inlineStr">
        <is>
          <t>C1659</t>
        </is>
      </c>
      <c r="C4160" t="n">
        <v>1</v>
      </c>
      <c r="D4160" t="inlineStr">
        <is>
          <t>Hub B</t>
        </is>
      </c>
      <c r="E4160" t="n">
        <v>31</v>
      </c>
      <c r="F4160" t="n">
        <v>22</v>
      </c>
    </row>
    <row r="4161">
      <c r="A4161" t="inlineStr">
        <is>
          <t>ORD04160</t>
        </is>
      </c>
      <c r="B4161" t="inlineStr">
        <is>
          <t>C1660</t>
        </is>
      </c>
      <c r="C4161" t="n">
        <v>2</v>
      </c>
      <c r="D4161" t="inlineStr">
        <is>
          <t>Hub B</t>
        </is>
      </c>
      <c r="E4161" t="n">
        <v>38</v>
      </c>
      <c r="F4161" t="n">
        <v>22</v>
      </c>
    </row>
    <row r="4162">
      <c r="A4162" t="inlineStr">
        <is>
          <t>ORD04161</t>
        </is>
      </c>
      <c r="B4162" t="inlineStr">
        <is>
          <t>C1661</t>
        </is>
      </c>
      <c r="C4162" t="n">
        <v>3</v>
      </c>
      <c r="D4162" t="inlineStr">
        <is>
          <t>Hub B</t>
        </is>
      </c>
      <c r="E4162" t="n">
        <v>45</v>
      </c>
      <c r="F4162" t="n">
        <v>22</v>
      </c>
    </row>
    <row r="4163">
      <c r="A4163" t="inlineStr">
        <is>
          <t>ORD04162</t>
        </is>
      </c>
      <c r="B4163" t="inlineStr">
        <is>
          <t>C1662</t>
        </is>
      </c>
      <c r="C4163" t="n">
        <v>1</v>
      </c>
      <c r="D4163" t="inlineStr">
        <is>
          <t>Hub B</t>
        </is>
      </c>
      <c r="E4163" t="n">
        <v>52</v>
      </c>
      <c r="F4163" t="n">
        <v>22</v>
      </c>
    </row>
    <row r="4164">
      <c r="A4164" t="inlineStr">
        <is>
          <t>ORD04163</t>
        </is>
      </c>
      <c r="B4164" t="inlineStr">
        <is>
          <t>C1663</t>
        </is>
      </c>
      <c r="C4164" t="n">
        <v>2</v>
      </c>
      <c r="D4164" t="inlineStr">
        <is>
          <t>Hub B</t>
        </is>
      </c>
      <c r="E4164" t="n">
        <v>59</v>
      </c>
      <c r="F4164" t="n">
        <v>22</v>
      </c>
    </row>
    <row r="4165">
      <c r="A4165" t="inlineStr">
        <is>
          <t>ORD04164</t>
        </is>
      </c>
      <c r="B4165" t="inlineStr">
        <is>
          <t>C1664</t>
        </is>
      </c>
      <c r="C4165" t="n">
        <v>3</v>
      </c>
      <c r="D4165" t="inlineStr">
        <is>
          <t>Hub B</t>
        </is>
      </c>
      <c r="E4165" t="n">
        <v>66</v>
      </c>
      <c r="F4165" t="n">
        <v>22</v>
      </c>
    </row>
    <row r="4166">
      <c r="A4166" t="inlineStr">
        <is>
          <t>ORD04165</t>
        </is>
      </c>
      <c r="B4166" t="inlineStr">
        <is>
          <t>C1665</t>
        </is>
      </c>
      <c r="C4166" t="n">
        <v>1</v>
      </c>
      <c r="D4166" t="inlineStr">
        <is>
          <t>Hub B</t>
        </is>
      </c>
      <c r="E4166" t="n">
        <v>73</v>
      </c>
      <c r="F4166" t="n">
        <v>22</v>
      </c>
    </row>
    <row r="4167">
      <c r="A4167" t="inlineStr">
        <is>
          <t>ORD04166</t>
        </is>
      </c>
      <c r="B4167" t="inlineStr">
        <is>
          <t>C1666</t>
        </is>
      </c>
      <c r="C4167" t="n">
        <v>2</v>
      </c>
      <c r="D4167" t="inlineStr">
        <is>
          <t>Hub B</t>
        </is>
      </c>
      <c r="E4167" t="n">
        <v>20</v>
      </c>
      <c r="F4167" t="n">
        <v>22</v>
      </c>
    </row>
    <row r="4168">
      <c r="A4168" t="inlineStr">
        <is>
          <t>ORD04167</t>
        </is>
      </c>
      <c r="B4168" t="inlineStr">
        <is>
          <t>C1667</t>
        </is>
      </c>
      <c r="C4168" t="n">
        <v>3</v>
      </c>
      <c r="D4168" t="inlineStr">
        <is>
          <t>Hub B</t>
        </is>
      </c>
      <c r="E4168" t="n">
        <v>27</v>
      </c>
      <c r="F4168" t="n">
        <v>22</v>
      </c>
    </row>
    <row r="4169">
      <c r="A4169" t="inlineStr">
        <is>
          <t>ORD04168</t>
        </is>
      </c>
      <c r="B4169" t="inlineStr">
        <is>
          <t>C1668</t>
        </is>
      </c>
      <c r="C4169" t="n">
        <v>1</v>
      </c>
      <c r="D4169" t="inlineStr">
        <is>
          <t>Hub B</t>
        </is>
      </c>
      <c r="E4169" t="n">
        <v>34</v>
      </c>
      <c r="F4169" t="n">
        <v>22</v>
      </c>
    </row>
    <row r="4170">
      <c r="A4170" t="inlineStr">
        <is>
          <t>ORD04169</t>
        </is>
      </c>
      <c r="B4170" t="inlineStr">
        <is>
          <t>C1669</t>
        </is>
      </c>
      <c r="C4170" t="n">
        <v>2</v>
      </c>
      <c r="D4170" t="inlineStr">
        <is>
          <t>Hub B</t>
        </is>
      </c>
      <c r="E4170" t="n">
        <v>41</v>
      </c>
      <c r="F4170" t="n">
        <v>22</v>
      </c>
    </row>
    <row r="4171">
      <c r="A4171" t="inlineStr">
        <is>
          <t>ORD04170</t>
        </is>
      </c>
      <c r="B4171" t="inlineStr">
        <is>
          <t>C1670</t>
        </is>
      </c>
      <c r="C4171" t="n">
        <v>3</v>
      </c>
      <c r="D4171" t="inlineStr">
        <is>
          <t>Hub B</t>
        </is>
      </c>
      <c r="E4171" t="n">
        <v>48</v>
      </c>
      <c r="F4171" t="n">
        <v>22</v>
      </c>
    </row>
    <row r="4172">
      <c r="A4172" t="inlineStr">
        <is>
          <t>ORD04171</t>
        </is>
      </c>
      <c r="B4172" t="inlineStr">
        <is>
          <t>C1671</t>
        </is>
      </c>
      <c r="C4172" t="n">
        <v>1</v>
      </c>
      <c r="D4172" t="inlineStr">
        <is>
          <t>Hub B</t>
        </is>
      </c>
      <c r="E4172" t="n">
        <v>55</v>
      </c>
      <c r="F4172" t="n">
        <v>22</v>
      </c>
    </row>
    <row r="4173">
      <c r="A4173" t="inlineStr">
        <is>
          <t>ORD04172</t>
        </is>
      </c>
      <c r="B4173" t="inlineStr">
        <is>
          <t>C1672</t>
        </is>
      </c>
      <c r="C4173" t="n">
        <v>2</v>
      </c>
      <c r="D4173" t="inlineStr">
        <is>
          <t>Hub B</t>
        </is>
      </c>
      <c r="E4173" t="n">
        <v>62</v>
      </c>
      <c r="F4173" t="n">
        <v>22</v>
      </c>
    </row>
    <row r="4174">
      <c r="A4174" t="inlineStr">
        <is>
          <t>ORD04173</t>
        </is>
      </c>
      <c r="B4174" t="inlineStr">
        <is>
          <t>C1673</t>
        </is>
      </c>
      <c r="C4174" t="n">
        <v>3</v>
      </c>
      <c r="D4174" t="inlineStr">
        <is>
          <t>Hub B</t>
        </is>
      </c>
      <c r="E4174" t="n">
        <v>69</v>
      </c>
      <c r="F4174" t="n">
        <v>22</v>
      </c>
    </row>
    <row r="4175">
      <c r="A4175" t="inlineStr">
        <is>
          <t>ORD04174</t>
        </is>
      </c>
      <c r="B4175" t="inlineStr">
        <is>
          <t>C1674</t>
        </is>
      </c>
      <c r="C4175" t="n">
        <v>1</v>
      </c>
      <c r="D4175" t="inlineStr">
        <is>
          <t>Hub B</t>
        </is>
      </c>
      <c r="E4175" t="n">
        <v>76</v>
      </c>
      <c r="F4175" t="n">
        <v>22</v>
      </c>
    </row>
    <row r="4176">
      <c r="A4176" t="inlineStr">
        <is>
          <t>ORD04175</t>
        </is>
      </c>
      <c r="B4176" t="inlineStr">
        <is>
          <t>C1675</t>
        </is>
      </c>
      <c r="C4176" t="n">
        <v>2</v>
      </c>
      <c r="D4176" t="inlineStr">
        <is>
          <t>Hub B</t>
        </is>
      </c>
      <c r="E4176" t="n">
        <v>23</v>
      </c>
      <c r="F4176" t="n">
        <v>22</v>
      </c>
    </row>
    <row r="4177">
      <c r="A4177" t="inlineStr">
        <is>
          <t>ORD04176</t>
        </is>
      </c>
      <c r="B4177" t="inlineStr">
        <is>
          <t>C1676</t>
        </is>
      </c>
      <c r="C4177" t="n">
        <v>3</v>
      </c>
      <c r="D4177" t="inlineStr">
        <is>
          <t>Hub B</t>
        </is>
      </c>
      <c r="E4177" t="n">
        <v>30</v>
      </c>
      <c r="F4177" t="n">
        <v>22</v>
      </c>
    </row>
    <row r="4178">
      <c r="A4178" t="inlineStr">
        <is>
          <t>ORD04177</t>
        </is>
      </c>
      <c r="B4178" t="inlineStr">
        <is>
          <t>C1677</t>
        </is>
      </c>
      <c r="C4178" t="n">
        <v>1</v>
      </c>
      <c r="D4178" t="inlineStr">
        <is>
          <t>Hub B</t>
        </is>
      </c>
      <c r="E4178" t="n">
        <v>37</v>
      </c>
      <c r="F4178" t="n">
        <v>22</v>
      </c>
    </row>
    <row r="4179">
      <c r="A4179" t="inlineStr">
        <is>
          <t>ORD04178</t>
        </is>
      </c>
      <c r="B4179" t="inlineStr">
        <is>
          <t>C1678</t>
        </is>
      </c>
      <c r="C4179" t="n">
        <v>2</v>
      </c>
      <c r="D4179" t="inlineStr">
        <is>
          <t>Hub B</t>
        </is>
      </c>
      <c r="E4179" t="n">
        <v>44</v>
      </c>
      <c r="F4179" t="n">
        <v>22</v>
      </c>
    </row>
    <row r="4180">
      <c r="A4180" t="inlineStr">
        <is>
          <t>ORD04179</t>
        </is>
      </c>
      <c r="B4180" t="inlineStr">
        <is>
          <t>C1679</t>
        </is>
      </c>
      <c r="C4180" t="n">
        <v>3</v>
      </c>
      <c r="D4180" t="inlineStr">
        <is>
          <t>Hub B</t>
        </is>
      </c>
      <c r="E4180" t="n">
        <v>51</v>
      </c>
      <c r="F4180" t="n">
        <v>22</v>
      </c>
    </row>
    <row r="4181">
      <c r="A4181" t="inlineStr">
        <is>
          <t>ORD04180</t>
        </is>
      </c>
      <c r="B4181" t="inlineStr">
        <is>
          <t>C1680</t>
        </is>
      </c>
      <c r="C4181" t="n">
        <v>1</v>
      </c>
      <c r="D4181" t="inlineStr">
        <is>
          <t>Hub B</t>
        </is>
      </c>
      <c r="E4181" t="n">
        <v>58</v>
      </c>
      <c r="F4181" t="n">
        <v>22</v>
      </c>
    </row>
    <row r="4182">
      <c r="A4182" t="inlineStr">
        <is>
          <t>ORD04181</t>
        </is>
      </c>
      <c r="B4182" t="inlineStr">
        <is>
          <t>C1681</t>
        </is>
      </c>
      <c r="C4182" t="n">
        <v>2</v>
      </c>
      <c r="D4182" t="inlineStr">
        <is>
          <t>Hub B</t>
        </is>
      </c>
      <c r="E4182" t="n">
        <v>65</v>
      </c>
      <c r="F4182" t="n">
        <v>22</v>
      </c>
    </row>
    <row r="4183">
      <c r="A4183" t="inlineStr">
        <is>
          <t>ORD04182</t>
        </is>
      </c>
      <c r="B4183" t="inlineStr">
        <is>
          <t>C1682</t>
        </is>
      </c>
      <c r="C4183" t="n">
        <v>3</v>
      </c>
      <c r="D4183" t="inlineStr">
        <is>
          <t>Hub B</t>
        </is>
      </c>
      <c r="E4183" t="n">
        <v>72</v>
      </c>
      <c r="F4183" t="n">
        <v>22</v>
      </c>
    </row>
    <row r="4184">
      <c r="A4184" t="inlineStr">
        <is>
          <t>ORD04183</t>
        </is>
      </c>
      <c r="B4184" t="inlineStr">
        <is>
          <t>C1683</t>
        </is>
      </c>
      <c r="C4184" t="n">
        <v>1</v>
      </c>
      <c r="D4184" t="inlineStr">
        <is>
          <t>Hub B</t>
        </is>
      </c>
      <c r="E4184" t="n">
        <v>19</v>
      </c>
      <c r="F4184" t="n">
        <v>22</v>
      </c>
    </row>
    <row r="4185">
      <c r="A4185" t="inlineStr">
        <is>
          <t>ORD04184</t>
        </is>
      </c>
      <c r="B4185" t="inlineStr">
        <is>
          <t>C1684</t>
        </is>
      </c>
      <c r="C4185" t="n">
        <v>2</v>
      </c>
      <c r="D4185" t="inlineStr">
        <is>
          <t>Hub B</t>
        </is>
      </c>
      <c r="E4185" t="n">
        <v>26</v>
      </c>
      <c r="F4185" t="n">
        <v>22</v>
      </c>
    </row>
    <row r="4186">
      <c r="A4186" t="inlineStr">
        <is>
          <t>ORD04185</t>
        </is>
      </c>
      <c r="B4186" t="inlineStr">
        <is>
          <t>C1685</t>
        </is>
      </c>
      <c r="C4186" t="n">
        <v>3</v>
      </c>
      <c r="D4186" t="inlineStr">
        <is>
          <t>Hub B</t>
        </is>
      </c>
      <c r="E4186" t="n">
        <v>33</v>
      </c>
      <c r="F4186" t="n">
        <v>22</v>
      </c>
    </row>
    <row r="4187">
      <c r="A4187" t="inlineStr">
        <is>
          <t>ORD04186</t>
        </is>
      </c>
      <c r="B4187" t="inlineStr">
        <is>
          <t>C1686</t>
        </is>
      </c>
      <c r="C4187" t="n">
        <v>1</v>
      </c>
      <c r="D4187" t="inlineStr">
        <is>
          <t>Hub B</t>
        </is>
      </c>
      <c r="E4187" t="n">
        <v>40</v>
      </c>
      <c r="F4187" t="n">
        <v>22</v>
      </c>
    </row>
    <row r="4188">
      <c r="A4188" t="inlineStr">
        <is>
          <t>ORD04187</t>
        </is>
      </c>
      <c r="B4188" t="inlineStr">
        <is>
          <t>C1687</t>
        </is>
      </c>
      <c r="C4188" t="n">
        <v>2</v>
      </c>
      <c r="D4188" t="inlineStr">
        <is>
          <t>Hub B</t>
        </is>
      </c>
      <c r="E4188" t="n">
        <v>47</v>
      </c>
      <c r="F4188" t="n">
        <v>22</v>
      </c>
    </row>
    <row r="4189">
      <c r="A4189" t="inlineStr">
        <is>
          <t>ORD04188</t>
        </is>
      </c>
      <c r="B4189" t="inlineStr">
        <is>
          <t>C1688</t>
        </is>
      </c>
      <c r="C4189" t="n">
        <v>3</v>
      </c>
      <c r="D4189" t="inlineStr">
        <is>
          <t>Hub B</t>
        </is>
      </c>
      <c r="E4189" t="n">
        <v>54</v>
      </c>
      <c r="F4189" t="n">
        <v>22</v>
      </c>
    </row>
    <row r="4190">
      <c r="A4190" t="inlineStr">
        <is>
          <t>ORD04189</t>
        </is>
      </c>
      <c r="B4190" t="inlineStr">
        <is>
          <t>C1689</t>
        </is>
      </c>
      <c r="C4190" t="n">
        <v>1</v>
      </c>
      <c r="D4190" t="inlineStr">
        <is>
          <t>Hub B</t>
        </is>
      </c>
      <c r="E4190" t="n">
        <v>61</v>
      </c>
      <c r="F4190" t="n">
        <v>22</v>
      </c>
    </row>
    <row r="4191">
      <c r="A4191" t="inlineStr">
        <is>
          <t>ORD04190</t>
        </is>
      </c>
      <c r="B4191" t="inlineStr">
        <is>
          <t>C1690</t>
        </is>
      </c>
      <c r="C4191" t="n">
        <v>2</v>
      </c>
      <c r="D4191" t="inlineStr">
        <is>
          <t>Hub B</t>
        </is>
      </c>
      <c r="E4191" t="n">
        <v>68</v>
      </c>
      <c r="F4191" t="n">
        <v>22</v>
      </c>
    </row>
    <row r="4192">
      <c r="A4192" t="inlineStr">
        <is>
          <t>ORD04191</t>
        </is>
      </c>
      <c r="B4192" t="inlineStr">
        <is>
          <t>C1691</t>
        </is>
      </c>
      <c r="C4192" t="n">
        <v>3</v>
      </c>
      <c r="D4192" t="inlineStr">
        <is>
          <t>Hub B</t>
        </is>
      </c>
      <c r="E4192" t="n">
        <v>75</v>
      </c>
      <c r="F4192" t="n">
        <v>22</v>
      </c>
    </row>
    <row r="4193">
      <c r="A4193" t="inlineStr">
        <is>
          <t>ORD04192</t>
        </is>
      </c>
      <c r="B4193" t="inlineStr">
        <is>
          <t>C1692</t>
        </is>
      </c>
      <c r="C4193" t="n">
        <v>1</v>
      </c>
      <c r="D4193" t="inlineStr">
        <is>
          <t>Hub B</t>
        </is>
      </c>
      <c r="E4193" t="n">
        <v>22</v>
      </c>
      <c r="F4193" t="n">
        <v>22</v>
      </c>
    </row>
    <row r="4194">
      <c r="A4194" t="inlineStr">
        <is>
          <t>ORD04193</t>
        </is>
      </c>
      <c r="B4194" t="inlineStr">
        <is>
          <t>C1693</t>
        </is>
      </c>
      <c r="C4194" t="n">
        <v>2</v>
      </c>
      <c r="D4194" t="inlineStr">
        <is>
          <t>Hub B</t>
        </is>
      </c>
      <c r="E4194" t="n">
        <v>29</v>
      </c>
      <c r="F4194" t="n">
        <v>22</v>
      </c>
    </row>
    <row r="4195">
      <c r="A4195" t="inlineStr">
        <is>
          <t>ORD04194</t>
        </is>
      </c>
      <c r="B4195" t="inlineStr">
        <is>
          <t>C1694</t>
        </is>
      </c>
      <c r="C4195" t="n">
        <v>3</v>
      </c>
      <c r="D4195" t="inlineStr">
        <is>
          <t>Hub B</t>
        </is>
      </c>
      <c r="E4195" t="n">
        <v>36</v>
      </c>
      <c r="F4195" t="n">
        <v>22</v>
      </c>
    </row>
    <row r="4196">
      <c r="A4196" t="inlineStr">
        <is>
          <t>ORD04195</t>
        </is>
      </c>
      <c r="B4196" t="inlineStr">
        <is>
          <t>C1695</t>
        </is>
      </c>
      <c r="C4196" t="n">
        <v>1</v>
      </c>
      <c r="D4196" t="inlineStr">
        <is>
          <t>Hub B</t>
        </is>
      </c>
      <c r="E4196" t="n">
        <v>43</v>
      </c>
      <c r="F4196" t="n">
        <v>22</v>
      </c>
    </row>
    <row r="4197">
      <c r="A4197" t="inlineStr">
        <is>
          <t>ORD04196</t>
        </is>
      </c>
      <c r="B4197" t="inlineStr">
        <is>
          <t>C1696</t>
        </is>
      </c>
      <c r="C4197" t="n">
        <v>2</v>
      </c>
      <c r="D4197" t="inlineStr">
        <is>
          <t>Hub B</t>
        </is>
      </c>
      <c r="E4197" t="n">
        <v>50</v>
      </c>
      <c r="F4197" t="n">
        <v>22</v>
      </c>
    </row>
    <row r="4198">
      <c r="A4198" t="inlineStr">
        <is>
          <t>ORD04197</t>
        </is>
      </c>
      <c r="B4198" t="inlineStr">
        <is>
          <t>C1697</t>
        </is>
      </c>
      <c r="C4198" t="n">
        <v>3</v>
      </c>
      <c r="D4198" t="inlineStr">
        <is>
          <t>Hub B</t>
        </is>
      </c>
      <c r="E4198" t="n">
        <v>57</v>
      </c>
      <c r="F4198" t="n">
        <v>22</v>
      </c>
    </row>
    <row r="4199">
      <c r="A4199" t="inlineStr">
        <is>
          <t>ORD04198</t>
        </is>
      </c>
      <c r="B4199" t="inlineStr">
        <is>
          <t>C1698</t>
        </is>
      </c>
      <c r="C4199" t="n">
        <v>1</v>
      </c>
      <c r="D4199" t="inlineStr">
        <is>
          <t>Hub B</t>
        </is>
      </c>
      <c r="E4199" t="n">
        <v>64</v>
      </c>
      <c r="F4199" t="n">
        <v>22</v>
      </c>
    </row>
    <row r="4200">
      <c r="A4200" t="inlineStr">
        <is>
          <t>ORD04199</t>
        </is>
      </c>
      <c r="B4200" t="inlineStr">
        <is>
          <t>C1699</t>
        </is>
      </c>
      <c r="C4200" t="n">
        <v>2</v>
      </c>
      <c r="D4200" t="inlineStr">
        <is>
          <t>Hub B</t>
        </is>
      </c>
      <c r="E4200" t="n">
        <v>71</v>
      </c>
      <c r="F4200" t="n">
        <v>22</v>
      </c>
    </row>
    <row r="4201">
      <c r="A4201" t="inlineStr">
        <is>
          <t>ORD04200</t>
        </is>
      </c>
      <c r="B4201" t="inlineStr">
        <is>
          <t>C1700</t>
        </is>
      </c>
      <c r="C4201" t="n">
        <v>3</v>
      </c>
      <c r="D4201" t="inlineStr">
        <is>
          <t>Hub B</t>
        </is>
      </c>
      <c r="E4201" t="n">
        <v>18</v>
      </c>
      <c r="F4201" t="n">
        <v>22</v>
      </c>
    </row>
    <row r="4202">
      <c r="A4202" t="inlineStr">
        <is>
          <t>ORD04201</t>
        </is>
      </c>
      <c r="B4202" t="inlineStr">
        <is>
          <t>C1701</t>
        </is>
      </c>
      <c r="C4202" t="n">
        <v>1</v>
      </c>
      <c r="D4202" t="inlineStr">
        <is>
          <t>Hub B</t>
        </is>
      </c>
      <c r="E4202" t="n">
        <v>25</v>
      </c>
      <c r="F4202" t="n">
        <v>22</v>
      </c>
    </row>
    <row r="4203">
      <c r="A4203" t="inlineStr">
        <is>
          <t>ORD04202</t>
        </is>
      </c>
      <c r="B4203" t="inlineStr">
        <is>
          <t>C1702</t>
        </is>
      </c>
      <c r="C4203" t="n">
        <v>2</v>
      </c>
      <c r="D4203" t="inlineStr">
        <is>
          <t>Hub B</t>
        </is>
      </c>
      <c r="E4203" t="n">
        <v>32</v>
      </c>
      <c r="F4203" t="n">
        <v>22</v>
      </c>
    </row>
    <row r="4204">
      <c r="A4204" t="inlineStr">
        <is>
          <t>ORD04203</t>
        </is>
      </c>
      <c r="B4204" t="inlineStr">
        <is>
          <t>C1703</t>
        </is>
      </c>
      <c r="C4204" t="n">
        <v>3</v>
      </c>
      <c r="D4204" t="inlineStr">
        <is>
          <t>Hub B</t>
        </is>
      </c>
      <c r="E4204" t="n">
        <v>39</v>
      </c>
      <c r="F4204" t="n">
        <v>22</v>
      </c>
    </row>
    <row r="4205">
      <c r="A4205" t="inlineStr">
        <is>
          <t>ORD04204</t>
        </is>
      </c>
      <c r="B4205" t="inlineStr">
        <is>
          <t>C1704</t>
        </is>
      </c>
      <c r="C4205" t="n">
        <v>1</v>
      </c>
      <c r="D4205" t="inlineStr">
        <is>
          <t>Hub B</t>
        </is>
      </c>
      <c r="E4205" t="n">
        <v>46</v>
      </c>
      <c r="F4205" t="n">
        <v>22</v>
      </c>
    </row>
    <row r="4206">
      <c r="A4206" t="inlineStr">
        <is>
          <t>ORD04205</t>
        </is>
      </c>
      <c r="B4206" t="inlineStr">
        <is>
          <t>C1705</t>
        </is>
      </c>
      <c r="C4206" t="n">
        <v>2</v>
      </c>
      <c r="D4206" t="inlineStr">
        <is>
          <t>Hub B</t>
        </is>
      </c>
      <c r="E4206" t="n">
        <v>53</v>
      </c>
      <c r="F4206" t="n">
        <v>22</v>
      </c>
    </row>
    <row r="4207">
      <c r="A4207" t="inlineStr">
        <is>
          <t>ORD04206</t>
        </is>
      </c>
      <c r="B4207" t="inlineStr">
        <is>
          <t>C1706</t>
        </is>
      </c>
      <c r="C4207" t="n">
        <v>3</v>
      </c>
      <c r="D4207" t="inlineStr">
        <is>
          <t>Hub B</t>
        </is>
      </c>
      <c r="E4207" t="n">
        <v>60</v>
      </c>
      <c r="F4207" t="n">
        <v>22</v>
      </c>
    </row>
    <row r="4208">
      <c r="A4208" t="inlineStr">
        <is>
          <t>ORD04207</t>
        </is>
      </c>
      <c r="B4208" t="inlineStr">
        <is>
          <t>C1707</t>
        </is>
      </c>
      <c r="C4208" t="n">
        <v>1</v>
      </c>
      <c r="D4208" t="inlineStr">
        <is>
          <t>Hub B</t>
        </is>
      </c>
      <c r="E4208" t="n">
        <v>67</v>
      </c>
      <c r="F4208" t="n">
        <v>22</v>
      </c>
    </row>
    <row r="4209">
      <c r="A4209" t="inlineStr">
        <is>
          <t>ORD04208</t>
        </is>
      </c>
      <c r="B4209" t="inlineStr">
        <is>
          <t>C1708</t>
        </is>
      </c>
      <c r="C4209" t="n">
        <v>2</v>
      </c>
      <c r="D4209" t="inlineStr">
        <is>
          <t>Hub B</t>
        </is>
      </c>
      <c r="E4209" t="n">
        <v>74</v>
      </c>
      <c r="F4209" t="n">
        <v>22</v>
      </c>
    </row>
    <row r="4210">
      <c r="A4210" t="inlineStr">
        <is>
          <t>ORD04209</t>
        </is>
      </c>
      <c r="B4210" t="inlineStr">
        <is>
          <t>C1709</t>
        </is>
      </c>
      <c r="C4210" t="n">
        <v>3</v>
      </c>
      <c r="D4210" t="inlineStr">
        <is>
          <t>Hub B</t>
        </is>
      </c>
      <c r="E4210" t="n">
        <v>21</v>
      </c>
      <c r="F4210" t="n">
        <v>22</v>
      </c>
    </row>
    <row r="4211">
      <c r="A4211" t="inlineStr">
        <is>
          <t>ORD04210</t>
        </is>
      </c>
      <c r="B4211" t="inlineStr">
        <is>
          <t>C1710</t>
        </is>
      </c>
      <c r="C4211" t="n">
        <v>1</v>
      </c>
      <c r="D4211" t="inlineStr">
        <is>
          <t>Hub B</t>
        </is>
      </c>
      <c r="E4211" t="n">
        <v>28</v>
      </c>
      <c r="F4211" t="n">
        <v>22</v>
      </c>
    </row>
    <row r="4212">
      <c r="A4212" t="inlineStr">
        <is>
          <t>ORD04211</t>
        </is>
      </c>
      <c r="B4212" t="inlineStr">
        <is>
          <t>C1711</t>
        </is>
      </c>
      <c r="C4212" t="n">
        <v>2</v>
      </c>
      <c r="D4212" t="inlineStr">
        <is>
          <t>Hub B</t>
        </is>
      </c>
      <c r="E4212" t="n">
        <v>35</v>
      </c>
      <c r="F4212" t="n">
        <v>22</v>
      </c>
    </row>
    <row r="4213">
      <c r="A4213" t="inlineStr">
        <is>
          <t>ORD04212</t>
        </is>
      </c>
      <c r="B4213" t="inlineStr">
        <is>
          <t>C1712</t>
        </is>
      </c>
      <c r="C4213" t="n">
        <v>3</v>
      </c>
      <c r="D4213" t="inlineStr">
        <is>
          <t>Hub B</t>
        </is>
      </c>
      <c r="E4213" t="n">
        <v>42</v>
      </c>
      <c r="F4213" t="n">
        <v>22</v>
      </c>
    </row>
    <row r="4214">
      <c r="A4214" t="inlineStr">
        <is>
          <t>ORD04213</t>
        </is>
      </c>
      <c r="B4214" t="inlineStr">
        <is>
          <t>C1713</t>
        </is>
      </c>
      <c r="C4214" t="n">
        <v>1</v>
      </c>
      <c r="D4214" t="inlineStr">
        <is>
          <t>Hub B</t>
        </is>
      </c>
      <c r="E4214" t="n">
        <v>49</v>
      </c>
      <c r="F4214" t="n">
        <v>22</v>
      </c>
    </row>
    <row r="4215">
      <c r="A4215" t="inlineStr">
        <is>
          <t>ORD04214</t>
        </is>
      </c>
      <c r="B4215" t="inlineStr">
        <is>
          <t>C1714</t>
        </is>
      </c>
      <c r="C4215" t="n">
        <v>2</v>
      </c>
      <c r="D4215" t="inlineStr">
        <is>
          <t>Hub B</t>
        </is>
      </c>
      <c r="E4215" t="n">
        <v>56</v>
      </c>
      <c r="F4215" t="n">
        <v>22</v>
      </c>
    </row>
    <row r="4216">
      <c r="A4216" t="inlineStr">
        <is>
          <t>ORD04215</t>
        </is>
      </c>
      <c r="B4216" t="inlineStr">
        <is>
          <t>C1715</t>
        </is>
      </c>
      <c r="C4216" t="n">
        <v>3</v>
      </c>
      <c r="D4216" t="inlineStr">
        <is>
          <t>Hub B</t>
        </is>
      </c>
      <c r="E4216" t="n">
        <v>63</v>
      </c>
      <c r="F4216" t="n">
        <v>22</v>
      </c>
    </row>
    <row r="4217">
      <c r="A4217" t="inlineStr">
        <is>
          <t>ORD04216</t>
        </is>
      </c>
      <c r="B4217" t="inlineStr">
        <is>
          <t>C1716</t>
        </is>
      </c>
      <c r="C4217" t="n">
        <v>1</v>
      </c>
      <c r="D4217" t="inlineStr">
        <is>
          <t>Hub B</t>
        </is>
      </c>
      <c r="E4217" t="n">
        <v>70</v>
      </c>
      <c r="F4217" t="n">
        <v>22</v>
      </c>
    </row>
    <row r="4218">
      <c r="A4218" t="inlineStr">
        <is>
          <t>ORD04217</t>
        </is>
      </c>
      <c r="B4218" t="inlineStr">
        <is>
          <t>C1717</t>
        </is>
      </c>
      <c r="C4218" t="n">
        <v>2</v>
      </c>
      <c r="D4218" t="inlineStr">
        <is>
          <t>Hub B</t>
        </is>
      </c>
      <c r="E4218" t="n">
        <v>77</v>
      </c>
      <c r="F4218" t="n">
        <v>22</v>
      </c>
    </row>
    <row r="4219">
      <c r="A4219" t="inlineStr">
        <is>
          <t>ORD04218</t>
        </is>
      </c>
      <c r="B4219" t="inlineStr">
        <is>
          <t>C1718</t>
        </is>
      </c>
      <c r="C4219" t="n">
        <v>3</v>
      </c>
      <c r="D4219" t="inlineStr">
        <is>
          <t>Hub B</t>
        </is>
      </c>
      <c r="E4219" t="n">
        <v>24</v>
      </c>
      <c r="F4219" t="n">
        <v>22</v>
      </c>
    </row>
    <row r="4220">
      <c r="A4220" t="inlineStr">
        <is>
          <t>ORD04219</t>
        </is>
      </c>
      <c r="B4220" t="inlineStr">
        <is>
          <t>C1719</t>
        </is>
      </c>
      <c r="C4220" t="n">
        <v>1</v>
      </c>
      <c r="D4220" t="inlineStr">
        <is>
          <t>Hub B</t>
        </is>
      </c>
      <c r="E4220" t="n">
        <v>31</v>
      </c>
      <c r="F4220" t="n">
        <v>22</v>
      </c>
    </row>
    <row r="4221">
      <c r="A4221" t="inlineStr">
        <is>
          <t>ORD04220</t>
        </is>
      </c>
      <c r="B4221" t="inlineStr">
        <is>
          <t>C1720</t>
        </is>
      </c>
      <c r="C4221" t="n">
        <v>2</v>
      </c>
      <c r="D4221" t="inlineStr">
        <is>
          <t>Hub B</t>
        </is>
      </c>
      <c r="E4221" t="n">
        <v>38</v>
      </c>
      <c r="F4221" t="n">
        <v>22</v>
      </c>
    </row>
    <row r="4222">
      <c r="A4222" t="inlineStr">
        <is>
          <t>ORD04221</t>
        </is>
      </c>
      <c r="B4222" t="inlineStr">
        <is>
          <t>C1721</t>
        </is>
      </c>
      <c r="C4222" t="n">
        <v>3</v>
      </c>
      <c r="D4222" t="inlineStr">
        <is>
          <t>Hub B</t>
        </is>
      </c>
      <c r="E4222" t="n">
        <v>45</v>
      </c>
      <c r="F4222" t="n">
        <v>22</v>
      </c>
    </row>
    <row r="4223">
      <c r="A4223" t="inlineStr">
        <is>
          <t>ORD04222</t>
        </is>
      </c>
      <c r="B4223" t="inlineStr">
        <is>
          <t>C1722</t>
        </is>
      </c>
      <c r="C4223" t="n">
        <v>1</v>
      </c>
      <c r="D4223" t="inlineStr">
        <is>
          <t>Hub B</t>
        </is>
      </c>
      <c r="E4223" t="n">
        <v>52</v>
      </c>
      <c r="F4223" t="n">
        <v>22</v>
      </c>
    </row>
    <row r="4224">
      <c r="A4224" t="inlineStr">
        <is>
          <t>ORD04223</t>
        </is>
      </c>
      <c r="B4224" t="inlineStr">
        <is>
          <t>C1723</t>
        </is>
      </c>
      <c r="C4224" t="n">
        <v>2</v>
      </c>
      <c r="D4224" t="inlineStr">
        <is>
          <t>Hub B</t>
        </is>
      </c>
      <c r="E4224" t="n">
        <v>59</v>
      </c>
      <c r="F4224" t="n">
        <v>22</v>
      </c>
    </row>
    <row r="4225">
      <c r="A4225" t="inlineStr">
        <is>
          <t>ORD04224</t>
        </is>
      </c>
      <c r="B4225" t="inlineStr">
        <is>
          <t>C1724</t>
        </is>
      </c>
      <c r="C4225" t="n">
        <v>3</v>
      </c>
      <c r="D4225" t="inlineStr">
        <is>
          <t>Hub B</t>
        </is>
      </c>
      <c r="E4225" t="n">
        <v>66</v>
      </c>
      <c r="F4225" t="n">
        <v>22</v>
      </c>
    </row>
    <row r="4226">
      <c r="A4226" t="inlineStr">
        <is>
          <t>ORD04225</t>
        </is>
      </c>
      <c r="B4226" t="inlineStr">
        <is>
          <t>C1725</t>
        </is>
      </c>
      <c r="C4226" t="n">
        <v>1</v>
      </c>
      <c r="D4226" t="inlineStr">
        <is>
          <t>Hub B</t>
        </is>
      </c>
      <c r="E4226" t="n">
        <v>73</v>
      </c>
      <c r="F4226" t="n">
        <v>22</v>
      </c>
    </row>
    <row r="4227">
      <c r="A4227" t="inlineStr">
        <is>
          <t>ORD04226</t>
        </is>
      </c>
      <c r="B4227" t="inlineStr">
        <is>
          <t>C1726</t>
        </is>
      </c>
      <c r="C4227" t="n">
        <v>2</v>
      </c>
      <c r="D4227" t="inlineStr">
        <is>
          <t>Hub B</t>
        </is>
      </c>
      <c r="E4227" t="n">
        <v>20</v>
      </c>
      <c r="F4227" t="n">
        <v>22</v>
      </c>
    </row>
    <row r="4228">
      <c r="A4228" t="inlineStr">
        <is>
          <t>ORD04227</t>
        </is>
      </c>
      <c r="B4228" t="inlineStr">
        <is>
          <t>C1727</t>
        </is>
      </c>
      <c r="C4228" t="n">
        <v>3</v>
      </c>
      <c r="D4228" t="inlineStr">
        <is>
          <t>Hub B</t>
        </is>
      </c>
      <c r="E4228" t="n">
        <v>27</v>
      </c>
      <c r="F4228" t="n">
        <v>22</v>
      </c>
    </row>
    <row r="4229">
      <c r="A4229" t="inlineStr">
        <is>
          <t>ORD04228</t>
        </is>
      </c>
      <c r="B4229" t="inlineStr">
        <is>
          <t>C1728</t>
        </is>
      </c>
      <c r="C4229" t="n">
        <v>1</v>
      </c>
      <c r="D4229" t="inlineStr">
        <is>
          <t>Hub B</t>
        </is>
      </c>
      <c r="E4229" t="n">
        <v>34</v>
      </c>
      <c r="F4229" t="n">
        <v>22</v>
      </c>
    </row>
    <row r="4230">
      <c r="A4230" t="inlineStr">
        <is>
          <t>ORD04229</t>
        </is>
      </c>
      <c r="B4230" t="inlineStr">
        <is>
          <t>C1729</t>
        </is>
      </c>
      <c r="C4230" t="n">
        <v>2</v>
      </c>
      <c r="D4230" t="inlineStr">
        <is>
          <t>Hub B</t>
        </is>
      </c>
      <c r="E4230" t="n">
        <v>41</v>
      </c>
      <c r="F4230" t="n">
        <v>22</v>
      </c>
    </row>
    <row r="4231">
      <c r="A4231" t="inlineStr">
        <is>
          <t>ORD04230</t>
        </is>
      </c>
      <c r="B4231" t="inlineStr">
        <is>
          <t>C1730</t>
        </is>
      </c>
      <c r="C4231" t="n">
        <v>3</v>
      </c>
      <c r="D4231" t="inlineStr">
        <is>
          <t>Hub B</t>
        </is>
      </c>
      <c r="E4231" t="n">
        <v>48</v>
      </c>
      <c r="F4231" t="n">
        <v>22</v>
      </c>
    </row>
    <row r="4232">
      <c r="A4232" t="inlineStr">
        <is>
          <t>ORD04231</t>
        </is>
      </c>
      <c r="B4232" t="inlineStr">
        <is>
          <t>C1731</t>
        </is>
      </c>
      <c r="C4232" t="n">
        <v>1</v>
      </c>
      <c r="D4232" t="inlineStr">
        <is>
          <t>Hub B</t>
        </is>
      </c>
      <c r="E4232" t="n">
        <v>55</v>
      </c>
      <c r="F4232" t="n">
        <v>22</v>
      </c>
    </row>
    <row r="4233">
      <c r="A4233" t="inlineStr">
        <is>
          <t>ORD04232</t>
        </is>
      </c>
      <c r="B4233" t="inlineStr">
        <is>
          <t>C1732</t>
        </is>
      </c>
      <c r="C4233" t="n">
        <v>2</v>
      </c>
      <c r="D4233" t="inlineStr">
        <is>
          <t>Hub B</t>
        </is>
      </c>
      <c r="E4233" t="n">
        <v>62</v>
      </c>
      <c r="F4233" t="n">
        <v>22</v>
      </c>
    </row>
    <row r="4234">
      <c r="A4234" t="inlineStr">
        <is>
          <t>ORD04233</t>
        </is>
      </c>
      <c r="B4234" t="inlineStr">
        <is>
          <t>C1733</t>
        </is>
      </c>
      <c r="C4234" t="n">
        <v>3</v>
      </c>
      <c r="D4234" t="inlineStr">
        <is>
          <t>Hub B</t>
        </is>
      </c>
      <c r="E4234" t="n">
        <v>69</v>
      </c>
      <c r="F4234" t="n">
        <v>22</v>
      </c>
    </row>
    <row r="4235">
      <c r="A4235" t="inlineStr">
        <is>
          <t>ORD04234</t>
        </is>
      </c>
      <c r="B4235" t="inlineStr">
        <is>
          <t>C1734</t>
        </is>
      </c>
      <c r="C4235" t="n">
        <v>1</v>
      </c>
      <c r="D4235" t="inlineStr">
        <is>
          <t>Hub B</t>
        </is>
      </c>
      <c r="E4235" t="n">
        <v>76</v>
      </c>
      <c r="F4235" t="n">
        <v>22</v>
      </c>
    </row>
    <row r="4236">
      <c r="A4236" t="inlineStr">
        <is>
          <t>ORD04235</t>
        </is>
      </c>
      <c r="B4236" t="inlineStr">
        <is>
          <t>C1735</t>
        </is>
      </c>
      <c r="C4236" t="n">
        <v>2</v>
      </c>
      <c r="D4236" t="inlineStr">
        <is>
          <t>Hub B</t>
        </is>
      </c>
      <c r="E4236" t="n">
        <v>23</v>
      </c>
      <c r="F4236" t="n">
        <v>22</v>
      </c>
    </row>
    <row r="4237">
      <c r="A4237" t="inlineStr">
        <is>
          <t>ORD04236</t>
        </is>
      </c>
      <c r="B4237" t="inlineStr">
        <is>
          <t>C1736</t>
        </is>
      </c>
      <c r="C4237" t="n">
        <v>3</v>
      </c>
      <c r="D4237" t="inlineStr">
        <is>
          <t>Hub B</t>
        </is>
      </c>
      <c r="E4237" t="n">
        <v>30</v>
      </c>
      <c r="F4237" t="n">
        <v>22</v>
      </c>
    </row>
    <row r="4238">
      <c r="A4238" t="inlineStr">
        <is>
          <t>ORD04237</t>
        </is>
      </c>
      <c r="B4238" t="inlineStr">
        <is>
          <t>C1737</t>
        </is>
      </c>
      <c r="C4238" t="n">
        <v>1</v>
      </c>
      <c r="D4238" t="inlineStr">
        <is>
          <t>Hub B</t>
        </is>
      </c>
      <c r="E4238" t="n">
        <v>37</v>
      </c>
      <c r="F4238" t="n">
        <v>22</v>
      </c>
    </row>
    <row r="4239">
      <c r="A4239" t="inlineStr">
        <is>
          <t>ORD04238</t>
        </is>
      </c>
      <c r="B4239" t="inlineStr">
        <is>
          <t>C1738</t>
        </is>
      </c>
      <c r="C4239" t="n">
        <v>2</v>
      </c>
      <c r="D4239" t="inlineStr">
        <is>
          <t>Hub B</t>
        </is>
      </c>
      <c r="E4239" t="n">
        <v>44</v>
      </c>
      <c r="F4239" t="n">
        <v>22</v>
      </c>
    </row>
    <row r="4240">
      <c r="A4240" t="inlineStr">
        <is>
          <t>ORD04239</t>
        </is>
      </c>
      <c r="B4240" t="inlineStr">
        <is>
          <t>C1739</t>
        </is>
      </c>
      <c r="C4240" t="n">
        <v>3</v>
      </c>
      <c r="D4240" t="inlineStr">
        <is>
          <t>Hub B</t>
        </is>
      </c>
      <c r="E4240" t="n">
        <v>51</v>
      </c>
      <c r="F4240" t="n">
        <v>22</v>
      </c>
    </row>
    <row r="4241">
      <c r="A4241" t="inlineStr">
        <is>
          <t>ORD04240</t>
        </is>
      </c>
      <c r="B4241" t="inlineStr">
        <is>
          <t>C1740</t>
        </is>
      </c>
      <c r="C4241" t="n">
        <v>1</v>
      </c>
      <c r="D4241" t="inlineStr">
        <is>
          <t>Hub B</t>
        </is>
      </c>
      <c r="E4241" t="n">
        <v>58</v>
      </c>
      <c r="F4241" t="n">
        <v>22</v>
      </c>
    </row>
    <row r="4242">
      <c r="A4242" t="inlineStr">
        <is>
          <t>ORD04241</t>
        </is>
      </c>
      <c r="B4242" t="inlineStr">
        <is>
          <t>C1741</t>
        </is>
      </c>
      <c r="C4242" t="n">
        <v>2</v>
      </c>
      <c r="D4242" t="inlineStr">
        <is>
          <t>Hub B</t>
        </is>
      </c>
      <c r="E4242" t="n">
        <v>65</v>
      </c>
      <c r="F4242" t="n">
        <v>22</v>
      </c>
    </row>
    <row r="4243">
      <c r="A4243" t="inlineStr">
        <is>
          <t>ORD04242</t>
        </is>
      </c>
      <c r="B4243" t="inlineStr">
        <is>
          <t>C1742</t>
        </is>
      </c>
      <c r="C4243" t="n">
        <v>3</v>
      </c>
      <c r="D4243" t="inlineStr">
        <is>
          <t>Hub B</t>
        </is>
      </c>
      <c r="E4243" t="n">
        <v>72</v>
      </c>
      <c r="F4243" t="n">
        <v>22</v>
      </c>
    </row>
    <row r="4244">
      <c r="A4244" t="inlineStr">
        <is>
          <t>ORD04243</t>
        </is>
      </c>
      <c r="B4244" t="inlineStr">
        <is>
          <t>C1743</t>
        </is>
      </c>
      <c r="C4244" t="n">
        <v>1</v>
      </c>
      <c r="D4244" t="inlineStr">
        <is>
          <t>Hub B</t>
        </is>
      </c>
      <c r="E4244" t="n">
        <v>19</v>
      </c>
      <c r="F4244" t="n">
        <v>22</v>
      </c>
    </row>
    <row r="4245">
      <c r="A4245" t="inlineStr">
        <is>
          <t>ORD04244</t>
        </is>
      </c>
      <c r="B4245" t="inlineStr">
        <is>
          <t>C1744</t>
        </is>
      </c>
      <c r="C4245" t="n">
        <v>2</v>
      </c>
      <c r="D4245" t="inlineStr">
        <is>
          <t>Hub B</t>
        </is>
      </c>
      <c r="E4245" t="n">
        <v>26</v>
      </c>
      <c r="F4245" t="n">
        <v>22</v>
      </c>
    </row>
    <row r="4246">
      <c r="A4246" t="inlineStr">
        <is>
          <t>ORD04245</t>
        </is>
      </c>
      <c r="B4246" t="inlineStr">
        <is>
          <t>C1745</t>
        </is>
      </c>
      <c r="C4246" t="n">
        <v>3</v>
      </c>
      <c r="D4246" t="inlineStr">
        <is>
          <t>Hub B</t>
        </is>
      </c>
      <c r="E4246" t="n">
        <v>33</v>
      </c>
      <c r="F4246" t="n">
        <v>22</v>
      </c>
    </row>
    <row r="4247">
      <c r="A4247" t="inlineStr">
        <is>
          <t>ORD04246</t>
        </is>
      </c>
      <c r="B4247" t="inlineStr">
        <is>
          <t>C1746</t>
        </is>
      </c>
      <c r="C4247" t="n">
        <v>1</v>
      </c>
      <c r="D4247" t="inlineStr">
        <is>
          <t>Hub B</t>
        </is>
      </c>
      <c r="E4247" t="n">
        <v>40</v>
      </c>
      <c r="F4247" t="n">
        <v>22</v>
      </c>
    </row>
    <row r="4248">
      <c r="A4248" t="inlineStr">
        <is>
          <t>ORD04247</t>
        </is>
      </c>
      <c r="B4248" t="inlineStr">
        <is>
          <t>C1747</t>
        </is>
      </c>
      <c r="C4248" t="n">
        <v>2</v>
      </c>
      <c r="D4248" t="inlineStr">
        <is>
          <t>Hub B</t>
        </is>
      </c>
      <c r="E4248" t="n">
        <v>47</v>
      </c>
      <c r="F4248" t="n">
        <v>22</v>
      </c>
    </row>
    <row r="4249">
      <c r="A4249" t="inlineStr">
        <is>
          <t>ORD04248</t>
        </is>
      </c>
      <c r="B4249" t="inlineStr">
        <is>
          <t>C1748</t>
        </is>
      </c>
      <c r="C4249" t="n">
        <v>3</v>
      </c>
      <c r="D4249" t="inlineStr">
        <is>
          <t>Hub B</t>
        </is>
      </c>
      <c r="E4249" t="n">
        <v>54</v>
      </c>
      <c r="F4249" t="n">
        <v>22</v>
      </c>
    </row>
    <row r="4250">
      <c r="A4250" t="inlineStr">
        <is>
          <t>ORD04249</t>
        </is>
      </c>
      <c r="B4250" t="inlineStr">
        <is>
          <t>C1749</t>
        </is>
      </c>
      <c r="C4250" t="n">
        <v>1</v>
      </c>
      <c r="D4250" t="inlineStr">
        <is>
          <t>Hub B</t>
        </is>
      </c>
      <c r="E4250" t="n">
        <v>61</v>
      </c>
      <c r="F4250" t="n">
        <v>22</v>
      </c>
    </row>
    <row r="4251">
      <c r="A4251" t="inlineStr">
        <is>
          <t>ORD04250</t>
        </is>
      </c>
      <c r="B4251" t="inlineStr">
        <is>
          <t>C1750</t>
        </is>
      </c>
      <c r="C4251" t="n">
        <v>2</v>
      </c>
      <c r="D4251" t="inlineStr">
        <is>
          <t>Hub B</t>
        </is>
      </c>
      <c r="E4251" t="n">
        <v>68</v>
      </c>
      <c r="F4251" t="n">
        <v>22</v>
      </c>
    </row>
    <row r="4252">
      <c r="A4252" t="inlineStr">
        <is>
          <t>ORD04251</t>
        </is>
      </c>
      <c r="B4252" t="inlineStr">
        <is>
          <t>C1751</t>
        </is>
      </c>
      <c r="C4252" t="n">
        <v>3</v>
      </c>
      <c r="D4252" t="inlineStr">
        <is>
          <t>Hub B</t>
        </is>
      </c>
      <c r="E4252" t="n">
        <v>75</v>
      </c>
      <c r="F4252" t="n">
        <v>22</v>
      </c>
    </row>
    <row r="4253">
      <c r="A4253" t="inlineStr">
        <is>
          <t>ORD04252</t>
        </is>
      </c>
      <c r="B4253" t="inlineStr">
        <is>
          <t>C1752</t>
        </is>
      </c>
      <c r="C4253" t="n">
        <v>1</v>
      </c>
      <c r="D4253" t="inlineStr">
        <is>
          <t>Hub B</t>
        </is>
      </c>
      <c r="E4253" t="n">
        <v>22</v>
      </c>
      <c r="F4253" t="n">
        <v>22</v>
      </c>
    </row>
    <row r="4254">
      <c r="A4254" t="inlineStr">
        <is>
          <t>ORD04253</t>
        </is>
      </c>
      <c r="B4254" t="inlineStr">
        <is>
          <t>C1753</t>
        </is>
      </c>
      <c r="C4254" t="n">
        <v>2</v>
      </c>
      <c r="D4254" t="inlineStr">
        <is>
          <t>Hub B</t>
        </is>
      </c>
      <c r="E4254" t="n">
        <v>29</v>
      </c>
      <c r="F4254" t="n">
        <v>22</v>
      </c>
    </row>
    <row r="4255">
      <c r="A4255" t="inlineStr">
        <is>
          <t>ORD04254</t>
        </is>
      </c>
      <c r="B4255" t="inlineStr">
        <is>
          <t>C1754</t>
        </is>
      </c>
      <c r="C4255" t="n">
        <v>3</v>
      </c>
      <c r="D4255" t="inlineStr">
        <is>
          <t>Hub B</t>
        </is>
      </c>
      <c r="E4255" t="n">
        <v>36</v>
      </c>
      <c r="F4255" t="n">
        <v>22</v>
      </c>
    </row>
    <row r="4256">
      <c r="A4256" t="inlineStr">
        <is>
          <t>ORD04255</t>
        </is>
      </c>
      <c r="B4256" t="inlineStr">
        <is>
          <t>C1755</t>
        </is>
      </c>
      <c r="C4256" t="n">
        <v>1</v>
      </c>
      <c r="D4256" t="inlineStr">
        <is>
          <t>Hub B</t>
        </is>
      </c>
      <c r="E4256" t="n">
        <v>43</v>
      </c>
      <c r="F4256" t="n">
        <v>22</v>
      </c>
    </row>
    <row r="4257">
      <c r="A4257" t="inlineStr">
        <is>
          <t>ORD04256</t>
        </is>
      </c>
      <c r="B4257" t="inlineStr">
        <is>
          <t>C1756</t>
        </is>
      </c>
      <c r="C4257" t="n">
        <v>2</v>
      </c>
      <c r="D4257" t="inlineStr">
        <is>
          <t>Hub B</t>
        </is>
      </c>
      <c r="E4257" t="n">
        <v>50</v>
      </c>
      <c r="F4257" t="n">
        <v>22</v>
      </c>
    </row>
    <row r="4258">
      <c r="A4258" t="inlineStr">
        <is>
          <t>ORD04257</t>
        </is>
      </c>
      <c r="B4258" t="inlineStr">
        <is>
          <t>C1757</t>
        </is>
      </c>
      <c r="C4258" t="n">
        <v>3</v>
      </c>
      <c r="D4258" t="inlineStr">
        <is>
          <t>Hub B</t>
        </is>
      </c>
      <c r="E4258" t="n">
        <v>57</v>
      </c>
      <c r="F4258" t="n">
        <v>22</v>
      </c>
    </row>
    <row r="4259">
      <c r="A4259" t="inlineStr">
        <is>
          <t>ORD04258</t>
        </is>
      </c>
      <c r="B4259" t="inlineStr">
        <is>
          <t>C1758</t>
        </is>
      </c>
      <c r="C4259" t="n">
        <v>1</v>
      </c>
      <c r="D4259" t="inlineStr">
        <is>
          <t>Hub B</t>
        </is>
      </c>
      <c r="E4259" t="n">
        <v>64</v>
      </c>
      <c r="F4259" t="n">
        <v>22</v>
      </c>
    </row>
    <row r="4260">
      <c r="A4260" t="inlineStr">
        <is>
          <t>ORD04259</t>
        </is>
      </c>
      <c r="B4260" t="inlineStr">
        <is>
          <t>C1759</t>
        </is>
      </c>
      <c r="C4260" t="n">
        <v>2</v>
      </c>
      <c r="D4260" t="inlineStr">
        <is>
          <t>Hub B</t>
        </is>
      </c>
      <c r="E4260" t="n">
        <v>71</v>
      </c>
      <c r="F4260" t="n">
        <v>22</v>
      </c>
    </row>
    <row r="4261">
      <c r="A4261" t="inlineStr">
        <is>
          <t>ORD04260</t>
        </is>
      </c>
      <c r="B4261" t="inlineStr">
        <is>
          <t>C1760</t>
        </is>
      </c>
      <c r="C4261" t="n">
        <v>3</v>
      </c>
      <c r="D4261" t="inlineStr">
        <is>
          <t>Hub B</t>
        </is>
      </c>
      <c r="E4261" t="n">
        <v>18</v>
      </c>
      <c r="F4261" t="n">
        <v>22</v>
      </c>
    </row>
    <row r="4262">
      <c r="A4262" t="inlineStr">
        <is>
          <t>ORD04261</t>
        </is>
      </c>
      <c r="B4262" t="inlineStr">
        <is>
          <t>C1761</t>
        </is>
      </c>
      <c r="C4262" t="n">
        <v>1</v>
      </c>
      <c r="D4262" t="inlineStr">
        <is>
          <t>Hub B</t>
        </is>
      </c>
      <c r="E4262" t="n">
        <v>25</v>
      </c>
      <c r="F4262" t="n">
        <v>22</v>
      </c>
    </row>
    <row r="4263">
      <c r="A4263" t="inlineStr">
        <is>
          <t>ORD04262</t>
        </is>
      </c>
      <c r="B4263" t="inlineStr">
        <is>
          <t>C1762</t>
        </is>
      </c>
      <c r="C4263" t="n">
        <v>2</v>
      </c>
      <c r="D4263" t="inlineStr">
        <is>
          <t>Hub B</t>
        </is>
      </c>
      <c r="E4263" t="n">
        <v>32</v>
      </c>
      <c r="F4263" t="n">
        <v>22</v>
      </c>
    </row>
    <row r="4264">
      <c r="A4264" t="inlineStr">
        <is>
          <t>ORD04263</t>
        </is>
      </c>
      <c r="B4264" t="inlineStr">
        <is>
          <t>C1763</t>
        </is>
      </c>
      <c r="C4264" t="n">
        <v>3</v>
      </c>
      <c r="D4264" t="inlineStr">
        <is>
          <t>Hub B</t>
        </is>
      </c>
      <c r="E4264" t="n">
        <v>39</v>
      </c>
      <c r="F4264" t="n">
        <v>22</v>
      </c>
    </row>
    <row r="4265">
      <c r="A4265" t="inlineStr">
        <is>
          <t>ORD04264</t>
        </is>
      </c>
      <c r="B4265" t="inlineStr">
        <is>
          <t>C1764</t>
        </is>
      </c>
      <c r="C4265" t="n">
        <v>1</v>
      </c>
      <c r="D4265" t="inlineStr">
        <is>
          <t>Hub B</t>
        </is>
      </c>
      <c r="E4265" t="n">
        <v>46</v>
      </c>
      <c r="F4265" t="n">
        <v>22</v>
      </c>
    </row>
    <row r="4266">
      <c r="A4266" t="inlineStr">
        <is>
          <t>ORD04265</t>
        </is>
      </c>
      <c r="B4266" t="inlineStr">
        <is>
          <t>C1765</t>
        </is>
      </c>
      <c r="C4266" t="n">
        <v>2</v>
      </c>
      <c r="D4266" t="inlineStr">
        <is>
          <t>Hub B</t>
        </is>
      </c>
      <c r="E4266" t="n">
        <v>53</v>
      </c>
      <c r="F4266" t="n">
        <v>22</v>
      </c>
    </row>
    <row r="4267">
      <c r="A4267" t="inlineStr">
        <is>
          <t>ORD04266</t>
        </is>
      </c>
      <c r="B4267" t="inlineStr">
        <is>
          <t>C1766</t>
        </is>
      </c>
      <c r="C4267" t="n">
        <v>3</v>
      </c>
      <c r="D4267" t="inlineStr">
        <is>
          <t>Hub B</t>
        </is>
      </c>
      <c r="E4267" t="n">
        <v>60</v>
      </c>
      <c r="F4267" t="n">
        <v>22</v>
      </c>
    </row>
    <row r="4268">
      <c r="A4268" t="inlineStr">
        <is>
          <t>ORD04267</t>
        </is>
      </c>
      <c r="B4268" t="inlineStr">
        <is>
          <t>C1767</t>
        </is>
      </c>
      <c r="C4268" t="n">
        <v>1</v>
      </c>
      <c r="D4268" t="inlineStr">
        <is>
          <t>Hub B</t>
        </is>
      </c>
      <c r="E4268" t="n">
        <v>67</v>
      </c>
      <c r="F4268" t="n">
        <v>22</v>
      </c>
    </row>
    <row r="4269">
      <c r="A4269" t="inlineStr">
        <is>
          <t>ORD04268</t>
        </is>
      </c>
      <c r="B4269" t="inlineStr">
        <is>
          <t>C1768</t>
        </is>
      </c>
      <c r="C4269" t="n">
        <v>2</v>
      </c>
      <c r="D4269" t="inlineStr">
        <is>
          <t>Hub B</t>
        </is>
      </c>
      <c r="E4269" t="n">
        <v>74</v>
      </c>
      <c r="F4269" t="n">
        <v>22</v>
      </c>
    </row>
    <row r="4270">
      <c r="A4270" t="inlineStr">
        <is>
          <t>ORD04269</t>
        </is>
      </c>
      <c r="B4270" t="inlineStr">
        <is>
          <t>C1769</t>
        </is>
      </c>
      <c r="C4270" t="n">
        <v>3</v>
      </c>
      <c r="D4270" t="inlineStr">
        <is>
          <t>Hub B</t>
        </is>
      </c>
      <c r="E4270" t="n">
        <v>21</v>
      </c>
      <c r="F4270" t="n">
        <v>22</v>
      </c>
    </row>
    <row r="4271">
      <c r="A4271" t="inlineStr">
        <is>
          <t>ORD04270</t>
        </is>
      </c>
      <c r="B4271" t="inlineStr">
        <is>
          <t>C1770</t>
        </is>
      </c>
      <c r="C4271" t="n">
        <v>1</v>
      </c>
      <c r="D4271" t="inlineStr">
        <is>
          <t>Hub B</t>
        </is>
      </c>
      <c r="E4271" t="n">
        <v>28</v>
      </c>
      <c r="F4271" t="n">
        <v>22</v>
      </c>
    </row>
    <row r="4272">
      <c r="A4272" t="inlineStr">
        <is>
          <t>ORD04271</t>
        </is>
      </c>
      <c r="B4272" t="inlineStr">
        <is>
          <t>C1771</t>
        </is>
      </c>
      <c r="C4272" t="n">
        <v>2</v>
      </c>
      <c r="D4272" t="inlineStr">
        <is>
          <t>Hub B</t>
        </is>
      </c>
      <c r="E4272" t="n">
        <v>35</v>
      </c>
      <c r="F4272" t="n">
        <v>22</v>
      </c>
    </row>
    <row r="4273">
      <c r="A4273" t="inlineStr">
        <is>
          <t>ORD04272</t>
        </is>
      </c>
      <c r="B4273" t="inlineStr">
        <is>
          <t>C1772</t>
        </is>
      </c>
      <c r="C4273" t="n">
        <v>3</v>
      </c>
      <c r="D4273" t="inlineStr">
        <is>
          <t>Hub B</t>
        </is>
      </c>
      <c r="E4273" t="n">
        <v>42</v>
      </c>
      <c r="F4273" t="n">
        <v>22</v>
      </c>
    </row>
    <row r="4274">
      <c r="A4274" t="inlineStr">
        <is>
          <t>ORD04273</t>
        </is>
      </c>
      <c r="B4274" t="inlineStr">
        <is>
          <t>C1773</t>
        </is>
      </c>
      <c r="C4274" t="n">
        <v>1</v>
      </c>
      <c r="D4274" t="inlineStr">
        <is>
          <t>Hub B</t>
        </is>
      </c>
      <c r="E4274" t="n">
        <v>49</v>
      </c>
      <c r="F4274" t="n">
        <v>22</v>
      </c>
    </row>
    <row r="4275">
      <c r="A4275" t="inlineStr">
        <is>
          <t>ORD04274</t>
        </is>
      </c>
      <c r="B4275" t="inlineStr">
        <is>
          <t>C1774</t>
        </is>
      </c>
      <c r="C4275" t="n">
        <v>2</v>
      </c>
      <c r="D4275" t="inlineStr">
        <is>
          <t>Hub B</t>
        </is>
      </c>
      <c r="E4275" t="n">
        <v>56</v>
      </c>
      <c r="F4275" t="n">
        <v>22</v>
      </c>
    </row>
    <row r="4276">
      <c r="A4276" t="inlineStr">
        <is>
          <t>ORD04275</t>
        </is>
      </c>
      <c r="B4276" t="inlineStr">
        <is>
          <t>C1775</t>
        </is>
      </c>
      <c r="C4276" t="n">
        <v>3</v>
      </c>
      <c r="D4276" t="inlineStr">
        <is>
          <t>Hub B</t>
        </is>
      </c>
      <c r="E4276" t="n">
        <v>63</v>
      </c>
      <c r="F4276" t="n">
        <v>22</v>
      </c>
    </row>
    <row r="4277">
      <c r="A4277" t="inlineStr">
        <is>
          <t>ORD04276</t>
        </is>
      </c>
      <c r="B4277" t="inlineStr">
        <is>
          <t>C1776</t>
        </is>
      </c>
      <c r="C4277" t="n">
        <v>1</v>
      </c>
      <c r="D4277" t="inlineStr">
        <is>
          <t>Hub B</t>
        </is>
      </c>
      <c r="E4277" t="n">
        <v>70</v>
      </c>
      <c r="F4277" t="n">
        <v>22</v>
      </c>
    </row>
    <row r="4278">
      <c r="A4278" t="inlineStr">
        <is>
          <t>ORD04277</t>
        </is>
      </c>
      <c r="B4278" t="inlineStr">
        <is>
          <t>C1777</t>
        </is>
      </c>
      <c r="C4278" t="n">
        <v>2</v>
      </c>
      <c r="D4278" t="inlineStr">
        <is>
          <t>Hub B</t>
        </is>
      </c>
      <c r="E4278" t="n">
        <v>77</v>
      </c>
      <c r="F4278" t="n">
        <v>22</v>
      </c>
    </row>
    <row r="4279">
      <c r="A4279" t="inlineStr">
        <is>
          <t>ORD04278</t>
        </is>
      </c>
      <c r="B4279" t="inlineStr">
        <is>
          <t>C1778</t>
        </is>
      </c>
      <c r="C4279" t="n">
        <v>3</v>
      </c>
      <c r="D4279" t="inlineStr">
        <is>
          <t>Hub B</t>
        </is>
      </c>
      <c r="E4279" t="n">
        <v>24</v>
      </c>
      <c r="F4279" t="n">
        <v>22</v>
      </c>
    </row>
    <row r="4280">
      <c r="A4280" t="inlineStr">
        <is>
          <t>ORD04279</t>
        </is>
      </c>
      <c r="B4280" t="inlineStr">
        <is>
          <t>C1779</t>
        </is>
      </c>
      <c r="C4280" t="n">
        <v>1</v>
      </c>
      <c r="D4280" t="inlineStr">
        <is>
          <t>Hub B</t>
        </is>
      </c>
      <c r="E4280" t="n">
        <v>31</v>
      </c>
      <c r="F4280" t="n">
        <v>22</v>
      </c>
    </row>
    <row r="4281">
      <c r="A4281" t="inlineStr">
        <is>
          <t>ORD04280</t>
        </is>
      </c>
      <c r="B4281" t="inlineStr">
        <is>
          <t>C1780</t>
        </is>
      </c>
      <c r="C4281" t="n">
        <v>2</v>
      </c>
      <c r="D4281" t="inlineStr">
        <is>
          <t>Hub B</t>
        </is>
      </c>
      <c r="E4281" t="n">
        <v>38</v>
      </c>
      <c r="F4281" t="n">
        <v>22</v>
      </c>
    </row>
    <row r="4282">
      <c r="A4282" t="inlineStr">
        <is>
          <t>ORD04281</t>
        </is>
      </c>
      <c r="B4282" t="inlineStr">
        <is>
          <t>C1781</t>
        </is>
      </c>
      <c r="C4282" t="n">
        <v>3</v>
      </c>
      <c r="D4282" t="inlineStr">
        <is>
          <t>Hub B</t>
        </is>
      </c>
      <c r="E4282" t="n">
        <v>45</v>
      </c>
      <c r="F4282" t="n">
        <v>22</v>
      </c>
    </row>
    <row r="4283">
      <c r="A4283" t="inlineStr">
        <is>
          <t>ORD04282</t>
        </is>
      </c>
      <c r="B4283" t="inlineStr">
        <is>
          <t>C1782</t>
        </is>
      </c>
      <c r="C4283" t="n">
        <v>1</v>
      </c>
      <c r="D4283" t="inlineStr">
        <is>
          <t>Hub B</t>
        </is>
      </c>
      <c r="E4283" t="n">
        <v>52</v>
      </c>
      <c r="F4283" t="n">
        <v>22</v>
      </c>
    </row>
    <row r="4284">
      <c r="A4284" t="inlineStr">
        <is>
          <t>ORD04283</t>
        </is>
      </c>
      <c r="B4284" t="inlineStr">
        <is>
          <t>C1783</t>
        </is>
      </c>
      <c r="C4284" t="n">
        <v>2</v>
      </c>
      <c r="D4284" t="inlineStr">
        <is>
          <t>Hub B</t>
        </is>
      </c>
      <c r="E4284" t="n">
        <v>59</v>
      </c>
      <c r="F4284" t="n">
        <v>22</v>
      </c>
    </row>
    <row r="4285">
      <c r="A4285" t="inlineStr">
        <is>
          <t>ORD04284</t>
        </is>
      </c>
      <c r="B4285" t="inlineStr">
        <is>
          <t>C1784</t>
        </is>
      </c>
      <c r="C4285" t="n">
        <v>3</v>
      </c>
      <c r="D4285" t="inlineStr">
        <is>
          <t>Hub B</t>
        </is>
      </c>
      <c r="E4285" t="n">
        <v>66</v>
      </c>
      <c r="F4285" t="n">
        <v>22</v>
      </c>
    </row>
    <row r="4286">
      <c r="A4286" t="inlineStr">
        <is>
          <t>ORD04285</t>
        </is>
      </c>
      <c r="B4286" t="inlineStr">
        <is>
          <t>C1785</t>
        </is>
      </c>
      <c r="C4286" t="n">
        <v>1</v>
      </c>
      <c r="D4286" t="inlineStr">
        <is>
          <t>Hub B</t>
        </is>
      </c>
      <c r="E4286" t="n">
        <v>73</v>
      </c>
      <c r="F4286" t="n">
        <v>22</v>
      </c>
    </row>
    <row r="4287">
      <c r="A4287" t="inlineStr">
        <is>
          <t>ORD04286</t>
        </is>
      </c>
      <c r="B4287" t="inlineStr">
        <is>
          <t>C1786</t>
        </is>
      </c>
      <c r="C4287" t="n">
        <v>2</v>
      </c>
      <c r="D4287" t="inlineStr">
        <is>
          <t>Hub B</t>
        </is>
      </c>
      <c r="E4287" t="n">
        <v>20</v>
      </c>
      <c r="F4287" t="n">
        <v>22</v>
      </c>
    </row>
    <row r="4288">
      <c r="A4288" t="inlineStr">
        <is>
          <t>ORD04287</t>
        </is>
      </c>
      <c r="B4288" t="inlineStr">
        <is>
          <t>C1787</t>
        </is>
      </c>
      <c r="C4288" t="n">
        <v>3</v>
      </c>
      <c r="D4288" t="inlineStr">
        <is>
          <t>Hub B</t>
        </is>
      </c>
      <c r="E4288" t="n">
        <v>27</v>
      </c>
      <c r="F4288" t="n">
        <v>22</v>
      </c>
    </row>
    <row r="4289">
      <c r="A4289" t="inlineStr">
        <is>
          <t>ORD04288</t>
        </is>
      </c>
      <c r="B4289" t="inlineStr">
        <is>
          <t>C1788</t>
        </is>
      </c>
      <c r="C4289" t="n">
        <v>1</v>
      </c>
      <c r="D4289" t="inlineStr">
        <is>
          <t>Hub B</t>
        </is>
      </c>
      <c r="E4289" t="n">
        <v>34</v>
      </c>
      <c r="F4289" t="n">
        <v>22</v>
      </c>
    </row>
    <row r="4290">
      <c r="A4290" t="inlineStr">
        <is>
          <t>ORD04289</t>
        </is>
      </c>
      <c r="B4290" t="inlineStr">
        <is>
          <t>C1789</t>
        </is>
      </c>
      <c r="C4290" t="n">
        <v>2</v>
      </c>
      <c r="D4290" t="inlineStr">
        <is>
          <t>Hub B</t>
        </is>
      </c>
      <c r="E4290" t="n">
        <v>41</v>
      </c>
      <c r="F4290" t="n">
        <v>22</v>
      </c>
    </row>
    <row r="4291">
      <c r="A4291" t="inlineStr">
        <is>
          <t>ORD04290</t>
        </is>
      </c>
      <c r="B4291" t="inlineStr">
        <is>
          <t>C1790</t>
        </is>
      </c>
      <c r="C4291" t="n">
        <v>3</v>
      </c>
      <c r="D4291" t="inlineStr">
        <is>
          <t>Hub B</t>
        </is>
      </c>
      <c r="E4291" t="n">
        <v>48</v>
      </c>
      <c r="F4291" t="n">
        <v>22</v>
      </c>
    </row>
    <row r="4292">
      <c r="A4292" t="inlineStr">
        <is>
          <t>ORD04291</t>
        </is>
      </c>
      <c r="B4292" t="inlineStr">
        <is>
          <t>C1791</t>
        </is>
      </c>
      <c r="C4292" t="n">
        <v>1</v>
      </c>
      <c r="D4292" t="inlineStr">
        <is>
          <t>Hub B</t>
        </is>
      </c>
      <c r="E4292" t="n">
        <v>55</v>
      </c>
      <c r="F4292" t="n">
        <v>22</v>
      </c>
    </row>
    <row r="4293">
      <c r="A4293" t="inlineStr">
        <is>
          <t>ORD04292</t>
        </is>
      </c>
      <c r="B4293" t="inlineStr">
        <is>
          <t>C1792</t>
        </is>
      </c>
      <c r="C4293" t="n">
        <v>2</v>
      </c>
      <c r="D4293" t="inlineStr">
        <is>
          <t>Hub B</t>
        </is>
      </c>
      <c r="E4293" t="n">
        <v>62</v>
      </c>
      <c r="F4293" t="n">
        <v>22</v>
      </c>
    </row>
    <row r="4294">
      <c r="A4294" t="inlineStr">
        <is>
          <t>ORD04293</t>
        </is>
      </c>
      <c r="B4294" t="inlineStr">
        <is>
          <t>C1793</t>
        </is>
      </c>
      <c r="C4294" t="n">
        <v>3</v>
      </c>
      <c r="D4294" t="inlineStr">
        <is>
          <t>Hub B</t>
        </is>
      </c>
      <c r="E4294" t="n">
        <v>69</v>
      </c>
      <c r="F4294" t="n">
        <v>22</v>
      </c>
    </row>
    <row r="4295">
      <c r="A4295" t="inlineStr">
        <is>
          <t>ORD04294</t>
        </is>
      </c>
      <c r="B4295" t="inlineStr">
        <is>
          <t>C1794</t>
        </is>
      </c>
      <c r="C4295" t="n">
        <v>1</v>
      </c>
      <c r="D4295" t="inlineStr">
        <is>
          <t>Hub B</t>
        </is>
      </c>
      <c r="E4295" t="n">
        <v>76</v>
      </c>
      <c r="F4295" t="n">
        <v>22</v>
      </c>
    </row>
    <row r="4296">
      <c r="A4296" t="inlineStr">
        <is>
          <t>ORD04295</t>
        </is>
      </c>
      <c r="B4296" t="inlineStr">
        <is>
          <t>C1795</t>
        </is>
      </c>
      <c r="C4296" t="n">
        <v>2</v>
      </c>
      <c r="D4296" t="inlineStr">
        <is>
          <t>Hub B</t>
        </is>
      </c>
      <c r="E4296" t="n">
        <v>23</v>
      </c>
      <c r="F4296" t="n">
        <v>22</v>
      </c>
    </row>
    <row r="4297">
      <c r="A4297" t="inlineStr">
        <is>
          <t>ORD04296</t>
        </is>
      </c>
      <c r="B4297" t="inlineStr">
        <is>
          <t>C1796</t>
        </is>
      </c>
      <c r="C4297" t="n">
        <v>3</v>
      </c>
      <c r="D4297" t="inlineStr">
        <is>
          <t>Hub B</t>
        </is>
      </c>
      <c r="E4297" t="n">
        <v>30</v>
      </c>
      <c r="F4297" t="n">
        <v>22</v>
      </c>
    </row>
    <row r="4298">
      <c r="A4298" t="inlineStr">
        <is>
          <t>ORD04297</t>
        </is>
      </c>
      <c r="B4298" t="inlineStr">
        <is>
          <t>C1797</t>
        </is>
      </c>
      <c r="C4298" t="n">
        <v>1</v>
      </c>
      <c r="D4298" t="inlineStr">
        <is>
          <t>Hub B</t>
        </is>
      </c>
      <c r="E4298" t="n">
        <v>37</v>
      </c>
      <c r="F4298" t="n">
        <v>22</v>
      </c>
    </row>
    <row r="4299">
      <c r="A4299" t="inlineStr">
        <is>
          <t>ORD04298</t>
        </is>
      </c>
      <c r="B4299" t="inlineStr">
        <is>
          <t>C1798</t>
        </is>
      </c>
      <c r="C4299" t="n">
        <v>2</v>
      </c>
      <c r="D4299" t="inlineStr">
        <is>
          <t>Hub B</t>
        </is>
      </c>
      <c r="E4299" t="n">
        <v>44</v>
      </c>
      <c r="F4299" t="n">
        <v>22</v>
      </c>
    </row>
    <row r="4300">
      <c r="A4300" t="inlineStr">
        <is>
          <t>ORD04299</t>
        </is>
      </c>
      <c r="B4300" t="inlineStr">
        <is>
          <t>C1799</t>
        </is>
      </c>
      <c r="C4300" t="n">
        <v>3</v>
      </c>
      <c r="D4300" t="inlineStr">
        <is>
          <t>Hub B</t>
        </is>
      </c>
      <c r="E4300" t="n">
        <v>51</v>
      </c>
      <c r="F4300" t="n">
        <v>22</v>
      </c>
    </row>
    <row r="4301">
      <c r="A4301" t="inlineStr">
        <is>
          <t>ORD04300</t>
        </is>
      </c>
      <c r="B4301" t="inlineStr">
        <is>
          <t>C1800</t>
        </is>
      </c>
      <c r="C4301" t="n">
        <v>1</v>
      </c>
      <c r="D4301" t="inlineStr">
        <is>
          <t>Hub B</t>
        </is>
      </c>
      <c r="E4301" t="n">
        <v>58</v>
      </c>
      <c r="F4301" t="n">
        <v>22</v>
      </c>
    </row>
    <row r="4302">
      <c r="A4302" t="inlineStr">
        <is>
          <t>ORD04301</t>
        </is>
      </c>
      <c r="B4302" t="inlineStr">
        <is>
          <t>C1801</t>
        </is>
      </c>
      <c r="C4302" t="n">
        <v>2</v>
      </c>
      <c r="D4302" t="inlineStr">
        <is>
          <t>Hub B</t>
        </is>
      </c>
      <c r="E4302" t="n">
        <v>65</v>
      </c>
      <c r="F4302" t="n">
        <v>22</v>
      </c>
    </row>
    <row r="4303">
      <c r="A4303" t="inlineStr">
        <is>
          <t>ORD04302</t>
        </is>
      </c>
      <c r="B4303" t="inlineStr">
        <is>
          <t>C1802</t>
        </is>
      </c>
      <c r="C4303" t="n">
        <v>3</v>
      </c>
      <c r="D4303" t="inlineStr">
        <is>
          <t>Hub B</t>
        </is>
      </c>
      <c r="E4303" t="n">
        <v>72</v>
      </c>
      <c r="F4303" t="n">
        <v>22</v>
      </c>
    </row>
    <row r="4304">
      <c r="A4304" t="inlineStr">
        <is>
          <t>ORD04303</t>
        </is>
      </c>
      <c r="B4304" t="inlineStr">
        <is>
          <t>C1803</t>
        </is>
      </c>
      <c r="C4304" t="n">
        <v>1</v>
      </c>
      <c r="D4304" t="inlineStr">
        <is>
          <t>Hub B</t>
        </is>
      </c>
      <c r="E4304" t="n">
        <v>19</v>
      </c>
      <c r="F4304" t="n">
        <v>22</v>
      </c>
    </row>
    <row r="4305">
      <c r="A4305" t="inlineStr">
        <is>
          <t>ORD04304</t>
        </is>
      </c>
      <c r="B4305" t="inlineStr">
        <is>
          <t>C1804</t>
        </is>
      </c>
      <c r="C4305" t="n">
        <v>2</v>
      </c>
      <c r="D4305" t="inlineStr">
        <is>
          <t>Hub B</t>
        </is>
      </c>
      <c r="E4305" t="n">
        <v>26</v>
      </c>
      <c r="F4305" t="n">
        <v>22</v>
      </c>
    </row>
    <row r="4306">
      <c r="A4306" t="inlineStr">
        <is>
          <t>ORD04305</t>
        </is>
      </c>
      <c r="B4306" t="inlineStr">
        <is>
          <t>C1805</t>
        </is>
      </c>
      <c r="C4306" t="n">
        <v>3</v>
      </c>
      <c r="D4306" t="inlineStr">
        <is>
          <t>Hub B</t>
        </is>
      </c>
      <c r="E4306" t="n">
        <v>33</v>
      </c>
      <c r="F4306" t="n">
        <v>22</v>
      </c>
    </row>
    <row r="4307">
      <c r="A4307" t="inlineStr">
        <is>
          <t>ORD04306</t>
        </is>
      </c>
      <c r="B4307" t="inlineStr">
        <is>
          <t>C1806</t>
        </is>
      </c>
      <c r="C4307" t="n">
        <v>1</v>
      </c>
      <c r="D4307" t="inlineStr">
        <is>
          <t>Hub B</t>
        </is>
      </c>
      <c r="E4307" t="n">
        <v>40</v>
      </c>
      <c r="F4307" t="n">
        <v>22</v>
      </c>
    </row>
    <row r="4308">
      <c r="A4308" t="inlineStr">
        <is>
          <t>ORD04307</t>
        </is>
      </c>
      <c r="B4308" t="inlineStr">
        <is>
          <t>C1807</t>
        </is>
      </c>
      <c r="C4308" t="n">
        <v>2</v>
      </c>
      <c r="D4308" t="inlineStr">
        <is>
          <t>Hub B</t>
        </is>
      </c>
      <c r="E4308" t="n">
        <v>47</v>
      </c>
      <c r="F4308" t="n">
        <v>22</v>
      </c>
    </row>
    <row r="4309">
      <c r="A4309" t="inlineStr">
        <is>
          <t>ORD04308</t>
        </is>
      </c>
      <c r="B4309" t="inlineStr">
        <is>
          <t>C1808</t>
        </is>
      </c>
      <c r="C4309" t="n">
        <v>3</v>
      </c>
      <c r="D4309" t="inlineStr">
        <is>
          <t>Hub B</t>
        </is>
      </c>
      <c r="E4309" t="n">
        <v>54</v>
      </c>
      <c r="F4309" t="n">
        <v>22</v>
      </c>
    </row>
    <row r="4310">
      <c r="A4310" t="inlineStr">
        <is>
          <t>ORD04309</t>
        </is>
      </c>
      <c r="B4310" t="inlineStr">
        <is>
          <t>C1809</t>
        </is>
      </c>
      <c r="C4310" t="n">
        <v>1</v>
      </c>
      <c r="D4310" t="inlineStr">
        <is>
          <t>Hub B</t>
        </is>
      </c>
      <c r="E4310" t="n">
        <v>61</v>
      </c>
      <c r="F4310" t="n">
        <v>22</v>
      </c>
    </row>
    <row r="4311">
      <c r="A4311" t="inlineStr">
        <is>
          <t>ORD04310</t>
        </is>
      </c>
      <c r="B4311" t="inlineStr">
        <is>
          <t>C1810</t>
        </is>
      </c>
      <c r="C4311" t="n">
        <v>2</v>
      </c>
      <c r="D4311" t="inlineStr">
        <is>
          <t>Hub B</t>
        </is>
      </c>
      <c r="E4311" t="n">
        <v>68</v>
      </c>
      <c r="F4311" t="n">
        <v>22</v>
      </c>
    </row>
    <row r="4312">
      <c r="A4312" t="inlineStr">
        <is>
          <t>ORD04311</t>
        </is>
      </c>
      <c r="B4312" t="inlineStr">
        <is>
          <t>C1811</t>
        </is>
      </c>
      <c r="C4312" t="n">
        <v>3</v>
      </c>
      <c r="D4312" t="inlineStr">
        <is>
          <t>Hub B</t>
        </is>
      </c>
      <c r="E4312" t="n">
        <v>75</v>
      </c>
      <c r="F4312" t="n">
        <v>22</v>
      </c>
    </row>
    <row r="4313">
      <c r="A4313" t="inlineStr">
        <is>
          <t>ORD04312</t>
        </is>
      </c>
      <c r="B4313" t="inlineStr">
        <is>
          <t>C1812</t>
        </is>
      </c>
      <c r="C4313" t="n">
        <v>1</v>
      </c>
      <c r="D4313" t="inlineStr">
        <is>
          <t>Hub B</t>
        </is>
      </c>
      <c r="E4313" t="n">
        <v>22</v>
      </c>
      <c r="F4313" t="n">
        <v>22</v>
      </c>
    </row>
    <row r="4314">
      <c r="A4314" t="inlineStr">
        <is>
          <t>ORD04313</t>
        </is>
      </c>
      <c r="B4314" t="inlineStr">
        <is>
          <t>C1813</t>
        </is>
      </c>
      <c r="C4314" t="n">
        <v>2</v>
      </c>
      <c r="D4314" t="inlineStr">
        <is>
          <t>Hub B</t>
        </is>
      </c>
      <c r="E4314" t="n">
        <v>29</v>
      </c>
      <c r="F4314" t="n">
        <v>22</v>
      </c>
    </row>
    <row r="4315">
      <c r="A4315" t="inlineStr">
        <is>
          <t>ORD04314</t>
        </is>
      </c>
      <c r="B4315" t="inlineStr">
        <is>
          <t>C1814</t>
        </is>
      </c>
      <c r="C4315" t="n">
        <v>3</v>
      </c>
      <c r="D4315" t="inlineStr">
        <is>
          <t>Hub B</t>
        </is>
      </c>
      <c r="E4315" t="n">
        <v>36</v>
      </c>
      <c r="F4315" t="n">
        <v>22</v>
      </c>
    </row>
    <row r="4316">
      <c r="A4316" t="inlineStr">
        <is>
          <t>ORD04315</t>
        </is>
      </c>
      <c r="B4316" t="inlineStr">
        <is>
          <t>C1815</t>
        </is>
      </c>
      <c r="C4316" t="n">
        <v>1</v>
      </c>
      <c r="D4316" t="inlineStr">
        <is>
          <t>Hub B</t>
        </is>
      </c>
      <c r="E4316" t="n">
        <v>43</v>
      </c>
      <c r="F4316" t="n">
        <v>22</v>
      </c>
    </row>
    <row r="4317">
      <c r="A4317" t="inlineStr">
        <is>
          <t>ORD04316</t>
        </is>
      </c>
      <c r="B4317" t="inlineStr">
        <is>
          <t>C1816</t>
        </is>
      </c>
      <c r="C4317" t="n">
        <v>2</v>
      </c>
      <c r="D4317" t="inlineStr">
        <is>
          <t>Hub B</t>
        </is>
      </c>
      <c r="E4317" t="n">
        <v>50</v>
      </c>
      <c r="F4317" t="n">
        <v>22</v>
      </c>
    </row>
    <row r="4318">
      <c r="A4318" t="inlineStr">
        <is>
          <t>ORD04317</t>
        </is>
      </c>
      <c r="B4318" t="inlineStr">
        <is>
          <t>C1817</t>
        </is>
      </c>
      <c r="C4318" t="n">
        <v>3</v>
      </c>
      <c r="D4318" t="inlineStr">
        <is>
          <t>Hub B</t>
        </is>
      </c>
      <c r="E4318" t="n">
        <v>57</v>
      </c>
      <c r="F4318" t="n">
        <v>22</v>
      </c>
    </row>
    <row r="4319">
      <c r="A4319" t="inlineStr">
        <is>
          <t>ORD04318</t>
        </is>
      </c>
      <c r="B4319" t="inlineStr">
        <is>
          <t>C1818</t>
        </is>
      </c>
      <c r="C4319" t="n">
        <v>1</v>
      </c>
      <c r="D4319" t="inlineStr">
        <is>
          <t>Hub B</t>
        </is>
      </c>
      <c r="E4319" t="n">
        <v>64</v>
      </c>
      <c r="F4319" t="n">
        <v>22</v>
      </c>
    </row>
    <row r="4320">
      <c r="A4320" t="inlineStr">
        <is>
          <t>ORD04319</t>
        </is>
      </c>
      <c r="B4320" t="inlineStr">
        <is>
          <t>C1819</t>
        </is>
      </c>
      <c r="C4320" t="n">
        <v>2</v>
      </c>
      <c r="D4320" t="inlineStr">
        <is>
          <t>Hub B</t>
        </is>
      </c>
      <c r="E4320" t="n">
        <v>71</v>
      </c>
      <c r="F4320" t="n">
        <v>22</v>
      </c>
    </row>
    <row r="4321">
      <c r="A4321" t="inlineStr">
        <is>
          <t>ORD04320</t>
        </is>
      </c>
      <c r="B4321" t="inlineStr">
        <is>
          <t>C1820</t>
        </is>
      </c>
      <c r="C4321" t="n">
        <v>3</v>
      </c>
      <c r="D4321" t="inlineStr">
        <is>
          <t>Hub B</t>
        </is>
      </c>
      <c r="E4321" t="n">
        <v>18</v>
      </c>
      <c r="F4321" t="n">
        <v>22</v>
      </c>
    </row>
    <row r="4322">
      <c r="A4322" t="inlineStr">
        <is>
          <t>ORD04321</t>
        </is>
      </c>
      <c r="B4322" t="inlineStr">
        <is>
          <t>C1821</t>
        </is>
      </c>
      <c r="C4322" t="n">
        <v>1</v>
      </c>
      <c r="D4322" t="inlineStr">
        <is>
          <t>Hub B</t>
        </is>
      </c>
      <c r="E4322" t="n">
        <v>25</v>
      </c>
      <c r="F4322" t="n">
        <v>22</v>
      </c>
    </row>
    <row r="4323">
      <c r="A4323" t="inlineStr">
        <is>
          <t>ORD04322</t>
        </is>
      </c>
      <c r="B4323" t="inlineStr">
        <is>
          <t>C1822</t>
        </is>
      </c>
      <c r="C4323" t="n">
        <v>2</v>
      </c>
      <c r="D4323" t="inlineStr">
        <is>
          <t>Hub B</t>
        </is>
      </c>
      <c r="E4323" t="n">
        <v>32</v>
      </c>
      <c r="F4323" t="n">
        <v>22</v>
      </c>
    </row>
    <row r="4324">
      <c r="A4324" t="inlineStr">
        <is>
          <t>ORD04323</t>
        </is>
      </c>
      <c r="B4324" t="inlineStr">
        <is>
          <t>C1823</t>
        </is>
      </c>
      <c r="C4324" t="n">
        <v>3</v>
      </c>
      <c r="D4324" t="inlineStr">
        <is>
          <t>Hub B</t>
        </is>
      </c>
      <c r="E4324" t="n">
        <v>39</v>
      </c>
      <c r="F4324" t="n">
        <v>22</v>
      </c>
    </row>
    <row r="4325">
      <c r="A4325" t="inlineStr">
        <is>
          <t>ORD04324</t>
        </is>
      </c>
      <c r="B4325" t="inlineStr">
        <is>
          <t>C1824</t>
        </is>
      </c>
      <c r="C4325" t="n">
        <v>1</v>
      </c>
      <c r="D4325" t="inlineStr">
        <is>
          <t>Hub B</t>
        </is>
      </c>
      <c r="E4325" t="n">
        <v>46</v>
      </c>
      <c r="F4325" t="n">
        <v>22</v>
      </c>
    </row>
    <row r="4326">
      <c r="A4326" t="inlineStr">
        <is>
          <t>ORD04325</t>
        </is>
      </c>
      <c r="B4326" t="inlineStr">
        <is>
          <t>C1825</t>
        </is>
      </c>
      <c r="C4326" t="n">
        <v>2</v>
      </c>
      <c r="D4326" t="inlineStr">
        <is>
          <t>Hub B</t>
        </is>
      </c>
      <c r="E4326" t="n">
        <v>53</v>
      </c>
      <c r="F4326" t="n">
        <v>22</v>
      </c>
    </row>
    <row r="4327">
      <c r="A4327" t="inlineStr">
        <is>
          <t>ORD04326</t>
        </is>
      </c>
      <c r="B4327" t="inlineStr">
        <is>
          <t>C1826</t>
        </is>
      </c>
      <c r="C4327" t="n">
        <v>3</v>
      </c>
      <c r="D4327" t="inlineStr">
        <is>
          <t>Hub B</t>
        </is>
      </c>
      <c r="E4327" t="n">
        <v>60</v>
      </c>
      <c r="F4327" t="n">
        <v>22</v>
      </c>
    </row>
    <row r="4328">
      <c r="A4328" t="inlineStr">
        <is>
          <t>ORD04327</t>
        </is>
      </c>
      <c r="B4328" t="inlineStr">
        <is>
          <t>C1827</t>
        </is>
      </c>
      <c r="C4328" t="n">
        <v>1</v>
      </c>
      <c r="D4328" t="inlineStr">
        <is>
          <t>Hub B</t>
        </is>
      </c>
      <c r="E4328" t="n">
        <v>67</v>
      </c>
      <c r="F4328" t="n">
        <v>22</v>
      </c>
    </row>
    <row r="4329">
      <c r="A4329" t="inlineStr">
        <is>
          <t>ORD04328</t>
        </is>
      </c>
      <c r="B4329" t="inlineStr">
        <is>
          <t>C1828</t>
        </is>
      </c>
      <c r="C4329" t="n">
        <v>2</v>
      </c>
      <c r="D4329" t="inlineStr">
        <is>
          <t>Hub B</t>
        </is>
      </c>
      <c r="E4329" t="n">
        <v>74</v>
      </c>
      <c r="F4329" t="n">
        <v>22</v>
      </c>
    </row>
    <row r="4330">
      <c r="A4330" t="inlineStr">
        <is>
          <t>ORD04329</t>
        </is>
      </c>
      <c r="B4330" t="inlineStr">
        <is>
          <t>C1829</t>
        </is>
      </c>
      <c r="C4330" t="n">
        <v>3</v>
      </c>
      <c r="D4330" t="inlineStr">
        <is>
          <t>Hub B</t>
        </is>
      </c>
      <c r="E4330" t="n">
        <v>21</v>
      </c>
      <c r="F4330" t="n">
        <v>22</v>
      </c>
    </row>
    <row r="4331">
      <c r="A4331" t="inlineStr">
        <is>
          <t>ORD04330</t>
        </is>
      </c>
      <c r="B4331" t="inlineStr">
        <is>
          <t>C1830</t>
        </is>
      </c>
      <c r="C4331" t="n">
        <v>1</v>
      </c>
      <c r="D4331" t="inlineStr">
        <is>
          <t>Hub B</t>
        </is>
      </c>
      <c r="E4331" t="n">
        <v>28</v>
      </c>
      <c r="F4331" t="n">
        <v>22</v>
      </c>
    </row>
    <row r="4332">
      <c r="A4332" t="inlineStr">
        <is>
          <t>ORD04331</t>
        </is>
      </c>
      <c r="B4332" t="inlineStr">
        <is>
          <t>C1831</t>
        </is>
      </c>
      <c r="C4332" t="n">
        <v>2</v>
      </c>
      <c r="D4332" t="inlineStr">
        <is>
          <t>Hub B</t>
        </is>
      </c>
      <c r="E4332" t="n">
        <v>35</v>
      </c>
      <c r="F4332" t="n">
        <v>22</v>
      </c>
    </row>
    <row r="4333">
      <c r="A4333" t="inlineStr">
        <is>
          <t>ORD04332</t>
        </is>
      </c>
      <c r="B4333" t="inlineStr">
        <is>
          <t>C1832</t>
        </is>
      </c>
      <c r="C4333" t="n">
        <v>3</v>
      </c>
      <c r="D4333" t="inlineStr">
        <is>
          <t>Hub B</t>
        </is>
      </c>
      <c r="E4333" t="n">
        <v>42</v>
      </c>
      <c r="F4333" t="n">
        <v>22</v>
      </c>
    </row>
    <row r="4334">
      <c r="A4334" t="inlineStr">
        <is>
          <t>ORD04333</t>
        </is>
      </c>
      <c r="B4334" t="inlineStr">
        <is>
          <t>C1833</t>
        </is>
      </c>
      <c r="C4334" t="n">
        <v>1</v>
      </c>
      <c r="D4334" t="inlineStr">
        <is>
          <t>Hub B</t>
        </is>
      </c>
      <c r="E4334" t="n">
        <v>49</v>
      </c>
      <c r="F4334" t="n">
        <v>22</v>
      </c>
    </row>
    <row r="4335">
      <c r="A4335" t="inlineStr">
        <is>
          <t>ORD04334</t>
        </is>
      </c>
      <c r="B4335" t="inlineStr">
        <is>
          <t>C1834</t>
        </is>
      </c>
      <c r="C4335" t="n">
        <v>2</v>
      </c>
      <c r="D4335" t="inlineStr">
        <is>
          <t>Hub B</t>
        </is>
      </c>
      <c r="E4335" t="n">
        <v>56</v>
      </c>
      <c r="F4335" t="n">
        <v>22</v>
      </c>
    </row>
    <row r="4336">
      <c r="A4336" t="inlineStr">
        <is>
          <t>ORD04335</t>
        </is>
      </c>
      <c r="B4336" t="inlineStr">
        <is>
          <t>C1835</t>
        </is>
      </c>
      <c r="C4336" t="n">
        <v>3</v>
      </c>
      <c r="D4336" t="inlineStr">
        <is>
          <t>Hub B</t>
        </is>
      </c>
      <c r="E4336" t="n">
        <v>63</v>
      </c>
      <c r="F4336" t="n">
        <v>22</v>
      </c>
    </row>
    <row r="4337">
      <c r="A4337" t="inlineStr">
        <is>
          <t>ORD04336</t>
        </is>
      </c>
      <c r="B4337" t="inlineStr">
        <is>
          <t>C1836</t>
        </is>
      </c>
      <c r="C4337" t="n">
        <v>1</v>
      </c>
      <c r="D4337" t="inlineStr">
        <is>
          <t>Hub B</t>
        </is>
      </c>
      <c r="E4337" t="n">
        <v>70</v>
      </c>
      <c r="F4337" t="n">
        <v>22</v>
      </c>
    </row>
    <row r="4338">
      <c r="A4338" t="inlineStr">
        <is>
          <t>ORD04337</t>
        </is>
      </c>
      <c r="B4338" t="inlineStr">
        <is>
          <t>C1837</t>
        </is>
      </c>
      <c r="C4338" t="n">
        <v>2</v>
      </c>
      <c r="D4338" t="inlineStr">
        <is>
          <t>Hub B</t>
        </is>
      </c>
      <c r="E4338" t="n">
        <v>77</v>
      </c>
      <c r="F4338" t="n">
        <v>22</v>
      </c>
    </row>
    <row r="4339">
      <c r="A4339" t="inlineStr">
        <is>
          <t>ORD04338</t>
        </is>
      </c>
      <c r="B4339" t="inlineStr">
        <is>
          <t>C1838</t>
        </is>
      </c>
      <c r="C4339" t="n">
        <v>3</v>
      </c>
      <c r="D4339" t="inlineStr">
        <is>
          <t>Hub B</t>
        </is>
      </c>
      <c r="E4339" t="n">
        <v>24</v>
      </c>
      <c r="F4339" t="n">
        <v>22</v>
      </c>
    </row>
    <row r="4340">
      <c r="A4340" t="inlineStr">
        <is>
          <t>ORD04339</t>
        </is>
      </c>
      <c r="B4340" t="inlineStr">
        <is>
          <t>C1839</t>
        </is>
      </c>
      <c r="C4340" t="n">
        <v>1</v>
      </c>
      <c r="D4340" t="inlineStr">
        <is>
          <t>Hub B</t>
        </is>
      </c>
      <c r="E4340" t="n">
        <v>31</v>
      </c>
      <c r="F4340" t="n">
        <v>22</v>
      </c>
    </row>
    <row r="4341">
      <c r="A4341" t="inlineStr">
        <is>
          <t>ORD04340</t>
        </is>
      </c>
      <c r="B4341" t="inlineStr">
        <is>
          <t>C1840</t>
        </is>
      </c>
      <c r="C4341" t="n">
        <v>2</v>
      </c>
      <c r="D4341" t="inlineStr">
        <is>
          <t>Hub B</t>
        </is>
      </c>
      <c r="E4341" t="n">
        <v>38</v>
      </c>
      <c r="F4341" t="n">
        <v>22</v>
      </c>
    </row>
    <row r="4342">
      <c r="A4342" t="inlineStr">
        <is>
          <t>ORD04341</t>
        </is>
      </c>
      <c r="B4342" t="inlineStr">
        <is>
          <t>C1841</t>
        </is>
      </c>
      <c r="C4342" t="n">
        <v>3</v>
      </c>
      <c r="D4342" t="inlineStr">
        <is>
          <t>Hub B</t>
        </is>
      </c>
      <c r="E4342" t="n">
        <v>45</v>
      </c>
      <c r="F4342" t="n">
        <v>22</v>
      </c>
    </row>
    <row r="4343">
      <c r="A4343" t="inlineStr">
        <is>
          <t>ORD04342</t>
        </is>
      </c>
      <c r="B4343" t="inlineStr">
        <is>
          <t>C1842</t>
        </is>
      </c>
      <c r="C4343" t="n">
        <v>1</v>
      </c>
      <c r="D4343" t="inlineStr">
        <is>
          <t>Hub B</t>
        </is>
      </c>
      <c r="E4343" t="n">
        <v>52</v>
      </c>
      <c r="F4343" t="n">
        <v>22</v>
      </c>
    </row>
    <row r="4344">
      <c r="A4344" t="inlineStr">
        <is>
          <t>ORD04343</t>
        </is>
      </c>
      <c r="B4344" t="inlineStr">
        <is>
          <t>C1843</t>
        </is>
      </c>
      <c r="C4344" t="n">
        <v>2</v>
      </c>
      <c r="D4344" t="inlineStr">
        <is>
          <t>Hub B</t>
        </is>
      </c>
      <c r="E4344" t="n">
        <v>59</v>
      </c>
      <c r="F4344" t="n">
        <v>22</v>
      </c>
    </row>
    <row r="4345">
      <c r="A4345" t="inlineStr">
        <is>
          <t>ORD04344</t>
        </is>
      </c>
      <c r="B4345" t="inlineStr">
        <is>
          <t>C1844</t>
        </is>
      </c>
      <c r="C4345" t="n">
        <v>3</v>
      </c>
      <c r="D4345" t="inlineStr">
        <is>
          <t>Hub B</t>
        </is>
      </c>
      <c r="E4345" t="n">
        <v>66</v>
      </c>
      <c r="F4345" t="n">
        <v>22</v>
      </c>
    </row>
    <row r="4346">
      <c r="A4346" t="inlineStr">
        <is>
          <t>ORD04345</t>
        </is>
      </c>
      <c r="B4346" t="inlineStr">
        <is>
          <t>C1845</t>
        </is>
      </c>
      <c r="C4346" t="n">
        <v>1</v>
      </c>
      <c r="D4346" t="inlineStr">
        <is>
          <t>Hub B</t>
        </is>
      </c>
      <c r="E4346" t="n">
        <v>73</v>
      </c>
      <c r="F4346" t="n">
        <v>22</v>
      </c>
    </row>
    <row r="4347">
      <c r="A4347" t="inlineStr">
        <is>
          <t>ORD04346</t>
        </is>
      </c>
      <c r="B4347" t="inlineStr">
        <is>
          <t>C1846</t>
        </is>
      </c>
      <c r="C4347" t="n">
        <v>2</v>
      </c>
      <c r="D4347" t="inlineStr">
        <is>
          <t>Hub B</t>
        </is>
      </c>
      <c r="E4347" t="n">
        <v>20</v>
      </c>
      <c r="F4347" t="n">
        <v>22</v>
      </c>
    </row>
    <row r="4348">
      <c r="A4348" t="inlineStr">
        <is>
          <t>ORD04347</t>
        </is>
      </c>
      <c r="B4348" t="inlineStr">
        <is>
          <t>C1847</t>
        </is>
      </c>
      <c r="C4348" t="n">
        <v>3</v>
      </c>
      <c r="D4348" t="inlineStr">
        <is>
          <t>Hub B</t>
        </is>
      </c>
      <c r="E4348" t="n">
        <v>27</v>
      </c>
      <c r="F4348" t="n">
        <v>22</v>
      </c>
    </row>
    <row r="4349">
      <c r="A4349" t="inlineStr">
        <is>
          <t>ORD04348</t>
        </is>
      </c>
      <c r="B4349" t="inlineStr">
        <is>
          <t>C1848</t>
        </is>
      </c>
      <c r="C4349" t="n">
        <v>1</v>
      </c>
      <c r="D4349" t="inlineStr">
        <is>
          <t>Hub B</t>
        </is>
      </c>
      <c r="E4349" t="n">
        <v>34</v>
      </c>
      <c r="F4349" t="n">
        <v>22</v>
      </c>
    </row>
    <row r="4350">
      <c r="A4350" t="inlineStr">
        <is>
          <t>ORD04349</t>
        </is>
      </c>
      <c r="B4350" t="inlineStr">
        <is>
          <t>C1849</t>
        </is>
      </c>
      <c r="C4350" t="n">
        <v>2</v>
      </c>
      <c r="D4350" t="inlineStr">
        <is>
          <t>Hub B</t>
        </is>
      </c>
      <c r="E4350" t="n">
        <v>41</v>
      </c>
      <c r="F4350" t="n">
        <v>22</v>
      </c>
    </row>
    <row r="4351">
      <c r="A4351" t="inlineStr">
        <is>
          <t>ORD04350</t>
        </is>
      </c>
      <c r="B4351" t="inlineStr">
        <is>
          <t>C1850</t>
        </is>
      </c>
      <c r="C4351" t="n">
        <v>3</v>
      </c>
      <c r="D4351" t="inlineStr">
        <is>
          <t>Hub B</t>
        </is>
      </c>
      <c r="E4351" t="n">
        <v>48</v>
      </c>
      <c r="F4351" t="n">
        <v>22</v>
      </c>
    </row>
    <row r="4352">
      <c r="A4352" t="inlineStr">
        <is>
          <t>ORD04351</t>
        </is>
      </c>
      <c r="B4352" t="inlineStr">
        <is>
          <t>C1851</t>
        </is>
      </c>
      <c r="C4352" t="n">
        <v>1</v>
      </c>
      <c r="D4352" t="inlineStr">
        <is>
          <t>Hub B</t>
        </is>
      </c>
      <c r="E4352" t="n">
        <v>55</v>
      </c>
      <c r="F4352" t="n">
        <v>22</v>
      </c>
    </row>
    <row r="4353">
      <c r="A4353" t="inlineStr">
        <is>
          <t>ORD04352</t>
        </is>
      </c>
      <c r="B4353" t="inlineStr">
        <is>
          <t>C1852</t>
        </is>
      </c>
      <c r="C4353" t="n">
        <v>2</v>
      </c>
      <c r="D4353" t="inlineStr">
        <is>
          <t>Hub B</t>
        </is>
      </c>
      <c r="E4353" t="n">
        <v>62</v>
      </c>
      <c r="F4353" t="n">
        <v>22</v>
      </c>
    </row>
    <row r="4354">
      <c r="A4354" t="inlineStr">
        <is>
          <t>ORD04353</t>
        </is>
      </c>
      <c r="B4354" t="inlineStr">
        <is>
          <t>C1853</t>
        </is>
      </c>
      <c r="C4354" t="n">
        <v>3</v>
      </c>
      <c r="D4354" t="inlineStr">
        <is>
          <t>Hub B</t>
        </is>
      </c>
      <c r="E4354" t="n">
        <v>69</v>
      </c>
      <c r="F4354" t="n">
        <v>22</v>
      </c>
    </row>
    <row r="4355">
      <c r="A4355" t="inlineStr">
        <is>
          <t>ORD04354</t>
        </is>
      </c>
      <c r="B4355" t="inlineStr">
        <is>
          <t>C1854</t>
        </is>
      </c>
      <c r="C4355" t="n">
        <v>1</v>
      </c>
      <c r="D4355" t="inlineStr">
        <is>
          <t>Hub B</t>
        </is>
      </c>
      <c r="E4355" t="n">
        <v>76</v>
      </c>
      <c r="F4355" t="n">
        <v>22</v>
      </c>
    </row>
    <row r="4356">
      <c r="A4356" t="inlineStr">
        <is>
          <t>ORD04355</t>
        </is>
      </c>
      <c r="B4356" t="inlineStr">
        <is>
          <t>C1855</t>
        </is>
      </c>
      <c r="C4356" t="n">
        <v>2</v>
      </c>
      <c r="D4356" t="inlineStr">
        <is>
          <t>Hub B</t>
        </is>
      </c>
      <c r="E4356" t="n">
        <v>23</v>
      </c>
      <c r="F4356" t="n">
        <v>22</v>
      </c>
    </row>
    <row r="4357">
      <c r="A4357" t="inlineStr">
        <is>
          <t>ORD04356</t>
        </is>
      </c>
      <c r="B4357" t="inlineStr">
        <is>
          <t>C1856</t>
        </is>
      </c>
      <c r="C4357" t="n">
        <v>3</v>
      </c>
      <c r="D4357" t="inlineStr">
        <is>
          <t>Hub B</t>
        </is>
      </c>
      <c r="E4357" t="n">
        <v>30</v>
      </c>
      <c r="F4357" t="n">
        <v>22</v>
      </c>
    </row>
    <row r="4358">
      <c r="A4358" t="inlineStr">
        <is>
          <t>ORD04357</t>
        </is>
      </c>
      <c r="B4358" t="inlineStr">
        <is>
          <t>C1857</t>
        </is>
      </c>
      <c r="C4358" t="n">
        <v>1</v>
      </c>
      <c r="D4358" t="inlineStr">
        <is>
          <t>Hub B</t>
        </is>
      </c>
      <c r="E4358" t="n">
        <v>37</v>
      </c>
      <c r="F4358" t="n">
        <v>22</v>
      </c>
    </row>
    <row r="4359">
      <c r="A4359" t="inlineStr">
        <is>
          <t>ORD04358</t>
        </is>
      </c>
      <c r="B4359" t="inlineStr">
        <is>
          <t>C1858</t>
        </is>
      </c>
      <c r="C4359" t="n">
        <v>2</v>
      </c>
      <c r="D4359" t="inlineStr">
        <is>
          <t>Hub B</t>
        </is>
      </c>
      <c r="E4359" t="n">
        <v>44</v>
      </c>
      <c r="F4359" t="n">
        <v>22</v>
      </c>
    </row>
    <row r="4360">
      <c r="A4360" t="inlineStr">
        <is>
          <t>ORD04359</t>
        </is>
      </c>
      <c r="B4360" t="inlineStr">
        <is>
          <t>C1859</t>
        </is>
      </c>
      <c r="C4360" t="n">
        <v>3</v>
      </c>
      <c r="D4360" t="inlineStr">
        <is>
          <t>Hub B</t>
        </is>
      </c>
      <c r="E4360" t="n">
        <v>51</v>
      </c>
      <c r="F4360" t="n">
        <v>22</v>
      </c>
    </row>
    <row r="4361">
      <c r="A4361" t="inlineStr">
        <is>
          <t>ORD04360</t>
        </is>
      </c>
      <c r="B4361" t="inlineStr">
        <is>
          <t>C1860</t>
        </is>
      </c>
      <c r="C4361" t="n">
        <v>1</v>
      </c>
      <c r="D4361" t="inlineStr">
        <is>
          <t>Hub B</t>
        </is>
      </c>
      <c r="E4361" t="n">
        <v>58</v>
      </c>
      <c r="F4361" t="n">
        <v>22</v>
      </c>
    </row>
    <row r="4362">
      <c r="A4362" t="inlineStr">
        <is>
          <t>ORD04361</t>
        </is>
      </c>
      <c r="B4362" t="inlineStr">
        <is>
          <t>C1861</t>
        </is>
      </c>
      <c r="C4362" t="n">
        <v>2</v>
      </c>
      <c r="D4362" t="inlineStr">
        <is>
          <t>Hub B</t>
        </is>
      </c>
      <c r="E4362" t="n">
        <v>65</v>
      </c>
      <c r="F4362" t="n">
        <v>22</v>
      </c>
    </row>
    <row r="4363">
      <c r="A4363" t="inlineStr">
        <is>
          <t>ORD04362</t>
        </is>
      </c>
      <c r="B4363" t="inlineStr">
        <is>
          <t>C1862</t>
        </is>
      </c>
      <c r="C4363" t="n">
        <v>3</v>
      </c>
      <c r="D4363" t="inlineStr">
        <is>
          <t>Hub B</t>
        </is>
      </c>
      <c r="E4363" t="n">
        <v>72</v>
      </c>
      <c r="F4363" t="n">
        <v>22</v>
      </c>
    </row>
    <row r="4364">
      <c r="A4364" t="inlineStr">
        <is>
          <t>ORD04363</t>
        </is>
      </c>
      <c r="B4364" t="inlineStr">
        <is>
          <t>C1863</t>
        </is>
      </c>
      <c r="C4364" t="n">
        <v>1</v>
      </c>
      <c r="D4364" t="inlineStr">
        <is>
          <t>Hub B</t>
        </is>
      </c>
      <c r="E4364" t="n">
        <v>19</v>
      </c>
      <c r="F4364" t="n">
        <v>22</v>
      </c>
    </row>
    <row r="4365">
      <c r="A4365" t="inlineStr">
        <is>
          <t>ORD04364</t>
        </is>
      </c>
      <c r="B4365" t="inlineStr">
        <is>
          <t>C1864</t>
        </is>
      </c>
      <c r="C4365" t="n">
        <v>2</v>
      </c>
      <c r="D4365" t="inlineStr">
        <is>
          <t>Hub B</t>
        </is>
      </c>
      <c r="E4365" t="n">
        <v>26</v>
      </c>
      <c r="F4365" t="n">
        <v>22</v>
      </c>
    </row>
    <row r="4366">
      <c r="A4366" t="inlineStr">
        <is>
          <t>ORD04365</t>
        </is>
      </c>
      <c r="B4366" t="inlineStr">
        <is>
          <t>C1865</t>
        </is>
      </c>
      <c r="C4366" t="n">
        <v>3</v>
      </c>
      <c r="D4366" t="inlineStr">
        <is>
          <t>Hub B</t>
        </is>
      </c>
      <c r="E4366" t="n">
        <v>33</v>
      </c>
      <c r="F4366" t="n">
        <v>22</v>
      </c>
    </row>
    <row r="4367">
      <c r="A4367" t="inlineStr">
        <is>
          <t>ORD04366</t>
        </is>
      </c>
      <c r="B4367" t="inlineStr">
        <is>
          <t>C1866</t>
        </is>
      </c>
      <c r="C4367" t="n">
        <v>1</v>
      </c>
      <c r="D4367" t="inlineStr">
        <is>
          <t>Hub B</t>
        </is>
      </c>
      <c r="E4367" t="n">
        <v>40</v>
      </c>
      <c r="F4367" t="n">
        <v>22</v>
      </c>
    </row>
    <row r="4368">
      <c r="A4368" t="inlineStr">
        <is>
          <t>ORD04367</t>
        </is>
      </c>
      <c r="B4368" t="inlineStr">
        <is>
          <t>C1867</t>
        </is>
      </c>
      <c r="C4368" t="n">
        <v>2</v>
      </c>
      <c r="D4368" t="inlineStr">
        <is>
          <t>Hub B</t>
        </is>
      </c>
      <c r="E4368" t="n">
        <v>47</v>
      </c>
      <c r="F4368" t="n">
        <v>22</v>
      </c>
    </row>
    <row r="4369">
      <c r="A4369" t="inlineStr">
        <is>
          <t>ORD04368</t>
        </is>
      </c>
      <c r="B4369" t="inlineStr">
        <is>
          <t>C1868</t>
        </is>
      </c>
      <c r="C4369" t="n">
        <v>3</v>
      </c>
      <c r="D4369" t="inlineStr">
        <is>
          <t>Hub B</t>
        </is>
      </c>
      <c r="E4369" t="n">
        <v>54</v>
      </c>
      <c r="F4369" t="n">
        <v>22</v>
      </c>
    </row>
    <row r="4370">
      <c r="A4370" t="inlineStr">
        <is>
          <t>ORD04369</t>
        </is>
      </c>
      <c r="B4370" t="inlineStr">
        <is>
          <t>C1869</t>
        </is>
      </c>
      <c r="C4370" t="n">
        <v>1</v>
      </c>
      <c r="D4370" t="inlineStr">
        <is>
          <t>Hub B</t>
        </is>
      </c>
      <c r="E4370" t="n">
        <v>61</v>
      </c>
      <c r="F4370" t="n">
        <v>22</v>
      </c>
    </row>
    <row r="4371">
      <c r="A4371" t="inlineStr">
        <is>
          <t>ORD04370</t>
        </is>
      </c>
      <c r="B4371" t="inlineStr">
        <is>
          <t>C1870</t>
        </is>
      </c>
      <c r="C4371" t="n">
        <v>2</v>
      </c>
      <c r="D4371" t="inlineStr">
        <is>
          <t>Hub B</t>
        </is>
      </c>
      <c r="E4371" t="n">
        <v>68</v>
      </c>
      <c r="F4371" t="n">
        <v>22</v>
      </c>
    </row>
    <row r="4372">
      <c r="A4372" t="inlineStr">
        <is>
          <t>ORD04371</t>
        </is>
      </c>
      <c r="B4372" t="inlineStr">
        <is>
          <t>C1871</t>
        </is>
      </c>
      <c r="C4372" t="n">
        <v>3</v>
      </c>
      <c r="D4372" t="inlineStr">
        <is>
          <t>Hub B</t>
        </is>
      </c>
      <c r="E4372" t="n">
        <v>75</v>
      </c>
      <c r="F4372" t="n">
        <v>22</v>
      </c>
    </row>
    <row r="4373">
      <c r="A4373" t="inlineStr">
        <is>
          <t>ORD04372</t>
        </is>
      </c>
      <c r="B4373" t="inlineStr">
        <is>
          <t>C1872</t>
        </is>
      </c>
      <c r="C4373" t="n">
        <v>1</v>
      </c>
      <c r="D4373" t="inlineStr">
        <is>
          <t>Hub B</t>
        </is>
      </c>
      <c r="E4373" t="n">
        <v>22</v>
      </c>
      <c r="F4373" t="n">
        <v>22</v>
      </c>
    </row>
    <row r="4374">
      <c r="A4374" t="inlineStr">
        <is>
          <t>ORD04373</t>
        </is>
      </c>
      <c r="B4374" t="inlineStr">
        <is>
          <t>C1873</t>
        </is>
      </c>
      <c r="C4374" t="n">
        <v>2</v>
      </c>
      <c r="D4374" t="inlineStr">
        <is>
          <t>Hub B</t>
        </is>
      </c>
      <c r="E4374" t="n">
        <v>29</v>
      </c>
      <c r="F4374" t="n">
        <v>22</v>
      </c>
    </row>
    <row r="4375">
      <c r="A4375" t="inlineStr">
        <is>
          <t>ORD04374</t>
        </is>
      </c>
      <c r="B4375" t="inlineStr">
        <is>
          <t>C1874</t>
        </is>
      </c>
      <c r="C4375" t="n">
        <v>3</v>
      </c>
      <c r="D4375" t="inlineStr">
        <is>
          <t>Hub B</t>
        </is>
      </c>
      <c r="E4375" t="n">
        <v>36</v>
      </c>
      <c r="F4375" t="n">
        <v>22</v>
      </c>
    </row>
    <row r="4376">
      <c r="A4376" t="inlineStr">
        <is>
          <t>ORD04375</t>
        </is>
      </c>
      <c r="B4376" t="inlineStr">
        <is>
          <t>C1875</t>
        </is>
      </c>
      <c r="C4376" t="n">
        <v>1</v>
      </c>
      <c r="D4376" t="inlineStr">
        <is>
          <t>Hub B</t>
        </is>
      </c>
      <c r="E4376" t="n">
        <v>43</v>
      </c>
      <c r="F4376" t="n">
        <v>22</v>
      </c>
    </row>
    <row r="4377">
      <c r="A4377" t="inlineStr">
        <is>
          <t>ORD04376</t>
        </is>
      </c>
      <c r="B4377" t="inlineStr">
        <is>
          <t>C1876</t>
        </is>
      </c>
      <c r="C4377" t="n">
        <v>2</v>
      </c>
      <c r="D4377" t="inlineStr">
        <is>
          <t>Hub B</t>
        </is>
      </c>
      <c r="E4377" t="n">
        <v>50</v>
      </c>
      <c r="F4377" t="n">
        <v>22</v>
      </c>
    </row>
    <row r="4378">
      <c r="A4378" t="inlineStr">
        <is>
          <t>ORD04377</t>
        </is>
      </c>
      <c r="B4378" t="inlineStr">
        <is>
          <t>C1877</t>
        </is>
      </c>
      <c r="C4378" t="n">
        <v>3</v>
      </c>
      <c r="D4378" t="inlineStr">
        <is>
          <t>Hub B</t>
        </is>
      </c>
      <c r="E4378" t="n">
        <v>57</v>
      </c>
      <c r="F4378" t="n">
        <v>22</v>
      </c>
    </row>
    <row r="4379">
      <c r="A4379" t="inlineStr">
        <is>
          <t>ORD04378</t>
        </is>
      </c>
      <c r="B4379" t="inlineStr">
        <is>
          <t>C1878</t>
        </is>
      </c>
      <c r="C4379" t="n">
        <v>1</v>
      </c>
      <c r="D4379" t="inlineStr">
        <is>
          <t>Hub B</t>
        </is>
      </c>
      <c r="E4379" t="n">
        <v>64</v>
      </c>
      <c r="F4379" t="n">
        <v>22</v>
      </c>
    </row>
    <row r="4380">
      <c r="A4380" t="inlineStr">
        <is>
          <t>ORD04379</t>
        </is>
      </c>
      <c r="B4380" t="inlineStr">
        <is>
          <t>C1879</t>
        </is>
      </c>
      <c r="C4380" t="n">
        <v>2</v>
      </c>
      <c r="D4380" t="inlineStr">
        <is>
          <t>Hub B</t>
        </is>
      </c>
      <c r="E4380" t="n">
        <v>71</v>
      </c>
      <c r="F4380" t="n">
        <v>22</v>
      </c>
    </row>
    <row r="4381">
      <c r="A4381" t="inlineStr">
        <is>
          <t>ORD04380</t>
        </is>
      </c>
      <c r="B4381" t="inlineStr">
        <is>
          <t>C1880</t>
        </is>
      </c>
      <c r="C4381" t="n">
        <v>3</v>
      </c>
      <c r="D4381" t="inlineStr">
        <is>
          <t>Hub B</t>
        </is>
      </c>
      <c r="E4381" t="n">
        <v>18</v>
      </c>
      <c r="F4381" t="n">
        <v>22</v>
      </c>
    </row>
    <row r="4382">
      <c r="A4382" t="inlineStr">
        <is>
          <t>ORD04381</t>
        </is>
      </c>
      <c r="B4382" t="inlineStr">
        <is>
          <t>C1881</t>
        </is>
      </c>
      <c r="C4382" t="n">
        <v>1</v>
      </c>
      <c r="D4382" t="inlineStr">
        <is>
          <t>Hub B</t>
        </is>
      </c>
      <c r="E4382" t="n">
        <v>25</v>
      </c>
      <c r="F4382" t="n">
        <v>22</v>
      </c>
    </row>
    <row r="4383">
      <c r="A4383" t="inlineStr">
        <is>
          <t>ORD04382</t>
        </is>
      </c>
      <c r="B4383" t="inlineStr">
        <is>
          <t>C1882</t>
        </is>
      </c>
      <c r="C4383" t="n">
        <v>2</v>
      </c>
      <c r="D4383" t="inlineStr">
        <is>
          <t>Hub B</t>
        </is>
      </c>
      <c r="E4383" t="n">
        <v>32</v>
      </c>
      <c r="F4383" t="n">
        <v>22</v>
      </c>
    </row>
    <row r="4384">
      <c r="A4384" t="inlineStr">
        <is>
          <t>ORD04383</t>
        </is>
      </c>
      <c r="B4384" t="inlineStr">
        <is>
          <t>C1883</t>
        </is>
      </c>
      <c r="C4384" t="n">
        <v>3</v>
      </c>
      <c r="D4384" t="inlineStr">
        <is>
          <t>Hub B</t>
        </is>
      </c>
      <c r="E4384" t="n">
        <v>39</v>
      </c>
      <c r="F4384" t="n">
        <v>22</v>
      </c>
    </row>
    <row r="4385">
      <c r="A4385" t="inlineStr">
        <is>
          <t>ORD04384</t>
        </is>
      </c>
      <c r="B4385" t="inlineStr">
        <is>
          <t>C1884</t>
        </is>
      </c>
      <c r="C4385" t="n">
        <v>1</v>
      </c>
      <c r="D4385" t="inlineStr">
        <is>
          <t>Hub B</t>
        </is>
      </c>
      <c r="E4385" t="n">
        <v>46</v>
      </c>
      <c r="F4385" t="n">
        <v>22</v>
      </c>
    </row>
    <row r="4386">
      <c r="A4386" t="inlineStr">
        <is>
          <t>ORD04385</t>
        </is>
      </c>
      <c r="B4386" t="inlineStr">
        <is>
          <t>C1885</t>
        </is>
      </c>
      <c r="C4386" t="n">
        <v>2</v>
      </c>
      <c r="D4386" t="inlineStr">
        <is>
          <t>Hub B</t>
        </is>
      </c>
      <c r="E4386" t="n">
        <v>53</v>
      </c>
      <c r="F4386" t="n">
        <v>22</v>
      </c>
    </row>
    <row r="4387">
      <c r="A4387" t="inlineStr">
        <is>
          <t>ORD04386</t>
        </is>
      </c>
      <c r="B4387" t="inlineStr">
        <is>
          <t>C1886</t>
        </is>
      </c>
      <c r="C4387" t="n">
        <v>3</v>
      </c>
      <c r="D4387" t="inlineStr">
        <is>
          <t>Hub B</t>
        </is>
      </c>
      <c r="E4387" t="n">
        <v>60</v>
      </c>
      <c r="F4387" t="n">
        <v>22</v>
      </c>
    </row>
    <row r="4388">
      <c r="A4388" t="inlineStr">
        <is>
          <t>ORD04387</t>
        </is>
      </c>
      <c r="B4388" t="inlineStr">
        <is>
          <t>C1887</t>
        </is>
      </c>
      <c r="C4388" t="n">
        <v>1</v>
      </c>
      <c r="D4388" t="inlineStr">
        <is>
          <t>Hub B</t>
        </is>
      </c>
      <c r="E4388" t="n">
        <v>67</v>
      </c>
      <c r="F4388" t="n">
        <v>22</v>
      </c>
    </row>
    <row r="4389">
      <c r="A4389" t="inlineStr">
        <is>
          <t>ORD04388</t>
        </is>
      </c>
      <c r="B4389" t="inlineStr">
        <is>
          <t>C1888</t>
        </is>
      </c>
      <c r="C4389" t="n">
        <v>2</v>
      </c>
      <c r="D4389" t="inlineStr">
        <is>
          <t>Hub B</t>
        </is>
      </c>
      <c r="E4389" t="n">
        <v>74</v>
      </c>
      <c r="F4389" t="n">
        <v>22</v>
      </c>
    </row>
    <row r="4390">
      <c r="A4390" t="inlineStr">
        <is>
          <t>ORD04389</t>
        </is>
      </c>
      <c r="B4390" t="inlineStr">
        <is>
          <t>C1889</t>
        </is>
      </c>
      <c r="C4390" t="n">
        <v>3</v>
      </c>
      <c r="D4390" t="inlineStr">
        <is>
          <t>Hub B</t>
        </is>
      </c>
      <c r="E4390" t="n">
        <v>21</v>
      </c>
      <c r="F4390" t="n">
        <v>22</v>
      </c>
    </row>
    <row r="4391">
      <c r="A4391" t="inlineStr">
        <is>
          <t>ORD04390</t>
        </is>
      </c>
      <c r="B4391" t="inlineStr">
        <is>
          <t>C1890</t>
        </is>
      </c>
      <c r="C4391" t="n">
        <v>1</v>
      </c>
      <c r="D4391" t="inlineStr">
        <is>
          <t>Hub B</t>
        </is>
      </c>
      <c r="E4391" t="n">
        <v>28</v>
      </c>
      <c r="F4391" t="n">
        <v>22</v>
      </c>
    </row>
    <row r="4392">
      <c r="A4392" t="inlineStr">
        <is>
          <t>ORD04391</t>
        </is>
      </c>
      <c r="B4392" t="inlineStr">
        <is>
          <t>C1891</t>
        </is>
      </c>
      <c r="C4392" t="n">
        <v>2</v>
      </c>
      <c r="D4392" t="inlineStr">
        <is>
          <t>Hub B</t>
        </is>
      </c>
      <c r="E4392" t="n">
        <v>35</v>
      </c>
      <c r="F4392" t="n">
        <v>22</v>
      </c>
    </row>
    <row r="4393">
      <c r="A4393" t="inlineStr">
        <is>
          <t>ORD04392</t>
        </is>
      </c>
      <c r="B4393" t="inlineStr">
        <is>
          <t>C1892</t>
        </is>
      </c>
      <c r="C4393" t="n">
        <v>3</v>
      </c>
      <c r="D4393" t="inlineStr">
        <is>
          <t>Hub B</t>
        </is>
      </c>
      <c r="E4393" t="n">
        <v>42</v>
      </c>
      <c r="F4393" t="n">
        <v>22</v>
      </c>
    </row>
    <row r="4394">
      <c r="A4394" t="inlineStr">
        <is>
          <t>ORD04393</t>
        </is>
      </c>
      <c r="B4394" t="inlineStr">
        <is>
          <t>C1893</t>
        </is>
      </c>
      <c r="C4394" t="n">
        <v>1</v>
      </c>
      <c r="D4394" t="inlineStr">
        <is>
          <t>Hub B</t>
        </is>
      </c>
      <c r="E4394" t="n">
        <v>49</v>
      </c>
      <c r="F4394" t="n">
        <v>22</v>
      </c>
    </row>
    <row r="4395">
      <c r="A4395" t="inlineStr">
        <is>
          <t>ORD04394</t>
        </is>
      </c>
      <c r="B4395" t="inlineStr">
        <is>
          <t>C1894</t>
        </is>
      </c>
      <c r="C4395" t="n">
        <v>2</v>
      </c>
      <c r="D4395" t="inlineStr">
        <is>
          <t>Hub B</t>
        </is>
      </c>
      <c r="E4395" t="n">
        <v>56</v>
      </c>
      <c r="F4395" t="n">
        <v>22</v>
      </c>
    </row>
    <row r="4396">
      <c r="A4396" t="inlineStr">
        <is>
          <t>ORD04395</t>
        </is>
      </c>
      <c r="B4396" t="inlineStr">
        <is>
          <t>C1895</t>
        </is>
      </c>
      <c r="C4396" t="n">
        <v>3</v>
      </c>
      <c r="D4396" t="inlineStr">
        <is>
          <t>Hub B</t>
        </is>
      </c>
      <c r="E4396" t="n">
        <v>63</v>
      </c>
      <c r="F4396" t="n">
        <v>22</v>
      </c>
    </row>
    <row r="4397">
      <c r="A4397" t="inlineStr">
        <is>
          <t>ORD04396</t>
        </is>
      </c>
      <c r="B4397" t="inlineStr">
        <is>
          <t>C1896</t>
        </is>
      </c>
      <c r="C4397" t="n">
        <v>1</v>
      </c>
      <c r="D4397" t="inlineStr">
        <is>
          <t>Hub B</t>
        </is>
      </c>
      <c r="E4397" t="n">
        <v>70</v>
      </c>
      <c r="F4397" t="n">
        <v>22</v>
      </c>
    </row>
    <row r="4398">
      <c r="A4398" t="inlineStr">
        <is>
          <t>ORD04397</t>
        </is>
      </c>
      <c r="B4398" t="inlineStr">
        <is>
          <t>C1897</t>
        </is>
      </c>
      <c r="C4398" t="n">
        <v>2</v>
      </c>
      <c r="D4398" t="inlineStr">
        <is>
          <t>Hub B</t>
        </is>
      </c>
      <c r="E4398" t="n">
        <v>77</v>
      </c>
      <c r="F4398" t="n">
        <v>22</v>
      </c>
    </row>
    <row r="4399">
      <c r="A4399" t="inlineStr">
        <is>
          <t>ORD04398</t>
        </is>
      </c>
      <c r="B4399" t="inlineStr">
        <is>
          <t>C1898</t>
        </is>
      </c>
      <c r="C4399" t="n">
        <v>3</v>
      </c>
      <c r="D4399" t="inlineStr">
        <is>
          <t>Hub B</t>
        </is>
      </c>
      <c r="E4399" t="n">
        <v>24</v>
      </c>
      <c r="F4399" t="n">
        <v>22</v>
      </c>
    </row>
    <row r="4400">
      <c r="A4400" t="inlineStr">
        <is>
          <t>ORD04399</t>
        </is>
      </c>
      <c r="B4400" t="inlineStr">
        <is>
          <t>C1899</t>
        </is>
      </c>
      <c r="C4400" t="n">
        <v>1</v>
      </c>
      <c r="D4400" t="inlineStr">
        <is>
          <t>Hub B</t>
        </is>
      </c>
      <c r="E4400" t="n">
        <v>31</v>
      </c>
      <c r="F4400" t="n">
        <v>22</v>
      </c>
    </row>
    <row r="4401">
      <c r="A4401" t="inlineStr">
        <is>
          <t>ORD04400</t>
        </is>
      </c>
      <c r="B4401" t="inlineStr">
        <is>
          <t>C1900</t>
        </is>
      </c>
      <c r="C4401" t="n">
        <v>2</v>
      </c>
      <c r="D4401" t="inlineStr">
        <is>
          <t>Hub B</t>
        </is>
      </c>
      <c r="E4401" t="n">
        <v>38</v>
      </c>
      <c r="F4401" t="n">
        <v>22</v>
      </c>
    </row>
    <row r="4402">
      <c r="A4402" t="inlineStr">
        <is>
          <t>ORD04401</t>
        </is>
      </c>
      <c r="B4402" t="inlineStr">
        <is>
          <t>C1901</t>
        </is>
      </c>
      <c r="C4402" t="n">
        <v>3</v>
      </c>
      <c r="D4402" t="inlineStr">
        <is>
          <t>Hub B</t>
        </is>
      </c>
      <c r="E4402" t="n">
        <v>45</v>
      </c>
      <c r="F4402" t="n">
        <v>22</v>
      </c>
    </row>
    <row r="4403">
      <c r="A4403" t="inlineStr">
        <is>
          <t>ORD04402</t>
        </is>
      </c>
      <c r="B4403" t="inlineStr">
        <is>
          <t>C1902</t>
        </is>
      </c>
      <c r="C4403" t="n">
        <v>1</v>
      </c>
      <c r="D4403" t="inlineStr">
        <is>
          <t>Hub B</t>
        </is>
      </c>
      <c r="E4403" t="n">
        <v>52</v>
      </c>
      <c r="F4403" t="n">
        <v>22</v>
      </c>
    </row>
    <row r="4404">
      <c r="A4404" t="inlineStr">
        <is>
          <t>ORD04403</t>
        </is>
      </c>
      <c r="B4404" t="inlineStr">
        <is>
          <t>C1903</t>
        </is>
      </c>
      <c r="C4404" t="n">
        <v>2</v>
      </c>
      <c r="D4404" t="inlineStr">
        <is>
          <t>Hub B</t>
        </is>
      </c>
      <c r="E4404" t="n">
        <v>59</v>
      </c>
      <c r="F4404" t="n">
        <v>22</v>
      </c>
    </row>
    <row r="4405">
      <c r="A4405" t="inlineStr">
        <is>
          <t>ORD04404</t>
        </is>
      </c>
      <c r="B4405" t="inlineStr">
        <is>
          <t>C1904</t>
        </is>
      </c>
      <c r="C4405" t="n">
        <v>3</v>
      </c>
      <c r="D4405" t="inlineStr">
        <is>
          <t>Hub B</t>
        </is>
      </c>
      <c r="E4405" t="n">
        <v>66</v>
      </c>
      <c r="F4405" t="n">
        <v>22</v>
      </c>
    </row>
    <row r="4406">
      <c r="A4406" t="inlineStr">
        <is>
          <t>ORD04405</t>
        </is>
      </c>
      <c r="B4406" t="inlineStr">
        <is>
          <t>C1905</t>
        </is>
      </c>
      <c r="C4406" t="n">
        <v>1</v>
      </c>
      <c r="D4406" t="inlineStr">
        <is>
          <t>Hub B</t>
        </is>
      </c>
      <c r="E4406" t="n">
        <v>73</v>
      </c>
      <c r="F4406" t="n">
        <v>22</v>
      </c>
    </row>
    <row r="4407">
      <c r="A4407" t="inlineStr">
        <is>
          <t>ORD04406</t>
        </is>
      </c>
      <c r="B4407" t="inlineStr">
        <is>
          <t>C1906</t>
        </is>
      </c>
      <c r="C4407" t="n">
        <v>2</v>
      </c>
      <c r="D4407" t="inlineStr">
        <is>
          <t>Hub B</t>
        </is>
      </c>
      <c r="E4407" t="n">
        <v>20</v>
      </c>
      <c r="F4407" t="n">
        <v>22</v>
      </c>
    </row>
    <row r="4408">
      <c r="A4408" t="inlineStr">
        <is>
          <t>ORD04407</t>
        </is>
      </c>
      <c r="B4408" t="inlineStr">
        <is>
          <t>C1907</t>
        </is>
      </c>
      <c r="C4408" t="n">
        <v>3</v>
      </c>
      <c r="D4408" t="inlineStr">
        <is>
          <t>Hub B</t>
        </is>
      </c>
      <c r="E4408" t="n">
        <v>27</v>
      </c>
      <c r="F4408" t="n">
        <v>22</v>
      </c>
    </row>
    <row r="4409">
      <c r="A4409" t="inlineStr">
        <is>
          <t>ORD04408</t>
        </is>
      </c>
      <c r="B4409" t="inlineStr">
        <is>
          <t>C1908</t>
        </is>
      </c>
      <c r="C4409" t="n">
        <v>1</v>
      </c>
      <c r="D4409" t="inlineStr">
        <is>
          <t>Hub B</t>
        </is>
      </c>
      <c r="E4409" t="n">
        <v>34</v>
      </c>
      <c r="F4409" t="n">
        <v>22</v>
      </c>
    </row>
    <row r="4410">
      <c r="A4410" t="inlineStr">
        <is>
          <t>ORD04409</t>
        </is>
      </c>
      <c r="B4410" t="inlineStr">
        <is>
          <t>C1909</t>
        </is>
      </c>
      <c r="C4410" t="n">
        <v>2</v>
      </c>
      <c r="D4410" t="inlineStr">
        <is>
          <t>Hub B</t>
        </is>
      </c>
      <c r="E4410" t="n">
        <v>41</v>
      </c>
      <c r="F4410" t="n">
        <v>22</v>
      </c>
    </row>
    <row r="4411">
      <c r="A4411" t="inlineStr">
        <is>
          <t>ORD04410</t>
        </is>
      </c>
      <c r="B4411" t="inlineStr">
        <is>
          <t>C1910</t>
        </is>
      </c>
      <c r="C4411" t="n">
        <v>3</v>
      </c>
      <c r="D4411" t="inlineStr">
        <is>
          <t>Hub B</t>
        </is>
      </c>
      <c r="E4411" t="n">
        <v>48</v>
      </c>
      <c r="F4411" t="n">
        <v>22</v>
      </c>
    </row>
    <row r="4412">
      <c r="A4412" t="inlineStr">
        <is>
          <t>ORD04411</t>
        </is>
      </c>
      <c r="B4412" t="inlineStr">
        <is>
          <t>C1911</t>
        </is>
      </c>
      <c r="C4412" t="n">
        <v>1</v>
      </c>
      <c r="D4412" t="inlineStr">
        <is>
          <t>Hub B</t>
        </is>
      </c>
      <c r="E4412" t="n">
        <v>55</v>
      </c>
      <c r="F4412" t="n">
        <v>22</v>
      </c>
    </row>
    <row r="4413">
      <c r="A4413" t="inlineStr">
        <is>
          <t>ORD04412</t>
        </is>
      </c>
      <c r="B4413" t="inlineStr">
        <is>
          <t>C1912</t>
        </is>
      </c>
      <c r="C4413" t="n">
        <v>2</v>
      </c>
      <c r="D4413" t="inlineStr">
        <is>
          <t>Hub B</t>
        </is>
      </c>
      <c r="E4413" t="n">
        <v>62</v>
      </c>
      <c r="F4413" t="n">
        <v>22</v>
      </c>
    </row>
    <row r="4414">
      <c r="A4414" t="inlineStr">
        <is>
          <t>ORD04413</t>
        </is>
      </c>
      <c r="B4414" t="inlineStr">
        <is>
          <t>C1913</t>
        </is>
      </c>
      <c r="C4414" t="n">
        <v>3</v>
      </c>
      <c r="D4414" t="inlineStr">
        <is>
          <t>Hub B</t>
        </is>
      </c>
      <c r="E4414" t="n">
        <v>69</v>
      </c>
      <c r="F4414" t="n">
        <v>22</v>
      </c>
    </row>
    <row r="4415">
      <c r="A4415" t="inlineStr">
        <is>
          <t>ORD04414</t>
        </is>
      </c>
      <c r="B4415" t="inlineStr">
        <is>
          <t>C1914</t>
        </is>
      </c>
      <c r="C4415" t="n">
        <v>1</v>
      </c>
      <c r="D4415" t="inlineStr">
        <is>
          <t>Hub B</t>
        </is>
      </c>
      <c r="E4415" t="n">
        <v>76</v>
      </c>
      <c r="F4415" t="n">
        <v>22</v>
      </c>
    </row>
    <row r="4416">
      <c r="A4416" t="inlineStr">
        <is>
          <t>ORD04415</t>
        </is>
      </c>
      <c r="B4416" t="inlineStr">
        <is>
          <t>C1915</t>
        </is>
      </c>
      <c r="C4416" t="n">
        <v>2</v>
      </c>
      <c r="D4416" t="inlineStr">
        <is>
          <t>Hub B</t>
        </is>
      </c>
      <c r="E4416" t="n">
        <v>23</v>
      </c>
      <c r="F4416" t="n">
        <v>22</v>
      </c>
    </row>
    <row r="4417">
      <c r="A4417" t="inlineStr">
        <is>
          <t>ORD04416</t>
        </is>
      </c>
      <c r="B4417" t="inlineStr">
        <is>
          <t>C1916</t>
        </is>
      </c>
      <c r="C4417" t="n">
        <v>3</v>
      </c>
      <c r="D4417" t="inlineStr">
        <is>
          <t>Hub B</t>
        </is>
      </c>
      <c r="E4417" t="n">
        <v>30</v>
      </c>
      <c r="F4417" t="n">
        <v>22</v>
      </c>
    </row>
    <row r="4418">
      <c r="A4418" t="inlineStr">
        <is>
          <t>ORD04417</t>
        </is>
      </c>
      <c r="B4418" t="inlineStr">
        <is>
          <t>C1917</t>
        </is>
      </c>
      <c r="C4418" t="n">
        <v>1</v>
      </c>
      <c r="D4418" t="inlineStr">
        <is>
          <t>Hub B</t>
        </is>
      </c>
      <c r="E4418" t="n">
        <v>37</v>
      </c>
      <c r="F4418" t="n">
        <v>22</v>
      </c>
    </row>
    <row r="4419">
      <c r="A4419" t="inlineStr">
        <is>
          <t>ORD04418</t>
        </is>
      </c>
      <c r="B4419" t="inlineStr">
        <is>
          <t>C1918</t>
        </is>
      </c>
      <c r="C4419" t="n">
        <v>2</v>
      </c>
      <c r="D4419" t="inlineStr">
        <is>
          <t>Hub B</t>
        </is>
      </c>
      <c r="E4419" t="n">
        <v>44</v>
      </c>
      <c r="F4419" t="n">
        <v>22</v>
      </c>
    </row>
    <row r="4420">
      <c r="A4420" t="inlineStr">
        <is>
          <t>ORD04419</t>
        </is>
      </c>
      <c r="B4420" t="inlineStr">
        <is>
          <t>C1919</t>
        </is>
      </c>
      <c r="C4420" t="n">
        <v>3</v>
      </c>
      <c r="D4420" t="inlineStr">
        <is>
          <t>Hub B</t>
        </is>
      </c>
      <c r="E4420" t="n">
        <v>51</v>
      </c>
      <c r="F4420" t="n">
        <v>22</v>
      </c>
    </row>
    <row r="4421">
      <c r="A4421" t="inlineStr">
        <is>
          <t>ORD04420</t>
        </is>
      </c>
      <c r="B4421" t="inlineStr">
        <is>
          <t>C1920</t>
        </is>
      </c>
      <c r="C4421" t="n">
        <v>1</v>
      </c>
      <c r="D4421" t="inlineStr">
        <is>
          <t>Hub B</t>
        </is>
      </c>
      <c r="E4421" t="n">
        <v>58</v>
      </c>
      <c r="F4421" t="n">
        <v>22</v>
      </c>
    </row>
    <row r="4422">
      <c r="A4422" t="inlineStr">
        <is>
          <t>ORD04421</t>
        </is>
      </c>
      <c r="B4422" t="inlineStr">
        <is>
          <t>C1921</t>
        </is>
      </c>
      <c r="C4422" t="n">
        <v>2</v>
      </c>
      <c r="D4422" t="inlineStr">
        <is>
          <t>Hub B</t>
        </is>
      </c>
      <c r="E4422" t="n">
        <v>65</v>
      </c>
      <c r="F4422" t="n">
        <v>22</v>
      </c>
    </row>
    <row r="4423">
      <c r="A4423" t="inlineStr">
        <is>
          <t>ORD04422</t>
        </is>
      </c>
      <c r="B4423" t="inlineStr">
        <is>
          <t>C1922</t>
        </is>
      </c>
      <c r="C4423" t="n">
        <v>3</v>
      </c>
      <c r="D4423" t="inlineStr">
        <is>
          <t>Hub B</t>
        </is>
      </c>
      <c r="E4423" t="n">
        <v>72</v>
      </c>
      <c r="F4423" t="n">
        <v>22</v>
      </c>
    </row>
    <row r="4424">
      <c r="A4424" t="inlineStr">
        <is>
          <t>ORD04423</t>
        </is>
      </c>
      <c r="B4424" t="inlineStr">
        <is>
          <t>C1923</t>
        </is>
      </c>
      <c r="C4424" t="n">
        <v>1</v>
      </c>
      <c r="D4424" t="inlineStr">
        <is>
          <t>Hub B</t>
        </is>
      </c>
      <c r="E4424" t="n">
        <v>19</v>
      </c>
      <c r="F4424" t="n">
        <v>22</v>
      </c>
    </row>
    <row r="4425">
      <c r="A4425" t="inlineStr">
        <is>
          <t>ORD04424</t>
        </is>
      </c>
      <c r="B4425" t="inlineStr">
        <is>
          <t>C1924</t>
        </is>
      </c>
      <c r="C4425" t="n">
        <v>2</v>
      </c>
      <c r="D4425" t="inlineStr">
        <is>
          <t>Hub B</t>
        </is>
      </c>
      <c r="E4425" t="n">
        <v>26</v>
      </c>
      <c r="F4425" t="n">
        <v>22</v>
      </c>
    </row>
    <row r="4426">
      <c r="A4426" t="inlineStr">
        <is>
          <t>ORD04425</t>
        </is>
      </c>
      <c r="B4426" t="inlineStr">
        <is>
          <t>C1925</t>
        </is>
      </c>
      <c r="C4426" t="n">
        <v>3</v>
      </c>
      <c r="D4426" t="inlineStr">
        <is>
          <t>Hub B</t>
        </is>
      </c>
      <c r="E4426" t="n">
        <v>33</v>
      </c>
      <c r="F4426" t="n">
        <v>22</v>
      </c>
    </row>
    <row r="4427">
      <c r="A4427" t="inlineStr">
        <is>
          <t>ORD04426</t>
        </is>
      </c>
      <c r="B4427" t="inlineStr">
        <is>
          <t>C1926</t>
        </is>
      </c>
      <c r="C4427" t="n">
        <v>1</v>
      </c>
      <c r="D4427" t="inlineStr">
        <is>
          <t>Hub B</t>
        </is>
      </c>
      <c r="E4427" t="n">
        <v>40</v>
      </c>
      <c r="F4427" t="n">
        <v>22</v>
      </c>
    </row>
    <row r="4428">
      <c r="A4428" t="inlineStr">
        <is>
          <t>ORD04427</t>
        </is>
      </c>
      <c r="B4428" t="inlineStr">
        <is>
          <t>C1927</t>
        </is>
      </c>
      <c r="C4428" t="n">
        <v>2</v>
      </c>
      <c r="D4428" t="inlineStr">
        <is>
          <t>Hub B</t>
        </is>
      </c>
      <c r="E4428" t="n">
        <v>47</v>
      </c>
      <c r="F4428" t="n">
        <v>22</v>
      </c>
    </row>
    <row r="4429">
      <c r="A4429" t="inlineStr">
        <is>
          <t>ORD04428</t>
        </is>
      </c>
      <c r="B4429" t="inlineStr">
        <is>
          <t>C1928</t>
        </is>
      </c>
      <c r="C4429" t="n">
        <v>3</v>
      </c>
      <c r="D4429" t="inlineStr">
        <is>
          <t>Hub B</t>
        </is>
      </c>
      <c r="E4429" t="n">
        <v>54</v>
      </c>
      <c r="F4429" t="n">
        <v>22</v>
      </c>
    </row>
    <row r="4430">
      <c r="A4430" t="inlineStr">
        <is>
          <t>ORD04429</t>
        </is>
      </c>
      <c r="B4430" t="inlineStr">
        <is>
          <t>C1929</t>
        </is>
      </c>
      <c r="C4430" t="n">
        <v>1</v>
      </c>
      <c r="D4430" t="inlineStr">
        <is>
          <t>Hub B</t>
        </is>
      </c>
      <c r="E4430" t="n">
        <v>61</v>
      </c>
      <c r="F4430" t="n">
        <v>22</v>
      </c>
    </row>
    <row r="4431">
      <c r="A4431" t="inlineStr">
        <is>
          <t>ORD04430</t>
        </is>
      </c>
      <c r="B4431" t="inlineStr">
        <is>
          <t>C1930</t>
        </is>
      </c>
      <c r="C4431" t="n">
        <v>2</v>
      </c>
      <c r="D4431" t="inlineStr">
        <is>
          <t>Hub B</t>
        </is>
      </c>
      <c r="E4431" t="n">
        <v>68</v>
      </c>
      <c r="F4431" t="n">
        <v>22</v>
      </c>
    </row>
    <row r="4432">
      <c r="A4432" t="inlineStr">
        <is>
          <t>ORD04431</t>
        </is>
      </c>
      <c r="B4432" t="inlineStr">
        <is>
          <t>C1931</t>
        </is>
      </c>
      <c r="C4432" t="n">
        <v>3</v>
      </c>
      <c r="D4432" t="inlineStr">
        <is>
          <t>Hub B</t>
        </is>
      </c>
      <c r="E4432" t="n">
        <v>75</v>
      </c>
      <c r="F4432" t="n">
        <v>22</v>
      </c>
    </row>
    <row r="4433">
      <c r="A4433" t="inlineStr">
        <is>
          <t>ORD04432</t>
        </is>
      </c>
      <c r="B4433" t="inlineStr">
        <is>
          <t>C1932</t>
        </is>
      </c>
      <c r="C4433" t="n">
        <v>1</v>
      </c>
      <c r="D4433" t="inlineStr">
        <is>
          <t>Hub B</t>
        </is>
      </c>
      <c r="E4433" t="n">
        <v>22</v>
      </c>
      <c r="F4433" t="n">
        <v>22</v>
      </c>
    </row>
    <row r="4434">
      <c r="A4434" t="inlineStr">
        <is>
          <t>ORD04433</t>
        </is>
      </c>
      <c r="B4434" t="inlineStr">
        <is>
          <t>C1933</t>
        </is>
      </c>
      <c r="C4434" t="n">
        <v>2</v>
      </c>
      <c r="D4434" t="inlineStr">
        <is>
          <t>Hub B</t>
        </is>
      </c>
      <c r="E4434" t="n">
        <v>29</v>
      </c>
      <c r="F4434" t="n">
        <v>22</v>
      </c>
    </row>
    <row r="4435">
      <c r="A4435" t="inlineStr">
        <is>
          <t>ORD04434</t>
        </is>
      </c>
      <c r="B4435" t="inlineStr">
        <is>
          <t>C1934</t>
        </is>
      </c>
      <c r="C4435" t="n">
        <v>3</v>
      </c>
      <c r="D4435" t="inlineStr">
        <is>
          <t>Hub B</t>
        </is>
      </c>
      <c r="E4435" t="n">
        <v>36</v>
      </c>
      <c r="F4435" t="n">
        <v>22</v>
      </c>
    </row>
    <row r="4436">
      <c r="A4436" t="inlineStr">
        <is>
          <t>ORD04435</t>
        </is>
      </c>
      <c r="B4436" t="inlineStr">
        <is>
          <t>C1935</t>
        </is>
      </c>
      <c r="C4436" t="n">
        <v>1</v>
      </c>
      <c r="D4436" t="inlineStr">
        <is>
          <t>Hub B</t>
        </is>
      </c>
      <c r="E4436" t="n">
        <v>43</v>
      </c>
      <c r="F4436" t="n">
        <v>22</v>
      </c>
    </row>
    <row r="4437">
      <c r="A4437" t="inlineStr">
        <is>
          <t>ORD04436</t>
        </is>
      </c>
      <c r="B4437" t="inlineStr">
        <is>
          <t>C1936</t>
        </is>
      </c>
      <c r="C4437" t="n">
        <v>2</v>
      </c>
      <c r="D4437" t="inlineStr">
        <is>
          <t>Hub B</t>
        </is>
      </c>
      <c r="E4437" t="n">
        <v>50</v>
      </c>
      <c r="F4437" t="n">
        <v>22</v>
      </c>
    </row>
    <row r="4438">
      <c r="A4438" t="inlineStr">
        <is>
          <t>ORD04437</t>
        </is>
      </c>
      <c r="B4438" t="inlineStr">
        <is>
          <t>C1937</t>
        </is>
      </c>
      <c r="C4438" t="n">
        <v>3</v>
      </c>
      <c r="D4438" t="inlineStr">
        <is>
          <t>Hub B</t>
        </is>
      </c>
      <c r="E4438" t="n">
        <v>57</v>
      </c>
      <c r="F4438" t="n">
        <v>22</v>
      </c>
    </row>
    <row r="4439">
      <c r="A4439" t="inlineStr">
        <is>
          <t>ORD04438</t>
        </is>
      </c>
      <c r="B4439" t="inlineStr">
        <is>
          <t>C1938</t>
        </is>
      </c>
      <c r="C4439" t="n">
        <v>1</v>
      </c>
      <c r="D4439" t="inlineStr">
        <is>
          <t>Hub B</t>
        </is>
      </c>
      <c r="E4439" t="n">
        <v>64</v>
      </c>
      <c r="F4439" t="n">
        <v>22</v>
      </c>
    </row>
    <row r="4440">
      <c r="A4440" t="inlineStr">
        <is>
          <t>ORD04439</t>
        </is>
      </c>
      <c r="B4440" t="inlineStr">
        <is>
          <t>C1939</t>
        </is>
      </c>
      <c r="C4440" t="n">
        <v>2</v>
      </c>
      <c r="D4440" t="inlineStr">
        <is>
          <t>Hub B</t>
        </is>
      </c>
      <c r="E4440" t="n">
        <v>71</v>
      </c>
      <c r="F4440" t="n">
        <v>22</v>
      </c>
    </row>
    <row r="4441">
      <c r="A4441" t="inlineStr">
        <is>
          <t>ORD04440</t>
        </is>
      </c>
      <c r="B4441" t="inlineStr">
        <is>
          <t>C1940</t>
        </is>
      </c>
      <c r="C4441" t="n">
        <v>3</v>
      </c>
      <c r="D4441" t="inlineStr">
        <is>
          <t>Hub B</t>
        </is>
      </c>
      <c r="E4441" t="n">
        <v>18</v>
      </c>
      <c r="F4441" t="n">
        <v>22</v>
      </c>
    </row>
    <row r="4442">
      <c r="A4442" t="inlineStr">
        <is>
          <t>ORD04441</t>
        </is>
      </c>
      <c r="B4442" t="inlineStr">
        <is>
          <t>C1941</t>
        </is>
      </c>
      <c r="C4442" t="n">
        <v>1</v>
      </c>
      <c r="D4442" t="inlineStr">
        <is>
          <t>Hub B</t>
        </is>
      </c>
      <c r="E4442" t="n">
        <v>25</v>
      </c>
      <c r="F4442" t="n">
        <v>22</v>
      </c>
    </row>
    <row r="4443">
      <c r="A4443" t="inlineStr">
        <is>
          <t>ORD04442</t>
        </is>
      </c>
      <c r="B4443" t="inlineStr">
        <is>
          <t>C1942</t>
        </is>
      </c>
      <c r="C4443" t="n">
        <v>2</v>
      </c>
      <c r="D4443" t="inlineStr">
        <is>
          <t>Hub B</t>
        </is>
      </c>
      <c r="E4443" t="n">
        <v>32</v>
      </c>
      <c r="F4443" t="n">
        <v>22</v>
      </c>
    </row>
    <row r="4444">
      <c r="A4444" t="inlineStr">
        <is>
          <t>ORD04443</t>
        </is>
      </c>
      <c r="B4444" t="inlineStr">
        <is>
          <t>C1943</t>
        </is>
      </c>
      <c r="C4444" t="n">
        <v>3</v>
      </c>
      <c r="D4444" t="inlineStr">
        <is>
          <t>Hub B</t>
        </is>
      </c>
      <c r="E4444" t="n">
        <v>39</v>
      </c>
      <c r="F4444" t="n">
        <v>22</v>
      </c>
    </row>
    <row r="4445">
      <c r="A4445" t="inlineStr">
        <is>
          <t>ORD04444</t>
        </is>
      </c>
      <c r="B4445" t="inlineStr">
        <is>
          <t>C1944</t>
        </is>
      </c>
      <c r="C4445" t="n">
        <v>1</v>
      </c>
      <c r="D4445" t="inlineStr">
        <is>
          <t>Hub B</t>
        </is>
      </c>
      <c r="E4445" t="n">
        <v>46</v>
      </c>
      <c r="F4445" t="n">
        <v>22</v>
      </c>
    </row>
    <row r="4446">
      <c r="A4446" t="inlineStr">
        <is>
          <t>ORD04445</t>
        </is>
      </c>
      <c r="B4446" t="inlineStr">
        <is>
          <t>C1945</t>
        </is>
      </c>
      <c r="C4446" t="n">
        <v>2</v>
      </c>
      <c r="D4446" t="inlineStr">
        <is>
          <t>Hub B</t>
        </is>
      </c>
      <c r="E4446" t="n">
        <v>53</v>
      </c>
      <c r="F4446" t="n">
        <v>22</v>
      </c>
    </row>
    <row r="4447">
      <c r="A4447" t="inlineStr">
        <is>
          <t>ORD04446</t>
        </is>
      </c>
      <c r="B4447" t="inlineStr">
        <is>
          <t>C1946</t>
        </is>
      </c>
      <c r="C4447" t="n">
        <v>3</v>
      </c>
      <c r="D4447" t="inlineStr">
        <is>
          <t>Hub B</t>
        </is>
      </c>
      <c r="E4447" t="n">
        <v>60</v>
      </c>
      <c r="F4447" t="n">
        <v>22</v>
      </c>
    </row>
    <row r="4448">
      <c r="A4448" t="inlineStr">
        <is>
          <t>ORD04447</t>
        </is>
      </c>
      <c r="B4448" t="inlineStr">
        <is>
          <t>C1947</t>
        </is>
      </c>
      <c r="C4448" t="n">
        <v>1</v>
      </c>
      <c r="D4448" t="inlineStr">
        <is>
          <t>Hub B</t>
        </is>
      </c>
      <c r="E4448" t="n">
        <v>67</v>
      </c>
      <c r="F4448" t="n">
        <v>22</v>
      </c>
    </row>
    <row r="4449">
      <c r="A4449" t="inlineStr">
        <is>
          <t>ORD04448</t>
        </is>
      </c>
      <c r="B4449" t="inlineStr">
        <is>
          <t>C1948</t>
        </is>
      </c>
      <c r="C4449" t="n">
        <v>2</v>
      </c>
      <c r="D4449" t="inlineStr">
        <is>
          <t>Hub B</t>
        </is>
      </c>
      <c r="E4449" t="n">
        <v>74</v>
      </c>
      <c r="F4449" t="n">
        <v>22</v>
      </c>
    </row>
    <row r="4450">
      <c r="A4450" t="inlineStr">
        <is>
          <t>ORD04449</t>
        </is>
      </c>
      <c r="B4450" t="inlineStr">
        <is>
          <t>C1949</t>
        </is>
      </c>
      <c r="C4450" t="n">
        <v>3</v>
      </c>
      <c r="D4450" t="inlineStr">
        <is>
          <t>Hub B</t>
        </is>
      </c>
      <c r="E4450" t="n">
        <v>21</v>
      </c>
      <c r="F4450" t="n">
        <v>22</v>
      </c>
    </row>
    <row r="4451">
      <c r="A4451" t="inlineStr">
        <is>
          <t>ORD04450</t>
        </is>
      </c>
      <c r="B4451" t="inlineStr">
        <is>
          <t>C1950</t>
        </is>
      </c>
      <c r="C4451" t="n">
        <v>1</v>
      </c>
      <c r="D4451" t="inlineStr">
        <is>
          <t>Hub B</t>
        </is>
      </c>
      <c r="E4451" t="n">
        <v>28</v>
      </c>
      <c r="F4451" t="n">
        <v>22</v>
      </c>
    </row>
    <row r="4452">
      <c r="A4452" t="inlineStr">
        <is>
          <t>ORD04451</t>
        </is>
      </c>
      <c r="B4452" t="inlineStr">
        <is>
          <t>C1951</t>
        </is>
      </c>
      <c r="C4452" t="n">
        <v>2</v>
      </c>
      <c r="D4452" t="inlineStr">
        <is>
          <t>Hub B</t>
        </is>
      </c>
      <c r="E4452" t="n">
        <v>35</v>
      </c>
      <c r="F4452" t="n">
        <v>22</v>
      </c>
    </row>
    <row r="4453">
      <c r="A4453" t="inlineStr">
        <is>
          <t>ORD04452</t>
        </is>
      </c>
      <c r="B4453" t="inlineStr">
        <is>
          <t>C1952</t>
        </is>
      </c>
      <c r="C4453" t="n">
        <v>3</v>
      </c>
      <c r="D4453" t="inlineStr">
        <is>
          <t>Hub B</t>
        </is>
      </c>
      <c r="E4453" t="n">
        <v>42</v>
      </c>
      <c r="F4453" t="n">
        <v>22</v>
      </c>
    </row>
    <row r="4454">
      <c r="A4454" t="inlineStr">
        <is>
          <t>ORD04453</t>
        </is>
      </c>
      <c r="B4454" t="inlineStr">
        <is>
          <t>C1953</t>
        </is>
      </c>
      <c r="C4454" t="n">
        <v>1</v>
      </c>
      <c r="D4454" t="inlineStr">
        <is>
          <t>Hub B</t>
        </is>
      </c>
      <c r="E4454" t="n">
        <v>49</v>
      </c>
      <c r="F4454" t="n">
        <v>22</v>
      </c>
    </row>
    <row r="4455">
      <c r="A4455" t="inlineStr">
        <is>
          <t>ORD04454</t>
        </is>
      </c>
      <c r="B4455" t="inlineStr">
        <is>
          <t>C1954</t>
        </is>
      </c>
      <c r="C4455" t="n">
        <v>2</v>
      </c>
      <c r="D4455" t="inlineStr">
        <is>
          <t>Hub B</t>
        </is>
      </c>
      <c r="E4455" t="n">
        <v>56</v>
      </c>
      <c r="F4455" t="n">
        <v>22</v>
      </c>
    </row>
    <row r="4456">
      <c r="A4456" t="inlineStr">
        <is>
          <t>ORD04455</t>
        </is>
      </c>
      <c r="B4456" t="inlineStr">
        <is>
          <t>C1955</t>
        </is>
      </c>
      <c r="C4456" t="n">
        <v>3</v>
      </c>
      <c r="D4456" t="inlineStr">
        <is>
          <t>Hub B</t>
        </is>
      </c>
      <c r="E4456" t="n">
        <v>63</v>
      </c>
      <c r="F4456" t="n">
        <v>22</v>
      </c>
    </row>
    <row r="4457">
      <c r="A4457" t="inlineStr">
        <is>
          <t>ORD04456</t>
        </is>
      </c>
      <c r="B4457" t="inlineStr">
        <is>
          <t>C1956</t>
        </is>
      </c>
      <c r="C4457" t="n">
        <v>1</v>
      </c>
      <c r="D4457" t="inlineStr">
        <is>
          <t>Hub B</t>
        </is>
      </c>
      <c r="E4457" t="n">
        <v>70</v>
      </c>
      <c r="F4457" t="n">
        <v>22</v>
      </c>
    </row>
    <row r="4458">
      <c r="A4458" t="inlineStr">
        <is>
          <t>ORD04457</t>
        </is>
      </c>
      <c r="B4458" t="inlineStr">
        <is>
          <t>C1957</t>
        </is>
      </c>
      <c r="C4458" t="n">
        <v>2</v>
      </c>
      <c r="D4458" t="inlineStr">
        <is>
          <t>Hub B</t>
        </is>
      </c>
      <c r="E4458" t="n">
        <v>77</v>
      </c>
      <c r="F4458" t="n">
        <v>22</v>
      </c>
    </row>
    <row r="4459">
      <c r="A4459" t="inlineStr">
        <is>
          <t>ORD04458</t>
        </is>
      </c>
      <c r="B4459" t="inlineStr">
        <is>
          <t>C1958</t>
        </is>
      </c>
      <c r="C4459" t="n">
        <v>3</v>
      </c>
      <c r="D4459" t="inlineStr">
        <is>
          <t>Hub B</t>
        </is>
      </c>
      <c r="E4459" t="n">
        <v>24</v>
      </c>
      <c r="F4459" t="n">
        <v>22</v>
      </c>
    </row>
    <row r="4460">
      <c r="A4460" t="inlineStr">
        <is>
          <t>ORD04459</t>
        </is>
      </c>
      <c r="B4460" t="inlineStr">
        <is>
          <t>C1959</t>
        </is>
      </c>
      <c r="C4460" t="n">
        <v>1</v>
      </c>
      <c r="D4460" t="inlineStr">
        <is>
          <t>Hub B</t>
        </is>
      </c>
      <c r="E4460" t="n">
        <v>31</v>
      </c>
      <c r="F4460" t="n">
        <v>22</v>
      </c>
    </row>
    <row r="4461">
      <c r="A4461" t="inlineStr">
        <is>
          <t>ORD04460</t>
        </is>
      </c>
      <c r="B4461" t="inlineStr">
        <is>
          <t>C1960</t>
        </is>
      </c>
      <c r="C4461" t="n">
        <v>2</v>
      </c>
      <c r="D4461" t="inlineStr">
        <is>
          <t>Hub B</t>
        </is>
      </c>
      <c r="E4461" t="n">
        <v>38</v>
      </c>
      <c r="F4461" t="n">
        <v>22</v>
      </c>
    </row>
    <row r="4462">
      <c r="A4462" t="inlineStr">
        <is>
          <t>ORD04461</t>
        </is>
      </c>
      <c r="B4462" t="inlineStr">
        <is>
          <t>C1961</t>
        </is>
      </c>
      <c r="C4462" t="n">
        <v>3</v>
      </c>
      <c r="D4462" t="inlineStr">
        <is>
          <t>Hub B</t>
        </is>
      </c>
      <c r="E4462" t="n">
        <v>45</v>
      </c>
      <c r="F4462" t="n">
        <v>22</v>
      </c>
    </row>
    <row r="4463">
      <c r="A4463" t="inlineStr">
        <is>
          <t>ORD04462</t>
        </is>
      </c>
      <c r="B4463" t="inlineStr">
        <is>
          <t>C1962</t>
        </is>
      </c>
      <c r="C4463" t="n">
        <v>1</v>
      </c>
      <c r="D4463" t="inlineStr">
        <is>
          <t>Hub B</t>
        </is>
      </c>
      <c r="E4463" t="n">
        <v>52</v>
      </c>
      <c r="F4463" t="n">
        <v>22</v>
      </c>
    </row>
    <row r="4464">
      <c r="A4464" t="inlineStr">
        <is>
          <t>ORD04463</t>
        </is>
      </c>
      <c r="B4464" t="inlineStr">
        <is>
          <t>C1963</t>
        </is>
      </c>
      <c r="C4464" t="n">
        <v>2</v>
      </c>
      <c r="D4464" t="inlineStr">
        <is>
          <t>Hub B</t>
        </is>
      </c>
      <c r="E4464" t="n">
        <v>59</v>
      </c>
      <c r="F4464" t="n">
        <v>22</v>
      </c>
    </row>
    <row r="4465">
      <c r="A4465" t="inlineStr">
        <is>
          <t>ORD04464</t>
        </is>
      </c>
      <c r="B4465" t="inlineStr">
        <is>
          <t>C1964</t>
        </is>
      </c>
      <c r="C4465" t="n">
        <v>3</v>
      </c>
      <c r="D4465" t="inlineStr">
        <is>
          <t>Hub B</t>
        </is>
      </c>
      <c r="E4465" t="n">
        <v>66</v>
      </c>
      <c r="F4465" t="n">
        <v>22</v>
      </c>
    </row>
    <row r="4466">
      <c r="A4466" t="inlineStr">
        <is>
          <t>ORD04465</t>
        </is>
      </c>
      <c r="B4466" t="inlineStr">
        <is>
          <t>C1965</t>
        </is>
      </c>
      <c r="C4466" t="n">
        <v>1</v>
      </c>
      <c r="D4466" t="inlineStr">
        <is>
          <t>Hub B</t>
        </is>
      </c>
      <c r="E4466" t="n">
        <v>73</v>
      </c>
      <c r="F4466" t="n">
        <v>22</v>
      </c>
    </row>
    <row r="4467">
      <c r="A4467" t="inlineStr">
        <is>
          <t>ORD04466</t>
        </is>
      </c>
      <c r="B4467" t="inlineStr">
        <is>
          <t>C1966</t>
        </is>
      </c>
      <c r="C4467" t="n">
        <v>2</v>
      </c>
      <c r="D4467" t="inlineStr">
        <is>
          <t>Hub B</t>
        </is>
      </c>
      <c r="E4467" t="n">
        <v>20</v>
      </c>
      <c r="F4467" t="n">
        <v>22</v>
      </c>
    </row>
    <row r="4468">
      <c r="A4468" t="inlineStr">
        <is>
          <t>ORD04467</t>
        </is>
      </c>
      <c r="B4468" t="inlineStr">
        <is>
          <t>C1967</t>
        </is>
      </c>
      <c r="C4468" t="n">
        <v>3</v>
      </c>
      <c r="D4468" t="inlineStr">
        <is>
          <t>Hub B</t>
        </is>
      </c>
      <c r="E4468" t="n">
        <v>27</v>
      </c>
      <c r="F4468" t="n">
        <v>22</v>
      </c>
    </row>
    <row r="4469">
      <c r="A4469" t="inlineStr">
        <is>
          <t>ORD04468</t>
        </is>
      </c>
      <c r="B4469" t="inlineStr">
        <is>
          <t>C1968</t>
        </is>
      </c>
      <c r="C4469" t="n">
        <v>1</v>
      </c>
      <c r="D4469" t="inlineStr">
        <is>
          <t>Hub B</t>
        </is>
      </c>
      <c r="E4469" t="n">
        <v>34</v>
      </c>
      <c r="F4469" t="n">
        <v>22</v>
      </c>
    </row>
    <row r="4470">
      <c r="A4470" t="inlineStr">
        <is>
          <t>ORD04469</t>
        </is>
      </c>
      <c r="B4470" t="inlineStr">
        <is>
          <t>C1969</t>
        </is>
      </c>
      <c r="C4470" t="n">
        <v>2</v>
      </c>
      <c r="D4470" t="inlineStr">
        <is>
          <t>Hub B</t>
        </is>
      </c>
      <c r="E4470" t="n">
        <v>41</v>
      </c>
      <c r="F4470" t="n">
        <v>22</v>
      </c>
    </row>
    <row r="4471">
      <c r="A4471" t="inlineStr">
        <is>
          <t>ORD04470</t>
        </is>
      </c>
      <c r="B4471" t="inlineStr">
        <is>
          <t>C1970</t>
        </is>
      </c>
      <c r="C4471" t="n">
        <v>3</v>
      </c>
      <c r="D4471" t="inlineStr">
        <is>
          <t>Hub B</t>
        </is>
      </c>
      <c r="E4471" t="n">
        <v>48</v>
      </c>
      <c r="F4471" t="n">
        <v>22</v>
      </c>
    </row>
    <row r="4472">
      <c r="A4472" t="inlineStr">
        <is>
          <t>ORD04471</t>
        </is>
      </c>
      <c r="B4472" t="inlineStr">
        <is>
          <t>C1971</t>
        </is>
      </c>
      <c r="C4472" t="n">
        <v>1</v>
      </c>
      <c r="D4472" t="inlineStr">
        <is>
          <t>Hub B</t>
        </is>
      </c>
      <c r="E4472" t="n">
        <v>55</v>
      </c>
      <c r="F4472" t="n">
        <v>22</v>
      </c>
    </row>
    <row r="4473">
      <c r="A4473" t="inlineStr">
        <is>
          <t>ORD04472</t>
        </is>
      </c>
      <c r="B4473" t="inlineStr">
        <is>
          <t>C1972</t>
        </is>
      </c>
      <c r="C4473" t="n">
        <v>2</v>
      </c>
      <c r="D4473" t="inlineStr">
        <is>
          <t>Hub B</t>
        </is>
      </c>
      <c r="E4473" t="n">
        <v>62</v>
      </c>
      <c r="F4473" t="n">
        <v>22</v>
      </c>
    </row>
    <row r="4474">
      <c r="A4474" t="inlineStr">
        <is>
          <t>ORD04473</t>
        </is>
      </c>
      <c r="B4474" t="inlineStr">
        <is>
          <t>C1973</t>
        </is>
      </c>
      <c r="C4474" t="n">
        <v>3</v>
      </c>
      <c r="D4474" t="inlineStr">
        <is>
          <t>Hub B</t>
        </is>
      </c>
      <c r="E4474" t="n">
        <v>69</v>
      </c>
      <c r="F4474" t="n">
        <v>22</v>
      </c>
    </row>
    <row r="4475">
      <c r="A4475" t="inlineStr">
        <is>
          <t>ORD04474</t>
        </is>
      </c>
      <c r="B4475" t="inlineStr">
        <is>
          <t>C1974</t>
        </is>
      </c>
      <c r="C4475" t="n">
        <v>1</v>
      </c>
      <c r="D4475" t="inlineStr">
        <is>
          <t>Hub B</t>
        </is>
      </c>
      <c r="E4475" t="n">
        <v>76</v>
      </c>
      <c r="F4475" t="n">
        <v>22</v>
      </c>
    </row>
    <row r="4476">
      <c r="A4476" t="inlineStr">
        <is>
          <t>ORD04475</t>
        </is>
      </c>
      <c r="B4476" t="inlineStr">
        <is>
          <t>C1975</t>
        </is>
      </c>
      <c r="C4476" t="n">
        <v>2</v>
      </c>
      <c r="D4476" t="inlineStr">
        <is>
          <t>Hub B</t>
        </is>
      </c>
      <c r="E4476" t="n">
        <v>23</v>
      </c>
      <c r="F4476" t="n">
        <v>22</v>
      </c>
    </row>
    <row r="4477">
      <c r="A4477" t="inlineStr">
        <is>
          <t>ORD04476</t>
        </is>
      </c>
      <c r="B4477" t="inlineStr">
        <is>
          <t>C1976</t>
        </is>
      </c>
      <c r="C4477" t="n">
        <v>3</v>
      </c>
      <c r="D4477" t="inlineStr">
        <is>
          <t>Hub B</t>
        </is>
      </c>
      <c r="E4477" t="n">
        <v>30</v>
      </c>
      <c r="F4477" t="n">
        <v>22</v>
      </c>
    </row>
    <row r="4478">
      <c r="A4478" t="inlineStr">
        <is>
          <t>ORD04477</t>
        </is>
      </c>
      <c r="B4478" t="inlineStr">
        <is>
          <t>C1977</t>
        </is>
      </c>
      <c r="C4478" t="n">
        <v>1</v>
      </c>
      <c r="D4478" t="inlineStr">
        <is>
          <t>Hub B</t>
        </is>
      </c>
      <c r="E4478" t="n">
        <v>37</v>
      </c>
      <c r="F4478" t="n">
        <v>22</v>
      </c>
    </row>
    <row r="4479">
      <c r="A4479" t="inlineStr">
        <is>
          <t>ORD04478</t>
        </is>
      </c>
      <c r="B4479" t="inlineStr">
        <is>
          <t>C1978</t>
        </is>
      </c>
      <c r="C4479" t="n">
        <v>2</v>
      </c>
      <c r="D4479" t="inlineStr">
        <is>
          <t>Hub B</t>
        </is>
      </c>
      <c r="E4479" t="n">
        <v>44</v>
      </c>
      <c r="F4479" t="n">
        <v>22</v>
      </c>
    </row>
    <row r="4480">
      <c r="A4480" t="inlineStr">
        <is>
          <t>ORD04479</t>
        </is>
      </c>
      <c r="B4480" t="inlineStr">
        <is>
          <t>C1979</t>
        </is>
      </c>
      <c r="C4480" t="n">
        <v>3</v>
      </c>
      <c r="D4480" t="inlineStr">
        <is>
          <t>Hub B</t>
        </is>
      </c>
      <c r="E4480" t="n">
        <v>51</v>
      </c>
      <c r="F4480" t="n">
        <v>22</v>
      </c>
    </row>
    <row r="4481">
      <c r="A4481" t="inlineStr">
        <is>
          <t>ORD04480</t>
        </is>
      </c>
      <c r="B4481" t="inlineStr">
        <is>
          <t>C1980</t>
        </is>
      </c>
      <c r="C4481" t="n">
        <v>1</v>
      </c>
      <c r="D4481" t="inlineStr">
        <is>
          <t>Hub B</t>
        </is>
      </c>
      <c r="E4481" t="n">
        <v>58</v>
      </c>
      <c r="F4481" t="n">
        <v>22</v>
      </c>
    </row>
    <row r="4482">
      <c r="A4482" t="inlineStr">
        <is>
          <t>ORD04481</t>
        </is>
      </c>
      <c r="B4482" t="inlineStr">
        <is>
          <t>C1981</t>
        </is>
      </c>
      <c r="C4482" t="n">
        <v>2</v>
      </c>
      <c r="D4482" t="inlineStr">
        <is>
          <t>Hub B</t>
        </is>
      </c>
      <c r="E4482" t="n">
        <v>65</v>
      </c>
      <c r="F4482" t="n">
        <v>22</v>
      </c>
    </row>
    <row r="4483">
      <c r="A4483" t="inlineStr">
        <is>
          <t>ORD04482</t>
        </is>
      </c>
      <c r="B4483" t="inlineStr">
        <is>
          <t>C1982</t>
        </is>
      </c>
      <c r="C4483" t="n">
        <v>3</v>
      </c>
      <c r="D4483" t="inlineStr">
        <is>
          <t>Hub B</t>
        </is>
      </c>
      <c r="E4483" t="n">
        <v>72</v>
      </c>
      <c r="F4483" t="n">
        <v>22</v>
      </c>
    </row>
    <row r="4484">
      <c r="A4484" t="inlineStr">
        <is>
          <t>ORD04483</t>
        </is>
      </c>
      <c r="B4484" t="inlineStr">
        <is>
          <t>C1983</t>
        </is>
      </c>
      <c r="C4484" t="n">
        <v>1</v>
      </c>
      <c r="D4484" t="inlineStr">
        <is>
          <t>Hub B</t>
        </is>
      </c>
      <c r="E4484" t="n">
        <v>19</v>
      </c>
      <c r="F4484" t="n">
        <v>22</v>
      </c>
    </row>
    <row r="4485">
      <c r="A4485" t="inlineStr">
        <is>
          <t>ORD04484</t>
        </is>
      </c>
      <c r="B4485" t="inlineStr">
        <is>
          <t>C1984</t>
        </is>
      </c>
      <c r="C4485" t="n">
        <v>2</v>
      </c>
      <c r="D4485" t="inlineStr">
        <is>
          <t>Hub B</t>
        </is>
      </c>
      <c r="E4485" t="n">
        <v>26</v>
      </c>
      <c r="F4485" t="n">
        <v>22</v>
      </c>
    </row>
    <row r="4486">
      <c r="A4486" t="inlineStr">
        <is>
          <t>ORD04485</t>
        </is>
      </c>
      <c r="B4486" t="inlineStr">
        <is>
          <t>C1985</t>
        </is>
      </c>
      <c r="C4486" t="n">
        <v>3</v>
      </c>
      <c r="D4486" t="inlineStr">
        <is>
          <t>Hub B</t>
        </is>
      </c>
      <c r="E4486" t="n">
        <v>33</v>
      </c>
      <c r="F4486" t="n">
        <v>22</v>
      </c>
    </row>
    <row r="4487">
      <c r="A4487" t="inlineStr">
        <is>
          <t>ORD04486</t>
        </is>
      </c>
      <c r="B4487" t="inlineStr">
        <is>
          <t>C1986</t>
        </is>
      </c>
      <c r="C4487" t="n">
        <v>1</v>
      </c>
      <c r="D4487" t="inlineStr">
        <is>
          <t>Hub B</t>
        </is>
      </c>
      <c r="E4487" t="n">
        <v>40</v>
      </c>
      <c r="F4487" t="n">
        <v>22</v>
      </c>
    </row>
    <row r="4488">
      <c r="A4488" t="inlineStr">
        <is>
          <t>ORD04487</t>
        </is>
      </c>
      <c r="B4488" t="inlineStr">
        <is>
          <t>C1987</t>
        </is>
      </c>
      <c r="C4488" t="n">
        <v>2</v>
      </c>
      <c r="D4488" t="inlineStr">
        <is>
          <t>Hub B</t>
        </is>
      </c>
      <c r="E4488" t="n">
        <v>47</v>
      </c>
      <c r="F4488" t="n">
        <v>22</v>
      </c>
    </row>
    <row r="4489">
      <c r="A4489" t="inlineStr">
        <is>
          <t>ORD04488</t>
        </is>
      </c>
      <c r="B4489" t="inlineStr">
        <is>
          <t>C1988</t>
        </is>
      </c>
      <c r="C4489" t="n">
        <v>3</v>
      </c>
      <c r="D4489" t="inlineStr">
        <is>
          <t>Hub B</t>
        </is>
      </c>
      <c r="E4489" t="n">
        <v>54</v>
      </c>
      <c r="F4489" t="n">
        <v>22</v>
      </c>
    </row>
    <row r="4490">
      <c r="A4490" t="inlineStr">
        <is>
          <t>ORD04489</t>
        </is>
      </c>
      <c r="B4490" t="inlineStr">
        <is>
          <t>C1989</t>
        </is>
      </c>
      <c r="C4490" t="n">
        <v>1</v>
      </c>
      <c r="D4490" t="inlineStr">
        <is>
          <t>Hub B</t>
        </is>
      </c>
      <c r="E4490" t="n">
        <v>61</v>
      </c>
      <c r="F4490" t="n">
        <v>22</v>
      </c>
    </row>
    <row r="4491">
      <c r="A4491" t="inlineStr">
        <is>
          <t>ORD04490</t>
        </is>
      </c>
      <c r="B4491" t="inlineStr">
        <is>
          <t>C1990</t>
        </is>
      </c>
      <c r="C4491" t="n">
        <v>2</v>
      </c>
      <c r="D4491" t="inlineStr">
        <is>
          <t>Hub B</t>
        </is>
      </c>
      <c r="E4491" t="n">
        <v>68</v>
      </c>
      <c r="F4491" t="n">
        <v>22</v>
      </c>
    </row>
    <row r="4492">
      <c r="A4492" t="inlineStr">
        <is>
          <t>ORD04491</t>
        </is>
      </c>
      <c r="B4492" t="inlineStr">
        <is>
          <t>C1991</t>
        </is>
      </c>
      <c r="C4492" t="n">
        <v>3</v>
      </c>
      <c r="D4492" t="inlineStr">
        <is>
          <t>Hub B</t>
        </is>
      </c>
      <c r="E4492" t="n">
        <v>75</v>
      </c>
      <c r="F4492" t="n">
        <v>22</v>
      </c>
    </row>
    <row r="4493">
      <c r="A4493" t="inlineStr">
        <is>
          <t>ORD04492</t>
        </is>
      </c>
      <c r="B4493" t="inlineStr">
        <is>
          <t>C1992</t>
        </is>
      </c>
      <c r="C4493" t="n">
        <v>1</v>
      </c>
      <c r="D4493" t="inlineStr">
        <is>
          <t>Hub B</t>
        </is>
      </c>
      <c r="E4493" t="n">
        <v>22</v>
      </c>
      <c r="F4493" t="n">
        <v>22</v>
      </c>
    </row>
    <row r="4494">
      <c r="A4494" t="inlineStr">
        <is>
          <t>ORD04493</t>
        </is>
      </c>
      <c r="B4494" t="inlineStr">
        <is>
          <t>C1993</t>
        </is>
      </c>
      <c r="C4494" t="n">
        <v>2</v>
      </c>
      <c r="D4494" t="inlineStr">
        <is>
          <t>Hub B</t>
        </is>
      </c>
      <c r="E4494" t="n">
        <v>29</v>
      </c>
      <c r="F4494" t="n">
        <v>22</v>
      </c>
    </row>
    <row r="4495">
      <c r="A4495" t="inlineStr">
        <is>
          <t>ORD04494</t>
        </is>
      </c>
      <c r="B4495" t="inlineStr">
        <is>
          <t>C1994</t>
        </is>
      </c>
      <c r="C4495" t="n">
        <v>3</v>
      </c>
      <c r="D4495" t="inlineStr">
        <is>
          <t>Hub B</t>
        </is>
      </c>
      <c r="E4495" t="n">
        <v>36</v>
      </c>
      <c r="F4495" t="n">
        <v>22</v>
      </c>
    </row>
    <row r="4496">
      <c r="A4496" t="inlineStr">
        <is>
          <t>ORD04495</t>
        </is>
      </c>
      <c r="B4496" t="inlineStr">
        <is>
          <t>C1995</t>
        </is>
      </c>
      <c r="C4496" t="n">
        <v>1</v>
      </c>
      <c r="D4496" t="inlineStr">
        <is>
          <t>Hub B</t>
        </is>
      </c>
      <c r="E4496" t="n">
        <v>43</v>
      </c>
      <c r="F4496" t="n">
        <v>22</v>
      </c>
    </row>
    <row r="4497">
      <c r="A4497" t="inlineStr">
        <is>
          <t>ORD04496</t>
        </is>
      </c>
      <c r="B4497" t="inlineStr">
        <is>
          <t>C1996</t>
        </is>
      </c>
      <c r="C4497" t="n">
        <v>2</v>
      </c>
      <c r="D4497" t="inlineStr">
        <is>
          <t>Hub B</t>
        </is>
      </c>
      <c r="E4497" t="n">
        <v>50</v>
      </c>
      <c r="F4497" t="n">
        <v>22</v>
      </c>
    </row>
    <row r="4498">
      <c r="A4498" t="inlineStr">
        <is>
          <t>ORD04497</t>
        </is>
      </c>
      <c r="B4498" t="inlineStr">
        <is>
          <t>C1997</t>
        </is>
      </c>
      <c r="C4498" t="n">
        <v>3</v>
      </c>
      <c r="D4498" t="inlineStr">
        <is>
          <t>Hub B</t>
        </is>
      </c>
      <c r="E4498" t="n">
        <v>57</v>
      </c>
      <c r="F4498" t="n">
        <v>22</v>
      </c>
    </row>
    <row r="4499">
      <c r="A4499" t="inlineStr">
        <is>
          <t>ORD04498</t>
        </is>
      </c>
      <c r="B4499" t="inlineStr">
        <is>
          <t>C1998</t>
        </is>
      </c>
      <c r="C4499" t="n">
        <v>1</v>
      </c>
      <c r="D4499" t="inlineStr">
        <is>
          <t>Hub B</t>
        </is>
      </c>
      <c r="E4499" t="n">
        <v>64</v>
      </c>
      <c r="F4499" t="n">
        <v>22</v>
      </c>
    </row>
    <row r="4500">
      <c r="A4500" t="inlineStr">
        <is>
          <t>ORD04499</t>
        </is>
      </c>
      <c r="B4500" t="inlineStr">
        <is>
          <t>C1999</t>
        </is>
      </c>
      <c r="C4500" t="n">
        <v>2</v>
      </c>
      <c r="D4500" t="inlineStr">
        <is>
          <t>Hub B</t>
        </is>
      </c>
      <c r="E4500" t="n">
        <v>71</v>
      </c>
      <c r="F4500" t="n">
        <v>22</v>
      </c>
    </row>
    <row r="4501">
      <c r="A4501" t="inlineStr">
        <is>
          <t>ORD04500</t>
        </is>
      </c>
      <c r="B4501" t="inlineStr">
        <is>
          <t>C2000</t>
        </is>
      </c>
      <c r="C4501" t="n">
        <v>3</v>
      </c>
      <c r="D4501" t="inlineStr">
        <is>
          <t>Hub B</t>
        </is>
      </c>
      <c r="E4501" t="n">
        <v>18</v>
      </c>
      <c r="F4501" t="n">
        <v>22</v>
      </c>
    </row>
    <row r="4502">
      <c r="A4502" t="inlineStr">
        <is>
          <t>ORD04501</t>
        </is>
      </c>
      <c r="B4502" t="inlineStr">
        <is>
          <t>C2001</t>
        </is>
      </c>
      <c r="C4502" t="n">
        <v>1</v>
      </c>
      <c r="D4502" t="inlineStr">
        <is>
          <t>Hub B</t>
        </is>
      </c>
      <c r="E4502" t="n">
        <v>25</v>
      </c>
      <c r="F4502" t="n">
        <v>22</v>
      </c>
    </row>
    <row r="4503">
      <c r="A4503" t="inlineStr">
        <is>
          <t>ORD04502</t>
        </is>
      </c>
      <c r="B4503" t="inlineStr">
        <is>
          <t>C2002</t>
        </is>
      </c>
      <c r="C4503" t="n">
        <v>2</v>
      </c>
      <c r="D4503" t="inlineStr">
        <is>
          <t>Hub B</t>
        </is>
      </c>
      <c r="E4503" t="n">
        <v>32</v>
      </c>
      <c r="F4503" t="n">
        <v>22</v>
      </c>
    </row>
    <row r="4504">
      <c r="A4504" t="inlineStr">
        <is>
          <t>ORD04503</t>
        </is>
      </c>
      <c r="B4504" t="inlineStr">
        <is>
          <t>C2003</t>
        </is>
      </c>
      <c r="C4504" t="n">
        <v>3</v>
      </c>
      <c r="D4504" t="inlineStr">
        <is>
          <t>Hub B</t>
        </is>
      </c>
      <c r="E4504" t="n">
        <v>39</v>
      </c>
      <c r="F4504" t="n">
        <v>22</v>
      </c>
    </row>
    <row r="4505">
      <c r="A4505" t="inlineStr">
        <is>
          <t>ORD04504</t>
        </is>
      </c>
      <c r="B4505" t="inlineStr">
        <is>
          <t>C2004</t>
        </is>
      </c>
      <c r="C4505" t="n">
        <v>1</v>
      </c>
      <c r="D4505" t="inlineStr">
        <is>
          <t>Hub B</t>
        </is>
      </c>
      <c r="E4505" t="n">
        <v>46</v>
      </c>
      <c r="F4505" t="n">
        <v>22</v>
      </c>
    </row>
    <row r="4506">
      <c r="A4506" t="inlineStr">
        <is>
          <t>ORD04505</t>
        </is>
      </c>
      <c r="B4506" t="inlineStr">
        <is>
          <t>C2005</t>
        </is>
      </c>
      <c r="C4506" t="n">
        <v>2</v>
      </c>
      <c r="D4506" t="inlineStr">
        <is>
          <t>Hub B</t>
        </is>
      </c>
      <c r="E4506" t="n">
        <v>53</v>
      </c>
      <c r="F4506" t="n">
        <v>22</v>
      </c>
    </row>
    <row r="4507">
      <c r="A4507" t="inlineStr">
        <is>
          <t>ORD04506</t>
        </is>
      </c>
      <c r="B4507" t="inlineStr">
        <is>
          <t>C2006</t>
        </is>
      </c>
      <c r="C4507" t="n">
        <v>3</v>
      </c>
      <c r="D4507" t="inlineStr">
        <is>
          <t>Hub B</t>
        </is>
      </c>
      <c r="E4507" t="n">
        <v>60</v>
      </c>
      <c r="F4507" t="n">
        <v>22</v>
      </c>
    </row>
    <row r="4508">
      <c r="A4508" t="inlineStr">
        <is>
          <t>ORD04507</t>
        </is>
      </c>
      <c r="B4508" t="inlineStr">
        <is>
          <t>C2007</t>
        </is>
      </c>
      <c r="C4508" t="n">
        <v>1</v>
      </c>
      <c r="D4508" t="inlineStr">
        <is>
          <t>Hub B</t>
        </is>
      </c>
      <c r="E4508" t="n">
        <v>67</v>
      </c>
      <c r="F4508" t="n">
        <v>22</v>
      </c>
    </row>
    <row r="4509">
      <c r="A4509" t="inlineStr">
        <is>
          <t>ORD04508</t>
        </is>
      </c>
      <c r="B4509" t="inlineStr">
        <is>
          <t>C2008</t>
        </is>
      </c>
      <c r="C4509" t="n">
        <v>2</v>
      </c>
      <c r="D4509" t="inlineStr">
        <is>
          <t>Hub B</t>
        </is>
      </c>
      <c r="E4509" t="n">
        <v>74</v>
      </c>
      <c r="F4509" t="n">
        <v>22</v>
      </c>
    </row>
    <row r="4510">
      <c r="A4510" t="inlineStr">
        <is>
          <t>ORD04509</t>
        </is>
      </c>
      <c r="B4510" t="inlineStr">
        <is>
          <t>C2009</t>
        </is>
      </c>
      <c r="C4510" t="n">
        <v>3</v>
      </c>
      <c r="D4510" t="inlineStr">
        <is>
          <t>Hub B</t>
        </is>
      </c>
      <c r="E4510" t="n">
        <v>21</v>
      </c>
      <c r="F4510" t="n">
        <v>22</v>
      </c>
    </row>
    <row r="4511">
      <c r="A4511" t="inlineStr">
        <is>
          <t>ORD04510</t>
        </is>
      </c>
      <c r="B4511" t="inlineStr">
        <is>
          <t>C2010</t>
        </is>
      </c>
      <c r="C4511" t="n">
        <v>1</v>
      </c>
      <c r="D4511" t="inlineStr">
        <is>
          <t>Hub B</t>
        </is>
      </c>
      <c r="E4511" t="n">
        <v>28</v>
      </c>
      <c r="F4511" t="n">
        <v>22</v>
      </c>
    </row>
    <row r="4512">
      <c r="A4512" t="inlineStr">
        <is>
          <t>ORD04511</t>
        </is>
      </c>
      <c r="B4512" t="inlineStr">
        <is>
          <t>C2011</t>
        </is>
      </c>
      <c r="C4512" t="n">
        <v>2</v>
      </c>
      <c r="D4512" t="inlineStr">
        <is>
          <t>Hub B</t>
        </is>
      </c>
      <c r="E4512" t="n">
        <v>35</v>
      </c>
      <c r="F4512" t="n">
        <v>22</v>
      </c>
    </row>
    <row r="4513">
      <c r="A4513" t="inlineStr">
        <is>
          <t>ORD04512</t>
        </is>
      </c>
      <c r="B4513" t="inlineStr">
        <is>
          <t>C2012</t>
        </is>
      </c>
      <c r="C4513" t="n">
        <v>3</v>
      </c>
      <c r="D4513" t="inlineStr">
        <is>
          <t>Hub B</t>
        </is>
      </c>
      <c r="E4513" t="n">
        <v>42</v>
      </c>
      <c r="F4513" t="n">
        <v>22</v>
      </c>
    </row>
    <row r="4514">
      <c r="A4514" t="inlineStr">
        <is>
          <t>ORD04513</t>
        </is>
      </c>
      <c r="B4514" t="inlineStr">
        <is>
          <t>C2013</t>
        </is>
      </c>
      <c r="C4514" t="n">
        <v>1</v>
      </c>
      <c r="D4514" t="inlineStr">
        <is>
          <t>Hub B</t>
        </is>
      </c>
      <c r="E4514" t="n">
        <v>49</v>
      </c>
      <c r="F4514" t="n">
        <v>22</v>
      </c>
    </row>
    <row r="4515">
      <c r="A4515" t="inlineStr">
        <is>
          <t>ORD04514</t>
        </is>
      </c>
      <c r="B4515" t="inlineStr">
        <is>
          <t>C2014</t>
        </is>
      </c>
      <c r="C4515" t="n">
        <v>2</v>
      </c>
      <c r="D4515" t="inlineStr">
        <is>
          <t>Hub B</t>
        </is>
      </c>
      <c r="E4515" t="n">
        <v>56</v>
      </c>
      <c r="F4515" t="n">
        <v>22</v>
      </c>
    </row>
    <row r="4516">
      <c r="A4516" t="inlineStr">
        <is>
          <t>ORD04515</t>
        </is>
      </c>
      <c r="B4516" t="inlineStr">
        <is>
          <t>C2015</t>
        </is>
      </c>
      <c r="C4516" t="n">
        <v>3</v>
      </c>
      <c r="D4516" t="inlineStr">
        <is>
          <t>Hub B</t>
        </is>
      </c>
      <c r="E4516" t="n">
        <v>63</v>
      </c>
      <c r="F4516" t="n">
        <v>22</v>
      </c>
    </row>
    <row r="4517">
      <c r="A4517" t="inlineStr">
        <is>
          <t>ORD04516</t>
        </is>
      </c>
      <c r="B4517" t="inlineStr">
        <is>
          <t>C2016</t>
        </is>
      </c>
      <c r="C4517" t="n">
        <v>1</v>
      </c>
      <c r="D4517" t="inlineStr">
        <is>
          <t>Hub B</t>
        </is>
      </c>
      <c r="E4517" t="n">
        <v>70</v>
      </c>
      <c r="F4517" t="n">
        <v>22</v>
      </c>
    </row>
    <row r="4518">
      <c r="A4518" t="inlineStr">
        <is>
          <t>ORD04517</t>
        </is>
      </c>
      <c r="B4518" t="inlineStr">
        <is>
          <t>C2017</t>
        </is>
      </c>
      <c r="C4518" t="n">
        <v>2</v>
      </c>
      <c r="D4518" t="inlineStr">
        <is>
          <t>Hub B</t>
        </is>
      </c>
      <c r="E4518" t="n">
        <v>77</v>
      </c>
      <c r="F4518" t="n">
        <v>22</v>
      </c>
    </row>
    <row r="4519">
      <c r="A4519" t="inlineStr">
        <is>
          <t>ORD04518</t>
        </is>
      </c>
      <c r="B4519" t="inlineStr">
        <is>
          <t>C2018</t>
        </is>
      </c>
      <c r="C4519" t="n">
        <v>3</v>
      </c>
      <c r="D4519" t="inlineStr">
        <is>
          <t>Hub B</t>
        </is>
      </c>
      <c r="E4519" t="n">
        <v>24</v>
      </c>
      <c r="F4519" t="n">
        <v>22</v>
      </c>
    </row>
    <row r="4520">
      <c r="A4520" t="inlineStr">
        <is>
          <t>ORD04519</t>
        </is>
      </c>
      <c r="B4520" t="inlineStr">
        <is>
          <t>C2019</t>
        </is>
      </c>
      <c r="C4520" t="n">
        <v>1</v>
      </c>
      <c r="D4520" t="inlineStr">
        <is>
          <t>Hub B</t>
        </is>
      </c>
      <c r="E4520" t="n">
        <v>31</v>
      </c>
      <c r="F4520" t="n">
        <v>22</v>
      </c>
    </row>
    <row r="4521">
      <c r="A4521" t="inlineStr">
        <is>
          <t>ORD04520</t>
        </is>
      </c>
      <c r="B4521" t="inlineStr">
        <is>
          <t>C2020</t>
        </is>
      </c>
      <c r="C4521" t="n">
        <v>2</v>
      </c>
      <c r="D4521" t="inlineStr">
        <is>
          <t>Hub B</t>
        </is>
      </c>
      <c r="E4521" t="n">
        <v>38</v>
      </c>
      <c r="F4521" t="n">
        <v>22</v>
      </c>
    </row>
    <row r="4522">
      <c r="A4522" t="inlineStr">
        <is>
          <t>ORD04521</t>
        </is>
      </c>
      <c r="B4522" t="inlineStr">
        <is>
          <t>C2021</t>
        </is>
      </c>
      <c r="C4522" t="n">
        <v>3</v>
      </c>
      <c r="D4522" t="inlineStr">
        <is>
          <t>Hub B</t>
        </is>
      </c>
      <c r="E4522" t="n">
        <v>45</v>
      </c>
      <c r="F4522" t="n">
        <v>22</v>
      </c>
    </row>
    <row r="4523">
      <c r="A4523" t="inlineStr">
        <is>
          <t>ORD04522</t>
        </is>
      </c>
      <c r="B4523" t="inlineStr">
        <is>
          <t>C2022</t>
        </is>
      </c>
      <c r="C4523" t="n">
        <v>1</v>
      </c>
      <c r="D4523" t="inlineStr">
        <is>
          <t>Hub B</t>
        </is>
      </c>
      <c r="E4523" t="n">
        <v>52</v>
      </c>
      <c r="F4523" t="n">
        <v>22</v>
      </c>
    </row>
    <row r="4524">
      <c r="A4524" t="inlineStr">
        <is>
          <t>ORD04523</t>
        </is>
      </c>
      <c r="B4524" t="inlineStr">
        <is>
          <t>C2023</t>
        </is>
      </c>
      <c r="C4524" t="n">
        <v>2</v>
      </c>
      <c r="D4524" t="inlineStr">
        <is>
          <t>Hub B</t>
        </is>
      </c>
      <c r="E4524" t="n">
        <v>59</v>
      </c>
      <c r="F4524" t="n">
        <v>22</v>
      </c>
    </row>
    <row r="4525">
      <c r="A4525" t="inlineStr">
        <is>
          <t>ORD04524</t>
        </is>
      </c>
      <c r="B4525" t="inlineStr">
        <is>
          <t>C2024</t>
        </is>
      </c>
      <c r="C4525" t="n">
        <v>3</v>
      </c>
      <c r="D4525" t="inlineStr">
        <is>
          <t>Hub B</t>
        </is>
      </c>
      <c r="E4525" t="n">
        <v>66</v>
      </c>
      <c r="F4525" t="n">
        <v>22</v>
      </c>
    </row>
    <row r="4526">
      <c r="A4526" t="inlineStr">
        <is>
          <t>ORD04525</t>
        </is>
      </c>
      <c r="B4526" t="inlineStr">
        <is>
          <t>C2025</t>
        </is>
      </c>
      <c r="C4526" t="n">
        <v>1</v>
      </c>
      <c r="D4526" t="inlineStr">
        <is>
          <t>Hub B</t>
        </is>
      </c>
      <c r="E4526" t="n">
        <v>73</v>
      </c>
      <c r="F4526" t="n">
        <v>22</v>
      </c>
    </row>
    <row r="4527">
      <c r="A4527" t="inlineStr">
        <is>
          <t>ORD04526</t>
        </is>
      </c>
      <c r="B4527" t="inlineStr">
        <is>
          <t>C2026</t>
        </is>
      </c>
      <c r="C4527" t="n">
        <v>2</v>
      </c>
      <c r="D4527" t="inlineStr">
        <is>
          <t>Hub B</t>
        </is>
      </c>
      <c r="E4527" t="n">
        <v>20</v>
      </c>
      <c r="F4527" t="n">
        <v>22</v>
      </c>
    </row>
    <row r="4528">
      <c r="A4528" t="inlineStr">
        <is>
          <t>ORD04527</t>
        </is>
      </c>
      <c r="B4528" t="inlineStr">
        <is>
          <t>C2027</t>
        </is>
      </c>
      <c r="C4528" t="n">
        <v>3</v>
      </c>
      <c r="D4528" t="inlineStr">
        <is>
          <t>Hub B</t>
        </is>
      </c>
      <c r="E4528" t="n">
        <v>27</v>
      </c>
      <c r="F4528" t="n">
        <v>22</v>
      </c>
    </row>
    <row r="4529">
      <c r="A4529" t="inlineStr">
        <is>
          <t>ORD04528</t>
        </is>
      </c>
      <c r="B4529" t="inlineStr">
        <is>
          <t>C2028</t>
        </is>
      </c>
      <c r="C4529" t="n">
        <v>1</v>
      </c>
      <c r="D4529" t="inlineStr">
        <is>
          <t>Hub B</t>
        </is>
      </c>
      <c r="E4529" t="n">
        <v>34</v>
      </c>
      <c r="F4529" t="n">
        <v>22</v>
      </c>
    </row>
    <row r="4530">
      <c r="A4530" t="inlineStr">
        <is>
          <t>ORD04529</t>
        </is>
      </c>
      <c r="B4530" t="inlineStr">
        <is>
          <t>C2029</t>
        </is>
      </c>
      <c r="C4530" t="n">
        <v>2</v>
      </c>
      <c r="D4530" t="inlineStr">
        <is>
          <t>Hub B</t>
        </is>
      </c>
      <c r="E4530" t="n">
        <v>41</v>
      </c>
      <c r="F4530" t="n">
        <v>22</v>
      </c>
    </row>
    <row r="4531">
      <c r="A4531" t="inlineStr">
        <is>
          <t>ORD04530</t>
        </is>
      </c>
      <c r="B4531" t="inlineStr">
        <is>
          <t>C2030</t>
        </is>
      </c>
      <c r="C4531" t="n">
        <v>3</v>
      </c>
      <c r="D4531" t="inlineStr">
        <is>
          <t>Hub B</t>
        </is>
      </c>
      <c r="E4531" t="n">
        <v>48</v>
      </c>
      <c r="F4531" t="n">
        <v>22</v>
      </c>
    </row>
    <row r="4532">
      <c r="A4532" t="inlineStr">
        <is>
          <t>ORD04531</t>
        </is>
      </c>
      <c r="B4532" t="inlineStr">
        <is>
          <t>C2031</t>
        </is>
      </c>
      <c r="C4532" t="n">
        <v>1</v>
      </c>
      <c r="D4532" t="inlineStr">
        <is>
          <t>Hub B</t>
        </is>
      </c>
      <c r="E4532" t="n">
        <v>55</v>
      </c>
      <c r="F4532" t="n">
        <v>22</v>
      </c>
    </row>
    <row r="4533">
      <c r="A4533" t="inlineStr">
        <is>
          <t>ORD04532</t>
        </is>
      </c>
      <c r="B4533" t="inlineStr">
        <is>
          <t>C2032</t>
        </is>
      </c>
      <c r="C4533" t="n">
        <v>2</v>
      </c>
      <c r="D4533" t="inlineStr">
        <is>
          <t>Hub B</t>
        </is>
      </c>
      <c r="E4533" t="n">
        <v>62</v>
      </c>
      <c r="F4533" t="n">
        <v>22</v>
      </c>
    </row>
    <row r="4534">
      <c r="A4534" t="inlineStr">
        <is>
          <t>ORD04533</t>
        </is>
      </c>
      <c r="B4534" t="inlineStr">
        <is>
          <t>C2033</t>
        </is>
      </c>
      <c r="C4534" t="n">
        <v>3</v>
      </c>
      <c r="D4534" t="inlineStr">
        <is>
          <t>Hub B</t>
        </is>
      </c>
      <c r="E4534" t="n">
        <v>69</v>
      </c>
      <c r="F4534" t="n">
        <v>22</v>
      </c>
    </row>
    <row r="4535">
      <c r="A4535" t="inlineStr">
        <is>
          <t>ORD04534</t>
        </is>
      </c>
      <c r="B4535" t="inlineStr">
        <is>
          <t>C2034</t>
        </is>
      </c>
      <c r="C4535" t="n">
        <v>1</v>
      </c>
      <c r="D4535" t="inlineStr">
        <is>
          <t>Hub B</t>
        </is>
      </c>
      <c r="E4535" t="n">
        <v>76</v>
      </c>
      <c r="F4535" t="n">
        <v>22</v>
      </c>
    </row>
    <row r="4536">
      <c r="A4536" t="inlineStr">
        <is>
          <t>ORD04535</t>
        </is>
      </c>
      <c r="B4536" t="inlineStr">
        <is>
          <t>C2035</t>
        </is>
      </c>
      <c r="C4536" t="n">
        <v>2</v>
      </c>
      <c r="D4536" t="inlineStr">
        <is>
          <t>Hub B</t>
        </is>
      </c>
      <c r="E4536" t="n">
        <v>23</v>
      </c>
      <c r="F4536" t="n">
        <v>22</v>
      </c>
    </row>
    <row r="4537">
      <c r="A4537" t="inlineStr">
        <is>
          <t>ORD04536</t>
        </is>
      </c>
      <c r="B4537" t="inlineStr">
        <is>
          <t>C2036</t>
        </is>
      </c>
      <c r="C4537" t="n">
        <v>3</v>
      </c>
      <c r="D4537" t="inlineStr">
        <is>
          <t>Hub B</t>
        </is>
      </c>
      <c r="E4537" t="n">
        <v>30</v>
      </c>
      <c r="F4537" t="n">
        <v>22</v>
      </c>
    </row>
    <row r="4538">
      <c r="A4538" t="inlineStr">
        <is>
          <t>ORD04537</t>
        </is>
      </c>
      <c r="B4538" t="inlineStr">
        <is>
          <t>C2037</t>
        </is>
      </c>
      <c r="C4538" t="n">
        <v>1</v>
      </c>
      <c r="D4538" t="inlineStr">
        <is>
          <t>Hub B</t>
        </is>
      </c>
      <c r="E4538" t="n">
        <v>37</v>
      </c>
      <c r="F4538" t="n">
        <v>22</v>
      </c>
    </row>
    <row r="4539">
      <c r="A4539" t="inlineStr">
        <is>
          <t>ORD04538</t>
        </is>
      </c>
      <c r="B4539" t="inlineStr">
        <is>
          <t>C2038</t>
        </is>
      </c>
      <c r="C4539" t="n">
        <v>2</v>
      </c>
      <c r="D4539" t="inlineStr">
        <is>
          <t>Hub B</t>
        </is>
      </c>
      <c r="E4539" t="n">
        <v>44</v>
      </c>
      <c r="F4539" t="n">
        <v>22</v>
      </c>
    </row>
    <row r="4540">
      <c r="A4540" t="inlineStr">
        <is>
          <t>ORD04539</t>
        </is>
      </c>
      <c r="B4540" t="inlineStr">
        <is>
          <t>C2039</t>
        </is>
      </c>
      <c r="C4540" t="n">
        <v>3</v>
      </c>
      <c r="D4540" t="inlineStr">
        <is>
          <t>Hub B</t>
        </is>
      </c>
      <c r="E4540" t="n">
        <v>51</v>
      </c>
      <c r="F4540" t="n">
        <v>22</v>
      </c>
    </row>
    <row r="4541">
      <c r="A4541" t="inlineStr">
        <is>
          <t>ORD04540</t>
        </is>
      </c>
      <c r="B4541" t="inlineStr">
        <is>
          <t>C2040</t>
        </is>
      </c>
      <c r="C4541" t="n">
        <v>1</v>
      </c>
      <c r="D4541" t="inlineStr">
        <is>
          <t>Hub B</t>
        </is>
      </c>
      <c r="E4541" t="n">
        <v>58</v>
      </c>
      <c r="F4541" t="n">
        <v>22</v>
      </c>
    </row>
    <row r="4542">
      <c r="A4542" t="inlineStr">
        <is>
          <t>ORD04541</t>
        </is>
      </c>
      <c r="B4542" t="inlineStr">
        <is>
          <t>C2041</t>
        </is>
      </c>
      <c r="C4542" t="n">
        <v>2</v>
      </c>
      <c r="D4542" t="inlineStr">
        <is>
          <t>Hub B</t>
        </is>
      </c>
      <c r="E4542" t="n">
        <v>65</v>
      </c>
      <c r="F4542" t="n">
        <v>22</v>
      </c>
    </row>
    <row r="4543">
      <c r="A4543" t="inlineStr">
        <is>
          <t>ORD04542</t>
        </is>
      </c>
      <c r="B4543" t="inlineStr">
        <is>
          <t>C2042</t>
        </is>
      </c>
      <c r="C4543" t="n">
        <v>3</v>
      </c>
      <c r="D4543" t="inlineStr">
        <is>
          <t>Hub B</t>
        </is>
      </c>
      <c r="E4543" t="n">
        <v>72</v>
      </c>
      <c r="F4543" t="n">
        <v>22</v>
      </c>
    </row>
    <row r="4544">
      <c r="A4544" t="inlineStr">
        <is>
          <t>ORD04543</t>
        </is>
      </c>
      <c r="B4544" t="inlineStr">
        <is>
          <t>C2043</t>
        </is>
      </c>
      <c r="C4544" t="n">
        <v>1</v>
      </c>
      <c r="D4544" t="inlineStr">
        <is>
          <t>Hub B</t>
        </is>
      </c>
      <c r="E4544" t="n">
        <v>19</v>
      </c>
      <c r="F4544" t="n">
        <v>22</v>
      </c>
    </row>
    <row r="4545">
      <c r="A4545" t="inlineStr">
        <is>
          <t>ORD04544</t>
        </is>
      </c>
      <c r="B4545" t="inlineStr">
        <is>
          <t>C2044</t>
        </is>
      </c>
      <c r="C4545" t="n">
        <v>2</v>
      </c>
      <c r="D4545" t="inlineStr">
        <is>
          <t>Hub B</t>
        </is>
      </c>
      <c r="E4545" t="n">
        <v>26</v>
      </c>
      <c r="F4545" t="n">
        <v>22</v>
      </c>
    </row>
    <row r="4546">
      <c r="A4546" t="inlineStr">
        <is>
          <t>ORD04545</t>
        </is>
      </c>
      <c r="B4546" t="inlineStr">
        <is>
          <t>C2045</t>
        </is>
      </c>
      <c r="C4546" t="n">
        <v>3</v>
      </c>
      <c r="D4546" t="inlineStr">
        <is>
          <t>Hub B</t>
        </is>
      </c>
      <c r="E4546" t="n">
        <v>33</v>
      </c>
      <c r="F4546" t="n">
        <v>22</v>
      </c>
    </row>
    <row r="4547">
      <c r="A4547" t="inlineStr">
        <is>
          <t>ORD04546</t>
        </is>
      </c>
      <c r="B4547" t="inlineStr">
        <is>
          <t>C2046</t>
        </is>
      </c>
      <c r="C4547" t="n">
        <v>1</v>
      </c>
      <c r="D4547" t="inlineStr">
        <is>
          <t>Hub B</t>
        </is>
      </c>
      <c r="E4547" t="n">
        <v>40</v>
      </c>
      <c r="F4547" t="n">
        <v>22</v>
      </c>
    </row>
    <row r="4548">
      <c r="A4548" t="inlineStr">
        <is>
          <t>ORD04547</t>
        </is>
      </c>
      <c r="B4548" t="inlineStr">
        <is>
          <t>C2047</t>
        </is>
      </c>
      <c r="C4548" t="n">
        <v>2</v>
      </c>
      <c r="D4548" t="inlineStr">
        <is>
          <t>Hub B</t>
        </is>
      </c>
      <c r="E4548" t="n">
        <v>47</v>
      </c>
      <c r="F4548" t="n">
        <v>22</v>
      </c>
    </row>
    <row r="4549">
      <c r="A4549" t="inlineStr">
        <is>
          <t>ORD04548</t>
        </is>
      </c>
      <c r="B4549" t="inlineStr">
        <is>
          <t>C2048</t>
        </is>
      </c>
      <c r="C4549" t="n">
        <v>3</v>
      </c>
      <c r="D4549" t="inlineStr">
        <is>
          <t>Hub B</t>
        </is>
      </c>
      <c r="E4549" t="n">
        <v>54</v>
      </c>
      <c r="F4549" t="n">
        <v>22</v>
      </c>
    </row>
    <row r="4550">
      <c r="A4550" t="inlineStr">
        <is>
          <t>ORD04549</t>
        </is>
      </c>
      <c r="B4550" t="inlineStr">
        <is>
          <t>C2049</t>
        </is>
      </c>
      <c r="C4550" t="n">
        <v>1</v>
      </c>
      <c r="D4550" t="inlineStr">
        <is>
          <t>Hub B</t>
        </is>
      </c>
      <c r="E4550" t="n">
        <v>61</v>
      </c>
      <c r="F4550" t="n">
        <v>22</v>
      </c>
    </row>
    <row r="4551">
      <c r="A4551" t="inlineStr">
        <is>
          <t>ORD04550</t>
        </is>
      </c>
      <c r="B4551" t="inlineStr">
        <is>
          <t>C2050</t>
        </is>
      </c>
      <c r="C4551" t="n">
        <v>2</v>
      </c>
      <c r="D4551" t="inlineStr">
        <is>
          <t>Hub B</t>
        </is>
      </c>
      <c r="E4551" t="n">
        <v>68</v>
      </c>
      <c r="F4551" t="n">
        <v>22</v>
      </c>
    </row>
    <row r="4552">
      <c r="A4552" t="inlineStr">
        <is>
          <t>ORD04551</t>
        </is>
      </c>
      <c r="B4552" t="inlineStr">
        <is>
          <t>C2051</t>
        </is>
      </c>
      <c r="C4552" t="n">
        <v>3</v>
      </c>
      <c r="D4552" t="inlineStr">
        <is>
          <t>Hub B</t>
        </is>
      </c>
      <c r="E4552" t="n">
        <v>75</v>
      </c>
      <c r="F4552" t="n">
        <v>22</v>
      </c>
    </row>
    <row r="4553">
      <c r="A4553" t="inlineStr">
        <is>
          <t>ORD04552</t>
        </is>
      </c>
      <c r="B4553" t="inlineStr">
        <is>
          <t>C2052</t>
        </is>
      </c>
      <c r="C4553" t="n">
        <v>1</v>
      </c>
      <c r="D4553" t="inlineStr">
        <is>
          <t>Hub B</t>
        </is>
      </c>
      <c r="E4553" t="n">
        <v>22</v>
      </c>
      <c r="F4553" t="n">
        <v>22</v>
      </c>
    </row>
    <row r="4554">
      <c r="A4554" t="inlineStr">
        <is>
          <t>ORD04553</t>
        </is>
      </c>
      <c r="B4554" t="inlineStr">
        <is>
          <t>C2053</t>
        </is>
      </c>
      <c r="C4554" t="n">
        <v>2</v>
      </c>
      <c r="D4554" t="inlineStr">
        <is>
          <t>Hub B</t>
        </is>
      </c>
      <c r="E4554" t="n">
        <v>29</v>
      </c>
      <c r="F4554" t="n">
        <v>22</v>
      </c>
    </row>
    <row r="4555">
      <c r="A4555" t="inlineStr">
        <is>
          <t>ORD04554</t>
        </is>
      </c>
      <c r="B4555" t="inlineStr">
        <is>
          <t>C2054</t>
        </is>
      </c>
      <c r="C4555" t="n">
        <v>3</v>
      </c>
      <c r="D4555" t="inlineStr">
        <is>
          <t>Hub B</t>
        </is>
      </c>
      <c r="E4555" t="n">
        <v>36</v>
      </c>
      <c r="F4555" t="n">
        <v>22</v>
      </c>
    </row>
    <row r="4556">
      <c r="A4556" t="inlineStr">
        <is>
          <t>ORD04555</t>
        </is>
      </c>
      <c r="B4556" t="inlineStr">
        <is>
          <t>C2055</t>
        </is>
      </c>
      <c r="C4556" t="n">
        <v>1</v>
      </c>
      <c r="D4556" t="inlineStr">
        <is>
          <t>Hub B</t>
        </is>
      </c>
      <c r="E4556" t="n">
        <v>43</v>
      </c>
      <c r="F4556" t="n">
        <v>22</v>
      </c>
    </row>
    <row r="4557">
      <c r="A4557" t="inlineStr">
        <is>
          <t>ORD04556</t>
        </is>
      </c>
      <c r="B4557" t="inlineStr">
        <is>
          <t>C2056</t>
        </is>
      </c>
      <c r="C4557" t="n">
        <v>2</v>
      </c>
      <c r="D4557" t="inlineStr">
        <is>
          <t>Hub B</t>
        </is>
      </c>
      <c r="E4557" t="n">
        <v>50</v>
      </c>
      <c r="F4557" t="n">
        <v>22</v>
      </c>
    </row>
    <row r="4558">
      <c r="A4558" t="inlineStr">
        <is>
          <t>ORD04557</t>
        </is>
      </c>
      <c r="B4558" t="inlineStr">
        <is>
          <t>C2057</t>
        </is>
      </c>
      <c r="C4558" t="n">
        <v>3</v>
      </c>
      <c r="D4558" t="inlineStr">
        <is>
          <t>Hub B</t>
        </is>
      </c>
      <c r="E4558" t="n">
        <v>57</v>
      </c>
      <c r="F4558" t="n">
        <v>22</v>
      </c>
    </row>
    <row r="4559">
      <c r="A4559" t="inlineStr">
        <is>
          <t>ORD04558</t>
        </is>
      </c>
      <c r="B4559" t="inlineStr">
        <is>
          <t>C2058</t>
        </is>
      </c>
      <c r="C4559" t="n">
        <v>1</v>
      </c>
      <c r="D4559" t="inlineStr">
        <is>
          <t>Hub B</t>
        </is>
      </c>
      <c r="E4559" t="n">
        <v>64</v>
      </c>
      <c r="F4559" t="n">
        <v>22</v>
      </c>
    </row>
    <row r="4560">
      <c r="A4560" t="inlineStr">
        <is>
          <t>ORD04559</t>
        </is>
      </c>
      <c r="B4560" t="inlineStr">
        <is>
          <t>C2059</t>
        </is>
      </c>
      <c r="C4560" t="n">
        <v>2</v>
      </c>
      <c r="D4560" t="inlineStr">
        <is>
          <t>Hub B</t>
        </is>
      </c>
      <c r="E4560" t="n">
        <v>71</v>
      </c>
      <c r="F4560" t="n">
        <v>22</v>
      </c>
    </row>
    <row r="4561">
      <c r="A4561" t="inlineStr">
        <is>
          <t>ORD04560</t>
        </is>
      </c>
      <c r="B4561" t="inlineStr">
        <is>
          <t>C2060</t>
        </is>
      </c>
      <c r="C4561" t="n">
        <v>3</v>
      </c>
      <c r="D4561" t="inlineStr">
        <is>
          <t>Hub B</t>
        </is>
      </c>
      <c r="E4561" t="n">
        <v>18</v>
      </c>
      <c r="F4561" t="n">
        <v>22</v>
      </c>
    </row>
    <row r="4562">
      <c r="A4562" t="inlineStr">
        <is>
          <t>ORD04561</t>
        </is>
      </c>
      <c r="B4562" t="inlineStr">
        <is>
          <t>C2061</t>
        </is>
      </c>
      <c r="C4562" t="n">
        <v>1</v>
      </c>
      <c r="D4562" t="inlineStr">
        <is>
          <t>Hub B</t>
        </is>
      </c>
      <c r="E4562" t="n">
        <v>25</v>
      </c>
      <c r="F4562" t="n">
        <v>22</v>
      </c>
    </row>
    <row r="4563">
      <c r="A4563" t="inlineStr">
        <is>
          <t>ORD04562</t>
        </is>
      </c>
      <c r="B4563" t="inlineStr">
        <is>
          <t>C2062</t>
        </is>
      </c>
      <c r="C4563" t="n">
        <v>2</v>
      </c>
      <c r="D4563" t="inlineStr">
        <is>
          <t>Hub B</t>
        </is>
      </c>
      <c r="E4563" t="n">
        <v>32</v>
      </c>
      <c r="F4563" t="n">
        <v>22</v>
      </c>
    </row>
    <row r="4564">
      <c r="A4564" t="inlineStr">
        <is>
          <t>ORD04563</t>
        </is>
      </c>
      <c r="B4564" t="inlineStr">
        <is>
          <t>C2063</t>
        </is>
      </c>
      <c r="C4564" t="n">
        <v>3</v>
      </c>
      <c r="D4564" t="inlineStr">
        <is>
          <t>Hub B</t>
        </is>
      </c>
      <c r="E4564" t="n">
        <v>39</v>
      </c>
      <c r="F4564" t="n">
        <v>22</v>
      </c>
    </row>
    <row r="4565">
      <c r="A4565" t="inlineStr">
        <is>
          <t>ORD04564</t>
        </is>
      </c>
      <c r="B4565" t="inlineStr">
        <is>
          <t>C2064</t>
        </is>
      </c>
      <c r="C4565" t="n">
        <v>1</v>
      </c>
      <c r="D4565" t="inlineStr">
        <is>
          <t>Hub B</t>
        </is>
      </c>
      <c r="E4565" t="n">
        <v>46</v>
      </c>
      <c r="F4565" t="n">
        <v>22</v>
      </c>
    </row>
    <row r="4566">
      <c r="A4566" t="inlineStr">
        <is>
          <t>ORD04565</t>
        </is>
      </c>
      <c r="B4566" t="inlineStr">
        <is>
          <t>C2065</t>
        </is>
      </c>
      <c r="C4566" t="n">
        <v>2</v>
      </c>
      <c r="D4566" t="inlineStr">
        <is>
          <t>Hub B</t>
        </is>
      </c>
      <c r="E4566" t="n">
        <v>53</v>
      </c>
      <c r="F4566" t="n">
        <v>22</v>
      </c>
    </row>
    <row r="4567">
      <c r="A4567" t="inlineStr">
        <is>
          <t>ORD04566</t>
        </is>
      </c>
      <c r="B4567" t="inlineStr">
        <is>
          <t>C2066</t>
        </is>
      </c>
      <c r="C4567" t="n">
        <v>3</v>
      </c>
      <c r="D4567" t="inlineStr">
        <is>
          <t>Hub B</t>
        </is>
      </c>
      <c r="E4567" t="n">
        <v>60</v>
      </c>
      <c r="F4567" t="n">
        <v>22</v>
      </c>
    </row>
    <row r="4568">
      <c r="A4568" t="inlineStr">
        <is>
          <t>ORD04567</t>
        </is>
      </c>
      <c r="B4568" t="inlineStr">
        <is>
          <t>C2067</t>
        </is>
      </c>
      <c r="C4568" t="n">
        <v>1</v>
      </c>
      <c r="D4568" t="inlineStr">
        <is>
          <t>Hub B</t>
        </is>
      </c>
      <c r="E4568" t="n">
        <v>67</v>
      </c>
      <c r="F4568" t="n">
        <v>22</v>
      </c>
    </row>
    <row r="4569">
      <c r="A4569" t="inlineStr">
        <is>
          <t>ORD04568</t>
        </is>
      </c>
      <c r="B4569" t="inlineStr">
        <is>
          <t>C2068</t>
        </is>
      </c>
      <c r="C4569" t="n">
        <v>2</v>
      </c>
      <c r="D4569" t="inlineStr">
        <is>
          <t>Hub B</t>
        </is>
      </c>
      <c r="E4569" t="n">
        <v>74</v>
      </c>
      <c r="F4569" t="n">
        <v>22</v>
      </c>
    </row>
    <row r="4570">
      <c r="A4570" t="inlineStr">
        <is>
          <t>ORD04569</t>
        </is>
      </c>
      <c r="B4570" t="inlineStr">
        <is>
          <t>C2069</t>
        </is>
      </c>
      <c r="C4570" t="n">
        <v>3</v>
      </c>
      <c r="D4570" t="inlineStr">
        <is>
          <t>Hub B</t>
        </is>
      </c>
      <c r="E4570" t="n">
        <v>21</v>
      </c>
      <c r="F4570" t="n">
        <v>22</v>
      </c>
    </row>
    <row r="4571">
      <c r="A4571" t="inlineStr">
        <is>
          <t>ORD04570</t>
        </is>
      </c>
      <c r="B4571" t="inlineStr">
        <is>
          <t>C2070</t>
        </is>
      </c>
      <c r="C4571" t="n">
        <v>1</v>
      </c>
      <c r="D4571" t="inlineStr">
        <is>
          <t>Hub B</t>
        </is>
      </c>
      <c r="E4571" t="n">
        <v>28</v>
      </c>
      <c r="F4571" t="n">
        <v>22</v>
      </c>
    </row>
    <row r="4572">
      <c r="A4572" t="inlineStr">
        <is>
          <t>ORD04571</t>
        </is>
      </c>
      <c r="B4572" t="inlineStr">
        <is>
          <t>C2071</t>
        </is>
      </c>
      <c r="C4572" t="n">
        <v>2</v>
      </c>
      <c r="D4572" t="inlineStr">
        <is>
          <t>Hub B</t>
        </is>
      </c>
      <c r="E4572" t="n">
        <v>35</v>
      </c>
      <c r="F4572" t="n">
        <v>22</v>
      </c>
    </row>
    <row r="4573">
      <c r="A4573" t="inlineStr">
        <is>
          <t>ORD04572</t>
        </is>
      </c>
      <c r="B4573" t="inlineStr">
        <is>
          <t>C2072</t>
        </is>
      </c>
      <c r="C4573" t="n">
        <v>3</v>
      </c>
      <c r="D4573" t="inlineStr">
        <is>
          <t>Hub B</t>
        </is>
      </c>
      <c r="E4573" t="n">
        <v>42</v>
      </c>
      <c r="F4573" t="n">
        <v>22</v>
      </c>
    </row>
    <row r="4574">
      <c r="A4574" t="inlineStr">
        <is>
          <t>ORD04573</t>
        </is>
      </c>
      <c r="B4574" t="inlineStr">
        <is>
          <t>C2073</t>
        </is>
      </c>
      <c r="C4574" t="n">
        <v>1</v>
      </c>
      <c r="D4574" t="inlineStr">
        <is>
          <t>Hub B</t>
        </is>
      </c>
      <c r="E4574" t="n">
        <v>49</v>
      </c>
      <c r="F4574" t="n">
        <v>22</v>
      </c>
    </row>
    <row r="4575">
      <c r="A4575" t="inlineStr">
        <is>
          <t>ORD04574</t>
        </is>
      </c>
      <c r="B4575" t="inlineStr">
        <is>
          <t>C2074</t>
        </is>
      </c>
      <c r="C4575" t="n">
        <v>2</v>
      </c>
      <c r="D4575" t="inlineStr">
        <is>
          <t>Hub B</t>
        </is>
      </c>
      <c r="E4575" t="n">
        <v>56</v>
      </c>
      <c r="F4575" t="n">
        <v>22</v>
      </c>
    </row>
    <row r="4576">
      <c r="A4576" t="inlineStr">
        <is>
          <t>ORD04575</t>
        </is>
      </c>
      <c r="B4576" t="inlineStr">
        <is>
          <t>C2075</t>
        </is>
      </c>
      <c r="C4576" t="n">
        <v>3</v>
      </c>
      <c r="D4576" t="inlineStr">
        <is>
          <t>Hub B</t>
        </is>
      </c>
      <c r="E4576" t="n">
        <v>63</v>
      </c>
      <c r="F4576" t="n">
        <v>22</v>
      </c>
    </row>
    <row r="4577">
      <c r="A4577" t="inlineStr">
        <is>
          <t>ORD04576</t>
        </is>
      </c>
      <c r="B4577" t="inlineStr">
        <is>
          <t>C2076</t>
        </is>
      </c>
      <c r="C4577" t="n">
        <v>1</v>
      </c>
      <c r="D4577" t="inlineStr">
        <is>
          <t>Hub B</t>
        </is>
      </c>
      <c r="E4577" t="n">
        <v>70</v>
      </c>
      <c r="F4577" t="n">
        <v>22</v>
      </c>
    </row>
    <row r="4578">
      <c r="A4578" t="inlineStr">
        <is>
          <t>ORD04577</t>
        </is>
      </c>
      <c r="B4578" t="inlineStr">
        <is>
          <t>C2077</t>
        </is>
      </c>
      <c r="C4578" t="n">
        <v>2</v>
      </c>
      <c r="D4578" t="inlineStr">
        <is>
          <t>Hub B</t>
        </is>
      </c>
      <c r="E4578" t="n">
        <v>77</v>
      </c>
      <c r="F4578" t="n">
        <v>22</v>
      </c>
    </row>
    <row r="4579">
      <c r="A4579" t="inlineStr">
        <is>
          <t>ORD04578</t>
        </is>
      </c>
      <c r="B4579" t="inlineStr">
        <is>
          <t>C2078</t>
        </is>
      </c>
      <c r="C4579" t="n">
        <v>3</v>
      </c>
      <c r="D4579" t="inlineStr">
        <is>
          <t>Hub B</t>
        </is>
      </c>
      <c r="E4579" t="n">
        <v>24</v>
      </c>
      <c r="F4579" t="n">
        <v>22</v>
      </c>
    </row>
    <row r="4580">
      <c r="A4580" t="inlineStr">
        <is>
          <t>ORD04579</t>
        </is>
      </c>
      <c r="B4580" t="inlineStr">
        <is>
          <t>C2079</t>
        </is>
      </c>
      <c r="C4580" t="n">
        <v>1</v>
      </c>
      <c r="D4580" t="inlineStr">
        <is>
          <t>Hub B</t>
        </is>
      </c>
      <c r="E4580" t="n">
        <v>31</v>
      </c>
      <c r="F4580" t="n">
        <v>22</v>
      </c>
    </row>
    <row r="4581">
      <c r="A4581" t="inlineStr">
        <is>
          <t>ORD04580</t>
        </is>
      </c>
      <c r="B4581" t="inlineStr">
        <is>
          <t>C2080</t>
        </is>
      </c>
      <c r="C4581" t="n">
        <v>2</v>
      </c>
      <c r="D4581" t="inlineStr">
        <is>
          <t>Hub B</t>
        </is>
      </c>
      <c r="E4581" t="n">
        <v>38</v>
      </c>
      <c r="F4581" t="n">
        <v>22</v>
      </c>
    </row>
    <row r="4582">
      <c r="A4582" t="inlineStr">
        <is>
          <t>ORD04581</t>
        </is>
      </c>
      <c r="B4582" t="inlineStr">
        <is>
          <t>C2081</t>
        </is>
      </c>
      <c r="C4582" t="n">
        <v>3</v>
      </c>
      <c r="D4582" t="inlineStr">
        <is>
          <t>Hub B</t>
        </is>
      </c>
      <c r="E4582" t="n">
        <v>45</v>
      </c>
      <c r="F4582" t="n">
        <v>22</v>
      </c>
    </row>
    <row r="4583">
      <c r="A4583" t="inlineStr">
        <is>
          <t>ORD04582</t>
        </is>
      </c>
      <c r="B4583" t="inlineStr">
        <is>
          <t>C2082</t>
        </is>
      </c>
      <c r="C4583" t="n">
        <v>1</v>
      </c>
      <c r="D4583" t="inlineStr">
        <is>
          <t>Hub B</t>
        </is>
      </c>
      <c r="E4583" t="n">
        <v>52</v>
      </c>
      <c r="F4583" t="n">
        <v>22</v>
      </c>
    </row>
    <row r="4584">
      <c r="A4584" t="inlineStr">
        <is>
          <t>ORD04583</t>
        </is>
      </c>
      <c r="B4584" t="inlineStr">
        <is>
          <t>C2083</t>
        </is>
      </c>
      <c r="C4584" t="n">
        <v>2</v>
      </c>
      <c r="D4584" t="inlineStr">
        <is>
          <t>Hub B</t>
        </is>
      </c>
      <c r="E4584" t="n">
        <v>59</v>
      </c>
      <c r="F4584" t="n">
        <v>22</v>
      </c>
    </row>
    <row r="4585">
      <c r="A4585" t="inlineStr">
        <is>
          <t>ORD04584</t>
        </is>
      </c>
      <c r="B4585" t="inlineStr">
        <is>
          <t>C2084</t>
        </is>
      </c>
      <c r="C4585" t="n">
        <v>3</v>
      </c>
      <c r="D4585" t="inlineStr">
        <is>
          <t>Hub B</t>
        </is>
      </c>
      <c r="E4585" t="n">
        <v>66</v>
      </c>
      <c r="F4585" t="n">
        <v>22</v>
      </c>
    </row>
    <row r="4586">
      <c r="A4586" t="inlineStr">
        <is>
          <t>ORD04585</t>
        </is>
      </c>
      <c r="B4586" t="inlineStr">
        <is>
          <t>C2085</t>
        </is>
      </c>
      <c r="C4586" t="n">
        <v>1</v>
      </c>
      <c r="D4586" t="inlineStr">
        <is>
          <t>Hub B</t>
        </is>
      </c>
      <c r="E4586" t="n">
        <v>73</v>
      </c>
      <c r="F4586" t="n">
        <v>22</v>
      </c>
    </row>
    <row r="4587">
      <c r="A4587" t="inlineStr">
        <is>
          <t>ORD04586</t>
        </is>
      </c>
      <c r="B4587" t="inlineStr">
        <is>
          <t>C2086</t>
        </is>
      </c>
      <c r="C4587" t="n">
        <v>2</v>
      </c>
      <c r="D4587" t="inlineStr">
        <is>
          <t>Hub B</t>
        </is>
      </c>
      <c r="E4587" t="n">
        <v>20</v>
      </c>
      <c r="F4587" t="n">
        <v>22</v>
      </c>
    </row>
    <row r="4588">
      <c r="A4588" t="inlineStr">
        <is>
          <t>ORD04587</t>
        </is>
      </c>
      <c r="B4588" t="inlineStr">
        <is>
          <t>C2087</t>
        </is>
      </c>
      <c r="C4588" t="n">
        <v>3</v>
      </c>
      <c r="D4588" t="inlineStr">
        <is>
          <t>Hub B</t>
        </is>
      </c>
      <c r="E4588" t="n">
        <v>27</v>
      </c>
      <c r="F4588" t="n">
        <v>22</v>
      </c>
    </row>
    <row r="4589">
      <c r="A4589" t="inlineStr">
        <is>
          <t>ORD04588</t>
        </is>
      </c>
      <c r="B4589" t="inlineStr">
        <is>
          <t>C2088</t>
        </is>
      </c>
      <c r="C4589" t="n">
        <v>1</v>
      </c>
      <c r="D4589" t="inlineStr">
        <is>
          <t>Hub B</t>
        </is>
      </c>
      <c r="E4589" t="n">
        <v>34</v>
      </c>
      <c r="F4589" t="n">
        <v>22</v>
      </c>
    </row>
    <row r="4590">
      <c r="A4590" t="inlineStr">
        <is>
          <t>ORD04589</t>
        </is>
      </c>
      <c r="B4590" t="inlineStr">
        <is>
          <t>C2089</t>
        </is>
      </c>
      <c r="C4590" t="n">
        <v>2</v>
      </c>
      <c r="D4590" t="inlineStr">
        <is>
          <t>Hub B</t>
        </is>
      </c>
      <c r="E4590" t="n">
        <v>41</v>
      </c>
      <c r="F4590" t="n">
        <v>22</v>
      </c>
    </row>
    <row r="4591">
      <c r="A4591" t="inlineStr">
        <is>
          <t>ORD04590</t>
        </is>
      </c>
      <c r="B4591" t="inlineStr">
        <is>
          <t>C2090</t>
        </is>
      </c>
      <c r="C4591" t="n">
        <v>3</v>
      </c>
      <c r="D4591" t="inlineStr">
        <is>
          <t>Hub B</t>
        </is>
      </c>
      <c r="E4591" t="n">
        <v>48</v>
      </c>
      <c r="F4591" t="n">
        <v>22</v>
      </c>
    </row>
    <row r="4592">
      <c r="A4592" t="inlineStr">
        <is>
          <t>ORD04591</t>
        </is>
      </c>
      <c r="B4592" t="inlineStr">
        <is>
          <t>C2091</t>
        </is>
      </c>
      <c r="C4592" t="n">
        <v>1</v>
      </c>
      <c r="D4592" t="inlineStr">
        <is>
          <t>Hub B</t>
        </is>
      </c>
      <c r="E4592" t="n">
        <v>55</v>
      </c>
      <c r="F4592" t="n">
        <v>22</v>
      </c>
    </row>
    <row r="4593">
      <c r="A4593" t="inlineStr">
        <is>
          <t>ORD04592</t>
        </is>
      </c>
      <c r="B4593" t="inlineStr">
        <is>
          <t>C2092</t>
        </is>
      </c>
      <c r="C4593" t="n">
        <v>2</v>
      </c>
      <c r="D4593" t="inlineStr">
        <is>
          <t>Hub B</t>
        </is>
      </c>
      <c r="E4593" t="n">
        <v>62</v>
      </c>
      <c r="F4593" t="n">
        <v>22</v>
      </c>
    </row>
    <row r="4594">
      <c r="A4594" t="inlineStr">
        <is>
          <t>ORD04593</t>
        </is>
      </c>
      <c r="B4594" t="inlineStr">
        <is>
          <t>C2093</t>
        </is>
      </c>
      <c r="C4594" t="n">
        <v>3</v>
      </c>
      <c r="D4594" t="inlineStr">
        <is>
          <t>Hub B</t>
        </is>
      </c>
      <c r="E4594" t="n">
        <v>69</v>
      </c>
      <c r="F4594" t="n">
        <v>22</v>
      </c>
    </row>
    <row r="4595">
      <c r="A4595" t="inlineStr">
        <is>
          <t>ORD04594</t>
        </is>
      </c>
      <c r="B4595" t="inlineStr">
        <is>
          <t>C2094</t>
        </is>
      </c>
      <c r="C4595" t="n">
        <v>1</v>
      </c>
      <c r="D4595" t="inlineStr">
        <is>
          <t>Hub B</t>
        </is>
      </c>
      <c r="E4595" t="n">
        <v>76</v>
      </c>
      <c r="F4595" t="n">
        <v>22</v>
      </c>
    </row>
    <row r="4596">
      <c r="A4596" t="inlineStr">
        <is>
          <t>ORD04595</t>
        </is>
      </c>
      <c r="B4596" t="inlineStr">
        <is>
          <t>C2095</t>
        </is>
      </c>
      <c r="C4596" t="n">
        <v>2</v>
      </c>
      <c r="D4596" t="inlineStr">
        <is>
          <t>Hub B</t>
        </is>
      </c>
      <c r="E4596" t="n">
        <v>23</v>
      </c>
      <c r="F4596" t="n">
        <v>22</v>
      </c>
    </row>
    <row r="4597">
      <c r="A4597" t="inlineStr">
        <is>
          <t>ORD04596</t>
        </is>
      </c>
      <c r="B4597" t="inlineStr">
        <is>
          <t>C2096</t>
        </is>
      </c>
      <c r="C4597" t="n">
        <v>3</v>
      </c>
      <c r="D4597" t="inlineStr">
        <is>
          <t>Hub B</t>
        </is>
      </c>
      <c r="E4597" t="n">
        <v>30</v>
      </c>
      <c r="F4597" t="n">
        <v>22</v>
      </c>
    </row>
    <row r="4598">
      <c r="A4598" t="inlineStr">
        <is>
          <t>ORD04597</t>
        </is>
      </c>
      <c r="B4598" t="inlineStr">
        <is>
          <t>C2097</t>
        </is>
      </c>
      <c r="C4598" t="n">
        <v>1</v>
      </c>
      <c r="D4598" t="inlineStr">
        <is>
          <t>Hub B</t>
        </is>
      </c>
      <c r="E4598" t="n">
        <v>37</v>
      </c>
      <c r="F4598" t="n">
        <v>22</v>
      </c>
    </row>
    <row r="4599">
      <c r="A4599" t="inlineStr">
        <is>
          <t>ORD04598</t>
        </is>
      </c>
      <c r="B4599" t="inlineStr">
        <is>
          <t>C2098</t>
        </is>
      </c>
      <c r="C4599" t="n">
        <v>2</v>
      </c>
      <c r="D4599" t="inlineStr">
        <is>
          <t>Hub B</t>
        </is>
      </c>
      <c r="E4599" t="n">
        <v>44</v>
      </c>
      <c r="F4599" t="n">
        <v>22</v>
      </c>
    </row>
    <row r="4600">
      <c r="A4600" t="inlineStr">
        <is>
          <t>ORD04599</t>
        </is>
      </c>
      <c r="B4600" t="inlineStr">
        <is>
          <t>C2099</t>
        </is>
      </c>
      <c r="C4600" t="n">
        <v>3</v>
      </c>
      <c r="D4600" t="inlineStr">
        <is>
          <t>Hub B</t>
        </is>
      </c>
      <c r="E4600" t="n">
        <v>51</v>
      </c>
      <c r="F4600" t="n">
        <v>22</v>
      </c>
    </row>
    <row r="4601">
      <c r="A4601" t="inlineStr">
        <is>
          <t>ORD04600</t>
        </is>
      </c>
      <c r="B4601" t="inlineStr">
        <is>
          <t>C2100</t>
        </is>
      </c>
      <c r="C4601" t="n">
        <v>1</v>
      </c>
      <c r="D4601" t="inlineStr">
        <is>
          <t>Hub B</t>
        </is>
      </c>
      <c r="E4601" t="n">
        <v>58</v>
      </c>
      <c r="F4601" t="n">
        <v>22</v>
      </c>
    </row>
    <row r="4602">
      <c r="A4602" t="inlineStr">
        <is>
          <t>ORD04601</t>
        </is>
      </c>
      <c r="B4602" t="inlineStr">
        <is>
          <t>C2101</t>
        </is>
      </c>
      <c r="C4602" t="n">
        <v>2</v>
      </c>
      <c r="D4602" t="inlineStr">
        <is>
          <t>Hub B</t>
        </is>
      </c>
      <c r="E4602" t="n">
        <v>65</v>
      </c>
      <c r="F4602" t="n">
        <v>22</v>
      </c>
    </row>
    <row r="4603">
      <c r="A4603" t="inlineStr">
        <is>
          <t>ORD04602</t>
        </is>
      </c>
      <c r="B4603" t="inlineStr">
        <is>
          <t>C2102</t>
        </is>
      </c>
      <c r="C4603" t="n">
        <v>3</v>
      </c>
      <c r="D4603" t="inlineStr">
        <is>
          <t>Hub B</t>
        </is>
      </c>
      <c r="E4603" t="n">
        <v>72</v>
      </c>
      <c r="F4603" t="n">
        <v>22</v>
      </c>
    </row>
    <row r="4604">
      <c r="A4604" t="inlineStr">
        <is>
          <t>ORD04603</t>
        </is>
      </c>
      <c r="B4604" t="inlineStr">
        <is>
          <t>C2103</t>
        </is>
      </c>
      <c r="C4604" t="n">
        <v>1</v>
      </c>
      <c r="D4604" t="inlineStr">
        <is>
          <t>Hub B</t>
        </is>
      </c>
      <c r="E4604" t="n">
        <v>19</v>
      </c>
      <c r="F4604" t="n">
        <v>22</v>
      </c>
    </row>
    <row r="4605">
      <c r="A4605" t="inlineStr">
        <is>
          <t>ORD04604</t>
        </is>
      </c>
      <c r="B4605" t="inlineStr">
        <is>
          <t>C2104</t>
        </is>
      </c>
      <c r="C4605" t="n">
        <v>2</v>
      </c>
      <c r="D4605" t="inlineStr">
        <is>
          <t>Hub B</t>
        </is>
      </c>
      <c r="E4605" t="n">
        <v>26</v>
      </c>
      <c r="F4605" t="n">
        <v>22</v>
      </c>
    </row>
    <row r="4606">
      <c r="A4606" t="inlineStr">
        <is>
          <t>ORD04605</t>
        </is>
      </c>
      <c r="B4606" t="inlineStr">
        <is>
          <t>C2105</t>
        </is>
      </c>
      <c r="C4606" t="n">
        <v>3</v>
      </c>
      <c r="D4606" t="inlineStr">
        <is>
          <t>Hub B</t>
        </is>
      </c>
      <c r="E4606" t="n">
        <v>33</v>
      </c>
      <c r="F4606" t="n">
        <v>22</v>
      </c>
    </row>
    <row r="4607">
      <c r="A4607" t="inlineStr">
        <is>
          <t>ORD04606</t>
        </is>
      </c>
      <c r="B4607" t="inlineStr">
        <is>
          <t>C2106</t>
        </is>
      </c>
      <c r="C4607" t="n">
        <v>1</v>
      </c>
      <c r="D4607" t="inlineStr">
        <is>
          <t>Hub B</t>
        </is>
      </c>
      <c r="E4607" t="n">
        <v>40</v>
      </c>
      <c r="F4607" t="n">
        <v>22</v>
      </c>
    </row>
    <row r="4608">
      <c r="A4608" t="inlineStr">
        <is>
          <t>ORD04607</t>
        </is>
      </c>
      <c r="B4608" t="inlineStr">
        <is>
          <t>C2107</t>
        </is>
      </c>
      <c r="C4608" t="n">
        <v>2</v>
      </c>
      <c r="D4608" t="inlineStr">
        <is>
          <t>Hub B</t>
        </is>
      </c>
      <c r="E4608" t="n">
        <v>47</v>
      </c>
      <c r="F4608" t="n">
        <v>22</v>
      </c>
    </row>
    <row r="4609">
      <c r="A4609" t="inlineStr">
        <is>
          <t>ORD04608</t>
        </is>
      </c>
      <c r="B4609" t="inlineStr">
        <is>
          <t>C2108</t>
        </is>
      </c>
      <c r="C4609" t="n">
        <v>3</v>
      </c>
      <c r="D4609" t="inlineStr">
        <is>
          <t>Hub B</t>
        </is>
      </c>
      <c r="E4609" t="n">
        <v>54</v>
      </c>
      <c r="F4609" t="n">
        <v>22</v>
      </c>
    </row>
    <row r="4610">
      <c r="A4610" t="inlineStr">
        <is>
          <t>ORD04609</t>
        </is>
      </c>
      <c r="B4610" t="inlineStr">
        <is>
          <t>C2109</t>
        </is>
      </c>
      <c r="C4610" t="n">
        <v>1</v>
      </c>
      <c r="D4610" t="inlineStr">
        <is>
          <t>Hub B</t>
        </is>
      </c>
      <c r="E4610" t="n">
        <v>61</v>
      </c>
      <c r="F4610" t="n">
        <v>22</v>
      </c>
    </row>
    <row r="4611">
      <c r="A4611" t="inlineStr">
        <is>
          <t>ORD04610</t>
        </is>
      </c>
      <c r="B4611" t="inlineStr">
        <is>
          <t>C2110</t>
        </is>
      </c>
      <c r="C4611" t="n">
        <v>2</v>
      </c>
      <c r="D4611" t="inlineStr">
        <is>
          <t>Hub B</t>
        </is>
      </c>
      <c r="E4611" t="n">
        <v>68</v>
      </c>
      <c r="F4611" t="n">
        <v>22</v>
      </c>
    </row>
    <row r="4612">
      <c r="A4612" t="inlineStr">
        <is>
          <t>ORD04611</t>
        </is>
      </c>
      <c r="B4612" t="inlineStr">
        <is>
          <t>C2111</t>
        </is>
      </c>
      <c r="C4612" t="n">
        <v>3</v>
      </c>
      <c r="D4612" t="inlineStr">
        <is>
          <t>Hub B</t>
        </is>
      </c>
      <c r="E4612" t="n">
        <v>75</v>
      </c>
      <c r="F4612" t="n">
        <v>22</v>
      </c>
    </row>
    <row r="4613">
      <c r="A4613" t="inlineStr">
        <is>
          <t>ORD04612</t>
        </is>
      </c>
      <c r="B4613" t="inlineStr">
        <is>
          <t>C2112</t>
        </is>
      </c>
      <c r="C4613" t="n">
        <v>1</v>
      </c>
      <c r="D4613" t="inlineStr">
        <is>
          <t>Hub B</t>
        </is>
      </c>
      <c r="E4613" t="n">
        <v>22</v>
      </c>
      <c r="F4613" t="n">
        <v>22</v>
      </c>
    </row>
    <row r="4614">
      <c r="A4614" t="inlineStr">
        <is>
          <t>ORD04613</t>
        </is>
      </c>
      <c r="B4614" t="inlineStr">
        <is>
          <t>C2113</t>
        </is>
      </c>
      <c r="C4614" t="n">
        <v>2</v>
      </c>
      <c r="D4614" t="inlineStr">
        <is>
          <t>Hub B</t>
        </is>
      </c>
      <c r="E4614" t="n">
        <v>29</v>
      </c>
      <c r="F4614" t="n">
        <v>22</v>
      </c>
    </row>
    <row r="4615">
      <c r="A4615" t="inlineStr">
        <is>
          <t>ORD04614</t>
        </is>
      </c>
      <c r="B4615" t="inlineStr">
        <is>
          <t>C2114</t>
        </is>
      </c>
      <c r="C4615" t="n">
        <v>3</v>
      </c>
      <c r="D4615" t="inlineStr">
        <is>
          <t>Hub B</t>
        </is>
      </c>
      <c r="E4615" t="n">
        <v>36</v>
      </c>
      <c r="F4615" t="n">
        <v>22</v>
      </c>
    </row>
    <row r="4616">
      <c r="A4616" t="inlineStr">
        <is>
          <t>ORD04615</t>
        </is>
      </c>
      <c r="B4616" t="inlineStr">
        <is>
          <t>C2115</t>
        </is>
      </c>
      <c r="C4616" t="n">
        <v>1</v>
      </c>
      <c r="D4616" t="inlineStr">
        <is>
          <t>Hub B</t>
        </is>
      </c>
      <c r="E4616" t="n">
        <v>43</v>
      </c>
      <c r="F4616" t="n">
        <v>22</v>
      </c>
    </row>
    <row r="4617">
      <c r="A4617" t="inlineStr">
        <is>
          <t>ORD04616</t>
        </is>
      </c>
      <c r="B4617" t="inlineStr">
        <is>
          <t>C2116</t>
        </is>
      </c>
      <c r="C4617" t="n">
        <v>2</v>
      </c>
      <c r="D4617" t="inlineStr">
        <is>
          <t>Hub B</t>
        </is>
      </c>
      <c r="E4617" t="n">
        <v>50</v>
      </c>
      <c r="F4617" t="n">
        <v>22</v>
      </c>
    </row>
    <row r="4618">
      <c r="A4618" t="inlineStr">
        <is>
          <t>ORD04617</t>
        </is>
      </c>
      <c r="B4618" t="inlineStr">
        <is>
          <t>C2117</t>
        </is>
      </c>
      <c r="C4618" t="n">
        <v>3</v>
      </c>
      <c r="D4618" t="inlineStr">
        <is>
          <t>Hub B</t>
        </is>
      </c>
      <c r="E4618" t="n">
        <v>57</v>
      </c>
      <c r="F4618" t="n">
        <v>22</v>
      </c>
    </row>
    <row r="4619">
      <c r="A4619" t="inlineStr">
        <is>
          <t>ORD04618</t>
        </is>
      </c>
      <c r="B4619" t="inlineStr">
        <is>
          <t>C2118</t>
        </is>
      </c>
      <c r="C4619" t="n">
        <v>1</v>
      </c>
      <c r="D4619" t="inlineStr">
        <is>
          <t>Hub B</t>
        </is>
      </c>
      <c r="E4619" t="n">
        <v>64</v>
      </c>
      <c r="F4619" t="n">
        <v>22</v>
      </c>
    </row>
    <row r="4620">
      <c r="A4620" t="inlineStr">
        <is>
          <t>ORD04619</t>
        </is>
      </c>
      <c r="B4620" t="inlineStr">
        <is>
          <t>C2119</t>
        </is>
      </c>
      <c r="C4620" t="n">
        <v>2</v>
      </c>
      <c r="D4620" t="inlineStr">
        <is>
          <t>Hub B</t>
        </is>
      </c>
      <c r="E4620" t="n">
        <v>71</v>
      </c>
      <c r="F4620" t="n">
        <v>22</v>
      </c>
    </row>
    <row r="4621">
      <c r="A4621" t="inlineStr">
        <is>
          <t>ORD04620</t>
        </is>
      </c>
      <c r="B4621" t="inlineStr">
        <is>
          <t>C2120</t>
        </is>
      </c>
      <c r="C4621" t="n">
        <v>3</v>
      </c>
      <c r="D4621" t="inlineStr">
        <is>
          <t>Hub B</t>
        </is>
      </c>
      <c r="E4621" t="n">
        <v>18</v>
      </c>
      <c r="F4621" t="n">
        <v>22</v>
      </c>
    </row>
    <row r="4622">
      <c r="A4622" t="inlineStr">
        <is>
          <t>ORD04621</t>
        </is>
      </c>
      <c r="B4622" t="inlineStr">
        <is>
          <t>C2121</t>
        </is>
      </c>
      <c r="C4622" t="n">
        <v>1</v>
      </c>
      <c r="D4622" t="inlineStr">
        <is>
          <t>Hub B</t>
        </is>
      </c>
      <c r="E4622" t="n">
        <v>25</v>
      </c>
      <c r="F4622" t="n">
        <v>22</v>
      </c>
    </row>
    <row r="4623">
      <c r="A4623" t="inlineStr">
        <is>
          <t>ORD04622</t>
        </is>
      </c>
      <c r="B4623" t="inlineStr">
        <is>
          <t>C2122</t>
        </is>
      </c>
      <c r="C4623" t="n">
        <v>2</v>
      </c>
      <c r="D4623" t="inlineStr">
        <is>
          <t>Hub B</t>
        </is>
      </c>
      <c r="E4623" t="n">
        <v>32</v>
      </c>
      <c r="F4623" t="n">
        <v>22</v>
      </c>
    </row>
    <row r="4624">
      <c r="A4624" t="inlineStr">
        <is>
          <t>ORD04623</t>
        </is>
      </c>
      <c r="B4624" t="inlineStr">
        <is>
          <t>C2123</t>
        </is>
      </c>
      <c r="C4624" t="n">
        <v>3</v>
      </c>
      <c r="D4624" t="inlineStr">
        <is>
          <t>Hub B</t>
        </is>
      </c>
      <c r="E4624" t="n">
        <v>39</v>
      </c>
      <c r="F4624" t="n">
        <v>22</v>
      </c>
    </row>
    <row r="4625">
      <c r="A4625" t="inlineStr">
        <is>
          <t>ORD04624</t>
        </is>
      </c>
      <c r="B4625" t="inlineStr">
        <is>
          <t>C2124</t>
        </is>
      </c>
      <c r="C4625" t="n">
        <v>1</v>
      </c>
      <c r="D4625" t="inlineStr">
        <is>
          <t>Hub B</t>
        </is>
      </c>
      <c r="E4625" t="n">
        <v>46</v>
      </c>
      <c r="F4625" t="n">
        <v>22</v>
      </c>
    </row>
    <row r="4626">
      <c r="A4626" t="inlineStr">
        <is>
          <t>ORD04625</t>
        </is>
      </c>
      <c r="B4626" t="inlineStr">
        <is>
          <t>C2125</t>
        </is>
      </c>
      <c r="C4626" t="n">
        <v>2</v>
      </c>
      <c r="D4626" t="inlineStr">
        <is>
          <t>Hub B</t>
        </is>
      </c>
      <c r="E4626" t="n">
        <v>53</v>
      </c>
      <c r="F4626" t="n">
        <v>22</v>
      </c>
    </row>
    <row r="4627">
      <c r="A4627" t="inlineStr">
        <is>
          <t>ORD04626</t>
        </is>
      </c>
      <c r="B4627" t="inlineStr">
        <is>
          <t>C2126</t>
        </is>
      </c>
      <c r="C4627" t="n">
        <v>3</v>
      </c>
      <c r="D4627" t="inlineStr">
        <is>
          <t>Hub B</t>
        </is>
      </c>
      <c r="E4627" t="n">
        <v>60</v>
      </c>
      <c r="F4627" t="n">
        <v>22</v>
      </c>
    </row>
    <row r="4628">
      <c r="A4628" t="inlineStr">
        <is>
          <t>ORD04627</t>
        </is>
      </c>
      <c r="B4628" t="inlineStr">
        <is>
          <t>C2127</t>
        </is>
      </c>
      <c r="C4628" t="n">
        <v>1</v>
      </c>
      <c r="D4628" t="inlineStr">
        <is>
          <t>Hub B</t>
        </is>
      </c>
      <c r="E4628" t="n">
        <v>67</v>
      </c>
      <c r="F4628" t="n">
        <v>22</v>
      </c>
    </row>
    <row r="4629">
      <c r="A4629" t="inlineStr">
        <is>
          <t>ORD04628</t>
        </is>
      </c>
      <c r="B4629" t="inlineStr">
        <is>
          <t>C2128</t>
        </is>
      </c>
      <c r="C4629" t="n">
        <v>2</v>
      </c>
      <c r="D4629" t="inlineStr">
        <is>
          <t>Hub B</t>
        </is>
      </c>
      <c r="E4629" t="n">
        <v>74</v>
      </c>
      <c r="F4629" t="n">
        <v>22</v>
      </c>
    </row>
    <row r="4630">
      <c r="A4630" t="inlineStr">
        <is>
          <t>ORD04629</t>
        </is>
      </c>
      <c r="B4630" t="inlineStr">
        <is>
          <t>C2129</t>
        </is>
      </c>
      <c r="C4630" t="n">
        <v>3</v>
      </c>
      <c r="D4630" t="inlineStr">
        <is>
          <t>Hub B</t>
        </is>
      </c>
      <c r="E4630" t="n">
        <v>21</v>
      </c>
      <c r="F4630" t="n">
        <v>22</v>
      </c>
    </row>
    <row r="4631">
      <c r="A4631" t="inlineStr">
        <is>
          <t>ORD04630</t>
        </is>
      </c>
      <c r="B4631" t="inlineStr">
        <is>
          <t>C2130</t>
        </is>
      </c>
      <c r="C4631" t="n">
        <v>1</v>
      </c>
      <c r="D4631" t="inlineStr">
        <is>
          <t>Hub B</t>
        </is>
      </c>
      <c r="E4631" t="n">
        <v>28</v>
      </c>
      <c r="F4631" t="n">
        <v>22</v>
      </c>
    </row>
    <row r="4632">
      <c r="A4632" t="inlineStr">
        <is>
          <t>ORD04631</t>
        </is>
      </c>
      <c r="B4632" t="inlineStr">
        <is>
          <t>C2131</t>
        </is>
      </c>
      <c r="C4632" t="n">
        <v>2</v>
      </c>
      <c r="D4632" t="inlineStr">
        <is>
          <t>Hub B</t>
        </is>
      </c>
      <c r="E4632" t="n">
        <v>35</v>
      </c>
      <c r="F4632" t="n">
        <v>22</v>
      </c>
    </row>
    <row r="4633">
      <c r="A4633" t="inlineStr">
        <is>
          <t>ORD04632</t>
        </is>
      </c>
      <c r="B4633" t="inlineStr">
        <is>
          <t>C2132</t>
        </is>
      </c>
      <c r="C4633" t="n">
        <v>3</v>
      </c>
      <c r="D4633" t="inlineStr">
        <is>
          <t>Hub B</t>
        </is>
      </c>
      <c r="E4633" t="n">
        <v>42</v>
      </c>
      <c r="F4633" t="n">
        <v>22</v>
      </c>
    </row>
    <row r="4634">
      <c r="A4634" t="inlineStr">
        <is>
          <t>ORD04633</t>
        </is>
      </c>
      <c r="B4634" t="inlineStr">
        <is>
          <t>C2133</t>
        </is>
      </c>
      <c r="C4634" t="n">
        <v>1</v>
      </c>
      <c r="D4634" t="inlineStr">
        <is>
          <t>Hub B</t>
        </is>
      </c>
      <c r="E4634" t="n">
        <v>49</v>
      </c>
      <c r="F4634" t="n">
        <v>22</v>
      </c>
    </row>
    <row r="4635">
      <c r="A4635" t="inlineStr">
        <is>
          <t>ORD04634</t>
        </is>
      </c>
      <c r="B4635" t="inlineStr">
        <is>
          <t>C2134</t>
        </is>
      </c>
      <c r="C4635" t="n">
        <v>2</v>
      </c>
      <c r="D4635" t="inlineStr">
        <is>
          <t>Hub B</t>
        </is>
      </c>
      <c r="E4635" t="n">
        <v>56</v>
      </c>
      <c r="F4635" t="n">
        <v>22</v>
      </c>
    </row>
    <row r="4636">
      <c r="A4636" t="inlineStr">
        <is>
          <t>ORD04635</t>
        </is>
      </c>
      <c r="B4636" t="inlineStr">
        <is>
          <t>C2135</t>
        </is>
      </c>
      <c r="C4636" t="n">
        <v>3</v>
      </c>
      <c r="D4636" t="inlineStr">
        <is>
          <t>Hub B</t>
        </is>
      </c>
      <c r="E4636" t="n">
        <v>63</v>
      </c>
      <c r="F4636" t="n">
        <v>22</v>
      </c>
    </row>
    <row r="4637">
      <c r="A4637" t="inlineStr">
        <is>
          <t>ORD04636</t>
        </is>
      </c>
      <c r="B4637" t="inlineStr">
        <is>
          <t>C2136</t>
        </is>
      </c>
      <c r="C4637" t="n">
        <v>1</v>
      </c>
      <c r="D4637" t="inlineStr">
        <is>
          <t>Hub B</t>
        </is>
      </c>
      <c r="E4637" t="n">
        <v>70</v>
      </c>
      <c r="F4637" t="n">
        <v>22</v>
      </c>
    </row>
    <row r="4638">
      <c r="A4638" t="inlineStr">
        <is>
          <t>ORD04637</t>
        </is>
      </c>
      <c r="B4638" t="inlineStr">
        <is>
          <t>C2137</t>
        </is>
      </c>
      <c r="C4638" t="n">
        <v>2</v>
      </c>
      <c r="D4638" t="inlineStr">
        <is>
          <t>Hub B</t>
        </is>
      </c>
      <c r="E4638" t="n">
        <v>77</v>
      </c>
      <c r="F4638" t="n">
        <v>22</v>
      </c>
    </row>
    <row r="4639">
      <c r="A4639" t="inlineStr">
        <is>
          <t>ORD04638</t>
        </is>
      </c>
      <c r="B4639" t="inlineStr">
        <is>
          <t>C2138</t>
        </is>
      </c>
      <c r="C4639" t="n">
        <v>3</v>
      </c>
      <c r="D4639" t="inlineStr">
        <is>
          <t>Hub B</t>
        </is>
      </c>
      <c r="E4639" t="n">
        <v>24</v>
      </c>
      <c r="F4639" t="n">
        <v>22</v>
      </c>
    </row>
    <row r="4640">
      <c r="A4640" t="inlineStr">
        <is>
          <t>ORD04639</t>
        </is>
      </c>
      <c r="B4640" t="inlineStr">
        <is>
          <t>C2139</t>
        </is>
      </c>
      <c r="C4640" t="n">
        <v>1</v>
      </c>
      <c r="D4640" t="inlineStr">
        <is>
          <t>Hub B</t>
        </is>
      </c>
      <c r="E4640" t="n">
        <v>31</v>
      </c>
      <c r="F4640" t="n">
        <v>22</v>
      </c>
    </row>
    <row r="4641">
      <c r="A4641" t="inlineStr">
        <is>
          <t>ORD04640</t>
        </is>
      </c>
      <c r="B4641" t="inlineStr">
        <is>
          <t>C2140</t>
        </is>
      </c>
      <c r="C4641" t="n">
        <v>2</v>
      </c>
      <c r="D4641" t="inlineStr">
        <is>
          <t>Hub B</t>
        </is>
      </c>
      <c r="E4641" t="n">
        <v>38</v>
      </c>
      <c r="F4641" t="n">
        <v>22</v>
      </c>
    </row>
    <row r="4642">
      <c r="A4642" t="inlineStr">
        <is>
          <t>ORD04641</t>
        </is>
      </c>
      <c r="B4642" t="inlineStr">
        <is>
          <t>C2141</t>
        </is>
      </c>
      <c r="C4642" t="n">
        <v>3</v>
      </c>
      <c r="D4642" t="inlineStr">
        <is>
          <t>Hub B</t>
        </is>
      </c>
      <c r="E4642" t="n">
        <v>45</v>
      </c>
      <c r="F4642" t="n">
        <v>22</v>
      </c>
    </row>
    <row r="4643">
      <c r="A4643" t="inlineStr">
        <is>
          <t>ORD04642</t>
        </is>
      </c>
      <c r="B4643" t="inlineStr">
        <is>
          <t>C2142</t>
        </is>
      </c>
      <c r="C4643" t="n">
        <v>1</v>
      </c>
      <c r="D4643" t="inlineStr">
        <is>
          <t>Hub B</t>
        </is>
      </c>
      <c r="E4643" t="n">
        <v>52</v>
      </c>
      <c r="F4643" t="n">
        <v>22</v>
      </c>
    </row>
    <row r="4644">
      <c r="A4644" t="inlineStr">
        <is>
          <t>ORD04643</t>
        </is>
      </c>
      <c r="B4644" t="inlineStr">
        <is>
          <t>C2143</t>
        </is>
      </c>
      <c r="C4644" t="n">
        <v>2</v>
      </c>
      <c r="D4644" t="inlineStr">
        <is>
          <t>Hub B</t>
        </is>
      </c>
      <c r="E4644" t="n">
        <v>59</v>
      </c>
      <c r="F4644" t="n">
        <v>22</v>
      </c>
    </row>
    <row r="4645">
      <c r="A4645" t="inlineStr">
        <is>
          <t>ORD04644</t>
        </is>
      </c>
      <c r="B4645" t="inlineStr">
        <is>
          <t>C2144</t>
        </is>
      </c>
      <c r="C4645" t="n">
        <v>3</v>
      </c>
      <c r="D4645" t="inlineStr">
        <is>
          <t>Hub B</t>
        </is>
      </c>
      <c r="E4645" t="n">
        <v>66</v>
      </c>
      <c r="F4645" t="n">
        <v>22</v>
      </c>
    </row>
    <row r="4646">
      <c r="A4646" t="inlineStr">
        <is>
          <t>ORD04645</t>
        </is>
      </c>
      <c r="B4646" t="inlineStr">
        <is>
          <t>C2145</t>
        </is>
      </c>
      <c r="C4646" t="n">
        <v>1</v>
      </c>
      <c r="D4646" t="inlineStr">
        <is>
          <t>Hub B</t>
        </is>
      </c>
      <c r="E4646" t="n">
        <v>73</v>
      </c>
      <c r="F4646" t="n">
        <v>22</v>
      </c>
    </row>
    <row r="4647">
      <c r="A4647" t="inlineStr">
        <is>
          <t>ORD04646</t>
        </is>
      </c>
      <c r="B4647" t="inlineStr">
        <is>
          <t>C2146</t>
        </is>
      </c>
      <c r="C4647" t="n">
        <v>2</v>
      </c>
      <c r="D4647" t="inlineStr">
        <is>
          <t>Hub B</t>
        </is>
      </c>
      <c r="E4647" t="n">
        <v>20</v>
      </c>
      <c r="F4647" t="n">
        <v>22</v>
      </c>
    </row>
    <row r="4648">
      <c r="A4648" t="inlineStr">
        <is>
          <t>ORD04647</t>
        </is>
      </c>
      <c r="B4648" t="inlineStr">
        <is>
          <t>C2147</t>
        </is>
      </c>
      <c r="C4648" t="n">
        <v>3</v>
      </c>
      <c r="D4648" t="inlineStr">
        <is>
          <t>Hub B</t>
        </is>
      </c>
      <c r="E4648" t="n">
        <v>27</v>
      </c>
      <c r="F4648" t="n">
        <v>22</v>
      </c>
    </row>
    <row r="4649">
      <c r="A4649" t="inlineStr">
        <is>
          <t>ORD04648</t>
        </is>
      </c>
      <c r="B4649" t="inlineStr">
        <is>
          <t>C2148</t>
        </is>
      </c>
      <c r="C4649" t="n">
        <v>1</v>
      </c>
      <c r="D4649" t="inlineStr">
        <is>
          <t>Hub B</t>
        </is>
      </c>
      <c r="E4649" t="n">
        <v>34</v>
      </c>
      <c r="F4649" t="n">
        <v>22</v>
      </c>
    </row>
    <row r="4650">
      <c r="A4650" t="inlineStr">
        <is>
          <t>ORD04649</t>
        </is>
      </c>
      <c r="B4650" t="inlineStr">
        <is>
          <t>C2149</t>
        </is>
      </c>
      <c r="C4650" t="n">
        <v>2</v>
      </c>
      <c r="D4650" t="inlineStr">
        <is>
          <t>Hub B</t>
        </is>
      </c>
      <c r="E4650" t="n">
        <v>41</v>
      </c>
      <c r="F4650" t="n">
        <v>22</v>
      </c>
    </row>
    <row r="4651">
      <c r="A4651" t="inlineStr">
        <is>
          <t>ORD04650</t>
        </is>
      </c>
      <c r="B4651" t="inlineStr">
        <is>
          <t>C2150</t>
        </is>
      </c>
      <c r="C4651" t="n">
        <v>3</v>
      </c>
      <c r="D4651" t="inlineStr">
        <is>
          <t>Hub B</t>
        </is>
      </c>
      <c r="E4651" t="n">
        <v>48</v>
      </c>
      <c r="F4651" t="n">
        <v>22</v>
      </c>
    </row>
    <row r="4652">
      <c r="A4652" t="inlineStr">
        <is>
          <t>ORD04651</t>
        </is>
      </c>
      <c r="B4652" t="inlineStr">
        <is>
          <t>C2151</t>
        </is>
      </c>
      <c r="C4652" t="n">
        <v>1</v>
      </c>
      <c r="D4652" t="inlineStr">
        <is>
          <t>Hub B</t>
        </is>
      </c>
      <c r="E4652" t="n">
        <v>55</v>
      </c>
      <c r="F4652" t="n">
        <v>22</v>
      </c>
    </row>
    <row r="4653">
      <c r="A4653" t="inlineStr">
        <is>
          <t>ORD04652</t>
        </is>
      </c>
      <c r="B4653" t="inlineStr">
        <is>
          <t>C2152</t>
        </is>
      </c>
      <c r="C4653" t="n">
        <v>2</v>
      </c>
      <c r="D4653" t="inlineStr">
        <is>
          <t>Hub B</t>
        </is>
      </c>
      <c r="E4653" t="n">
        <v>62</v>
      </c>
      <c r="F4653" t="n">
        <v>22</v>
      </c>
    </row>
    <row r="4654">
      <c r="A4654" t="inlineStr">
        <is>
          <t>ORD04653</t>
        </is>
      </c>
      <c r="B4654" t="inlineStr">
        <is>
          <t>C2153</t>
        </is>
      </c>
      <c r="C4654" t="n">
        <v>3</v>
      </c>
      <c r="D4654" t="inlineStr">
        <is>
          <t>Hub B</t>
        </is>
      </c>
      <c r="E4654" t="n">
        <v>69</v>
      </c>
      <c r="F4654" t="n">
        <v>22</v>
      </c>
    </row>
    <row r="4655">
      <c r="A4655" t="inlineStr">
        <is>
          <t>ORD04654</t>
        </is>
      </c>
      <c r="B4655" t="inlineStr">
        <is>
          <t>C2154</t>
        </is>
      </c>
      <c r="C4655" t="n">
        <v>1</v>
      </c>
      <c r="D4655" t="inlineStr">
        <is>
          <t>Hub B</t>
        </is>
      </c>
      <c r="E4655" t="n">
        <v>76</v>
      </c>
      <c r="F4655" t="n">
        <v>22</v>
      </c>
    </row>
    <row r="4656">
      <c r="A4656" t="inlineStr">
        <is>
          <t>ORD04655</t>
        </is>
      </c>
      <c r="B4656" t="inlineStr">
        <is>
          <t>C2155</t>
        </is>
      </c>
      <c r="C4656" t="n">
        <v>2</v>
      </c>
      <c r="D4656" t="inlineStr">
        <is>
          <t>Hub B</t>
        </is>
      </c>
      <c r="E4656" t="n">
        <v>23</v>
      </c>
      <c r="F4656" t="n">
        <v>22</v>
      </c>
    </row>
    <row r="4657">
      <c r="A4657" t="inlineStr">
        <is>
          <t>ORD04656</t>
        </is>
      </c>
      <c r="B4657" t="inlineStr">
        <is>
          <t>C2156</t>
        </is>
      </c>
      <c r="C4657" t="n">
        <v>3</v>
      </c>
      <c r="D4657" t="inlineStr">
        <is>
          <t>Hub B</t>
        </is>
      </c>
      <c r="E4657" t="n">
        <v>30</v>
      </c>
      <c r="F4657" t="n">
        <v>22</v>
      </c>
    </row>
    <row r="4658">
      <c r="A4658" t="inlineStr">
        <is>
          <t>ORD04657</t>
        </is>
      </c>
      <c r="B4658" t="inlineStr">
        <is>
          <t>C2157</t>
        </is>
      </c>
      <c r="C4658" t="n">
        <v>1</v>
      </c>
      <c r="D4658" t="inlineStr">
        <is>
          <t>Hub B</t>
        </is>
      </c>
      <c r="E4658" t="n">
        <v>37</v>
      </c>
      <c r="F4658" t="n">
        <v>22</v>
      </c>
    </row>
    <row r="4659">
      <c r="A4659" t="inlineStr">
        <is>
          <t>ORD04658</t>
        </is>
      </c>
      <c r="B4659" t="inlineStr">
        <is>
          <t>C2158</t>
        </is>
      </c>
      <c r="C4659" t="n">
        <v>2</v>
      </c>
      <c r="D4659" t="inlineStr">
        <is>
          <t>Hub B</t>
        </is>
      </c>
      <c r="E4659" t="n">
        <v>44</v>
      </c>
      <c r="F4659" t="n">
        <v>22</v>
      </c>
    </row>
    <row r="4660">
      <c r="A4660" t="inlineStr">
        <is>
          <t>ORD04659</t>
        </is>
      </c>
      <c r="B4660" t="inlineStr">
        <is>
          <t>C2159</t>
        </is>
      </c>
      <c r="C4660" t="n">
        <v>3</v>
      </c>
      <c r="D4660" t="inlineStr">
        <is>
          <t>Hub B</t>
        </is>
      </c>
      <c r="E4660" t="n">
        <v>51</v>
      </c>
      <c r="F4660" t="n">
        <v>22</v>
      </c>
    </row>
    <row r="4661">
      <c r="A4661" t="inlineStr">
        <is>
          <t>ORD04660</t>
        </is>
      </c>
      <c r="B4661" t="inlineStr">
        <is>
          <t>C2160</t>
        </is>
      </c>
      <c r="C4661" t="n">
        <v>1</v>
      </c>
      <c r="D4661" t="inlineStr">
        <is>
          <t>Hub B</t>
        </is>
      </c>
      <c r="E4661" t="n">
        <v>58</v>
      </c>
      <c r="F4661" t="n">
        <v>22</v>
      </c>
    </row>
    <row r="4662">
      <c r="A4662" t="inlineStr">
        <is>
          <t>ORD04661</t>
        </is>
      </c>
      <c r="B4662" t="inlineStr">
        <is>
          <t>C2161</t>
        </is>
      </c>
      <c r="C4662" t="n">
        <v>2</v>
      </c>
      <c r="D4662" t="inlineStr">
        <is>
          <t>Hub B</t>
        </is>
      </c>
      <c r="E4662" t="n">
        <v>65</v>
      </c>
      <c r="F4662" t="n">
        <v>22</v>
      </c>
    </row>
    <row r="4663">
      <c r="A4663" t="inlineStr">
        <is>
          <t>ORD04662</t>
        </is>
      </c>
      <c r="B4663" t="inlineStr">
        <is>
          <t>C2162</t>
        </is>
      </c>
      <c r="C4663" t="n">
        <v>3</v>
      </c>
      <c r="D4663" t="inlineStr">
        <is>
          <t>Hub B</t>
        </is>
      </c>
      <c r="E4663" t="n">
        <v>72</v>
      </c>
      <c r="F4663" t="n">
        <v>22</v>
      </c>
    </row>
    <row r="4664">
      <c r="A4664" t="inlineStr">
        <is>
          <t>ORD04663</t>
        </is>
      </c>
      <c r="B4664" t="inlineStr">
        <is>
          <t>C2163</t>
        </is>
      </c>
      <c r="C4664" t="n">
        <v>1</v>
      </c>
      <c r="D4664" t="inlineStr">
        <is>
          <t>Hub B</t>
        </is>
      </c>
      <c r="E4664" t="n">
        <v>19</v>
      </c>
      <c r="F4664" t="n">
        <v>22</v>
      </c>
    </row>
    <row r="4665">
      <c r="A4665" t="inlineStr">
        <is>
          <t>ORD04664</t>
        </is>
      </c>
      <c r="B4665" t="inlineStr">
        <is>
          <t>C2164</t>
        </is>
      </c>
      <c r="C4665" t="n">
        <v>2</v>
      </c>
      <c r="D4665" t="inlineStr">
        <is>
          <t>Hub B</t>
        </is>
      </c>
      <c r="E4665" t="n">
        <v>26</v>
      </c>
      <c r="F4665" t="n">
        <v>22</v>
      </c>
    </row>
    <row r="4666">
      <c r="A4666" t="inlineStr">
        <is>
          <t>ORD04665</t>
        </is>
      </c>
      <c r="B4666" t="inlineStr">
        <is>
          <t>C2165</t>
        </is>
      </c>
      <c r="C4666" t="n">
        <v>3</v>
      </c>
      <c r="D4666" t="inlineStr">
        <is>
          <t>Hub B</t>
        </is>
      </c>
      <c r="E4666" t="n">
        <v>33</v>
      </c>
      <c r="F4666" t="n">
        <v>22</v>
      </c>
    </row>
    <row r="4667">
      <c r="A4667" t="inlineStr">
        <is>
          <t>ORD04666</t>
        </is>
      </c>
      <c r="B4667" t="inlineStr">
        <is>
          <t>C2166</t>
        </is>
      </c>
      <c r="C4667" t="n">
        <v>1</v>
      </c>
      <c r="D4667" t="inlineStr">
        <is>
          <t>Hub B</t>
        </is>
      </c>
      <c r="E4667" t="n">
        <v>40</v>
      </c>
      <c r="F4667" t="n">
        <v>22</v>
      </c>
    </row>
    <row r="4668">
      <c r="A4668" t="inlineStr">
        <is>
          <t>ORD04667</t>
        </is>
      </c>
      <c r="B4668" t="inlineStr">
        <is>
          <t>C2167</t>
        </is>
      </c>
      <c r="C4668" t="n">
        <v>2</v>
      </c>
      <c r="D4668" t="inlineStr">
        <is>
          <t>Hub B</t>
        </is>
      </c>
      <c r="E4668" t="n">
        <v>47</v>
      </c>
      <c r="F4668" t="n">
        <v>22</v>
      </c>
    </row>
    <row r="4669">
      <c r="A4669" t="inlineStr">
        <is>
          <t>ORD04668</t>
        </is>
      </c>
      <c r="B4669" t="inlineStr">
        <is>
          <t>C2168</t>
        </is>
      </c>
      <c r="C4669" t="n">
        <v>3</v>
      </c>
      <c r="D4669" t="inlineStr">
        <is>
          <t>Hub B</t>
        </is>
      </c>
      <c r="E4669" t="n">
        <v>54</v>
      </c>
      <c r="F4669" t="n">
        <v>22</v>
      </c>
    </row>
    <row r="4670">
      <c r="A4670" t="inlineStr">
        <is>
          <t>ORD04669</t>
        </is>
      </c>
      <c r="B4670" t="inlineStr">
        <is>
          <t>C2169</t>
        </is>
      </c>
      <c r="C4670" t="n">
        <v>1</v>
      </c>
      <c r="D4670" t="inlineStr">
        <is>
          <t>Hub B</t>
        </is>
      </c>
      <c r="E4670" t="n">
        <v>61</v>
      </c>
      <c r="F4670" t="n">
        <v>22</v>
      </c>
    </row>
    <row r="4671">
      <c r="A4671" t="inlineStr">
        <is>
          <t>ORD04670</t>
        </is>
      </c>
      <c r="B4671" t="inlineStr">
        <is>
          <t>C2170</t>
        </is>
      </c>
      <c r="C4671" t="n">
        <v>2</v>
      </c>
      <c r="D4671" t="inlineStr">
        <is>
          <t>Hub B</t>
        </is>
      </c>
      <c r="E4671" t="n">
        <v>68</v>
      </c>
      <c r="F4671" t="n">
        <v>22</v>
      </c>
    </row>
    <row r="4672">
      <c r="A4672" t="inlineStr">
        <is>
          <t>ORD04671</t>
        </is>
      </c>
      <c r="B4672" t="inlineStr">
        <is>
          <t>C2171</t>
        </is>
      </c>
      <c r="C4672" t="n">
        <v>3</v>
      </c>
      <c r="D4672" t="inlineStr">
        <is>
          <t>Hub B</t>
        </is>
      </c>
      <c r="E4672" t="n">
        <v>75</v>
      </c>
      <c r="F4672" t="n">
        <v>22</v>
      </c>
    </row>
    <row r="4673">
      <c r="A4673" t="inlineStr">
        <is>
          <t>ORD04672</t>
        </is>
      </c>
      <c r="B4673" t="inlineStr">
        <is>
          <t>C2172</t>
        </is>
      </c>
      <c r="C4673" t="n">
        <v>1</v>
      </c>
      <c r="D4673" t="inlineStr">
        <is>
          <t>Hub B</t>
        </is>
      </c>
      <c r="E4673" t="n">
        <v>22</v>
      </c>
      <c r="F4673" t="n">
        <v>22</v>
      </c>
    </row>
    <row r="4674">
      <c r="A4674" t="inlineStr">
        <is>
          <t>ORD04673</t>
        </is>
      </c>
      <c r="B4674" t="inlineStr">
        <is>
          <t>C2173</t>
        </is>
      </c>
      <c r="C4674" t="n">
        <v>2</v>
      </c>
      <c r="D4674" t="inlineStr">
        <is>
          <t>Hub B</t>
        </is>
      </c>
      <c r="E4674" t="n">
        <v>29</v>
      </c>
      <c r="F4674" t="n">
        <v>22</v>
      </c>
    </row>
    <row r="4675">
      <c r="A4675" t="inlineStr">
        <is>
          <t>ORD04674</t>
        </is>
      </c>
      <c r="B4675" t="inlineStr">
        <is>
          <t>C2174</t>
        </is>
      </c>
      <c r="C4675" t="n">
        <v>3</v>
      </c>
      <c r="D4675" t="inlineStr">
        <is>
          <t>Hub B</t>
        </is>
      </c>
      <c r="E4675" t="n">
        <v>36</v>
      </c>
      <c r="F4675" t="n">
        <v>22</v>
      </c>
    </row>
    <row r="4676">
      <c r="A4676" t="inlineStr">
        <is>
          <t>ORD04675</t>
        </is>
      </c>
      <c r="B4676" t="inlineStr">
        <is>
          <t>C2175</t>
        </is>
      </c>
      <c r="C4676" t="n">
        <v>1</v>
      </c>
      <c r="D4676" t="inlineStr">
        <is>
          <t>Hub B</t>
        </is>
      </c>
      <c r="E4676" t="n">
        <v>43</v>
      </c>
      <c r="F4676" t="n">
        <v>22</v>
      </c>
    </row>
    <row r="4677">
      <c r="A4677" t="inlineStr">
        <is>
          <t>ORD04676</t>
        </is>
      </c>
      <c r="B4677" t="inlineStr">
        <is>
          <t>C2176</t>
        </is>
      </c>
      <c r="C4677" t="n">
        <v>2</v>
      </c>
      <c r="D4677" t="inlineStr">
        <is>
          <t>Hub B</t>
        </is>
      </c>
      <c r="E4677" t="n">
        <v>50</v>
      </c>
      <c r="F4677" t="n">
        <v>22</v>
      </c>
    </row>
    <row r="4678">
      <c r="A4678" t="inlineStr">
        <is>
          <t>ORD04677</t>
        </is>
      </c>
      <c r="B4678" t="inlineStr">
        <is>
          <t>C2177</t>
        </is>
      </c>
      <c r="C4678" t="n">
        <v>3</v>
      </c>
      <c r="D4678" t="inlineStr">
        <is>
          <t>Hub B</t>
        </is>
      </c>
      <c r="E4678" t="n">
        <v>57</v>
      </c>
      <c r="F4678" t="n">
        <v>22</v>
      </c>
    </row>
    <row r="4679">
      <c r="A4679" t="inlineStr">
        <is>
          <t>ORD04678</t>
        </is>
      </c>
      <c r="B4679" t="inlineStr">
        <is>
          <t>C2178</t>
        </is>
      </c>
      <c r="C4679" t="n">
        <v>1</v>
      </c>
      <c r="D4679" t="inlineStr">
        <is>
          <t>Hub B</t>
        </is>
      </c>
      <c r="E4679" t="n">
        <v>64</v>
      </c>
      <c r="F4679" t="n">
        <v>22</v>
      </c>
    </row>
    <row r="4680">
      <c r="A4680" t="inlineStr">
        <is>
          <t>ORD04679</t>
        </is>
      </c>
      <c r="B4680" t="inlineStr">
        <is>
          <t>C2179</t>
        </is>
      </c>
      <c r="C4680" t="n">
        <v>2</v>
      </c>
      <c r="D4680" t="inlineStr">
        <is>
          <t>Hub B</t>
        </is>
      </c>
      <c r="E4680" t="n">
        <v>71</v>
      </c>
      <c r="F4680" t="n">
        <v>22</v>
      </c>
    </row>
    <row r="4681">
      <c r="A4681" t="inlineStr">
        <is>
          <t>ORD04680</t>
        </is>
      </c>
      <c r="B4681" t="inlineStr">
        <is>
          <t>C2180</t>
        </is>
      </c>
      <c r="C4681" t="n">
        <v>3</v>
      </c>
      <c r="D4681" t="inlineStr">
        <is>
          <t>Hub B</t>
        </is>
      </c>
      <c r="E4681" t="n">
        <v>18</v>
      </c>
      <c r="F4681" t="n">
        <v>22</v>
      </c>
    </row>
    <row r="4682">
      <c r="A4682" t="inlineStr">
        <is>
          <t>ORD04681</t>
        </is>
      </c>
      <c r="B4682" t="inlineStr">
        <is>
          <t>C2181</t>
        </is>
      </c>
      <c r="C4682" t="n">
        <v>1</v>
      </c>
      <c r="D4682" t="inlineStr">
        <is>
          <t>Hub B</t>
        </is>
      </c>
      <c r="E4682" t="n">
        <v>25</v>
      </c>
      <c r="F4682" t="n">
        <v>22</v>
      </c>
    </row>
    <row r="4683">
      <c r="A4683" t="inlineStr">
        <is>
          <t>ORD04682</t>
        </is>
      </c>
      <c r="B4683" t="inlineStr">
        <is>
          <t>C2182</t>
        </is>
      </c>
      <c r="C4683" t="n">
        <v>2</v>
      </c>
      <c r="D4683" t="inlineStr">
        <is>
          <t>Hub B</t>
        </is>
      </c>
      <c r="E4683" t="n">
        <v>32</v>
      </c>
      <c r="F4683" t="n">
        <v>22</v>
      </c>
    </row>
    <row r="4684">
      <c r="A4684" t="inlineStr">
        <is>
          <t>ORD04683</t>
        </is>
      </c>
      <c r="B4684" t="inlineStr">
        <is>
          <t>C2183</t>
        </is>
      </c>
      <c r="C4684" t="n">
        <v>3</v>
      </c>
      <c r="D4684" t="inlineStr">
        <is>
          <t>Hub B</t>
        </is>
      </c>
      <c r="E4684" t="n">
        <v>39</v>
      </c>
      <c r="F4684" t="n">
        <v>22</v>
      </c>
    </row>
    <row r="4685">
      <c r="A4685" t="inlineStr">
        <is>
          <t>ORD04684</t>
        </is>
      </c>
      <c r="B4685" t="inlineStr">
        <is>
          <t>C2184</t>
        </is>
      </c>
      <c r="C4685" t="n">
        <v>1</v>
      </c>
      <c r="D4685" t="inlineStr">
        <is>
          <t>Hub B</t>
        </is>
      </c>
      <c r="E4685" t="n">
        <v>46</v>
      </c>
      <c r="F4685" t="n">
        <v>22</v>
      </c>
    </row>
    <row r="4686">
      <c r="A4686" t="inlineStr">
        <is>
          <t>ORD04685</t>
        </is>
      </c>
      <c r="B4686" t="inlineStr">
        <is>
          <t>C2185</t>
        </is>
      </c>
      <c r="C4686" t="n">
        <v>2</v>
      </c>
      <c r="D4686" t="inlineStr">
        <is>
          <t>Hub B</t>
        </is>
      </c>
      <c r="E4686" t="n">
        <v>53</v>
      </c>
      <c r="F4686" t="n">
        <v>22</v>
      </c>
    </row>
    <row r="4687">
      <c r="A4687" t="inlineStr">
        <is>
          <t>ORD04686</t>
        </is>
      </c>
      <c r="B4687" t="inlineStr">
        <is>
          <t>C2186</t>
        </is>
      </c>
      <c r="C4687" t="n">
        <v>3</v>
      </c>
      <c r="D4687" t="inlineStr">
        <is>
          <t>Hub B</t>
        </is>
      </c>
      <c r="E4687" t="n">
        <v>60</v>
      </c>
      <c r="F4687" t="n">
        <v>22</v>
      </c>
    </row>
    <row r="4688">
      <c r="A4688" t="inlineStr">
        <is>
          <t>ORD04687</t>
        </is>
      </c>
      <c r="B4688" t="inlineStr">
        <is>
          <t>C2187</t>
        </is>
      </c>
      <c r="C4688" t="n">
        <v>1</v>
      </c>
      <c r="D4688" t="inlineStr">
        <is>
          <t>Hub B</t>
        </is>
      </c>
      <c r="E4688" t="n">
        <v>67</v>
      </c>
      <c r="F4688" t="n">
        <v>22</v>
      </c>
    </row>
    <row r="4689">
      <c r="A4689" t="inlineStr">
        <is>
          <t>ORD04688</t>
        </is>
      </c>
      <c r="B4689" t="inlineStr">
        <is>
          <t>C2188</t>
        </is>
      </c>
      <c r="C4689" t="n">
        <v>2</v>
      </c>
      <c r="D4689" t="inlineStr">
        <is>
          <t>Hub B</t>
        </is>
      </c>
      <c r="E4689" t="n">
        <v>74</v>
      </c>
      <c r="F4689" t="n">
        <v>22</v>
      </c>
    </row>
    <row r="4690">
      <c r="A4690" t="inlineStr">
        <is>
          <t>ORD04689</t>
        </is>
      </c>
      <c r="B4690" t="inlineStr">
        <is>
          <t>C2189</t>
        </is>
      </c>
      <c r="C4690" t="n">
        <v>3</v>
      </c>
      <c r="D4690" t="inlineStr">
        <is>
          <t>Hub B</t>
        </is>
      </c>
      <c r="E4690" t="n">
        <v>21</v>
      </c>
      <c r="F4690" t="n">
        <v>22</v>
      </c>
    </row>
    <row r="4691">
      <c r="A4691" t="inlineStr">
        <is>
          <t>ORD04690</t>
        </is>
      </c>
      <c r="B4691" t="inlineStr">
        <is>
          <t>C2190</t>
        </is>
      </c>
      <c r="C4691" t="n">
        <v>1</v>
      </c>
      <c r="D4691" t="inlineStr">
        <is>
          <t>Hub B</t>
        </is>
      </c>
      <c r="E4691" t="n">
        <v>28</v>
      </c>
      <c r="F4691" t="n">
        <v>22</v>
      </c>
    </row>
    <row r="4692">
      <c r="A4692" t="inlineStr">
        <is>
          <t>ORD04691</t>
        </is>
      </c>
      <c r="B4692" t="inlineStr">
        <is>
          <t>C2191</t>
        </is>
      </c>
      <c r="C4692" t="n">
        <v>2</v>
      </c>
      <c r="D4692" t="inlineStr">
        <is>
          <t>Hub B</t>
        </is>
      </c>
      <c r="E4692" t="n">
        <v>35</v>
      </c>
      <c r="F4692" t="n">
        <v>22</v>
      </c>
    </row>
    <row r="4693">
      <c r="A4693" t="inlineStr">
        <is>
          <t>ORD04692</t>
        </is>
      </c>
      <c r="B4693" t="inlineStr">
        <is>
          <t>C2192</t>
        </is>
      </c>
      <c r="C4693" t="n">
        <v>3</v>
      </c>
      <c r="D4693" t="inlineStr">
        <is>
          <t>Hub B</t>
        </is>
      </c>
      <c r="E4693" t="n">
        <v>42</v>
      </c>
      <c r="F4693" t="n">
        <v>22</v>
      </c>
    </row>
    <row r="4694">
      <c r="A4694" t="inlineStr">
        <is>
          <t>ORD04693</t>
        </is>
      </c>
      <c r="B4694" t="inlineStr">
        <is>
          <t>C2193</t>
        </is>
      </c>
      <c r="C4694" t="n">
        <v>1</v>
      </c>
      <c r="D4694" t="inlineStr">
        <is>
          <t>Hub B</t>
        </is>
      </c>
      <c r="E4694" t="n">
        <v>49</v>
      </c>
      <c r="F4694" t="n">
        <v>22</v>
      </c>
    </row>
    <row r="4695">
      <c r="A4695" t="inlineStr">
        <is>
          <t>ORD04694</t>
        </is>
      </c>
      <c r="B4695" t="inlineStr">
        <is>
          <t>C2194</t>
        </is>
      </c>
      <c r="C4695" t="n">
        <v>2</v>
      </c>
      <c r="D4695" t="inlineStr">
        <is>
          <t>Hub B</t>
        </is>
      </c>
      <c r="E4695" t="n">
        <v>56</v>
      </c>
      <c r="F4695" t="n">
        <v>22</v>
      </c>
    </row>
    <row r="4696">
      <c r="A4696" t="inlineStr">
        <is>
          <t>ORD04695</t>
        </is>
      </c>
      <c r="B4696" t="inlineStr">
        <is>
          <t>C2195</t>
        </is>
      </c>
      <c r="C4696" t="n">
        <v>3</v>
      </c>
      <c r="D4696" t="inlineStr">
        <is>
          <t>Hub B</t>
        </is>
      </c>
      <c r="E4696" t="n">
        <v>63</v>
      </c>
      <c r="F4696" t="n">
        <v>22</v>
      </c>
    </row>
    <row r="4697">
      <c r="A4697" t="inlineStr">
        <is>
          <t>ORD04696</t>
        </is>
      </c>
      <c r="B4697" t="inlineStr">
        <is>
          <t>C2196</t>
        </is>
      </c>
      <c r="C4697" t="n">
        <v>1</v>
      </c>
      <c r="D4697" t="inlineStr">
        <is>
          <t>Hub B</t>
        </is>
      </c>
      <c r="E4697" t="n">
        <v>70</v>
      </c>
      <c r="F4697" t="n">
        <v>22</v>
      </c>
    </row>
    <row r="4698">
      <c r="A4698" t="inlineStr">
        <is>
          <t>ORD04697</t>
        </is>
      </c>
      <c r="B4698" t="inlineStr">
        <is>
          <t>C2197</t>
        </is>
      </c>
      <c r="C4698" t="n">
        <v>2</v>
      </c>
      <c r="D4698" t="inlineStr">
        <is>
          <t>Hub B</t>
        </is>
      </c>
      <c r="E4698" t="n">
        <v>77</v>
      </c>
      <c r="F4698" t="n">
        <v>22</v>
      </c>
    </row>
    <row r="4699">
      <c r="A4699" t="inlineStr">
        <is>
          <t>ORD04698</t>
        </is>
      </c>
      <c r="B4699" t="inlineStr">
        <is>
          <t>C2198</t>
        </is>
      </c>
      <c r="C4699" t="n">
        <v>3</v>
      </c>
      <c r="D4699" t="inlineStr">
        <is>
          <t>Hub B</t>
        </is>
      </c>
      <c r="E4699" t="n">
        <v>24</v>
      </c>
      <c r="F4699" t="n">
        <v>22</v>
      </c>
    </row>
    <row r="4700">
      <c r="A4700" t="inlineStr">
        <is>
          <t>ORD04699</t>
        </is>
      </c>
      <c r="B4700" t="inlineStr">
        <is>
          <t>C2199</t>
        </is>
      </c>
      <c r="C4700" t="n">
        <v>1</v>
      </c>
      <c r="D4700" t="inlineStr">
        <is>
          <t>Hub B</t>
        </is>
      </c>
      <c r="E4700" t="n">
        <v>31</v>
      </c>
      <c r="F4700" t="n">
        <v>22</v>
      </c>
    </row>
    <row r="4701">
      <c r="A4701" t="inlineStr">
        <is>
          <t>ORD04700</t>
        </is>
      </c>
      <c r="B4701" t="inlineStr">
        <is>
          <t>C2200</t>
        </is>
      </c>
      <c r="C4701" t="n">
        <v>2</v>
      </c>
      <c r="D4701" t="inlineStr">
        <is>
          <t>Hub B</t>
        </is>
      </c>
      <c r="E4701" t="n">
        <v>38</v>
      </c>
      <c r="F4701" t="n">
        <v>22</v>
      </c>
    </row>
    <row r="4702">
      <c r="A4702" t="inlineStr">
        <is>
          <t>ORD04701</t>
        </is>
      </c>
      <c r="B4702" t="inlineStr">
        <is>
          <t>C2201</t>
        </is>
      </c>
      <c r="C4702" t="n">
        <v>3</v>
      </c>
      <c r="D4702" t="inlineStr">
        <is>
          <t>Hub B</t>
        </is>
      </c>
      <c r="E4702" t="n">
        <v>45</v>
      </c>
      <c r="F4702" t="n">
        <v>22</v>
      </c>
    </row>
    <row r="4703">
      <c r="A4703" t="inlineStr">
        <is>
          <t>ORD04702</t>
        </is>
      </c>
      <c r="B4703" t="inlineStr">
        <is>
          <t>C2202</t>
        </is>
      </c>
      <c r="C4703" t="n">
        <v>1</v>
      </c>
      <c r="D4703" t="inlineStr">
        <is>
          <t>Hub B</t>
        </is>
      </c>
      <c r="E4703" t="n">
        <v>52</v>
      </c>
      <c r="F4703" t="n">
        <v>22</v>
      </c>
    </row>
    <row r="4704">
      <c r="A4704" t="inlineStr">
        <is>
          <t>ORD04703</t>
        </is>
      </c>
      <c r="B4704" t="inlineStr">
        <is>
          <t>C2203</t>
        </is>
      </c>
      <c r="C4704" t="n">
        <v>2</v>
      </c>
      <c r="D4704" t="inlineStr">
        <is>
          <t>Hub B</t>
        </is>
      </c>
      <c r="E4704" t="n">
        <v>59</v>
      </c>
      <c r="F4704" t="n">
        <v>22</v>
      </c>
    </row>
    <row r="4705">
      <c r="A4705" t="inlineStr">
        <is>
          <t>ORD04704</t>
        </is>
      </c>
      <c r="B4705" t="inlineStr">
        <is>
          <t>C2204</t>
        </is>
      </c>
      <c r="C4705" t="n">
        <v>3</v>
      </c>
      <c r="D4705" t="inlineStr">
        <is>
          <t>Hub B</t>
        </is>
      </c>
      <c r="E4705" t="n">
        <v>66</v>
      </c>
      <c r="F4705" t="n">
        <v>22</v>
      </c>
    </row>
    <row r="4706">
      <c r="A4706" t="inlineStr">
        <is>
          <t>ORD04705</t>
        </is>
      </c>
      <c r="B4706" t="inlineStr">
        <is>
          <t>C2205</t>
        </is>
      </c>
      <c r="C4706" t="n">
        <v>1</v>
      </c>
      <c r="D4706" t="inlineStr">
        <is>
          <t>Hub B</t>
        </is>
      </c>
      <c r="E4706" t="n">
        <v>73</v>
      </c>
      <c r="F4706" t="n">
        <v>22</v>
      </c>
    </row>
    <row r="4707">
      <c r="A4707" t="inlineStr">
        <is>
          <t>ORD04706</t>
        </is>
      </c>
      <c r="B4707" t="inlineStr">
        <is>
          <t>C2206</t>
        </is>
      </c>
      <c r="C4707" t="n">
        <v>2</v>
      </c>
      <c r="D4707" t="inlineStr">
        <is>
          <t>Hub B</t>
        </is>
      </c>
      <c r="E4707" t="n">
        <v>20</v>
      </c>
      <c r="F4707" t="n">
        <v>22</v>
      </c>
    </row>
    <row r="4708">
      <c r="A4708" t="inlineStr">
        <is>
          <t>ORD04707</t>
        </is>
      </c>
      <c r="B4708" t="inlineStr">
        <is>
          <t>C2207</t>
        </is>
      </c>
      <c r="C4708" t="n">
        <v>3</v>
      </c>
      <c r="D4708" t="inlineStr">
        <is>
          <t>Hub B</t>
        </is>
      </c>
      <c r="E4708" t="n">
        <v>27</v>
      </c>
      <c r="F4708" t="n">
        <v>22</v>
      </c>
    </row>
    <row r="4709">
      <c r="A4709" t="inlineStr">
        <is>
          <t>ORD04708</t>
        </is>
      </c>
      <c r="B4709" t="inlineStr">
        <is>
          <t>C2208</t>
        </is>
      </c>
      <c r="C4709" t="n">
        <v>1</v>
      </c>
      <c r="D4709" t="inlineStr">
        <is>
          <t>Hub B</t>
        </is>
      </c>
      <c r="E4709" t="n">
        <v>34</v>
      </c>
      <c r="F4709" t="n">
        <v>22</v>
      </c>
    </row>
    <row r="4710">
      <c r="A4710" t="inlineStr">
        <is>
          <t>ORD04709</t>
        </is>
      </c>
      <c r="B4710" t="inlineStr">
        <is>
          <t>C2209</t>
        </is>
      </c>
      <c r="C4710" t="n">
        <v>2</v>
      </c>
      <c r="D4710" t="inlineStr">
        <is>
          <t>Hub B</t>
        </is>
      </c>
      <c r="E4710" t="n">
        <v>41</v>
      </c>
      <c r="F4710" t="n">
        <v>22</v>
      </c>
    </row>
    <row r="4711">
      <c r="A4711" t="inlineStr">
        <is>
          <t>ORD04710</t>
        </is>
      </c>
      <c r="B4711" t="inlineStr">
        <is>
          <t>C2210</t>
        </is>
      </c>
      <c r="C4711" t="n">
        <v>3</v>
      </c>
      <c r="D4711" t="inlineStr">
        <is>
          <t>Hub B</t>
        </is>
      </c>
      <c r="E4711" t="n">
        <v>48</v>
      </c>
      <c r="F4711" t="n">
        <v>22</v>
      </c>
    </row>
    <row r="4712">
      <c r="A4712" t="inlineStr">
        <is>
          <t>ORD04711</t>
        </is>
      </c>
      <c r="B4712" t="inlineStr">
        <is>
          <t>C2211</t>
        </is>
      </c>
      <c r="C4712" t="n">
        <v>1</v>
      </c>
      <c r="D4712" t="inlineStr">
        <is>
          <t>Hub B</t>
        </is>
      </c>
      <c r="E4712" t="n">
        <v>55</v>
      </c>
      <c r="F4712" t="n">
        <v>22</v>
      </c>
    </row>
    <row r="4713">
      <c r="A4713" t="inlineStr">
        <is>
          <t>ORD04712</t>
        </is>
      </c>
      <c r="B4713" t="inlineStr">
        <is>
          <t>C2212</t>
        </is>
      </c>
      <c r="C4713" t="n">
        <v>2</v>
      </c>
      <c r="D4713" t="inlineStr">
        <is>
          <t>Hub B</t>
        </is>
      </c>
      <c r="E4713" t="n">
        <v>62</v>
      </c>
      <c r="F4713" t="n">
        <v>22</v>
      </c>
    </row>
    <row r="4714">
      <c r="A4714" t="inlineStr">
        <is>
          <t>ORD04713</t>
        </is>
      </c>
      <c r="B4714" t="inlineStr">
        <is>
          <t>C2213</t>
        </is>
      </c>
      <c r="C4714" t="n">
        <v>3</v>
      </c>
      <c r="D4714" t="inlineStr">
        <is>
          <t>Hub B</t>
        </is>
      </c>
      <c r="E4714" t="n">
        <v>69</v>
      </c>
      <c r="F4714" t="n">
        <v>22</v>
      </c>
    </row>
    <row r="4715">
      <c r="A4715" t="inlineStr">
        <is>
          <t>ORD04714</t>
        </is>
      </c>
      <c r="B4715" t="inlineStr">
        <is>
          <t>C2214</t>
        </is>
      </c>
      <c r="C4715" t="n">
        <v>1</v>
      </c>
      <c r="D4715" t="inlineStr">
        <is>
          <t>Hub B</t>
        </is>
      </c>
      <c r="E4715" t="n">
        <v>76</v>
      </c>
      <c r="F4715" t="n">
        <v>22</v>
      </c>
    </row>
    <row r="4716">
      <c r="A4716" t="inlineStr">
        <is>
          <t>ORD04715</t>
        </is>
      </c>
      <c r="B4716" t="inlineStr">
        <is>
          <t>C2215</t>
        </is>
      </c>
      <c r="C4716" t="n">
        <v>2</v>
      </c>
      <c r="D4716" t="inlineStr">
        <is>
          <t>Hub B</t>
        </is>
      </c>
      <c r="E4716" t="n">
        <v>23</v>
      </c>
      <c r="F4716" t="n">
        <v>22</v>
      </c>
    </row>
    <row r="4717">
      <c r="A4717" t="inlineStr">
        <is>
          <t>ORD04716</t>
        </is>
      </c>
      <c r="B4717" t="inlineStr">
        <is>
          <t>C2216</t>
        </is>
      </c>
      <c r="C4717" t="n">
        <v>3</v>
      </c>
      <c r="D4717" t="inlineStr">
        <is>
          <t>Hub B</t>
        </is>
      </c>
      <c r="E4717" t="n">
        <v>30</v>
      </c>
      <c r="F4717" t="n">
        <v>22</v>
      </c>
    </row>
    <row r="4718">
      <c r="A4718" t="inlineStr">
        <is>
          <t>ORD04717</t>
        </is>
      </c>
      <c r="B4718" t="inlineStr">
        <is>
          <t>C2217</t>
        </is>
      </c>
      <c r="C4718" t="n">
        <v>1</v>
      </c>
      <c r="D4718" t="inlineStr">
        <is>
          <t>Hub B</t>
        </is>
      </c>
      <c r="E4718" t="n">
        <v>37</v>
      </c>
      <c r="F4718" t="n">
        <v>22</v>
      </c>
    </row>
    <row r="4719">
      <c r="A4719" t="inlineStr">
        <is>
          <t>ORD04718</t>
        </is>
      </c>
      <c r="B4719" t="inlineStr">
        <is>
          <t>C2218</t>
        </is>
      </c>
      <c r="C4719" t="n">
        <v>2</v>
      </c>
      <c r="D4719" t="inlineStr">
        <is>
          <t>Hub B</t>
        </is>
      </c>
      <c r="E4719" t="n">
        <v>44</v>
      </c>
      <c r="F4719" t="n">
        <v>22</v>
      </c>
    </row>
    <row r="4720">
      <c r="A4720" t="inlineStr">
        <is>
          <t>ORD04719</t>
        </is>
      </c>
      <c r="B4720" t="inlineStr">
        <is>
          <t>C2219</t>
        </is>
      </c>
      <c r="C4720" t="n">
        <v>3</v>
      </c>
      <c r="D4720" t="inlineStr">
        <is>
          <t>Hub B</t>
        </is>
      </c>
      <c r="E4720" t="n">
        <v>51</v>
      </c>
      <c r="F4720" t="n">
        <v>22</v>
      </c>
    </row>
    <row r="4721">
      <c r="A4721" t="inlineStr">
        <is>
          <t>ORD04720</t>
        </is>
      </c>
      <c r="B4721" t="inlineStr">
        <is>
          <t>C2220</t>
        </is>
      </c>
      <c r="C4721" t="n">
        <v>1</v>
      </c>
      <c r="D4721" t="inlineStr">
        <is>
          <t>Hub B</t>
        </is>
      </c>
      <c r="E4721" t="n">
        <v>58</v>
      </c>
      <c r="F4721" t="n">
        <v>22</v>
      </c>
    </row>
    <row r="4722">
      <c r="A4722" t="inlineStr">
        <is>
          <t>ORD04721</t>
        </is>
      </c>
      <c r="B4722" t="inlineStr">
        <is>
          <t>C2221</t>
        </is>
      </c>
      <c r="C4722" t="n">
        <v>2</v>
      </c>
      <c r="D4722" t="inlineStr">
        <is>
          <t>Hub B</t>
        </is>
      </c>
      <c r="E4722" t="n">
        <v>65</v>
      </c>
      <c r="F4722" t="n">
        <v>22</v>
      </c>
    </row>
    <row r="4723">
      <c r="A4723" t="inlineStr">
        <is>
          <t>ORD04722</t>
        </is>
      </c>
      <c r="B4723" t="inlineStr">
        <is>
          <t>C2222</t>
        </is>
      </c>
      <c r="C4723" t="n">
        <v>3</v>
      </c>
      <c r="D4723" t="inlineStr">
        <is>
          <t>Hub B</t>
        </is>
      </c>
      <c r="E4723" t="n">
        <v>72</v>
      </c>
      <c r="F4723" t="n">
        <v>22</v>
      </c>
    </row>
    <row r="4724">
      <c r="A4724" t="inlineStr">
        <is>
          <t>ORD04723</t>
        </is>
      </c>
      <c r="B4724" t="inlineStr">
        <is>
          <t>C2223</t>
        </is>
      </c>
      <c r="C4724" t="n">
        <v>1</v>
      </c>
      <c r="D4724" t="inlineStr">
        <is>
          <t>Hub B</t>
        </is>
      </c>
      <c r="E4724" t="n">
        <v>19</v>
      </c>
      <c r="F4724" t="n">
        <v>22</v>
      </c>
    </row>
    <row r="4725">
      <c r="A4725" t="inlineStr">
        <is>
          <t>ORD04724</t>
        </is>
      </c>
      <c r="B4725" t="inlineStr">
        <is>
          <t>C2224</t>
        </is>
      </c>
      <c r="C4725" t="n">
        <v>2</v>
      </c>
      <c r="D4725" t="inlineStr">
        <is>
          <t>Hub B</t>
        </is>
      </c>
      <c r="E4725" t="n">
        <v>26</v>
      </c>
      <c r="F4725" t="n">
        <v>22</v>
      </c>
    </row>
    <row r="4726">
      <c r="A4726" t="inlineStr">
        <is>
          <t>ORD04725</t>
        </is>
      </c>
      <c r="B4726" t="inlineStr">
        <is>
          <t>C2225</t>
        </is>
      </c>
      <c r="C4726" t="n">
        <v>3</v>
      </c>
      <c r="D4726" t="inlineStr">
        <is>
          <t>Hub B</t>
        </is>
      </c>
      <c r="E4726" t="n">
        <v>33</v>
      </c>
      <c r="F4726" t="n">
        <v>22</v>
      </c>
    </row>
    <row r="4727">
      <c r="A4727" t="inlineStr">
        <is>
          <t>ORD04726</t>
        </is>
      </c>
      <c r="B4727" t="inlineStr">
        <is>
          <t>C2226</t>
        </is>
      </c>
      <c r="C4727" t="n">
        <v>1</v>
      </c>
      <c r="D4727" t="inlineStr">
        <is>
          <t>Hub B</t>
        </is>
      </c>
      <c r="E4727" t="n">
        <v>40</v>
      </c>
      <c r="F4727" t="n">
        <v>22</v>
      </c>
    </row>
    <row r="4728">
      <c r="A4728" t="inlineStr">
        <is>
          <t>ORD04727</t>
        </is>
      </c>
      <c r="B4728" t="inlineStr">
        <is>
          <t>C2227</t>
        </is>
      </c>
      <c r="C4728" t="n">
        <v>2</v>
      </c>
      <c r="D4728" t="inlineStr">
        <is>
          <t>Hub B</t>
        </is>
      </c>
      <c r="E4728" t="n">
        <v>47</v>
      </c>
      <c r="F4728" t="n">
        <v>22</v>
      </c>
    </row>
    <row r="4729">
      <c r="A4729" t="inlineStr">
        <is>
          <t>ORD04728</t>
        </is>
      </c>
      <c r="B4729" t="inlineStr">
        <is>
          <t>C2228</t>
        </is>
      </c>
      <c r="C4729" t="n">
        <v>3</v>
      </c>
      <c r="D4729" t="inlineStr">
        <is>
          <t>Hub B</t>
        </is>
      </c>
      <c r="E4729" t="n">
        <v>54</v>
      </c>
      <c r="F4729" t="n">
        <v>22</v>
      </c>
    </row>
    <row r="4730">
      <c r="A4730" t="inlineStr">
        <is>
          <t>ORD04729</t>
        </is>
      </c>
      <c r="B4730" t="inlineStr">
        <is>
          <t>C2229</t>
        </is>
      </c>
      <c r="C4730" t="n">
        <v>1</v>
      </c>
      <c r="D4730" t="inlineStr">
        <is>
          <t>Hub B</t>
        </is>
      </c>
      <c r="E4730" t="n">
        <v>61</v>
      </c>
      <c r="F4730" t="n">
        <v>22</v>
      </c>
    </row>
    <row r="4731">
      <c r="A4731" t="inlineStr">
        <is>
          <t>ORD04730</t>
        </is>
      </c>
      <c r="B4731" t="inlineStr">
        <is>
          <t>C2230</t>
        </is>
      </c>
      <c r="C4731" t="n">
        <v>2</v>
      </c>
      <c r="D4731" t="inlineStr">
        <is>
          <t>Hub B</t>
        </is>
      </c>
      <c r="E4731" t="n">
        <v>68</v>
      </c>
      <c r="F4731" t="n">
        <v>22</v>
      </c>
    </row>
    <row r="4732">
      <c r="A4732" t="inlineStr">
        <is>
          <t>ORD04731</t>
        </is>
      </c>
      <c r="B4732" t="inlineStr">
        <is>
          <t>C2231</t>
        </is>
      </c>
      <c r="C4732" t="n">
        <v>3</v>
      </c>
      <c r="D4732" t="inlineStr">
        <is>
          <t>Hub B</t>
        </is>
      </c>
      <c r="E4732" t="n">
        <v>75</v>
      </c>
      <c r="F4732" t="n">
        <v>22</v>
      </c>
    </row>
    <row r="4733">
      <c r="A4733" t="inlineStr">
        <is>
          <t>ORD04732</t>
        </is>
      </c>
      <c r="B4733" t="inlineStr">
        <is>
          <t>C2232</t>
        </is>
      </c>
      <c r="C4733" t="n">
        <v>1</v>
      </c>
      <c r="D4733" t="inlineStr">
        <is>
          <t>Hub B</t>
        </is>
      </c>
      <c r="E4733" t="n">
        <v>22</v>
      </c>
      <c r="F4733" t="n">
        <v>22</v>
      </c>
    </row>
    <row r="4734">
      <c r="A4734" t="inlineStr">
        <is>
          <t>ORD04733</t>
        </is>
      </c>
      <c r="B4734" t="inlineStr">
        <is>
          <t>C2233</t>
        </is>
      </c>
      <c r="C4734" t="n">
        <v>2</v>
      </c>
      <c r="D4734" t="inlineStr">
        <is>
          <t>Hub B</t>
        </is>
      </c>
      <c r="E4734" t="n">
        <v>29</v>
      </c>
      <c r="F4734" t="n">
        <v>22</v>
      </c>
    </row>
    <row r="4735">
      <c r="A4735" t="inlineStr">
        <is>
          <t>ORD04734</t>
        </is>
      </c>
      <c r="B4735" t="inlineStr">
        <is>
          <t>C2234</t>
        </is>
      </c>
      <c r="C4735" t="n">
        <v>3</v>
      </c>
      <c r="D4735" t="inlineStr">
        <is>
          <t>Hub B</t>
        </is>
      </c>
      <c r="E4735" t="n">
        <v>36</v>
      </c>
      <c r="F4735" t="n">
        <v>22</v>
      </c>
    </row>
    <row r="4736">
      <c r="A4736" t="inlineStr">
        <is>
          <t>ORD04735</t>
        </is>
      </c>
      <c r="B4736" t="inlineStr">
        <is>
          <t>C2235</t>
        </is>
      </c>
      <c r="C4736" t="n">
        <v>1</v>
      </c>
      <c r="D4736" t="inlineStr">
        <is>
          <t>Hub B</t>
        </is>
      </c>
      <c r="E4736" t="n">
        <v>43</v>
      </c>
      <c r="F4736" t="n">
        <v>22</v>
      </c>
    </row>
    <row r="4737">
      <c r="A4737" t="inlineStr">
        <is>
          <t>ORD04736</t>
        </is>
      </c>
      <c r="B4737" t="inlineStr">
        <is>
          <t>C2236</t>
        </is>
      </c>
      <c r="C4737" t="n">
        <v>2</v>
      </c>
      <c r="D4737" t="inlineStr">
        <is>
          <t>Hub B</t>
        </is>
      </c>
      <c r="E4737" t="n">
        <v>50</v>
      </c>
      <c r="F4737" t="n">
        <v>22</v>
      </c>
    </row>
    <row r="4738">
      <c r="A4738" t="inlineStr">
        <is>
          <t>ORD04737</t>
        </is>
      </c>
      <c r="B4738" t="inlineStr">
        <is>
          <t>C2237</t>
        </is>
      </c>
      <c r="C4738" t="n">
        <v>3</v>
      </c>
      <c r="D4738" t="inlineStr">
        <is>
          <t>Hub B</t>
        </is>
      </c>
      <c r="E4738" t="n">
        <v>57</v>
      </c>
      <c r="F4738" t="n">
        <v>22</v>
      </c>
    </row>
    <row r="4739">
      <c r="A4739" t="inlineStr">
        <is>
          <t>ORD04738</t>
        </is>
      </c>
      <c r="B4739" t="inlineStr">
        <is>
          <t>C2238</t>
        </is>
      </c>
      <c r="C4739" t="n">
        <v>1</v>
      </c>
      <c r="D4739" t="inlineStr">
        <is>
          <t>Hub B</t>
        </is>
      </c>
      <c r="E4739" t="n">
        <v>64</v>
      </c>
      <c r="F4739" t="n">
        <v>22</v>
      </c>
    </row>
    <row r="4740">
      <c r="A4740" t="inlineStr">
        <is>
          <t>ORD04739</t>
        </is>
      </c>
      <c r="B4740" t="inlineStr">
        <is>
          <t>C2239</t>
        </is>
      </c>
      <c r="C4740" t="n">
        <v>2</v>
      </c>
      <c r="D4740" t="inlineStr">
        <is>
          <t>Hub B</t>
        </is>
      </c>
      <c r="E4740" t="n">
        <v>71</v>
      </c>
      <c r="F4740" t="n">
        <v>22</v>
      </c>
    </row>
    <row r="4741">
      <c r="A4741" t="inlineStr">
        <is>
          <t>ORD04740</t>
        </is>
      </c>
      <c r="B4741" t="inlineStr">
        <is>
          <t>C2240</t>
        </is>
      </c>
      <c r="C4741" t="n">
        <v>3</v>
      </c>
      <c r="D4741" t="inlineStr">
        <is>
          <t>Hub B</t>
        </is>
      </c>
      <c r="E4741" t="n">
        <v>18</v>
      </c>
      <c r="F4741" t="n">
        <v>22</v>
      </c>
    </row>
    <row r="4742">
      <c r="A4742" t="inlineStr">
        <is>
          <t>ORD04741</t>
        </is>
      </c>
      <c r="B4742" t="inlineStr">
        <is>
          <t>C2241</t>
        </is>
      </c>
      <c r="C4742" t="n">
        <v>1</v>
      </c>
      <c r="D4742" t="inlineStr">
        <is>
          <t>Hub B</t>
        </is>
      </c>
      <c r="E4742" t="n">
        <v>25</v>
      </c>
      <c r="F4742" t="n">
        <v>22</v>
      </c>
    </row>
    <row r="4743">
      <c r="A4743" t="inlineStr">
        <is>
          <t>ORD04742</t>
        </is>
      </c>
      <c r="B4743" t="inlineStr">
        <is>
          <t>C2242</t>
        </is>
      </c>
      <c r="C4743" t="n">
        <v>2</v>
      </c>
      <c r="D4743" t="inlineStr">
        <is>
          <t>Hub B</t>
        </is>
      </c>
      <c r="E4743" t="n">
        <v>32</v>
      </c>
      <c r="F4743" t="n">
        <v>22</v>
      </c>
    </row>
    <row r="4744">
      <c r="A4744" t="inlineStr">
        <is>
          <t>ORD04743</t>
        </is>
      </c>
      <c r="B4744" t="inlineStr">
        <is>
          <t>C2243</t>
        </is>
      </c>
      <c r="C4744" t="n">
        <v>3</v>
      </c>
      <c r="D4744" t="inlineStr">
        <is>
          <t>Hub B</t>
        </is>
      </c>
      <c r="E4744" t="n">
        <v>39</v>
      </c>
      <c r="F4744" t="n">
        <v>22</v>
      </c>
    </row>
    <row r="4745">
      <c r="A4745" t="inlineStr">
        <is>
          <t>ORD04744</t>
        </is>
      </c>
      <c r="B4745" t="inlineStr">
        <is>
          <t>C2244</t>
        </is>
      </c>
      <c r="C4745" t="n">
        <v>1</v>
      </c>
      <c r="D4745" t="inlineStr">
        <is>
          <t>Hub B</t>
        </is>
      </c>
      <c r="E4745" t="n">
        <v>46</v>
      </c>
      <c r="F4745" t="n">
        <v>22</v>
      </c>
    </row>
    <row r="4746">
      <c r="A4746" t="inlineStr">
        <is>
          <t>ORD04745</t>
        </is>
      </c>
      <c r="B4746" t="inlineStr">
        <is>
          <t>C2245</t>
        </is>
      </c>
      <c r="C4746" t="n">
        <v>2</v>
      </c>
      <c r="D4746" t="inlineStr">
        <is>
          <t>Hub B</t>
        </is>
      </c>
      <c r="E4746" t="n">
        <v>53</v>
      </c>
      <c r="F4746" t="n">
        <v>22</v>
      </c>
    </row>
    <row r="4747">
      <c r="A4747" t="inlineStr">
        <is>
          <t>ORD04746</t>
        </is>
      </c>
      <c r="B4747" t="inlineStr">
        <is>
          <t>C2246</t>
        </is>
      </c>
      <c r="C4747" t="n">
        <v>3</v>
      </c>
      <c r="D4747" t="inlineStr">
        <is>
          <t>Hub B</t>
        </is>
      </c>
      <c r="E4747" t="n">
        <v>60</v>
      </c>
      <c r="F4747" t="n">
        <v>22</v>
      </c>
    </row>
    <row r="4748">
      <c r="A4748" t="inlineStr">
        <is>
          <t>ORD04747</t>
        </is>
      </c>
      <c r="B4748" t="inlineStr">
        <is>
          <t>C2247</t>
        </is>
      </c>
      <c r="C4748" t="n">
        <v>1</v>
      </c>
      <c r="D4748" t="inlineStr">
        <is>
          <t>Hub B</t>
        </is>
      </c>
      <c r="E4748" t="n">
        <v>67</v>
      </c>
      <c r="F4748" t="n">
        <v>22</v>
      </c>
    </row>
    <row r="4749">
      <c r="A4749" t="inlineStr">
        <is>
          <t>ORD04748</t>
        </is>
      </c>
      <c r="B4749" t="inlineStr">
        <is>
          <t>C2248</t>
        </is>
      </c>
      <c r="C4749" t="n">
        <v>2</v>
      </c>
      <c r="D4749" t="inlineStr">
        <is>
          <t>Hub B</t>
        </is>
      </c>
      <c r="E4749" t="n">
        <v>74</v>
      </c>
      <c r="F4749" t="n">
        <v>22</v>
      </c>
    </row>
    <row r="4750">
      <c r="A4750" t="inlineStr">
        <is>
          <t>ORD04749</t>
        </is>
      </c>
      <c r="B4750" t="inlineStr">
        <is>
          <t>C2249</t>
        </is>
      </c>
      <c r="C4750" t="n">
        <v>3</v>
      </c>
      <c r="D4750" t="inlineStr">
        <is>
          <t>Hub B</t>
        </is>
      </c>
      <c r="E4750" t="n">
        <v>21</v>
      </c>
      <c r="F4750" t="n">
        <v>22</v>
      </c>
    </row>
    <row r="4751">
      <c r="A4751" t="inlineStr">
        <is>
          <t>ORD04750</t>
        </is>
      </c>
      <c r="B4751" t="inlineStr">
        <is>
          <t>C2250</t>
        </is>
      </c>
      <c r="C4751" t="n">
        <v>1</v>
      </c>
      <c r="D4751" t="inlineStr">
        <is>
          <t>Hub B</t>
        </is>
      </c>
      <c r="E4751" t="n">
        <v>28</v>
      </c>
      <c r="F4751" t="n">
        <v>22</v>
      </c>
    </row>
    <row r="4752">
      <c r="A4752" t="inlineStr">
        <is>
          <t>ORD04751</t>
        </is>
      </c>
      <c r="B4752" t="inlineStr">
        <is>
          <t>C2251</t>
        </is>
      </c>
      <c r="C4752" t="n">
        <v>2</v>
      </c>
      <c r="D4752" t="inlineStr">
        <is>
          <t>Hub B</t>
        </is>
      </c>
      <c r="E4752" t="n">
        <v>35</v>
      </c>
      <c r="F4752" t="n">
        <v>22</v>
      </c>
    </row>
    <row r="4753">
      <c r="A4753" t="inlineStr">
        <is>
          <t>ORD04752</t>
        </is>
      </c>
      <c r="B4753" t="inlineStr">
        <is>
          <t>C2252</t>
        </is>
      </c>
      <c r="C4753" t="n">
        <v>3</v>
      </c>
      <c r="D4753" t="inlineStr">
        <is>
          <t>Hub B</t>
        </is>
      </c>
      <c r="E4753" t="n">
        <v>42</v>
      </c>
      <c r="F4753" t="n">
        <v>22</v>
      </c>
    </row>
    <row r="4754">
      <c r="A4754" t="inlineStr">
        <is>
          <t>ORD04753</t>
        </is>
      </c>
      <c r="B4754" t="inlineStr">
        <is>
          <t>C2253</t>
        </is>
      </c>
      <c r="C4754" t="n">
        <v>1</v>
      </c>
      <c r="D4754" t="inlineStr">
        <is>
          <t>Hub B</t>
        </is>
      </c>
      <c r="E4754" t="n">
        <v>49</v>
      </c>
      <c r="F4754" t="n">
        <v>22</v>
      </c>
    </row>
    <row r="4755">
      <c r="A4755" t="inlineStr">
        <is>
          <t>ORD04754</t>
        </is>
      </c>
      <c r="B4755" t="inlineStr">
        <is>
          <t>C2254</t>
        </is>
      </c>
      <c r="C4755" t="n">
        <v>2</v>
      </c>
      <c r="D4755" t="inlineStr">
        <is>
          <t>Hub B</t>
        </is>
      </c>
      <c r="E4755" t="n">
        <v>56</v>
      </c>
      <c r="F4755" t="n">
        <v>22</v>
      </c>
    </row>
    <row r="4756">
      <c r="A4756" t="inlineStr">
        <is>
          <t>ORD04755</t>
        </is>
      </c>
      <c r="B4756" t="inlineStr">
        <is>
          <t>C2255</t>
        </is>
      </c>
      <c r="C4756" t="n">
        <v>3</v>
      </c>
      <c r="D4756" t="inlineStr">
        <is>
          <t>Hub B</t>
        </is>
      </c>
      <c r="E4756" t="n">
        <v>63</v>
      </c>
      <c r="F4756" t="n">
        <v>22</v>
      </c>
    </row>
    <row r="4757">
      <c r="A4757" t="inlineStr">
        <is>
          <t>ORD04756</t>
        </is>
      </c>
      <c r="B4757" t="inlineStr">
        <is>
          <t>C2256</t>
        </is>
      </c>
      <c r="C4757" t="n">
        <v>1</v>
      </c>
      <c r="D4757" t="inlineStr">
        <is>
          <t>Hub B</t>
        </is>
      </c>
      <c r="E4757" t="n">
        <v>70</v>
      </c>
      <c r="F4757" t="n">
        <v>22</v>
      </c>
    </row>
    <row r="4758">
      <c r="A4758" t="inlineStr">
        <is>
          <t>ORD04757</t>
        </is>
      </c>
      <c r="B4758" t="inlineStr">
        <is>
          <t>C2257</t>
        </is>
      </c>
      <c r="C4758" t="n">
        <v>2</v>
      </c>
      <c r="D4758" t="inlineStr">
        <is>
          <t>Hub B</t>
        </is>
      </c>
      <c r="E4758" t="n">
        <v>77</v>
      </c>
      <c r="F4758" t="n">
        <v>22</v>
      </c>
    </row>
    <row r="4759">
      <c r="A4759" t="inlineStr">
        <is>
          <t>ORD04758</t>
        </is>
      </c>
      <c r="B4759" t="inlineStr">
        <is>
          <t>C2258</t>
        </is>
      </c>
      <c r="C4759" t="n">
        <v>3</v>
      </c>
      <c r="D4759" t="inlineStr">
        <is>
          <t>Hub B</t>
        </is>
      </c>
      <c r="E4759" t="n">
        <v>24</v>
      </c>
      <c r="F4759" t="n">
        <v>22</v>
      </c>
    </row>
    <row r="4760">
      <c r="A4760" t="inlineStr">
        <is>
          <t>ORD04759</t>
        </is>
      </c>
      <c r="B4760" t="inlineStr">
        <is>
          <t>C2259</t>
        </is>
      </c>
      <c r="C4760" t="n">
        <v>1</v>
      </c>
      <c r="D4760" t="inlineStr">
        <is>
          <t>Hub B</t>
        </is>
      </c>
      <c r="E4760" t="n">
        <v>31</v>
      </c>
      <c r="F4760" t="n">
        <v>22</v>
      </c>
    </row>
    <row r="4761">
      <c r="A4761" t="inlineStr">
        <is>
          <t>ORD04760</t>
        </is>
      </c>
      <c r="B4761" t="inlineStr">
        <is>
          <t>C2260</t>
        </is>
      </c>
      <c r="C4761" t="n">
        <v>2</v>
      </c>
      <c r="D4761" t="inlineStr">
        <is>
          <t>Hub B</t>
        </is>
      </c>
      <c r="E4761" t="n">
        <v>38</v>
      </c>
      <c r="F4761" t="n">
        <v>22</v>
      </c>
    </row>
    <row r="4762">
      <c r="A4762" t="inlineStr">
        <is>
          <t>ORD04761</t>
        </is>
      </c>
      <c r="B4762" t="inlineStr">
        <is>
          <t>C2261</t>
        </is>
      </c>
      <c r="C4762" t="n">
        <v>3</v>
      </c>
      <c r="D4762" t="inlineStr">
        <is>
          <t>Hub B</t>
        </is>
      </c>
      <c r="E4762" t="n">
        <v>45</v>
      </c>
      <c r="F4762" t="n">
        <v>22</v>
      </c>
    </row>
    <row r="4763">
      <c r="A4763" t="inlineStr">
        <is>
          <t>ORD04762</t>
        </is>
      </c>
      <c r="B4763" t="inlineStr">
        <is>
          <t>C2262</t>
        </is>
      </c>
      <c r="C4763" t="n">
        <v>1</v>
      </c>
      <c r="D4763" t="inlineStr">
        <is>
          <t>Hub B</t>
        </is>
      </c>
      <c r="E4763" t="n">
        <v>52</v>
      </c>
      <c r="F4763" t="n">
        <v>22</v>
      </c>
    </row>
    <row r="4764">
      <c r="A4764" t="inlineStr">
        <is>
          <t>ORD04763</t>
        </is>
      </c>
      <c r="B4764" t="inlineStr">
        <is>
          <t>C2263</t>
        </is>
      </c>
      <c r="C4764" t="n">
        <v>2</v>
      </c>
      <c r="D4764" t="inlineStr">
        <is>
          <t>Hub B</t>
        </is>
      </c>
      <c r="E4764" t="n">
        <v>59</v>
      </c>
      <c r="F4764" t="n">
        <v>22</v>
      </c>
    </row>
    <row r="4765">
      <c r="A4765" t="inlineStr">
        <is>
          <t>ORD04764</t>
        </is>
      </c>
      <c r="B4765" t="inlineStr">
        <is>
          <t>C2264</t>
        </is>
      </c>
      <c r="C4765" t="n">
        <v>3</v>
      </c>
      <c r="D4765" t="inlineStr">
        <is>
          <t>Hub B</t>
        </is>
      </c>
      <c r="E4765" t="n">
        <v>66</v>
      </c>
      <c r="F4765" t="n">
        <v>22</v>
      </c>
    </row>
    <row r="4766">
      <c r="A4766" t="inlineStr">
        <is>
          <t>ORD04765</t>
        </is>
      </c>
      <c r="B4766" t="inlineStr">
        <is>
          <t>C2265</t>
        </is>
      </c>
      <c r="C4766" t="n">
        <v>1</v>
      </c>
      <c r="D4766" t="inlineStr">
        <is>
          <t>Hub B</t>
        </is>
      </c>
      <c r="E4766" t="n">
        <v>73</v>
      </c>
      <c r="F4766" t="n">
        <v>22</v>
      </c>
    </row>
    <row r="4767">
      <c r="A4767" t="inlineStr">
        <is>
          <t>ORD04766</t>
        </is>
      </c>
      <c r="B4767" t="inlineStr">
        <is>
          <t>C2266</t>
        </is>
      </c>
      <c r="C4767" t="n">
        <v>2</v>
      </c>
      <c r="D4767" t="inlineStr">
        <is>
          <t>Hub B</t>
        </is>
      </c>
      <c r="E4767" t="n">
        <v>20</v>
      </c>
      <c r="F4767" t="n">
        <v>22</v>
      </c>
    </row>
    <row r="4768">
      <c r="A4768" t="inlineStr">
        <is>
          <t>ORD04767</t>
        </is>
      </c>
      <c r="B4768" t="inlineStr">
        <is>
          <t>C2267</t>
        </is>
      </c>
      <c r="C4768" t="n">
        <v>3</v>
      </c>
      <c r="D4768" t="inlineStr">
        <is>
          <t>Hub B</t>
        </is>
      </c>
      <c r="E4768" t="n">
        <v>27</v>
      </c>
      <c r="F4768" t="n">
        <v>22</v>
      </c>
    </row>
    <row r="4769">
      <c r="A4769" t="inlineStr">
        <is>
          <t>ORD04768</t>
        </is>
      </c>
      <c r="B4769" t="inlineStr">
        <is>
          <t>C2268</t>
        </is>
      </c>
      <c r="C4769" t="n">
        <v>1</v>
      </c>
      <c r="D4769" t="inlineStr">
        <is>
          <t>Hub B</t>
        </is>
      </c>
      <c r="E4769" t="n">
        <v>34</v>
      </c>
      <c r="F4769" t="n">
        <v>22</v>
      </c>
    </row>
    <row r="4770">
      <c r="A4770" t="inlineStr">
        <is>
          <t>ORD04769</t>
        </is>
      </c>
      <c r="B4770" t="inlineStr">
        <is>
          <t>C2269</t>
        </is>
      </c>
      <c r="C4770" t="n">
        <v>2</v>
      </c>
      <c r="D4770" t="inlineStr">
        <is>
          <t>Hub B</t>
        </is>
      </c>
      <c r="E4770" t="n">
        <v>41</v>
      </c>
      <c r="F4770" t="n">
        <v>22</v>
      </c>
    </row>
    <row r="4771">
      <c r="A4771" t="inlineStr">
        <is>
          <t>ORD04770</t>
        </is>
      </c>
      <c r="B4771" t="inlineStr">
        <is>
          <t>C2270</t>
        </is>
      </c>
      <c r="C4771" t="n">
        <v>3</v>
      </c>
      <c r="D4771" t="inlineStr">
        <is>
          <t>Hub B</t>
        </is>
      </c>
      <c r="E4771" t="n">
        <v>48</v>
      </c>
      <c r="F4771" t="n">
        <v>22</v>
      </c>
    </row>
    <row r="4772">
      <c r="A4772" t="inlineStr">
        <is>
          <t>ORD04771</t>
        </is>
      </c>
      <c r="B4772" t="inlineStr">
        <is>
          <t>C2271</t>
        </is>
      </c>
      <c r="C4772" t="n">
        <v>1</v>
      </c>
      <c r="D4772" t="inlineStr">
        <is>
          <t>Hub B</t>
        </is>
      </c>
      <c r="E4772" t="n">
        <v>55</v>
      </c>
      <c r="F4772" t="n">
        <v>22</v>
      </c>
    </row>
    <row r="4773">
      <c r="A4773" t="inlineStr">
        <is>
          <t>ORD04772</t>
        </is>
      </c>
      <c r="B4773" t="inlineStr">
        <is>
          <t>C2272</t>
        </is>
      </c>
      <c r="C4773" t="n">
        <v>2</v>
      </c>
      <c r="D4773" t="inlineStr">
        <is>
          <t>Hub B</t>
        </is>
      </c>
      <c r="E4773" t="n">
        <v>62</v>
      </c>
      <c r="F4773" t="n">
        <v>22</v>
      </c>
    </row>
    <row r="4774">
      <c r="A4774" t="inlineStr">
        <is>
          <t>ORD04773</t>
        </is>
      </c>
      <c r="B4774" t="inlineStr">
        <is>
          <t>C2273</t>
        </is>
      </c>
      <c r="C4774" t="n">
        <v>3</v>
      </c>
      <c r="D4774" t="inlineStr">
        <is>
          <t>Hub B</t>
        </is>
      </c>
      <c r="E4774" t="n">
        <v>69</v>
      </c>
      <c r="F4774" t="n">
        <v>22</v>
      </c>
    </row>
    <row r="4775">
      <c r="A4775" t="inlineStr">
        <is>
          <t>ORD04774</t>
        </is>
      </c>
      <c r="B4775" t="inlineStr">
        <is>
          <t>C2274</t>
        </is>
      </c>
      <c r="C4775" t="n">
        <v>1</v>
      </c>
      <c r="D4775" t="inlineStr">
        <is>
          <t>Hub B</t>
        </is>
      </c>
      <c r="E4775" t="n">
        <v>76</v>
      </c>
      <c r="F4775" t="n">
        <v>22</v>
      </c>
    </row>
    <row r="4776">
      <c r="A4776" t="inlineStr">
        <is>
          <t>ORD04775</t>
        </is>
      </c>
      <c r="B4776" t="inlineStr">
        <is>
          <t>C2275</t>
        </is>
      </c>
      <c r="C4776" t="n">
        <v>2</v>
      </c>
      <c r="D4776" t="inlineStr">
        <is>
          <t>Hub B</t>
        </is>
      </c>
      <c r="E4776" t="n">
        <v>23</v>
      </c>
      <c r="F4776" t="n">
        <v>22</v>
      </c>
    </row>
    <row r="4777">
      <c r="A4777" t="inlineStr">
        <is>
          <t>ORD04776</t>
        </is>
      </c>
      <c r="B4777" t="inlineStr">
        <is>
          <t>C2276</t>
        </is>
      </c>
      <c r="C4777" t="n">
        <v>3</v>
      </c>
      <c r="D4777" t="inlineStr">
        <is>
          <t>Hub B</t>
        </is>
      </c>
      <c r="E4777" t="n">
        <v>30</v>
      </c>
      <c r="F4777" t="n">
        <v>22</v>
      </c>
    </row>
    <row r="4778">
      <c r="A4778" t="inlineStr">
        <is>
          <t>ORD04777</t>
        </is>
      </c>
      <c r="B4778" t="inlineStr">
        <is>
          <t>C2277</t>
        </is>
      </c>
      <c r="C4778" t="n">
        <v>1</v>
      </c>
      <c r="D4778" t="inlineStr">
        <is>
          <t>Hub B</t>
        </is>
      </c>
      <c r="E4778" t="n">
        <v>37</v>
      </c>
      <c r="F4778" t="n">
        <v>22</v>
      </c>
    </row>
    <row r="4779">
      <c r="A4779" t="inlineStr">
        <is>
          <t>ORD04778</t>
        </is>
      </c>
      <c r="B4779" t="inlineStr">
        <is>
          <t>C2278</t>
        </is>
      </c>
      <c r="C4779" t="n">
        <v>2</v>
      </c>
      <c r="D4779" t="inlineStr">
        <is>
          <t>Hub B</t>
        </is>
      </c>
      <c r="E4779" t="n">
        <v>44</v>
      </c>
      <c r="F4779" t="n">
        <v>22</v>
      </c>
    </row>
    <row r="4780">
      <c r="A4780" t="inlineStr">
        <is>
          <t>ORD04779</t>
        </is>
      </c>
      <c r="B4780" t="inlineStr">
        <is>
          <t>C2279</t>
        </is>
      </c>
      <c r="C4780" t="n">
        <v>3</v>
      </c>
      <c r="D4780" t="inlineStr">
        <is>
          <t>Hub B</t>
        </is>
      </c>
      <c r="E4780" t="n">
        <v>51</v>
      </c>
      <c r="F4780" t="n">
        <v>22</v>
      </c>
    </row>
    <row r="4781">
      <c r="A4781" t="inlineStr">
        <is>
          <t>ORD04780</t>
        </is>
      </c>
      <c r="B4781" t="inlineStr">
        <is>
          <t>C2280</t>
        </is>
      </c>
      <c r="C4781" t="n">
        <v>1</v>
      </c>
      <c r="D4781" t="inlineStr">
        <is>
          <t>Hub B</t>
        </is>
      </c>
      <c r="E4781" t="n">
        <v>58</v>
      </c>
      <c r="F4781" t="n">
        <v>22</v>
      </c>
    </row>
    <row r="4782">
      <c r="A4782" t="inlineStr">
        <is>
          <t>ORD04781</t>
        </is>
      </c>
      <c r="B4782" t="inlineStr">
        <is>
          <t>C2281</t>
        </is>
      </c>
      <c r="C4782" t="n">
        <v>2</v>
      </c>
      <c r="D4782" t="inlineStr">
        <is>
          <t>Hub B</t>
        </is>
      </c>
      <c r="E4782" t="n">
        <v>65</v>
      </c>
      <c r="F4782" t="n">
        <v>22</v>
      </c>
    </row>
    <row r="4783">
      <c r="A4783" t="inlineStr">
        <is>
          <t>ORD04782</t>
        </is>
      </c>
      <c r="B4783" t="inlineStr">
        <is>
          <t>C2282</t>
        </is>
      </c>
      <c r="C4783" t="n">
        <v>3</v>
      </c>
      <c r="D4783" t="inlineStr">
        <is>
          <t>Hub B</t>
        </is>
      </c>
      <c r="E4783" t="n">
        <v>72</v>
      </c>
      <c r="F4783" t="n">
        <v>22</v>
      </c>
    </row>
    <row r="4784">
      <c r="A4784" t="inlineStr">
        <is>
          <t>ORD04783</t>
        </is>
      </c>
      <c r="B4784" t="inlineStr">
        <is>
          <t>C2283</t>
        </is>
      </c>
      <c r="C4784" t="n">
        <v>1</v>
      </c>
      <c r="D4784" t="inlineStr">
        <is>
          <t>Hub B</t>
        </is>
      </c>
      <c r="E4784" t="n">
        <v>19</v>
      </c>
      <c r="F4784" t="n">
        <v>22</v>
      </c>
    </row>
    <row r="4785">
      <c r="A4785" t="inlineStr">
        <is>
          <t>ORD04784</t>
        </is>
      </c>
      <c r="B4785" t="inlineStr">
        <is>
          <t>C2284</t>
        </is>
      </c>
      <c r="C4785" t="n">
        <v>2</v>
      </c>
      <c r="D4785" t="inlineStr">
        <is>
          <t>Hub B</t>
        </is>
      </c>
      <c r="E4785" t="n">
        <v>26</v>
      </c>
      <c r="F4785" t="n">
        <v>22</v>
      </c>
    </row>
    <row r="4786">
      <c r="A4786" t="inlineStr">
        <is>
          <t>ORD04785</t>
        </is>
      </c>
      <c r="B4786" t="inlineStr">
        <is>
          <t>C2285</t>
        </is>
      </c>
      <c r="C4786" t="n">
        <v>3</v>
      </c>
      <c r="D4786" t="inlineStr">
        <is>
          <t>Hub B</t>
        </is>
      </c>
      <c r="E4786" t="n">
        <v>33</v>
      </c>
      <c r="F4786" t="n">
        <v>22</v>
      </c>
    </row>
    <row r="4787">
      <c r="A4787" t="inlineStr">
        <is>
          <t>ORD04786</t>
        </is>
      </c>
      <c r="B4787" t="inlineStr">
        <is>
          <t>C2286</t>
        </is>
      </c>
      <c r="C4787" t="n">
        <v>1</v>
      </c>
      <c r="D4787" t="inlineStr">
        <is>
          <t>Hub B</t>
        </is>
      </c>
      <c r="E4787" t="n">
        <v>40</v>
      </c>
      <c r="F4787" t="n">
        <v>22</v>
      </c>
    </row>
    <row r="4788">
      <c r="A4788" t="inlineStr">
        <is>
          <t>ORD04787</t>
        </is>
      </c>
      <c r="B4788" t="inlineStr">
        <is>
          <t>C2287</t>
        </is>
      </c>
      <c r="C4788" t="n">
        <v>2</v>
      </c>
      <c r="D4788" t="inlineStr">
        <is>
          <t>Hub B</t>
        </is>
      </c>
      <c r="E4788" t="n">
        <v>47</v>
      </c>
      <c r="F4788" t="n">
        <v>22</v>
      </c>
    </row>
    <row r="4789">
      <c r="A4789" t="inlineStr">
        <is>
          <t>ORD04788</t>
        </is>
      </c>
      <c r="B4789" t="inlineStr">
        <is>
          <t>C2288</t>
        </is>
      </c>
      <c r="C4789" t="n">
        <v>3</v>
      </c>
      <c r="D4789" t="inlineStr">
        <is>
          <t>Hub B</t>
        </is>
      </c>
      <c r="E4789" t="n">
        <v>54</v>
      </c>
      <c r="F4789" t="n">
        <v>22</v>
      </c>
    </row>
    <row r="4790">
      <c r="A4790" t="inlineStr">
        <is>
          <t>ORD04789</t>
        </is>
      </c>
      <c r="B4790" t="inlineStr">
        <is>
          <t>C2289</t>
        </is>
      </c>
      <c r="C4790" t="n">
        <v>1</v>
      </c>
      <c r="D4790" t="inlineStr">
        <is>
          <t>Hub B</t>
        </is>
      </c>
      <c r="E4790" t="n">
        <v>61</v>
      </c>
      <c r="F4790" t="n">
        <v>22</v>
      </c>
    </row>
    <row r="4791">
      <c r="A4791" t="inlineStr">
        <is>
          <t>ORD04790</t>
        </is>
      </c>
      <c r="B4791" t="inlineStr">
        <is>
          <t>C2290</t>
        </is>
      </c>
      <c r="C4791" t="n">
        <v>2</v>
      </c>
      <c r="D4791" t="inlineStr">
        <is>
          <t>Hub B</t>
        </is>
      </c>
      <c r="E4791" t="n">
        <v>68</v>
      </c>
      <c r="F4791" t="n">
        <v>22</v>
      </c>
    </row>
    <row r="4792">
      <c r="A4792" t="inlineStr">
        <is>
          <t>ORD04791</t>
        </is>
      </c>
      <c r="B4792" t="inlineStr">
        <is>
          <t>C2291</t>
        </is>
      </c>
      <c r="C4792" t="n">
        <v>3</v>
      </c>
      <c r="D4792" t="inlineStr">
        <is>
          <t>Hub B</t>
        </is>
      </c>
      <c r="E4792" t="n">
        <v>75</v>
      </c>
      <c r="F4792" t="n">
        <v>22</v>
      </c>
    </row>
    <row r="4793">
      <c r="A4793" t="inlineStr">
        <is>
          <t>ORD04792</t>
        </is>
      </c>
      <c r="B4793" t="inlineStr">
        <is>
          <t>C2292</t>
        </is>
      </c>
      <c r="C4793" t="n">
        <v>1</v>
      </c>
      <c r="D4793" t="inlineStr">
        <is>
          <t>Hub B</t>
        </is>
      </c>
      <c r="E4793" t="n">
        <v>22</v>
      </c>
      <c r="F4793" t="n">
        <v>22</v>
      </c>
    </row>
    <row r="4794">
      <c r="A4794" t="inlineStr">
        <is>
          <t>ORD04793</t>
        </is>
      </c>
      <c r="B4794" t="inlineStr">
        <is>
          <t>C2293</t>
        </is>
      </c>
      <c r="C4794" t="n">
        <v>2</v>
      </c>
      <c r="D4794" t="inlineStr">
        <is>
          <t>Hub B</t>
        </is>
      </c>
      <c r="E4794" t="n">
        <v>29</v>
      </c>
      <c r="F4794" t="n">
        <v>22</v>
      </c>
    </row>
    <row r="4795">
      <c r="A4795" t="inlineStr">
        <is>
          <t>ORD04794</t>
        </is>
      </c>
      <c r="B4795" t="inlineStr">
        <is>
          <t>C2294</t>
        </is>
      </c>
      <c r="C4795" t="n">
        <v>3</v>
      </c>
      <c r="D4795" t="inlineStr">
        <is>
          <t>Hub B</t>
        </is>
      </c>
      <c r="E4795" t="n">
        <v>36</v>
      </c>
      <c r="F4795" t="n">
        <v>22</v>
      </c>
    </row>
    <row r="4796">
      <c r="A4796" t="inlineStr">
        <is>
          <t>ORD04795</t>
        </is>
      </c>
      <c r="B4796" t="inlineStr">
        <is>
          <t>C2295</t>
        </is>
      </c>
      <c r="C4796" t="n">
        <v>1</v>
      </c>
      <c r="D4796" t="inlineStr">
        <is>
          <t>Hub B</t>
        </is>
      </c>
      <c r="E4796" t="n">
        <v>43</v>
      </c>
      <c r="F4796" t="n">
        <v>22</v>
      </c>
    </row>
    <row r="4797">
      <c r="A4797" t="inlineStr">
        <is>
          <t>ORD04796</t>
        </is>
      </c>
      <c r="B4797" t="inlineStr">
        <is>
          <t>C2296</t>
        </is>
      </c>
      <c r="C4797" t="n">
        <v>2</v>
      </c>
      <c r="D4797" t="inlineStr">
        <is>
          <t>Hub B</t>
        </is>
      </c>
      <c r="E4797" t="n">
        <v>50</v>
      </c>
      <c r="F4797" t="n">
        <v>22</v>
      </c>
    </row>
    <row r="4798">
      <c r="A4798" t="inlineStr">
        <is>
          <t>ORD04797</t>
        </is>
      </c>
      <c r="B4798" t="inlineStr">
        <is>
          <t>C2297</t>
        </is>
      </c>
      <c r="C4798" t="n">
        <v>3</v>
      </c>
      <c r="D4798" t="inlineStr">
        <is>
          <t>Hub B</t>
        </is>
      </c>
      <c r="E4798" t="n">
        <v>57</v>
      </c>
      <c r="F4798" t="n">
        <v>22</v>
      </c>
    </row>
    <row r="4799">
      <c r="A4799" t="inlineStr">
        <is>
          <t>ORD04798</t>
        </is>
      </c>
      <c r="B4799" t="inlineStr">
        <is>
          <t>C2298</t>
        </is>
      </c>
      <c r="C4799" t="n">
        <v>1</v>
      </c>
      <c r="D4799" t="inlineStr">
        <is>
          <t>Hub B</t>
        </is>
      </c>
      <c r="E4799" t="n">
        <v>64</v>
      </c>
      <c r="F4799" t="n">
        <v>22</v>
      </c>
    </row>
    <row r="4800">
      <c r="A4800" t="inlineStr">
        <is>
          <t>ORD04799</t>
        </is>
      </c>
      <c r="B4800" t="inlineStr">
        <is>
          <t>C2299</t>
        </is>
      </c>
      <c r="C4800" t="n">
        <v>2</v>
      </c>
      <c r="D4800" t="inlineStr">
        <is>
          <t>Hub B</t>
        </is>
      </c>
      <c r="E4800" t="n">
        <v>71</v>
      </c>
      <c r="F4800" t="n">
        <v>22</v>
      </c>
    </row>
    <row r="4801">
      <c r="A4801" t="inlineStr">
        <is>
          <t>ORD04800</t>
        </is>
      </c>
      <c r="B4801" t="inlineStr">
        <is>
          <t>C2300</t>
        </is>
      </c>
      <c r="C4801" t="n">
        <v>3</v>
      </c>
      <c r="D4801" t="inlineStr">
        <is>
          <t>Hub B</t>
        </is>
      </c>
      <c r="E4801" t="n">
        <v>18</v>
      </c>
      <c r="F4801" t="n">
        <v>22</v>
      </c>
    </row>
    <row r="4802">
      <c r="A4802" t="inlineStr">
        <is>
          <t>ORD04801</t>
        </is>
      </c>
      <c r="B4802" t="inlineStr">
        <is>
          <t>C2301</t>
        </is>
      </c>
      <c r="C4802" t="n">
        <v>1</v>
      </c>
      <c r="D4802" t="inlineStr">
        <is>
          <t>Hub B</t>
        </is>
      </c>
      <c r="E4802" t="n">
        <v>25</v>
      </c>
      <c r="F4802" t="n">
        <v>22</v>
      </c>
    </row>
    <row r="4803">
      <c r="A4803" t="inlineStr">
        <is>
          <t>ORD04802</t>
        </is>
      </c>
      <c r="B4803" t="inlineStr">
        <is>
          <t>C2302</t>
        </is>
      </c>
      <c r="C4803" t="n">
        <v>2</v>
      </c>
      <c r="D4803" t="inlineStr">
        <is>
          <t>Hub B</t>
        </is>
      </c>
      <c r="E4803" t="n">
        <v>32</v>
      </c>
      <c r="F4803" t="n">
        <v>22</v>
      </c>
    </row>
    <row r="4804">
      <c r="A4804" t="inlineStr">
        <is>
          <t>ORD04803</t>
        </is>
      </c>
      <c r="B4804" t="inlineStr">
        <is>
          <t>C2303</t>
        </is>
      </c>
      <c r="C4804" t="n">
        <v>3</v>
      </c>
      <c r="D4804" t="inlineStr">
        <is>
          <t>Hub B</t>
        </is>
      </c>
      <c r="E4804" t="n">
        <v>39</v>
      </c>
      <c r="F4804" t="n">
        <v>22</v>
      </c>
    </row>
    <row r="4805">
      <c r="A4805" t="inlineStr">
        <is>
          <t>ORD04804</t>
        </is>
      </c>
      <c r="B4805" t="inlineStr">
        <is>
          <t>C2304</t>
        </is>
      </c>
      <c r="C4805" t="n">
        <v>1</v>
      </c>
      <c r="D4805" t="inlineStr">
        <is>
          <t>Hub B</t>
        </is>
      </c>
      <c r="E4805" t="n">
        <v>46</v>
      </c>
      <c r="F4805" t="n">
        <v>22</v>
      </c>
    </row>
    <row r="4806">
      <c r="A4806" t="inlineStr">
        <is>
          <t>ORD04805</t>
        </is>
      </c>
      <c r="B4806" t="inlineStr">
        <is>
          <t>C2305</t>
        </is>
      </c>
      <c r="C4806" t="n">
        <v>2</v>
      </c>
      <c r="D4806" t="inlineStr">
        <is>
          <t>Hub B</t>
        </is>
      </c>
      <c r="E4806" t="n">
        <v>53</v>
      </c>
      <c r="F4806" t="n">
        <v>22</v>
      </c>
    </row>
    <row r="4807">
      <c r="A4807" t="inlineStr">
        <is>
          <t>ORD04806</t>
        </is>
      </c>
      <c r="B4807" t="inlineStr">
        <is>
          <t>C2306</t>
        </is>
      </c>
      <c r="C4807" t="n">
        <v>3</v>
      </c>
      <c r="D4807" t="inlineStr">
        <is>
          <t>Hub B</t>
        </is>
      </c>
      <c r="E4807" t="n">
        <v>60</v>
      </c>
      <c r="F4807" t="n">
        <v>22</v>
      </c>
    </row>
    <row r="4808">
      <c r="A4808" t="inlineStr">
        <is>
          <t>ORD04807</t>
        </is>
      </c>
      <c r="B4808" t="inlineStr">
        <is>
          <t>C2307</t>
        </is>
      </c>
      <c r="C4808" t="n">
        <v>1</v>
      </c>
      <c r="D4808" t="inlineStr">
        <is>
          <t>Hub B</t>
        </is>
      </c>
      <c r="E4808" t="n">
        <v>67</v>
      </c>
      <c r="F4808" t="n">
        <v>22</v>
      </c>
    </row>
    <row r="4809">
      <c r="A4809" t="inlineStr">
        <is>
          <t>ORD04808</t>
        </is>
      </c>
      <c r="B4809" t="inlineStr">
        <is>
          <t>C2308</t>
        </is>
      </c>
      <c r="C4809" t="n">
        <v>2</v>
      </c>
      <c r="D4809" t="inlineStr">
        <is>
          <t>Hub B</t>
        </is>
      </c>
      <c r="E4809" t="n">
        <v>74</v>
      </c>
      <c r="F4809" t="n">
        <v>22</v>
      </c>
    </row>
    <row r="4810">
      <c r="A4810" t="inlineStr">
        <is>
          <t>ORD04809</t>
        </is>
      </c>
      <c r="B4810" t="inlineStr">
        <is>
          <t>C2309</t>
        </is>
      </c>
      <c r="C4810" t="n">
        <v>3</v>
      </c>
      <c r="D4810" t="inlineStr">
        <is>
          <t>Hub B</t>
        </is>
      </c>
      <c r="E4810" t="n">
        <v>21</v>
      </c>
      <c r="F4810" t="n">
        <v>22</v>
      </c>
    </row>
    <row r="4811">
      <c r="A4811" t="inlineStr">
        <is>
          <t>ORD04810</t>
        </is>
      </c>
      <c r="B4811" t="inlineStr">
        <is>
          <t>C2310</t>
        </is>
      </c>
      <c r="C4811" t="n">
        <v>1</v>
      </c>
      <c r="D4811" t="inlineStr">
        <is>
          <t>Hub B</t>
        </is>
      </c>
      <c r="E4811" t="n">
        <v>28</v>
      </c>
      <c r="F4811" t="n">
        <v>22</v>
      </c>
    </row>
    <row r="4812">
      <c r="A4812" t="inlineStr">
        <is>
          <t>ORD04811</t>
        </is>
      </c>
      <c r="B4812" t="inlineStr">
        <is>
          <t>C2311</t>
        </is>
      </c>
      <c r="C4812" t="n">
        <v>2</v>
      </c>
      <c r="D4812" t="inlineStr">
        <is>
          <t>Hub B</t>
        </is>
      </c>
      <c r="E4812" t="n">
        <v>35</v>
      </c>
      <c r="F4812" t="n">
        <v>22</v>
      </c>
    </row>
    <row r="4813">
      <c r="A4813" t="inlineStr">
        <is>
          <t>ORD04812</t>
        </is>
      </c>
      <c r="B4813" t="inlineStr">
        <is>
          <t>C2312</t>
        </is>
      </c>
      <c r="C4813" t="n">
        <v>3</v>
      </c>
      <c r="D4813" t="inlineStr">
        <is>
          <t>Hub B</t>
        </is>
      </c>
      <c r="E4813" t="n">
        <v>42</v>
      </c>
      <c r="F4813" t="n">
        <v>22</v>
      </c>
    </row>
    <row r="4814">
      <c r="A4814" t="inlineStr">
        <is>
          <t>ORD04813</t>
        </is>
      </c>
      <c r="B4814" t="inlineStr">
        <is>
          <t>C2313</t>
        </is>
      </c>
      <c r="C4814" t="n">
        <v>1</v>
      </c>
      <c r="D4814" t="inlineStr">
        <is>
          <t>Hub B</t>
        </is>
      </c>
      <c r="E4814" t="n">
        <v>49</v>
      </c>
      <c r="F4814" t="n">
        <v>22</v>
      </c>
    </row>
    <row r="4815">
      <c r="A4815" t="inlineStr">
        <is>
          <t>ORD04814</t>
        </is>
      </c>
      <c r="B4815" t="inlineStr">
        <is>
          <t>C2314</t>
        </is>
      </c>
      <c r="C4815" t="n">
        <v>2</v>
      </c>
      <c r="D4815" t="inlineStr">
        <is>
          <t>Hub B</t>
        </is>
      </c>
      <c r="E4815" t="n">
        <v>56</v>
      </c>
      <c r="F4815" t="n">
        <v>22</v>
      </c>
    </row>
    <row r="4816">
      <c r="A4816" t="inlineStr">
        <is>
          <t>ORD04815</t>
        </is>
      </c>
      <c r="B4816" t="inlineStr">
        <is>
          <t>C2315</t>
        </is>
      </c>
      <c r="C4816" t="n">
        <v>3</v>
      </c>
      <c r="D4816" t="inlineStr">
        <is>
          <t>Hub B</t>
        </is>
      </c>
      <c r="E4816" t="n">
        <v>63</v>
      </c>
      <c r="F4816" t="n">
        <v>22</v>
      </c>
    </row>
    <row r="4817">
      <c r="A4817" t="inlineStr">
        <is>
          <t>ORD04816</t>
        </is>
      </c>
      <c r="B4817" t="inlineStr">
        <is>
          <t>C2316</t>
        </is>
      </c>
      <c r="C4817" t="n">
        <v>1</v>
      </c>
      <c r="D4817" t="inlineStr">
        <is>
          <t>Hub B</t>
        </is>
      </c>
      <c r="E4817" t="n">
        <v>70</v>
      </c>
      <c r="F4817" t="n">
        <v>22</v>
      </c>
    </row>
    <row r="4818">
      <c r="A4818" t="inlineStr">
        <is>
          <t>ORD04817</t>
        </is>
      </c>
      <c r="B4818" t="inlineStr">
        <is>
          <t>C2317</t>
        </is>
      </c>
      <c r="C4818" t="n">
        <v>2</v>
      </c>
      <c r="D4818" t="inlineStr">
        <is>
          <t>Hub B</t>
        </is>
      </c>
      <c r="E4818" t="n">
        <v>77</v>
      </c>
      <c r="F4818" t="n">
        <v>22</v>
      </c>
    </row>
    <row r="4819">
      <c r="A4819" t="inlineStr">
        <is>
          <t>ORD04818</t>
        </is>
      </c>
      <c r="B4819" t="inlineStr">
        <is>
          <t>C2318</t>
        </is>
      </c>
      <c r="C4819" t="n">
        <v>3</v>
      </c>
      <c r="D4819" t="inlineStr">
        <is>
          <t>Hub B</t>
        </is>
      </c>
      <c r="E4819" t="n">
        <v>24</v>
      </c>
      <c r="F4819" t="n">
        <v>22</v>
      </c>
    </row>
    <row r="4820">
      <c r="A4820" t="inlineStr">
        <is>
          <t>ORD04819</t>
        </is>
      </c>
      <c r="B4820" t="inlineStr">
        <is>
          <t>C2319</t>
        </is>
      </c>
      <c r="C4820" t="n">
        <v>1</v>
      </c>
      <c r="D4820" t="inlineStr">
        <is>
          <t>Hub B</t>
        </is>
      </c>
      <c r="E4820" t="n">
        <v>31</v>
      </c>
      <c r="F4820" t="n">
        <v>22</v>
      </c>
    </row>
    <row r="4821">
      <c r="A4821" t="inlineStr">
        <is>
          <t>ORD04820</t>
        </is>
      </c>
      <c r="B4821" t="inlineStr">
        <is>
          <t>C2320</t>
        </is>
      </c>
      <c r="C4821" t="n">
        <v>2</v>
      </c>
      <c r="D4821" t="inlineStr">
        <is>
          <t>Hub B</t>
        </is>
      </c>
      <c r="E4821" t="n">
        <v>38</v>
      </c>
      <c r="F4821" t="n">
        <v>22</v>
      </c>
    </row>
    <row r="4822">
      <c r="A4822" t="inlineStr">
        <is>
          <t>ORD04821</t>
        </is>
      </c>
      <c r="B4822" t="inlineStr">
        <is>
          <t>C2321</t>
        </is>
      </c>
      <c r="C4822" t="n">
        <v>3</v>
      </c>
      <c r="D4822" t="inlineStr">
        <is>
          <t>Hub B</t>
        </is>
      </c>
      <c r="E4822" t="n">
        <v>45</v>
      </c>
      <c r="F4822" t="n">
        <v>22</v>
      </c>
    </row>
    <row r="4823">
      <c r="A4823" t="inlineStr">
        <is>
          <t>ORD04822</t>
        </is>
      </c>
      <c r="B4823" t="inlineStr">
        <is>
          <t>C2322</t>
        </is>
      </c>
      <c r="C4823" t="n">
        <v>1</v>
      </c>
      <c r="D4823" t="inlineStr">
        <is>
          <t>Hub B</t>
        </is>
      </c>
      <c r="E4823" t="n">
        <v>52</v>
      </c>
      <c r="F4823" t="n">
        <v>22</v>
      </c>
    </row>
    <row r="4824">
      <c r="A4824" t="inlineStr">
        <is>
          <t>ORD04823</t>
        </is>
      </c>
      <c r="B4824" t="inlineStr">
        <is>
          <t>C2323</t>
        </is>
      </c>
      <c r="C4824" t="n">
        <v>2</v>
      </c>
      <c r="D4824" t="inlineStr">
        <is>
          <t>Hub B</t>
        </is>
      </c>
      <c r="E4824" t="n">
        <v>59</v>
      </c>
      <c r="F4824" t="n">
        <v>22</v>
      </c>
    </row>
    <row r="4825">
      <c r="A4825" t="inlineStr">
        <is>
          <t>ORD04824</t>
        </is>
      </c>
      <c r="B4825" t="inlineStr">
        <is>
          <t>C2324</t>
        </is>
      </c>
      <c r="C4825" t="n">
        <v>3</v>
      </c>
      <c r="D4825" t="inlineStr">
        <is>
          <t>Hub B</t>
        </is>
      </c>
      <c r="E4825" t="n">
        <v>66</v>
      </c>
      <c r="F4825" t="n">
        <v>22</v>
      </c>
    </row>
    <row r="4826">
      <c r="A4826" t="inlineStr">
        <is>
          <t>ORD04825</t>
        </is>
      </c>
      <c r="B4826" t="inlineStr">
        <is>
          <t>C2325</t>
        </is>
      </c>
      <c r="C4826" t="n">
        <v>1</v>
      </c>
      <c r="D4826" t="inlineStr">
        <is>
          <t>Hub B</t>
        </is>
      </c>
      <c r="E4826" t="n">
        <v>73</v>
      </c>
      <c r="F4826" t="n">
        <v>22</v>
      </c>
    </row>
    <row r="4827">
      <c r="A4827" t="inlineStr">
        <is>
          <t>ORD04826</t>
        </is>
      </c>
      <c r="B4827" t="inlineStr">
        <is>
          <t>C2326</t>
        </is>
      </c>
      <c r="C4827" t="n">
        <v>2</v>
      </c>
      <c r="D4827" t="inlineStr">
        <is>
          <t>Hub B</t>
        </is>
      </c>
      <c r="E4827" t="n">
        <v>20</v>
      </c>
      <c r="F4827" t="n">
        <v>22</v>
      </c>
    </row>
    <row r="4828">
      <c r="A4828" t="inlineStr">
        <is>
          <t>ORD04827</t>
        </is>
      </c>
      <c r="B4828" t="inlineStr">
        <is>
          <t>C2327</t>
        </is>
      </c>
      <c r="C4828" t="n">
        <v>3</v>
      </c>
      <c r="D4828" t="inlineStr">
        <is>
          <t>Hub B</t>
        </is>
      </c>
      <c r="E4828" t="n">
        <v>27</v>
      </c>
      <c r="F4828" t="n">
        <v>22</v>
      </c>
    </row>
    <row r="4829">
      <c r="A4829" t="inlineStr">
        <is>
          <t>ORD04828</t>
        </is>
      </c>
      <c r="B4829" t="inlineStr">
        <is>
          <t>C2328</t>
        </is>
      </c>
      <c r="C4829" t="n">
        <v>1</v>
      </c>
      <c r="D4829" t="inlineStr">
        <is>
          <t>Hub B</t>
        </is>
      </c>
      <c r="E4829" t="n">
        <v>34</v>
      </c>
      <c r="F4829" t="n">
        <v>22</v>
      </c>
    </row>
    <row r="4830">
      <c r="A4830" t="inlineStr">
        <is>
          <t>ORD04829</t>
        </is>
      </c>
      <c r="B4830" t="inlineStr">
        <is>
          <t>C2329</t>
        </is>
      </c>
      <c r="C4830" t="n">
        <v>2</v>
      </c>
      <c r="D4830" t="inlineStr">
        <is>
          <t>Hub B</t>
        </is>
      </c>
      <c r="E4830" t="n">
        <v>41</v>
      </c>
      <c r="F4830" t="n">
        <v>22</v>
      </c>
    </row>
    <row r="4831">
      <c r="A4831" t="inlineStr">
        <is>
          <t>ORD04830</t>
        </is>
      </c>
      <c r="B4831" t="inlineStr">
        <is>
          <t>C2330</t>
        </is>
      </c>
      <c r="C4831" t="n">
        <v>3</v>
      </c>
      <c r="D4831" t="inlineStr">
        <is>
          <t>Hub B</t>
        </is>
      </c>
      <c r="E4831" t="n">
        <v>48</v>
      </c>
      <c r="F4831" t="n">
        <v>22</v>
      </c>
    </row>
    <row r="4832">
      <c r="A4832" t="inlineStr">
        <is>
          <t>ORD04831</t>
        </is>
      </c>
      <c r="B4832" t="inlineStr">
        <is>
          <t>C2331</t>
        </is>
      </c>
      <c r="C4832" t="n">
        <v>1</v>
      </c>
      <c r="D4832" t="inlineStr">
        <is>
          <t>Hub B</t>
        </is>
      </c>
      <c r="E4832" t="n">
        <v>55</v>
      </c>
      <c r="F4832" t="n">
        <v>22</v>
      </c>
    </row>
    <row r="4833">
      <c r="A4833" t="inlineStr">
        <is>
          <t>ORD04832</t>
        </is>
      </c>
      <c r="B4833" t="inlineStr">
        <is>
          <t>C2332</t>
        </is>
      </c>
      <c r="C4833" t="n">
        <v>2</v>
      </c>
      <c r="D4833" t="inlineStr">
        <is>
          <t>Hub B</t>
        </is>
      </c>
      <c r="E4833" t="n">
        <v>62</v>
      </c>
      <c r="F4833" t="n">
        <v>22</v>
      </c>
    </row>
    <row r="4834">
      <c r="A4834" t="inlineStr">
        <is>
          <t>ORD04833</t>
        </is>
      </c>
      <c r="B4834" t="inlineStr">
        <is>
          <t>C2333</t>
        </is>
      </c>
      <c r="C4834" t="n">
        <v>3</v>
      </c>
      <c r="D4834" t="inlineStr">
        <is>
          <t>Hub B</t>
        </is>
      </c>
      <c r="E4834" t="n">
        <v>69</v>
      </c>
      <c r="F4834" t="n">
        <v>22</v>
      </c>
    </row>
    <row r="4835">
      <c r="A4835" t="inlineStr">
        <is>
          <t>ORD04834</t>
        </is>
      </c>
      <c r="B4835" t="inlineStr">
        <is>
          <t>C2334</t>
        </is>
      </c>
      <c r="C4835" t="n">
        <v>1</v>
      </c>
      <c r="D4835" t="inlineStr">
        <is>
          <t>Hub B</t>
        </is>
      </c>
      <c r="E4835" t="n">
        <v>76</v>
      </c>
      <c r="F4835" t="n">
        <v>22</v>
      </c>
    </row>
    <row r="4836">
      <c r="A4836" t="inlineStr">
        <is>
          <t>ORD04835</t>
        </is>
      </c>
      <c r="B4836" t="inlineStr">
        <is>
          <t>C2335</t>
        </is>
      </c>
      <c r="C4836" t="n">
        <v>2</v>
      </c>
      <c r="D4836" t="inlineStr">
        <is>
          <t>Hub B</t>
        </is>
      </c>
      <c r="E4836" t="n">
        <v>23</v>
      </c>
      <c r="F4836" t="n">
        <v>22</v>
      </c>
    </row>
    <row r="4837">
      <c r="A4837" t="inlineStr">
        <is>
          <t>ORD04836</t>
        </is>
      </c>
      <c r="B4837" t="inlineStr">
        <is>
          <t>C2336</t>
        </is>
      </c>
      <c r="C4837" t="n">
        <v>3</v>
      </c>
      <c r="D4837" t="inlineStr">
        <is>
          <t>Hub B</t>
        </is>
      </c>
      <c r="E4837" t="n">
        <v>30</v>
      </c>
      <c r="F4837" t="n">
        <v>22</v>
      </c>
    </row>
    <row r="4838">
      <c r="A4838" t="inlineStr">
        <is>
          <t>ORD04837</t>
        </is>
      </c>
      <c r="B4838" t="inlineStr">
        <is>
          <t>C2337</t>
        </is>
      </c>
      <c r="C4838" t="n">
        <v>1</v>
      </c>
      <c r="D4838" t="inlineStr">
        <is>
          <t>Hub B</t>
        </is>
      </c>
      <c r="E4838" t="n">
        <v>37</v>
      </c>
      <c r="F4838" t="n">
        <v>22</v>
      </c>
    </row>
    <row r="4839">
      <c r="A4839" t="inlineStr">
        <is>
          <t>ORD04838</t>
        </is>
      </c>
      <c r="B4839" t="inlineStr">
        <is>
          <t>C2338</t>
        </is>
      </c>
      <c r="C4839" t="n">
        <v>2</v>
      </c>
      <c r="D4839" t="inlineStr">
        <is>
          <t>Hub B</t>
        </is>
      </c>
      <c r="E4839" t="n">
        <v>44</v>
      </c>
      <c r="F4839" t="n">
        <v>22</v>
      </c>
    </row>
    <row r="4840">
      <c r="A4840" t="inlineStr">
        <is>
          <t>ORD04839</t>
        </is>
      </c>
      <c r="B4840" t="inlineStr">
        <is>
          <t>C2339</t>
        </is>
      </c>
      <c r="C4840" t="n">
        <v>3</v>
      </c>
      <c r="D4840" t="inlineStr">
        <is>
          <t>Hub B</t>
        </is>
      </c>
      <c r="E4840" t="n">
        <v>51</v>
      </c>
      <c r="F4840" t="n">
        <v>22</v>
      </c>
    </row>
    <row r="4841">
      <c r="A4841" t="inlineStr">
        <is>
          <t>ORD04840</t>
        </is>
      </c>
      <c r="B4841" t="inlineStr">
        <is>
          <t>C2340</t>
        </is>
      </c>
      <c r="C4841" t="n">
        <v>1</v>
      </c>
      <c r="D4841" t="inlineStr">
        <is>
          <t>Hub B</t>
        </is>
      </c>
      <c r="E4841" t="n">
        <v>58</v>
      </c>
      <c r="F4841" t="n">
        <v>22</v>
      </c>
    </row>
    <row r="4842">
      <c r="A4842" t="inlineStr">
        <is>
          <t>ORD04841</t>
        </is>
      </c>
      <c r="B4842" t="inlineStr">
        <is>
          <t>C2341</t>
        </is>
      </c>
      <c r="C4842" t="n">
        <v>2</v>
      </c>
      <c r="D4842" t="inlineStr">
        <is>
          <t>Hub B</t>
        </is>
      </c>
      <c r="E4842" t="n">
        <v>65</v>
      </c>
      <c r="F4842" t="n">
        <v>22</v>
      </c>
    </row>
    <row r="4843">
      <c r="A4843" t="inlineStr">
        <is>
          <t>ORD04842</t>
        </is>
      </c>
      <c r="B4843" t="inlineStr">
        <is>
          <t>C2342</t>
        </is>
      </c>
      <c r="C4843" t="n">
        <v>3</v>
      </c>
      <c r="D4843" t="inlineStr">
        <is>
          <t>Hub B</t>
        </is>
      </c>
      <c r="E4843" t="n">
        <v>72</v>
      </c>
      <c r="F4843" t="n">
        <v>22</v>
      </c>
    </row>
    <row r="4844">
      <c r="A4844" t="inlineStr">
        <is>
          <t>ORD04843</t>
        </is>
      </c>
      <c r="B4844" t="inlineStr">
        <is>
          <t>C2343</t>
        </is>
      </c>
      <c r="C4844" t="n">
        <v>1</v>
      </c>
      <c r="D4844" t="inlineStr">
        <is>
          <t>Hub B</t>
        </is>
      </c>
      <c r="E4844" t="n">
        <v>19</v>
      </c>
      <c r="F4844" t="n">
        <v>22</v>
      </c>
    </row>
    <row r="4845">
      <c r="A4845" t="inlineStr">
        <is>
          <t>ORD04844</t>
        </is>
      </c>
      <c r="B4845" t="inlineStr">
        <is>
          <t>C2344</t>
        </is>
      </c>
      <c r="C4845" t="n">
        <v>2</v>
      </c>
      <c r="D4845" t="inlineStr">
        <is>
          <t>Hub B</t>
        </is>
      </c>
      <c r="E4845" t="n">
        <v>26</v>
      </c>
      <c r="F4845" t="n">
        <v>22</v>
      </c>
    </row>
    <row r="4846">
      <c r="A4846" t="inlineStr">
        <is>
          <t>ORD04845</t>
        </is>
      </c>
      <c r="B4846" t="inlineStr">
        <is>
          <t>C2345</t>
        </is>
      </c>
      <c r="C4846" t="n">
        <v>3</v>
      </c>
      <c r="D4846" t="inlineStr">
        <is>
          <t>Hub B</t>
        </is>
      </c>
      <c r="E4846" t="n">
        <v>33</v>
      </c>
      <c r="F4846" t="n">
        <v>22</v>
      </c>
    </row>
    <row r="4847">
      <c r="A4847" t="inlineStr">
        <is>
          <t>ORD04846</t>
        </is>
      </c>
      <c r="B4847" t="inlineStr">
        <is>
          <t>C2346</t>
        </is>
      </c>
      <c r="C4847" t="n">
        <v>1</v>
      </c>
      <c r="D4847" t="inlineStr">
        <is>
          <t>Hub B</t>
        </is>
      </c>
      <c r="E4847" t="n">
        <v>40</v>
      </c>
      <c r="F4847" t="n">
        <v>22</v>
      </c>
    </row>
    <row r="4848">
      <c r="A4848" t="inlineStr">
        <is>
          <t>ORD04847</t>
        </is>
      </c>
      <c r="B4848" t="inlineStr">
        <is>
          <t>C2347</t>
        </is>
      </c>
      <c r="C4848" t="n">
        <v>2</v>
      </c>
      <c r="D4848" t="inlineStr">
        <is>
          <t>Hub B</t>
        </is>
      </c>
      <c r="E4848" t="n">
        <v>47</v>
      </c>
      <c r="F4848" t="n">
        <v>22</v>
      </c>
    </row>
    <row r="4849">
      <c r="A4849" t="inlineStr">
        <is>
          <t>ORD04848</t>
        </is>
      </c>
      <c r="B4849" t="inlineStr">
        <is>
          <t>C2348</t>
        </is>
      </c>
      <c r="C4849" t="n">
        <v>3</v>
      </c>
      <c r="D4849" t="inlineStr">
        <is>
          <t>Hub B</t>
        </is>
      </c>
      <c r="E4849" t="n">
        <v>54</v>
      </c>
      <c r="F4849" t="n">
        <v>22</v>
      </c>
    </row>
    <row r="4850">
      <c r="A4850" t="inlineStr">
        <is>
          <t>ORD04849</t>
        </is>
      </c>
      <c r="B4850" t="inlineStr">
        <is>
          <t>C2349</t>
        </is>
      </c>
      <c r="C4850" t="n">
        <v>1</v>
      </c>
      <c r="D4850" t="inlineStr">
        <is>
          <t>Hub B</t>
        </is>
      </c>
      <c r="E4850" t="n">
        <v>61</v>
      </c>
      <c r="F4850" t="n">
        <v>22</v>
      </c>
    </row>
    <row r="4851">
      <c r="A4851" t="inlineStr">
        <is>
          <t>ORD04850</t>
        </is>
      </c>
      <c r="B4851" t="inlineStr">
        <is>
          <t>C2350</t>
        </is>
      </c>
      <c r="C4851" t="n">
        <v>2</v>
      </c>
      <c r="D4851" t="inlineStr">
        <is>
          <t>Hub B</t>
        </is>
      </c>
      <c r="E4851" t="n">
        <v>68</v>
      </c>
      <c r="F4851" t="n">
        <v>22</v>
      </c>
    </row>
    <row r="4852">
      <c r="A4852" t="inlineStr">
        <is>
          <t>ORD04851</t>
        </is>
      </c>
      <c r="B4852" t="inlineStr">
        <is>
          <t>C2351</t>
        </is>
      </c>
      <c r="C4852" t="n">
        <v>3</v>
      </c>
      <c r="D4852" t="inlineStr">
        <is>
          <t>Hub B</t>
        </is>
      </c>
      <c r="E4852" t="n">
        <v>75</v>
      </c>
      <c r="F4852" t="n">
        <v>22</v>
      </c>
    </row>
    <row r="4853">
      <c r="A4853" t="inlineStr">
        <is>
          <t>ORD04852</t>
        </is>
      </c>
      <c r="B4853" t="inlineStr">
        <is>
          <t>C2352</t>
        </is>
      </c>
      <c r="C4853" t="n">
        <v>1</v>
      </c>
      <c r="D4853" t="inlineStr">
        <is>
          <t>Hub B</t>
        </is>
      </c>
      <c r="E4853" t="n">
        <v>22</v>
      </c>
      <c r="F4853" t="n">
        <v>22</v>
      </c>
    </row>
    <row r="4854">
      <c r="A4854" t="inlineStr">
        <is>
          <t>ORD04853</t>
        </is>
      </c>
      <c r="B4854" t="inlineStr">
        <is>
          <t>C2353</t>
        </is>
      </c>
      <c r="C4854" t="n">
        <v>2</v>
      </c>
      <c r="D4854" t="inlineStr">
        <is>
          <t>Hub B</t>
        </is>
      </c>
      <c r="E4854" t="n">
        <v>29</v>
      </c>
      <c r="F4854" t="n">
        <v>22</v>
      </c>
    </row>
    <row r="4855">
      <c r="A4855" t="inlineStr">
        <is>
          <t>ORD04854</t>
        </is>
      </c>
      <c r="B4855" t="inlineStr">
        <is>
          <t>C2354</t>
        </is>
      </c>
      <c r="C4855" t="n">
        <v>3</v>
      </c>
      <c r="D4855" t="inlineStr">
        <is>
          <t>Hub B</t>
        </is>
      </c>
      <c r="E4855" t="n">
        <v>36</v>
      </c>
      <c r="F4855" t="n">
        <v>22</v>
      </c>
    </row>
    <row r="4856">
      <c r="A4856" t="inlineStr">
        <is>
          <t>ORD04855</t>
        </is>
      </c>
      <c r="B4856" t="inlineStr">
        <is>
          <t>C2355</t>
        </is>
      </c>
      <c r="C4856" t="n">
        <v>1</v>
      </c>
      <c r="D4856" t="inlineStr">
        <is>
          <t>Hub B</t>
        </is>
      </c>
      <c r="E4856" t="n">
        <v>43</v>
      </c>
      <c r="F4856" t="n">
        <v>22</v>
      </c>
    </row>
    <row r="4857">
      <c r="A4857" t="inlineStr">
        <is>
          <t>ORD04856</t>
        </is>
      </c>
      <c r="B4857" t="inlineStr">
        <is>
          <t>C2356</t>
        </is>
      </c>
      <c r="C4857" t="n">
        <v>2</v>
      </c>
      <c r="D4857" t="inlineStr">
        <is>
          <t>Hub B</t>
        </is>
      </c>
      <c r="E4857" t="n">
        <v>50</v>
      </c>
      <c r="F4857" t="n">
        <v>22</v>
      </c>
    </row>
    <row r="4858">
      <c r="A4858" t="inlineStr">
        <is>
          <t>ORD04857</t>
        </is>
      </c>
      <c r="B4858" t="inlineStr">
        <is>
          <t>C2357</t>
        </is>
      </c>
      <c r="C4858" t="n">
        <v>3</v>
      </c>
      <c r="D4858" t="inlineStr">
        <is>
          <t>Hub B</t>
        </is>
      </c>
      <c r="E4858" t="n">
        <v>57</v>
      </c>
      <c r="F4858" t="n">
        <v>22</v>
      </c>
    </row>
    <row r="4859">
      <c r="A4859" t="inlineStr">
        <is>
          <t>ORD04858</t>
        </is>
      </c>
      <c r="B4859" t="inlineStr">
        <is>
          <t>C2358</t>
        </is>
      </c>
      <c r="C4859" t="n">
        <v>1</v>
      </c>
      <c r="D4859" t="inlineStr">
        <is>
          <t>Hub B</t>
        </is>
      </c>
      <c r="E4859" t="n">
        <v>64</v>
      </c>
      <c r="F4859" t="n">
        <v>22</v>
      </c>
    </row>
    <row r="4860">
      <c r="A4860" t="inlineStr">
        <is>
          <t>ORD04859</t>
        </is>
      </c>
      <c r="B4860" t="inlineStr">
        <is>
          <t>C2359</t>
        </is>
      </c>
      <c r="C4860" t="n">
        <v>2</v>
      </c>
      <c r="D4860" t="inlineStr">
        <is>
          <t>Hub B</t>
        </is>
      </c>
      <c r="E4860" t="n">
        <v>71</v>
      </c>
      <c r="F4860" t="n">
        <v>22</v>
      </c>
    </row>
    <row r="4861">
      <c r="A4861" t="inlineStr">
        <is>
          <t>ORD04860</t>
        </is>
      </c>
      <c r="B4861" t="inlineStr">
        <is>
          <t>C2360</t>
        </is>
      </c>
      <c r="C4861" t="n">
        <v>3</v>
      </c>
      <c r="D4861" t="inlineStr">
        <is>
          <t>Hub B</t>
        </is>
      </c>
      <c r="E4861" t="n">
        <v>18</v>
      </c>
      <c r="F4861" t="n">
        <v>22</v>
      </c>
    </row>
    <row r="4862">
      <c r="A4862" t="inlineStr">
        <is>
          <t>ORD04861</t>
        </is>
      </c>
      <c r="B4862" t="inlineStr">
        <is>
          <t>C2361</t>
        </is>
      </c>
      <c r="C4862" t="n">
        <v>1</v>
      </c>
      <c r="D4862" t="inlineStr">
        <is>
          <t>Hub B</t>
        </is>
      </c>
      <c r="E4862" t="n">
        <v>25</v>
      </c>
      <c r="F4862" t="n">
        <v>22</v>
      </c>
    </row>
    <row r="4863">
      <c r="A4863" t="inlineStr">
        <is>
          <t>ORD04862</t>
        </is>
      </c>
      <c r="B4863" t="inlineStr">
        <is>
          <t>C2362</t>
        </is>
      </c>
      <c r="C4863" t="n">
        <v>2</v>
      </c>
      <c r="D4863" t="inlineStr">
        <is>
          <t>Hub B</t>
        </is>
      </c>
      <c r="E4863" t="n">
        <v>32</v>
      </c>
      <c r="F4863" t="n">
        <v>22</v>
      </c>
    </row>
    <row r="4864">
      <c r="A4864" t="inlineStr">
        <is>
          <t>ORD04863</t>
        </is>
      </c>
      <c r="B4864" t="inlineStr">
        <is>
          <t>C2363</t>
        </is>
      </c>
      <c r="C4864" t="n">
        <v>3</v>
      </c>
      <c r="D4864" t="inlineStr">
        <is>
          <t>Hub B</t>
        </is>
      </c>
      <c r="E4864" t="n">
        <v>39</v>
      </c>
      <c r="F4864" t="n">
        <v>22</v>
      </c>
    </row>
    <row r="4865">
      <c r="A4865" t="inlineStr">
        <is>
          <t>ORD04864</t>
        </is>
      </c>
      <c r="B4865" t="inlineStr">
        <is>
          <t>C2364</t>
        </is>
      </c>
      <c r="C4865" t="n">
        <v>1</v>
      </c>
      <c r="D4865" t="inlineStr">
        <is>
          <t>Hub B</t>
        </is>
      </c>
      <c r="E4865" t="n">
        <v>46</v>
      </c>
      <c r="F4865" t="n">
        <v>22</v>
      </c>
    </row>
    <row r="4866">
      <c r="A4866" t="inlineStr">
        <is>
          <t>ORD04865</t>
        </is>
      </c>
      <c r="B4866" t="inlineStr">
        <is>
          <t>C2365</t>
        </is>
      </c>
      <c r="C4866" t="n">
        <v>2</v>
      </c>
      <c r="D4866" t="inlineStr">
        <is>
          <t>Hub B</t>
        </is>
      </c>
      <c r="E4866" t="n">
        <v>53</v>
      </c>
      <c r="F4866" t="n">
        <v>22</v>
      </c>
    </row>
    <row r="4867">
      <c r="A4867" t="inlineStr">
        <is>
          <t>ORD04866</t>
        </is>
      </c>
      <c r="B4867" t="inlineStr">
        <is>
          <t>C2366</t>
        </is>
      </c>
      <c r="C4867" t="n">
        <v>3</v>
      </c>
      <c r="D4867" t="inlineStr">
        <is>
          <t>Hub B</t>
        </is>
      </c>
      <c r="E4867" t="n">
        <v>60</v>
      </c>
      <c r="F4867" t="n">
        <v>22</v>
      </c>
    </row>
    <row r="4868">
      <c r="A4868" t="inlineStr">
        <is>
          <t>ORD04867</t>
        </is>
      </c>
      <c r="B4868" t="inlineStr">
        <is>
          <t>C2367</t>
        </is>
      </c>
      <c r="C4868" t="n">
        <v>1</v>
      </c>
      <c r="D4868" t="inlineStr">
        <is>
          <t>Hub B</t>
        </is>
      </c>
      <c r="E4868" t="n">
        <v>67</v>
      </c>
      <c r="F4868" t="n">
        <v>22</v>
      </c>
    </row>
    <row r="4869">
      <c r="A4869" t="inlineStr">
        <is>
          <t>ORD04868</t>
        </is>
      </c>
      <c r="B4869" t="inlineStr">
        <is>
          <t>C2368</t>
        </is>
      </c>
      <c r="C4869" t="n">
        <v>2</v>
      </c>
      <c r="D4869" t="inlineStr">
        <is>
          <t>Hub B</t>
        </is>
      </c>
      <c r="E4869" t="n">
        <v>74</v>
      </c>
      <c r="F4869" t="n">
        <v>22</v>
      </c>
    </row>
    <row r="4870">
      <c r="A4870" t="inlineStr">
        <is>
          <t>ORD04869</t>
        </is>
      </c>
      <c r="B4870" t="inlineStr">
        <is>
          <t>C2369</t>
        </is>
      </c>
      <c r="C4870" t="n">
        <v>3</v>
      </c>
      <c r="D4870" t="inlineStr">
        <is>
          <t>Hub B</t>
        </is>
      </c>
      <c r="E4870" t="n">
        <v>21</v>
      </c>
      <c r="F4870" t="n">
        <v>22</v>
      </c>
    </row>
    <row r="4871">
      <c r="A4871" t="inlineStr">
        <is>
          <t>ORD04870</t>
        </is>
      </c>
      <c r="B4871" t="inlineStr">
        <is>
          <t>C2370</t>
        </is>
      </c>
      <c r="C4871" t="n">
        <v>1</v>
      </c>
      <c r="D4871" t="inlineStr">
        <is>
          <t>Hub B</t>
        </is>
      </c>
      <c r="E4871" t="n">
        <v>28</v>
      </c>
      <c r="F4871" t="n">
        <v>22</v>
      </c>
    </row>
    <row r="4872">
      <c r="A4872" t="inlineStr">
        <is>
          <t>ORD04871</t>
        </is>
      </c>
      <c r="B4872" t="inlineStr">
        <is>
          <t>C2371</t>
        </is>
      </c>
      <c r="C4872" t="n">
        <v>2</v>
      </c>
      <c r="D4872" t="inlineStr">
        <is>
          <t>Hub B</t>
        </is>
      </c>
      <c r="E4872" t="n">
        <v>35</v>
      </c>
      <c r="F4872" t="n">
        <v>22</v>
      </c>
    </row>
    <row r="4873">
      <c r="A4873" t="inlineStr">
        <is>
          <t>ORD04872</t>
        </is>
      </c>
      <c r="B4873" t="inlineStr">
        <is>
          <t>C2372</t>
        </is>
      </c>
      <c r="C4873" t="n">
        <v>3</v>
      </c>
      <c r="D4873" t="inlineStr">
        <is>
          <t>Hub B</t>
        </is>
      </c>
      <c r="E4873" t="n">
        <v>42</v>
      </c>
      <c r="F4873" t="n">
        <v>22</v>
      </c>
    </row>
    <row r="4874">
      <c r="A4874" t="inlineStr">
        <is>
          <t>ORD04873</t>
        </is>
      </c>
      <c r="B4874" t="inlineStr">
        <is>
          <t>C2373</t>
        </is>
      </c>
      <c r="C4874" t="n">
        <v>1</v>
      </c>
      <c r="D4874" t="inlineStr">
        <is>
          <t>Hub B</t>
        </is>
      </c>
      <c r="E4874" t="n">
        <v>49</v>
      </c>
      <c r="F4874" t="n">
        <v>22</v>
      </c>
    </row>
    <row r="4875">
      <c r="A4875" t="inlineStr">
        <is>
          <t>ORD04874</t>
        </is>
      </c>
      <c r="B4875" t="inlineStr">
        <is>
          <t>C2374</t>
        </is>
      </c>
      <c r="C4875" t="n">
        <v>2</v>
      </c>
      <c r="D4875" t="inlineStr">
        <is>
          <t>Hub B</t>
        </is>
      </c>
      <c r="E4875" t="n">
        <v>56</v>
      </c>
      <c r="F4875" t="n">
        <v>22</v>
      </c>
    </row>
    <row r="4876">
      <c r="A4876" t="inlineStr">
        <is>
          <t>ORD04875</t>
        </is>
      </c>
      <c r="B4876" t="inlineStr">
        <is>
          <t>C2375</t>
        </is>
      </c>
      <c r="C4876" t="n">
        <v>3</v>
      </c>
      <c r="D4876" t="inlineStr">
        <is>
          <t>Hub B</t>
        </is>
      </c>
      <c r="E4876" t="n">
        <v>63</v>
      </c>
      <c r="F4876" t="n">
        <v>22</v>
      </c>
    </row>
    <row r="4877">
      <c r="A4877" t="inlineStr">
        <is>
          <t>ORD04876</t>
        </is>
      </c>
      <c r="B4877" t="inlineStr">
        <is>
          <t>C2376</t>
        </is>
      </c>
      <c r="C4877" t="n">
        <v>1</v>
      </c>
      <c r="D4877" t="inlineStr">
        <is>
          <t>Hub B</t>
        </is>
      </c>
      <c r="E4877" t="n">
        <v>70</v>
      </c>
      <c r="F4877" t="n">
        <v>22</v>
      </c>
    </row>
    <row r="4878">
      <c r="A4878" t="inlineStr">
        <is>
          <t>ORD04877</t>
        </is>
      </c>
      <c r="B4878" t="inlineStr">
        <is>
          <t>C2377</t>
        </is>
      </c>
      <c r="C4878" t="n">
        <v>2</v>
      </c>
      <c r="D4878" t="inlineStr">
        <is>
          <t>Hub B</t>
        </is>
      </c>
      <c r="E4878" t="n">
        <v>77</v>
      </c>
      <c r="F4878" t="n">
        <v>22</v>
      </c>
    </row>
    <row r="4879">
      <c r="A4879" t="inlineStr">
        <is>
          <t>ORD04878</t>
        </is>
      </c>
      <c r="B4879" t="inlineStr">
        <is>
          <t>C2378</t>
        </is>
      </c>
      <c r="C4879" t="n">
        <v>3</v>
      </c>
      <c r="D4879" t="inlineStr">
        <is>
          <t>Hub B</t>
        </is>
      </c>
      <c r="E4879" t="n">
        <v>24</v>
      </c>
      <c r="F4879" t="n">
        <v>22</v>
      </c>
    </row>
    <row r="4880">
      <c r="A4880" t="inlineStr">
        <is>
          <t>ORD04879</t>
        </is>
      </c>
      <c r="B4880" t="inlineStr">
        <is>
          <t>C2379</t>
        </is>
      </c>
      <c r="C4880" t="n">
        <v>1</v>
      </c>
      <c r="D4880" t="inlineStr">
        <is>
          <t>Hub B</t>
        </is>
      </c>
      <c r="E4880" t="n">
        <v>31</v>
      </c>
      <c r="F4880" t="n">
        <v>22</v>
      </c>
    </row>
    <row r="4881">
      <c r="A4881" t="inlineStr">
        <is>
          <t>ORD04880</t>
        </is>
      </c>
      <c r="B4881" t="inlineStr">
        <is>
          <t>C2380</t>
        </is>
      </c>
      <c r="C4881" t="n">
        <v>2</v>
      </c>
      <c r="D4881" t="inlineStr">
        <is>
          <t>Hub B</t>
        </is>
      </c>
      <c r="E4881" t="n">
        <v>38</v>
      </c>
      <c r="F4881" t="n">
        <v>22</v>
      </c>
    </row>
    <row r="4882">
      <c r="A4882" t="inlineStr">
        <is>
          <t>ORD04881</t>
        </is>
      </c>
      <c r="B4882" t="inlineStr">
        <is>
          <t>C2381</t>
        </is>
      </c>
      <c r="C4882" t="n">
        <v>3</v>
      </c>
      <c r="D4882" t="inlineStr">
        <is>
          <t>Hub B</t>
        </is>
      </c>
      <c r="E4882" t="n">
        <v>45</v>
      </c>
      <c r="F4882" t="n">
        <v>22</v>
      </c>
    </row>
    <row r="4883">
      <c r="A4883" t="inlineStr">
        <is>
          <t>ORD04882</t>
        </is>
      </c>
      <c r="B4883" t="inlineStr">
        <is>
          <t>C2382</t>
        </is>
      </c>
      <c r="C4883" t="n">
        <v>1</v>
      </c>
      <c r="D4883" t="inlineStr">
        <is>
          <t>Hub B</t>
        </is>
      </c>
      <c r="E4883" t="n">
        <v>52</v>
      </c>
      <c r="F4883" t="n">
        <v>22</v>
      </c>
    </row>
    <row r="4884">
      <c r="A4884" t="inlineStr">
        <is>
          <t>ORD04883</t>
        </is>
      </c>
      <c r="B4884" t="inlineStr">
        <is>
          <t>C2383</t>
        </is>
      </c>
      <c r="C4884" t="n">
        <v>2</v>
      </c>
      <c r="D4884" t="inlineStr">
        <is>
          <t>Hub B</t>
        </is>
      </c>
      <c r="E4884" t="n">
        <v>59</v>
      </c>
      <c r="F4884" t="n">
        <v>22</v>
      </c>
    </row>
    <row r="4885">
      <c r="A4885" t="inlineStr">
        <is>
          <t>ORD04884</t>
        </is>
      </c>
      <c r="B4885" t="inlineStr">
        <is>
          <t>C2384</t>
        </is>
      </c>
      <c r="C4885" t="n">
        <v>3</v>
      </c>
      <c r="D4885" t="inlineStr">
        <is>
          <t>Hub B</t>
        </is>
      </c>
      <c r="E4885" t="n">
        <v>66</v>
      </c>
      <c r="F4885" t="n">
        <v>22</v>
      </c>
    </row>
    <row r="4886">
      <c r="A4886" t="inlineStr">
        <is>
          <t>ORD04885</t>
        </is>
      </c>
      <c r="B4886" t="inlineStr">
        <is>
          <t>C2385</t>
        </is>
      </c>
      <c r="C4886" t="n">
        <v>1</v>
      </c>
      <c r="D4886" t="inlineStr">
        <is>
          <t>Hub B</t>
        </is>
      </c>
      <c r="E4886" t="n">
        <v>73</v>
      </c>
      <c r="F4886" t="n">
        <v>22</v>
      </c>
    </row>
    <row r="4887">
      <c r="A4887" t="inlineStr">
        <is>
          <t>ORD04886</t>
        </is>
      </c>
      <c r="B4887" t="inlineStr">
        <is>
          <t>C2386</t>
        </is>
      </c>
      <c r="C4887" t="n">
        <v>2</v>
      </c>
      <c r="D4887" t="inlineStr">
        <is>
          <t>Hub B</t>
        </is>
      </c>
      <c r="E4887" t="n">
        <v>20</v>
      </c>
      <c r="F4887" t="n">
        <v>22</v>
      </c>
    </row>
    <row r="4888">
      <c r="A4888" t="inlineStr">
        <is>
          <t>ORD04887</t>
        </is>
      </c>
      <c r="B4888" t="inlineStr">
        <is>
          <t>C2387</t>
        </is>
      </c>
      <c r="C4888" t="n">
        <v>3</v>
      </c>
      <c r="D4888" t="inlineStr">
        <is>
          <t>Hub B</t>
        </is>
      </c>
      <c r="E4888" t="n">
        <v>27</v>
      </c>
      <c r="F4888" t="n">
        <v>22</v>
      </c>
    </row>
    <row r="4889">
      <c r="A4889" t="inlineStr">
        <is>
          <t>ORD04888</t>
        </is>
      </c>
      <c r="B4889" t="inlineStr">
        <is>
          <t>C2388</t>
        </is>
      </c>
      <c r="C4889" t="n">
        <v>1</v>
      </c>
      <c r="D4889" t="inlineStr">
        <is>
          <t>Hub B</t>
        </is>
      </c>
      <c r="E4889" t="n">
        <v>34</v>
      </c>
      <c r="F4889" t="n">
        <v>22</v>
      </c>
    </row>
    <row r="4890">
      <c r="A4890" t="inlineStr">
        <is>
          <t>ORD04889</t>
        </is>
      </c>
      <c r="B4890" t="inlineStr">
        <is>
          <t>C2389</t>
        </is>
      </c>
      <c r="C4890" t="n">
        <v>2</v>
      </c>
      <c r="D4890" t="inlineStr">
        <is>
          <t>Hub B</t>
        </is>
      </c>
      <c r="E4890" t="n">
        <v>41</v>
      </c>
      <c r="F4890" t="n">
        <v>22</v>
      </c>
    </row>
    <row r="4891">
      <c r="A4891" t="inlineStr">
        <is>
          <t>ORD04890</t>
        </is>
      </c>
      <c r="B4891" t="inlineStr">
        <is>
          <t>C2390</t>
        </is>
      </c>
      <c r="C4891" t="n">
        <v>3</v>
      </c>
      <c r="D4891" t="inlineStr">
        <is>
          <t>Hub B</t>
        </is>
      </c>
      <c r="E4891" t="n">
        <v>48</v>
      </c>
      <c r="F4891" t="n">
        <v>22</v>
      </c>
    </row>
    <row r="4892">
      <c r="A4892" t="inlineStr">
        <is>
          <t>ORD04891</t>
        </is>
      </c>
      <c r="B4892" t="inlineStr">
        <is>
          <t>C2391</t>
        </is>
      </c>
      <c r="C4892" t="n">
        <v>1</v>
      </c>
      <c r="D4892" t="inlineStr">
        <is>
          <t>Hub B</t>
        </is>
      </c>
      <c r="E4892" t="n">
        <v>55</v>
      </c>
      <c r="F4892" t="n">
        <v>22</v>
      </c>
    </row>
    <row r="4893">
      <c r="A4893" t="inlineStr">
        <is>
          <t>ORD04892</t>
        </is>
      </c>
      <c r="B4893" t="inlineStr">
        <is>
          <t>C2392</t>
        </is>
      </c>
      <c r="C4893" t="n">
        <v>2</v>
      </c>
      <c r="D4893" t="inlineStr">
        <is>
          <t>Hub B</t>
        </is>
      </c>
      <c r="E4893" t="n">
        <v>62</v>
      </c>
      <c r="F4893" t="n">
        <v>22</v>
      </c>
    </row>
    <row r="4894">
      <c r="A4894" t="inlineStr">
        <is>
          <t>ORD04893</t>
        </is>
      </c>
      <c r="B4894" t="inlineStr">
        <is>
          <t>C2393</t>
        </is>
      </c>
      <c r="C4894" t="n">
        <v>3</v>
      </c>
      <c r="D4894" t="inlineStr">
        <is>
          <t>Hub B</t>
        </is>
      </c>
      <c r="E4894" t="n">
        <v>69</v>
      </c>
      <c r="F4894" t="n">
        <v>22</v>
      </c>
    </row>
    <row r="4895">
      <c r="A4895" t="inlineStr">
        <is>
          <t>ORD04894</t>
        </is>
      </c>
      <c r="B4895" t="inlineStr">
        <is>
          <t>C2394</t>
        </is>
      </c>
      <c r="C4895" t="n">
        <v>1</v>
      </c>
      <c r="D4895" t="inlineStr">
        <is>
          <t>Hub B</t>
        </is>
      </c>
      <c r="E4895" t="n">
        <v>76</v>
      </c>
      <c r="F4895" t="n">
        <v>22</v>
      </c>
    </row>
    <row r="4896">
      <c r="A4896" t="inlineStr">
        <is>
          <t>ORD04895</t>
        </is>
      </c>
      <c r="B4896" t="inlineStr">
        <is>
          <t>C2395</t>
        </is>
      </c>
      <c r="C4896" t="n">
        <v>2</v>
      </c>
      <c r="D4896" t="inlineStr">
        <is>
          <t>Hub B</t>
        </is>
      </c>
      <c r="E4896" t="n">
        <v>23</v>
      </c>
      <c r="F4896" t="n">
        <v>22</v>
      </c>
    </row>
    <row r="4897">
      <c r="A4897" t="inlineStr">
        <is>
          <t>ORD04896</t>
        </is>
      </c>
      <c r="B4897" t="inlineStr">
        <is>
          <t>C2396</t>
        </is>
      </c>
      <c r="C4897" t="n">
        <v>3</v>
      </c>
      <c r="D4897" t="inlineStr">
        <is>
          <t>Hub B</t>
        </is>
      </c>
      <c r="E4897" t="n">
        <v>30</v>
      </c>
      <c r="F4897" t="n">
        <v>22</v>
      </c>
    </row>
    <row r="4898">
      <c r="A4898" t="inlineStr">
        <is>
          <t>ORD04897</t>
        </is>
      </c>
      <c r="B4898" t="inlineStr">
        <is>
          <t>C2397</t>
        </is>
      </c>
      <c r="C4898" t="n">
        <v>1</v>
      </c>
      <c r="D4898" t="inlineStr">
        <is>
          <t>Hub B</t>
        </is>
      </c>
      <c r="E4898" t="n">
        <v>37</v>
      </c>
      <c r="F4898" t="n">
        <v>22</v>
      </c>
    </row>
    <row r="4899">
      <c r="A4899" t="inlineStr">
        <is>
          <t>ORD04898</t>
        </is>
      </c>
      <c r="B4899" t="inlineStr">
        <is>
          <t>C2398</t>
        </is>
      </c>
      <c r="C4899" t="n">
        <v>2</v>
      </c>
      <c r="D4899" t="inlineStr">
        <is>
          <t>Hub B</t>
        </is>
      </c>
      <c r="E4899" t="n">
        <v>44</v>
      </c>
      <c r="F4899" t="n">
        <v>22</v>
      </c>
    </row>
    <row r="4900">
      <c r="A4900" t="inlineStr">
        <is>
          <t>ORD04899</t>
        </is>
      </c>
      <c r="B4900" t="inlineStr">
        <is>
          <t>C2399</t>
        </is>
      </c>
      <c r="C4900" t="n">
        <v>3</v>
      </c>
      <c r="D4900" t="inlineStr">
        <is>
          <t>Hub B</t>
        </is>
      </c>
      <c r="E4900" t="n">
        <v>51</v>
      </c>
      <c r="F4900" t="n">
        <v>22</v>
      </c>
    </row>
    <row r="4901">
      <c r="A4901" t="inlineStr">
        <is>
          <t>ORD04900</t>
        </is>
      </c>
      <c r="B4901" t="inlineStr">
        <is>
          <t>C2400</t>
        </is>
      </c>
      <c r="C4901" t="n">
        <v>1</v>
      </c>
      <c r="D4901" t="inlineStr">
        <is>
          <t>Hub B</t>
        </is>
      </c>
      <c r="E4901" t="n">
        <v>58</v>
      </c>
      <c r="F4901" t="n">
        <v>22</v>
      </c>
    </row>
    <row r="4902">
      <c r="A4902" t="inlineStr">
        <is>
          <t>ORD04901</t>
        </is>
      </c>
      <c r="B4902" t="inlineStr">
        <is>
          <t>C2401</t>
        </is>
      </c>
      <c r="C4902" t="n">
        <v>2</v>
      </c>
      <c r="D4902" t="inlineStr">
        <is>
          <t>Hub B</t>
        </is>
      </c>
      <c r="E4902" t="n">
        <v>65</v>
      </c>
      <c r="F4902" t="n">
        <v>22</v>
      </c>
    </row>
    <row r="4903">
      <c r="A4903" t="inlineStr">
        <is>
          <t>ORD04902</t>
        </is>
      </c>
      <c r="B4903" t="inlineStr">
        <is>
          <t>C2402</t>
        </is>
      </c>
      <c r="C4903" t="n">
        <v>3</v>
      </c>
      <c r="D4903" t="inlineStr">
        <is>
          <t>Hub B</t>
        </is>
      </c>
      <c r="E4903" t="n">
        <v>72</v>
      </c>
      <c r="F4903" t="n">
        <v>22</v>
      </c>
    </row>
    <row r="4904">
      <c r="A4904" t="inlineStr">
        <is>
          <t>ORD04903</t>
        </is>
      </c>
      <c r="B4904" t="inlineStr">
        <is>
          <t>C2403</t>
        </is>
      </c>
      <c r="C4904" t="n">
        <v>1</v>
      </c>
      <c r="D4904" t="inlineStr">
        <is>
          <t>Hub B</t>
        </is>
      </c>
      <c r="E4904" t="n">
        <v>19</v>
      </c>
      <c r="F4904" t="n">
        <v>22</v>
      </c>
    </row>
    <row r="4905">
      <c r="A4905" t="inlineStr">
        <is>
          <t>ORD04904</t>
        </is>
      </c>
      <c r="B4905" t="inlineStr">
        <is>
          <t>C2404</t>
        </is>
      </c>
      <c r="C4905" t="n">
        <v>2</v>
      </c>
      <c r="D4905" t="inlineStr">
        <is>
          <t>Hub B</t>
        </is>
      </c>
      <c r="E4905" t="n">
        <v>26</v>
      </c>
      <c r="F4905" t="n">
        <v>22</v>
      </c>
    </row>
    <row r="4906">
      <c r="A4906" t="inlineStr">
        <is>
          <t>ORD04905</t>
        </is>
      </c>
      <c r="B4906" t="inlineStr">
        <is>
          <t>C2405</t>
        </is>
      </c>
      <c r="C4906" t="n">
        <v>3</v>
      </c>
      <c r="D4906" t="inlineStr">
        <is>
          <t>Hub B</t>
        </is>
      </c>
      <c r="E4906" t="n">
        <v>33</v>
      </c>
      <c r="F4906" t="n">
        <v>22</v>
      </c>
    </row>
    <row r="4907">
      <c r="A4907" t="inlineStr">
        <is>
          <t>ORD04906</t>
        </is>
      </c>
      <c r="B4907" t="inlineStr">
        <is>
          <t>C2406</t>
        </is>
      </c>
      <c r="C4907" t="n">
        <v>1</v>
      </c>
      <c r="D4907" t="inlineStr">
        <is>
          <t>Hub B</t>
        </is>
      </c>
      <c r="E4907" t="n">
        <v>40</v>
      </c>
      <c r="F4907" t="n">
        <v>22</v>
      </c>
    </row>
    <row r="4908">
      <c r="A4908" t="inlineStr">
        <is>
          <t>ORD04907</t>
        </is>
      </c>
      <c r="B4908" t="inlineStr">
        <is>
          <t>C2407</t>
        </is>
      </c>
      <c r="C4908" t="n">
        <v>2</v>
      </c>
      <c r="D4908" t="inlineStr">
        <is>
          <t>Hub B</t>
        </is>
      </c>
      <c r="E4908" t="n">
        <v>47</v>
      </c>
      <c r="F4908" t="n">
        <v>22</v>
      </c>
    </row>
    <row r="4909">
      <c r="A4909" t="inlineStr">
        <is>
          <t>ORD04908</t>
        </is>
      </c>
      <c r="B4909" t="inlineStr">
        <is>
          <t>C2408</t>
        </is>
      </c>
      <c r="C4909" t="n">
        <v>3</v>
      </c>
      <c r="D4909" t="inlineStr">
        <is>
          <t>Hub B</t>
        </is>
      </c>
      <c r="E4909" t="n">
        <v>54</v>
      </c>
      <c r="F4909" t="n">
        <v>22</v>
      </c>
    </row>
    <row r="4910">
      <c r="A4910" t="inlineStr">
        <is>
          <t>ORD04909</t>
        </is>
      </c>
      <c r="B4910" t="inlineStr">
        <is>
          <t>C2409</t>
        </is>
      </c>
      <c r="C4910" t="n">
        <v>1</v>
      </c>
      <c r="D4910" t="inlineStr">
        <is>
          <t>Hub B</t>
        </is>
      </c>
      <c r="E4910" t="n">
        <v>61</v>
      </c>
      <c r="F4910" t="n">
        <v>22</v>
      </c>
    </row>
    <row r="4911">
      <c r="A4911" t="inlineStr">
        <is>
          <t>ORD04910</t>
        </is>
      </c>
      <c r="B4911" t="inlineStr">
        <is>
          <t>C2410</t>
        </is>
      </c>
      <c r="C4911" t="n">
        <v>2</v>
      </c>
      <c r="D4911" t="inlineStr">
        <is>
          <t>Hub B</t>
        </is>
      </c>
      <c r="E4911" t="n">
        <v>68</v>
      </c>
      <c r="F4911" t="n">
        <v>22</v>
      </c>
    </row>
    <row r="4912">
      <c r="A4912" t="inlineStr">
        <is>
          <t>ORD04911</t>
        </is>
      </c>
      <c r="B4912" t="inlineStr">
        <is>
          <t>C2411</t>
        </is>
      </c>
      <c r="C4912" t="n">
        <v>3</v>
      </c>
      <c r="D4912" t="inlineStr">
        <is>
          <t>Hub B</t>
        </is>
      </c>
      <c r="E4912" t="n">
        <v>75</v>
      </c>
      <c r="F4912" t="n">
        <v>22</v>
      </c>
    </row>
    <row r="4913">
      <c r="A4913" t="inlineStr">
        <is>
          <t>ORD04912</t>
        </is>
      </c>
      <c r="B4913" t="inlineStr">
        <is>
          <t>C2412</t>
        </is>
      </c>
      <c r="C4913" t="n">
        <v>1</v>
      </c>
      <c r="D4913" t="inlineStr">
        <is>
          <t>Hub B</t>
        </is>
      </c>
      <c r="E4913" t="n">
        <v>22</v>
      </c>
      <c r="F4913" t="n">
        <v>22</v>
      </c>
    </row>
    <row r="4914">
      <c r="A4914" t="inlineStr">
        <is>
          <t>ORD04913</t>
        </is>
      </c>
      <c r="B4914" t="inlineStr">
        <is>
          <t>C2413</t>
        </is>
      </c>
      <c r="C4914" t="n">
        <v>2</v>
      </c>
      <c r="D4914" t="inlineStr">
        <is>
          <t>Hub B</t>
        </is>
      </c>
      <c r="E4914" t="n">
        <v>29</v>
      </c>
      <c r="F4914" t="n">
        <v>22</v>
      </c>
    </row>
    <row r="4915">
      <c r="A4915" t="inlineStr">
        <is>
          <t>ORD04914</t>
        </is>
      </c>
      <c r="B4915" t="inlineStr">
        <is>
          <t>C2414</t>
        </is>
      </c>
      <c r="C4915" t="n">
        <v>3</v>
      </c>
      <c r="D4915" t="inlineStr">
        <is>
          <t>Hub B</t>
        </is>
      </c>
      <c r="E4915" t="n">
        <v>36</v>
      </c>
      <c r="F4915" t="n">
        <v>22</v>
      </c>
    </row>
    <row r="4916">
      <c r="A4916" t="inlineStr">
        <is>
          <t>ORD04915</t>
        </is>
      </c>
      <c r="B4916" t="inlineStr">
        <is>
          <t>C2415</t>
        </is>
      </c>
      <c r="C4916" t="n">
        <v>1</v>
      </c>
      <c r="D4916" t="inlineStr">
        <is>
          <t>Hub B</t>
        </is>
      </c>
      <c r="E4916" t="n">
        <v>43</v>
      </c>
      <c r="F4916" t="n">
        <v>22</v>
      </c>
    </row>
    <row r="4917">
      <c r="A4917" t="inlineStr">
        <is>
          <t>ORD04916</t>
        </is>
      </c>
      <c r="B4917" t="inlineStr">
        <is>
          <t>C2416</t>
        </is>
      </c>
      <c r="C4917" t="n">
        <v>2</v>
      </c>
      <c r="D4917" t="inlineStr">
        <is>
          <t>Hub B</t>
        </is>
      </c>
      <c r="E4917" t="n">
        <v>50</v>
      </c>
      <c r="F4917" t="n">
        <v>22</v>
      </c>
    </row>
    <row r="4918">
      <c r="A4918" t="inlineStr">
        <is>
          <t>ORD04917</t>
        </is>
      </c>
      <c r="B4918" t="inlineStr">
        <is>
          <t>C2417</t>
        </is>
      </c>
      <c r="C4918" t="n">
        <v>3</v>
      </c>
      <c r="D4918" t="inlineStr">
        <is>
          <t>Hub B</t>
        </is>
      </c>
      <c r="E4918" t="n">
        <v>57</v>
      </c>
      <c r="F4918" t="n">
        <v>22</v>
      </c>
    </row>
    <row r="4919">
      <c r="A4919" t="inlineStr">
        <is>
          <t>ORD04918</t>
        </is>
      </c>
      <c r="B4919" t="inlineStr">
        <is>
          <t>C2418</t>
        </is>
      </c>
      <c r="C4919" t="n">
        <v>1</v>
      </c>
      <c r="D4919" t="inlineStr">
        <is>
          <t>Hub B</t>
        </is>
      </c>
      <c r="E4919" t="n">
        <v>64</v>
      </c>
      <c r="F4919" t="n">
        <v>22</v>
      </c>
    </row>
    <row r="4920">
      <c r="A4920" t="inlineStr">
        <is>
          <t>ORD04919</t>
        </is>
      </c>
      <c r="B4920" t="inlineStr">
        <is>
          <t>C2419</t>
        </is>
      </c>
      <c r="C4920" t="n">
        <v>2</v>
      </c>
      <c r="D4920" t="inlineStr">
        <is>
          <t>Hub B</t>
        </is>
      </c>
      <c r="E4920" t="n">
        <v>71</v>
      </c>
      <c r="F4920" t="n">
        <v>22</v>
      </c>
    </row>
    <row r="4921">
      <c r="A4921" t="inlineStr">
        <is>
          <t>ORD04920</t>
        </is>
      </c>
      <c r="B4921" t="inlineStr">
        <is>
          <t>C2420</t>
        </is>
      </c>
      <c r="C4921" t="n">
        <v>3</v>
      </c>
      <c r="D4921" t="inlineStr">
        <is>
          <t>Hub B</t>
        </is>
      </c>
      <c r="E4921" t="n">
        <v>18</v>
      </c>
      <c r="F4921" t="n">
        <v>22</v>
      </c>
    </row>
    <row r="4922">
      <c r="A4922" t="inlineStr">
        <is>
          <t>ORD04921</t>
        </is>
      </c>
      <c r="B4922" t="inlineStr">
        <is>
          <t>C2421</t>
        </is>
      </c>
      <c r="C4922" t="n">
        <v>1</v>
      </c>
      <c r="D4922" t="inlineStr">
        <is>
          <t>Hub B</t>
        </is>
      </c>
      <c r="E4922" t="n">
        <v>25</v>
      </c>
      <c r="F4922" t="n">
        <v>22</v>
      </c>
    </row>
    <row r="4923">
      <c r="A4923" t="inlineStr">
        <is>
          <t>ORD04922</t>
        </is>
      </c>
      <c r="B4923" t="inlineStr">
        <is>
          <t>C2422</t>
        </is>
      </c>
      <c r="C4923" t="n">
        <v>2</v>
      </c>
      <c r="D4923" t="inlineStr">
        <is>
          <t>Hub B</t>
        </is>
      </c>
      <c r="E4923" t="n">
        <v>32</v>
      </c>
      <c r="F4923" t="n">
        <v>22</v>
      </c>
    </row>
    <row r="4924">
      <c r="A4924" t="inlineStr">
        <is>
          <t>ORD04923</t>
        </is>
      </c>
      <c r="B4924" t="inlineStr">
        <is>
          <t>C2423</t>
        </is>
      </c>
      <c r="C4924" t="n">
        <v>3</v>
      </c>
      <c r="D4924" t="inlineStr">
        <is>
          <t>Hub B</t>
        </is>
      </c>
      <c r="E4924" t="n">
        <v>39</v>
      </c>
      <c r="F4924" t="n">
        <v>22</v>
      </c>
    </row>
    <row r="4925">
      <c r="A4925" t="inlineStr">
        <is>
          <t>ORD04924</t>
        </is>
      </c>
      <c r="B4925" t="inlineStr">
        <is>
          <t>C2424</t>
        </is>
      </c>
      <c r="C4925" t="n">
        <v>1</v>
      </c>
      <c r="D4925" t="inlineStr">
        <is>
          <t>Hub B</t>
        </is>
      </c>
      <c r="E4925" t="n">
        <v>46</v>
      </c>
      <c r="F4925" t="n">
        <v>22</v>
      </c>
    </row>
    <row r="4926">
      <c r="A4926" t="inlineStr">
        <is>
          <t>ORD04925</t>
        </is>
      </c>
      <c r="B4926" t="inlineStr">
        <is>
          <t>C2425</t>
        </is>
      </c>
      <c r="C4926" t="n">
        <v>2</v>
      </c>
      <c r="D4926" t="inlineStr">
        <is>
          <t>Hub B</t>
        </is>
      </c>
      <c r="E4926" t="n">
        <v>53</v>
      </c>
      <c r="F4926" t="n">
        <v>22</v>
      </c>
    </row>
    <row r="4927">
      <c r="A4927" t="inlineStr">
        <is>
          <t>ORD04926</t>
        </is>
      </c>
      <c r="B4927" t="inlineStr">
        <is>
          <t>C2426</t>
        </is>
      </c>
      <c r="C4927" t="n">
        <v>3</v>
      </c>
      <c r="D4927" t="inlineStr">
        <is>
          <t>Hub B</t>
        </is>
      </c>
      <c r="E4927" t="n">
        <v>60</v>
      </c>
      <c r="F4927" t="n">
        <v>22</v>
      </c>
    </row>
    <row r="4928">
      <c r="A4928" t="inlineStr">
        <is>
          <t>ORD04927</t>
        </is>
      </c>
      <c r="B4928" t="inlineStr">
        <is>
          <t>C2427</t>
        </is>
      </c>
      <c r="C4928" t="n">
        <v>1</v>
      </c>
      <c r="D4928" t="inlineStr">
        <is>
          <t>Hub B</t>
        </is>
      </c>
      <c r="E4928" t="n">
        <v>67</v>
      </c>
      <c r="F4928" t="n">
        <v>22</v>
      </c>
    </row>
    <row r="4929">
      <c r="A4929" t="inlineStr">
        <is>
          <t>ORD04928</t>
        </is>
      </c>
      <c r="B4929" t="inlineStr">
        <is>
          <t>C2428</t>
        </is>
      </c>
      <c r="C4929" t="n">
        <v>2</v>
      </c>
      <c r="D4929" t="inlineStr">
        <is>
          <t>Hub B</t>
        </is>
      </c>
      <c r="E4929" t="n">
        <v>74</v>
      </c>
      <c r="F4929" t="n">
        <v>22</v>
      </c>
    </row>
    <row r="4930">
      <c r="A4930" t="inlineStr">
        <is>
          <t>ORD04929</t>
        </is>
      </c>
      <c r="B4930" t="inlineStr">
        <is>
          <t>C2429</t>
        </is>
      </c>
      <c r="C4930" t="n">
        <v>3</v>
      </c>
      <c r="D4930" t="inlineStr">
        <is>
          <t>Hub B</t>
        </is>
      </c>
      <c r="E4930" t="n">
        <v>21</v>
      </c>
      <c r="F4930" t="n">
        <v>22</v>
      </c>
    </row>
    <row r="4931">
      <c r="A4931" t="inlineStr">
        <is>
          <t>ORD04930</t>
        </is>
      </c>
      <c r="B4931" t="inlineStr">
        <is>
          <t>C2430</t>
        </is>
      </c>
      <c r="C4931" t="n">
        <v>1</v>
      </c>
      <c r="D4931" t="inlineStr">
        <is>
          <t>Hub B</t>
        </is>
      </c>
      <c r="E4931" t="n">
        <v>28</v>
      </c>
      <c r="F4931" t="n">
        <v>22</v>
      </c>
    </row>
    <row r="4932">
      <c r="A4932" t="inlineStr">
        <is>
          <t>ORD04931</t>
        </is>
      </c>
      <c r="B4932" t="inlineStr">
        <is>
          <t>C2431</t>
        </is>
      </c>
      <c r="C4932" t="n">
        <v>2</v>
      </c>
      <c r="D4932" t="inlineStr">
        <is>
          <t>Hub B</t>
        </is>
      </c>
      <c r="E4932" t="n">
        <v>35</v>
      </c>
      <c r="F4932" t="n">
        <v>22</v>
      </c>
    </row>
    <row r="4933">
      <c r="A4933" t="inlineStr">
        <is>
          <t>ORD04932</t>
        </is>
      </c>
      <c r="B4933" t="inlineStr">
        <is>
          <t>C2432</t>
        </is>
      </c>
      <c r="C4933" t="n">
        <v>3</v>
      </c>
      <c r="D4933" t="inlineStr">
        <is>
          <t>Hub B</t>
        </is>
      </c>
      <c r="E4933" t="n">
        <v>42</v>
      </c>
      <c r="F4933" t="n">
        <v>22</v>
      </c>
    </row>
    <row r="4934">
      <c r="A4934" t="inlineStr">
        <is>
          <t>ORD04933</t>
        </is>
      </c>
      <c r="B4934" t="inlineStr">
        <is>
          <t>C2433</t>
        </is>
      </c>
      <c r="C4934" t="n">
        <v>1</v>
      </c>
      <c r="D4934" t="inlineStr">
        <is>
          <t>Hub B</t>
        </is>
      </c>
      <c r="E4934" t="n">
        <v>49</v>
      </c>
      <c r="F4934" t="n">
        <v>22</v>
      </c>
    </row>
    <row r="4935">
      <c r="A4935" t="inlineStr">
        <is>
          <t>ORD04934</t>
        </is>
      </c>
      <c r="B4935" t="inlineStr">
        <is>
          <t>C2434</t>
        </is>
      </c>
      <c r="C4935" t="n">
        <v>2</v>
      </c>
      <c r="D4935" t="inlineStr">
        <is>
          <t>Hub B</t>
        </is>
      </c>
      <c r="E4935" t="n">
        <v>56</v>
      </c>
      <c r="F4935" t="n">
        <v>22</v>
      </c>
    </row>
    <row r="4936">
      <c r="A4936" t="inlineStr">
        <is>
          <t>ORD04935</t>
        </is>
      </c>
      <c r="B4936" t="inlineStr">
        <is>
          <t>C2435</t>
        </is>
      </c>
      <c r="C4936" t="n">
        <v>3</v>
      </c>
      <c r="D4936" t="inlineStr">
        <is>
          <t>Hub B</t>
        </is>
      </c>
      <c r="E4936" t="n">
        <v>63</v>
      </c>
      <c r="F4936" t="n">
        <v>22</v>
      </c>
    </row>
    <row r="4937">
      <c r="A4937" t="inlineStr">
        <is>
          <t>ORD04936</t>
        </is>
      </c>
      <c r="B4937" t="inlineStr">
        <is>
          <t>C2436</t>
        </is>
      </c>
      <c r="C4937" t="n">
        <v>1</v>
      </c>
      <c r="D4937" t="inlineStr">
        <is>
          <t>Hub B</t>
        </is>
      </c>
      <c r="E4937" t="n">
        <v>70</v>
      </c>
      <c r="F4937" t="n">
        <v>22</v>
      </c>
    </row>
    <row r="4938">
      <c r="A4938" t="inlineStr">
        <is>
          <t>ORD04937</t>
        </is>
      </c>
      <c r="B4938" t="inlineStr">
        <is>
          <t>C2437</t>
        </is>
      </c>
      <c r="C4938" t="n">
        <v>2</v>
      </c>
      <c r="D4938" t="inlineStr">
        <is>
          <t>Hub B</t>
        </is>
      </c>
      <c r="E4938" t="n">
        <v>77</v>
      </c>
      <c r="F4938" t="n">
        <v>22</v>
      </c>
    </row>
    <row r="4939">
      <c r="A4939" t="inlineStr">
        <is>
          <t>ORD04938</t>
        </is>
      </c>
      <c r="B4939" t="inlineStr">
        <is>
          <t>C2438</t>
        </is>
      </c>
      <c r="C4939" t="n">
        <v>3</v>
      </c>
      <c r="D4939" t="inlineStr">
        <is>
          <t>Hub B</t>
        </is>
      </c>
      <c r="E4939" t="n">
        <v>24</v>
      </c>
      <c r="F4939" t="n">
        <v>22</v>
      </c>
    </row>
    <row r="4940">
      <c r="A4940" t="inlineStr">
        <is>
          <t>ORD04939</t>
        </is>
      </c>
      <c r="B4940" t="inlineStr">
        <is>
          <t>C2439</t>
        </is>
      </c>
      <c r="C4940" t="n">
        <v>1</v>
      </c>
      <c r="D4940" t="inlineStr">
        <is>
          <t>Hub B</t>
        </is>
      </c>
      <c r="E4940" t="n">
        <v>31</v>
      </c>
      <c r="F4940" t="n">
        <v>22</v>
      </c>
    </row>
    <row r="4941">
      <c r="A4941" t="inlineStr">
        <is>
          <t>ORD04940</t>
        </is>
      </c>
      <c r="B4941" t="inlineStr">
        <is>
          <t>C2440</t>
        </is>
      </c>
      <c r="C4941" t="n">
        <v>2</v>
      </c>
      <c r="D4941" t="inlineStr">
        <is>
          <t>Hub B</t>
        </is>
      </c>
      <c r="E4941" t="n">
        <v>38</v>
      </c>
      <c r="F4941" t="n">
        <v>22</v>
      </c>
    </row>
    <row r="4942">
      <c r="A4942" t="inlineStr">
        <is>
          <t>ORD04941</t>
        </is>
      </c>
      <c r="B4942" t="inlineStr">
        <is>
          <t>C2441</t>
        </is>
      </c>
      <c r="C4942" t="n">
        <v>3</v>
      </c>
      <c r="D4942" t="inlineStr">
        <is>
          <t>Hub B</t>
        </is>
      </c>
      <c r="E4942" t="n">
        <v>45</v>
      </c>
      <c r="F4942" t="n">
        <v>22</v>
      </c>
    </row>
    <row r="4943">
      <c r="A4943" t="inlineStr">
        <is>
          <t>ORD04942</t>
        </is>
      </c>
      <c r="B4943" t="inlineStr">
        <is>
          <t>C2442</t>
        </is>
      </c>
      <c r="C4943" t="n">
        <v>1</v>
      </c>
      <c r="D4943" t="inlineStr">
        <is>
          <t>Hub B</t>
        </is>
      </c>
      <c r="E4943" t="n">
        <v>52</v>
      </c>
      <c r="F4943" t="n">
        <v>22</v>
      </c>
    </row>
    <row r="4944">
      <c r="A4944" t="inlineStr">
        <is>
          <t>ORD04943</t>
        </is>
      </c>
      <c r="B4944" t="inlineStr">
        <is>
          <t>C2443</t>
        </is>
      </c>
      <c r="C4944" t="n">
        <v>2</v>
      </c>
      <c r="D4944" t="inlineStr">
        <is>
          <t>Hub B</t>
        </is>
      </c>
      <c r="E4944" t="n">
        <v>59</v>
      </c>
      <c r="F4944" t="n">
        <v>22</v>
      </c>
    </row>
    <row r="4945">
      <c r="A4945" t="inlineStr">
        <is>
          <t>ORD04944</t>
        </is>
      </c>
      <c r="B4945" t="inlineStr">
        <is>
          <t>C2444</t>
        </is>
      </c>
      <c r="C4945" t="n">
        <v>3</v>
      </c>
      <c r="D4945" t="inlineStr">
        <is>
          <t>Hub B</t>
        </is>
      </c>
      <c r="E4945" t="n">
        <v>66</v>
      </c>
      <c r="F4945" t="n">
        <v>22</v>
      </c>
    </row>
    <row r="4946">
      <c r="A4946" t="inlineStr">
        <is>
          <t>ORD04945</t>
        </is>
      </c>
      <c r="B4946" t="inlineStr">
        <is>
          <t>C2445</t>
        </is>
      </c>
      <c r="C4946" t="n">
        <v>1</v>
      </c>
      <c r="D4946" t="inlineStr">
        <is>
          <t>Hub B</t>
        </is>
      </c>
      <c r="E4946" t="n">
        <v>73</v>
      </c>
      <c r="F4946" t="n">
        <v>22</v>
      </c>
    </row>
    <row r="4947">
      <c r="A4947" t="inlineStr">
        <is>
          <t>ORD04946</t>
        </is>
      </c>
      <c r="B4947" t="inlineStr">
        <is>
          <t>C2446</t>
        </is>
      </c>
      <c r="C4947" t="n">
        <v>2</v>
      </c>
      <c r="D4947" t="inlineStr">
        <is>
          <t>Hub B</t>
        </is>
      </c>
      <c r="E4947" t="n">
        <v>20</v>
      </c>
      <c r="F4947" t="n">
        <v>22</v>
      </c>
    </row>
    <row r="4948">
      <c r="A4948" t="inlineStr">
        <is>
          <t>ORD04947</t>
        </is>
      </c>
      <c r="B4948" t="inlineStr">
        <is>
          <t>C2447</t>
        </is>
      </c>
      <c r="C4948" t="n">
        <v>3</v>
      </c>
      <c r="D4948" t="inlineStr">
        <is>
          <t>Hub B</t>
        </is>
      </c>
      <c r="E4948" t="n">
        <v>27</v>
      </c>
      <c r="F4948" t="n">
        <v>22</v>
      </c>
    </row>
    <row r="4949">
      <c r="A4949" t="inlineStr">
        <is>
          <t>ORD04948</t>
        </is>
      </c>
      <c r="B4949" t="inlineStr">
        <is>
          <t>C2448</t>
        </is>
      </c>
      <c r="C4949" t="n">
        <v>1</v>
      </c>
      <c r="D4949" t="inlineStr">
        <is>
          <t>Hub B</t>
        </is>
      </c>
      <c r="E4949" t="n">
        <v>34</v>
      </c>
      <c r="F4949" t="n">
        <v>22</v>
      </c>
    </row>
    <row r="4950">
      <c r="A4950" t="inlineStr">
        <is>
          <t>ORD04949</t>
        </is>
      </c>
      <c r="B4950" t="inlineStr">
        <is>
          <t>C2449</t>
        </is>
      </c>
      <c r="C4950" t="n">
        <v>2</v>
      </c>
      <c r="D4950" t="inlineStr">
        <is>
          <t>Hub B</t>
        </is>
      </c>
      <c r="E4950" t="n">
        <v>41</v>
      </c>
      <c r="F4950" t="n">
        <v>22</v>
      </c>
    </row>
    <row r="4951">
      <c r="A4951" t="inlineStr">
        <is>
          <t>ORD04950</t>
        </is>
      </c>
      <c r="B4951" t="inlineStr">
        <is>
          <t>C2450</t>
        </is>
      </c>
      <c r="C4951" t="n">
        <v>3</v>
      </c>
      <c r="D4951" t="inlineStr">
        <is>
          <t>Hub B</t>
        </is>
      </c>
      <c r="E4951" t="n">
        <v>48</v>
      </c>
      <c r="F4951" t="n">
        <v>22</v>
      </c>
    </row>
    <row r="4952">
      <c r="A4952" t="inlineStr">
        <is>
          <t>ORD04951</t>
        </is>
      </c>
      <c r="B4952" t="inlineStr">
        <is>
          <t>C2451</t>
        </is>
      </c>
      <c r="C4952" t="n">
        <v>1</v>
      </c>
      <c r="D4952" t="inlineStr">
        <is>
          <t>Hub B</t>
        </is>
      </c>
      <c r="E4952" t="n">
        <v>55</v>
      </c>
      <c r="F4952" t="n">
        <v>22</v>
      </c>
    </row>
    <row r="4953">
      <c r="A4953" t="inlineStr">
        <is>
          <t>ORD04952</t>
        </is>
      </c>
      <c r="B4953" t="inlineStr">
        <is>
          <t>C2452</t>
        </is>
      </c>
      <c r="C4953" t="n">
        <v>2</v>
      </c>
      <c r="D4953" t="inlineStr">
        <is>
          <t>Hub B</t>
        </is>
      </c>
      <c r="E4953" t="n">
        <v>62</v>
      </c>
      <c r="F4953" t="n">
        <v>22</v>
      </c>
    </row>
    <row r="4954">
      <c r="A4954" t="inlineStr">
        <is>
          <t>ORD04953</t>
        </is>
      </c>
      <c r="B4954" t="inlineStr">
        <is>
          <t>C2453</t>
        </is>
      </c>
      <c r="C4954" t="n">
        <v>3</v>
      </c>
      <c r="D4954" t="inlineStr">
        <is>
          <t>Hub B</t>
        </is>
      </c>
      <c r="E4954" t="n">
        <v>69</v>
      </c>
      <c r="F4954" t="n">
        <v>22</v>
      </c>
    </row>
    <row r="4955">
      <c r="A4955" t="inlineStr">
        <is>
          <t>ORD04954</t>
        </is>
      </c>
      <c r="B4955" t="inlineStr">
        <is>
          <t>C2454</t>
        </is>
      </c>
      <c r="C4955" t="n">
        <v>1</v>
      </c>
      <c r="D4955" t="inlineStr">
        <is>
          <t>Hub B</t>
        </is>
      </c>
      <c r="E4955" t="n">
        <v>76</v>
      </c>
      <c r="F4955" t="n">
        <v>22</v>
      </c>
    </row>
    <row r="4956">
      <c r="A4956" t="inlineStr">
        <is>
          <t>ORD04955</t>
        </is>
      </c>
      <c r="B4956" t="inlineStr">
        <is>
          <t>C2455</t>
        </is>
      </c>
      <c r="C4956" t="n">
        <v>2</v>
      </c>
      <c r="D4956" t="inlineStr">
        <is>
          <t>Hub B</t>
        </is>
      </c>
      <c r="E4956" t="n">
        <v>23</v>
      </c>
      <c r="F4956" t="n">
        <v>22</v>
      </c>
    </row>
    <row r="4957">
      <c r="A4957" t="inlineStr">
        <is>
          <t>ORD04956</t>
        </is>
      </c>
      <c r="B4957" t="inlineStr">
        <is>
          <t>C2456</t>
        </is>
      </c>
      <c r="C4957" t="n">
        <v>3</v>
      </c>
      <c r="D4957" t="inlineStr">
        <is>
          <t>Hub B</t>
        </is>
      </c>
      <c r="E4957" t="n">
        <v>30</v>
      </c>
      <c r="F4957" t="n">
        <v>22</v>
      </c>
    </row>
    <row r="4958">
      <c r="A4958" t="inlineStr">
        <is>
          <t>ORD04957</t>
        </is>
      </c>
      <c r="B4958" t="inlineStr">
        <is>
          <t>C2457</t>
        </is>
      </c>
      <c r="C4958" t="n">
        <v>1</v>
      </c>
      <c r="D4958" t="inlineStr">
        <is>
          <t>Hub B</t>
        </is>
      </c>
      <c r="E4958" t="n">
        <v>37</v>
      </c>
      <c r="F4958" t="n">
        <v>22</v>
      </c>
    </row>
    <row r="4959">
      <c r="A4959" t="inlineStr">
        <is>
          <t>ORD04958</t>
        </is>
      </c>
      <c r="B4959" t="inlineStr">
        <is>
          <t>C2458</t>
        </is>
      </c>
      <c r="C4959" t="n">
        <v>2</v>
      </c>
      <c r="D4959" t="inlineStr">
        <is>
          <t>Hub B</t>
        </is>
      </c>
      <c r="E4959" t="n">
        <v>44</v>
      </c>
      <c r="F4959" t="n">
        <v>22</v>
      </c>
    </row>
    <row r="4960">
      <c r="A4960" t="inlineStr">
        <is>
          <t>ORD04959</t>
        </is>
      </c>
      <c r="B4960" t="inlineStr">
        <is>
          <t>C2459</t>
        </is>
      </c>
      <c r="C4960" t="n">
        <v>3</v>
      </c>
      <c r="D4960" t="inlineStr">
        <is>
          <t>Hub B</t>
        </is>
      </c>
      <c r="E4960" t="n">
        <v>51</v>
      </c>
      <c r="F4960" t="n">
        <v>22</v>
      </c>
    </row>
    <row r="4961">
      <c r="A4961" t="inlineStr">
        <is>
          <t>ORD04960</t>
        </is>
      </c>
      <c r="B4961" t="inlineStr">
        <is>
          <t>C2460</t>
        </is>
      </c>
      <c r="C4961" t="n">
        <v>1</v>
      </c>
      <c r="D4961" t="inlineStr">
        <is>
          <t>Hub B</t>
        </is>
      </c>
      <c r="E4961" t="n">
        <v>58</v>
      </c>
      <c r="F4961" t="n">
        <v>22</v>
      </c>
    </row>
    <row r="4962">
      <c r="A4962" t="inlineStr">
        <is>
          <t>ORD04961</t>
        </is>
      </c>
      <c r="B4962" t="inlineStr">
        <is>
          <t>C2461</t>
        </is>
      </c>
      <c r="C4962" t="n">
        <v>2</v>
      </c>
      <c r="D4962" t="inlineStr">
        <is>
          <t>Hub B</t>
        </is>
      </c>
      <c r="E4962" t="n">
        <v>65</v>
      </c>
      <c r="F4962" t="n">
        <v>22</v>
      </c>
    </row>
    <row r="4963">
      <c r="A4963" t="inlineStr">
        <is>
          <t>ORD04962</t>
        </is>
      </c>
      <c r="B4963" t="inlineStr">
        <is>
          <t>C2462</t>
        </is>
      </c>
      <c r="C4963" t="n">
        <v>3</v>
      </c>
      <c r="D4963" t="inlineStr">
        <is>
          <t>Hub B</t>
        </is>
      </c>
      <c r="E4963" t="n">
        <v>72</v>
      </c>
      <c r="F4963" t="n">
        <v>22</v>
      </c>
    </row>
    <row r="4964">
      <c r="A4964" t="inlineStr">
        <is>
          <t>ORD04963</t>
        </is>
      </c>
      <c r="B4964" t="inlineStr">
        <is>
          <t>C2463</t>
        </is>
      </c>
      <c r="C4964" t="n">
        <v>1</v>
      </c>
      <c r="D4964" t="inlineStr">
        <is>
          <t>Hub B</t>
        </is>
      </c>
      <c r="E4964" t="n">
        <v>19</v>
      </c>
      <c r="F4964" t="n">
        <v>22</v>
      </c>
    </row>
    <row r="4965">
      <c r="A4965" t="inlineStr">
        <is>
          <t>ORD04964</t>
        </is>
      </c>
      <c r="B4965" t="inlineStr">
        <is>
          <t>C2464</t>
        </is>
      </c>
      <c r="C4965" t="n">
        <v>2</v>
      </c>
      <c r="D4965" t="inlineStr">
        <is>
          <t>Hub B</t>
        </is>
      </c>
      <c r="E4965" t="n">
        <v>26</v>
      </c>
      <c r="F4965" t="n">
        <v>22</v>
      </c>
    </row>
    <row r="4966">
      <c r="A4966" t="inlineStr">
        <is>
          <t>ORD04965</t>
        </is>
      </c>
      <c r="B4966" t="inlineStr">
        <is>
          <t>C2465</t>
        </is>
      </c>
      <c r="C4966" t="n">
        <v>3</v>
      </c>
      <c r="D4966" t="inlineStr">
        <is>
          <t>Hub B</t>
        </is>
      </c>
      <c r="E4966" t="n">
        <v>33</v>
      </c>
      <c r="F4966" t="n">
        <v>22</v>
      </c>
    </row>
    <row r="4967">
      <c r="A4967" t="inlineStr">
        <is>
          <t>ORD04966</t>
        </is>
      </c>
      <c r="B4967" t="inlineStr">
        <is>
          <t>C2466</t>
        </is>
      </c>
      <c r="C4967" t="n">
        <v>1</v>
      </c>
      <c r="D4967" t="inlineStr">
        <is>
          <t>Hub B</t>
        </is>
      </c>
      <c r="E4967" t="n">
        <v>40</v>
      </c>
      <c r="F4967" t="n">
        <v>22</v>
      </c>
    </row>
    <row r="4968">
      <c r="A4968" t="inlineStr">
        <is>
          <t>ORD04967</t>
        </is>
      </c>
      <c r="B4968" t="inlineStr">
        <is>
          <t>C2467</t>
        </is>
      </c>
      <c r="C4968" t="n">
        <v>2</v>
      </c>
      <c r="D4968" t="inlineStr">
        <is>
          <t>Hub B</t>
        </is>
      </c>
      <c r="E4968" t="n">
        <v>47</v>
      </c>
      <c r="F4968" t="n">
        <v>22</v>
      </c>
    </row>
    <row r="4969">
      <c r="A4969" t="inlineStr">
        <is>
          <t>ORD04968</t>
        </is>
      </c>
      <c r="B4969" t="inlineStr">
        <is>
          <t>C2468</t>
        </is>
      </c>
      <c r="C4969" t="n">
        <v>3</v>
      </c>
      <c r="D4969" t="inlineStr">
        <is>
          <t>Hub B</t>
        </is>
      </c>
      <c r="E4969" t="n">
        <v>54</v>
      </c>
      <c r="F4969" t="n">
        <v>22</v>
      </c>
    </row>
    <row r="4970">
      <c r="A4970" t="inlineStr">
        <is>
          <t>ORD04969</t>
        </is>
      </c>
      <c r="B4970" t="inlineStr">
        <is>
          <t>C2469</t>
        </is>
      </c>
      <c r="C4970" t="n">
        <v>1</v>
      </c>
      <c r="D4970" t="inlineStr">
        <is>
          <t>Hub B</t>
        </is>
      </c>
      <c r="E4970" t="n">
        <v>61</v>
      </c>
      <c r="F4970" t="n">
        <v>22</v>
      </c>
    </row>
    <row r="4971">
      <c r="A4971" t="inlineStr">
        <is>
          <t>ORD04970</t>
        </is>
      </c>
      <c r="B4971" t="inlineStr">
        <is>
          <t>C2470</t>
        </is>
      </c>
      <c r="C4971" t="n">
        <v>2</v>
      </c>
      <c r="D4971" t="inlineStr">
        <is>
          <t>Hub B</t>
        </is>
      </c>
      <c r="E4971" t="n">
        <v>68</v>
      </c>
      <c r="F4971" t="n">
        <v>22</v>
      </c>
    </row>
    <row r="4972">
      <c r="A4972" t="inlineStr">
        <is>
          <t>ORD04971</t>
        </is>
      </c>
      <c r="B4972" t="inlineStr">
        <is>
          <t>C2471</t>
        </is>
      </c>
      <c r="C4972" t="n">
        <v>3</v>
      </c>
      <c r="D4972" t="inlineStr">
        <is>
          <t>Hub B</t>
        </is>
      </c>
      <c r="E4972" t="n">
        <v>75</v>
      </c>
      <c r="F4972" t="n">
        <v>22</v>
      </c>
    </row>
    <row r="4973">
      <c r="A4973" t="inlineStr">
        <is>
          <t>ORD04972</t>
        </is>
      </c>
      <c r="B4973" t="inlineStr">
        <is>
          <t>C2472</t>
        </is>
      </c>
      <c r="C4973" t="n">
        <v>1</v>
      </c>
      <c r="D4973" t="inlineStr">
        <is>
          <t>Hub B</t>
        </is>
      </c>
      <c r="E4973" t="n">
        <v>22</v>
      </c>
      <c r="F4973" t="n">
        <v>22</v>
      </c>
    </row>
    <row r="4974">
      <c r="A4974" t="inlineStr">
        <is>
          <t>ORD04973</t>
        </is>
      </c>
      <c r="B4974" t="inlineStr">
        <is>
          <t>C2473</t>
        </is>
      </c>
      <c r="C4974" t="n">
        <v>2</v>
      </c>
      <c r="D4974" t="inlineStr">
        <is>
          <t>Hub B</t>
        </is>
      </c>
      <c r="E4974" t="n">
        <v>29</v>
      </c>
      <c r="F4974" t="n">
        <v>22</v>
      </c>
    </row>
    <row r="4975">
      <c r="A4975" t="inlineStr">
        <is>
          <t>ORD04974</t>
        </is>
      </c>
      <c r="B4975" t="inlineStr">
        <is>
          <t>C2474</t>
        </is>
      </c>
      <c r="C4975" t="n">
        <v>3</v>
      </c>
      <c r="D4975" t="inlineStr">
        <is>
          <t>Hub B</t>
        </is>
      </c>
      <c r="E4975" t="n">
        <v>36</v>
      </c>
      <c r="F4975" t="n">
        <v>22</v>
      </c>
    </row>
    <row r="4976">
      <c r="A4976" t="inlineStr">
        <is>
          <t>ORD04975</t>
        </is>
      </c>
      <c r="B4976" t="inlineStr">
        <is>
          <t>C2475</t>
        </is>
      </c>
      <c r="C4976" t="n">
        <v>1</v>
      </c>
      <c r="D4976" t="inlineStr">
        <is>
          <t>Hub B</t>
        </is>
      </c>
      <c r="E4976" t="n">
        <v>43</v>
      </c>
      <c r="F4976" t="n">
        <v>22</v>
      </c>
    </row>
    <row r="4977">
      <c r="A4977" t="inlineStr">
        <is>
          <t>ORD04976</t>
        </is>
      </c>
      <c r="B4977" t="inlineStr">
        <is>
          <t>C2476</t>
        </is>
      </c>
      <c r="C4977" t="n">
        <v>2</v>
      </c>
      <c r="D4977" t="inlineStr">
        <is>
          <t>Hub B</t>
        </is>
      </c>
      <c r="E4977" t="n">
        <v>50</v>
      </c>
      <c r="F4977" t="n">
        <v>22</v>
      </c>
    </row>
    <row r="4978">
      <c r="A4978" t="inlineStr">
        <is>
          <t>ORD04977</t>
        </is>
      </c>
      <c r="B4978" t="inlineStr">
        <is>
          <t>C2477</t>
        </is>
      </c>
      <c r="C4978" t="n">
        <v>3</v>
      </c>
      <c r="D4978" t="inlineStr">
        <is>
          <t>Hub B</t>
        </is>
      </c>
      <c r="E4978" t="n">
        <v>57</v>
      </c>
      <c r="F4978" t="n">
        <v>22</v>
      </c>
    </row>
    <row r="4979">
      <c r="A4979" t="inlineStr">
        <is>
          <t>ORD04978</t>
        </is>
      </c>
      <c r="B4979" t="inlineStr">
        <is>
          <t>C2478</t>
        </is>
      </c>
      <c r="C4979" t="n">
        <v>1</v>
      </c>
      <c r="D4979" t="inlineStr">
        <is>
          <t>Hub B</t>
        </is>
      </c>
      <c r="E4979" t="n">
        <v>64</v>
      </c>
      <c r="F4979" t="n">
        <v>22</v>
      </c>
    </row>
    <row r="4980">
      <c r="A4980" t="inlineStr">
        <is>
          <t>ORD04979</t>
        </is>
      </c>
      <c r="B4980" t="inlineStr">
        <is>
          <t>C2479</t>
        </is>
      </c>
      <c r="C4980" t="n">
        <v>2</v>
      </c>
      <c r="D4980" t="inlineStr">
        <is>
          <t>Hub B</t>
        </is>
      </c>
      <c r="E4980" t="n">
        <v>71</v>
      </c>
      <c r="F4980" t="n">
        <v>22</v>
      </c>
    </row>
    <row r="4981">
      <c r="A4981" t="inlineStr">
        <is>
          <t>ORD04980</t>
        </is>
      </c>
      <c r="B4981" t="inlineStr">
        <is>
          <t>C2480</t>
        </is>
      </c>
      <c r="C4981" t="n">
        <v>3</v>
      </c>
      <c r="D4981" t="inlineStr">
        <is>
          <t>Hub B</t>
        </is>
      </c>
      <c r="E4981" t="n">
        <v>18</v>
      </c>
      <c r="F4981" t="n">
        <v>22</v>
      </c>
    </row>
    <row r="4982">
      <c r="A4982" t="inlineStr">
        <is>
          <t>ORD04981</t>
        </is>
      </c>
      <c r="B4982" t="inlineStr">
        <is>
          <t>C2481</t>
        </is>
      </c>
      <c r="C4982" t="n">
        <v>1</v>
      </c>
      <c r="D4982" t="inlineStr">
        <is>
          <t>Hub B</t>
        </is>
      </c>
      <c r="E4982" t="n">
        <v>25</v>
      </c>
      <c r="F4982" t="n">
        <v>22</v>
      </c>
    </row>
    <row r="4983">
      <c r="A4983" t="inlineStr">
        <is>
          <t>ORD04982</t>
        </is>
      </c>
      <c r="B4983" t="inlineStr">
        <is>
          <t>C2482</t>
        </is>
      </c>
      <c r="C4983" t="n">
        <v>2</v>
      </c>
      <c r="D4983" t="inlineStr">
        <is>
          <t>Hub B</t>
        </is>
      </c>
      <c r="E4983" t="n">
        <v>32</v>
      </c>
      <c r="F4983" t="n">
        <v>22</v>
      </c>
    </row>
    <row r="4984">
      <c r="A4984" t="inlineStr">
        <is>
          <t>ORD04983</t>
        </is>
      </c>
      <c r="B4984" t="inlineStr">
        <is>
          <t>C2483</t>
        </is>
      </c>
      <c r="C4984" t="n">
        <v>3</v>
      </c>
      <c r="D4984" t="inlineStr">
        <is>
          <t>Hub B</t>
        </is>
      </c>
      <c r="E4984" t="n">
        <v>39</v>
      </c>
      <c r="F4984" t="n">
        <v>22</v>
      </c>
    </row>
    <row r="4985">
      <c r="A4985" t="inlineStr">
        <is>
          <t>ORD04984</t>
        </is>
      </c>
      <c r="B4985" t="inlineStr">
        <is>
          <t>C2484</t>
        </is>
      </c>
      <c r="C4985" t="n">
        <v>1</v>
      </c>
      <c r="D4985" t="inlineStr">
        <is>
          <t>Hub B</t>
        </is>
      </c>
      <c r="E4985" t="n">
        <v>46</v>
      </c>
      <c r="F4985" t="n">
        <v>22</v>
      </c>
    </row>
    <row r="4986">
      <c r="A4986" t="inlineStr">
        <is>
          <t>ORD04985</t>
        </is>
      </c>
      <c r="B4986" t="inlineStr">
        <is>
          <t>C2485</t>
        </is>
      </c>
      <c r="C4986" t="n">
        <v>2</v>
      </c>
      <c r="D4986" t="inlineStr">
        <is>
          <t>Hub B</t>
        </is>
      </c>
      <c r="E4986" t="n">
        <v>53</v>
      </c>
      <c r="F4986" t="n">
        <v>22</v>
      </c>
    </row>
    <row r="4987">
      <c r="A4987" t="inlineStr">
        <is>
          <t>ORD04986</t>
        </is>
      </c>
      <c r="B4987" t="inlineStr">
        <is>
          <t>C2486</t>
        </is>
      </c>
      <c r="C4987" t="n">
        <v>3</v>
      </c>
      <c r="D4987" t="inlineStr">
        <is>
          <t>Hub B</t>
        </is>
      </c>
      <c r="E4987" t="n">
        <v>60</v>
      </c>
      <c r="F4987" t="n">
        <v>22</v>
      </c>
    </row>
    <row r="4988">
      <c r="A4988" t="inlineStr">
        <is>
          <t>ORD04987</t>
        </is>
      </c>
      <c r="B4988" t="inlineStr">
        <is>
          <t>C2487</t>
        </is>
      </c>
      <c r="C4988" t="n">
        <v>1</v>
      </c>
      <c r="D4988" t="inlineStr">
        <is>
          <t>Hub B</t>
        </is>
      </c>
      <c r="E4988" t="n">
        <v>67</v>
      </c>
      <c r="F4988" t="n">
        <v>22</v>
      </c>
    </row>
    <row r="4989">
      <c r="A4989" t="inlineStr">
        <is>
          <t>ORD04988</t>
        </is>
      </c>
      <c r="B4989" t="inlineStr">
        <is>
          <t>C2488</t>
        </is>
      </c>
      <c r="C4989" t="n">
        <v>2</v>
      </c>
      <c r="D4989" t="inlineStr">
        <is>
          <t>Hub B</t>
        </is>
      </c>
      <c r="E4989" t="n">
        <v>74</v>
      </c>
      <c r="F4989" t="n">
        <v>22</v>
      </c>
    </row>
    <row r="4990">
      <c r="A4990" t="inlineStr">
        <is>
          <t>ORD04989</t>
        </is>
      </c>
      <c r="B4990" t="inlineStr">
        <is>
          <t>C2489</t>
        </is>
      </c>
      <c r="C4990" t="n">
        <v>3</v>
      </c>
      <c r="D4990" t="inlineStr">
        <is>
          <t>Hub B</t>
        </is>
      </c>
      <c r="E4990" t="n">
        <v>21</v>
      </c>
      <c r="F4990" t="n">
        <v>22</v>
      </c>
    </row>
    <row r="4991">
      <c r="A4991" t="inlineStr">
        <is>
          <t>ORD04990</t>
        </is>
      </c>
      <c r="B4991" t="inlineStr">
        <is>
          <t>C2490</t>
        </is>
      </c>
      <c r="C4991" t="n">
        <v>1</v>
      </c>
      <c r="D4991" t="inlineStr">
        <is>
          <t>Hub B</t>
        </is>
      </c>
      <c r="E4991" t="n">
        <v>28</v>
      </c>
      <c r="F4991" t="n">
        <v>22</v>
      </c>
    </row>
    <row r="4992">
      <c r="A4992" t="inlineStr">
        <is>
          <t>ORD04991</t>
        </is>
      </c>
      <c r="B4992" t="inlineStr">
        <is>
          <t>C2491</t>
        </is>
      </c>
      <c r="C4992" t="n">
        <v>2</v>
      </c>
      <c r="D4992" t="inlineStr">
        <is>
          <t>Hub B</t>
        </is>
      </c>
      <c r="E4992" t="n">
        <v>35</v>
      </c>
      <c r="F4992" t="n">
        <v>22</v>
      </c>
    </row>
    <row r="4993">
      <c r="A4993" t="inlineStr">
        <is>
          <t>ORD04992</t>
        </is>
      </c>
      <c r="B4993" t="inlineStr">
        <is>
          <t>C2492</t>
        </is>
      </c>
      <c r="C4993" t="n">
        <v>3</v>
      </c>
      <c r="D4993" t="inlineStr">
        <is>
          <t>Hub B</t>
        </is>
      </c>
      <c r="E4993" t="n">
        <v>42</v>
      </c>
      <c r="F4993" t="n">
        <v>22</v>
      </c>
    </row>
    <row r="4994">
      <c r="A4994" t="inlineStr">
        <is>
          <t>ORD04993</t>
        </is>
      </c>
      <c r="B4994" t="inlineStr">
        <is>
          <t>C2493</t>
        </is>
      </c>
      <c r="C4994" t="n">
        <v>1</v>
      </c>
      <c r="D4994" t="inlineStr">
        <is>
          <t>Hub B</t>
        </is>
      </c>
      <c r="E4994" t="n">
        <v>49</v>
      </c>
      <c r="F4994" t="n">
        <v>22</v>
      </c>
    </row>
    <row r="4995">
      <c r="A4995" t="inlineStr">
        <is>
          <t>ORD04994</t>
        </is>
      </c>
      <c r="B4995" t="inlineStr">
        <is>
          <t>C2494</t>
        </is>
      </c>
      <c r="C4995" t="n">
        <v>2</v>
      </c>
      <c r="D4995" t="inlineStr">
        <is>
          <t>Hub B</t>
        </is>
      </c>
      <c r="E4995" t="n">
        <v>56</v>
      </c>
      <c r="F4995" t="n">
        <v>22</v>
      </c>
    </row>
    <row r="4996">
      <c r="A4996" t="inlineStr">
        <is>
          <t>ORD04995</t>
        </is>
      </c>
      <c r="B4996" t="inlineStr">
        <is>
          <t>C2495</t>
        </is>
      </c>
      <c r="C4996" t="n">
        <v>3</v>
      </c>
      <c r="D4996" t="inlineStr">
        <is>
          <t>Hub B</t>
        </is>
      </c>
      <c r="E4996" t="n">
        <v>63</v>
      </c>
      <c r="F4996" t="n">
        <v>22</v>
      </c>
    </row>
    <row r="4997">
      <c r="A4997" t="inlineStr">
        <is>
          <t>ORD04996</t>
        </is>
      </c>
      <c r="B4997" t="inlineStr">
        <is>
          <t>C2496</t>
        </is>
      </c>
      <c r="C4997" t="n">
        <v>1</v>
      </c>
      <c r="D4997" t="inlineStr">
        <is>
          <t>Hub B</t>
        </is>
      </c>
      <c r="E4997" t="n">
        <v>70</v>
      </c>
      <c r="F4997" t="n">
        <v>22</v>
      </c>
    </row>
    <row r="4998">
      <c r="A4998" t="inlineStr">
        <is>
          <t>ORD04997</t>
        </is>
      </c>
      <c r="B4998" t="inlineStr">
        <is>
          <t>C2497</t>
        </is>
      </c>
      <c r="C4998" t="n">
        <v>2</v>
      </c>
      <c r="D4998" t="inlineStr">
        <is>
          <t>Hub B</t>
        </is>
      </c>
      <c r="E4998" t="n">
        <v>77</v>
      </c>
      <c r="F4998" t="n">
        <v>22</v>
      </c>
    </row>
    <row r="4999">
      <c r="A4999" t="inlineStr">
        <is>
          <t>ORD04998</t>
        </is>
      </c>
      <c r="B4999" t="inlineStr">
        <is>
          <t>C2498</t>
        </is>
      </c>
      <c r="C4999" t="n">
        <v>3</v>
      </c>
      <c r="D4999" t="inlineStr">
        <is>
          <t>Hub B</t>
        </is>
      </c>
      <c r="E4999" t="n">
        <v>24</v>
      </c>
      <c r="F4999" t="n">
        <v>22</v>
      </c>
    </row>
    <row r="5000">
      <c r="A5000" t="inlineStr">
        <is>
          <t>ORD04999</t>
        </is>
      </c>
      <c r="B5000" t="inlineStr">
        <is>
          <t>C2499</t>
        </is>
      </c>
      <c r="C5000" t="n">
        <v>1</v>
      </c>
      <c r="D5000" t="inlineStr">
        <is>
          <t>Hub B</t>
        </is>
      </c>
      <c r="E5000" t="n">
        <v>31</v>
      </c>
      <c r="F5000" t="n">
        <v>22</v>
      </c>
    </row>
    <row r="5001">
      <c r="A5001" t="inlineStr">
        <is>
          <t>ORD05000</t>
        </is>
      </c>
      <c r="B5001" t="inlineStr">
        <is>
          <t>C2500</t>
        </is>
      </c>
      <c r="C5001" t="n">
        <v>2</v>
      </c>
      <c r="D5001" t="inlineStr">
        <is>
          <t>Hub B</t>
        </is>
      </c>
      <c r="E5001" t="n">
        <v>38</v>
      </c>
      <c r="F5001" t="n">
        <v>22</v>
      </c>
    </row>
    <row r="5002">
      <c r="A5002" t="inlineStr">
        <is>
          <t>ORD05001</t>
        </is>
      </c>
      <c r="B5002" t="inlineStr">
        <is>
          <t>C0001</t>
        </is>
      </c>
      <c r="C5002" t="n">
        <v>3</v>
      </c>
      <c r="D5002" t="inlineStr">
        <is>
          <t>Hub B</t>
        </is>
      </c>
      <c r="E5002" t="n">
        <v>45</v>
      </c>
      <c r="F5002" t="n">
        <v>22</v>
      </c>
    </row>
    <row r="5003">
      <c r="A5003" t="inlineStr">
        <is>
          <t>ORD05002</t>
        </is>
      </c>
      <c r="B5003" t="inlineStr">
        <is>
          <t>C0002</t>
        </is>
      </c>
      <c r="C5003" t="n">
        <v>1</v>
      </c>
      <c r="D5003" t="inlineStr">
        <is>
          <t>Hub B</t>
        </is>
      </c>
      <c r="E5003" t="n">
        <v>52</v>
      </c>
      <c r="F5003" t="n">
        <v>22</v>
      </c>
    </row>
    <row r="5004">
      <c r="A5004" t="inlineStr">
        <is>
          <t>ORD05003</t>
        </is>
      </c>
      <c r="B5004" t="inlineStr">
        <is>
          <t>C0003</t>
        </is>
      </c>
      <c r="C5004" t="n">
        <v>2</v>
      </c>
      <c r="D5004" t="inlineStr">
        <is>
          <t>Hub B</t>
        </is>
      </c>
      <c r="E5004" t="n">
        <v>59</v>
      </c>
      <c r="F5004" t="n">
        <v>22</v>
      </c>
    </row>
    <row r="5005">
      <c r="A5005" t="inlineStr">
        <is>
          <t>ORD05004</t>
        </is>
      </c>
      <c r="B5005" t="inlineStr">
        <is>
          <t>C0004</t>
        </is>
      </c>
      <c r="C5005" t="n">
        <v>3</v>
      </c>
      <c r="D5005" t="inlineStr">
        <is>
          <t>Hub B</t>
        </is>
      </c>
      <c r="E5005" t="n">
        <v>66</v>
      </c>
      <c r="F5005" t="n">
        <v>22</v>
      </c>
    </row>
    <row r="5006">
      <c r="A5006" t="inlineStr">
        <is>
          <t>ORD05005</t>
        </is>
      </c>
      <c r="B5006" t="inlineStr">
        <is>
          <t>C0005</t>
        </is>
      </c>
      <c r="C5006" t="n">
        <v>1</v>
      </c>
      <c r="D5006" t="inlineStr">
        <is>
          <t>Hub B</t>
        </is>
      </c>
      <c r="E5006" t="n">
        <v>73</v>
      </c>
      <c r="F5006" t="n">
        <v>22</v>
      </c>
    </row>
    <row r="5007">
      <c r="A5007" t="inlineStr">
        <is>
          <t>ORD05006</t>
        </is>
      </c>
      <c r="B5007" t="inlineStr">
        <is>
          <t>C0006</t>
        </is>
      </c>
      <c r="C5007" t="n">
        <v>2</v>
      </c>
      <c r="D5007" t="inlineStr">
        <is>
          <t>Hub B</t>
        </is>
      </c>
      <c r="E5007" t="n">
        <v>20</v>
      </c>
      <c r="F5007" t="n">
        <v>22</v>
      </c>
    </row>
    <row r="5008">
      <c r="A5008" t="inlineStr">
        <is>
          <t>ORD05007</t>
        </is>
      </c>
      <c r="B5008" t="inlineStr">
        <is>
          <t>C0007</t>
        </is>
      </c>
      <c r="C5008" t="n">
        <v>3</v>
      </c>
      <c r="D5008" t="inlineStr">
        <is>
          <t>Hub B</t>
        </is>
      </c>
      <c r="E5008" t="n">
        <v>27</v>
      </c>
      <c r="F5008" t="n">
        <v>22</v>
      </c>
    </row>
    <row r="5009">
      <c r="A5009" t="inlineStr">
        <is>
          <t>ORD05008</t>
        </is>
      </c>
      <c r="B5009" t="inlineStr">
        <is>
          <t>C0008</t>
        </is>
      </c>
      <c r="C5009" t="n">
        <v>1</v>
      </c>
      <c r="D5009" t="inlineStr">
        <is>
          <t>Hub B</t>
        </is>
      </c>
      <c r="E5009" t="n">
        <v>34</v>
      </c>
      <c r="F5009" t="n">
        <v>22</v>
      </c>
    </row>
    <row r="5010">
      <c r="A5010" t="inlineStr">
        <is>
          <t>ORD05009</t>
        </is>
      </c>
      <c r="B5010" t="inlineStr">
        <is>
          <t>C0009</t>
        </is>
      </c>
      <c r="C5010" t="n">
        <v>2</v>
      </c>
      <c r="D5010" t="inlineStr">
        <is>
          <t>Hub B</t>
        </is>
      </c>
      <c r="E5010" t="n">
        <v>41</v>
      </c>
      <c r="F5010" t="n">
        <v>22</v>
      </c>
    </row>
    <row r="5011">
      <c r="A5011" t="inlineStr">
        <is>
          <t>ORD05010</t>
        </is>
      </c>
      <c r="B5011" t="inlineStr">
        <is>
          <t>C0010</t>
        </is>
      </c>
      <c r="C5011" t="n">
        <v>3</v>
      </c>
      <c r="D5011" t="inlineStr">
        <is>
          <t>Hub B</t>
        </is>
      </c>
      <c r="E5011" t="n">
        <v>48</v>
      </c>
      <c r="F5011" t="n">
        <v>22</v>
      </c>
    </row>
    <row r="5012">
      <c r="A5012" t="inlineStr">
        <is>
          <t>ORD05011</t>
        </is>
      </c>
      <c r="B5012" t="inlineStr">
        <is>
          <t>C0011</t>
        </is>
      </c>
      <c r="C5012" t="n">
        <v>1</v>
      </c>
      <c r="D5012" t="inlineStr">
        <is>
          <t>Hub B</t>
        </is>
      </c>
      <c r="E5012" t="n">
        <v>55</v>
      </c>
      <c r="F5012" t="n">
        <v>22</v>
      </c>
    </row>
    <row r="5013">
      <c r="A5013" t="inlineStr">
        <is>
          <t>ORD05012</t>
        </is>
      </c>
      <c r="B5013" t="inlineStr">
        <is>
          <t>C0012</t>
        </is>
      </c>
      <c r="C5013" t="n">
        <v>2</v>
      </c>
      <c r="D5013" t="inlineStr">
        <is>
          <t>Hub B</t>
        </is>
      </c>
      <c r="E5013" t="n">
        <v>62</v>
      </c>
      <c r="F5013" t="n">
        <v>22</v>
      </c>
    </row>
    <row r="5014">
      <c r="A5014" t="inlineStr">
        <is>
          <t>ORD05013</t>
        </is>
      </c>
      <c r="B5014" t="inlineStr">
        <is>
          <t>C0013</t>
        </is>
      </c>
      <c r="C5014" t="n">
        <v>3</v>
      </c>
      <c r="D5014" t="inlineStr">
        <is>
          <t>Hub B</t>
        </is>
      </c>
      <c r="E5014" t="n">
        <v>69</v>
      </c>
      <c r="F5014" t="n">
        <v>22</v>
      </c>
    </row>
    <row r="5015">
      <c r="A5015" t="inlineStr">
        <is>
          <t>ORD05014</t>
        </is>
      </c>
      <c r="B5015" t="inlineStr">
        <is>
          <t>C0014</t>
        </is>
      </c>
      <c r="C5015" t="n">
        <v>1</v>
      </c>
      <c r="D5015" t="inlineStr">
        <is>
          <t>Hub B</t>
        </is>
      </c>
      <c r="E5015" t="n">
        <v>76</v>
      </c>
      <c r="F5015" t="n">
        <v>22</v>
      </c>
    </row>
    <row r="5016">
      <c r="A5016" t="inlineStr">
        <is>
          <t>ORD05015</t>
        </is>
      </c>
      <c r="B5016" t="inlineStr">
        <is>
          <t>C0015</t>
        </is>
      </c>
      <c r="C5016" t="n">
        <v>2</v>
      </c>
      <c r="D5016" t="inlineStr">
        <is>
          <t>Hub B</t>
        </is>
      </c>
      <c r="E5016" t="n">
        <v>23</v>
      </c>
      <c r="F5016" t="n">
        <v>22</v>
      </c>
    </row>
    <row r="5017">
      <c r="A5017" t="inlineStr">
        <is>
          <t>ORD05016</t>
        </is>
      </c>
      <c r="B5017" t="inlineStr">
        <is>
          <t>C0016</t>
        </is>
      </c>
      <c r="C5017" t="n">
        <v>3</v>
      </c>
      <c r="D5017" t="inlineStr">
        <is>
          <t>Hub B</t>
        </is>
      </c>
      <c r="E5017" t="n">
        <v>30</v>
      </c>
      <c r="F5017" t="n">
        <v>22</v>
      </c>
    </row>
    <row r="5018">
      <c r="A5018" t="inlineStr">
        <is>
          <t>ORD05017</t>
        </is>
      </c>
      <c r="B5018" t="inlineStr">
        <is>
          <t>C0017</t>
        </is>
      </c>
      <c r="C5018" t="n">
        <v>1</v>
      </c>
      <c r="D5018" t="inlineStr">
        <is>
          <t>Hub B</t>
        </is>
      </c>
      <c r="E5018" t="n">
        <v>37</v>
      </c>
      <c r="F5018" t="n">
        <v>22</v>
      </c>
    </row>
    <row r="5019">
      <c r="A5019" t="inlineStr">
        <is>
          <t>ORD05018</t>
        </is>
      </c>
      <c r="B5019" t="inlineStr">
        <is>
          <t>C0018</t>
        </is>
      </c>
      <c r="C5019" t="n">
        <v>2</v>
      </c>
      <c r="D5019" t="inlineStr">
        <is>
          <t>Hub B</t>
        </is>
      </c>
      <c r="E5019" t="n">
        <v>44</v>
      </c>
      <c r="F5019" t="n">
        <v>22</v>
      </c>
    </row>
    <row r="5020">
      <c r="A5020" t="inlineStr">
        <is>
          <t>ORD05019</t>
        </is>
      </c>
      <c r="B5020" t="inlineStr">
        <is>
          <t>C0019</t>
        </is>
      </c>
      <c r="C5020" t="n">
        <v>3</v>
      </c>
      <c r="D5020" t="inlineStr">
        <is>
          <t>Hub B</t>
        </is>
      </c>
      <c r="E5020" t="n">
        <v>51</v>
      </c>
      <c r="F5020" t="n">
        <v>22</v>
      </c>
    </row>
    <row r="5021">
      <c r="A5021" t="inlineStr">
        <is>
          <t>ORD05020</t>
        </is>
      </c>
      <c r="B5021" t="inlineStr">
        <is>
          <t>C0020</t>
        </is>
      </c>
      <c r="C5021" t="n">
        <v>1</v>
      </c>
      <c r="D5021" t="inlineStr">
        <is>
          <t>Hub B</t>
        </is>
      </c>
      <c r="E5021" t="n">
        <v>58</v>
      </c>
      <c r="F5021" t="n">
        <v>22</v>
      </c>
    </row>
    <row r="5022">
      <c r="A5022" t="inlineStr">
        <is>
          <t>ORD05021</t>
        </is>
      </c>
      <c r="B5022" t="inlineStr">
        <is>
          <t>C0021</t>
        </is>
      </c>
      <c r="C5022" t="n">
        <v>2</v>
      </c>
      <c r="D5022" t="inlineStr">
        <is>
          <t>Hub B</t>
        </is>
      </c>
      <c r="E5022" t="n">
        <v>65</v>
      </c>
      <c r="F5022" t="n">
        <v>22</v>
      </c>
    </row>
    <row r="5023">
      <c r="A5023" t="inlineStr">
        <is>
          <t>ORD05022</t>
        </is>
      </c>
      <c r="B5023" t="inlineStr">
        <is>
          <t>C0022</t>
        </is>
      </c>
      <c r="C5023" t="n">
        <v>3</v>
      </c>
      <c r="D5023" t="inlineStr">
        <is>
          <t>Hub B</t>
        </is>
      </c>
      <c r="E5023" t="n">
        <v>72</v>
      </c>
      <c r="F5023" t="n">
        <v>22</v>
      </c>
    </row>
    <row r="5024">
      <c r="A5024" t="inlineStr">
        <is>
          <t>ORD05023</t>
        </is>
      </c>
      <c r="B5024" t="inlineStr">
        <is>
          <t>C0023</t>
        </is>
      </c>
      <c r="C5024" t="n">
        <v>1</v>
      </c>
      <c r="D5024" t="inlineStr">
        <is>
          <t>Hub B</t>
        </is>
      </c>
      <c r="E5024" t="n">
        <v>19</v>
      </c>
      <c r="F5024" t="n">
        <v>22</v>
      </c>
    </row>
    <row r="5025">
      <c r="A5025" t="inlineStr">
        <is>
          <t>ORD05024</t>
        </is>
      </c>
      <c r="B5025" t="inlineStr">
        <is>
          <t>C0024</t>
        </is>
      </c>
      <c r="C5025" t="n">
        <v>2</v>
      </c>
      <c r="D5025" t="inlineStr">
        <is>
          <t>Hub B</t>
        </is>
      </c>
      <c r="E5025" t="n">
        <v>26</v>
      </c>
      <c r="F5025" t="n">
        <v>22</v>
      </c>
    </row>
    <row r="5026">
      <c r="A5026" t="inlineStr">
        <is>
          <t>ORD05025</t>
        </is>
      </c>
      <c r="B5026" t="inlineStr">
        <is>
          <t>C0025</t>
        </is>
      </c>
      <c r="C5026" t="n">
        <v>3</v>
      </c>
      <c r="D5026" t="inlineStr">
        <is>
          <t>Hub B</t>
        </is>
      </c>
      <c r="E5026" t="n">
        <v>33</v>
      </c>
      <c r="F5026" t="n">
        <v>22</v>
      </c>
    </row>
    <row r="5027">
      <c r="A5027" t="inlineStr">
        <is>
          <t>ORD05026</t>
        </is>
      </c>
      <c r="B5027" t="inlineStr">
        <is>
          <t>C0026</t>
        </is>
      </c>
      <c r="C5027" t="n">
        <v>1</v>
      </c>
      <c r="D5027" t="inlineStr">
        <is>
          <t>Hub B</t>
        </is>
      </c>
      <c r="E5027" t="n">
        <v>40</v>
      </c>
      <c r="F5027" t="n">
        <v>22</v>
      </c>
    </row>
    <row r="5028">
      <c r="A5028" t="inlineStr">
        <is>
          <t>ORD05027</t>
        </is>
      </c>
      <c r="B5028" t="inlineStr">
        <is>
          <t>C0027</t>
        </is>
      </c>
      <c r="C5028" t="n">
        <v>2</v>
      </c>
      <c r="D5028" t="inlineStr">
        <is>
          <t>Hub B</t>
        </is>
      </c>
      <c r="E5028" t="n">
        <v>47</v>
      </c>
      <c r="F5028" t="n">
        <v>22</v>
      </c>
    </row>
    <row r="5029">
      <c r="A5029" t="inlineStr">
        <is>
          <t>ORD05028</t>
        </is>
      </c>
      <c r="B5029" t="inlineStr">
        <is>
          <t>C0028</t>
        </is>
      </c>
      <c r="C5029" t="n">
        <v>3</v>
      </c>
      <c r="D5029" t="inlineStr">
        <is>
          <t>Hub B</t>
        </is>
      </c>
      <c r="E5029" t="n">
        <v>54</v>
      </c>
      <c r="F5029" t="n">
        <v>22</v>
      </c>
    </row>
    <row r="5030">
      <c r="A5030" t="inlineStr">
        <is>
          <t>ORD05029</t>
        </is>
      </c>
      <c r="B5030" t="inlineStr">
        <is>
          <t>C0029</t>
        </is>
      </c>
      <c r="C5030" t="n">
        <v>1</v>
      </c>
      <c r="D5030" t="inlineStr">
        <is>
          <t>Hub B</t>
        </is>
      </c>
      <c r="E5030" t="n">
        <v>61</v>
      </c>
      <c r="F5030" t="n">
        <v>22</v>
      </c>
    </row>
    <row r="5031">
      <c r="A5031" t="inlineStr">
        <is>
          <t>ORD05030</t>
        </is>
      </c>
      <c r="B5031" t="inlineStr">
        <is>
          <t>C0030</t>
        </is>
      </c>
      <c r="C5031" t="n">
        <v>2</v>
      </c>
      <c r="D5031" t="inlineStr">
        <is>
          <t>Hub B</t>
        </is>
      </c>
      <c r="E5031" t="n">
        <v>68</v>
      </c>
      <c r="F5031" t="n">
        <v>22</v>
      </c>
    </row>
    <row r="5032">
      <c r="A5032" t="inlineStr">
        <is>
          <t>ORD05031</t>
        </is>
      </c>
      <c r="B5032" t="inlineStr">
        <is>
          <t>C0031</t>
        </is>
      </c>
      <c r="C5032" t="n">
        <v>3</v>
      </c>
      <c r="D5032" t="inlineStr">
        <is>
          <t>Hub B</t>
        </is>
      </c>
      <c r="E5032" t="n">
        <v>75</v>
      </c>
      <c r="F5032" t="n">
        <v>22</v>
      </c>
    </row>
    <row r="5033">
      <c r="A5033" t="inlineStr">
        <is>
          <t>ORD05032</t>
        </is>
      </c>
      <c r="B5033" t="inlineStr">
        <is>
          <t>C0032</t>
        </is>
      </c>
      <c r="C5033" t="n">
        <v>1</v>
      </c>
      <c r="D5033" t="inlineStr">
        <is>
          <t>Hub B</t>
        </is>
      </c>
      <c r="E5033" t="n">
        <v>22</v>
      </c>
      <c r="F5033" t="n">
        <v>22</v>
      </c>
    </row>
    <row r="5034">
      <c r="A5034" t="inlineStr">
        <is>
          <t>ORD05033</t>
        </is>
      </c>
      <c r="B5034" t="inlineStr">
        <is>
          <t>C0033</t>
        </is>
      </c>
      <c r="C5034" t="n">
        <v>2</v>
      </c>
      <c r="D5034" t="inlineStr">
        <is>
          <t>Hub B</t>
        </is>
      </c>
      <c r="E5034" t="n">
        <v>29</v>
      </c>
      <c r="F5034" t="n">
        <v>22</v>
      </c>
    </row>
    <row r="5035">
      <c r="A5035" t="inlineStr">
        <is>
          <t>ORD05034</t>
        </is>
      </c>
      <c r="B5035" t="inlineStr">
        <is>
          <t>C0034</t>
        </is>
      </c>
      <c r="C5035" t="n">
        <v>3</v>
      </c>
      <c r="D5035" t="inlineStr">
        <is>
          <t>Hub B</t>
        </is>
      </c>
      <c r="E5035" t="n">
        <v>36</v>
      </c>
      <c r="F5035" t="n">
        <v>22</v>
      </c>
    </row>
    <row r="5036">
      <c r="A5036" t="inlineStr">
        <is>
          <t>ORD05035</t>
        </is>
      </c>
      <c r="B5036" t="inlineStr">
        <is>
          <t>C0035</t>
        </is>
      </c>
      <c r="C5036" t="n">
        <v>1</v>
      </c>
      <c r="D5036" t="inlineStr">
        <is>
          <t>Hub B</t>
        </is>
      </c>
      <c r="E5036" t="n">
        <v>43</v>
      </c>
      <c r="F5036" t="n">
        <v>22</v>
      </c>
    </row>
    <row r="5037">
      <c r="A5037" t="inlineStr">
        <is>
          <t>ORD05036</t>
        </is>
      </c>
      <c r="B5037" t="inlineStr">
        <is>
          <t>C0036</t>
        </is>
      </c>
      <c r="C5037" t="n">
        <v>2</v>
      </c>
      <c r="D5037" t="inlineStr">
        <is>
          <t>Hub B</t>
        </is>
      </c>
      <c r="E5037" t="n">
        <v>50</v>
      </c>
      <c r="F5037" t="n">
        <v>22</v>
      </c>
    </row>
    <row r="5038">
      <c r="A5038" t="inlineStr">
        <is>
          <t>ORD05037</t>
        </is>
      </c>
      <c r="B5038" t="inlineStr">
        <is>
          <t>C0037</t>
        </is>
      </c>
      <c r="C5038" t="n">
        <v>3</v>
      </c>
      <c r="D5038" t="inlineStr">
        <is>
          <t>Hub B</t>
        </is>
      </c>
      <c r="E5038" t="n">
        <v>57</v>
      </c>
      <c r="F5038" t="n">
        <v>22</v>
      </c>
    </row>
    <row r="5039">
      <c r="A5039" t="inlineStr">
        <is>
          <t>ORD05038</t>
        </is>
      </c>
      <c r="B5039" t="inlineStr">
        <is>
          <t>C0038</t>
        </is>
      </c>
      <c r="C5039" t="n">
        <v>1</v>
      </c>
      <c r="D5039" t="inlineStr">
        <is>
          <t>Hub B</t>
        </is>
      </c>
      <c r="E5039" t="n">
        <v>64</v>
      </c>
      <c r="F5039" t="n">
        <v>22</v>
      </c>
    </row>
    <row r="5040">
      <c r="A5040" t="inlineStr">
        <is>
          <t>ORD05039</t>
        </is>
      </c>
      <c r="B5040" t="inlineStr">
        <is>
          <t>C0039</t>
        </is>
      </c>
      <c r="C5040" t="n">
        <v>2</v>
      </c>
      <c r="D5040" t="inlineStr">
        <is>
          <t>Hub B</t>
        </is>
      </c>
      <c r="E5040" t="n">
        <v>71</v>
      </c>
      <c r="F5040" t="n">
        <v>22</v>
      </c>
    </row>
    <row r="5041">
      <c r="A5041" t="inlineStr">
        <is>
          <t>ORD05040</t>
        </is>
      </c>
      <c r="B5041" t="inlineStr">
        <is>
          <t>C0040</t>
        </is>
      </c>
      <c r="C5041" t="n">
        <v>3</v>
      </c>
      <c r="D5041" t="inlineStr">
        <is>
          <t>Hub B</t>
        </is>
      </c>
      <c r="E5041" t="n">
        <v>18</v>
      </c>
      <c r="F5041" t="n">
        <v>22</v>
      </c>
    </row>
    <row r="5042">
      <c r="A5042" t="inlineStr">
        <is>
          <t>ORD05041</t>
        </is>
      </c>
      <c r="B5042" t="inlineStr">
        <is>
          <t>C0041</t>
        </is>
      </c>
      <c r="C5042" t="n">
        <v>1</v>
      </c>
      <c r="D5042" t="inlineStr">
        <is>
          <t>Hub B</t>
        </is>
      </c>
      <c r="E5042" t="n">
        <v>25</v>
      </c>
      <c r="F5042" t="n">
        <v>22</v>
      </c>
    </row>
    <row r="5043">
      <c r="A5043" t="inlineStr">
        <is>
          <t>ORD05042</t>
        </is>
      </c>
      <c r="B5043" t="inlineStr">
        <is>
          <t>C0042</t>
        </is>
      </c>
      <c r="C5043" t="n">
        <v>2</v>
      </c>
      <c r="D5043" t="inlineStr">
        <is>
          <t>Hub B</t>
        </is>
      </c>
      <c r="E5043" t="n">
        <v>32</v>
      </c>
      <c r="F5043" t="n">
        <v>22</v>
      </c>
    </row>
    <row r="5044">
      <c r="A5044" t="inlineStr">
        <is>
          <t>ORD05043</t>
        </is>
      </c>
      <c r="B5044" t="inlineStr">
        <is>
          <t>C0043</t>
        </is>
      </c>
      <c r="C5044" t="n">
        <v>3</v>
      </c>
      <c r="D5044" t="inlineStr">
        <is>
          <t>Hub B</t>
        </is>
      </c>
      <c r="E5044" t="n">
        <v>39</v>
      </c>
      <c r="F5044" t="n">
        <v>22</v>
      </c>
    </row>
    <row r="5045">
      <c r="A5045" t="inlineStr">
        <is>
          <t>ORD05044</t>
        </is>
      </c>
      <c r="B5045" t="inlineStr">
        <is>
          <t>C0044</t>
        </is>
      </c>
      <c r="C5045" t="n">
        <v>1</v>
      </c>
      <c r="D5045" t="inlineStr">
        <is>
          <t>Hub B</t>
        </is>
      </c>
      <c r="E5045" t="n">
        <v>46</v>
      </c>
      <c r="F5045" t="n">
        <v>22</v>
      </c>
    </row>
    <row r="5046">
      <c r="A5046" t="inlineStr">
        <is>
          <t>ORD05045</t>
        </is>
      </c>
      <c r="B5046" t="inlineStr">
        <is>
          <t>C0045</t>
        </is>
      </c>
      <c r="C5046" t="n">
        <v>2</v>
      </c>
      <c r="D5046" t="inlineStr">
        <is>
          <t>Hub B</t>
        </is>
      </c>
      <c r="E5046" t="n">
        <v>53</v>
      </c>
      <c r="F5046" t="n">
        <v>22</v>
      </c>
    </row>
    <row r="5047">
      <c r="A5047" t="inlineStr">
        <is>
          <t>ORD05046</t>
        </is>
      </c>
      <c r="B5047" t="inlineStr">
        <is>
          <t>C0046</t>
        </is>
      </c>
      <c r="C5047" t="n">
        <v>3</v>
      </c>
      <c r="D5047" t="inlineStr">
        <is>
          <t>Hub B</t>
        </is>
      </c>
      <c r="E5047" t="n">
        <v>60</v>
      </c>
      <c r="F5047" t="n">
        <v>22</v>
      </c>
    </row>
    <row r="5048">
      <c r="A5048" t="inlineStr">
        <is>
          <t>ORD05047</t>
        </is>
      </c>
      <c r="B5048" t="inlineStr">
        <is>
          <t>C0047</t>
        </is>
      </c>
      <c r="C5048" t="n">
        <v>1</v>
      </c>
      <c r="D5048" t="inlineStr">
        <is>
          <t>Hub B</t>
        </is>
      </c>
      <c r="E5048" t="n">
        <v>67</v>
      </c>
      <c r="F5048" t="n">
        <v>22</v>
      </c>
    </row>
    <row r="5049">
      <c r="A5049" t="inlineStr">
        <is>
          <t>ORD05048</t>
        </is>
      </c>
      <c r="B5049" t="inlineStr">
        <is>
          <t>C0048</t>
        </is>
      </c>
      <c r="C5049" t="n">
        <v>2</v>
      </c>
      <c r="D5049" t="inlineStr">
        <is>
          <t>Hub B</t>
        </is>
      </c>
      <c r="E5049" t="n">
        <v>74</v>
      </c>
      <c r="F5049" t="n">
        <v>22</v>
      </c>
    </row>
    <row r="5050">
      <c r="A5050" t="inlineStr">
        <is>
          <t>ORD05049</t>
        </is>
      </c>
      <c r="B5050" t="inlineStr">
        <is>
          <t>C0049</t>
        </is>
      </c>
      <c r="C5050" t="n">
        <v>3</v>
      </c>
      <c r="D5050" t="inlineStr">
        <is>
          <t>Hub B</t>
        </is>
      </c>
      <c r="E5050" t="n">
        <v>21</v>
      </c>
      <c r="F5050" t="n">
        <v>22</v>
      </c>
    </row>
    <row r="5051">
      <c r="A5051" t="inlineStr">
        <is>
          <t>ORD05050</t>
        </is>
      </c>
      <c r="B5051" t="inlineStr">
        <is>
          <t>C0050</t>
        </is>
      </c>
      <c r="C5051" t="n">
        <v>1</v>
      </c>
      <c r="D5051" t="inlineStr">
        <is>
          <t>Hub B</t>
        </is>
      </c>
      <c r="E5051" t="n">
        <v>28</v>
      </c>
      <c r="F5051" t="n">
        <v>22</v>
      </c>
    </row>
    <row r="5052">
      <c r="A5052" t="inlineStr">
        <is>
          <t>ORD05051</t>
        </is>
      </c>
      <c r="B5052" t="inlineStr">
        <is>
          <t>C0051</t>
        </is>
      </c>
      <c r="C5052" t="n">
        <v>2</v>
      </c>
      <c r="D5052" t="inlineStr">
        <is>
          <t>Hub B</t>
        </is>
      </c>
      <c r="E5052" t="n">
        <v>35</v>
      </c>
      <c r="F5052" t="n">
        <v>22</v>
      </c>
    </row>
    <row r="5053">
      <c r="A5053" t="inlineStr">
        <is>
          <t>ORD05052</t>
        </is>
      </c>
      <c r="B5053" t="inlineStr">
        <is>
          <t>C0052</t>
        </is>
      </c>
      <c r="C5053" t="n">
        <v>3</v>
      </c>
      <c r="D5053" t="inlineStr">
        <is>
          <t>Hub B</t>
        </is>
      </c>
      <c r="E5053" t="n">
        <v>42</v>
      </c>
      <c r="F5053" t="n">
        <v>22</v>
      </c>
    </row>
    <row r="5054">
      <c r="A5054" t="inlineStr">
        <is>
          <t>ORD05053</t>
        </is>
      </c>
      <c r="B5054" t="inlineStr">
        <is>
          <t>C0053</t>
        </is>
      </c>
      <c r="C5054" t="n">
        <v>1</v>
      </c>
      <c r="D5054" t="inlineStr">
        <is>
          <t>Hub B</t>
        </is>
      </c>
      <c r="E5054" t="n">
        <v>49</v>
      </c>
      <c r="F5054" t="n">
        <v>22</v>
      </c>
    </row>
    <row r="5055">
      <c r="A5055" t="inlineStr">
        <is>
          <t>ORD05054</t>
        </is>
      </c>
      <c r="B5055" t="inlineStr">
        <is>
          <t>C0054</t>
        </is>
      </c>
      <c r="C5055" t="n">
        <v>2</v>
      </c>
      <c r="D5055" t="inlineStr">
        <is>
          <t>Hub B</t>
        </is>
      </c>
      <c r="E5055" t="n">
        <v>56</v>
      </c>
      <c r="F5055" t="n">
        <v>22</v>
      </c>
    </row>
    <row r="5056">
      <c r="A5056" t="inlineStr">
        <is>
          <t>ORD05055</t>
        </is>
      </c>
      <c r="B5056" t="inlineStr">
        <is>
          <t>C0055</t>
        </is>
      </c>
      <c r="C5056" t="n">
        <v>3</v>
      </c>
      <c r="D5056" t="inlineStr">
        <is>
          <t>Hub B</t>
        </is>
      </c>
      <c r="E5056" t="n">
        <v>63</v>
      </c>
      <c r="F5056" t="n">
        <v>22</v>
      </c>
    </row>
    <row r="5057">
      <c r="A5057" t="inlineStr">
        <is>
          <t>ORD05056</t>
        </is>
      </c>
      <c r="B5057" t="inlineStr">
        <is>
          <t>C0056</t>
        </is>
      </c>
      <c r="C5057" t="n">
        <v>1</v>
      </c>
      <c r="D5057" t="inlineStr">
        <is>
          <t>Hub B</t>
        </is>
      </c>
      <c r="E5057" t="n">
        <v>70</v>
      </c>
      <c r="F5057" t="n">
        <v>22</v>
      </c>
    </row>
    <row r="5058">
      <c r="A5058" t="inlineStr">
        <is>
          <t>ORD05057</t>
        </is>
      </c>
      <c r="B5058" t="inlineStr">
        <is>
          <t>C0057</t>
        </is>
      </c>
      <c r="C5058" t="n">
        <v>2</v>
      </c>
      <c r="D5058" t="inlineStr">
        <is>
          <t>Hub B</t>
        </is>
      </c>
      <c r="E5058" t="n">
        <v>77</v>
      </c>
      <c r="F5058" t="n">
        <v>22</v>
      </c>
    </row>
    <row r="5059">
      <c r="A5059" t="inlineStr">
        <is>
          <t>ORD05058</t>
        </is>
      </c>
      <c r="B5059" t="inlineStr">
        <is>
          <t>C0058</t>
        </is>
      </c>
      <c r="C5059" t="n">
        <v>3</v>
      </c>
      <c r="D5059" t="inlineStr">
        <is>
          <t>Hub B</t>
        </is>
      </c>
      <c r="E5059" t="n">
        <v>24</v>
      </c>
      <c r="F5059" t="n">
        <v>22</v>
      </c>
    </row>
    <row r="5060">
      <c r="A5060" t="inlineStr">
        <is>
          <t>ORD05059</t>
        </is>
      </c>
      <c r="B5060" t="inlineStr">
        <is>
          <t>C0059</t>
        </is>
      </c>
      <c r="C5060" t="n">
        <v>1</v>
      </c>
      <c r="D5060" t="inlineStr">
        <is>
          <t>Hub B</t>
        </is>
      </c>
      <c r="E5060" t="n">
        <v>31</v>
      </c>
      <c r="F5060" t="n">
        <v>22</v>
      </c>
    </row>
    <row r="5061">
      <c r="A5061" t="inlineStr">
        <is>
          <t>ORD05060</t>
        </is>
      </c>
      <c r="B5061" t="inlineStr">
        <is>
          <t>C0060</t>
        </is>
      </c>
      <c r="C5061" t="n">
        <v>2</v>
      </c>
      <c r="D5061" t="inlineStr">
        <is>
          <t>Hub B</t>
        </is>
      </c>
      <c r="E5061" t="n">
        <v>38</v>
      </c>
      <c r="F5061" t="n">
        <v>22</v>
      </c>
    </row>
    <row r="5062">
      <c r="A5062" t="inlineStr">
        <is>
          <t>ORD05061</t>
        </is>
      </c>
      <c r="B5062" t="inlineStr">
        <is>
          <t>C0061</t>
        </is>
      </c>
      <c r="C5062" t="n">
        <v>3</v>
      </c>
      <c r="D5062" t="inlineStr">
        <is>
          <t>Hub B</t>
        </is>
      </c>
      <c r="E5062" t="n">
        <v>45</v>
      </c>
      <c r="F5062" t="n">
        <v>22</v>
      </c>
    </row>
    <row r="5063">
      <c r="A5063" t="inlineStr">
        <is>
          <t>ORD05062</t>
        </is>
      </c>
      <c r="B5063" t="inlineStr">
        <is>
          <t>C0062</t>
        </is>
      </c>
      <c r="C5063" t="n">
        <v>1</v>
      </c>
      <c r="D5063" t="inlineStr">
        <is>
          <t>Hub B</t>
        </is>
      </c>
      <c r="E5063" t="n">
        <v>52</v>
      </c>
      <c r="F5063" t="n">
        <v>22</v>
      </c>
    </row>
    <row r="5064">
      <c r="A5064" t="inlineStr">
        <is>
          <t>ORD05063</t>
        </is>
      </c>
      <c r="B5064" t="inlineStr">
        <is>
          <t>C0063</t>
        </is>
      </c>
      <c r="C5064" t="n">
        <v>2</v>
      </c>
      <c r="D5064" t="inlineStr">
        <is>
          <t>Hub B</t>
        </is>
      </c>
      <c r="E5064" t="n">
        <v>59</v>
      </c>
      <c r="F5064" t="n">
        <v>22</v>
      </c>
    </row>
    <row r="5065">
      <c r="A5065" t="inlineStr">
        <is>
          <t>ORD05064</t>
        </is>
      </c>
      <c r="B5065" t="inlineStr">
        <is>
          <t>C0064</t>
        </is>
      </c>
      <c r="C5065" t="n">
        <v>3</v>
      </c>
      <c r="D5065" t="inlineStr">
        <is>
          <t>Hub B</t>
        </is>
      </c>
      <c r="E5065" t="n">
        <v>66</v>
      </c>
      <c r="F5065" t="n">
        <v>22</v>
      </c>
    </row>
    <row r="5066">
      <c r="A5066" t="inlineStr">
        <is>
          <t>ORD05065</t>
        </is>
      </c>
      <c r="B5066" t="inlineStr">
        <is>
          <t>C0065</t>
        </is>
      </c>
      <c r="C5066" t="n">
        <v>1</v>
      </c>
      <c r="D5066" t="inlineStr">
        <is>
          <t>Hub B</t>
        </is>
      </c>
      <c r="E5066" t="n">
        <v>73</v>
      </c>
      <c r="F5066" t="n">
        <v>22</v>
      </c>
    </row>
    <row r="5067">
      <c r="A5067" t="inlineStr">
        <is>
          <t>ORD05066</t>
        </is>
      </c>
      <c r="B5067" t="inlineStr">
        <is>
          <t>C0066</t>
        </is>
      </c>
      <c r="C5067" t="n">
        <v>2</v>
      </c>
      <c r="D5067" t="inlineStr">
        <is>
          <t>Hub B</t>
        </is>
      </c>
      <c r="E5067" t="n">
        <v>20</v>
      </c>
      <c r="F5067" t="n">
        <v>22</v>
      </c>
    </row>
    <row r="5068">
      <c r="A5068" t="inlineStr">
        <is>
          <t>ORD05067</t>
        </is>
      </c>
      <c r="B5068" t="inlineStr">
        <is>
          <t>C0067</t>
        </is>
      </c>
      <c r="C5068" t="n">
        <v>3</v>
      </c>
      <c r="D5068" t="inlineStr">
        <is>
          <t>Hub B</t>
        </is>
      </c>
      <c r="E5068" t="n">
        <v>27</v>
      </c>
      <c r="F5068" t="n">
        <v>22</v>
      </c>
    </row>
    <row r="5069">
      <c r="A5069" t="inlineStr">
        <is>
          <t>ORD05068</t>
        </is>
      </c>
      <c r="B5069" t="inlineStr">
        <is>
          <t>C0068</t>
        </is>
      </c>
      <c r="C5069" t="n">
        <v>1</v>
      </c>
      <c r="D5069" t="inlineStr">
        <is>
          <t>Hub B</t>
        </is>
      </c>
      <c r="E5069" t="n">
        <v>34</v>
      </c>
      <c r="F5069" t="n">
        <v>22</v>
      </c>
    </row>
    <row r="5070">
      <c r="A5070" t="inlineStr">
        <is>
          <t>ORD05069</t>
        </is>
      </c>
      <c r="B5070" t="inlineStr">
        <is>
          <t>C0069</t>
        </is>
      </c>
      <c r="C5070" t="n">
        <v>2</v>
      </c>
      <c r="D5070" t="inlineStr">
        <is>
          <t>Hub B</t>
        </is>
      </c>
      <c r="E5070" t="n">
        <v>41</v>
      </c>
      <c r="F5070" t="n">
        <v>22</v>
      </c>
    </row>
    <row r="5071">
      <c r="A5071" t="inlineStr">
        <is>
          <t>ORD05070</t>
        </is>
      </c>
      <c r="B5071" t="inlineStr">
        <is>
          <t>C0070</t>
        </is>
      </c>
      <c r="C5071" t="n">
        <v>3</v>
      </c>
      <c r="D5071" t="inlineStr">
        <is>
          <t>Hub B</t>
        </is>
      </c>
      <c r="E5071" t="n">
        <v>48</v>
      </c>
      <c r="F5071" t="n">
        <v>22</v>
      </c>
    </row>
    <row r="5072">
      <c r="A5072" t="inlineStr">
        <is>
          <t>ORD05071</t>
        </is>
      </c>
      <c r="B5072" t="inlineStr">
        <is>
          <t>C0071</t>
        </is>
      </c>
      <c r="C5072" t="n">
        <v>1</v>
      </c>
      <c r="D5072" t="inlineStr">
        <is>
          <t>Hub B</t>
        </is>
      </c>
      <c r="E5072" t="n">
        <v>55</v>
      </c>
      <c r="F5072" t="n">
        <v>22</v>
      </c>
    </row>
    <row r="5073">
      <c r="A5073" t="inlineStr">
        <is>
          <t>ORD05072</t>
        </is>
      </c>
      <c r="B5073" t="inlineStr">
        <is>
          <t>C0072</t>
        </is>
      </c>
      <c r="C5073" t="n">
        <v>2</v>
      </c>
      <c r="D5073" t="inlineStr">
        <is>
          <t>Hub B</t>
        </is>
      </c>
      <c r="E5073" t="n">
        <v>62</v>
      </c>
      <c r="F5073" t="n">
        <v>22</v>
      </c>
    </row>
    <row r="5074">
      <c r="A5074" t="inlineStr">
        <is>
          <t>ORD05073</t>
        </is>
      </c>
      <c r="B5074" t="inlineStr">
        <is>
          <t>C0073</t>
        </is>
      </c>
      <c r="C5074" t="n">
        <v>3</v>
      </c>
      <c r="D5074" t="inlineStr">
        <is>
          <t>Hub B</t>
        </is>
      </c>
      <c r="E5074" t="n">
        <v>69</v>
      </c>
      <c r="F5074" t="n">
        <v>22</v>
      </c>
    </row>
    <row r="5075">
      <c r="A5075" t="inlineStr">
        <is>
          <t>ORD05074</t>
        </is>
      </c>
      <c r="B5075" t="inlineStr">
        <is>
          <t>C0074</t>
        </is>
      </c>
      <c r="C5075" t="n">
        <v>1</v>
      </c>
      <c r="D5075" t="inlineStr">
        <is>
          <t>Hub B</t>
        </is>
      </c>
      <c r="E5075" t="n">
        <v>76</v>
      </c>
      <c r="F5075" t="n">
        <v>22</v>
      </c>
    </row>
    <row r="5076">
      <c r="A5076" t="inlineStr">
        <is>
          <t>ORD05075</t>
        </is>
      </c>
      <c r="B5076" t="inlineStr">
        <is>
          <t>C0075</t>
        </is>
      </c>
      <c r="C5076" t="n">
        <v>2</v>
      </c>
      <c r="D5076" t="inlineStr">
        <is>
          <t>Hub B</t>
        </is>
      </c>
      <c r="E5076" t="n">
        <v>23</v>
      </c>
      <c r="F5076" t="n">
        <v>22</v>
      </c>
    </row>
    <row r="5077">
      <c r="A5077" t="inlineStr">
        <is>
          <t>ORD05076</t>
        </is>
      </c>
      <c r="B5077" t="inlineStr">
        <is>
          <t>C0076</t>
        </is>
      </c>
      <c r="C5077" t="n">
        <v>3</v>
      </c>
      <c r="D5077" t="inlineStr">
        <is>
          <t>Hub B</t>
        </is>
      </c>
      <c r="E5077" t="n">
        <v>30</v>
      </c>
      <c r="F5077" t="n">
        <v>22</v>
      </c>
    </row>
    <row r="5078">
      <c r="A5078" t="inlineStr">
        <is>
          <t>ORD05077</t>
        </is>
      </c>
      <c r="B5078" t="inlineStr">
        <is>
          <t>C0077</t>
        </is>
      </c>
      <c r="C5078" t="n">
        <v>1</v>
      </c>
      <c r="D5078" t="inlineStr">
        <is>
          <t>Hub B</t>
        </is>
      </c>
      <c r="E5078" t="n">
        <v>37</v>
      </c>
      <c r="F5078" t="n">
        <v>22</v>
      </c>
    </row>
    <row r="5079">
      <c r="A5079" t="inlineStr">
        <is>
          <t>ORD05078</t>
        </is>
      </c>
      <c r="B5079" t="inlineStr">
        <is>
          <t>C0078</t>
        </is>
      </c>
      <c r="C5079" t="n">
        <v>2</v>
      </c>
      <c r="D5079" t="inlineStr">
        <is>
          <t>Hub B</t>
        </is>
      </c>
      <c r="E5079" t="n">
        <v>44</v>
      </c>
      <c r="F5079" t="n">
        <v>22</v>
      </c>
    </row>
    <row r="5080">
      <c r="A5080" t="inlineStr">
        <is>
          <t>ORD05079</t>
        </is>
      </c>
      <c r="B5080" t="inlineStr">
        <is>
          <t>C0079</t>
        </is>
      </c>
      <c r="C5080" t="n">
        <v>3</v>
      </c>
      <c r="D5080" t="inlineStr">
        <is>
          <t>Hub B</t>
        </is>
      </c>
      <c r="E5080" t="n">
        <v>51</v>
      </c>
      <c r="F5080" t="n">
        <v>22</v>
      </c>
    </row>
    <row r="5081">
      <c r="A5081" t="inlineStr">
        <is>
          <t>ORD05080</t>
        </is>
      </c>
      <c r="B5081" t="inlineStr">
        <is>
          <t>C0080</t>
        </is>
      </c>
      <c r="C5081" t="n">
        <v>1</v>
      </c>
      <c r="D5081" t="inlineStr">
        <is>
          <t>Hub B</t>
        </is>
      </c>
      <c r="E5081" t="n">
        <v>58</v>
      </c>
      <c r="F5081" t="n">
        <v>22</v>
      </c>
    </row>
    <row r="5082">
      <c r="A5082" t="inlineStr">
        <is>
          <t>ORD05081</t>
        </is>
      </c>
      <c r="B5082" t="inlineStr">
        <is>
          <t>C0081</t>
        </is>
      </c>
      <c r="C5082" t="n">
        <v>2</v>
      </c>
      <c r="D5082" t="inlineStr">
        <is>
          <t>Hub B</t>
        </is>
      </c>
      <c r="E5082" t="n">
        <v>65</v>
      </c>
      <c r="F5082" t="n">
        <v>22</v>
      </c>
    </row>
    <row r="5083">
      <c r="A5083" t="inlineStr">
        <is>
          <t>ORD05082</t>
        </is>
      </c>
      <c r="B5083" t="inlineStr">
        <is>
          <t>C0082</t>
        </is>
      </c>
      <c r="C5083" t="n">
        <v>3</v>
      </c>
      <c r="D5083" t="inlineStr">
        <is>
          <t>Hub B</t>
        </is>
      </c>
      <c r="E5083" t="n">
        <v>72</v>
      </c>
      <c r="F5083" t="n">
        <v>22</v>
      </c>
    </row>
    <row r="5084">
      <c r="A5084" t="inlineStr">
        <is>
          <t>ORD05083</t>
        </is>
      </c>
      <c r="B5084" t="inlineStr">
        <is>
          <t>C0083</t>
        </is>
      </c>
      <c r="C5084" t="n">
        <v>1</v>
      </c>
      <c r="D5084" t="inlineStr">
        <is>
          <t>Hub B</t>
        </is>
      </c>
      <c r="E5084" t="n">
        <v>19</v>
      </c>
      <c r="F5084" t="n">
        <v>22</v>
      </c>
    </row>
    <row r="5085">
      <c r="A5085" t="inlineStr">
        <is>
          <t>ORD05084</t>
        </is>
      </c>
      <c r="B5085" t="inlineStr">
        <is>
          <t>C0084</t>
        </is>
      </c>
      <c r="C5085" t="n">
        <v>2</v>
      </c>
      <c r="D5085" t="inlineStr">
        <is>
          <t>Hub B</t>
        </is>
      </c>
      <c r="E5085" t="n">
        <v>26</v>
      </c>
      <c r="F5085" t="n">
        <v>22</v>
      </c>
    </row>
    <row r="5086">
      <c r="A5086" t="inlineStr">
        <is>
          <t>ORD05085</t>
        </is>
      </c>
      <c r="B5086" t="inlineStr">
        <is>
          <t>C0085</t>
        </is>
      </c>
      <c r="C5086" t="n">
        <v>3</v>
      </c>
      <c r="D5086" t="inlineStr">
        <is>
          <t>Hub B</t>
        </is>
      </c>
      <c r="E5086" t="n">
        <v>33</v>
      </c>
      <c r="F5086" t="n">
        <v>22</v>
      </c>
    </row>
    <row r="5087">
      <c r="A5087" t="inlineStr">
        <is>
          <t>ORD05086</t>
        </is>
      </c>
      <c r="B5087" t="inlineStr">
        <is>
          <t>C0086</t>
        </is>
      </c>
      <c r="C5087" t="n">
        <v>1</v>
      </c>
      <c r="D5087" t="inlineStr">
        <is>
          <t>Hub B</t>
        </is>
      </c>
      <c r="E5087" t="n">
        <v>40</v>
      </c>
      <c r="F5087" t="n">
        <v>22</v>
      </c>
    </row>
    <row r="5088">
      <c r="A5088" t="inlineStr">
        <is>
          <t>ORD05087</t>
        </is>
      </c>
      <c r="B5088" t="inlineStr">
        <is>
          <t>C0087</t>
        </is>
      </c>
      <c r="C5088" t="n">
        <v>2</v>
      </c>
      <c r="D5088" t="inlineStr">
        <is>
          <t>Hub B</t>
        </is>
      </c>
      <c r="E5088" t="n">
        <v>47</v>
      </c>
      <c r="F5088" t="n">
        <v>22</v>
      </c>
    </row>
    <row r="5089">
      <c r="A5089" t="inlineStr">
        <is>
          <t>ORD05088</t>
        </is>
      </c>
      <c r="B5089" t="inlineStr">
        <is>
          <t>C0088</t>
        </is>
      </c>
      <c r="C5089" t="n">
        <v>3</v>
      </c>
      <c r="D5089" t="inlineStr">
        <is>
          <t>Hub B</t>
        </is>
      </c>
      <c r="E5089" t="n">
        <v>54</v>
      </c>
      <c r="F5089" t="n">
        <v>22</v>
      </c>
    </row>
    <row r="5090">
      <c r="A5090" t="inlineStr">
        <is>
          <t>ORD05089</t>
        </is>
      </c>
      <c r="B5090" t="inlineStr">
        <is>
          <t>C0089</t>
        </is>
      </c>
      <c r="C5090" t="n">
        <v>1</v>
      </c>
      <c r="D5090" t="inlineStr">
        <is>
          <t>Hub B</t>
        </is>
      </c>
      <c r="E5090" t="n">
        <v>61</v>
      </c>
      <c r="F5090" t="n">
        <v>22</v>
      </c>
    </row>
    <row r="5091">
      <c r="A5091" t="inlineStr">
        <is>
          <t>ORD05090</t>
        </is>
      </c>
      <c r="B5091" t="inlineStr">
        <is>
          <t>C0090</t>
        </is>
      </c>
      <c r="C5091" t="n">
        <v>2</v>
      </c>
      <c r="D5091" t="inlineStr">
        <is>
          <t>Hub B</t>
        </is>
      </c>
      <c r="E5091" t="n">
        <v>68</v>
      </c>
      <c r="F5091" t="n">
        <v>22</v>
      </c>
    </row>
    <row r="5092">
      <c r="A5092" t="inlineStr">
        <is>
          <t>ORD05091</t>
        </is>
      </c>
      <c r="B5092" t="inlineStr">
        <is>
          <t>C0091</t>
        </is>
      </c>
      <c r="C5092" t="n">
        <v>3</v>
      </c>
      <c r="D5092" t="inlineStr">
        <is>
          <t>Hub B</t>
        </is>
      </c>
      <c r="E5092" t="n">
        <v>75</v>
      </c>
      <c r="F5092" t="n">
        <v>22</v>
      </c>
    </row>
    <row r="5093">
      <c r="A5093" t="inlineStr">
        <is>
          <t>ORD05092</t>
        </is>
      </c>
      <c r="B5093" t="inlineStr">
        <is>
          <t>C0092</t>
        </is>
      </c>
      <c r="C5093" t="n">
        <v>1</v>
      </c>
      <c r="D5093" t="inlineStr">
        <is>
          <t>Hub B</t>
        </is>
      </c>
      <c r="E5093" t="n">
        <v>22</v>
      </c>
      <c r="F5093" t="n">
        <v>22</v>
      </c>
    </row>
    <row r="5094">
      <c r="A5094" t="inlineStr">
        <is>
          <t>ORD05093</t>
        </is>
      </c>
      <c r="B5094" t="inlineStr">
        <is>
          <t>C0093</t>
        </is>
      </c>
      <c r="C5094" t="n">
        <v>2</v>
      </c>
      <c r="D5094" t="inlineStr">
        <is>
          <t>Hub B</t>
        </is>
      </c>
      <c r="E5094" t="n">
        <v>29</v>
      </c>
      <c r="F5094" t="n">
        <v>22</v>
      </c>
    </row>
    <row r="5095">
      <c r="A5095" t="inlineStr">
        <is>
          <t>ORD05094</t>
        </is>
      </c>
      <c r="B5095" t="inlineStr">
        <is>
          <t>C0094</t>
        </is>
      </c>
      <c r="C5095" t="n">
        <v>3</v>
      </c>
      <c r="D5095" t="inlineStr">
        <is>
          <t>Hub B</t>
        </is>
      </c>
      <c r="E5095" t="n">
        <v>36</v>
      </c>
      <c r="F5095" t="n">
        <v>22</v>
      </c>
    </row>
    <row r="5096">
      <c r="A5096" t="inlineStr">
        <is>
          <t>ORD05095</t>
        </is>
      </c>
      <c r="B5096" t="inlineStr">
        <is>
          <t>C0095</t>
        </is>
      </c>
      <c r="C5096" t="n">
        <v>1</v>
      </c>
      <c r="D5096" t="inlineStr">
        <is>
          <t>Hub B</t>
        </is>
      </c>
      <c r="E5096" t="n">
        <v>43</v>
      </c>
      <c r="F5096" t="n">
        <v>22</v>
      </c>
    </row>
    <row r="5097">
      <c r="A5097" t="inlineStr">
        <is>
          <t>ORD05096</t>
        </is>
      </c>
      <c r="B5097" t="inlineStr">
        <is>
          <t>C0096</t>
        </is>
      </c>
      <c r="C5097" t="n">
        <v>2</v>
      </c>
      <c r="D5097" t="inlineStr">
        <is>
          <t>Hub B</t>
        </is>
      </c>
      <c r="E5097" t="n">
        <v>50</v>
      </c>
      <c r="F5097" t="n">
        <v>22</v>
      </c>
    </row>
    <row r="5098">
      <c r="A5098" t="inlineStr">
        <is>
          <t>ORD05097</t>
        </is>
      </c>
      <c r="B5098" t="inlineStr">
        <is>
          <t>C0097</t>
        </is>
      </c>
      <c r="C5098" t="n">
        <v>3</v>
      </c>
      <c r="D5098" t="inlineStr">
        <is>
          <t>Hub B</t>
        </is>
      </c>
      <c r="E5098" t="n">
        <v>57</v>
      </c>
      <c r="F5098" t="n">
        <v>22</v>
      </c>
    </row>
    <row r="5099">
      <c r="A5099" t="inlineStr">
        <is>
          <t>ORD05098</t>
        </is>
      </c>
      <c r="B5099" t="inlineStr">
        <is>
          <t>C0098</t>
        </is>
      </c>
      <c r="C5099" t="n">
        <v>1</v>
      </c>
      <c r="D5099" t="inlineStr">
        <is>
          <t>Hub B</t>
        </is>
      </c>
      <c r="E5099" t="n">
        <v>64</v>
      </c>
      <c r="F5099" t="n">
        <v>22</v>
      </c>
    </row>
    <row r="5100">
      <c r="A5100" t="inlineStr">
        <is>
          <t>ORD05099</t>
        </is>
      </c>
      <c r="B5100" t="inlineStr">
        <is>
          <t>C0099</t>
        </is>
      </c>
      <c r="C5100" t="n">
        <v>2</v>
      </c>
      <c r="D5100" t="inlineStr">
        <is>
          <t>Hub B</t>
        </is>
      </c>
      <c r="E5100" t="n">
        <v>71</v>
      </c>
      <c r="F5100" t="n">
        <v>22</v>
      </c>
    </row>
    <row r="5101">
      <c r="A5101" t="inlineStr">
        <is>
          <t>ORD05100</t>
        </is>
      </c>
      <c r="B5101" t="inlineStr">
        <is>
          <t>C0100</t>
        </is>
      </c>
      <c r="C5101" t="n">
        <v>3</v>
      </c>
      <c r="D5101" t="inlineStr">
        <is>
          <t>Hub B</t>
        </is>
      </c>
      <c r="E5101" t="n">
        <v>18</v>
      </c>
      <c r="F5101" t="n">
        <v>22</v>
      </c>
    </row>
    <row r="5102">
      <c r="A5102" t="inlineStr">
        <is>
          <t>ORD05101</t>
        </is>
      </c>
      <c r="B5102" t="inlineStr">
        <is>
          <t>C0101</t>
        </is>
      </c>
      <c r="C5102" t="n">
        <v>1</v>
      </c>
      <c r="D5102" t="inlineStr">
        <is>
          <t>Hub B</t>
        </is>
      </c>
      <c r="E5102" t="n">
        <v>25</v>
      </c>
      <c r="F5102" t="n">
        <v>22</v>
      </c>
    </row>
    <row r="5103">
      <c r="A5103" t="inlineStr">
        <is>
          <t>ORD05102</t>
        </is>
      </c>
      <c r="B5103" t="inlineStr">
        <is>
          <t>C0102</t>
        </is>
      </c>
      <c r="C5103" t="n">
        <v>2</v>
      </c>
      <c r="D5103" t="inlineStr">
        <is>
          <t>Hub B</t>
        </is>
      </c>
      <c r="E5103" t="n">
        <v>32</v>
      </c>
      <c r="F5103" t="n">
        <v>22</v>
      </c>
    </row>
    <row r="5104">
      <c r="A5104" t="inlineStr">
        <is>
          <t>ORD05103</t>
        </is>
      </c>
      <c r="B5104" t="inlineStr">
        <is>
          <t>C0103</t>
        </is>
      </c>
      <c r="C5104" t="n">
        <v>3</v>
      </c>
      <c r="D5104" t="inlineStr">
        <is>
          <t>Hub B</t>
        </is>
      </c>
      <c r="E5104" t="n">
        <v>39</v>
      </c>
      <c r="F5104" t="n">
        <v>22</v>
      </c>
    </row>
    <row r="5105">
      <c r="A5105" t="inlineStr">
        <is>
          <t>ORD05104</t>
        </is>
      </c>
      <c r="B5105" t="inlineStr">
        <is>
          <t>C0104</t>
        </is>
      </c>
      <c r="C5105" t="n">
        <v>1</v>
      </c>
      <c r="D5105" t="inlineStr">
        <is>
          <t>Hub B</t>
        </is>
      </c>
      <c r="E5105" t="n">
        <v>46</v>
      </c>
      <c r="F5105" t="n">
        <v>22</v>
      </c>
    </row>
    <row r="5106">
      <c r="A5106" t="inlineStr">
        <is>
          <t>ORD05105</t>
        </is>
      </c>
      <c r="B5106" t="inlineStr">
        <is>
          <t>C0105</t>
        </is>
      </c>
      <c r="C5106" t="n">
        <v>2</v>
      </c>
      <c r="D5106" t="inlineStr">
        <is>
          <t>Hub B</t>
        </is>
      </c>
      <c r="E5106" t="n">
        <v>53</v>
      </c>
      <c r="F5106" t="n">
        <v>22</v>
      </c>
    </row>
    <row r="5107">
      <c r="A5107" t="inlineStr">
        <is>
          <t>ORD05106</t>
        </is>
      </c>
      <c r="B5107" t="inlineStr">
        <is>
          <t>C0106</t>
        </is>
      </c>
      <c r="C5107" t="n">
        <v>3</v>
      </c>
      <c r="D5107" t="inlineStr">
        <is>
          <t>Hub B</t>
        </is>
      </c>
      <c r="E5107" t="n">
        <v>60</v>
      </c>
      <c r="F5107" t="n">
        <v>22</v>
      </c>
    </row>
    <row r="5108">
      <c r="A5108" t="inlineStr">
        <is>
          <t>ORD05107</t>
        </is>
      </c>
      <c r="B5108" t="inlineStr">
        <is>
          <t>C0107</t>
        </is>
      </c>
      <c r="C5108" t="n">
        <v>1</v>
      </c>
      <c r="D5108" t="inlineStr">
        <is>
          <t>Hub B</t>
        </is>
      </c>
      <c r="E5108" t="n">
        <v>67</v>
      </c>
      <c r="F5108" t="n">
        <v>22</v>
      </c>
    </row>
    <row r="5109">
      <c r="A5109" t="inlineStr">
        <is>
          <t>ORD05108</t>
        </is>
      </c>
      <c r="B5109" t="inlineStr">
        <is>
          <t>C0108</t>
        </is>
      </c>
      <c r="C5109" t="n">
        <v>2</v>
      </c>
      <c r="D5109" t="inlineStr">
        <is>
          <t>Hub B</t>
        </is>
      </c>
      <c r="E5109" t="n">
        <v>74</v>
      </c>
      <c r="F5109" t="n">
        <v>22</v>
      </c>
    </row>
    <row r="5110">
      <c r="A5110" t="inlineStr">
        <is>
          <t>ORD05109</t>
        </is>
      </c>
      <c r="B5110" t="inlineStr">
        <is>
          <t>C0109</t>
        </is>
      </c>
      <c r="C5110" t="n">
        <v>3</v>
      </c>
      <c r="D5110" t="inlineStr">
        <is>
          <t>Hub B</t>
        </is>
      </c>
      <c r="E5110" t="n">
        <v>21</v>
      </c>
      <c r="F5110" t="n">
        <v>22</v>
      </c>
    </row>
    <row r="5111">
      <c r="A5111" t="inlineStr">
        <is>
          <t>ORD05110</t>
        </is>
      </c>
      <c r="B5111" t="inlineStr">
        <is>
          <t>C0110</t>
        </is>
      </c>
      <c r="C5111" t="n">
        <v>1</v>
      </c>
      <c r="D5111" t="inlineStr">
        <is>
          <t>Hub B</t>
        </is>
      </c>
      <c r="E5111" t="n">
        <v>28</v>
      </c>
      <c r="F5111" t="n">
        <v>22</v>
      </c>
    </row>
    <row r="5112">
      <c r="A5112" t="inlineStr">
        <is>
          <t>ORD05111</t>
        </is>
      </c>
      <c r="B5112" t="inlineStr">
        <is>
          <t>C0111</t>
        </is>
      </c>
      <c r="C5112" t="n">
        <v>2</v>
      </c>
      <c r="D5112" t="inlineStr">
        <is>
          <t>Hub B</t>
        </is>
      </c>
      <c r="E5112" t="n">
        <v>35</v>
      </c>
      <c r="F5112" t="n">
        <v>22</v>
      </c>
    </row>
    <row r="5113">
      <c r="A5113" t="inlineStr">
        <is>
          <t>ORD05112</t>
        </is>
      </c>
      <c r="B5113" t="inlineStr">
        <is>
          <t>C0112</t>
        </is>
      </c>
      <c r="C5113" t="n">
        <v>3</v>
      </c>
      <c r="D5113" t="inlineStr">
        <is>
          <t>Hub B</t>
        </is>
      </c>
      <c r="E5113" t="n">
        <v>42</v>
      </c>
      <c r="F5113" t="n">
        <v>22</v>
      </c>
    </row>
    <row r="5114">
      <c r="A5114" t="inlineStr">
        <is>
          <t>ORD05113</t>
        </is>
      </c>
      <c r="B5114" t="inlineStr">
        <is>
          <t>C0113</t>
        </is>
      </c>
      <c r="C5114" t="n">
        <v>1</v>
      </c>
      <c r="D5114" t="inlineStr">
        <is>
          <t>Hub B</t>
        </is>
      </c>
      <c r="E5114" t="n">
        <v>49</v>
      </c>
      <c r="F5114" t="n">
        <v>22</v>
      </c>
    </row>
    <row r="5115">
      <c r="A5115" t="inlineStr">
        <is>
          <t>ORD05114</t>
        </is>
      </c>
      <c r="B5115" t="inlineStr">
        <is>
          <t>C0114</t>
        </is>
      </c>
      <c r="C5115" t="n">
        <v>2</v>
      </c>
      <c r="D5115" t="inlineStr">
        <is>
          <t>Hub B</t>
        </is>
      </c>
      <c r="E5115" t="n">
        <v>56</v>
      </c>
      <c r="F5115" t="n">
        <v>22</v>
      </c>
    </row>
    <row r="5116">
      <c r="A5116" t="inlineStr">
        <is>
          <t>ORD05115</t>
        </is>
      </c>
      <c r="B5116" t="inlineStr">
        <is>
          <t>C0115</t>
        </is>
      </c>
      <c r="C5116" t="n">
        <v>3</v>
      </c>
      <c r="D5116" t="inlineStr">
        <is>
          <t>Hub B</t>
        </is>
      </c>
      <c r="E5116" t="n">
        <v>63</v>
      </c>
      <c r="F5116" t="n">
        <v>22</v>
      </c>
    </row>
    <row r="5117">
      <c r="A5117" t="inlineStr">
        <is>
          <t>ORD05116</t>
        </is>
      </c>
      <c r="B5117" t="inlineStr">
        <is>
          <t>C0116</t>
        </is>
      </c>
      <c r="C5117" t="n">
        <v>1</v>
      </c>
      <c r="D5117" t="inlineStr">
        <is>
          <t>Hub B</t>
        </is>
      </c>
      <c r="E5117" t="n">
        <v>70</v>
      </c>
      <c r="F5117" t="n">
        <v>22</v>
      </c>
    </row>
    <row r="5118">
      <c r="A5118" t="inlineStr">
        <is>
          <t>ORD05117</t>
        </is>
      </c>
      <c r="B5118" t="inlineStr">
        <is>
          <t>C0117</t>
        </is>
      </c>
      <c r="C5118" t="n">
        <v>2</v>
      </c>
      <c r="D5118" t="inlineStr">
        <is>
          <t>Hub B</t>
        </is>
      </c>
      <c r="E5118" t="n">
        <v>77</v>
      </c>
      <c r="F5118" t="n">
        <v>22</v>
      </c>
    </row>
    <row r="5119">
      <c r="A5119" t="inlineStr">
        <is>
          <t>ORD05118</t>
        </is>
      </c>
      <c r="B5119" t="inlineStr">
        <is>
          <t>C0118</t>
        </is>
      </c>
      <c r="C5119" t="n">
        <v>3</v>
      </c>
      <c r="D5119" t="inlineStr">
        <is>
          <t>Hub B</t>
        </is>
      </c>
      <c r="E5119" t="n">
        <v>24</v>
      </c>
      <c r="F5119" t="n">
        <v>22</v>
      </c>
    </row>
    <row r="5120">
      <c r="A5120" t="inlineStr">
        <is>
          <t>ORD05119</t>
        </is>
      </c>
      <c r="B5120" t="inlineStr">
        <is>
          <t>C0119</t>
        </is>
      </c>
      <c r="C5120" t="n">
        <v>1</v>
      </c>
      <c r="D5120" t="inlineStr">
        <is>
          <t>Hub B</t>
        </is>
      </c>
      <c r="E5120" t="n">
        <v>31</v>
      </c>
      <c r="F5120" t="n">
        <v>22</v>
      </c>
    </row>
    <row r="5121">
      <c r="A5121" t="inlineStr">
        <is>
          <t>ORD05120</t>
        </is>
      </c>
      <c r="B5121" t="inlineStr">
        <is>
          <t>C0120</t>
        </is>
      </c>
      <c r="C5121" t="n">
        <v>2</v>
      </c>
      <c r="D5121" t="inlineStr">
        <is>
          <t>Hub B</t>
        </is>
      </c>
      <c r="E5121" t="n">
        <v>38</v>
      </c>
      <c r="F5121" t="n">
        <v>22</v>
      </c>
    </row>
    <row r="5122">
      <c r="A5122" t="inlineStr">
        <is>
          <t>ORD05121</t>
        </is>
      </c>
      <c r="B5122" t="inlineStr">
        <is>
          <t>C0121</t>
        </is>
      </c>
      <c r="C5122" t="n">
        <v>3</v>
      </c>
      <c r="D5122" t="inlineStr">
        <is>
          <t>Hub B</t>
        </is>
      </c>
      <c r="E5122" t="n">
        <v>45</v>
      </c>
      <c r="F5122" t="n">
        <v>22</v>
      </c>
    </row>
    <row r="5123">
      <c r="A5123" t="inlineStr">
        <is>
          <t>ORD05122</t>
        </is>
      </c>
      <c r="B5123" t="inlineStr">
        <is>
          <t>C0122</t>
        </is>
      </c>
      <c r="C5123" t="n">
        <v>1</v>
      </c>
      <c r="D5123" t="inlineStr">
        <is>
          <t>Hub B</t>
        </is>
      </c>
      <c r="E5123" t="n">
        <v>52</v>
      </c>
      <c r="F5123" t="n">
        <v>22</v>
      </c>
    </row>
    <row r="5124">
      <c r="A5124" t="inlineStr">
        <is>
          <t>ORD05123</t>
        </is>
      </c>
      <c r="B5124" t="inlineStr">
        <is>
          <t>C0123</t>
        </is>
      </c>
      <c r="C5124" t="n">
        <v>2</v>
      </c>
      <c r="D5124" t="inlineStr">
        <is>
          <t>Hub B</t>
        </is>
      </c>
      <c r="E5124" t="n">
        <v>59</v>
      </c>
      <c r="F5124" t="n">
        <v>22</v>
      </c>
    </row>
    <row r="5125">
      <c r="A5125" t="inlineStr">
        <is>
          <t>ORD05124</t>
        </is>
      </c>
      <c r="B5125" t="inlineStr">
        <is>
          <t>C0124</t>
        </is>
      </c>
      <c r="C5125" t="n">
        <v>3</v>
      </c>
      <c r="D5125" t="inlineStr">
        <is>
          <t>Hub B</t>
        </is>
      </c>
      <c r="E5125" t="n">
        <v>66</v>
      </c>
      <c r="F5125" t="n">
        <v>22</v>
      </c>
    </row>
    <row r="5126">
      <c r="A5126" t="inlineStr">
        <is>
          <t>ORD05125</t>
        </is>
      </c>
      <c r="B5126" t="inlineStr">
        <is>
          <t>C0125</t>
        </is>
      </c>
      <c r="C5126" t="n">
        <v>1</v>
      </c>
      <c r="D5126" t="inlineStr">
        <is>
          <t>Hub B</t>
        </is>
      </c>
      <c r="E5126" t="n">
        <v>73</v>
      </c>
      <c r="F5126" t="n">
        <v>22</v>
      </c>
    </row>
    <row r="5127">
      <c r="A5127" t="inlineStr">
        <is>
          <t>ORD05126</t>
        </is>
      </c>
      <c r="B5127" t="inlineStr">
        <is>
          <t>C0126</t>
        </is>
      </c>
      <c r="C5127" t="n">
        <v>2</v>
      </c>
      <c r="D5127" t="inlineStr">
        <is>
          <t>Hub B</t>
        </is>
      </c>
      <c r="E5127" t="n">
        <v>20</v>
      </c>
      <c r="F5127" t="n">
        <v>22</v>
      </c>
    </row>
    <row r="5128">
      <c r="A5128" t="inlineStr">
        <is>
          <t>ORD05127</t>
        </is>
      </c>
      <c r="B5128" t="inlineStr">
        <is>
          <t>C0127</t>
        </is>
      </c>
      <c r="C5128" t="n">
        <v>3</v>
      </c>
      <c r="D5128" t="inlineStr">
        <is>
          <t>Hub B</t>
        </is>
      </c>
      <c r="E5128" t="n">
        <v>27</v>
      </c>
      <c r="F5128" t="n">
        <v>22</v>
      </c>
    </row>
    <row r="5129">
      <c r="A5129" t="inlineStr">
        <is>
          <t>ORD05128</t>
        </is>
      </c>
      <c r="B5129" t="inlineStr">
        <is>
          <t>C0128</t>
        </is>
      </c>
      <c r="C5129" t="n">
        <v>1</v>
      </c>
      <c r="D5129" t="inlineStr">
        <is>
          <t>Hub B</t>
        </is>
      </c>
      <c r="E5129" t="n">
        <v>34</v>
      </c>
      <c r="F5129" t="n">
        <v>22</v>
      </c>
    </row>
    <row r="5130">
      <c r="A5130" t="inlineStr">
        <is>
          <t>ORD05129</t>
        </is>
      </c>
      <c r="B5130" t="inlineStr">
        <is>
          <t>C0129</t>
        </is>
      </c>
      <c r="C5130" t="n">
        <v>2</v>
      </c>
      <c r="D5130" t="inlineStr">
        <is>
          <t>Hub B</t>
        </is>
      </c>
      <c r="E5130" t="n">
        <v>41</v>
      </c>
      <c r="F5130" t="n">
        <v>22</v>
      </c>
    </row>
    <row r="5131">
      <c r="A5131" t="inlineStr">
        <is>
          <t>ORD05130</t>
        </is>
      </c>
      <c r="B5131" t="inlineStr">
        <is>
          <t>C0130</t>
        </is>
      </c>
      <c r="C5131" t="n">
        <v>3</v>
      </c>
      <c r="D5131" t="inlineStr">
        <is>
          <t>Hub B</t>
        </is>
      </c>
      <c r="E5131" t="n">
        <v>48</v>
      </c>
      <c r="F5131" t="n">
        <v>22</v>
      </c>
    </row>
    <row r="5132">
      <c r="A5132" t="inlineStr">
        <is>
          <t>ORD05131</t>
        </is>
      </c>
      <c r="B5132" t="inlineStr">
        <is>
          <t>C0131</t>
        </is>
      </c>
      <c r="C5132" t="n">
        <v>1</v>
      </c>
      <c r="D5132" t="inlineStr">
        <is>
          <t>Hub B</t>
        </is>
      </c>
      <c r="E5132" t="n">
        <v>55</v>
      </c>
      <c r="F5132" t="n">
        <v>22</v>
      </c>
    </row>
    <row r="5133">
      <c r="A5133" t="inlineStr">
        <is>
          <t>ORD05132</t>
        </is>
      </c>
      <c r="B5133" t="inlineStr">
        <is>
          <t>C0132</t>
        </is>
      </c>
      <c r="C5133" t="n">
        <v>2</v>
      </c>
      <c r="D5133" t="inlineStr">
        <is>
          <t>Hub B</t>
        </is>
      </c>
      <c r="E5133" t="n">
        <v>62</v>
      </c>
      <c r="F5133" t="n">
        <v>22</v>
      </c>
    </row>
    <row r="5134">
      <c r="A5134" t="inlineStr">
        <is>
          <t>ORD05133</t>
        </is>
      </c>
      <c r="B5134" t="inlineStr">
        <is>
          <t>C0133</t>
        </is>
      </c>
      <c r="C5134" t="n">
        <v>3</v>
      </c>
      <c r="D5134" t="inlineStr">
        <is>
          <t>Hub B</t>
        </is>
      </c>
      <c r="E5134" t="n">
        <v>69</v>
      </c>
      <c r="F5134" t="n">
        <v>22</v>
      </c>
    </row>
    <row r="5135">
      <c r="A5135" t="inlineStr">
        <is>
          <t>ORD05134</t>
        </is>
      </c>
      <c r="B5135" t="inlineStr">
        <is>
          <t>C0134</t>
        </is>
      </c>
      <c r="C5135" t="n">
        <v>1</v>
      </c>
      <c r="D5135" t="inlineStr">
        <is>
          <t>Hub B</t>
        </is>
      </c>
      <c r="E5135" t="n">
        <v>76</v>
      </c>
      <c r="F5135" t="n">
        <v>22</v>
      </c>
    </row>
    <row r="5136">
      <c r="A5136" t="inlineStr">
        <is>
          <t>ORD05135</t>
        </is>
      </c>
      <c r="B5136" t="inlineStr">
        <is>
          <t>C0135</t>
        </is>
      </c>
      <c r="C5136" t="n">
        <v>2</v>
      </c>
      <c r="D5136" t="inlineStr">
        <is>
          <t>Hub B</t>
        </is>
      </c>
      <c r="E5136" t="n">
        <v>23</v>
      </c>
      <c r="F5136" t="n">
        <v>22</v>
      </c>
    </row>
    <row r="5137">
      <c r="A5137" t="inlineStr">
        <is>
          <t>ORD05136</t>
        </is>
      </c>
      <c r="B5137" t="inlineStr">
        <is>
          <t>C0136</t>
        </is>
      </c>
      <c r="C5137" t="n">
        <v>3</v>
      </c>
      <c r="D5137" t="inlineStr">
        <is>
          <t>Hub B</t>
        </is>
      </c>
      <c r="E5137" t="n">
        <v>30</v>
      </c>
      <c r="F5137" t="n">
        <v>22</v>
      </c>
    </row>
    <row r="5138">
      <c r="A5138" t="inlineStr">
        <is>
          <t>ORD05137</t>
        </is>
      </c>
      <c r="B5138" t="inlineStr">
        <is>
          <t>C0137</t>
        </is>
      </c>
      <c r="C5138" t="n">
        <v>1</v>
      </c>
      <c r="D5138" t="inlineStr">
        <is>
          <t>Hub B</t>
        </is>
      </c>
      <c r="E5138" t="n">
        <v>37</v>
      </c>
      <c r="F5138" t="n">
        <v>22</v>
      </c>
    </row>
    <row r="5139">
      <c r="A5139" t="inlineStr">
        <is>
          <t>ORD05138</t>
        </is>
      </c>
      <c r="B5139" t="inlineStr">
        <is>
          <t>C0138</t>
        </is>
      </c>
      <c r="C5139" t="n">
        <v>2</v>
      </c>
      <c r="D5139" t="inlineStr">
        <is>
          <t>Hub B</t>
        </is>
      </c>
      <c r="E5139" t="n">
        <v>44</v>
      </c>
      <c r="F5139" t="n">
        <v>22</v>
      </c>
    </row>
    <row r="5140">
      <c r="A5140" t="inlineStr">
        <is>
          <t>ORD05139</t>
        </is>
      </c>
      <c r="B5140" t="inlineStr">
        <is>
          <t>C0139</t>
        </is>
      </c>
      <c r="C5140" t="n">
        <v>3</v>
      </c>
      <c r="D5140" t="inlineStr">
        <is>
          <t>Hub B</t>
        </is>
      </c>
      <c r="E5140" t="n">
        <v>51</v>
      </c>
      <c r="F5140" t="n">
        <v>22</v>
      </c>
    </row>
    <row r="5141">
      <c r="A5141" t="inlineStr">
        <is>
          <t>ORD05140</t>
        </is>
      </c>
      <c r="B5141" t="inlineStr">
        <is>
          <t>C0140</t>
        </is>
      </c>
      <c r="C5141" t="n">
        <v>1</v>
      </c>
      <c r="D5141" t="inlineStr">
        <is>
          <t>Hub B</t>
        </is>
      </c>
      <c r="E5141" t="n">
        <v>58</v>
      </c>
      <c r="F5141" t="n">
        <v>22</v>
      </c>
    </row>
    <row r="5142">
      <c r="A5142" t="inlineStr">
        <is>
          <t>ORD05141</t>
        </is>
      </c>
      <c r="B5142" t="inlineStr">
        <is>
          <t>C0141</t>
        </is>
      </c>
      <c r="C5142" t="n">
        <v>2</v>
      </c>
      <c r="D5142" t="inlineStr">
        <is>
          <t>Hub B</t>
        </is>
      </c>
      <c r="E5142" t="n">
        <v>65</v>
      </c>
      <c r="F5142" t="n">
        <v>22</v>
      </c>
    </row>
    <row r="5143">
      <c r="A5143" t="inlineStr">
        <is>
          <t>ORD05142</t>
        </is>
      </c>
      <c r="B5143" t="inlineStr">
        <is>
          <t>C0142</t>
        </is>
      </c>
      <c r="C5143" t="n">
        <v>3</v>
      </c>
      <c r="D5143" t="inlineStr">
        <is>
          <t>Hub B</t>
        </is>
      </c>
      <c r="E5143" t="n">
        <v>72</v>
      </c>
      <c r="F5143" t="n">
        <v>22</v>
      </c>
    </row>
    <row r="5144">
      <c r="A5144" t="inlineStr">
        <is>
          <t>ORD05143</t>
        </is>
      </c>
      <c r="B5144" t="inlineStr">
        <is>
          <t>C0143</t>
        </is>
      </c>
      <c r="C5144" t="n">
        <v>1</v>
      </c>
      <c r="D5144" t="inlineStr">
        <is>
          <t>Hub B</t>
        </is>
      </c>
      <c r="E5144" t="n">
        <v>19</v>
      </c>
      <c r="F5144" t="n">
        <v>22</v>
      </c>
    </row>
    <row r="5145">
      <c r="A5145" t="inlineStr">
        <is>
          <t>ORD05144</t>
        </is>
      </c>
      <c r="B5145" t="inlineStr">
        <is>
          <t>C0144</t>
        </is>
      </c>
      <c r="C5145" t="n">
        <v>2</v>
      </c>
      <c r="D5145" t="inlineStr">
        <is>
          <t>Hub B</t>
        </is>
      </c>
      <c r="E5145" t="n">
        <v>26</v>
      </c>
      <c r="F5145" t="n">
        <v>22</v>
      </c>
    </row>
    <row r="5146">
      <c r="A5146" t="inlineStr">
        <is>
          <t>ORD05145</t>
        </is>
      </c>
      <c r="B5146" t="inlineStr">
        <is>
          <t>C0145</t>
        </is>
      </c>
      <c r="C5146" t="n">
        <v>3</v>
      </c>
      <c r="D5146" t="inlineStr">
        <is>
          <t>Hub B</t>
        </is>
      </c>
      <c r="E5146" t="n">
        <v>33</v>
      </c>
      <c r="F5146" t="n">
        <v>22</v>
      </c>
    </row>
    <row r="5147">
      <c r="A5147" t="inlineStr">
        <is>
          <t>ORD05146</t>
        </is>
      </c>
      <c r="B5147" t="inlineStr">
        <is>
          <t>C0146</t>
        </is>
      </c>
      <c r="C5147" t="n">
        <v>1</v>
      </c>
      <c r="D5147" t="inlineStr">
        <is>
          <t>Hub B</t>
        </is>
      </c>
      <c r="E5147" t="n">
        <v>40</v>
      </c>
      <c r="F5147" t="n">
        <v>22</v>
      </c>
    </row>
    <row r="5148">
      <c r="A5148" t="inlineStr">
        <is>
          <t>ORD05147</t>
        </is>
      </c>
      <c r="B5148" t="inlineStr">
        <is>
          <t>C0147</t>
        </is>
      </c>
      <c r="C5148" t="n">
        <v>2</v>
      </c>
      <c r="D5148" t="inlineStr">
        <is>
          <t>Hub B</t>
        </is>
      </c>
      <c r="E5148" t="n">
        <v>47</v>
      </c>
      <c r="F5148" t="n">
        <v>22</v>
      </c>
    </row>
    <row r="5149">
      <c r="A5149" t="inlineStr">
        <is>
          <t>ORD05148</t>
        </is>
      </c>
      <c r="B5149" t="inlineStr">
        <is>
          <t>C0148</t>
        </is>
      </c>
      <c r="C5149" t="n">
        <v>3</v>
      </c>
      <c r="D5149" t="inlineStr">
        <is>
          <t>Hub B</t>
        </is>
      </c>
      <c r="E5149" t="n">
        <v>54</v>
      </c>
      <c r="F5149" t="n">
        <v>22</v>
      </c>
    </row>
    <row r="5150">
      <c r="A5150" t="inlineStr">
        <is>
          <t>ORD05149</t>
        </is>
      </c>
      <c r="B5150" t="inlineStr">
        <is>
          <t>C0149</t>
        </is>
      </c>
      <c r="C5150" t="n">
        <v>1</v>
      </c>
      <c r="D5150" t="inlineStr">
        <is>
          <t>Hub B</t>
        </is>
      </c>
      <c r="E5150" t="n">
        <v>61</v>
      </c>
      <c r="F5150" t="n">
        <v>22</v>
      </c>
    </row>
    <row r="5151">
      <c r="A5151" t="inlineStr">
        <is>
          <t>ORD05150</t>
        </is>
      </c>
      <c r="B5151" t="inlineStr">
        <is>
          <t>C0150</t>
        </is>
      </c>
      <c r="C5151" t="n">
        <v>2</v>
      </c>
      <c r="D5151" t="inlineStr">
        <is>
          <t>Hub B</t>
        </is>
      </c>
      <c r="E5151" t="n">
        <v>68</v>
      </c>
      <c r="F5151" t="n">
        <v>22</v>
      </c>
    </row>
    <row r="5152">
      <c r="A5152" t="inlineStr">
        <is>
          <t>ORD05151</t>
        </is>
      </c>
      <c r="B5152" t="inlineStr">
        <is>
          <t>C0151</t>
        </is>
      </c>
      <c r="C5152" t="n">
        <v>3</v>
      </c>
      <c r="D5152" t="inlineStr">
        <is>
          <t>Hub B</t>
        </is>
      </c>
      <c r="E5152" t="n">
        <v>75</v>
      </c>
      <c r="F5152" t="n">
        <v>22</v>
      </c>
    </row>
    <row r="5153">
      <c r="A5153" t="inlineStr">
        <is>
          <t>ORD05152</t>
        </is>
      </c>
      <c r="B5153" t="inlineStr">
        <is>
          <t>C0152</t>
        </is>
      </c>
      <c r="C5153" t="n">
        <v>1</v>
      </c>
      <c r="D5153" t="inlineStr">
        <is>
          <t>Hub B</t>
        </is>
      </c>
      <c r="E5153" t="n">
        <v>22</v>
      </c>
      <c r="F5153" t="n">
        <v>22</v>
      </c>
    </row>
    <row r="5154">
      <c r="A5154" t="inlineStr">
        <is>
          <t>ORD05153</t>
        </is>
      </c>
      <c r="B5154" t="inlineStr">
        <is>
          <t>C0153</t>
        </is>
      </c>
      <c r="C5154" t="n">
        <v>2</v>
      </c>
      <c r="D5154" t="inlineStr">
        <is>
          <t>Hub B</t>
        </is>
      </c>
      <c r="E5154" t="n">
        <v>29</v>
      </c>
      <c r="F5154" t="n">
        <v>22</v>
      </c>
    </row>
    <row r="5155">
      <c r="A5155" t="inlineStr">
        <is>
          <t>ORD05154</t>
        </is>
      </c>
      <c r="B5155" t="inlineStr">
        <is>
          <t>C0154</t>
        </is>
      </c>
      <c r="C5155" t="n">
        <v>3</v>
      </c>
      <c r="D5155" t="inlineStr">
        <is>
          <t>Hub B</t>
        </is>
      </c>
      <c r="E5155" t="n">
        <v>36</v>
      </c>
      <c r="F5155" t="n">
        <v>22</v>
      </c>
    </row>
    <row r="5156">
      <c r="A5156" t="inlineStr">
        <is>
          <t>ORD05155</t>
        </is>
      </c>
      <c r="B5156" t="inlineStr">
        <is>
          <t>C0155</t>
        </is>
      </c>
      <c r="C5156" t="n">
        <v>1</v>
      </c>
      <c r="D5156" t="inlineStr">
        <is>
          <t>Hub B</t>
        </is>
      </c>
      <c r="E5156" t="n">
        <v>43</v>
      </c>
      <c r="F5156" t="n">
        <v>22</v>
      </c>
    </row>
    <row r="5157">
      <c r="A5157" t="inlineStr">
        <is>
          <t>ORD05156</t>
        </is>
      </c>
      <c r="B5157" t="inlineStr">
        <is>
          <t>C0156</t>
        </is>
      </c>
      <c r="C5157" t="n">
        <v>2</v>
      </c>
      <c r="D5157" t="inlineStr">
        <is>
          <t>Hub B</t>
        </is>
      </c>
      <c r="E5157" t="n">
        <v>50</v>
      </c>
      <c r="F5157" t="n">
        <v>22</v>
      </c>
    </row>
    <row r="5158">
      <c r="A5158" t="inlineStr">
        <is>
          <t>ORD05157</t>
        </is>
      </c>
      <c r="B5158" t="inlineStr">
        <is>
          <t>C0157</t>
        </is>
      </c>
      <c r="C5158" t="n">
        <v>3</v>
      </c>
      <c r="D5158" t="inlineStr">
        <is>
          <t>Hub B</t>
        </is>
      </c>
      <c r="E5158" t="n">
        <v>57</v>
      </c>
      <c r="F5158" t="n">
        <v>22</v>
      </c>
    </row>
    <row r="5159">
      <c r="A5159" t="inlineStr">
        <is>
          <t>ORD05158</t>
        </is>
      </c>
      <c r="B5159" t="inlineStr">
        <is>
          <t>C0158</t>
        </is>
      </c>
      <c r="C5159" t="n">
        <v>1</v>
      </c>
      <c r="D5159" t="inlineStr">
        <is>
          <t>Hub B</t>
        </is>
      </c>
      <c r="E5159" t="n">
        <v>64</v>
      </c>
      <c r="F5159" t="n">
        <v>22</v>
      </c>
    </row>
    <row r="5160">
      <c r="A5160" t="inlineStr">
        <is>
          <t>ORD05159</t>
        </is>
      </c>
      <c r="B5160" t="inlineStr">
        <is>
          <t>C0159</t>
        </is>
      </c>
      <c r="C5160" t="n">
        <v>2</v>
      </c>
      <c r="D5160" t="inlineStr">
        <is>
          <t>Hub B</t>
        </is>
      </c>
      <c r="E5160" t="n">
        <v>71</v>
      </c>
      <c r="F5160" t="n">
        <v>22</v>
      </c>
    </row>
    <row r="5161">
      <c r="A5161" t="inlineStr">
        <is>
          <t>ORD05160</t>
        </is>
      </c>
      <c r="B5161" t="inlineStr">
        <is>
          <t>C0160</t>
        </is>
      </c>
      <c r="C5161" t="n">
        <v>3</v>
      </c>
      <c r="D5161" t="inlineStr">
        <is>
          <t>Hub B</t>
        </is>
      </c>
      <c r="E5161" t="n">
        <v>18</v>
      </c>
      <c r="F5161" t="n">
        <v>22</v>
      </c>
    </row>
    <row r="5162">
      <c r="A5162" t="inlineStr">
        <is>
          <t>ORD05161</t>
        </is>
      </c>
      <c r="B5162" t="inlineStr">
        <is>
          <t>C0161</t>
        </is>
      </c>
      <c r="C5162" t="n">
        <v>1</v>
      </c>
      <c r="D5162" t="inlineStr">
        <is>
          <t>Hub B</t>
        </is>
      </c>
      <c r="E5162" t="n">
        <v>25</v>
      </c>
      <c r="F5162" t="n">
        <v>22</v>
      </c>
    </row>
    <row r="5163">
      <c r="A5163" t="inlineStr">
        <is>
          <t>ORD05162</t>
        </is>
      </c>
      <c r="B5163" t="inlineStr">
        <is>
          <t>C0162</t>
        </is>
      </c>
      <c r="C5163" t="n">
        <v>2</v>
      </c>
      <c r="D5163" t="inlineStr">
        <is>
          <t>Hub B</t>
        </is>
      </c>
      <c r="E5163" t="n">
        <v>32</v>
      </c>
      <c r="F5163" t="n">
        <v>22</v>
      </c>
    </row>
    <row r="5164">
      <c r="A5164" t="inlineStr">
        <is>
          <t>ORD05163</t>
        </is>
      </c>
      <c r="B5164" t="inlineStr">
        <is>
          <t>C0163</t>
        </is>
      </c>
      <c r="C5164" t="n">
        <v>3</v>
      </c>
      <c r="D5164" t="inlineStr">
        <is>
          <t>Hub B</t>
        </is>
      </c>
      <c r="E5164" t="n">
        <v>39</v>
      </c>
      <c r="F5164" t="n">
        <v>22</v>
      </c>
    </row>
    <row r="5165">
      <c r="A5165" t="inlineStr">
        <is>
          <t>ORD05164</t>
        </is>
      </c>
      <c r="B5165" t="inlineStr">
        <is>
          <t>C0164</t>
        </is>
      </c>
      <c r="C5165" t="n">
        <v>1</v>
      </c>
      <c r="D5165" t="inlineStr">
        <is>
          <t>Hub B</t>
        </is>
      </c>
      <c r="E5165" t="n">
        <v>46</v>
      </c>
      <c r="F5165" t="n">
        <v>22</v>
      </c>
    </row>
    <row r="5166">
      <c r="A5166" t="inlineStr">
        <is>
          <t>ORD05165</t>
        </is>
      </c>
      <c r="B5166" t="inlineStr">
        <is>
          <t>C0165</t>
        </is>
      </c>
      <c r="C5166" t="n">
        <v>2</v>
      </c>
      <c r="D5166" t="inlineStr">
        <is>
          <t>Hub B</t>
        </is>
      </c>
      <c r="E5166" t="n">
        <v>53</v>
      </c>
      <c r="F5166" t="n">
        <v>22</v>
      </c>
    </row>
    <row r="5167">
      <c r="A5167" t="inlineStr">
        <is>
          <t>ORD05166</t>
        </is>
      </c>
      <c r="B5167" t="inlineStr">
        <is>
          <t>C0166</t>
        </is>
      </c>
      <c r="C5167" t="n">
        <v>3</v>
      </c>
      <c r="D5167" t="inlineStr">
        <is>
          <t>Hub B</t>
        </is>
      </c>
      <c r="E5167" t="n">
        <v>60</v>
      </c>
      <c r="F5167" t="n">
        <v>22</v>
      </c>
    </row>
    <row r="5168">
      <c r="A5168" t="inlineStr">
        <is>
          <t>ORD05167</t>
        </is>
      </c>
      <c r="B5168" t="inlineStr">
        <is>
          <t>C0167</t>
        </is>
      </c>
      <c r="C5168" t="n">
        <v>1</v>
      </c>
      <c r="D5168" t="inlineStr">
        <is>
          <t>Hub B</t>
        </is>
      </c>
      <c r="E5168" t="n">
        <v>67</v>
      </c>
      <c r="F5168" t="n">
        <v>22</v>
      </c>
    </row>
    <row r="5169">
      <c r="A5169" t="inlineStr">
        <is>
          <t>ORD05168</t>
        </is>
      </c>
      <c r="B5169" t="inlineStr">
        <is>
          <t>C0168</t>
        </is>
      </c>
      <c r="C5169" t="n">
        <v>2</v>
      </c>
      <c r="D5169" t="inlineStr">
        <is>
          <t>Hub B</t>
        </is>
      </c>
      <c r="E5169" t="n">
        <v>74</v>
      </c>
      <c r="F5169" t="n">
        <v>22</v>
      </c>
    </row>
    <row r="5170">
      <c r="A5170" t="inlineStr">
        <is>
          <t>ORD05169</t>
        </is>
      </c>
      <c r="B5170" t="inlineStr">
        <is>
          <t>C0169</t>
        </is>
      </c>
      <c r="C5170" t="n">
        <v>3</v>
      </c>
      <c r="D5170" t="inlineStr">
        <is>
          <t>Hub B</t>
        </is>
      </c>
      <c r="E5170" t="n">
        <v>21</v>
      </c>
      <c r="F5170" t="n">
        <v>22</v>
      </c>
    </row>
    <row r="5171">
      <c r="A5171" t="inlineStr">
        <is>
          <t>ORD05170</t>
        </is>
      </c>
      <c r="B5171" t="inlineStr">
        <is>
          <t>C0170</t>
        </is>
      </c>
      <c r="C5171" t="n">
        <v>1</v>
      </c>
      <c r="D5171" t="inlineStr">
        <is>
          <t>Hub B</t>
        </is>
      </c>
      <c r="E5171" t="n">
        <v>28</v>
      </c>
      <c r="F5171" t="n">
        <v>22</v>
      </c>
    </row>
    <row r="5172">
      <c r="A5172" t="inlineStr">
        <is>
          <t>ORD05171</t>
        </is>
      </c>
      <c r="B5172" t="inlineStr">
        <is>
          <t>C0171</t>
        </is>
      </c>
      <c r="C5172" t="n">
        <v>2</v>
      </c>
      <c r="D5172" t="inlineStr">
        <is>
          <t>Hub B</t>
        </is>
      </c>
      <c r="E5172" t="n">
        <v>35</v>
      </c>
      <c r="F5172" t="n">
        <v>22</v>
      </c>
    </row>
    <row r="5173">
      <c r="A5173" t="inlineStr">
        <is>
          <t>ORD05172</t>
        </is>
      </c>
      <c r="B5173" t="inlineStr">
        <is>
          <t>C0172</t>
        </is>
      </c>
      <c r="C5173" t="n">
        <v>3</v>
      </c>
      <c r="D5173" t="inlineStr">
        <is>
          <t>Hub B</t>
        </is>
      </c>
      <c r="E5173" t="n">
        <v>42</v>
      </c>
      <c r="F5173" t="n">
        <v>22</v>
      </c>
    </row>
    <row r="5174">
      <c r="A5174" t="inlineStr">
        <is>
          <t>ORD05173</t>
        </is>
      </c>
      <c r="B5174" t="inlineStr">
        <is>
          <t>C0173</t>
        </is>
      </c>
      <c r="C5174" t="n">
        <v>1</v>
      </c>
      <c r="D5174" t="inlineStr">
        <is>
          <t>Hub B</t>
        </is>
      </c>
      <c r="E5174" t="n">
        <v>49</v>
      </c>
      <c r="F5174" t="n">
        <v>22</v>
      </c>
    </row>
    <row r="5175">
      <c r="A5175" t="inlineStr">
        <is>
          <t>ORD05174</t>
        </is>
      </c>
      <c r="B5175" t="inlineStr">
        <is>
          <t>C0174</t>
        </is>
      </c>
      <c r="C5175" t="n">
        <v>2</v>
      </c>
      <c r="D5175" t="inlineStr">
        <is>
          <t>Hub B</t>
        </is>
      </c>
      <c r="E5175" t="n">
        <v>56</v>
      </c>
      <c r="F5175" t="n">
        <v>22</v>
      </c>
    </row>
    <row r="5176">
      <c r="A5176" t="inlineStr">
        <is>
          <t>ORD05175</t>
        </is>
      </c>
      <c r="B5176" t="inlineStr">
        <is>
          <t>C0175</t>
        </is>
      </c>
      <c r="C5176" t="n">
        <v>3</v>
      </c>
      <c r="D5176" t="inlineStr">
        <is>
          <t>Hub B</t>
        </is>
      </c>
      <c r="E5176" t="n">
        <v>63</v>
      </c>
      <c r="F5176" t="n">
        <v>22</v>
      </c>
    </row>
    <row r="5177">
      <c r="A5177" t="inlineStr">
        <is>
          <t>ORD05176</t>
        </is>
      </c>
      <c r="B5177" t="inlineStr">
        <is>
          <t>C0176</t>
        </is>
      </c>
      <c r="C5177" t="n">
        <v>1</v>
      </c>
      <c r="D5177" t="inlineStr">
        <is>
          <t>Hub B</t>
        </is>
      </c>
      <c r="E5177" t="n">
        <v>70</v>
      </c>
      <c r="F5177" t="n">
        <v>22</v>
      </c>
    </row>
    <row r="5178">
      <c r="A5178" t="inlineStr">
        <is>
          <t>ORD05177</t>
        </is>
      </c>
      <c r="B5178" t="inlineStr">
        <is>
          <t>C0177</t>
        </is>
      </c>
      <c r="C5178" t="n">
        <v>2</v>
      </c>
      <c r="D5178" t="inlineStr">
        <is>
          <t>Hub B</t>
        </is>
      </c>
      <c r="E5178" t="n">
        <v>77</v>
      </c>
      <c r="F5178" t="n">
        <v>22</v>
      </c>
    </row>
    <row r="5179">
      <c r="A5179" t="inlineStr">
        <is>
          <t>ORD05178</t>
        </is>
      </c>
      <c r="B5179" t="inlineStr">
        <is>
          <t>C0178</t>
        </is>
      </c>
      <c r="C5179" t="n">
        <v>3</v>
      </c>
      <c r="D5179" t="inlineStr">
        <is>
          <t>Hub B</t>
        </is>
      </c>
      <c r="E5179" t="n">
        <v>24</v>
      </c>
      <c r="F5179" t="n">
        <v>22</v>
      </c>
    </row>
    <row r="5180">
      <c r="A5180" t="inlineStr">
        <is>
          <t>ORD05179</t>
        </is>
      </c>
      <c r="B5180" t="inlineStr">
        <is>
          <t>C0179</t>
        </is>
      </c>
      <c r="C5180" t="n">
        <v>1</v>
      </c>
      <c r="D5180" t="inlineStr">
        <is>
          <t>Hub B</t>
        </is>
      </c>
      <c r="E5180" t="n">
        <v>31</v>
      </c>
      <c r="F5180" t="n">
        <v>22</v>
      </c>
    </row>
    <row r="5181">
      <c r="A5181" t="inlineStr">
        <is>
          <t>ORD05180</t>
        </is>
      </c>
      <c r="B5181" t="inlineStr">
        <is>
          <t>C0180</t>
        </is>
      </c>
      <c r="C5181" t="n">
        <v>2</v>
      </c>
      <c r="D5181" t="inlineStr">
        <is>
          <t>Hub B</t>
        </is>
      </c>
      <c r="E5181" t="n">
        <v>38</v>
      </c>
      <c r="F5181" t="n">
        <v>22</v>
      </c>
    </row>
    <row r="5182">
      <c r="A5182" t="inlineStr">
        <is>
          <t>ORD05181</t>
        </is>
      </c>
      <c r="B5182" t="inlineStr">
        <is>
          <t>C0181</t>
        </is>
      </c>
      <c r="C5182" t="n">
        <v>3</v>
      </c>
      <c r="D5182" t="inlineStr">
        <is>
          <t>Hub B</t>
        </is>
      </c>
      <c r="E5182" t="n">
        <v>45</v>
      </c>
      <c r="F5182" t="n">
        <v>22</v>
      </c>
    </row>
    <row r="5183">
      <c r="A5183" t="inlineStr">
        <is>
          <t>ORD05182</t>
        </is>
      </c>
      <c r="B5183" t="inlineStr">
        <is>
          <t>C0182</t>
        </is>
      </c>
      <c r="C5183" t="n">
        <v>1</v>
      </c>
      <c r="D5183" t="inlineStr">
        <is>
          <t>Hub B</t>
        </is>
      </c>
      <c r="E5183" t="n">
        <v>52</v>
      </c>
      <c r="F5183" t="n">
        <v>22</v>
      </c>
    </row>
    <row r="5184">
      <c r="A5184" t="inlineStr">
        <is>
          <t>ORD05183</t>
        </is>
      </c>
      <c r="B5184" t="inlineStr">
        <is>
          <t>C0183</t>
        </is>
      </c>
      <c r="C5184" t="n">
        <v>2</v>
      </c>
      <c r="D5184" t="inlineStr">
        <is>
          <t>Hub B</t>
        </is>
      </c>
      <c r="E5184" t="n">
        <v>59</v>
      </c>
      <c r="F5184" t="n">
        <v>22</v>
      </c>
    </row>
    <row r="5185">
      <c r="A5185" t="inlineStr">
        <is>
          <t>ORD05184</t>
        </is>
      </c>
      <c r="B5185" t="inlineStr">
        <is>
          <t>C0184</t>
        </is>
      </c>
      <c r="C5185" t="n">
        <v>3</v>
      </c>
      <c r="D5185" t="inlineStr">
        <is>
          <t>Hub B</t>
        </is>
      </c>
      <c r="E5185" t="n">
        <v>66</v>
      </c>
      <c r="F5185" t="n">
        <v>22</v>
      </c>
    </row>
    <row r="5186">
      <c r="A5186" t="inlineStr">
        <is>
          <t>ORD05185</t>
        </is>
      </c>
      <c r="B5186" t="inlineStr">
        <is>
          <t>C0185</t>
        </is>
      </c>
      <c r="C5186" t="n">
        <v>1</v>
      </c>
      <c r="D5186" t="inlineStr">
        <is>
          <t>Hub B</t>
        </is>
      </c>
      <c r="E5186" t="n">
        <v>73</v>
      </c>
      <c r="F5186" t="n">
        <v>22</v>
      </c>
    </row>
    <row r="5187">
      <c r="A5187" t="inlineStr">
        <is>
          <t>ORD05186</t>
        </is>
      </c>
      <c r="B5187" t="inlineStr">
        <is>
          <t>C0186</t>
        </is>
      </c>
      <c r="C5187" t="n">
        <v>2</v>
      </c>
      <c r="D5187" t="inlineStr">
        <is>
          <t>Hub B</t>
        </is>
      </c>
      <c r="E5187" t="n">
        <v>20</v>
      </c>
      <c r="F5187" t="n">
        <v>22</v>
      </c>
    </row>
    <row r="5188">
      <c r="A5188" t="inlineStr">
        <is>
          <t>ORD05187</t>
        </is>
      </c>
      <c r="B5188" t="inlineStr">
        <is>
          <t>C0187</t>
        </is>
      </c>
      <c r="C5188" t="n">
        <v>3</v>
      </c>
      <c r="D5188" t="inlineStr">
        <is>
          <t>Hub B</t>
        </is>
      </c>
      <c r="E5188" t="n">
        <v>27</v>
      </c>
      <c r="F5188" t="n">
        <v>22</v>
      </c>
    </row>
    <row r="5189">
      <c r="A5189" t="inlineStr">
        <is>
          <t>ORD05188</t>
        </is>
      </c>
      <c r="B5189" t="inlineStr">
        <is>
          <t>C0188</t>
        </is>
      </c>
      <c r="C5189" t="n">
        <v>1</v>
      </c>
      <c r="D5189" t="inlineStr">
        <is>
          <t>Hub B</t>
        </is>
      </c>
      <c r="E5189" t="n">
        <v>34</v>
      </c>
      <c r="F5189" t="n">
        <v>22</v>
      </c>
    </row>
    <row r="5190">
      <c r="A5190" t="inlineStr">
        <is>
          <t>ORD05189</t>
        </is>
      </c>
      <c r="B5190" t="inlineStr">
        <is>
          <t>C0189</t>
        </is>
      </c>
      <c r="C5190" t="n">
        <v>2</v>
      </c>
      <c r="D5190" t="inlineStr">
        <is>
          <t>Hub B</t>
        </is>
      </c>
      <c r="E5190" t="n">
        <v>41</v>
      </c>
      <c r="F5190" t="n">
        <v>22</v>
      </c>
    </row>
    <row r="5191">
      <c r="A5191" t="inlineStr">
        <is>
          <t>ORD05190</t>
        </is>
      </c>
      <c r="B5191" t="inlineStr">
        <is>
          <t>C0190</t>
        </is>
      </c>
      <c r="C5191" t="n">
        <v>3</v>
      </c>
      <c r="D5191" t="inlineStr">
        <is>
          <t>Hub B</t>
        </is>
      </c>
      <c r="E5191" t="n">
        <v>48</v>
      </c>
      <c r="F5191" t="n">
        <v>22</v>
      </c>
    </row>
    <row r="5192">
      <c r="A5192" t="inlineStr">
        <is>
          <t>ORD05191</t>
        </is>
      </c>
      <c r="B5192" t="inlineStr">
        <is>
          <t>C0191</t>
        </is>
      </c>
      <c r="C5192" t="n">
        <v>1</v>
      </c>
      <c r="D5192" t="inlineStr">
        <is>
          <t>Hub B</t>
        </is>
      </c>
      <c r="E5192" t="n">
        <v>55</v>
      </c>
      <c r="F5192" t="n">
        <v>22</v>
      </c>
    </row>
    <row r="5193">
      <c r="A5193" t="inlineStr">
        <is>
          <t>ORD05192</t>
        </is>
      </c>
      <c r="B5193" t="inlineStr">
        <is>
          <t>C0192</t>
        </is>
      </c>
      <c r="C5193" t="n">
        <v>2</v>
      </c>
      <c r="D5193" t="inlineStr">
        <is>
          <t>Hub B</t>
        </is>
      </c>
      <c r="E5193" t="n">
        <v>62</v>
      </c>
      <c r="F5193" t="n">
        <v>22</v>
      </c>
    </row>
    <row r="5194">
      <c r="A5194" t="inlineStr">
        <is>
          <t>ORD05193</t>
        </is>
      </c>
      <c r="B5194" t="inlineStr">
        <is>
          <t>C0193</t>
        </is>
      </c>
      <c r="C5194" t="n">
        <v>3</v>
      </c>
      <c r="D5194" t="inlineStr">
        <is>
          <t>Hub B</t>
        </is>
      </c>
      <c r="E5194" t="n">
        <v>69</v>
      </c>
      <c r="F5194" t="n">
        <v>22</v>
      </c>
    </row>
    <row r="5195">
      <c r="A5195" t="inlineStr">
        <is>
          <t>ORD05194</t>
        </is>
      </c>
      <c r="B5195" t="inlineStr">
        <is>
          <t>C0194</t>
        </is>
      </c>
      <c r="C5195" t="n">
        <v>1</v>
      </c>
      <c r="D5195" t="inlineStr">
        <is>
          <t>Hub B</t>
        </is>
      </c>
      <c r="E5195" t="n">
        <v>76</v>
      </c>
      <c r="F5195" t="n">
        <v>22</v>
      </c>
    </row>
    <row r="5196">
      <c r="A5196" t="inlineStr">
        <is>
          <t>ORD05195</t>
        </is>
      </c>
      <c r="B5196" t="inlineStr">
        <is>
          <t>C0195</t>
        </is>
      </c>
      <c r="C5196" t="n">
        <v>2</v>
      </c>
      <c r="D5196" t="inlineStr">
        <is>
          <t>Hub B</t>
        </is>
      </c>
      <c r="E5196" t="n">
        <v>23</v>
      </c>
      <c r="F5196" t="n">
        <v>22</v>
      </c>
    </row>
    <row r="5197">
      <c r="A5197" t="inlineStr">
        <is>
          <t>ORD05196</t>
        </is>
      </c>
      <c r="B5197" t="inlineStr">
        <is>
          <t>C0196</t>
        </is>
      </c>
      <c r="C5197" t="n">
        <v>3</v>
      </c>
      <c r="D5197" t="inlineStr">
        <is>
          <t>Hub B</t>
        </is>
      </c>
      <c r="E5197" t="n">
        <v>30</v>
      </c>
      <c r="F5197" t="n">
        <v>22</v>
      </c>
    </row>
    <row r="5198">
      <c r="A5198" t="inlineStr">
        <is>
          <t>ORD05197</t>
        </is>
      </c>
      <c r="B5198" t="inlineStr">
        <is>
          <t>C0197</t>
        </is>
      </c>
      <c r="C5198" t="n">
        <v>1</v>
      </c>
      <c r="D5198" t="inlineStr">
        <is>
          <t>Hub B</t>
        </is>
      </c>
      <c r="E5198" t="n">
        <v>37</v>
      </c>
      <c r="F5198" t="n">
        <v>22</v>
      </c>
    </row>
    <row r="5199">
      <c r="A5199" t="inlineStr">
        <is>
          <t>ORD05198</t>
        </is>
      </c>
      <c r="B5199" t="inlineStr">
        <is>
          <t>C0198</t>
        </is>
      </c>
      <c r="C5199" t="n">
        <v>2</v>
      </c>
      <c r="D5199" t="inlineStr">
        <is>
          <t>Hub B</t>
        </is>
      </c>
      <c r="E5199" t="n">
        <v>44</v>
      </c>
      <c r="F5199" t="n">
        <v>22</v>
      </c>
    </row>
    <row r="5200">
      <c r="A5200" t="inlineStr">
        <is>
          <t>ORD05199</t>
        </is>
      </c>
      <c r="B5200" t="inlineStr">
        <is>
          <t>C0199</t>
        </is>
      </c>
      <c r="C5200" t="n">
        <v>3</v>
      </c>
      <c r="D5200" t="inlineStr">
        <is>
          <t>Hub B</t>
        </is>
      </c>
      <c r="E5200" t="n">
        <v>51</v>
      </c>
      <c r="F5200" t="n">
        <v>22</v>
      </c>
    </row>
    <row r="5201">
      <c r="A5201" t="inlineStr">
        <is>
          <t>ORD05200</t>
        </is>
      </c>
      <c r="B5201" t="inlineStr">
        <is>
          <t>C0200</t>
        </is>
      </c>
      <c r="C5201" t="n">
        <v>1</v>
      </c>
      <c r="D5201" t="inlineStr">
        <is>
          <t>Hub B</t>
        </is>
      </c>
      <c r="E5201" t="n">
        <v>58</v>
      </c>
      <c r="F5201" t="n">
        <v>22</v>
      </c>
    </row>
    <row r="5202">
      <c r="A5202" t="inlineStr">
        <is>
          <t>ORD05201</t>
        </is>
      </c>
      <c r="B5202" t="inlineStr">
        <is>
          <t>C0201</t>
        </is>
      </c>
      <c r="C5202" t="n">
        <v>2</v>
      </c>
      <c r="D5202" t="inlineStr">
        <is>
          <t>Hub B</t>
        </is>
      </c>
      <c r="E5202" t="n">
        <v>65</v>
      </c>
      <c r="F5202" t="n">
        <v>22</v>
      </c>
    </row>
    <row r="5203">
      <c r="A5203" t="inlineStr">
        <is>
          <t>ORD05202</t>
        </is>
      </c>
      <c r="B5203" t="inlineStr">
        <is>
          <t>C0202</t>
        </is>
      </c>
      <c r="C5203" t="n">
        <v>3</v>
      </c>
      <c r="D5203" t="inlineStr">
        <is>
          <t>Hub B</t>
        </is>
      </c>
      <c r="E5203" t="n">
        <v>72</v>
      </c>
      <c r="F5203" t="n">
        <v>22</v>
      </c>
    </row>
    <row r="5204">
      <c r="A5204" t="inlineStr">
        <is>
          <t>ORD05203</t>
        </is>
      </c>
      <c r="B5204" t="inlineStr">
        <is>
          <t>C0203</t>
        </is>
      </c>
      <c r="C5204" t="n">
        <v>1</v>
      </c>
      <c r="D5204" t="inlineStr">
        <is>
          <t>Hub B</t>
        </is>
      </c>
      <c r="E5204" t="n">
        <v>19</v>
      </c>
      <c r="F5204" t="n">
        <v>22</v>
      </c>
    </row>
    <row r="5205">
      <c r="A5205" t="inlineStr">
        <is>
          <t>ORD05204</t>
        </is>
      </c>
      <c r="B5205" t="inlineStr">
        <is>
          <t>C0204</t>
        </is>
      </c>
      <c r="C5205" t="n">
        <v>2</v>
      </c>
      <c r="D5205" t="inlineStr">
        <is>
          <t>Hub B</t>
        </is>
      </c>
      <c r="E5205" t="n">
        <v>26</v>
      </c>
      <c r="F5205" t="n">
        <v>22</v>
      </c>
    </row>
    <row r="5206">
      <c r="A5206" t="inlineStr">
        <is>
          <t>ORD05205</t>
        </is>
      </c>
      <c r="B5206" t="inlineStr">
        <is>
          <t>C0205</t>
        </is>
      </c>
      <c r="C5206" t="n">
        <v>3</v>
      </c>
      <c r="D5206" t="inlineStr">
        <is>
          <t>Hub B</t>
        </is>
      </c>
      <c r="E5206" t="n">
        <v>33</v>
      </c>
      <c r="F5206" t="n">
        <v>22</v>
      </c>
    </row>
    <row r="5207">
      <c r="A5207" t="inlineStr">
        <is>
          <t>ORD05206</t>
        </is>
      </c>
      <c r="B5207" t="inlineStr">
        <is>
          <t>C0206</t>
        </is>
      </c>
      <c r="C5207" t="n">
        <v>1</v>
      </c>
      <c r="D5207" t="inlineStr">
        <is>
          <t>Hub B</t>
        </is>
      </c>
      <c r="E5207" t="n">
        <v>40</v>
      </c>
      <c r="F5207" t="n">
        <v>22</v>
      </c>
    </row>
    <row r="5208">
      <c r="A5208" t="inlineStr">
        <is>
          <t>ORD05207</t>
        </is>
      </c>
      <c r="B5208" t="inlineStr">
        <is>
          <t>C0207</t>
        </is>
      </c>
      <c r="C5208" t="n">
        <v>2</v>
      </c>
      <c r="D5208" t="inlineStr">
        <is>
          <t>Hub B</t>
        </is>
      </c>
      <c r="E5208" t="n">
        <v>47</v>
      </c>
      <c r="F5208" t="n">
        <v>22</v>
      </c>
    </row>
    <row r="5209">
      <c r="A5209" t="inlineStr">
        <is>
          <t>ORD05208</t>
        </is>
      </c>
      <c r="B5209" t="inlineStr">
        <is>
          <t>C0208</t>
        </is>
      </c>
      <c r="C5209" t="n">
        <v>3</v>
      </c>
      <c r="D5209" t="inlineStr">
        <is>
          <t>Hub B</t>
        </is>
      </c>
      <c r="E5209" t="n">
        <v>54</v>
      </c>
      <c r="F5209" t="n">
        <v>22</v>
      </c>
    </row>
    <row r="5210">
      <c r="A5210" t="inlineStr">
        <is>
          <t>ORD05209</t>
        </is>
      </c>
      <c r="B5210" t="inlineStr">
        <is>
          <t>C0209</t>
        </is>
      </c>
      <c r="C5210" t="n">
        <v>1</v>
      </c>
      <c r="D5210" t="inlineStr">
        <is>
          <t>Hub B</t>
        </is>
      </c>
      <c r="E5210" t="n">
        <v>61</v>
      </c>
      <c r="F5210" t="n">
        <v>22</v>
      </c>
    </row>
    <row r="5211">
      <c r="A5211" t="inlineStr">
        <is>
          <t>ORD05210</t>
        </is>
      </c>
      <c r="B5211" t="inlineStr">
        <is>
          <t>C0210</t>
        </is>
      </c>
      <c r="C5211" t="n">
        <v>2</v>
      </c>
      <c r="D5211" t="inlineStr">
        <is>
          <t>Hub B</t>
        </is>
      </c>
      <c r="E5211" t="n">
        <v>68</v>
      </c>
      <c r="F5211" t="n">
        <v>22</v>
      </c>
    </row>
    <row r="5212">
      <c r="A5212" t="inlineStr">
        <is>
          <t>ORD05211</t>
        </is>
      </c>
      <c r="B5212" t="inlineStr">
        <is>
          <t>C0211</t>
        </is>
      </c>
      <c r="C5212" t="n">
        <v>3</v>
      </c>
      <c r="D5212" t="inlineStr">
        <is>
          <t>Hub B</t>
        </is>
      </c>
      <c r="E5212" t="n">
        <v>75</v>
      </c>
      <c r="F5212" t="n">
        <v>22</v>
      </c>
    </row>
    <row r="5213">
      <c r="A5213" t="inlineStr">
        <is>
          <t>ORD05212</t>
        </is>
      </c>
      <c r="B5213" t="inlineStr">
        <is>
          <t>C0212</t>
        </is>
      </c>
      <c r="C5213" t="n">
        <v>1</v>
      </c>
      <c r="D5213" t="inlineStr">
        <is>
          <t>Hub B</t>
        </is>
      </c>
      <c r="E5213" t="n">
        <v>22</v>
      </c>
      <c r="F5213" t="n">
        <v>22</v>
      </c>
    </row>
    <row r="5214">
      <c r="A5214" t="inlineStr">
        <is>
          <t>ORD05213</t>
        </is>
      </c>
      <c r="B5214" t="inlineStr">
        <is>
          <t>C0213</t>
        </is>
      </c>
      <c r="C5214" t="n">
        <v>2</v>
      </c>
      <c r="D5214" t="inlineStr">
        <is>
          <t>Hub B</t>
        </is>
      </c>
      <c r="E5214" t="n">
        <v>29</v>
      </c>
      <c r="F5214" t="n">
        <v>22</v>
      </c>
    </row>
    <row r="5215">
      <c r="A5215" t="inlineStr">
        <is>
          <t>ORD05214</t>
        </is>
      </c>
      <c r="B5215" t="inlineStr">
        <is>
          <t>C0214</t>
        </is>
      </c>
      <c r="C5215" t="n">
        <v>3</v>
      </c>
      <c r="D5215" t="inlineStr">
        <is>
          <t>Hub B</t>
        </is>
      </c>
      <c r="E5215" t="n">
        <v>36</v>
      </c>
      <c r="F5215" t="n">
        <v>22</v>
      </c>
    </row>
    <row r="5216">
      <c r="A5216" t="inlineStr">
        <is>
          <t>ORD05215</t>
        </is>
      </c>
      <c r="B5216" t="inlineStr">
        <is>
          <t>C0215</t>
        </is>
      </c>
      <c r="C5216" t="n">
        <v>1</v>
      </c>
      <c r="D5216" t="inlineStr">
        <is>
          <t>Hub B</t>
        </is>
      </c>
      <c r="E5216" t="n">
        <v>43</v>
      </c>
      <c r="F5216" t="n">
        <v>22</v>
      </c>
    </row>
    <row r="5217">
      <c r="A5217" t="inlineStr">
        <is>
          <t>ORD05216</t>
        </is>
      </c>
      <c r="B5217" t="inlineStr">
        <is>
          <t>C0216</t>
        </is>
      </c>
      <c r="C5217" t="n">
        <v>2</v>
      </c>
      <c r="D5217" t="inlineStr">
        <is>
          <t>Hub B</t>
        </is>
      </c>
      <c r="E5217" t="n">
        <v>50</v>
      </c>
      <c r="F5217" t="n">
        <v>22</v>
      </c>
    </row>
    <row r="5218">
      <c r="A5218" t="inlineStr">
        <is>
          <t>ORD05217</t>
        </is>
      </c>
      <c r="B5218" t="inlineStr">
        <is>
          <t>C0217</t>
        </is>
      </c>
      <c r="C5218" t="n">
        <v>3</v>
      </c>
      <c r="D5218" t="inlineStr">
        <is>
          <t>Hub B</t>
        </is>
      </c>
      <c r="E5218" t="n">
        <v>57</v>
      </c>
      <c r="F5218" t="n">
        <v>22</v>
      </c>
    </row>
    <row r="5219">
      <c r="A5219" t="inlineStr">
        <is>
          <t>ORD05218</t>
        </is>
      </c>
      <c r="B5219" t="inlineStr">
        <is>
          <t>C0218</t>
        </is>
      </c>
      <c r="C5219" t="n">
        <v>1</v>
      </c>
      <c r="D5219" t="inlineStr">
        <is>
          <t>Hub B</t>
        </is>
      </c>
      <c r="E5219" t="n">
        <v>64</v>
      </c>
      <c r="F5219" t="n">
        <v>22</v>
      </c>
    </row>
    <row r="5220">
      <c r="A5220" t="inlineStr">
        <is>
          <t>ORD05219</t>
        </is>
      </c>
      <c r="B5220" t="inlineStr">
        <is>
          <t>C0219</t>
        </is>
      </c>
      <c r="C5220" t="n">
        <v>2</v>
      </c>
      <c r="D5220" t="inlineStr">
        <is>
          <t>Hub B</t>
        </is>
      </c>
      <c r="E5220" t="n">
        <v>71</v>
      </c>
      <c r="F5220" t="n">
        <v>22</v>
      </c>
    </row>
    <row r="5221">
      <c r="A5221" t="inlineStr">
        <is>
          <t>ORD05220</t>
        </is>
      </c>
      <c r="B5221" t="inlineStr">
        <is>
          <t>C0220</t>
        </is>
      </c>
      <c r="C5221" t="n">
        <v>3</v>
      </c>
      <c r="D5221" t="inlineStr">
        <is>
          <t>Hub B</t>
        </is>
      </c>
      <c r="E5221" t="n">
        <v>18</v>
      </c>
      <c r="F5221" t="n">
        <v>22</v>
      </c>
    </row>
    <row r="5222">
      <c r="A5222" t="inlineStr">
        <is>
          <t>ORD05221</t>
        </is>
      </c>
      <c r="B5222" t="inlineStr">
        <is>
          <t>C0221</t>
        </is>
      </c>
      <c r="C5222" t="n">
        <v>1</v>
      </c>
      <c r="D5222" t="inlineStr">
        <is>
          <t>Hub B</t>
        </is>
      </c>
      <c r="E5222" t="n">
        <v>25</v>
      </c>
      <c r="F5222" t="n">
        <v>22</v>
      </c>
    </row>
    <row r="5223">
      <c r="A5223" t="inlineStr">
        <is>
          <t>ORD05222</t>
        </is>
      </c>
      <c r="B5223" t="inlineStr">
        <is>
          <t>C0222</t>
        </is>
      </c>
      <c r="C5223" t="n">
        <v>2</v>
      </c>
      <c r="D5223" t="inlineStr">
        <is>
          <t>Hub B</t>
        </is>
      </c>
      <c r="E5223" t="n">
        <v>32</v>
      </c>
      <c r="F5223" t="n">
        <v>22</v>
      </c>
    </row>
    <row r="5224">
      <c r="A5224" t="inlineStr">
        <is>
          <t>ORD05223</t>
        </is>
      </c>
      <c r="B5224" t="inlineStr">
        <is>
          <t>C0223</t>
        </is>
      </c>
      <c r="C5224" t="n">
        <v>3</v>
      </c>
      <c r="D5224" t="inlineStr">
        <is>
          <t>Hub B</t>
        </is>
      </c>
      <c r="E5224" t="n">
        <v>39</v>
      </c>
      <c r="F5224" t="n">
        <v>22</v>
      </c>
    </row>
    <row r="5225">
      <c r="A5225" t="inlineStr">
        <is>
          <t>ORD05224</t>
        </is>
      </c>
      <c r="B5225" t="inlineStr">
        <is>
          <t>C0224</t>
        </is>
      </c>
      <c r="C5225" t="n">
        <v>1</v>
      </c>
      <c r="D5225" t="inlineStr">
        <is>
          <t>Hub B</t>
        </is>
      </c>
      <c r="E5225" t="n">
        <v>46</v>
      </c>
      <c r="F5225" t="n">
        <v>22</v>
      </c>
    </row>
    <row r="5226">
      <c r="A5226" t="inlineStr">
        <is>
          <t>ORD05225</t>
        </is>
      </c>
      <c r="B5226" t="inlineStr">
        <is>
          <t>C0225</t>
        </is>
      </c>
      <c r="C5226" t="n">
        <v>2</v>
      </c>
      <c r="D5226" t="inlineStr">
        <is>
          <t>Hub B</t>
        </is>
      </c>
      <c r="E5226" t="n">
        <v>53</v>
      </c>
      <c r="F5226" t="n">
        <v>22</v>
      </c>
    </row>
    <row r="5227">
      <c r="A5227" t="inlineStr">
        <is>
          <t>ORD05226</t>
        </is>
      </c>
      <c r="B5227" t="inlineStr">
        <is>
          <t>C0226</t>
        </is>
      </c>
      <c r="C5227" t="n">
        <v>3</v>
      </c>
      <c r="D5227" t="inlineStr">
        <is>
          <t>Hub B</t>
        </is>
      </c>
      <c r="E5227" t="n">
        <v>60</v>
      </c>
      <c r="F5227" t="n">
        <v>22</v>
      </c>
    </row>
    <row r="5228">
      <c r="A5228" t="inlineStr">
        <is>
          <t>ORD05227</t>
        </is>
      </c>
      <c r="B5228" t="inlineStr">
        <is>
          <t>C0227</t>
        </is>
      </c>
      <c r="C5228" t="n">
        <v>1</v>
      </c>
      <c r="D5228" t="inlineStr">
        <is>
          <t>Hub B</t>
        </is>
      </c>
      <c r="E5228" t="n">
        <v>67</v>
      </c>
      <c r="F5228" t="n">
        <v>22</v>
      </c>
    </row>
    <row r="5229">
      <c r="A5229" t="inlineStr">
        <is>
          <t>ORD05228</t>
        </is>
      </c>
      <c r="B5229" t="inlineStr">
        <is>
          <t>C0228</t>
        </is>
      </c>
      <c r="C5229" t="n">
        <v>2</v>
      </c>
      <c r="D5229" t="inlineStr">
        <is>
          <t>Hub B</t>
        </is>
      </c>
      <c r="E5229" t="n">
        <v>74</v>
      </c>
      <c r="F5229" t="n">
        <v>22</v>
      </c>
    </row>
    <row r="5230">
      <c r="A5230" t="inlineStr">
        <is>
          <t>ORD05229</t>
        </is>
      </c>
      <c r="B5230" t="inlineStr">
        <is>
          <t>C0229</t>
        </is>
      </c>
      <c r="C5230" t="n">
        <v>3</v>
      </c>
      <c r="D5230" t="inlineStr">
        <is>
          <t>Hub B</t>
        </is>
      </c>
      <c r="E5230" t="n">
        <v>21</v>
      </c>
      <c r="F5230" t="n">
        <v>22</v>
      </c>
    </row>
    <row r="5231">
      <c r="A5231" t="inlineStr">
        <is>
          <t>ORD05230</t>
        </is>
      </c>
      <c r="B5231" t="inlineStr">
        <is>
          <t>C0230</t>
        </is>
      </c>
      <c r="C5231" t="n">
        <v>1</v>
      </c>
      <c r="D5231" t="inlineStr">
        <is>
          <t>Hub B</t>
        </is>
      </c>
      <c r="E5231" t="n">
        <v>28</v>
      </c>
      <c r="F5231" t="n">
        <v>22</v>
      </c>
    </row>
    <row r="5232">
      <c r="A5232" t="inlineStr">
        <is>
          <t>ORD05231</t>
        </is>
      </c>
      <c r="B5232" t="inlineStr">
        <is>
          <t>C0231</t>
        </is>
      </c>
      <c r="C5232" t="n">
        <v>2</v>
      </c>
      <c r="D5232" t="inlineStr">
        <is>
          <t>Hub B</t>
        </is>
      </c>
      <c r="E5232" t="n">
        <v>35</v>
      </c>
      <c r="F5232" t="n">
        <v>22</v>
      </c>
    </row>
    <row r="5233">
      <c r="A5233" t="inlineStr">
        <is>
          <t>ORD05232</t>
        </is>
      </c>
      <c r="B5233" t="inlineStr">
        <is>
          <t>C0232</t>
        </is>
      </c>
      <c r="C5233" t="n">
        <v>3</v>
      </c>
      <c r="D5233" t="inlineStr">
        <is>
          <t>Hub B</t>
        </is>
      </c>
      <c r="E5233" t="n">
        <v>42</v>
      </c>
      <c r="F5233" t="n">
        <v>22</v>
      </c>
    </row>
    <row r="5234">
      <c r="A5234" t="inlineStr">
        <is>
          <t>ORD05233</t>
        </is>
      </c>
      <c r="B5234" t="inlineStr">
        <is>
          <t>C0233</t>
        </is>
      </c>
      <c r="C5234" t="n">
        <v>1</v>
      </c>
      <c r="D5234" t="inlineStr">
        <is>
          <t>Hub B</t>
        </is>
      </c>
      <c r="E5234" t="n">
        <v>49</v>
      </c>
      <c r="F5234" t="n">
        <v>22</v>
      </c>
    </row>
    <row r="5235">
      <c r="A5235" t="inlineStr">
        <is>
          <t>ORD05234</t>
        </is>
      </c>
      <c r="B5235" t="inlineStr">
        <is>
          <t>C0234</t>
        </is>
      </c>
      <c r="C5235" t="n">
        <v>2</v>
      </c>
      <c r="D5235" t="inlineStr">
        <is>
          <t>Hub B</t>
        </is>
      </c>
      <c r="E5235" t="n">
        <v>56</v>
      </c>
      <c r="F5235" t="n">
        <v>22</v>
      </c>
    </row>
    <row r="5236">
      <c r="A5236" t="inlineStr">
        <is>
          <t>ORD05235</t>
        </is>
      </c>
      <c r="B5236" t="inlineStr">
        <is>
          <t>C0235</t>
        </is>
      </c>
      <c r="C5236" t="n">
        <v>3</v>
      </c>
      <c r="D5236" t="inlineStr">
        <is>
          <t>Hub B</t>
        </is>
      </c>
      <c r="E5236" t="n">
        <v>63</v>
      </c>
      <c r="F5236" t="n">
        <v>22</v>
      </c>
    </row>
    <row r="5237">
      <c r="A5237" t="inlineStr">
        <is>
          <t>ORD05236</t>
        </is>
      </c>
      <c r="B5237" t="inlineStr">
        <is>
          <t>C0236</t>
        </is>
      </c>
      <c r="C5237" t="n">
        <v>1</v>
      </c>
      <c r="D5237" t="inlineStr">
        <is>
          <t>Hub B</t>
        </is>
      </c>
      <c r="E5237" t="n">
        <v>70</v>
      </c>
      <c r="F5237" t="n">
        <v>22</v>
      </c>
    </row>
    <row r="5238">
      <c r="A5238" t="inlineStr">
        <is>
          <t>ORD05237</t>
        </is>
      </c>
      <c r="B5238" t="inlineStr">
        <is>
          <t>C0237</t>
        </is>
      </c>
      <c r="C5238" t="n">
        <v>2</v>
      </c>
      <c r="D5238" t="inlineStr">
        <is>
          <t>Hub B</t>
        </is>
      </c>
      <c r="E5238" t="n">
        <v>77</v>
      </c>
      <c r="F5238" t="n">
        <v>22</v>
      </c>
    </row>
    <row r="5239">
      <c r="A5239" t="inlineStr">
        <is>
          <t>ORD05238</t>
        </is>
      </c>
      <c r="B5239" t="inlineStr">
        <is>
          <t>C0238</t>
        </is>
      </c>
      <c r="C5239" t="n">
        <v>3</v>
      </c>
      <c r="D5239" t="inlineStr">
        <is>
          <t>Hub B</t>
        </is>
      </c>
      <c r="E5239" t="n">
        <v>24</v>
      </c>
      <c r="F5239" t="n">
        <v>22</v>
      </c>
    </row>
    <row r="5240">
      <c r="A5240" t="inlineStr">
        <is>
          <t>ORD05239</t>
        </is>
      </c>
      <c r="B5240" t="inlineStr">
        <is>
          <t>C0239</t>
        </is>
      </c>
      <c r="C5240" t="n">
        <v>1</v>
      </c>
      <c r="D5240" t="inlineStr">
        <is>
          <t>Hub B</t>
        </is>
      </c>
      <c r="E5240" t="n">
        <v>31</v>
      </c>
      <c r="F5240" t="n">
        <v>22</v>
      </c>
    </row>
    <row r="5241">
      <c r="A5241" t="inlineStr">
        <is>
          <t>ORD05240</t>
        </is>
      </c>
      <c r="B5241" t="inlineStr">
        <is>
          <t>C0240</t>
        </is>
      </c>
      <c r="C5241" t="n">
        <v>2</v>
      </c>
      <c r="D5241" t="inlineStr">
        <is>
          <t>Hub B</t>
        </is>
      </c>
      <c r="E5241" t="n">
        <v>38</v>
      </c>
      <c r="F5241" t="n">
        <v>22</v>
      </c>
    </row>
    <row r="5242">
      <c r="A5242" t="inlineStr">
        <is>
          <t>ORD05241</t>
        </is>
      </c>
      <c r="B5242" t="inlineStr">
        <is>
          <t>C0241</t>
        </is>
      </c>
      <c r="C5242" t="n">
        <v>3</v>
      </c>
      <c r="D5242" t="inlineStr">
        <is>
          <t>Hub B</t>
        </is>
      </c>
      <c r="E5242" t="n">
        <v>45</v>
      </c>
      <c r="F5242" t="n">
        <v>22</v>
      </c>
    </row>
    <row r="5243">
      <c r="A5243" t="inlineStr">
        <is>
          <t>ORD05242</t>
        </is>
      </c>
      <c r="B5243" t="inlineStr">
        <is>
          <t>C0242</t>
        </is>
      </c>
      <c r="C5243" t="n">
        <v>1</v>
      </c>
      <c r="D5243" t="inlineStr">
        <is>
          <t>Hub B</t>
        </is>
      </c>
      <c r="E5243" t="n">
        <v>52</v>
      </c>
      <c r="F5243" t="n">
        <v>22</v>
      </c>
    </row>
    <row r="5244">
      <c r="A5244" t="inlineStr">
        <is>
          <t>ORD05243</t>
        </is>
      </c>
      <c r="B5244" t="inlineStr">
        <is>
          <t>C0243</t>
        </is>
      </c>
      <c r="C5244" t="n">
        <v>2</v>
      </c>
      <c r="D5244" t="inlineStr">
        <is>
          <t>Hub B</t>
        </is>
      </c>
      <c r="E5244" t="n">
        <v>59</v>
      </c>
      <c r="F5244" t="n">
        <v>22</v>
      </c>
    </row>
    <row r="5245">
      <c r="A5245" t="inlineStr">
        <is>
          <t>ORD05244</t>
        </is>
      </c>
      <c r="B5245" t="inlineStr">
        <is>
          <t>C0244</t>
        </is>
      </c>
      <c r="C5245" t="n">
        <v>3</v>
      </c>
      <c r="D5245" t="inlineStr">
        <is>
          <t>Hub B</t>
        </is>
      </c>
      <c r="E5245" t="n">
        <v>66</v>
      </c>
      <c r="F5245" t="n">
        <v>22</v>
      </c>
    </row>
    <row r="5246">
      <c r="A5246" t="inlineStr">
        <is>
          <t>ORD05245</t>
        </is>
      </c>
      <c r="B5246" t="inlineStr">
        <is>
          <t>C0245</t>
        </is>
      </c>
      <c r="C5246" t="n">
        <v>1</v>
      </c>
      <c r="D5246" t="inlineStr">
        <is>
          <t>Hub B</t>
        </is>
      </c>
      <c r="E5246" t="n">
        <v>73</v>
      </c>
      <c r="F5246" t="n">
        <v>22</v>
      </c>
    </row>
    <row r="5247">
      <c r="A5247" t="inlineStr">
        <is>
          <t>ORD05246</t>
        </is>
      </c>
      <c r="B5247" t="inlineStr">
        <is>
          <t>C0246</t>
        </is>
      </c>
      <c r="C5247" t="n">
        <v>2</v>
      </c>
      <c r="D5247" t="inlineStr">
        <is>
          <t>Hub B</t>
        </is>
      </c>
      <c r="E5247" t="n">
        <v>20</v>
      </c>
      <c r="F5247" t="n">
        <v>22</v>
      </c>
    </row>
    <row r="5248">
      <c r="A5248" t="inlineStr">
        <is>
          <t>ORD05247</t>
        </is>
      </c>
      <c r="B5248" t="inlineStr">
        <is>
          <t>C0247</t>
        </is>
      </c>
      <c r="C5248" t="n">
        <v>3</v>
      </c>
      <c r="D5248" t="inlineStr">
        <is>
          <t>Hub B</t>
        </is>
      </c>
      <c r="E5248" t="n">
        <v>27</v>
      </c>
      <c r="F5248" t="n">
        <v>22</v>
      </c>
    </row>
    <row r="5249">
      <c r="A5249" t="inlineStr">
        <is>
          <t>ORD05248</t>
        </is>
      </c>
      <c r="B5249" t="inlineStr">
        <is>
          <t>C0248</t>
        </is>
      </c>
      <c r="C5249" t="n">
        <v>1</v>
      </c>
      <c r="D5249" t="inlineStr">
        <is>
          <t>Hub B</t>
        </is>
      </c>
      <c r="E5249" t="n">
        <v>34</v>
      </c>
      <c r="F5249" t="n">
        <v>22</v>
      </c>
    </row>
    <row r="5250">
      <c r="A5250" t="inlineStr">
        <is>
          <t>ORD05249</t>
        </is>
      </c>
      <c r="B5250" t="inlineStr">
        <is>
          <t>C0249</t>
        </is>
      </c>
      <c r="C5250" t="n">
        <v>2</v>
      </c>
      <c r="D5250" t="inlineStr">
        <is>
          <t>Hub B</t>
        </is>
      </c>
      <c r="E5250" t="n">
        <v>41</v>
      </c>
      <c r="F5250" t="n">
        <v>22</v>
      </c>
    </row>
    <row r="5251">
      <c r="A5251" t="inlineStr">
        <is>
          <t>ORD05250</t>
        </is>
      </c>
      <c r="B5251" t="inlineStr">
        <is>
          <t>C0250</t>
        </is>
      </c>
      <c r="C5251" t="n">
        <v>3</v>
      </c>
      <c r="D5251" t="inlineStr">
        <is>
          <t>Hub B</t>
        </is>
      </c>
      <c r="E5251" t="n">
        <v>48</v>
      </c>
      <c r="F5251" t="n">
        <v>22</v>
      </c>
    </row>
    <row r="5252">
      <c r="A5252" t="inlineStr">
        <is>
          <t>ORD05251</t>
        </is>
      </c>
      <c r="B5252" t="inlineStr">
        <is>
          <t>C0251</t>
        </is>
      </c>
      <c r="C5252" t="n">
        <v>1</v>
      </c>
      <c r="D5252" t="inlineStr">
        <is>
          <t>Hub B</t>
        </is>
      </c>
      <c r="E5252" t="n">
        <v>55</v>
      </c>
      <c r="F5252" t="n">
        <v>22</v>
      </c>
    </row>
    <row r="5253">
      <c r="A5253" t="inlineStr">
        <is>
          <t>ORD05252</t>
        </is>
      </c>
      <c r="B5253" t="inlineStr">
        <is>
          <t>C0252</t>
        </is>
      </c>
      <c r="C5253" t="n">
        <v>2</v>
      </c>
      <c r="D5253" t="inlineStr">
        <is>
          <t>Hub B</t>
        </is>
      </c>
      <c r="E5253" t="n">
        <v>62</v>
      </c>
      <c r="F5253" t="n">
        <v>22</v>
      </c>
    </row>
    <row r="5254">
      <c r="A5254" t="inlineStr">
        <is>
          <t>ORD05253</t>
        </is>
      </c>
      <c r="B5254" t="inlineStr">
        <is>
          <t>C0253</t>
        </is>
      </c>
      <c r="C5254" t="n">
        <v>3</v>
      </c>
      <c r="D5254" t="inlineStr">
        <is>
          <t>Hub B</t>
        </is>
      </c>
      <c r="E5254" t="n">
        <v>69</v>
      </c>
      <c r="F5254" t="n">
        <v>22</v>
      </c>
    </row>
    <row r="5255">
      <c r="A5255" t="inlineStr">
        <is>
          <t>ORD05254</t>
        </is>
      </c>
      <c r="B5255" t="inlineStr">
        <is>
          <t>C0254</t>
        </is>
      </c>
      <c r="C5255" t="n">
        <v>1</v>
      </c>
      <c r="D5255" t="inlineStr">
        <is>
          <t>Hub B</t>
        </is>
      </c>
      <c r="E5255" t="n">
        <v>76</v>
      </c>
      <c r="F5255" t="n">
        <v>22</v>
      </c>
    </row>
    <row r="5256">
      <c r="A5256" t="inlineStr">
        <is>
          <t>ORD05255</t>
        </is>
      </c>
      <c r="B5256" t="inlineStr">
        <is>
          <t>C0255</t>
        </is>
      </c>
      <c r="C5256" t="n">
        <v>2</v>
      </c>
      <c r="D5256" t="inlineStr">
        <is>
          <t>Hub B</t>
        </is>
      </c>
      <c r="E5256" t="n">
        <v>23</v>
      </c>
      <c r="F5256" t="n">
        <v>22</v>
      </c>
    </row>
    <row r="5257">
      <c r="A5257" t="inlineStr">
        <is>
          <t>ORD05256</t>
        </is>
      </c>
      <c r="B5257" t="inlineStr">
        <is>
          <t>C0256</t>
        </is>
      </c>
      <c r="C5257" t="n">
        <v>3</v>
      </c>
      <c r="D5257" t="inlineStr">
        <is>
          <t>Hub B</t>
        </is>
      </c>
      <c r="E5257" t="n">
        <v>30</v>
      </c>
      <c r="F5257" t="n">
        <v>22</v>
      </c>
    </row>
    <row r="5258">
      <c r="A5258" t="inlineStr">
        <is>
          <t>ORD05257</t>
        </is>
      </c>
      <c r="B5258" t="inlineStr">
        <is>
          <t>C0257</t>
        </is>
      </c>
      <c r="C5258" t="n">
        <v>1</v>
      </c>
      <c r="D5258" t="inlineStr">
        <is>
          <t>Hub B</t>
        </is>
      </c>
      <c r="E5258" t="n">
        <v>37</v>
      </c>
      <c r="F5258" t="n">
        <v>22</v>
      </c>
    </row>
    <row r="5259">
      <c r="A5259" t="inlineStr">
        <is>
          <t>ORD05258</t>
        </is>
      </c>
      <c r="B5259" t="inlineStr">
        <is>
          <t>C0258</t>
        </is>
      </c>
      <c r="C5259" t="n">
        <v>2</v>
      </c>
      <c r="D5259" t="inlineStr">
        <is>
          <t>Hub B</t>
        </is>
      </c>
      <c r="E5259" t="n">
        <v>44</v>
      </c>
      <c r="F5259" t="n">
        <v>22</v>
      </c>
    </row>
    <row r="5260">
      <c r="A5260" t="inlineStr">
        <is>
          <t>ORD05259</t>
        </is>
      </c>
      <c r="B5260" t="inlineStr">
        <is>
          <t>C0259</t>
        </is>
      </c>
      <c r="C5260" t="n">
        <v>3</v>
      </c>
      <c r="D5260" t="inlineStr">
        <is>
          <t>Hub B</t>
        </is>
      </c>
      <c r="E5260" t="n">
        <v>51</v>
      </c>
      <c r="F5260" t="n">
        <v>22</v>
      </c>
    </row>
    <row r="5261">
      <c r="A5261" t="inlineStr">
        <is>
          <t>ORD05260</t>
        </is>
      </c>
      <c r="B5261" t="inlineStr">
        <is>
          <t>C0260</t>
        </is>
      </c>
      <c r="C5261" t="n">
        <v>1</v>
      </c>
      <c r="D5261" t="inlineStr">
        <is>
          <t>Hub B</t>
        </is>
      </c>
      <c r="E5261" t="n">
        <v>58</v>
      </c>
      <c r="F5261" t="n">
        <v>22</v>
      </c>
    </row>
    <row r="5262">
      <c r="A5262" t="inlineStr">
        <is>
          <t>ORD05261</t>
        </is>
      </c>
      <c r="B5262" t="inlineStr">
        <is>
          <t>C0261</t>
        </is>
      </c>
      <c r="C5262" t="n">
        <v>2</v>
      </c>
      <c r="D5262" t="inlineStr">
        <is>
          <t>Hub B</t>
        </is>
      </c>
      <c r="E5262" t="n">
        <v>65</v>
      </c>
      <c r="F5262" t="n">
        <v>22</v>
      </c>
    </row>
    <row r="5263">
      <c r="A5263" t="inlineStr">
        <is>
          <t>ORD05262</t>
        </is>
      </c>
      <c r="B5263" t="inlineStr">
        <is>
          <t>C0262</t>
        </is>
      </c>
      <c r="C5263" t="n">
        <v>3</v>
      </c>
      <c r="D5263" t="inlineStr">
        <is>
          <t>Hub B</t>
        </is>
      </c>
      <c r="E5263" t="n">
        <v>72</v>
      </c>
      <c r="F5263" t="n">
        <v>22</v>
      </c>
    </row>
    <row r="5264">
      <c r="A5264" t="inlineStr">
        <is>
          <t>ORD05263</t>
        </is>
      </c>
      <c r="B5264" t="inlineStr">
        <is>
          <t>C0263</t>
        </is>
      </c>
      <c r="C5264" t="n">
        <v>1</v>
      </c>
      <c r="D5264" t="inlineStr">
        <is>
          <t>Hub B</t>
        </is>
      </c>
      <c r="E5264" t="n">
        <v>19</v>
      </c>
      <c r="F5264" t="n">
        <v>22</v>
      </c>
    </row>
    <row r="5265">
      <c r="A5265" t="inlineStr">
        <is>
          <t>ORD05264</t>
        </is>
      </c>
      <c r="B5265" t="inlineStr">
        <is>
          <t>C0264</t>
        </is>
      </c>
      <c r="C5265" t="n">
        <v>2</v>
      </c>
      <c r="D5265" t="inlineStr">
        <is>
          <t>Hub B</t>
        </is>
      </c>
      <c r="E5265" t="n">
        <v>26</v>
      </c>
      <c r="F5265" t="n">
        <v>22</v>
      </c>
    </row>
    <row r="5266">
      <c r="A5266" t="inlineStr">
        <is>
          <t>ORD05265</t>
        </is>
      </c>
      <c r="B5266" t="inlineStr">
        <is>
          <t>C0265</t>
        </is>
      </c>
      <c r="C5266" t="n">
        <v>3</v>
      </c>
      <c r="D5266" t="inlineStr">
        <is>
          <t>Hub B</t>
        </is>
      </c>
      <c r="E5266" t="n">
        <v>33</v>
      </c>
      <c r="F5266" t="n">
        <v>22</v>
      </c>
    </row>
    <row r="5267">
      <c r="A5267" t="inlineStr">
        <is>
          <t>ORD05266</t>
        </is>
      </c>
      <c r="B5267" t="inlineStr">
        <is>
          <t>C0266</t>
        </is>
      </c>
      <c r="C5267" t="n">
        <v>1</v>
      </c>
      <c r="D5267" t="inlineStr">
        <is>
          <t>Hub B</t>
        </is>
      </c>
      <c r="E5267" t="n">
        <v>40</v>
      </c>
      <c r="F5267" t="n">
        <v>22</v>
      </c>
    </row>
    <row r="5268">
      <c r="A5268" t="inlineStr">
        <is>
          <t>ORD05267</t>
        </is>
      </c>
      <c r="B5268" t="inlineStr">
        <is>
          <t>C0267</t>
        </is>
      </c>
      <c r="C5268" t="n">
        <v>2</v>
      </c>
      <c r="D5268" t="inlineStr">
        <is>
          <t>Hub B</t>
        </is>
      </c>
      <c r="E5268" t="n">
        <v>47</v>
      </c>
      <c r="F5268" t="n">
        <v>22</v>
      </c>
    </row>
    <row r="5269">
      <c r="A5269" t="inlineStr">
        <is>
          <t>ORD05268</t>
        </is>
      </c>
      <c r="B5269" t="inlineStr">
        <is>
          <t>C0268</t>
        </is>
      </c>
      <c r="C5269" t="n">
        <v>3</v>
      </c>
      <c r="D5269" t="inlineStr">
        <is>
          <t>Hub B</t>
        </is>
      </c>
      <c r="E5269" t="n">
        <v>54</v>
      </c>
      <c r="F5269" t="n">
        <v>22</v>
      </c>
    </row>
    <row r="5270">
      <c r="A5270" t="inlineStr">
        <is>
          <t>ORD05269</t>
        </is>
      </c>
      <c r="B5270" t="inlineStr">
        <is>
          <t>C0269</t>
        </is>
      </c>
      <c r="C5270" t="n">
        <v>1</v>
      </c>
      <c r="D5270" t="inlineStr">
        <is>
          <t>Hub B</t>
        </is>
      </c>
      <c r="E5270" t="n">
        <v>61</v>
      </c>
      <c r="F5270" t="n">
        <v>22</v>
      </c>
    </row>
    <row r="5271">
      <c r="A5271" t="inlineStr">
        <is>
          <t>ORD05270</t>
        </is>
      </c>
      <c r="B5271" t="inlineStr">
        <is>
          <t>C0270</t>
        </is>
      </c>
      <c r="C5271" t="n">
        <v>2</v>
      </c>
      <c r="D5271" t="inlineStr">
        <is>
          <t>Hub B</t>
        </is>
      </c>
      <c r="E5271" t="n">
        <v>68</v>
      </c>
      <c r="F5271" t="n">
        <v>22</v>
      </c>
    </row>
    <row r="5272">
      <c r="A5272" t="inlineStr">
        <is>
          <t>ORD05271</t>
        </is>
      </c>
      <c r="B5272" t="inlineStr">
        <is>
          <t>C0271</t>
        </is>
      </c>
      <c r="C5272" t="n">
        <v>3</v>
      </c>
      <c r="D5272" t="inlineStr">
        <is>
          <t>Hub B</t>
        </is>
      </c>
      <c r="E5272" t="n">
        <v>75</v>
      </c>
      <c r="F5272" t="n">
        <v>22</v>
      </c>
    </row>
    <row r="5273">
      <c r="A5273" t="inlineStr">
        <is>
          <t>ORD05272</t>
        </is>
      </c>
      <c r="B5273" t="inlineStr">
        <is>
          <t>C0272</t>
        </is>
      </c>
      <c r="C5273" t="n">
        <v>1</v>
      </c>
      <c r="D5273" t="inlineStr">
        <is>
          <t>Hub B</t>
        </is>
      </c>
      <c r="E5273" t="n">
        <v>22</v>
      </c>
      <c r="F5273" t="n">
        <v>22</v>
      </c>
    </row>
    <row r="5274">
      <c r="A5274" t="inlineStr">
        <is>
          <t>ORD05273</t>
        </is>
      </c>
      <c r="B5274" t="inlineStr">
        <is>
          <t>C0273</t>
        </is>
      </c>
      <c r="C5274" t="n">
        <v>2</v>
      </c>
      <c r="D5274" t="inlineStr">
        <is>
          <t>Hub B</t>
        </is>
      </c>
      <c r="E5274" t="n">
        <v>29</v>
      </c>
      <c r="F5274" t="n">
        <v>22</v>
      </c>
    </row>
    <row r="5275">
      <c r="A5275" t="inlineStr">
        <is>
          <t>ORD05274</t>
        </is>
      </c>
      <c r="B5275" t="inlineStr">
        <is>
          <t>C0274</t>
        </is>
      </c>
      <c r="C5275" t="n">
        <v>3</v>
      </c>
      <c r="D5275" t="inlineStr">
        <is>
          <t>Hub B</t>
        </is>
      </c>
      <c r="E5275" t="n">
        <v>36</v>
      </c>
      <c r="F5275" t="n">
        <v>22</v>
      </c>
    </row>
    <row r="5276">
      <c r="A5276" t="inlineStr">
        <is>
          <t>ORD05275</t>
        </is>
      </c>
      <c r="B5276" t="inlineStr">
        <is>
          <t>C0275</t>
        </is>
      </c>
      <c r="C5276" t="n">
        <v>1</v>
      </c>
      <c r="D5276" t="inlineStr">
        <is>
          <t>Hub B</t>
        </is>
      </c>
      <c r="E5276" t="n">
        <v>43</v>
      </c>
      <c r="F5276" t="n">
        <v>22</v>
      </c>
    </row>
    <row r="5277">
      <c r="A5277" t="inlineStr">
        <is>
          <t>ORD05276</t>
        </is>
      </c>
      <c r="B5277" t="inlineStr">
        <is>
          <t>C0276</t>
        </is>
      </c>
      <c r="C5277" t="n">
        <v>2</v>
      </c>
      <c r="D5277" t="inlineStr">
        <is>
          <t>Hub B</t>
        </is>
      </c>
      <c r="E5277" t="n">
        <v>50</v>
      </c>
      <c r="F5277" t="n">
        <v>22</v>
      </c>
    </row>
    <row r="5278">
      <c r="A5278" t="inlineStr">
        <is>
          <t>ORD05277</t>
        </is>
      </c>
      <c r="B5278" t="inlineStr">
        <is>
          <t>C0277</t>
        </is>
      </c>
      <c r="C5278" t="n">
        <v>3</v>
      </c>
      <c r="D5278" t="inlineStr">
        <is>
          <t>Hub B</t>
        </is>
      </c>
      <c r="E5278" t="n">
        <v>57</v>
      </c>
      <c r="F5278" t="n">
        <v>22</v>
      </c>
    </row>
    <row r="5279">
      <c r="A5279" t="inlineStr">
        <is>
          <t>ORD05278</t>
        </is>
      </c>
      <c r="B5279" t="inlineStr">
        <is>
          <t>C0278</t>
        </is>
      </c>
      <c r="C5279" t="n">
        <v>1</v>
      </c>
      <c r="D5279" t="inlineStr">
        <is>
          <t>Hub B</t>
        </is>
      </c>
      <c r="E5279" t="n">
        <v>64</v>
      </c>
      <c r="F5279" t="n">
        <v>22</v>
      </c>
    </row>
    <row r="5280">
      <c r="A5280" t="inlineStr">
        <is>
          <t>ORD05279</t>
        </is>
      </c>
      <c r="B5280" t="inlineStr">
        <is>
          <t>C0279</t>
        </is>
      </c>
      <c r="C5280" t="n">
        <v>2</v>
      </c>
      <c r="D5280" t="inlineStr">
        <is>
          <t>Hub B</t>
        </is>
      </c>
      <c r="E5280" t="n">
        <v>71</v>
      </c>
      <c r="F5280" t="n">
        <v>22</v>
      </c>
    </row>
    <row r="5281">
      <c r="A5281" t="inlineStr">
        <is>
          <t>ORD05280</t>
        </is>
      </c>
      <c r="B5281" t="inlineStr">
        <is>
          <t>C0280</t>
        </is>
      </c>
      <c r="C5281" t="n">
        <v>3</v>
      </c>
      <c r="D5281" t="inlineStr">
        <is>
          <t>Hub B</t>
        </is>
      </c>
      <c r="E5281" t="n">
        <v>18</v>
      </c>
      <c r="F5281" t="n">
        <v>22</v>
      </c>
    </row>
    <row r="5282">
      <c r="A5282" t="inlineStr">
        <is>
          <t>ORD05281</t>
        </is>
      </c>
      <c r="B5282" t="inlineStr">
        <is>
          <t>C0281</t>
        </is>
      </c>
      <c r="C5282" t="n">
        <v>1</v>
      </c>
      <c r="D5282" t="inlineStr">
        <is>
          <t>Hub B</t>
        </is>
      </c>
      <c r="E5282" t="n">
        <v>25</v>
      </c>
      <c r="F5282" t="n">
        <v>22</v>
      </c>
    </row>
    <row r="5283">
      <c r="A5283" t="inlineStr">
        <is>
          <t>ORD05282</t>
        </is>
      </c>
      <c r="B5283" t="inlineStr">
        <is>
          <t>C0282</t>
        </is>
      </c>
      <c r="C5283" t="n">
        <v>2</v>
      </c>
      <c r="D5283" t="inlineStr">
        <is>
          <t>Hub B</t>
        </is>
      </c>
      <c r="E5283" t="n">
        <v>32</v>
      </c>
      <c r="F5283" t="n">
        <v>22</v>
      </c>
    </row>
    <row r="5284">
      <c r="A5284" t="inlineStr">
        <is>
          <t>ORD05283</t>
        </is>
      </c>
      <c r="B5284" t="inlineStr">
        <is>
          <t>C0283</t>
        </is>
      </c>
      <c r="C5284" t="n">
        <v>3</v>
      </c>
      <c r="D5284" t="inlineStr">
        <is>
          <t>Hub B</t>
        </is>
      </c>
      <c r="E5284" t="n">
        <v>39</v>
      </c>
      <c r="F5284" t="n">
        <v>22</v>
      </c>
    </row>
    <row r="5285">
      <c r="A5285" t="inlineStr">
        <is>
          <t>ORD05284</t>
        </is>
      </c>
      <c r="B5285" t="inlineStr">
        <is>
          <t>C0284</t>
        </is>
      </c>
      <c r="C5285" t="n">
        <v>1</v>
      </c>
      <c r="D5285" t="inlineStr">
        <is>
          <t>Hub B</t>
        </is>
      </c>
      <c r="E5285" t="n">
        <v>46</v>
      </c>
      <c r="F5285" t="n">
        <v>22</v>
      </c>
    </row>
    <row r="5286">
      <c r="A5286" t="inlineStr">
        <is>
          <t>ORD05285</t>
        </is>
      </c>
      <c r="B5286" t="inlineStr">
        <is>
          <t>C0285</t>
        </is>
      </c>
      <c r="C5286" t="n">
        <v>2</v>
      </c>
      <c r="D5286" t="inlineStr">
        <is>
          <t>Hub B</t>
        </is>
      </c>
      <c r="E5286" t="n">
        <v>53</v>
      </c>
      <c r="F5286" t="n">
        <v>22</v>
      </c>
    </row>
    <row r="5287">
      <c r="A5287" t="inlineStr">
        <is>
          <t>ORD05286</t>
        </is>
      </c>
      <c r="B5287" t="inlineStr">
        <is>
          <t>C0286</t>
        </is>
      </c>
      <c r="C5287" t="n">
        <v>3</v>
      </c>
      <c r="D5287" t="inlineStr">
        <is>
          <t>Hub B</t>
        </is>
      </c>
      <c r="E5287" t="n">
        <v>60</v>
      </c>
      <c r="F5287" t="n">
        <v>22</v>
      </c>
    </row>
    <row r="5288">
      <c r="A5288" t="inlineStr">
        <is>
          <t>ORD05287</t>
        </is>
      </c>
      <c r="B5288" t="inlineStr">
        <is>
          <t>C0287</t>
        </is>
      </c>
      <c r="C5288" t="n">
        <v>1</v>
      </c>
      <c r="D5288" t="inlineStr">
        <is>
          <t>Hub B</t>
        </is>
      </c>
      <c r="E5288" t="n">
        <v>67</v>
      </c>
      <c r="F5288" t="n">
        <v>22</v>
      </c>
    </row>
    <row r="5289">
      <c r="A5289" t="inlineStr">
        <is>
          <t>ORD05288</t>
        </is>
      </c>
      <c r="B5289" t="inlineStr">
        <is>
          <t>C0288</t>
        </is>
      </c>
      <c r="C5289" t="n">
        <v>2</v>
      </c>
      <c r="D5289" t="inlineStr">
        <is>
          <t>Hub B</t>
        </is>
      </c>
      <c r="E5289" t="n">
        <v>74</v>
      </c>
      <c r="F5289" t="n">
        <v>22</v>
      </c>
    </row>
    <row r="5290">
      <c r="A5290" t="inlineStr">
        <is>
          <t>ORD05289</t>
        </is>
      </c>
      <c r="B5290" t="inlineStr">
        <is>
          <t>C0289</t>
        </is>
      </c>
      <c r="C5290" t="n">
        <v>3</v>
      </c>
      <c r="D5290" t="inlineStr">
        <is>
          <t>Hub B</t>
        </is>
      </c>
      <c r="E5290" t="n">
        <v>21</v>
      </c>
      <c r="F5290" t="n">
        <v>22</v>
      </c>
    </row>
    <row r="5291">
      <c r="A5291" t="inlineStr">
        <is>
          <t>ORD05290</t>
        </is>
      </c>
      <c r="B5291" t="inlineStr">
        <is>
          <t>C0290</t>
        </is>
      </c>
      <c r="C5291" t="n">
        <v>1</v>
      </c>
      <c r="D5291" t="inlineStr">
        <is>
          <t>Hub B</t>
        </is>
      </c>
      <c r="E5291" t="n">
        <v>28</v>
      </c>
      <c r="F5291" t="n">
        <v>22</v>
      </c>
    </row>
    <row r="5292">
      <c r="A5292" t="inlineStr">
        <is>
          <t>ORD05291</t>
        </is>
      </c>
      <c r="B5292" t="inlineStr">
        <is>
          <t>C0291</t>
        </is>
      </c>
      <c r="C5292" t="n">
        <v>2</v>
      </c>
      <c r="D5292" t="inlineStr">
        <is>
          <t>Hub B</t>
        </is>
      </c>
      <c r="E5292" t="n">
        <v>35</v>
      </c>
      <c r="F5292" t="n">
        <v>22</v>
      </c>
    </row>
    <row r="5293">
      <c r="A5293" t="inlineStr">
        <is>
          <t>ORD05292</t>
        </is>
      </c>
      <c r="B5293" t="inlineStr">
        <is>
          <t>C0292</t>
        </is>
      </c>
      <c r="C5293" t="n">
        <v>3</v>
      </c>
      <c r="D5293" t="inlineStr">
        <is>
          <t>Hub B</t>
        </is>
      </c>
      <c r="E5293" t="n">
        <v>42</v>
      </c>
      <c r="F5293" t="n">
        <v>22</v>
      </c>
    </row>
    <row r="5294">
      <c r="A5294" t="inlineStr">
        <is>
          <t>ORD05293</t>
        </is>
      </c>
      <c r="B5294" t="inlineStr">
        <is>
          <t>C0293</t>
        </is>
      </c>
      <c r="C5294" t="n">
        <v>1</v>
      </c>
      <c r="D5294" t="inlineStr">
        <is>
          <t>Hub B</t>
        </is>
      </c>
      <c r="E5294" t="n">
        <v>49</v>
      </c>
      <c r="F5294" t="n">
        <v>22</v>
      </c>
    </row>
    <row r="5295">
      <c r="A5295" t="inlineStr">
        <is>
          <t>ORD05294</t>
        </is>
      </c>
      <c r="B5295" t="inlineStr">
        <is>
          <t>C0294</t>
        </is>
      </c>
      <c r="C5295" t="n">
        <v>2</v>
      </c>
      <c r="D5295" t="inlineStr">
        <is>
          <t>Hub B</t>
        </is>
      </c>
      <c r="E5295" t="n">
        <v>56</v>
      </c>
      <c r="F5295" t="n">
        <v>22</v>
      </c>
    </row>
    <row r="5296">
      <c r="A5296" t="inlineStr">
        <is>
          <t>ORD05295</t>
        </is>
      </c>
      <c r="B5296" t="inlineStr">
        <is>
          <t>C0295</t>
        </is>
      </c>
      <c r="C5296" t="n">
        <v>3</v>
      </c>
      <c r="D5296" t="inlineStr">
        <is>
          <t>Hub B</t>
        </is>
      </c>
      <c r="E5296" t="n">
        <v>63</v>
      </c>
      <c r="F5296" t="n">
        <v>22</v>
      </c>
    </row>
    <row r="5297">
      <c r="A5297" t="inlineStr">
        <is>
          <t>ORD05296</t>
        </is>
      </c>
      <c r="B5297" t="inlineStr">
        <is>
          <t>C0296</t>
        </is>
      </c>
      <c r="C5297" t="n">
        <v>1</v>
      </c>
      <c r="D5297" t="inlineStr">
        <is>
          <t>Hub B</t>
        </is>
      </c>
      <c r="E5297" t="n">
        <v>70</v>
      </c>
      <c r="F5297" t="n">
        <v>22</v>
      </c>
    </row>
    <row r="5298">
      <c r="A5298" t="inlineStr">
        <is>
          <t>ORD05297</t>
        </is>
      </c>
      <c r="B5298" t="inlineStr">
        <is>
          <t>C0297</t>
        </is>
      </c>
      <c r="C5298" t="n">
        <v>2</v>
      </c>
      <c r="D5298" t="inlineStr">
        <is>
          <t>Hub B</t>
        </is>
      </c>
      <c r="E5298" t="n">
        <v>77</v>
      </c>
      <c r="F5298" t="n">
        <v>22</v>
      </c>
    </row>
    <row r="5299">
      <c r="A5299" t="inlineStr">
        <is>
          <t>ORD05298</t>
        </is>
      </c>
      <c r="B5299" t="inlineStr">
        <is>
          <t>C0298</t>
        </is>
      </c>
      <c r="C5299" t="n">
        <v>3</v>
      </c>
      <c r="D5299" t="inlineStr">
        <is>
          <t>Hub B</t>
        </is>
      </c>
      <c r="E5299" t="n">
        <v>24</v>
      </c>
      <c r="F5299" t="n">
        <v>22</v>
      </c>
    </row>
    <row r="5300">
      <c r="A5300" t="inlineStr">
        <is>
          <t>ORD05299</t>
        </is>
      </c>
      <c r="B5300" t="inlineStr">
        <is>
          <t>C0299</t>
        </is>
      </c>
      <c r="C5300" t="n">
        <v>1</v>
      </c>
      <c r="D5300" t="inlineStr">
        <is>
          <t>Hub B</t>
        </is>
      </c>
      <c r="E5300" t="n">
        <v>31</v>
      </c>
      <c r="F5300" t="n">
        <v>22</v>
      </c>
    </row>
    <row r="5301">
      <c r="A5301" t="inlineStr">
        <is>
          <t>ORD05300</t>
        </is>
      </c>
      <c r="B5301" t="inlineStr">
        <is>
          <t>C0300</t>
        </is>
      </c>
      <c r="C5301" t="n">
        <v>2</v>
      </c>
      <c r="D5301" t="inlineStr">
        <is>
          <t>Hub B</t>
        </is>
      </c>
      <c r="E5301" t="n">
        <v>38</v>
      </c>
      <c r="F5301" t="n">
        <v>22</v>
      </c>
    </row>
    <row r="5302">
      <c r="A5302" t="inlineStr">
        <is>
          <t>ORD05301</t>
        </is>
      </c>
      <c r="B5302" t="inlineStr">
        <is>
          <t>C0301</t>
        </is>
      </c>
      <c r="C5302" t="n">
        <v>3</v>
      </c>
      <c r="D5302" t="inlineStr">
        <is>
          <t>Hub B</t>
        </is>
      </c>
      <c r="E5302" t="n">
        <v>45</v>
      </c>
      <c r="F5302" t="n">
        <v>22</v>
      </c>
    </row>
    <row r="5303">
      <c r="A5303" t="inlineStr">
        <is>
          <t>ORD05302</t>
        </is>
      </c>
      <c r="B5303" t="inlineStr">
        <is>
          <t>C0302</t>
        </is>
      </c>
      <c r="C5303" t="n">
        <v>1</v>
      </c>
      <c r="D5303" t="inlineStr">
        <is>
          <t>Hub B</t>
        </is>
      </c>
      <c r="E5303" t="n">
        <v>52</v>
      </c>
      <c r="F5303" t="n">
        <v>22</v>
      </c>
    </row>
    <row r="5304">
      <c r="A5304" t="inlineStr">
        <is>
          <t>ORD05303</t>
        </is>
      </c>
      <c r="B5304" t="inlineStr">
        <is>
          <t>C0303</t>
        </is>
      </c>
      <c r="C5304" t="n">
        <v>2</v>
      </c>
      <c r="D5304" t="inlineStr">
        <is>
          <t>Hub B</t>
        </is>
      </c>
      <c r="E5304" t="n">
        <v>59</v>
      </c>
      <c r="F5304" t="n">
        <v>22</v>
      </c>
    </row>
    <row r="5305">
      <c r="A5305" t="inlineStr">
        <is>
          <t>ORD05304</t>
        </is>
      </c>
      <c r="B5305" t="inlineStr">
        <is>
          <t>C0304</t>
        </is>
      </c>
      <c r="C5305" t="n">
        <v>3</v>
      </c>
      <c r="D5305" t="inlineStr">
        <is>
          <t>Hub B</t>
        </is>
      </c>
      <c r="E5305" t="n">
        <v>66</v>
      </c>
      <c r="F5305" t="n">
        <v>22</v>
      </c>
    </row>
    <row r="5306">
      <c r="A5306" t="inlineStr">
        <is>
          <t>ORD05305</t>
        </is>
      </c>
      <c r="B5306" t="inlineStr">
        <is>
          <t>C0305</t>
        </is>
      </c>
      <c r="C5306" t="n">
        <v>1</v>
      </c>
      <c r="D5306" t="inlineStr">
        <is>
          <t>Hub B</t>
        </is>
      </c>
      <c r="E5306" t="n">
        <v>73</v>
      </c>
      <c r="F5306" t="n">
        <v>22</v>
      </c>
    </row>
    <row r="5307">
      <c r="A5307" t="inlineStr">
        <is>
          <t>ORD05306</t>
        </is>
      </c>
      <c r="B5307" t="inlineStr">
        <is>
          <t>C0306</t>
        </is>
      </c>
      <c r="C5307" t="n">
        <v>2</v>
      </c>
      <c r="D5307" t="inlineStr">
        <is>
          <t>Hub B</t>
        </is>
      </c>
      <c r="E5307" t="n">
        <v>20</v>
      </c>
      <c r="F5307" t="n">
        <v>22</v>
      </c>
    </row>
    <row r="5308">
      <c r="A5308" t="inlineStr">
        <is>
          <t>ORD05307</t>
        </is>
      </c>
      <c r="B5308" t="inlineStr">
        <is>
          <t>C0307</t>
        </is>
      </c>
      <c r="C5308" t="n">
        <v>3</v>
      </c>
      <c r="D5308" t="inlineStr">
        <is>
          <t>Hub B</t>
        </is>
      </c>
      <c r="E5308" t="n">
        <v>27</v>
      </c>
      <c r="F5308" t="n">
        <v>22</v>
      </c>
    </row>
    <row r="5309">
      <c r="A5309" t="inlineStr">
        <is>
          <t>ORD05308</t>
        </is>
      </c>
      <c r="B5309" t="inlineStr">
        <is>
          <t>C0308</t>
        </is>
      </c>
      <c r="C5309" t="n">
        <v>1</v>
      </c>
      <c r="D5309" t="inlineStr">
        <is>
          <t>Hub B</t>
        </is>
      </c>
      <c r="E5309" t="n">
        <v>34</v>
      </c>
      <c r="F5309" t="n">
        <v>22</v>
      </c>
    </row>
    <row r="5310">
      <c r="A5310" t="inlineStr">
        <is>
          <t>ORD05309</t>
        </is>
      </c>
      <c r="B5310" t="inlineStr">
        <is>
          <t>C0309</t>
        </is>
      </c>
      <c r="C5310" t="n">
        <v>2</v>
      </c>
      <c r="D5310" t="inlineStr">
        <is>
          <t>Hub B</t>
        </is>
      </c>
      <c r="E5310" t="n">
        <v>41</v>
      </c>
      <c r="F5310" t="n">
        <v>22</v>
      </c>
    </row>
    <row r="5311">
      <c r="A5311" t="inlineStr">
        <is>
          <t>ORD05310</t>
        </is>
      </c>
      <c r="B5311" t="inlineStr">
        <is>
          <t>C0310</t>
        </is>
      </c>
      <c r="C5311" t="n">
        <v>3</v>
      </c>
      <c r="D5311" t="inlineStr">
        <is>
          <t>Hub B</t>
        </is>
      </c>
      <c r="E5311" t="n">
        <v>48</v>
      </c>
      <c r="F5311" t="n">
        <v>22</v>
      </c>
    </row>
    <row r="5312">
      <c r="A5312" t="inlineStr">
        <is>
          <t>ORD05311</t>
        </is>
      </c>
      <c r="B5312" t="inlineStr">
        <is>
          <t>C0311</t>
        </is>
      </c>
      <c r="C5312" t="n">
        <v>1</v>
      </c>
      <c r="D5312" t="inlineStr">
        <is>
          <t>Hub B</t>
        </is>
      </c>
      <c r="E5312" t="n">
        <v>55</v>
      </c>
      <c r="F5312" t="n">
        <v>22</v>
      </c>
    </row>
    <row r="5313">
      <c r="A5313" t="inlineStr">
        <is>
          <t>ORD05312</t>
        </is>
      </c>
      <c r="B5313" t="inlineStr">
        <is>
          <t>C0312</t>
        </is>
      </c>
      <c r="C5313" t="n">
        <v>2</v>
      </c>
      <c r="D5313" t="inlineStr">
        <is>
          <t>Hub B</t>
        </is>
      </c>
      <c r="E5313" t="n">
        <v>62</v>
      </c>
      <c r="F5313" t="n">
        <v>22</v>
      </c>
    </row>
    <row r="5314">
      <c r="A5314" t="inlineStr">
        <is>
          <t>ORD05313</t>
        </is>
      </c>
      <c r="B5314" t="inlineStr">
        <is>
          <t>C0313</t>
        </is>
      </c>
      <c r="C5314" t="n">
        <v>3</v>
      </c>
      <c r="D5314" t="inlineStr">
        <is>
          <t>Hub B</t>
        </is>
      </c>
      <c r="E5314" t="n">
        <v>69</v>
      </c>
      <c r="F5314" t="n">
        <v>22</v>
      </c>
    </row>
    <row r="5315">
      <c r="A5315" t="inlineStr">
        <is>
          <t>ORD05314</t>
        </is>
      </c>
      <c r="B5315" t="inlineStr">
        <is>
          <t>C0314</t>
        </is>
      </c>
      <c r="C5315" t="n">
        <v>1</v>
      </c>
      <c r="D5315" t="inlineStr">
        <is>
          <t>Hub B</t>
        </is>
      </c>
      <c r="E5315" t="n">
        <v>76</v>
      </c>
      <c r="F5315" t="n">
        <v>22</v>
      </c>
    </row>
    <row r="5316">
      <c r="A5316" t="inlineStr">
        <is>
          <t>ORD05315</t>
        </is>
      </c>
      <c r="B5316" t="inlineStr">
        <is>
          <t>C0315</t>
        </is>
      </c>
      <c r="C5316" t="n">
        <v>2</v>
      </c>
      <c r="D5316" t="inlineStr">
        <is>
          <t>Hub B</t>
        </is>
      </c>
      <c r="E5316" t="n">
        <v>23</v>
      </c>
      <c r="F5316" t="n">
        <v>22</v>
      </c>
    </row>
    <row r="5317">
      <c r="A5317" t="inlineStr">
        <is>
          <t>ORD05316</t>
        </is>
      </c>
      <c r="B5317" t="inlineStr">
        <is>
          <t>C0316</t>
        </is>
      </c>
      <c r="C5317" t="n">
        <v>3</v>
      </c>
      <c r="D5317" t="inlineStr">
        <is>
          <t>Hub B</t>
        </is>
      </c>
      <c r="E5317" t="n">
        <v>30</v>
      </c>
      <c r="F5317" t="n">
        <v>22</v>
      </c>
    </row>
    <row r="5318">
      <c r="A5318" t="inlineStr">
        <is>
          <t>ORD05317</t>
        </is>
      </c>
      <c r="B5318" t="inlineStr">
        <is>
          <t>C0317</t>
        </is>
      </c>
      <c r="C5318" t="n">
        <v>1</v>
      </c>
      <c r="D5318" t="inlineStr">
        <is>
          <t>Hub B</t>
        </is>
      </c>
      <c r="E5318" t="n">
        <v>37</v>
      </c>
      <c r="F5318" t="n">
        <v>22</v>
      </c>
    </row>
    <row r="5319">
      <c r="A5319" t="inlineStr">
        <is>
          <t>ORD05318</t>
        </is>
      </c>
      <c r="B5319" t="inlineStr">
        <is>
          <t>C0318</t>
        </is>
      </c>
      <c r="C5319" t="n">
        <v>2</v>
      </c>
      <c r="D5319" t="inlineStr">
        <is>
          <t>Hub B</t>
        </is>
      </c>
      <c r="E5319" t="n">
        <v>44</v>
      </c>
      <c r="F5319" t="n">
        <v>22</v>
      </c>
    </row>
    <row r="5320">
      <c r="A5320" t="inlineStr">
        <is>
          <t>ORD05319</t>
        </is>
      </c>
      <c r="B5320" t="inlineStr">
        <is>
          <t>C0319</t>
        </is>
      </c>
      <c r="C5320" t="n">
        <v>3</v>
      </c>
      <c r="D5320" t="inlineStr">
        <is>
          <t>Hub B</t>
        </is>
      </c>
      <c r="E5320" t="n">
        <v>51</v>
      </c>
      <c r="F5320" t="n">
        <v>22</v>
      </c>
    </row>
    <row r="5321">
      <c r="A5321" t="inlineStr">
        <is>
          <t>ORD05320</t>
        </is>
      </c>
      <c r="B5321" t="inlineStr">
        <is>
          <t>C0320</t>
        </is>
      </c>
      <c r="C5321" t="n">
        <v>1</v>
      </c>
      <c r="D5321" t="inlineStr">
        <is>
          <t>Hub B</t>
        </is>
      </c>
      <c r="E5321" t="n">
        <v>58</v>
      </c>
      <c r="F5321" t="n">
        <v>22</v>
      </c>
    </row>
    <row r="5322">
      <c r="A5322" t="inlineStr">
        <is>
          <t>ORD05321</t>
        </is>
      </c>
      <c r="B5322" t="inlineStr">
        <is>
          <t>C0321</t>
        </is>
      </c>
      <c r="C5322" t="n">
        <v>2</v>
      </c>
      <c r="D5322" t="inlineStr">
        <is>
          <t>Hub B</t>
        </is>
      </c>
      <c r="E5322" t="n">
        <v>65</v>
      </c>
      <c r="F5322" t="n">
        <v>22</v>
      </c>
    </row>
    <row r="5323">
      <c r="A5323" t="inlineStr">
        <is>
          <t>ORD05322</t>
        </is>
      </c>
      <c r="B5323" t="inlineStr">
        <is>
          <t>C0322</t>
        </is>
      </c>
      <c r="C5323" t="n">
        <v>3</v>
      </c>
      <c r="D5323" t="inlineStr">
        <is>
          <t>Hub B</t>
        </is>
      </c>
      <c r="E5323" t="n">
        <v>72</v>
      </c>
      <c r="F5323" t="n">
        <v>22</v>
      </c>
    </row>
    <row r="5324">
      <c r="A5324" t="inlineStr">
        <is>
          <t>ORD05323</t>
        </is>
      </c>
      <c r="B5324" t="inlineStr">
        <is>
          <t>C0323</t>
        </is>
      </c>
      <c r="C5324" t="n">
        <v>1</v>
      </c>
      <c r="D5324" t="inlineStr">
        <is>
          <t>Hub B</t>
        </is>
      </c>
      <c r="E5324" t="n">
        <v>19</v>
      </c>
      <c r="F5324" t="n">
        <v>22</v>
      </c>
    </row>
    <row r="5325">
      <c r="A5325" t="inlineStr">
        <is>
          <t>ORD05324</t>
        </is>
      </c>
      <c r="B5325" t="inlineStr">
        <is>
          <t>C0324</t>
        </is>
      </c>
      <c r="C5325" t="n">
        <v>2</v>
      </c>
      <c r="D5325" t="inlineStr">
        <is>
          <t>Hub B</t>
        </is>
      </c>
      <c r="E5325" t="n">
        <v>26</v>
      </c>
      <c r="F5325" t="n">
        <v>22</v>
      </c>
    </row>
    <row r="5326">
      <c r="A5326" t="inlineStr">
        <is>
          <t>ORD05325</t>
        </is>
      </c>
      <c r="B5326" t="inlineStr">
        <is>
          <t>C0325</t>
        </is>
      </c>
      <c r="C5326" t="n">
        <v>3</v>
      </c>
      <c r="D5326" t="inlineStr">
        <is>
          <t>Hub B</t>
        </is>
      </c>
      <c r="E5326" t="n">
        <v>33</v>
      </c>
      <c r="F5326" t="n">
        <v>22</v>
      </c>
    </row>
    <row r="5327">
      <c r="A5327" t="inlineStr">
        <is>
          <t>ORD05326</t>
        </is>
      </c>
      <c r="B5327" t="inlineStr">
        <is>
          <t>C0326</t>
        </is>
      </c>
      <c r="C5327" t="n">
        <v>1</v>
      </c>
      <c r="D5327" t="inlineStr">
        <is>
          <t>Hub B</t>
        </is>
      </c>
      <c r="E5327" t="n">
        <v>40</v>
      </c>
      <c r="F5327" t="n">
        <v>22</v>
      </c>
    </row>
    <row r="5328">
      <c r="A5328" t="inlineStr">
        <is>
          <t>ORD05327</t>
        </is>
      </c>
      <c r="B5328" t="inlineStr">
        <is>
          <t>C0327</t>
        </is>
      </c>
      <c r="C5328" t="n">
        <v>2</v>
      </c>
      <c r="D5328" t="inlineStr">
        <is>
          <t>Hub B</t>
        </is>
      </c>
      <c r="E5328" t="n">
        <v>47</v>
      </c>
      <c r="F5328" t="n">
        <v>22</v>
      </c>
    </row>
    <row r="5329">
      <c r="A5329" t="inlineStr">
        <is>
          <t>ORD05328</t>
        </is>
      </c>
      <c r="B5329" t="inlineStr">
        <is>
          <t>C0328</t>
        </is>
      </c>
      <c r="C5329" t="n">
        <v>3</v>
      </c>
      <c r="D5329" t="inlineStr">
        <is>
          <t>Hub B</t>
        </is>
      </c>
      <c r="E5329" t="n">
        <v>54</v>
      </c>
      <c r="F5329" t="n">
        <v>22</v>
      </c>
    </row>
    <row r="5330">
      <c r="A5330" t="inlineStr">
        <is>
          <t>ORD05329</t>
        </is>
      </c>
      <c r="B5330" t="inlineStr">
        <is>
          <t>C0329</t>
        </is>
      </c>
      <c r="C5330" t="n">
        <v>1</v>
      </c>
      <c r="D5330" t="inlineStr">
        <is>
          <t>Hub B</t>
        </is>
      </c>
      <c r="E5330" t="n">
        <v>61</v>
      </c>
      <c r="F5330" t="n">
        <v>22</v>
      </c>
    </row>
    <row r="5331">
      <c r="A5331" t="inlineStr">
        <is>
          <t>ORD05330</t>
        </is>
      </c>
      <c r="B5331" t="inlineStr">
        <is>
          <t>C0330</t>
        </is>
      </c>
      <c r="C5331" t="n">
        <v>2</v>
      </c>
      <c r="D5331" t="inlineStr">
        <is>
          <t>Hub B</t>
        </is>
      </c>
      <c r="E5331" t="n">
        <v>68</v>
      </c>
      <c r="F5331" t="n">
        <v>22</v>
      </c>
    </row>
    <row r="5332">
      <c r="A5332" t="inlineStr">
        <is>
          <t>ORD05331</t>
        </is>
      </c>
      <c r="B5332" t="inlineStr">
        <is>
          <t>C0331</t>
        </is>
      </c>
      <c r="C5332" t="n">
        <v>3</v>
      </c>
      <c r="D5332" t="inlineStr">
        <is>
          <t>Hub B</t>
        </is>
      </c>
      <c r="E5332" t="n">
        <v>75</v>
      </c>
      <c r="F5332" t="n">
        <v>22</v>
      </c>
    </row>
    <row r="5333">
      <c r="A5333" t="inlineStr">
        <is>
          <t>ORD05332</t>
        </is>
      </c>
      <c r="B5333" t="inlineStr">
        <is>
          <t>C0332</t>
        </is>
      </c>
      <c r="C5333" t="n">
        <v>1</v>
      </c>
      <c r="D5333" t="inlineStr">
        <is>
          <t>Hub B</t>
        </is>
      </c>
      <c r="E5333" t="n">
        <v>22</v>
      </c>
      <c r="F5333" t="n">
        <v>22</v>
      </c>
    </row>
    <row r="5334">
      <c r="A5334" t="inlineStr">
        <is>
          <t>ORD05333</t>
        </is>
      </c>
      <c r="B5334" t="inlineStr">
        <is>
          <t>C0333</t>
        </is>
      </c>
      <c r="C5334" t="n">
        <v>2</v>
      </c>
      <c r="D5334" t="inlineStr">
        <is>
          <t>Hub B</t>
        </is>
      </c>
      <c r="E5334" t="n">
        <v>29</v>
      </c>
      <c r="F5334" t="n">
        <v>22</v>
      </c>
    </row>
    <row r="5335">
      <c r="A5335" t="inlineStr">
        <is>
          <t>ORD05334</t>
        </is>
      </c>
      <c r="B5335" t="inlineStr">
        <is>
          <t>C0334</t>
        </is>
      </c>
      <c r="C5335" t="n">
        <v>3</v>
      </c>
      <c r="D5335" t="inlineStr">
        <is>
          <t>Hub B</t>
        </is>
      </c>
      <c r="E5335" t="n">
        <v>36</v>
      </c>
      <c r="F5335" t="n">
        <v>22</v>
      </c>
    </row>
    <row r="5336">
      <c r="A5336" t="inlineStr">
        <is>
          <t>ORD05335</t>
        </is>
      </c>
      <c r="B5336" t="inlineStr">
        <is>
          <t>C0335</t>
        </is>
      </c>
      <c r="C5336" t="n">
        <v>1</v>
      </c>
      <c r="D5336" t="inlineStr">
        <is>
          <t>Hub B</t>
        </is>
      </c>
      <c r="E5336" t="n">
        <v>43</v>
      </c>
      <c r="F5336" t="n">
        <v>22</v>
      </c>
    </row>
    <row r="5337">
      <c r="A5337" t="inlineStr">
        <is>
          <t>ORD05336</t>
        </is>
      </c>
      <c r="B5337" t="inlineStr">
        <is>
          <t>C0336</t>
        </is>
      </c>
      <c r="C5337" t="n">
        <v>2</v>
      </c>
      <c r="D5337" t="inlineStr">
        <is>
          <t>Hub B</t>
        </is>
      </c>
      <c r="E5337" t="n">
        <v>50</v>
      </c>
      <c r="F5337" t="n">
        <v>22</v>
      </c>
    </row>
    <row r="5338">
      <c r="A5338" t="inlineStr">
        <is>
          <t>ORD05337</t>
        </is>
      </c>
      <c r="B5338" t="inlineStr">
        <is>
          <t>C0337</t>
        </is>
      </c>
      <c r="C5338" t="n">
        <v>3</v>
      </c>
      <c r="D5338" t="inlineStr">
        <is>
          <t>Hub B</t>
        </is>
      </c>
      <c r="E5338" t="n">
        <v>57</v>
      </c>
      <c r="F5338" t="n">
        <v>22</v>
      </c>
    </row>
    <row r="5339">
      <c r="A5339" t="inlineStr">
        <is>
          <t>ORD05338</t>
        </is>
      </c>
      <c r="B5339" t="inlineStr">
        <is>
          <t>C0338</t>
        </is>
      </c>
      <c r="C5339" t="n">
        <v>1</v>
      </c>
      <c r="D5339" t="inlineStr">
        <is>
          <t>Hub B</t>
        </is>
      </c>
      <c r="E5339" t="n">
        <v>64</v>
      </c>
      <c r="F5339" t="n">
        <v>22</v>
      </c>
    </row>
    <row r="5340">
      <c r="A5340" t="inlineStr">
        <is>
          <t>ORD05339</t>
        </is>
      </c>
      <c r="B5340" t="inlineStr">
        <is>
          <t>C0339</t>
        </is>
      </c>
      <c r="C5340" t="n">
        <v>2</v>
      </c>
      <c r="D5340" t="inlineStr">
        <is>
          <t>Hub B</t>
        </is>
      </c>
      <c r="E5340" t="n">
        <v>71</v>
      </c>
      <c r="F5340" t="n">
        <v>22</v>
      </c>
    </row>
    <row r="5341">
      <c r="A5341" t="inlineStr">
        <is>
          <t>ORD05340</t>
        </is>
      </c>
      <c r="B5341" t="inlineStr">
        <is>
          <t>C0340</t>
        </is>
      </c>
      <c r="C5341" t="n">
        <v>3</v>
      </c>
      <c r="D5341" t="inlineStr">
        <is>
          <t>Hub B</t>
        </is>
      </c>
      <c r="E5341" t="n">
        <v>18</v>
      </c>
      <c r="F5341" t="n">
        <v>22</v>
      </c>
    </row>
    <row r="5342">
      <c r="A5342" t="inlineStr">
        <is>
          <t>ORD05341</t>
        </is>
      </c>
      <c r="B5342" t="inlineStr">
        <is>
          <t>C0341</t>
        </is>
      </c>
      <c r="C5342" t="n">
        <v>1</v>
      </c>
      <c r="D5342" t="inlineStr">
        <is>
          <t>Hub B</t>
        </is>
      </c>
      <c r="E5342" t="n">
        <v>25</v>
      </c>
      <c r="F5342" t="n">
        <v>22</v>
      </c>
    </row>
    <row r="5343">
      <c r="A5343" t="inlineStr">
        <is>
          <t>ORD05342</t>
        </is>
      </c>
      <c r="B5343" t="inlineStr">
        <is>
          <t>C0342</t>
        </is>
      </c>
      <c r="C5343" t="n">
        <v>2</v>
      </c>
      <c r="D5343" t="inlineStr">
        <is>
          <t>Hub B</t>
        </is>
      </c>
      <c r="E5343" t="n">
        <v>32</v>
      </c>
      <c r="F5343" t="n">
        <v>22</v>
      </c>
    </row>
    <row r="5344">
      <c r="A5344" t="inlineStr">
        <is>
          <t>ORD05343</t>
        </is>
      </c>
      <c r="B5344" t="inlineStr">
        <is>
          <t>C0343</t>
        </is>
      </c>
      <c r="C5344" t="n">
        <v>3</v>
      </c>
      <c r="D5344" t="inlineStr">
        <is>
          <t>Hub B</t>
        </is>
      </c>
      <c r="E5344" t="n">
        <v>39</v>
      </c>
      <c r="F5344" t="n">
        <v>22</v>
      </c>
    </row>
    <row r="5345">
      <c r="A5345" t="inlineStr">
        <is>
          <t>ORD05344</t>
        </is>
      </c>
      <c r="B5345" t="inlineStr">
        <is>
          <t>C0344</t>
        </is>
      </c>
      <c r="C5345" t="n">
        <v>1</v>
      </c>
      <c r="D5345" t="inlineStr">
        <is>
          <t>Hub B</t>
        </is>
      </c>
      <c r="E5345" t="n">
        <v>46</v>
      </c>
      <c r="F5345" t="n">
        <v>22</v>
      </c>
    </row>
    <row r="5346">
      <c r="A5346" t="inlineStr">
        <is>
          <t>ORD05345</t>
        </is>
      </c>
      <c r="B5346" t="inlineStr">
        <is>
          <t>C0345</t>
        </is>
      </c>
      <c r="C5346" t="n">
        <v>2</v>
      </c>
      <c r="D5346" t="inlineStr">
        <is>
          <t>Hub B</t>
        </is>
      </c>
      <c r="E5346" t="n">
        <v>53</v>
      </c>
      <c r="F5346" t="n">
        <v>22</v>
      </c>
    </row>
    <row r="5347">
      <c r="A5347" t="inlineStr">
        <is>
          <t>ORD05346</t>
        </is>
      </c>
      <c r="B5347" t="inlineStr">
        <is>
          <t>C0346</t>
        </is>
      </c>
      <c r="C5347" t="n">
        <v>3</v>
      </c>
      <c r="D5347" t="inlineStr">
        <is>
          <t>Hub B</t>
        </is>
      </c>
      <c r="E5347" t="n">
        <v>60</v>
      </c>
      <c r="F5347" t="n">
        <v>22</v>
      </c>
    </row>
    <row r="5348">
      <c r="A5348" t="inlineStr">
        <is>
          <t>ORD05347</t>
        </is>
      </c>
      <c r="B5348" t="inlineStr">
        <is>
          <t>C0347</t>
        </is>
      </c>
      <c r="C5348" t="n">
        <v>1</v>
      </c>
      <c r="D5348" t="inlineStr">
        <is>
          <t>Hub B</t>
        </is>
      </c>
      <c r="E5348" t="n">
        <v>67</v>
      </c>
      <c r="F5348" t="n">
        <v>22</v>
      </c>
    </row>
    <row r="5349">
      <c r="A5349" t="inlineStr">
        <is>
          <t>ORD05348</t>
        </is>
      </c>
      <c r="B5349" t="inlineStr">
        <is>
          <t>C0348</t>
        </is>
      </c>
      <c r="C5349" t="n">
        <v>2</v>
      </c>
      <c r="D5349" t="inlineStr">
        <is>
          <t>Hub B</t>
        </is>
      </c>
      <c r="E5349" t="n">
        <v>74</v>
      </c>
      <c r="F5349" t="n">
        <v>22</v>
      </c>
    </row>
    <row r="5350">
      <c r="A5350" t="inlineStr">
        <is>
          <t>ORD05349</t>
        </is>
      </c>
      <c r="B5350" t="inlineStr">
        <is>
          <t>C0349</t>
        </is>
      </c>
      <c r="C5350" t="n">
        <v>3</v>
      </c>
      <c r="D5350" t="inlineStr">
        <is>
          <t>Hub B</t>
        </is>
      </c>
      <c r="E5350" t="n">
        <v>21</v>
      </c>
      <c r="F5350" t="n">
        <v>22</v>
      </c>
    </row>
    <row r="5351">
      <c r="A5351" t="inlineStr">
        <is>
          <t>ORD05350</t>
        </is>
      </c>
      <c r="B5351" t="inlineStr">
        <is>
          <t>C0350</t>
        </is>
      </c>
      <c r="C5351" t="n">
        <v>1</v>
      </c>
      <c r="D5351" t="inlineStr">
        <is>
          <t>Hub B</t>
        </is>
      </c>
      <c r="E5351" t="n">
        <v>28</v>
      </c>
      <c r="F5351" t="n">
        <v>22</v>
      </c>
    </row>
    <row r="5352">
      <c r="A5352" t="inlineStr">
        <is>
          <t>ORD05351</t>
        </is>
      </c>
      <c r="B5352" t="inlineStr">
        <is>
          <t>C0351</t>
        </is>
      </c>
      <c r="C5352" t="n">
        <v>2</v>
      </c>
      <c r="D5352" t="inlineStr">
        <is>
          <t>Hub B</t>
        </is>
      </c>
      <c r="E5352" t="n">
        <v>35</v>
      </c>
      <c r="F5352" t="n">
        <v>22</v>
      </c>
    </row>
    <row r="5353">
      <c r="A5353" t="inlineStr">
        <is>
          <t>ORD05352</t>
        </is>
      </c>
      <c r="B5353" t="inlineStr">
        <is>
          <t>C0352</t>
        </is>
      </c>
      <c r="C5353" t="n">
        <v>3</v>
      </c>
      <c r="D5353" t="inlineStr">
        <is>
          <t>Hub B</t>
        </is>
      </c>
      <c r="E5353" t="n">
        <v>42</v>
      </c>
      <c r="F5353" t="n">
        <v>22</v>
      </c>
    </row>
    <row r="5354">
      <c r="A5354" t="inlineStr">
        <is>
          <t>ORD05353</t>
        </is>
      </c>
      <c r="B5354" t="inlineStr">
        <is>
          <t>C0353</t>
        </is>
      </c>
      <c r="C5354" t="n">
        <v>1</v>
      </c>
      <c r="D5354" t="inlineStr">
        <is>
          <t>Hub B</t>
        </is>
      </c>
      <c r="E5354" t="n">
        <v>49</v>
      </c>
      <c r="F5354" t="n">
        <v>22</v>
      </c>
    </row>
    <row r="5355">
      <c r="A5355" t="inlineStr">
        <is>
          <t>ORD05354</t>
        </is>
      </c>
      <c r="B5355" t="inlineStr">
        <is>
          <t>C0354</t>
        </is>
      </c>
      <c r="C5355" t="n">
        <v>2</v>
      </c>
      <c r="D5355" t="inlineStr">
        <is>
          <t>Hub B</t>
        </is>
      </c>
      <c r="E5355" t="n">
        <v>56</v>
      </c>
      <c r="F5355" t="n">
        <v>22</v>
      </c>
    </row>
    <row r="5356">
      <c r="A5356" t="inlineStr">
        <is>
          <t>ORD05355</t>
        </is>
      </c>
      <c r="B5356" t="inlineStr">
        <is>
          <t>C0355</t>
        </is>
      </c>
      <c r="C5356" t="n">
        <v>3</v>
      </c>
      <c r="D5356" t="inlineStr">
        <is>
          <t>Hub B</t>
        </is>
      </c>
      <c r="E5356" t="n">
        <v>63</v>
      </c>
      <c r="F5356" t="n">
        <v>22</v>
      </c>
    </row>
    <row r="5357">
      <c r="A5357" t="inlineStr">
        <is>
          <t>ORD05356</t>
        </is>
      </c>
      <c r="B5357" t="inlineStr">
        <is>
          <t>C0356</t>
        </is>
      </c>
      <c r="C5357" t="n">
        <v>1</v>
      </c>
      <c r="D5357" t="inlineStr">
        <is>
          <t>Hub B</t>
        </is>
      </c>
      <c r="E5357" t="n">
        <v>70</v>
      </c>
      <c r="F5357" t="n">
        <v>22</v>
      </c>
    </row>
    <row r="5358">
      <c r="A5358" t="inlineStr">
        <is>
          <t>ORD05357</t>
        </is>
      </c>
      <c r="B5358" t="inlineStr">
        <is>
          <t>C0357</t>
        </is>
      </c>
      <c r="C5358" t="n">
        <v>2</v>
      </c>
      <c r="D5358" t="inlineStr">
        <is>
          <t>Hub B</t>
        </is>
      </c>
      <c r="E5358" t="n">
        <v>77</v>
      </c>
      <c r="F5358" t="n">
        <v>22</v>
      </c>
    </row>
    <row r="5359">
      <c r="A5359" t="inlineStr">
        <is>
          <t>ORD05358</t>
        </is>
      </c>
      <c r="B5359" t="inlineStr">
        <is>
          <t>C0358</t>
        </is>
      </c>
      <c r="C5359" t="n">
        <v>3</v>
      </c>
      <c r="D5359" t="inlineStr">
        <is>
          <t>Hub B</t>
        </is>
      </c>
      <c r="E5359" t="n">
        <v>24</v>
      </c>
      <c r="F5359" t="n">
        <v>22</v>
      </c>
    </row>
    <row r="5360">
      <c r="A5360" t="inlineStr">
        <is>
          <t>ORD05359</t>
        </is>
      </c>
      <c r="B5360" t="inlineStr">
        <is>
          <t>C0359</t>
        </is>
      </c>
      <c r="C5360" t="n">
        <v>1</v>
      </c>
      <c r="D5360" t="inlineStr">
        <is>
          <t>Hub B</t>
        </is>
      </c>
      <c r="E5360" t="n">
        <v>31</v>
      </c>
      <c r="F5360" t="n">
        <v>22</v>
      </c>
    </row>
    <row r="5361">
      <c r="A5361" t="inlineStr">
        <is>
          <t>ORD05360</t>
        </is>
      </c>
      <c r="B5361" t="inlineStr">
        <is>
          <t>C0360</t>
        </is>
      </c>
      <c r="C5361" t="n">
        <v>2</v>
      </c>
      <c r="D5361" t="inlineStr">
        <is>
          <t>Hub B</t>
        </is>
      </c>
      <c r="E5361" t="n">
        <v>38</v>
      </c>
      <c r="F5361" t="n">
        <v>22</v>
      </c>
    </row>
    <row r="5362">
      <c r="A5362" t="inlineStr">
        <is>
          <t>ORD05361</t>
        </is>
      </c>
      <c r="B5362" t="inlineStr">
        <is>
          <t>C0361</t>
        </is>
      </c>
      <c r="C5362" t="n">
        <v>3</v>
      </c>
      <c r="D5362" t="inlineStr">
        <is>
          <t>Hub B</t>
        </is>
      </c>
      <c r="E5362" t="n">
        <v>45</v>
      </c>
      <c r="F5362" t="n">
        <v>22</v>
      </c>
    </row>
    <row r="5363">
      <c r="A5363" t="inlineStr">
        <is>
          <t>ORD05362</t>
        </is>
      </c>
      <c r="B5363" t="inlineStr">
        <is>
          <t>C0362</t>
        </is>
      </c>
      <c r="C5363" t="n">
        <v>1</v>
      </c>
      <c r="D5363" t="inlineStr">
        <is>
          <t>Hub B</t>
        </is>
      </c>
      <c r="E5363" t="n">
        <v>52</v>
      </c>
      <c r="F5363" t="n">
        <v>22</v>
      </c>
    </row>
    <row r="5364">
      <c r="A5364" t="inlineStr">
        <is>
          <t>ORD05363</t>
        </is>
      </c>
      <c r="B5364" t="inlineStr">
        <is>
          <t>C0363</t>
        </is>
      </c>
      <c r="C5364" t="n">
        <v>2</v>
      </c>
      <c r="D5364" t="inlineStr">
        <is>
          <t>Hub B</t>
        </is>
      </c>
      <c r="E5364" t="n">
        <v>59</v>
      </c>
      <c r="F5364" t="n">
        <v>22</v>
      </c>
    </row>
    <row r="5365">
      <c r="A5365" t="inlineStr">
        <is>
          <t>ORD05364</t>
        </is>
      </c>
      <c r="B5365" t="inlineStr">
        <is>
          <t>C0364</t>
        </is>
      </c>
      <c r="C5365" t="n">
        <v>3</v>
      </c>
      <c r="D5365" t="inlineStr">
        <is>
          <t>Hub B</t>
        </is>
      </c>
      <c r="E5365" t="n">
        <v>66</v>
      </c>
      <c r="F5365" t="n">
        <v>22</v>
      </c>
    </row>
    <row r="5366">
      <c r="A5366" t="inlineStr">
        <is>
          <t>ORD05365</t>
        </is>
      </c>
      <c r="B5366" t="inlineStr">
        <is>
          <t>C0365</t>
        </is>
      </c>
      <c r="C5366" t="n">
        <v>1</v>
      </c>
      <c r="D5366" t="inlineStr">
        <is>
          <t>Hub B</t>
        </is>
      </c>
      <c r="E5366" t="n">
        <v>73</v>
      </c>
      <c r="F5366" t="n">
        <v>22</v>
      </c>
    </row>
    <row r="5367">
      <c r="A5367" t="inlineStr">
        <is>
          <t>ORD05366</t>
        </is>
      </c>
      <c r="B5367" t="inlineStr">
        <is>
          <t>C0366</t>
        </is>
      </c>
      <c r="C5367" t="n">
        <v>2</v>
      </c>
      <c r="D5367" t="inlineStr">
        <is>
          <t>Hub B</t>
        </is>
      </c>
      <c r="E5367" t="n">
        <v>20</v>
      </c>
      <c r="F5367" t="n">
        <v>22</v>
      </c>
    </row>
    <row r="5368">
      <c r="A5368" t="inlineStr">
        <is>
          <t>ORD05367</t>
        </is>
      </c>
      <c r="B5368" t="inlineStr">
        <is>
          <t>C0367</t>
        </is>
      </c>
      <c r="C5368" t="n">
        <v>3</v>
      </c>
      <c r="D5368" t="inlineStr">
        <is>
          <t>Hub B</t>
        </is>
      </c>
      <c r="E5368" t="n">
        <v>27</v>
      </c>
      <c r="F5368" t="n">
        <v>22</v>
      </c>
    </row>
    <row r="5369">
      <c r="A5369" t="inlineStr">
        <is>
          <t>ORD05368</t>
        </is>
      </c>
      <c r="B5369" t="inlineStr">
        <is>
          <t>C0368</t>
        </is>
      </c>
      <c r="C5369" t="n">
        <v>1</v>
      </c>
      <c r="D5369" t="inlineStr">
        <is>
          <t>Hub B</t>
        </is>
      </c>
      <c r="E5369" t="n">
        <v>34</v>
      </c>
      <c r="F5369" t="n">
        <v>22</v>
      </c>
    </row>
    <row r="5370">
      <c r="A5370" t="inlineStr">
        <is>
          <t>ORD05369</t>
        </is>
      </c>
      <c r="B5370" t="inlineStr">
        <is>
          <t>C0369</t>
        </is>
      </c>
      <c r="C5370" t="n">
        <v>2</v>
      </c>
      <c r="D5370" t="inlineStr">
        <is>
          <t>Hub B</t>
        </is>
      </c>
      <c r="E5370" t="n">
        <v>41</v>
      </c>
      <c r="F5370" t="n">
        <v>22</v>
      </c>
    </row>
    <row r="5371">
      <c r="A5371" t="inlineStr">
        <is>
          <t>ORD05370</t>
        </is>
      </c>
      <c r="B5371" t="inlineStr">
        <is>
          <t>C0370</t>
        </is>
      </c>
      <c r="C5371" t="n">
        <v>3</v>
      </c>
      <c r="D5371" t="inlineStr">
        <is>
          <t>Hub B</t>
        </is>
      </c>
      <c r="E5371" t="n">
        <v>48</v>
      </c>
      <c r="F5371" t="n">
        <v>22</v>
      </c>
    </row>
    <row r="5372">
      <c r="A5372" t="inlineStr">
        <is>
          <t>ORD05371</t>
        </is>
      </c>
      <c r="B5372" t="inlineStr">
        <is>
          <t>C0371</t>
        </is>
      </c>
      <c r="C5372" t="n">
        <v>1</v>
      </c>
      <c r="D5372" t="inlineStr">
        <is>
          <t>Hub B</t>
        </is>
      </c>
      <c r="E5372" t="n">
        <v>55</v>
      </c>
      <c r="F5372" t="n">
        <v>22</v>
      </c>
    </row>
    <row r="5373">
      <c r="A5373" t="inlineStr">
        <is>
          <t>ORD05372</t>
        </is>
      </c>
      <c r="B5373" t="inlineStr">
        <is>
          <t>C0372</t>
        </is>
      </c>
      <c r="C5373" t="n">
        <v>2</v>
      </c>
      <c r="D5373" t="inlineStr">
        <is>
          <t>Hub B</t>
        </is>
      </c>
      <c r="E5373" t="n">
        <v>62</v>
      </c>
      <c r="F5373" t="n">
        <v>22</v>
      </c>
    </row>
    <row r="5374">
      <c r="A5374" t="inlineStr">
        <is>
          <t>ORD05373</t>
        </is>
      </c>
      <c r="B5374" t="inlineStr">
        <is>
          <t>C0373</t>
        </is>
      </c>
      <c r="C5374" t="n">
        <v>3</v>
      </c>
      <c r="D5374" t="inlineStr">
        <is>
          <t>Hub B</t>
        </is>
      </c>
      <c r="E5374" t="n">
        <v>69</v>
      </c>
      <c r="F5374" t="n">
        <v>22</v>
      </c>
    </row>
    <row r="5375">
      <c r="A5375" t="inlineStr">
        <is>
          <t>ORD05374</t>
        </is>
      </c>
      <c r="B5375" t="inlineStr">
        <is>
          <t>C0374</t>
        </is>
      </c>
      <c r="C5375" t="n">
        <v>1</v>
      </c>
      <c r="D5375" t="inlineStr">
        <is>
          <t>Hub B</t>
        </is>
      </c>
      <c r="E5375" t="n">
        <v>76</v>
      </c>
      <c r="F5375" t="n">
        <v>22</v>
      </c>
    </row>
    <row r="5376">
      <c r="A5376" t="inlineStr">
        <is>
          <t>ORD05375</t>
        </is>
      </c>
      <c r="B5376" t="inlineStr">
        <is>
          <t>C0375</t>
        </is>
      </c>
      <c r="C5376" t="n">
        <v>2</v>
      </c>
      <c r="D5376" t="inlineStr">
        <is>
          <t>Hub B</t>
        </is>
      </c>
      <c r="E5376" t="n">
        <v>23</v>
      </c>
      <c r="F5376" t="n">
        <v>22</v>
      </c>
    </row>
    <row r="5377">
      <c r="A5377" t="inlineStr">
        <is>
          <t>ORD05376</t>
        </is>
      </c>
      <c r="B5377" t="inlineStr">
        <is>
          <t>C0376</t>
        </is>
      </c>
      <c r="C5377" t="n">
        <v>3</v>
      </c>
      <c r="D5377" t="inlineStr">
        <is>
          <t>Hub B</t>
        </is>
      </c>
      <c r="E5377" t="n">
        <v>30</v>
      </c>
      <c r="F5377" t="n">
        <v>22</v>
      </c>
    </row>
    <row r="5378">
      <c r="A5378" t="inlineStr">
        <is>
          <t>ORD05377</t>
        </is>
      </c>
      <c r="B5378" t="inlineStr">
        <is>
          <t>C0377</t>
        </is>
      </c>
      <c r="C5378" t="n">
        <v>1</v>
      </c>
      <c r="D5378" t="inlineStr">
        <is>
          <t>Hub B</t>
        </is>
      </c>
      <c r="E5378" t="n">
        <v>37</v>
      </c>
      <c r="F5378" t="n">
        <v>22</v>
      </c>
    </row>
    <row r="5379">
      <c r="A5379" t="inlineStr">
        <is>
          <t>ORD05378</t>
        </is>
      </c>
      <c r="B5379" t="inlineStr">
        <is>
          <t>C0378</t>
        </is>
      </c>
      <c r="C5379" t="n">
        <v>2</v>
      </c>
      <c r="D5379" t="inlineStr">
        <is>
          <t>Hub B</t>
        </is>
      </c>
      <c r="E5379" t="n">
        <v>44</v>
      </c>
      <c r="F5379" t="n">
        <v>22</v>
      </c>
    </row>
    <row r="5380">
      <c r="A5380" t="inlineStr">
        <is>
          <t>ORD05379</t>
        </is>
      </c>
      <c r="B5380" t="inlineStr">
        <is>
          <t>C0379</t>
        </is>
      </c>
      <c r="C5380" t="n">
        <v>3</v>
      </c>
      <c r="D5380" t="inlineStr">
        <is>
          <t>Hub B</t>
        </is>
      </c>
      <c r="E5380" t="n">
        <v>51</v>
      </c>
      <c r="F5380" t="n">
        <v>22</v>
      </c>
    </row>
    <row r="5381">
      <c r="A5381" t="inlineStr">
        <is>
          <t>ORD05380</t>
        </is>
      </c>
      <c r="B5381" t="inlineStr">
        <is>
          <t>C0380</t>
        </is>
      </c>
      <c r="C5381" t="n">
        <v>1</v>
      </c>
      <c r="D5381" t="inlineStr">
        <is>
          <t>Hub B</t>
        </is>
      </c>
      <c r="E5381" t="n">
        <v>58</v>
      </c>
      <c r="F5381" t="n">
        <v>22</v>
      </c>
    </row>
    <row r="5382">
      <c r="A5382" t="inlineStr">
        <is>
          <t>ORD05381</t>
        </is>
      </c>
      <c r="B5382" t="inlineStr">
        <is>
          <t>C0381</t>
        </is>
      </c>
      <c r="C5382" t="n">
        <v>2</v>
      </c>
      <c r="D5382" t="inlineStr">
        <is>
          <t>Hub B</t>
        </is>
      </c>
      <c r="E5382" t="n">
        <v>65</v>
      </c>
      <c r="F5382" t="n">
        <v>22</v>
      </c>
    </row>
    <row r="5383">
      <c r="A5383" t="inlineStr">
        <is>
          <t>ORD05382</t>
        </is>
      </c>
      <c r="B5383" t="inlineStr">
        <is>
          <t>C0382</t>
        </is>
      </c>
      <c r="C5383" t="n">
        <v>3</v>
      </c>
      <c r="D5383" t="inlineStr">
        <is>
          <t>Hub B</t>
        </is>
      </c>
      <c r="E5383" t="n">
        <v>72</v>
      </c>
      <c r="F5383" t="n">
        <v>22</v>
      </c>
    </row>
    <row r="5384">
      <c r="A5384" t="inlineStr">
        <is>
          <t>ORD05383</t>
        </is>
      </c>
      <c r="B5384" t="inlineStr">
        <is>
          <t>C0383</t>
        </is>
      </c>
      <c r="C5384" t="n">
        <v>1</v>
      </c>
      <c r="D5384" t="inlineStr">
        <is>
          <t>Hub B</t>
        </is>
      </c>
      <c r="E5384" t="n">
        <v>19</v>
      </c>
      <c r="F5384" t="n">
        <v>22</v>
      </c>
    </row>
    <row r="5385">
      <c r="A5385" t="inlineStr">
        <is>
          <t>ORD05384</t>
        </is>
      </c>
      <c r="B5385" t="inlineStr">
        <is>
          <t>C0384</t>
        </is>
      </c>
      <c r="C5385" t="n">
        <v>2</v>
      </c>
      <c r="D5385" t="inlineStr">
        <is>
          <t>Hub B</t>
        </is>
      </c>
      <c r="E5385" t="n">
        <v>26</v>
      </c>
      <c r="F5385" t="n">
        <v>22</v>
      </c>
    </row>
    <row r="5386">
      <c r="A5386" t="inlineStr">
        <is>
          <t>ORD05385</t>
        </is>
      </c>
      <c r="B5386" t="inlineStr">
        <is>
          <t>C0385</t>
        </is>
      </c>
      <c r="C5386" t="n">
        <v>3</v>
      </c>
      <c r="D5386" t="inlineStr">
        <is>
          <t>Hub B</t>
        </is>
      </c>
      <c r="E5386" t="n">
        <v>33</v>
      </c>
      <c r="F5386" t="n">
        <v>22</v>
      </c>
    </row>
    <row r="5387">
      <c r="A5387" t="inlineStr">
        <is>
          <t>ORD05386</t>
        </is>
      </c>
      <c r="B5387" t="inlineStr">
        <is>
          <t>C0386</t>
        </is>
      </c>
      <c r="C5387" t="n">
        <v>1</v>
      </c>
      <c r="D5387" t="inlineStr">
        <is>
          <t>Hub B</t>
        </is>
      </c>
      <c r="E5387" t="n">
        <v>40</v>
      </c>
      <c r="F5387" t="n">
        <v>22</v>
      </c>
    </row>
    <row r="5388">
      <c r="A5388" t="inlineStr">
        <is>
          <t>ORD05387</t>
        </is>
      </c>
      <c r="B5388" t="inlineStr">
        <is>
          <t>C0387</t>
        </is>
      </c>
      <c r="C5388" t="n">
        <v>2</v>
      </c>
      <c r="D5388" t="inlineStr">
        <is>
          <t>Hub B</t>
        </is>
      </c>
      <c r="E5388" t="n">
        <v>47</v>
      </c>
      <c r="F5388" t="n">
        <v>22</v>
      </c>
    </row>
    <row r="5389">
      <c r="A5389" t="inlineStr">
        <is>
          <t>ORD05388</t>
        </is>
      </c>
      <c r="B5389" t="inlineStr">
        <is>
          <t>C0388</t>
        </is>
      </c>
      <c r="C5389" t="n">
        <v>3</v>
      </c>
      <c r="D5389" t="inlineStr">
        <is>
          <t>Hub B</t>
        </is>
      </c>
      <c r="E5389" t="n">
        <v>54</v>
      </c>
      <c r="F5389" t="n">
        <v>22</v>
      </c>
    </row>
    <row r="5390">
      <c r="A5390" t="inlineStr">
        <is>
          <t>ORD05389</t>
        </is>
      </c>
      <c r="B5390" t="inlineStr">
        <is>
          <t>C0389</t>
        </is>
      </c>
      <c r="C5390" t="n">
        <v>1</v>
      </c>
      <c r="D5390" t="inlineStr">
        <is>
          <t>Hub B</t>
        </is>
      </c>
      <c r="E5390" t="n">
        <v>61</v>
      </c>
      <c r="F5390" t="n">
        <v>22</v>
      </c>
    </row>
    <row r="5391">
      <c r="A5391" t="inlineStr">
        <is>
          <t>ORD05390</t>
        </is>
      </c>
      <c r="B5391" t="inlineStr">
        <is>
          <t>C0390</t>
        </is>
      </c>
      <c r="C5391" t="n">
        <v>2</v>
      </c>
      <c r="D5391" t="inlineStr">
        <is>
          <t>Hub B</t>
        </is>
      </c>
      <c r="E5391" t="n">
        <v>68</v>
      </c>
      <c r="F5391" t="n">
        <v>22</v>
      </c>
    </row>
    <row r="5392">
      <c r="A5392" t="inlineStr">
        <is>
          <t>ORD05391</t>
        </is>
      </c>
      <c r="B5392" t="inlineStr">
        <is>
          <t>C0391</t>
        </is>
      </c>
      <c r="C5392" t="n">
        <v>3</v>
      </c>
      <c r="D5392" t="inlineStr">
        <is>
          <t>Hub B</t>
        </is>
      </c>
      <c r="E5392" t="n">
        <v>75</v>
      </c>
      <c r="F5392" t="n">
        <v>22</v>
      </c>
    </row>
    <row r="5393">
      <c r="A5393" t="inlineStr">
        <is>
          <t>ORD05392</t>
        </is>
      </c>
      <c r="B5393" t="inlineStr">
        <is>
          <t>C0392</t>
        </is>
      </c>
      <c r="C5393" t="n">
        <v>1</v>
      </c>
      <c r="D5393" t="inlineStr">
        <is>
          <t>Hub B</t>
        </is>
      </c>
      <c r="E5393" t="n">
        <v>22</v>
      </c>
      <c r="F5393" t="n">
        <v>22</v>
      </c>
    </row>
    <row r="5394">
      <c r="A5394" t="inlineStr">
        <is>
          <t>ORD05393</t>
        </is>
      </c>
      <c r="B5394" t="inlineStr">
        <is>
          <t>C0393</t>
        </is>
      </c>
      <c r="C5394" t="n">
        <v>2</v>
      </c>
      <c r="D5394" t="inlineStr">
        <is>
          <t>Hub B</t>
        </is>
      </c>
      <c r="E5394" t="n">
        <v>29</v>
      </c>
      <c r="F5394" t="n">
        <v>22</v>
      </c>
    </row>
    <row r="5395">
      <c r="A5395" t="inlineStr">
        <is>
          <t>ORD05394</t>
        </is>
      </c>
      <c r="B5395" t="inlineStr">
        <is>
          <t>C0394</t>
        </is>
      </c>
      <c r="C5395" t="n">
        <v>3</v>
      </c>
      <c r="D5395" t="inlineStr">
        <is>
          <t>Hub B</t>
        </is>
      </c>
      <c r="E5395" t="n">
        <v>36</v>
      </c>
      <c r="F5395" t="n">
        <v>22</v>
      </c>
    </row>
    <row r="5396">
      <c r="A5396" t="inlineStr">
        <is>
          <t>ORD05395</t>
        </is>
      </c>
      <c r="B5396" t="inlineStr">
        <is>
          <t>C0395</t>
        </is>
      </c>
      <c r="C5396" t="n">
        <v>1</v>
      </c>
      <c r="D5396" t="inlineStr">
        <is>
          <t>Hub B</t>
        </is>
      </c>
      <c r="E5396" t="n">
        <v>43</v>
      </c>
      <c r="F5396" t="n">
        <v>22</v>
      </c>
    </row>
    <row r="5397">
      <c r="A5397" t="inlineStr">
        <is>
          <t>ORD05396</t>
        </is>
      </c>
      <c r="B5397" t="inlineStr">
        <is>
          <t>C0396</t>
        </is>
      </c>
      <c r="C5397" t="n">
        <v>2</v>
      </c>
      <c r="D5397" t="inlineStr">
        <is>
          <t>Hub B</t>
        </is>
      </c>
      <c r="E5397" t="n">
        <v>50</v>
      </c>
      <c r="F5397" t="n">
        <v>22</v>
      </c>
    </row>
    <row r="5398">
      <c r="A5398" t="inlineStr">
        <is>
          <t>ORD05397</t>
        </is>
      </c>
      <c r="B5398" t="inlineStr">
        <is>
          <t>C0397</t>
        </is>
      </c>
      <c r="C5398" t="n">
        <v>3</v>
      </c>
      <c r="D5398" t="inlineStr">
        <is>
          <t>Hub B</t>
        </is>
      </c>
      <c r="E5398" t="n">
        <v>57</v>
      </c>
      <c r="F5398" t="n">
        <v>22</v>
      </c>
    </row>
    <row r="5399">
      <c r="A5399" t="inlineStr">
        <is>
          <t>ORD05398</t>
        </is>
      </c>
      <c r="B5399" t="inlineStr">
        <is>
          <t>C0398</t>
        </is>
      </c>
      <c r="C5399" t="n">
        <v>1</v>
      </c>
      <c r="D5399" t="inlineStr">
        <is>
          <t>Hub B</t>
        </is>
      </c>
      <c r="E5399" t="n">
        <v>64</v>
      </c>
      <c r="F5399" t="n">
        <v>22</v>
      </c>
    </row>
    <row r="5400">
      <c r="A5400" t="inlineStr">
        <is>
          <t>ORD05399</t>
        </is>
      </c>
      <c r="B5400" t="inlineStr">
        <is>
          <t>C0399</t>
        </is>
      </c>
      <c r="C5400" t="n">
        <v>2</v>
      </c>
      <c r="D5400" t="inlineStr">
        <is>
          <t>Hub B</t>
        </is>
      </c>
      <c r="E5400" t="n">
        <v>71</v>
      </c>
      <c r="F5400" t="n">
        <v>22</v>
      </c>
    </row>
    <row r="5401">
      <c r="A5401" t="inlineStr">
        <is>
          <t>ORD05400</t>
        </is>
      </c>
      <c r="B5401" t="inlineStr">
        <is>
          <t>C0400</t>
        </is>
      </c>
      <c r="C5401" t="n">
        <v>3</v>
      </c>
      <c r="D5401" t="inlineStr">
        <is>
          <t>Hub B</t>
        </is>
      </c>
      <c r="E5401" t="n">
        <v>18</v>
      </c>
      <c r="F5401" t="n">
        <v>22</v>
      </c>
    </row>
    <row r="5402">
      <c r="A5402" t="inlineStr">
        <is>
          <t>ORD05401</t>
        </is>
      </c>
      <c r="B5402" t="inlineStr">
        <is>
          <t>C0401</t>
        </is>
      </c>
      <c r="C5402" t="n">
        <v>1</v>
      </c>
      <c r="D5402" t="inlineStr">
        <is>
          <t>Hub B</t>
        </is>
      </c>
      <c r="E5402" t="n">
        <v>25</v>
      </c>
      <c r="F5402" t="n">
        <v>22</v>
      </c>
    </row>
    <row r="5403">
      <c r="A5403" t="inlineStr">
        <is>
          <t>ORD05402</t>
        </is>
      </c>
      <c r="B5403" t="inlineStr">
        <is>
          <t>C0402</t>
        </is>
      </c>
      <c r="C5403" t="n">
        <v>2</v>
      </c>
      <c r="D5403" t="inlineStr">
        <is>
          <t>Hub B</t>
        </is>
      </c>
      <c r="E5403" t="n">
        <v>32</v>
      </c>
      <c r="F5403" t="n">
        <v>22</v>
      </c>
    </row>
    <row r="5404">
      <c r="A5404" t="inlineStr">
        <is>
          <t>ORD05403</t>
        </is>
      </c>
      <c r="B5404" t="inlineStr">
        <is>
          <t>C0403</t>
        </is>
      </c>
      <c r="C5404" t="n">
        <v>3</v>
      </c>
      <c r="D5404" t="inlineStr">
        <is>
          <t>Hub B</t>
        </is>
      </c>
      <c r="E5404" t="n">
        <v>39</v>
      </c>
      <c r="F5404" t="n">
        <v>22</v>
      </c>
    </row>
    <row r="5405">
      <c r="A5405" t="inlineStr">
        <is>
          <t>ORD05404</t>
        </is>
      </c>
      <c r="B5405" t="inlineStr">
        <is>
          <t>C0404</t>
        </is>
      </c>
      <c r="C5405" t="n">
        <v>1</v>
      </c>
      <c r="D5405" t="inlineStr">
        <is>
          <t>Hub B</t>
        </is>
      </c>
      <c r="E5405" t="n">
        <v>46</v>
      </c>
      <c r="F5405" t="n">
        <v>22</v>
      </c>
    </row>
    <row r="5406">
      <c r="A5406" t="inlineStr">
        <is>
          <t>ORD05405</t>
        </is>
      </c>
      <c r="B5406" t="inlineStr">
        <is>
          <t>C0405</t>
        </is>
      </c>
      <c r="C5406" t="n">
        <v>2</v>
      </c>
      <c r="D5406" t="inlineStr">
        <is>
          <t>Hub B</t>
        </is>
      </c>
      <c r="E5406" t="n">
        <v>53</v>
      </c>
      <c r="F5406" t="n">
        <v>22</v>
      </c>
    </row>
    <row r="5407">
      <c r="A5407" t="inlineStr">
        <is>
          <t>ORD05406</t>
        </is>
      </c>
      <c r="B5407" t="inlineStr">
        <is>
          <t>C0406</t>
        </is>
      </c>
      <c r="C5407" t="n">
        <v>3</v>
      </c>
      <c r="D5407" t="inlineStr">
        <is>
          <t>Hub B</t>
        </is>
      </c>
      <c r="E5407" t="n">
        <v>60</v>
      </c>
      <c r="F5407" t="n">
        <v>22</v>
      </c>
    </row>
    <row r="5408">
      <c r="A5408" t="inlineStr">
        <is>
          <t>ORD05407</t>
        </is>
      </c>
      <c r="B5408" t="inlineStr">
        <is>
          <t>C0407</t>
        </is>
      </c>
      <c r="C5408" t="n">
        <v>1</v>
      </c>
      <c r="D5408" t="inlineStr">
        <is>
          <t>Hub B</t>
        </is>
      </c>
      <c r="E5408" t="n">
        <v>67</v>
      </c>
      <c r="F5408" t="n">
        <v>22</v>
      </c>
    </row>
    <row r="5409">
      <c r="A5409" t="inlineStr">
        <is>
          <t>ORD05408</t>
        </is>
      </c>
      <c r="B5409" t="inlineStr">
        <is>
          <t>C0408</t>
        </is>
      </c>
      <c r="C5409" t="n">
        <v>2</v>
      </c>
      <c r="D5409" t="inlineStr">
        <is>
          <t>Hub B</t>
        </is>
      </c>
      <c r="E5409" t="n">
        <v>74</v>
      </c>
      <c r="F5409" t="n">
        <v>22</v>
      </c>
    </row>
    <row r="5410">
      <c r="A5410" t="inlineStr">
        <is>
          <t>ORD05409</t>
        </is>
      </c>
      <c r="B5410" t="inlineStr">
        <is>
          <t>C0409</t>
        </is>
      </c>
      <c r="C5410" t="n">
        <v>3</v>
      </c>
      <c r="D5410" t="inlineStr">
        <is>
          <t>Hub B</t>
        </is>
      </c>
      <c r="E5410" t="n">
        <v>21</v>
      </c>
      <c r="F5410" t="n">
        <v>22</v>
      </c>
    </row>
    <row r="5411">
      <c r="A5411" t="inlineStr">
        <is>
          <t>ORD05410</t>
        </is>
      </c>
      <c r="B5411" t="inlineStr">
        <is>
          <t>C0410</t>
        </is>
      </c>
      <c r="C5411" t="n">
        <v>1</v>
      </c>
      <c r="D5411" t="inlineStr">
        <is>
          <t>Hub B</t>
        </is>
      </c>
      <c r="E5411" t="n">
        <v>28</v>
      </c>
      <c r="F5411" t="n">
        <v>22</v>
      </c>
    </row>
    <row r="5412">
      <c r="A5412" t="inlineStr">
        <is>
          <t>ORD05411</t>
        </is>
      </c>
      <c r="B5412" t="inlineStr">
        <is>
          <t>C0411</t>
        </is>
      </c>
      <c r="C5412" t="n">
        <v>2</v>
      </c>
      <c r="D5412" t="inlineStr">
        <is>
          <t>Hub B</t>
        </is>
      </c>
      <c r="E5412" t="n">
        <v>35</v>
      </c>
      <c r="F5412" t="n">
        <v>22</v>
      </c>
    </row>
    <row r="5413">
      <c r="A5413" t="inlineStr">
        <is>
          <t>ORD05412</t>
        </is>
      </c>
      <c r="B5413" t="inlineStr">
        <is>
          <t>C0412</t>
        </is>
      </c>
      <c r="C5413" t="n">
        <v>3</v>
      </c>
      <c r="D5413" t="inlineStr">
        <is>
          <t>Hub B</t>
        </is>
      </c>
      <c r="E5413" t="n">
        <v>42</v>
      </c>
      <c r="F5413" t="n">
        <v>22</v>
      </c>
    </row>
    <row r="5414">
      <c r="A5414" t="inlineStr">
        <is>
          <t>ORD05413</t>
        </is>
      </c>
      <c r="B5414" t="inlineStr">
        <is>
          <t>C0413</t>
        </is>
      </c>
      <c r="C5414" t="n">
        <v>1</v>
      </c>
      <c r="D5414" t="inlineStr">
        <is>
          <t>Hub B</t>
        </is>
      </c>
      <c r="E5414" t="n">
        <v>49</v>
      </c>
      <c r="F5414" t="n">
        <v>22</v>
      </c>
    </row>
    <row r="5415">
      <c r="A5415" t="inlineStr">
        <is>
          <t>ORD05414</t>
        </is>
      </c>
      <c r="B5415" t="inlineStr">
        <is>
          <t>C0414</t>
        </is>
      </c>
      <c r="C5415" t="n">
        <v>2</v>
      </c>
      <c r="D5415" t="inlineStr">
        <is>
          <t>Hub B</t>
        </is>
      </c>
      <c r="E5415" t="n">
        <v>56</v>
      </c>
      <c r="F5415" t="n">
        <v>22</v>
      </c>
    </row>
    <row r="5416">
      <c r="A5416" t="inlineStr">
        <is>
          <t>ORD05415</t>
        </is>
      </c>
      <c r="B5416" t="inlineStr">
        <is>
          <t>C0415</t>
        </is>
      </c>
      <c r="C5416" t="n">
        <v>3</v>
      </c>
      <c r="D5416" t="inlineStr">
        <is>
          <t>Hub B</t>
        </is>
      </c>
      <c r="E5416" t="n">
        <v>63</v>
      </c>
      <c r="F5416" t="n">
        <v>22</v>
      </c>
    </row>
    <row r="5417">
      <c r="A5417" t="inlineStr">
        <is>
          <t>ORD05416</t>
        </is>
      </c>
      <c r="B5417" t="inlineStr">
        <is>
          <t>C0416</t>
        </is>
      </c>
      <c r="C5417" t="n">
        <v>1</v>
      </c>
      <c r="D5417" t="inlineStr">
        <is>
          <t>Hub B</t>
        </is>
      </c>
      <c r="E5417" t="n">
        <v>70</v>
      </c>
      <c r="F5417" t="n">
        <v>22</v>
      </c>
    </row>
    <row r="5418">
      <c r="A5418" t="inlineStr">
        <is>
          <t>ORD05417</t>
        </is>
      </c>
      <c r="B5418" t="inlineStr">
        <is>
          <t>C0417</t>
        </is>
      </c>
      <c r="C5418" t="n">
        <v>2</v>
      </c>
      <c r="D5418" t="inlineStr">
        <is>
          <t>Hub B</t>
        </is>
      </c>
      <c r="E5418" t="n">
        <v>77</v>
      </c>
      <c r="F5418" t="n">
        <v>22</v>
      </c>
    </row>
    <row r="5419">
      <c r="A5419" t="inlineStr">
        <is>
          <t>ORD05418</t>
        </is>
      </c>
      <c r="B5419" t="inlineStr">
        <is>
          <t>C0418</t>
        </is>
      </c>
      <c r="C5419" t="n">
        <v>3</v>
      </c>
      <c r="D5419" t="inlineStr">
        <is>
          <t>Hub B</t>
        </is>
      </c>
      <c r="E5419" t="n">
        <v>24</v>
      </c>
      <c r="F5419" t="n">
        <v>22</v>
      </c>
    </row>
    <row r="5420">
      <c r="A5420" t="inlineStr">
        <is>
          <t>ORD05419</t>
        </is>
      </c>
      <c r="B5420" t="inlineStr">
        <is>
          <t>C0419</t>
        </is>
      </c>
      <c r="C5420" t="n">
        <v>1</v>
      </c>
      <c r="D5420" t="inlineStr">
        <is>
          <t>Hub B</t>
        </is>
      </c>
      <c r="E5420" t="n">
        <v>31</v>
      </c>
      <c r="F5420" t="n">
        <v>22</v>
      </c>
    </row>
    <row r="5421">
      <c r="A5421" t="inlineStr">
        <is>
          <t>ORD05420</t>
        </is>
      </c>
      <c r="B5421" t="inlineStr">
        <is>
          <t>C0420</t>
        </is>
      </c>
      <c r="C5421" t="n">
        <v>2</v>
      </c>
      <c r="D5421" t="inlineStr">
        <is>
          <t>Hub B</t>
        </is>
      </c>
      <c r="E5421" t="n">
        <v>38</v>
      </c>
      <c r="F5421" t="n">
        <v>22</v>
      </c>
    </row>
    <row r="5422">
      <c r="A5422" t="inlineStr">
        <is>
          <t>ORD05421</t>
        </is>
      </c>
      <c r="B5422" t="inlineStr">
        <is>
          <t>C0421</t>
        </is>
      </c>
      <c r="C5422" t="n">
        <v>3</v>
      </c>
      <c r="D5422" t="inlineStr">
        <is>
          <t>Hub B</t>
        </is>
      </c>
      <c r="E5422" t="n">
        <v>45</v>
      </c>
      <c r="F5422" t="n">
        <v>22</v>
      </c>
    </row>
    <row r="5423">
      <c r="A5423" t="inlineStr">
        <is>
          <t>ORD05422</t>
        </is>
      </c>
      <c r="B5423" t="inlineStr">
        <is>
          <t>C0422</t>
        </is>
      </c>
      <c r="C5423" t="n">
        <v>1</v>
      </c>
      <c r="D5423" t="inlineStr">
        <is>
          <t>Hub B</t>
        </is>
      </c>
      <c r="E5423" t="n">
        <v>52</v>
      </c>
      <c r="F5423" t="n">
        <v>22</v>
      </c>
    </row>
    <row r="5424">
      <c r="A5424" t="inlineStr">
        <is>
          <t>ORD05423</t>
        </is>
      </c>
      <c r="B5424" t="inlineStr">
        <is>
          <t>C0423</t>
        </is>
      </c>
      <c r="C5424" t="n">
        <v>2</v>
      </c>
      <c r="D5424" t="inlineStr">
        <is>
          <t>Hub B</t>
        </is>
      </c>
      <c r="E5424" t="n">
        <v>59</v>
      </c>
      <c r="F5424" t="n">
        <v>22</v>
      </c>
    </row>
    <row r="5425">
      <c r="A5425" t="inlineStr">
        <is>
          <t>ORD05424</t>
        </is>
      </c>
      <c r="B5425" t="inlineStr">
        <is>
          <t>C0424</t>
        </is>
      </c>
      <c r="C5425" t="n">
        <v>3</v>
      </c>
      <c r="D5425" t="inlineStr">
        <is>
          <t>Hub B</t>
        </is>
      </c>
      <c r="E5425" t="n">
        <v>66</v>
      </c>
      <c r="F5425" t="n">
        <v>22</v>
      </c>
    </row>
    <row r="5426">
      <c r="A5426" t="inlineStr">
        <is>
          <t>ORD05425</t>
        </is>
      </c>
      <c r="B5426" t="inlineStr">
        <is>
          <t>C0425</t>
        </is>
      </c>
      <c r="C5426" t="n">
        <v>1</v>
      </c>
      <c r="D5426" t="inlineStr">
        <is>
          <t>Hub B</t>
        </is>
      </c>
      <c r="E5426" t="n">
        <v>73</v>
      </c>
      <c r="F5426" t="n">
        <v>22</v>
      </c>
    </row>
    <row r="5427">
      <c r="A5427" t="inlineStr">
        <is>
          <t>ORD05426</t>
        </is>
      </c>
      <c r="B5427" t="inlineStr">
        <is>
          <t>C0426</t>
        </is>
      </c>
      <c r="C5427" t="n">
        <v>2</v>
      </c>
      <c r="D5427" t="inlineStr">
        <is>
          <t>Hub B</t>
        </is>
      </c>
      <c r="E5427" t="n">
        <v>20</v>
      </c>
      <c r="F5427" t="n">
        <v>22</v>
      </c>
    </row>
    <row r="5428">
      <c r="A5428" t="inlineStr">
        <is>
          <t>ORD05427</t>
        </is>
      </c>
      <c r="B5428" t="inlineStr">
        <is>
          <t>C0427</t>
        </is>
      </c>
      <c r="C5428" t="n">
        <v>3</v>
      </c>
      <c r="D5428" t="inlineStr">
        <is>
          <t>Hub B</t>
        </is>
      </c>
      <c r="E5428" t="n">
        <v>27</v>
      </c>
      <c r="F5428" t="n">
        <v>22</v>
      </c>
    </row>
    <row r="5429">
      <c r="A5429" t="inlineStr">
        <is>
          <t>ORD05428</t>
        </is>
      </c>
      <c r="B5429" t="inlineStr">
        <is>
          <t>C0428</t>
        </is>
      </c>
      <c r="C5429" t="n">
        <v>1</v>
      </c>
      <c r="D5429" t="inlineStr">
        <is>
          <t>Hub B</t>
        </is>
      </c>
      <c r="E5429" t="n">
        <v>34</v>
      </c>
      <c r="F5429" t="n">
        <v>22</v>
      </c>
    </row>
    <row r="5430">
      <c r="A5430" t="inlineStr">
        <is>
          <t>ORD05429</t>
        </is>
      </c>
      <c r="B5430" t="inlineStr">
        <is>
          <t>C0429</t>
        </is>
      </c>
      <c r="C5430" t="n">
        <v>2</v>
      </c>
      <c r="D5430" t="inlineStr">
        <is>
          <t>Hub B</t>
        </is>
      </c>
      <c r="E5430" t="n">
        <v>41</v>
      </c>
      <c r="F5430" t="n">
        <v>22</v>
      </c>
    </row>
    <row r="5431">
      <c r="A5431" t="inlineStr">
        <is>
          <t>ORD05430</t>
        </is>
      </c>
      <c r="B5431" t="inlineStr">
        <is>
          <t>C0430</t>
        </is>
      </c>
      <c r="C5431" t="n">
        <v>3</v>
      </c>
      <c r="D5431" t="inlineStr">
        <is>
          <t>Hub B</t>
        </is>
      </c>
      <c r="E5431" t="n">
        <v>48</v>
      </c>
      <c r="F5431" t="n">
        <v>22</v>
      </c>
    </row>
    <row r="5432">
      <c r="A5432" t="inlineStr">
        <is>
          <t>ORD05431</t>
        </is>
      </c>
      <c r="B5432" t="inlineStr">
        <is>
          <t>C0431</t>
        </is>
      </c>
      <c r="C5432" t="n">
        <v>1</v>
      </c>
      <c r="D5432" t="inlineStr">
        <is>
          <t>Hub B</t>
        </is>
      </c>
      <c r="E5432" t="n">
        <v>55</v>
      </c>
      <c r="F5432" t="n">
        <v>22</v>
      </c>
    </row>
    <row r="5433">
      <c r="A5433" t="inlineStr">
        <is>
          <t>ORD05432</t>
        </is>
      </c>
      <c r="B5433" t="inlineStr">
        <is>
          <t>C0432</t>
        </is>
      </c>
      <c r="C5433" t="n">
        <v>2</v>
      </c>
      <c r="D5433" t="inlineStr">
        <is>
          <t>Hub B</t>
        </is>
      </c>
      <c r="E5433" t="n">
        <v>62</v>
      </c>
      <c r="F5433" t="n">
        <v>22</v>
      </c>
    </row>
    <row r="5434">
      <c r="A5434" t="inlineStr">
        <is>
          <t>ORD05433</t>
        </is>
      </c>
      <c r="B5434" t="inlineStr">
        <is>
          <t>C0433</t>
        </is>
      </c>
      <c r="C5434" t="n">
        <v>3</v>
      </c>
      <c r="D5434" t="inlineStr">
        <is>
          <t>Hub B</t>
        </is>
      </c>
      <c r="E5434" t="n">
        <v>69</v>
      </c>
      <c r="F5434" t="n">
        <v>22</v>
      </c>
    </row>
    <row r="5435">
      <c r="A5435" t="inlineStr">
        <is>
          <t>ORD05434</t>
        </is>
      </c>
      <c r="B5435" t="inlineStr">
        <is>
          <t>C0434</t>
        </is>
      </c>
      <c r="C5435" t="n">
        <v>1</v>
      </c>
      <c r="D5435" t="inlineStr">
        <is>
          <t>Hub B</t>
        </is>
      </c>
      <c r="E5435" t="n">
        <v>76</v>
      </c>
      <c r="F5435" t="n">
        <v>22</v>
      </c>
    </row>
    <row r="5436">
      <c r="A5436" t="inlineStr">
        <is>
          <t>ORD05435</t>
        </is>
      </c>
      <c r="B5436" t="inlineStr">
        <is>
          <t>C0435</t>
        </is>
      </c>
      <c r="C5436" t="n">
        <v>2</v>
      </c>
      <c r="D5436" t="inlineStr">
        <is>
          <t>Hub B</t>
        </is>
      </c>
      <c r="E5436" t="n">
        <v>23</v>
      </c>
      <c r="F5436" t="n">
        <v>22</v>
      </c>
    </row>
    <row r="5437">
      <c r="A5437" t="inlineStr">
        <is>
          <t>ORD05436</t>
        </is>
      </c>
      <c r="B5437" t="inlineStr">
        <is>
          <t>C0436</t>
        </is>
      </c>
      <c r="C5437" t="n">
        <v>3</v>
      </c>
      <c r="D5437" t="inlineStr">
        <is>
          <t>Hub B</t>
        </is>
      </c>
      <c r="E5437" t="n">
        <v>30</v>
      </c>
      <c r="F5437" t="n">
        <v>22</v>
      </c>
    </row>
    <row r="5438">
      <c r="A5438" t="inlineStr">
        <is>
          <t>ORD05437</t>
        </is>
      </c>
      <c r="B5438" t="inlineStr">
        <is>
          <t>C0437</t>
        </is>
      </c>
      <c r="C5438" t="n">
        <v>1</v>
      </c>
      <c r="D5438" t="inlineStr">
        <is>
          <t>Hub B</t>
        </is>
      </c>
      <c r="E5438" t="n">
        <v>37</v>
      </c>
      <c r="F5438" t="n">
        <v>22</v>
      </c>
    </row>
    <row r="5439">
      <c r="A5439" t="inlineStr">
        <is>
          <t>ORD05438</t>
        </is>
      </c>
      <c r="B5439" t="inlineStr">
        <is>
          <t>C0438</t>
        </is>
      </c>
      <c r="C5439" t="n">
        <v>2</v>
      </c>
      <c r="D5439" t="inlineStr">
        <is>
          <t>Hub B</t>
        </is>
      </c>
      <c r="E5439" t="n">
        <v>44</v>
      </c>
      <c r="F5439" t="n">
        <v>22</v>
      </c>
    </row>
    <row r="5440">
      <c r="A5440" t="inlineStr">
        <is>
          <t>ORD05439</t>
        </is>
      </c>
      <c r="B5440" t="inlineStr">
        <is>
          <t>C0439</t>
        </is>
      </c>
      <c r="C5440" t="n">
        <v>3</v>
      </c>
      <c r="D5440" t="inlineStr">
        <is>
          <t>Hub B</t>
        </is>
      </c>
      <c r="E5440" t="n">
        <v>51</v>
      </c>
      <c r="F5440" t="n">
        <v>22</v>
      </c>
    </row>
    <row r="5441">
      <c r="A5441" t="inlineStr">
        <is>
          <t>ORD05440</t>
        </is>
      </c>
      <c r="B5441" t="inlineStr">
        <is>
          <t>C0440</t>
        </is>
      </c>
      <c r="C5441" t="n">
        <v>1</v>
      </c>
      <c r="D5441" t="inlineStr">
        <is>
          <t>Hub B</t>
        </is>
      </c>
      <c r="E5441" t="n">
        <v>58</v>
      </c>
      <c r="F5441" t="n">
        <v>22</v>
      </c>
    </row>
    <row r="5442">
      <c r="A5442" t="inlineStr">
        <is>
          <t>ORD05441</t>
        </is>
      </c>
      <c r="B5442" t="inlineStr">
        <is>
          <t>C0441</t>
        </is>
      </c>
      <c r="C5442" t="n">
        <v>2</v>
      </c>
      <c r="D5442" t="inlineStr">
        <is>
          <t>Hub B</t>
        </is>
      </c>
      <c r="E5442" t="n">
        <v>65</v>
      </c>
      <c r="F5442" t="n">
        <v>22</v>
      </c>
    </row>
    <row r="5443">
      <c r="A5443" t="inlineStr">
        <is>
          <t>ORD05442</t>
        </is>
      </c>
      <c r="B5443" t="inlineStr">
        <is>
          <t>C0442</t>
        </is>
      </c>
      <c r="C5443" t="n">
        <v>3</v>
      </c>
      <c r="D5443" t="inlineStr">
        <is>
          <t>Hub B</t>
        </is>
      </c>
      <c r="E5443" t="n">
        <v>72</v>
      </c>
      <c r="F5443" t="n">
        <v>22</v>
      </c>
    </row>
    <row r="5444">
      <c r="A5444" t="inlineStr">
        <is>
          <t>ORD05443</t>
        </is>
      </c>
      <c r="B5444" t="inlineStr">
        <is>
          <t>C0443</t>
        </is>
      </c>
      <c r="C5444" t="n">
        <v>1</v>
      </c>
      <c r="D5444" t="inlineStr">
        <is>
          <t>Hub B</t>
        </is>
      </c>
      <c r="E5444" t="n">
        <v>19</v>
      </c>
      <c r="F5444" t="n">
        <v>22</v>
      </c>
    </row>
    <row r="5445">
      <c r="A5445" t="inlineStr">
        <is>
          <t>ORD05444</t>
        </is>
      </c>
      <c r="B5445" t="inlineStr">
        <is>
          <t>C0444</t>
        </is>
      </c>
      <c r="C5445" t="n">
        <v>2</v>
      </c>
      <c r="D5445" t="inlineStr">
        <is>
          <t>Hub B</t>
        </is>
      </c>
      <c r="E5445" t="n">
        <v>26</v>
      </c>
      <c r="F5445" t="n">
        <v>22</v>
      </c>
    </row>
    <row r="5446">
      <c r="A5446" t="inlineStr">
        <is>
          <t>ORD05445</t>
        </is>
      </c>
      <c r="B5446" t="inlineStr">
        <is>
          <t>C0445</t>
        </is>
      </c>
      <c r="C5446" t="n">
        <v>3</v>
      </c>
      <c r="D5446" t="inlineStr">
        <is>
          <t>Hub B</t>
        </is>
      </c>
      <c r="E5446" t="n">
        <v>33</v>
      </c>
      <c r="F5446" t="n">
        <v>22</v>
      </c>
    </row>
    <row r="5447">
      <c r="A5447" t="inlineStr">
        <is>
          <t>ORD05446</t>
        </is>
      </c>
      <c r="B5447" t="inlineStr">
        <is>
          <t>C0446</t>
        </is>
      </c>
      <c r="C5447" t="n">
        <v>1</v>
      </c>
      <c r="D5447" t="inlineStr">
        <is>
          <t>Hub B</t>
        </is>
      </c>
      <c r="E5447" t="n">
        <v>40</v>
      </c>
      <c r="F5447" t="n">
        <v>22</v>
      </c>
    </row>
    <row r="5448">
      <c r="A5448" t="inlineStr">
        <is>
          <t>ORD05447</t>
        </is>
      </c>
      <c r="B5448" t="inlineStr">
        <is>
          <t>C0447</t>
        </is>
      </c>
      <c r="C5448" t="n">
        <v>2</v>
      </c>
      <c r="D5448" t="inlineStr">
        <is>
          <t>Hub B</t>
        </is>
      </c>
      <c r="E5448" t="n">
        <v>47</v>
      </c>
      <c r="F5448" t="n">
        <v>22</v>
      </c>
    </row>
    <row r="5449">
      <c r="A5449" t="inlineStr">
        <is>
          <t>ORD05448</t>
        </is>
      </c>
      <c r="B5449" t="inlineStr">
        <is>
          <t>C0448</t>
        </is>
      </c>
      <c r="C5449" t="n">
        <v>3</v>
      </c>
      <c r="D5449" t="inlineStr">
        <is>
          <t>Hub B</t>
        </is>
      </c>
      <c r="E5449" t="n">
        <v>54</v>
      </c>
      <c r="F5449" t="n">
        <v>22</v>
      </c>
    </row>
    <row r="5450">
      <c r="A5450" t="inlineStr">
        <is>
          <t>ORD05449</t>
        </is>
      </c>
      <c r="B5450" t="inlineStr">
        <is>
          <t>C0449</t>
        </is>
      </c>
      <c r="C5450" t="n">
        <v>1</v>
      </c>
      <c r="D5450" t="inlineStr">
        <is>
          <t>Hub B</t>
        </is>
      </c>
      <c r="E5450" t="n">
        <v>61</v>
      </c>
      <c r="F5450" t="n">
        <v>22</v>
      </c>
    </row>
    <row r="5451">
      <c r="A5451" t="inlineStr">
        <is>
          <t>ORD05450</t>
        </is>
      </c>
      <c r="B5451" t="inlineStr">
        <is>
          <t>C0450</t>
        </is>
      </c>
      <c r="C5451" t="n">
        <v>2</v>
      </c>
      <c r="D5451" t="inlineStr">
        <is>
          <t>Hub B</t>
        </is>
      </c>
      <c r="E5451" t="n">
        <v>68</v>
      </c>
      <c r="F5451" t="n">
        <v>22</v>
      </c>
    </row>
    <row r="5452">
      <c r="A5452" t="inlineStr">
        <is>
          <t>ORD05451</t>
        </is>
      </c>
      <c r="B5452" t="inlineStr">
        <is>
          <t>C0451</t>
        </is>
      </c>
      <c r="C5452" t="n">
        <v>3</v>
      </c>
      <c r="D5452" t="inlineStr">
        <is>
          <t>Hub B</t>
        </is>
      </c>
      <c r="E5452" t="n">
        <v>75</v>
      </c>
      <c r="F5452" t="n">
        <v>22</v>
      </c>
    </row>
    <row r="5453">
      <c r="A5453" t="inlineStr">
        <is>
          <t>ORD05452</t>
        </is>
      </c>
      <c r="B5453" t="inlineStr">
        <is>
          <t>C0452</t>
        </is>
      </c>
      <c r="C5453" t="n">
        <v>1</v>
      </c>
      <c r="D5453" t="inlineStr">
        <is>
          <t>Hub B</t>
        </is>
      </c>
      <c r="E5453" t="n">
        <v>22</v>
      </c>
      <c r="F5453" t="n">
        <v>22</v>
      </c>
    </row>
    <row r="5454">
      <c r="A5454" t="inlineStr">
        <is>
          <t>ORD05453</t>
        </is>
      </c>
      <c r="B5454" t="inlineStr">
        <is>
          <t>C0453</t>
        </is>
      </c>
      <c r="C5454" t="n">
        <v>2</v>
      </c>
      <c r="D5454" t="inlineStr">
        <is>
          <t>Hub B</t>
        </is>
      </c>
      <c r="E5454" t="n">
        <v>29</v>
      </c>
      <c r="F5454" t="n">
        <v>22</v>
      </c>
    </row>
    <row r="5455">
      <c r="A5455" t="inlineStr">
        <is>
          <t>ORD05454</t>
        </is>
      </c>
      <c r="B5455" t="inlineStr">
        <is>
          <t>C0454</t>
        </is>
      </c>
      <c r="C5455" t="n">
        <v>3</v>
      </c>
      <c r="D5455" t="inlineStr">
        <is>
          <t>Hub B</t>
        </is>
      </c>
      <c r="E5455" t="n">
        <v>36</v>
      </c>
      <c r="F5455" t="n">
        <v>22</v>
      </c>
    </row>
    <row r="5456">
      <c r="A5456" t="inlineStr">
        <is>
          <t>ORD05455</t>
        </is>
      </c>
      <c r="B5456" t="inlineStr">
        <is>
          <t>C0455</t>
        </is>
      </c>
      <c r="C5456" t="n">
        <v>1</v>
      </c>
      <c r="D5456" t="inlineStr">
        <is>
          <t>Hub B</t>
        </is>
      </c>
      <c r="E5456" t="n">
        <v>43</v>
      </c>
      <c r="F5456" t="n">
        <v>22</v>
      </c>
    </row>
    <row r="5457">
      <c r="A5457" t="inlineStr">
        <is>
          <t>ORD05456</t>
        </is>
      </c>
      <c r="B5457" t="inlineStr">
        <is>
          <t>C0456</t>
        </is>
      </c>
      <c r="C5457" t="n">
        <v>2</v>
      </c>
      <c r="D5457" t="inlineStr">
        <is>
          <t>Hub B</t>
        </is>
      </c>
      <c r="E5457" t="n">
        <v>50</v>
      </c>
      <c r="F5457" t="n">
        <v>22</v>
      </c>
    </row>
    <row r="5458">
      <c r="A5458" t="inlineStr">
        <is>
          <t>ORD05457</t>
        </is>
      </c>
      <c r="B5458" t="inlineStr">
        <is>
          <t>C0457</t>
        </is>
      </c>
      <c r="C5458" t="n">
        <v>3</v>
      </c>
      <c r="D5458" t="inlineStr">
        <is>
          <t>Hub B</t>
        </is>
      </c>
      <c r="E5458" t="n">
        <v>57</v>
      </c>
      <c r="F5458" t="n">
        <v>22</v>
      </c>
    </row>
    <row r="5459">
      <c r="A5459" t="inlineStr">
        <is>
          <t>ORD05458</t>
        </is>
      </c>
      <c r="B5459" t="inlineStr">
        <is>
          <t>C0458</t>
        </is>
      </c>
      <c r="C5459" t="n">
        <v>1</v>
      </c>
      <c r="D5459" t="inlineStr">
        <is>
          <t>Hub B</t>
        </is>
      </c>
      <c r="E5459" t="n">
        <v>64</v>
      </c>
      <c r="F5459" t="n">
        <v>22</v>
      </c>
    </row>
    <row r="5460">
      <c r="A5460" t="inlineStr">
        <is>
          <t>ORD05459</t>
        </is>
      </c>
      <c r="B5460" t="inlineStr">
        <is>
          <t>C0459</t>
        </is>
      </c>
      <c r="C5460" t="n">
        <v>2</v>
      </c>
      <c r="D5460" t="inlineStr">
        <is>
          <t>Hub B</t>
        </is>
      </c>
      <c r="E5460" t="n">
        <v>71</v>
      </c>
      <c r="F5460" t="n">
        <v>22</v>
      </c>
    </row>
    <row r="5461">
      <c r="A5461" t="inlineStr">
        <is>
          <t>ORD05460</t>
        </is>
      </c>
      <c r="B5461" t="inlineStr">
        <is>
          <t>C0460</t>
        </is>
      </c>
      <c r="C5461" t="n">
        <v>3</v>
      </c>
      <c r="D5461" t="inlineStr">
        <is>
          <t>Hub B</t>
        </is>
      </c>
      <c r="E5461" t="n">
        <v>18</v>
      </c>
      <c r="F5461" t="n">
        <v>22</v>
      </c>
    </row>
    <row r="5462">
      <c r="A5462" t="inlineStr">
        <is>
          <t>ORD05461</t>
        </is>
      </c>
      <c r="B5462" t="inlineStr">
        <is>
          <t>C0461</t>
        </is>
      </c>
      <c r="C5462" t="n">
        <v>1</v>
      </c>
      <c r="D5462" t="inlineStr">
        <is>
          <t>Hub B</t>
        </is>
      </c>
      <c r="E5462" t="n">
        <v>25</v>
      </c>
      <c r="F5462" t="n">
        <v>22</v>
      </c>
    </row>
    <row r="5463">
      <c r="A5463" t="inlineStr">
        <is>
          <t>ORD05462</t>
        </is>
      </c>
      <c r="B5463" t="inlineStr">
        <is>
          <t>C0462</t>
        </is>
      </c>
      <c r="C5463" t="n">
        <v>2</v>
      </c>
      <c r="D5463" t="inlineStr">
        <is>
          <t>Hub B</t>
        </is>
      </c>
      <c r="E5463" t="n">
        <v>32</v>
      </c>
      <c r="F5463" t="n">
        <v>22</v>
      </c>
    </row>
    <row r="5464">
      <c r="A5464" t="inlineStr">
        <is>
          <t>ORD05463</t>
        </is>
      </c>
      <c r="B5464" t="inlineStr">
        <is>
          <t>C0463</t>
        </is>
      </c>
      <c r="C5464" t="n">
        <v>3</v>
      </c>
      <c r="D5464" t="inlineStr">
        <is>
          <t>Hub B</t>
        </is>
      </c>
      <c r="E5464" t="n">
        <v>39</v>
      </c>
      <c r="F5464" t="n">
        <v>22</v>
      </c>
    </row>
    <row r="5465">
      <c r="A5465" t="inlineStr">
        <is>
          <t>ORD05464</t>
        </is>
      </c>
      <c r="B5465" t="inlineStr">
        <is>
          <t>C0464</t>
        </is>
      </c>
      <c r="C5465" t="n">
        <v>1</v>
      </c>
      <c r="D5465" t="inlineStr">
        <is>
          <t>Hub B</t>
        </is>
      </c>
      <c r="E5465" t="n">
        <v>46</v>
      </c>
      <c r="F5465" t="n">
        <v>22</v>
      </c>
    </row>
    <row r="5466">
      <c r="A5466" t="inlineStr">
        <is>
          <t>ORD05465</t>
        </is>
      </c>
      <c r="B5466" t="inlineStr">
        <is>
          <t>C0465</t>
        </is>
      </c>
      <c r="C5466" t="n">
        <v>2</v>
      </c>
      <c r="D5466" t="inlineStr">
        <is>
          <t>Hub B</t>
        </is>
      </c>
      <c r="E5466" t="n">
        <v>53</v>
      </c>
      <c r="F5466" t="n">
        <v>22</v>
      </c>
    </row>
    <row r="5467">
      <c r="A5467" t="inlineStr">
        <is>
          <t>ORD05466</t>
        </is>
      </c>
      <c r="B5467" t="inlineStr">
        <is>
          <t>C0466</t>
        </is>
      </c>
      <c r="C5467" t="n">
        <v>3</v>
      </c>
      <c r="D5467" t="inlineStr">
        <is>
          <t>Hub B</t>
        </is>
      </c>
      <c r="E5467" t="n">
        <v>60</v>
      </c>
      <c r="F5467" t="n">
        <v>22</v>
      </c>
    </row>
    <row r="5468">
      <c r="A5468" t="inlineStr">
        <is>
          <t>ORD05467</t>
        </is>
      </c>
      <c r="B5468" t="inlineStr">
        <is>
          <t>C0467</t>
        </is>
      </c>
      <c r="C5468" t="n">
        <v>1</v>
      </c>
      <c r="D5468" t="inlineStr">
        <is>
          <t>Hub B</t>
        </is>
      </c>
      <c r="E5468" t="n">
        <v>67</v>
      </c>
      <c r="F5468" t="n">
        <v>22</v>
      </c>
    </row>
    <row r="5469">
      <c r="A5469" t="inlineStr">
        <is>
          <t>ORD05468</t>
        </is>
      </c>
      <c r="B5469" t="inlineStr">
        <is>
          <t>C0468</t>
        </is>
      </c>
      <c r="C5469" t="n">
        <v>2</v>
      </c>
      <c r="D5469" t="inlineStr">
        <is>
          <t>Hub B</t>
        </is>
      </c>
      <c r="E5469" t="n">
        <v>74</v>
      </c>
      <c r="F5469" t="n">
        <v>22</v>
      </c>
    </row>
    <row r="5470">
      <c r="A5470" t="inlineStr">
        <is>
          <t>ORD05469</t>
        </is>
      </c>
      <c r="B5470" t="inlineStr">
        <is>
          <t>C0469</t>
        </is>
      </c>
      <c r="C5470" t="n">
        <v>3</v>
      </c>
      <c r="D5470" t="inlineStr">
        <is>
          <t>Hub B</t>
        </is>
      </c>
      <c r="E5470" t="n">
        <v>21</v>
      </c>
      <c r="F5470" t="n">
        <v>22</v>
      </c>
    </row>
    <row r="5471">
      <c r="A5471" t="inlineStr">
        <is>
          <t>ORD05470</t>
        </is>
      </c>
      <c r="B5471" t="inlineStr">
        <is>
          <t>C0470</t>
        </is>
      </c>
      <c r="C5471" t="n">
        <v>1</v>
      </c>
      <c r="D5471" t="inlineStr">
        <is>
          <t>Hub B</t>
        </is>
      </c>
      <c r="E5471" t="n">
        <v>28</v>
      </c>
      <c r="F5471" t="n">
        <v>22</v>
      </c>
    </row>
    <row r="5472">
      <c r="A5472" t="inlineStr">
        <is>
          <t>ORD05471</t>
        </is>
      </c>
      <c r="B5472" t="inlineStr">
        <is>
          <t>C0471</t>
        </is>
      </c>
      <c r="C5472" t="n">
        <v>2</v>
      </c>
      <c r="D5472" t="inlineStr">
        <is>
          <t>Hub B</t>
        </is>
      </c>
      <c r="E5472" t="n">
        <v>35</v>
      </c>
      <c r="F5472" t="n">
        <v>22</v>
      </c>
    </row>
    <row r="5473">
      <c r="A5473" t="inlineStr">
        <is>
          <t>ORD05472</t>
        </is>
      </c>
      <c r="B5473" t="inlineStr">
        <is>
          <t>C0472</t>
        </is>
      </c>
      <c r="C5473" t="n">
        <v>3</v>
      </c>
      <c r="D5473" t="inlineStr">
        <is>
          <t>Hub B</t>
        </is>
      </c>
      <c r="E5473" t="n">
        <v>42</v>
      </c>
      <c r="F5473" t="n">
        <v>22</v>
      </c>
    </row>
    <row r="5474">
      <c r="A5474" t="inlineStr">
        <is>
          <t>ORD05473</t>
        </is>
      </c>
      <c r="B5474" t="inlineStr">
        <is>
          <t>C0473</t>
        </is>
      </c>
      <c r="C5474" t="n">
        <v>1</v>
      </c>
      <c r="D5474" t="inlineStr">
        <is>
          <t>Hub B</t>
        </is>
      </c>
      <c r="E5474" t="n">
        <v>49</v>
      </c>
      <c r="F5474" t="n">
        <v>22</v>
      </c>
    </row>
    <row r="5475">
      <c r="A5475" t="inlineStr">
        <is>
          <t>ORD05474</t>
        </is>
      </c>
      <c r="B5475" t="inlineStr">
        <is>
          <t>C0474</t>
        </is>
      </c>
      <c r="C5475" t="n">
        <v>2</v>
      </c>
      <c r="D5475" t="inlineStr">
        <is>
          <t>Hub B</t>
        </is>
      </c>
      <c r="E5475" t="n">
        <v>56</v>
      </c>
      <c r="F5475" t="n">
        <v>22</v>
      </c>
    </row>
    <row r="5476">
      <c r="A5476" t="inlineStr">
        <is>
          <t>ORD05475</t>
        </is>
      </c>
      <c r="B5476" t="inlineStr">
        <is>
          <t>C0475</t>
        </is>
      </c>
      <c r="C5476" t="n">
        <v>3</v>
      </c>
      <c r="D5476" t="inlineStr">
        <is>
          <t>Hub B</t>
        </is>
      </c>
      <c r="E5476" t="n">
        <v>63</v>
      </c>
      <c r="F5476" t="n">
        <v>22</v>
      </c>
    </row>
    <row r="5477">
      <c r="A5477" t="inlineStr">
        <is>
          <t>ORD05476</t>
        </is>
      </c>
      <c r="B5477" t="inlineStr">
        <is>
          <t>C0476</t>
        </is>
      </c>
      <c r="C5477" t="n">
        <v>1</v>
      </c>
      <c r="D5477" t="inlineStr">
        <is>
          <t>Hub B</t>
        </is>
      </c>
      <c r="E5477" t="n">
        <v>70</v>
      </c>
      <c r="F5477" t="n">
        <v>22</v>
      </c>
    </row>
    <row r="5478">
      <c r="A5478" t="inlineStr">
        <is>
          <t>ORD05477</t>
        </is>
      </c>
      <c r="B5478" t="inlineStr">
        <is>
          <t>C0477</t>
        </is>
      </c>
      <c r="C5478" t="n">
        <v>2</v>
      </c>
      <c r="D5478" t="inlineStr">
        <is>
          <t>Hub B</t>
        </is>
      </c>
      <c r="E5478" t="n">
        <v>77</v>
      </c>
      <c r="F5478" t="n">
        <v>22</v>
      </c>
    </row>
    <row r="5479">
      <c r="A5479" t="inlineStr">
        <is>
          <t>ORD05478</t>
        </is>
      </c>
      <c r="B5479" t="inlineStr">
        <is>
          <t>C0478</t>
        </is>
      </c>
      <c r="C5479" t="n">
        <v>3</v>
      </c>
      <c r="D5479" t="inlineStr">
        <is>
          <t>Hub B</t>
        </is>
      </c>
      <c r="E5479" t="n">
        <v>24</v>
      </c>
      <c r="F5479" t="n">
        <v>22</v>
      </c>
    </row>
    <row r="5480">
      <c r="A5480" t="inlineStr">
        <is>
          <t>ORD05479</t>
        </is>
      </c>
      <c r="B5480" t="inlineStr">
        <is>
          <t>C0479</t>
        </is>
      </c>
      <c r="C5480" t="n">
        <v>1</v>
      </c>
      <c r="D5480" t="inlineStr">
        <is>
          <t>Hub B</t>
        </is>
      </c>
      <c r="E5480" t="n">
        <v>31</v>
      </c>
      <c r="F5480" t="n">
        <v>22</v>
      </c>
    </row>
    <row r="5481">
      <c r="A5481" t="inlineStr">
        <is>
          <t>ORD05480</t>
        </is>
      </c>
      <c r="B5481" t="inlineStr">
        <is>
          <t>C0480</t>
        </is>
      </c>
      <c r="C5481" t="n">
        <v>2</v>
      </c>
      <c r="D5481" t="inlineStr">
        <is>
          <t>Hub B</t>
        </is>
      </c>
      <c r="E5481" t="n">
        <v>38</v>
      </c>
      <c r="F5481" t="n">
        <v>22</v>
      </c>
    </row>
    <row r="5482">
      <c r="A5482" t="inlineStr">
        <is>
          <t>ORD05481</t>
        </is>
      </c>
      <c r="B5482" t="inlineStr">
        <is>
          <t>C0481</t>
        </is>
      </c>
      <c r="C5482" t="n">
        <v>3</v>
      </c>
      <c r="D5482" t="inlineStr">
        <is>
          <t>Hub B</t>
        </is>
      </c>
      <c r="E5482" t="n">
        <v>45</v>
      </c>
      <c r="F5482" t="n">
        <v>22</v>
      </c>
    </row>
    <row r="5483">
      <c r="A5483" t="inlineStr">
        <is>
          <t>ORD05482</t>
        </is>
      </c>
      <c r="B5483" t="inlineStr">
        <is>
          <t>C0482</t>
        </is>
      </c>
      <c r="C5483" t="n">
        <v>1</v>
      </c>
      <c r="D5483" t="inlineStr">
        <is>
          <t>Hub B</t>
        </is>
      </c>
      <c r="E5483" t="n">
        <v>52</v>
      </c>
      <c r="F5483" t="n">
        <v>22</v>
      </c>
    </row>
    <row r="5484">
      <c r="A5484" t="inlineStr">
        <is>
          <t>ORD05483</t>
        </is>
      </c>
      <c r="B5484" t="inlineStr">
        <is>
          <t>C0483</t>
        </is>
      </c>
      <c r="C5484" t="n">
        <v>2</v>
      </c>
      <c r="D5484" t="inlineStr">
        <is>
          <t>Hub B</t>
        </is>
      </c>
      <c r="E5484" t="n">
        <v>59</v>
      </c>
      <c r="F5484" t="n">
        <v>22</v>
      </c>
    </row>
    <row r="5485">
      <c r="A5485" t="inlineStr">
        <is>
          <t>ORD05484</t>
        </is>
      </c>
      <c r="B5485" t="inlineStr">
        <is>
          <t>C0484</t>
        </is>
      </c>
      <c r="C5485" t="n">
        <v>3</v>
      </c>
      <c r="D5485" t="inlineStr">
        <is>
          <t>Hub B</t>
        </is>
      </c>
      <c r="E5485" t="n">
        <v>66</v>
      </c>
      <c r="F5485" t="n">
        <v>22</v>
      </c>
    </row>
    <row r="5486">
      <c r="A5486" t="inlineStr">
        <is>
          <t>ORD05485</t>
        </is>
      </c>
      <c r="B5486" t="inlineStr">
        <is>
          <t>C0485</t>
        </is>
      </c>
      <c r="C5486" t="n">
        <v>1</v>
      </c>
      <c r="D5486" t="inlineStr">
        <is>
          <t>Hub B</t>
        </is>
      </c>
      <c r="E5486" t="n">
        <v>73</v>
      </c>
      <c r="F5486" t="n">
        <v>22</v>
      </c>
    </row>
    <row r="5487">
      <c r="A5487" t="inlineStr">
        <is>
          <t>ORD05486</t>
        </is>
      </c>
      <c r="B5487" t="inlineStr">
        <is>
          <t>C0486</t>
        </is>
      </c>
      <c r="C5487" t="n">
        <v>2</v>
      </c>
      <c r="D5487" t="inlineStr">
        <is>
          <t>Hub B</t>
        </is>
      </c>
      <c r="E5487" t="n">
        <v>20</v>
      </c>
      <c r="F5487" t="n">
        <v>22</v>
      </c>
    </row>
    <row r="5488">
      <c r="A5488" t="inlineStr">
        <is>
          <t>ORD05487</t>
        </is>
      </c>
      <c r="B5488" t="inlineStr">
        <is>
          <t>C0487</t>
        </is>
      </c>
      <c r="C5488" t="n">
        <v>3</v>
      </c>
      <c r="D5488" t="inlineStr">
        <is>
          <t>Hub B</t>
        </is>
      </c>
      <c r="E5488" t="n">
        <v>27</v>
      </c>
      <c r="F5488" t="n">
        <v>22</v>
      </c>
    </row>
    <row r="5489">
      <c r="A5489" t="inlineStr">
        <is>
          <t>ORD05488</t>
        </is>
      </c>
      <c r="B5489" t="inlineStr">
        <is>
          <t>C0488</t>
        </is>
      </c>
      <c r="C5489" t="n">
        <v>1</v>
      </c>
      <c r="D5489" t="inlineStr">
        <is>
          <t>Hub B</t>
        </is>
      </c>
      <c r="E5489" t="n">
        <v>34</v>
      </c>
      <c r="F5489" t="n">
        <v>22</v>
      </c>
    </row>
    <row r="5490">
      <c r="A5490" t="inlineStr">
        <is>
          <t>ORD05489</t>
        </is>
      </c>
      <c r="B5490" t="inlineStr">
        <is>
          <t>C0489</t>
        </is>
      </c>
      <c r="C5490" t="n">
        <v>2</v>
      </c>
      <c r="D5490" t="inlineStr">
        <is>
          <t>Hub B</t>
        </is>
      </c>
      <c r="E5490" t="n">
        <v>41</v>
      </c>
      <c r="F5490" t="n">
        <v>22</v>
      </c>
    </row>
    <row r="5491">
      <c r="A5491" t="inlineStr">
        <is>
          <t>ORD05490</t>
        </is>
      </c>
      <c r="B5491" t="inlineStr">
        <is>
          <t>C0490</t>
        </is>
      </c>
      <c r="C5491" t="n">
        <v>3</v>
      </c>
      <c r="D5491" t="inlineStr">
        <is>
          <t>Hub B</t>
        </is>
      </c>
      <c r="E5491" t="n">
        <v>48</v>
      </c>
      <c r="F5491" t="n">
        <v>22</v>
      </c>
    </row>
    <row r="5492">
      <c r="A5492" t="inlineStr">
        <is>
          <t>ORD05491</t>
        </is>
      </c>
      <c r="B5492" t="inlineStr">
        <is>
          <t>C0491</t>
        </is>
      </c>
      <c r="C5492" t="n">
        <v>1</v>
      </c>
      <c r="D5492" t="inlineStr">
        <is>
          <t>Hub B</t>
        </is>
      </c>
      <c r="E5492" t="n">
        <v>55</v>
      </c>
      <c r="F5492" t="n">
        <v>22</v>
      </c>
    </row>
    <row r="5493">
      <c r="A5493" t="inlineStr">
        <is>
          <t>ORD05492</t>
        </is>
      </c>
      <c r="B5493" t="inlineStr">
        <is>
          <t>C0492</t>
        </is>
      </c>
      <c r="C5493" t="n">
        <v>2</v>
      </c>
      <c r="D5493" t="inlineStr">
        <is>
          <t>Hub B</t>
        </is>
      </c>
      <c r="E5493" t="n">
        <v>62</v>
      </c>
      <c r="F5493" t="n">
        <v>22</v>
      </c>
    </row>
    <row r="5494">
      <c r="A5494" t="inlineStr">
        <is>
          <t>ORD05493</t>
        </is>
      </c>
      <c r="B5494" t="inlineStr">
        <is>
          <t>C0493</t>
        </is>
      </c>
      <c r="C5494" t="n">
        <v>3</v>
      </c>
      <c r="D5494" t="inlineStr">
        <is>
          <t>Hub B</t>
        </is>
      </c>
      <c r="E5494" t="n">
        <v>69</v>
      </c>
      <c r="F5494" t="n">
        <v>22</v>
      </c>
    </row>
    <row r="5495">
      <c r="A5495" t="inlineStr">
        <is>
          <t>ORD05494</t>
        </is>
      </c>
      <c r="B5495" t="inlineStr">
        <is>
          <t>C0494</t>
        </is>
      </c>
      <c r="C5495" t="n">
        <v>1</v>
      </c>
      <c r="D5495" t="inlineStr">
        <is>
          <t>Hub B</t>
        </is>
      </c>
      <c r="E5495" t="n">
        <v>76</v>
      </c>
      <c r="F5495" t="n">
        <v>22</v>
      </c>
    </row>
    <row r="5496">
      <c r="A5496" t="inlineStr">
        <is>
          <t>ORD05495</t>
        </is>
      </c>
      <c r="B5496" t="inlineStr">
        <is>
          <t>C0495</t>
        </is>
      </c>
      <c r="C5496" t="n">
        <v>2</v>
      </c>
      <c r="D5496" t="inlineStr">
        <is>
          <t>Hub B</t>
        </is>
      </c>
      <c r="E5496" t="n">
        <v>23</v>
      </c>
      <c r="F5496" t="n">
        <v>22</v>
      </c>
    </row>
    <row r="5497">
      <c r="A5497" t="inlineStr">
        <is>
          <t>ORD05496</t>
        </is>
      </c>
      <c r="B5497" t="inlineStr">
        <is>
          <t>C0496</t>
        </is>
      </c>
      <c r="C5497" t="n">
        <v>3</v>
      </c>
      <c r="D5497" t="inlineStr">
        <is>
          <t>Hub B</t>
        </is>
      </c>
      <c r="E5497" t="n">
        <v>30</v>
      </c>
      <c r="F5497" t="n">
        <v>22</v>
      </c>
    </row>
    <row r="5498">
      <c r="A5498" t="inlineStr">
        <is>
          <t>ORD05497</t>
        </is>
      </c>
      <c r="B5498" t="inlineStr">
        <is>
          <t>C0497</t>
        </is>
      </c>
      <c r="C5498" t="n">
        <v>1</v>
      </c>
      <c r="D5498" t="inlineStr">
        <is>
          <t>Hub B</t>
        </is>
      </c>
      <c r="E5498" t="n">
        <v>37</v>
      </c>
      <c r="F5498" t="n">
        <v>22</v>
      </c>
    </row>
    <row r="5499">
      <c r="A5499" t="inlineStr">
        <is>
          <t>ORD05498</t>
        </is>
      </c>
      <c r="B5499" t="inlineStr">
        <is>
          <t>C0498</t>
        </is>
      </c>
      <c r="C5499" t="n">
        <v>2</v>
      </c>
      <c r="D5499" t="inlineStr">
        <is>
          <t>Hub B</t>
        </is>
      </c>
      <c r="E5499" t="n">
        <v>44</v>
      </c>
      <c r="F5499" t="n">
        <v>22</v>
      </c>
    </row>
    <row r="5500">
      <c r="A5500" t="inlineStr">
        <is>
          <t>ORD05499</t>
        </is>
      </c>
      <c r="B5500" t="inlineStr">
        <is>
          <t>C0499</t>
        </is>
      </c>
      <c r="C5500" t="n">
        <v>3</v>
      </c>
      <c r="D5500" t="inlineStr">
        <is>
          <t>Hub B</t>
        </is>
      </c>
      <c r="E5500" t="n">
        <v>51</v>
      </c>
      <c r="F5500" t="n">
        <v>22</v>
      </c>
    </row>
    <row r="5501">
      <c r="A5501" t="inlineStr">
        <is>
          <t>ORD05500</t>
        </is>
      </c>
      <c r="B5501" t="inlineStr">
        <is>
          <t>C0500</t>
        </is>
      </c>
      <c r="C5501" t="n">
        <v>1</v>
      </c>
      <c r="D5501" t="inlineStr">
        <is>
          <t>Hub B</t>
        </is>
      </c>
      <c r="E5501" t="n">
        <v>58</v>
      </c>
      <c r="F5501" t="n">
        <v>22</v>
      </c>
    </row>
    <row r="5502">
      <c r="A5502" t="inlineStr">
        <is>
          <t>ORD05501</t>
        </is>
      </c>
      <c r="B5502" t="inlineStr">
        <is>
          <t>C0501</t>
        </is>
      </c>
      <c r="C5502" t="n">
        <v>2</v>
      </c>
      <c r="D5502" t="inlineStr">
        <is>
          <t>Hub B</t>
        </is>
      </c>
      <c r="E5502" t="n">
        <v>65</v>
      </c>
      <c r="F5502" t="n">
        <v>22</v>
      </c>
    </row>
    <row r="5503">
      <c r="A5503" t="inlineStr">
        <is>
          <t>ORD05502</t>
        </is>
      </c>
      <c r="B5503" t="inlineStr">
        <is>
          <t>C0502</t>
        </is>
      </c>
      <c r="C5503" t="n">
        <v>3</v>
      </c>
      <c r="D5503" t="inlineStr">
        <is>
          <t>Hub B</t>
        </is>
      </c>
      <c r="E5503" t="n">
        <v>72</v>
      </c>
      <c r="F5503" t="n">
        <v>22</v>
      </c>
    </row>
    <row r="5504">
      <c r="A5504" t="inlineStr">
        <is>
          <t>ORD05503</t>
        </is>
      </c>
      <c r="B5504" t="inlineStr">
        <is>
          <t>C0503</t>
        </is>
      </c>
      <c r="C5504" t="n">
        <v>1</v>
      </c>
      <c r="D5504" t="inlineStr">
        <is>
          <t>Hub B</t>
        </is>
      </c>
      <c r="E5504" t="n">
        <v>19</v>
      </c>
      <c r="F5504" t="n">
        <v>22</v>
      </c>
    </row>
    <row r="5505">
      <c r="A5505" t="inlineStr">
        <is>
          <t>ORD05504</t>
        </is>
      </c>
      <c r="B5505" t="inlineStr">
        <is>
          <t>C0504</t>
        </is>
      </c>
      <c r="C5505" t="n">
        <v>2</v>
      </c>
      <c r="D5505" t="inlineStr">
        <is>
          <t>Hub B</t>
        </is>
      </c>
      <c r="E5505" t="n">
        <v>26</v>
      </c>
      <c r="F5505" t="n">
        <v>22</v>
      </c>
    </row>
    <row r="5506">
      <c r="A5506" t="inlineStr">
        <is>
          <t>ORD05505</t>
        </is>
      </c>
      <c r="B5506" t="inlineStr">
        <is>
          <t>C0505</t>
        </is>
      </c>
      <c r="C5506" t="n">
        <v>3</v>
      </c>
      <c r="D5506" t="inlineStr">
        <is>
          <t>Hub B</t>
        </is>
      </c>
      <c r="E5506" t="n">
        <v>33</v>
      </c>
      <c r="F5506" t="n">
        <v>22</v>
      </c>
    </row>
    <row r="5507">
      <c r="A5507" t="inlineStr">
        <is>
          <t>ORD05506</t>
        </is>
      </c>
      <c r="B5507" t="inlineStr">
        <is>
          <t>C0506</t>
        </is>
      </c>
      <c r="C5507" t="n">
        <v>1</v>
      </c>
      <c r="D5507" t="inlineStr">
        <is>
          <t>Hub B</t>
        </is>
      </c>
      <c r="E5507" t="n">
        <v>40</v>
      </c>
      <c r="F5507" t="n">
        <v>22</v>
      </c>
    </row>
    <row r="5508">
      <c r="A5508" t="inlineStr">
        <is>
          <t>ORD05507</t>
        </is>
      </c>
      <c r="B5508" t="inlineStr">
        <is>
          <t>C0507</t>
        </is>
      </c>
      <c r="C5508" t="n">
        <v>2</v>
      </c>
      <c r="D5508" t="inlineStr">
        <is>
          <t>Hub B</t>
        </is>
      </c>
      <c r="E5508" t="n">
        <v>47</v>
      </c>
      <c r="F5508" t="n">
        <v>22</v>
      </c>
    </row>
    <row r="5509">
      <c r="A5509" t="inlineStr">
        <is>
          <t>ORD05508</t>
        </is>
      </c>
      <c r="B5509" t="inlineStr">
        <is>
          <t>C0508</t>
        </is>
      </c>
      <c r="C5509" t="n">
        <v>3</v>
      </c>
      <c r="D5509" t="inlineStr">
        <is>
          <t>Hub B</t>
        </is>
      </c>
      <c r="E5509" t="n">
        <v>54</v>
      </c>
      <c r="F5509" t="n">
        <v>22</v>
      </c>
    </row>
    <row r="5510">
      <c r="A5510" t="inlineStr">
        <is>
          <t>ORD05509</t>
        </is>
      </c>
      <c r="B5510" t="inlineStr">
        <is>
          <t>C0509</t>
        </is>
      </c>
      <c r="C5510" t="n">
        <v>1</v>
      </c>
      <c r="D5510" t="inlineStr">
        <is>
          <t>Hub B</t>
        </is>
      </c>
      <c r="E5510" t="n">
        <v>61</v>
      </c>
      <c r="F5510" t="n">
        <v>22</v>
      </c>
    </row>
    <row r="5511">
      <c r="A5511" t="inlineStr">
        <is>
          <t>ORD05510</t>
        </is>
      </c>
      <c r="B5511" t="inlineStr">
        <is>
          <t>C0510</t>
        </is>
      </c>
      <c r="C5511" t="n">
        <v>2</v>
      </c>
      <c r="D5511" t="inlineStr">
        <is>
          <t>Hub B</t>
        </is>
      </c>
      <c r="E5511" t="n">
        <v>68</v>
      </c>
      <c r="F5511" t="n">
        <v>22</v>
      </c>
    </row>
    <row r="5512">
      <c r="A5512" t="inlineStr">
        <is>
          <t>ORD05511</t>
        </is>
      </c>
      <c r="B5512" t="inlineStr">
        <is>
          <t>C0511</t>
        </is>
      </c>
      <c r="C5512" t="n">
        <v>3</v>
      </c>
      <c r="D5512" t="inlineStr">
        <is>
          <t>Hub B</t>
        </is>
      </c>
      <c r="E5512" t="n">
        <v>75</v>
      </c>
      <c r="F5512" t="n">
        <v>22</v>
      </c>
    </row>
    <row r="5513">
      <c r="A5513" t="inlineStr">
        <is>
          <t>ORD05512</t>
        </is>
      </c>
      <c r="B5513" t="inlineStr">
        <is>
          <t>C0512</t>
        </is>
      </c>
      <c r="C5513" t="n">
        <v>1</v>
      </c>
      <c r="D5513" t="inlineStr">
        <is>
          <t>Hub B</t>
        </is>
      </c>
      <c r="E5513" t="n">
        <v>22</v>
      </c>
      <c r="F5513" t="n">
        <v>22</v>
      </c>
    </row>
    <row r="5514">
      <c r="A5514" t="inlineStr">
        <is>
          <t>ORD05513</t>
        </is>
      </c>
      <c r="B5514" t="inlineStr">
        <is>
          <t>C0513</t>
        </is>
      </c>
      <c r="C5514" t="n">
        <v>2</v>
      </c>
      <c r="D5514" t="inlineStr">
        <is>
          <t>Hub B</t>
        </is>
      </c>
      <c r="E5514" t="n">
        <v>29</v>
      </c>
      <c r="F5514" t="n">
        <v>22</v>
      </c>
    </row>
    <row r="5515">
      <c r="A5515" t="inlineStr">
        <is>
          <t>ORD05514</t>
        </is>
      </c>
      <c r="B5515" t="inlineStr">
        <is>
          <t>C0514</t>
        </is>
      </c>
      <c r="C5515" t="n">
        <v>3</v>
      </c>
      <c r="D5515" t="inlineStr">
        <is>
          <t>Hub B</t>
        </is>
      </c>
      <c r="E5515" t="n">
        <v>36</v>
      </c>
      <c r="F5515" t="n">
        <v>22</v>
      </c>
    </row>
    <row r="5516">
      <c r="A5516" t="inlineStr">
        <is>
          <t>ORD05515</t>
        </is>
      </c>
      <c r="B5516" t="inlineStr">
        <is>
          <t>C0515</t>
        </is>
      </c>
      <c r="C5516" t="n">
        <v>1</v>
      </c>
      <c r="D5516" t="inlineStr">
        <is>
          <t>Hub B</t>
        </is>
      </c>
      <c r="E5516" t="n">
        <v>43</v>
      </c>
      <c r="F5516" t="n">
        <v>22</v>
      </c>
    </row>
    <row r="5517">
      <c r="A5517" t="inlineStr">
        <is>
          <t>ORD05516</t>
        </is>
      </c>
      <c r="B5517" t="inlineStr">
        <is>
          <t>C0516</t>
        </is>
      </c>
      <c r="C5517" t="n">
        <v>2</v>
      </c>
      <c r="D5517" t="inlineStr">
        <is>
          <t>Hub B</t>
        </is>
      </c>
      <c r="E5517" t="n">
        <v>50</v>
      </c>
      <c r="F5517" t="n">
        <v>22</v>
      </c>
    </row>
    <row r="5518">
      <c r="A5518" t="inlineStr">
        <is>
          <t>ORD05517</t>
        </is>
      </c>
      <c r="B5518" t="inlineStr">
        <is>
          <t>C0517</t>
        </is>
      </c>
      <c r="C5518" t="n">
        <v>3</v>
      </c>
      <c r="D5518" t="inlineStr">
        <is>
          <t>Hub B</t>
        </is>
      </c>
      <c r="E5518" t="n">
        <v>57</v>
      </c>
      <c r="F5518" t="n">
        <v>22</v>
      </c>
    </row>
    <row r="5519">
      <c r="A5519" t="inlineStr">
        <is>
          <t>ORD05518</t>
        </is>
      </c>
      <c r="B5519" t="inlineStr">
        <is>
          <t>C0518</t>
        </is>
      </c>
      <c r="C5519" t="n">
        <v>1</v>
      </c>
      <c r="D5519" t="inlineStr">
        <is>
          <t>Hub B</t>
        </is>
      </c>
      <c r="E5519" t="n">
        <v>64</v>
      </c>
      <c r="F5519" t="n">
        <v>22</v>
      </c>
    </row>
    <row r="5520">
      <c r="A5520" t="inlineStr">
        <is>
          <t>ORD05519</t>
        </is>
      </c>
      <c r="B5520" t="inlineStr">
        <is>
          <t>C0519</t>
        </is>
      </c>
      <c r="C5520" t="n">
        <v>2</v>
      </c>
      <c r="D5520" t="inlineStr">
        <is>
          <t>Hub B</t>
        </is>
      </c>
      <c r="E5520" t="n">
        <v>71</v>
      </c>
      <c r="F5520" t="n">
        <v>22</v>
      </c>
    </row>
    <row r="5521">
      <c r="A5521" t="inlineStr">
        <is>
          <t>ORD05520</t>
        </is>
      </c>
      <c r="B5521" t="inlineStr">
        <is>
          <t>C0520</t>
        </is>
      </c>
      <c r="C5521" t="n">
        <v>3</v>
      </c>
      <c r="D5521" t="inlineStr">
        <is>
          <t>Hub B</t>
        </is>
      </c>
      <c r="E5521" t="n">
        <v>18</v>
      </c>
      <c r="F5521" t="n">
        <v>22</v>
      </c>
    </row>
    <row r="5522">
      <c r="A5522" t="inlineStr">
        <is>
          <t>ORD05521</t>
        </is>
      </c>
      <c r="B5522" t="inlineStr">
        <is>
          <t>C0521</t>
        </is>
      </c>
      <c r="C5522" t="n">
        <v>1</v>
      </c>
      <c r="D5522" t="inlineStr">
        <is>
          <t>Hub B</t>
        </is>
      </c>
      <c r="E5522" t="n">
        <v>25</v>
      </c>
      <c r="F5522" t="n">
        <v>22</v>
      </c>
    </row>
    <row r="5523">
      <c r="A5523" t="inlineStr">
        <is>
          <t>ORD05522</t>
        </is>
      </c>
      <c r="B5523" t="inlineStr">
        <is>
          <t>C0522</t>
        </is>
      </c>
      <c r="C5523" t="n">
        <v>2</v>
      </c>
      <c r="D5523" t="inlineStr">
        <is>
          <t>Hub B</t>
        </is>
      </c>
      <c r="E5523" t="n">
        <v>32</v>
      </c>
      <c r="F5523" t="n">
        <v>22</v>
      </c>
    </row>
    <row r="5524">
      <c r="A5524" t="inlineStr">
        <is>
          <t>ORD05523</t>
        </is>
      </c>
      <c r="B5524" t="inlineStr">
        <is>
          <t>C0523</t>
        </is>
      </c>
      <c r="C5524" t="n">
        <v>3</v>
      </c>
      <c r="D5524" t="inlineStr">
        <is>
          <t>Hub B</t>
        </is>
      </c>
      <c r="E5524" t="n">
        <v>39</v>
      </c>
      <c r="F5524" t="n">
        <v>22</v>
      </c>
    </row>
    <row r="5525">
      <c r="A5525" t="inlineStr">
        <is>
          <t>ORD05524</t>
        </is>
      </c>
      <c r="B5525" t="inlineStr">
        <is>
          <t>C0524</t>
        </is>
      </c>
      <c r="C5525" t="n">
        <v>1</v>
      </c>
      <c r="D5525" t="inlineStr">
        <is>
          <t>Hub B</t>
        </is>
      </c>
      <c r="E5525" t="n">
        <v>46</v>
      </c>
      <c r="F5525" t="n">
        <v>22</v>
      </c>
    </row>
    <row r="5526">
      <c r="A5526" t="inlineStr">
        <is>
          <t>ORD05525</t>
        </is>
      </c>
      <c r="B5526" t="inlineStr">
        <is>
          <t>C0525</t>
        </is>
      </c>
      <c r="C5526" t="n">
        <v>2</v>
      </c>
      <c r="D5526" t="inlineStr">
        <is>
          <t>Hub B</t>
        </is>
      </c>
      <c r="E5526" t="n">
        <v>53</v>
      </c>
      <c r="F5526" t="n">
        <v>22</v>
      </c>
    </row>
    <row r="5527">
      <c r="A5527" t="inlineStr">
        <is>
          <t>ORD05526</t>
        </is>
      </c>
      <c r="B5527" t="inlineStr">
        <is>
          <t>C0526</t>
        </is>
      </c>
      <c r="C5527" t="n">
        <v>3</v>
      </c>
      <c r="D5527" t="inlineStr">
        <is>
          <t>Hub B</t>
        </is>
      </c>
      <c r="E5527" t="n">
        <v>60</v>
      </c>
      <c r="F5527" t="n">
        <v>22</v>
      </c>
    </row>
    <row r="5528">
      <c r="A5528" t="inlineStr">
        <is>
          <t>ORD05527</t>
        </is>
      </c>
      <c r="B5528" t="inlineStr">
        <is>
          <t>C0527</t>
        </is>
      </c>
      <c r="C5528" t="n">
        <v>1</v>
      </c>
      <c r="D5528" t="inlineStr">
        <is>
          <t>Hub B</t>
        </is>
      </c>
      <c r="E5528" t="n">
        <v>67</v>
      </c>
      <c r="F5528" t="n">
        <v>22</v>
      </c>
    </row>
    <row r="5529">
      <c r="A5529" t="inlineStr">
        <is>
          <t>ORD05528</t>
        </is>
      </c>
      <c r="B5529" t="inlineStr">
        <is>
          <t>C0528</t>
        </is>
      </c>
      <c r="C5529" t="n">
        <v>2</v>
      </c>
      <c r="D5529" t="inlineStr">
        <is>
          <t>Hub B</t>
        </is>
      </c>
      <c r="E5529" t="n">
        <v>74</v>
      </c>
      <c r="F5529" t="n">
        <v>22</v>
      </c>
    </row>
    <row r="5530">
      <c r="A5530" t="inlineStr">
        <is>
          <t>ORD05529</t>
        </is>
      </c>
      <c r="B5530" t="inlineStr">
        <is>
          <t>C0529</t>
        </is>
      </c>
      <c r="C5530" t="n">
        <v>3</v>
      </c>
      <c r="D5530" t="inlineStr">
        <is>
          <t>Hub B</t>
        </is>
      </c>
      <c r="E5530" t="n">
        <v>21</v>
      </c>
      <c r="F5530" t="n">
        <v>22</v>
      </c>
    </row>
    <row r="5531">
      <c r="A5531" t="inlineStr">
        <is>
          <t>ORD05530</t>
        </is>
      </c>
      <c r="B5531" t="inlineStr">
        <is>
          <t>C0530</t>
        </is>
      </c>
      <c r="C5531" t="n">
        <v>1</v>
      </c>
      <c r="D5531" t="inlineStr">
        <is>
          <t>Hub B</t>
        </is>
      </c>
      <c r="E5531" t="n">
        <v>28</v>
      </c>
      <c r="F5531" t="n">
        <v>22</v>
      </c>
    </row>
    <row r="5532">
      <c r="A5532" t="inlineStr">
        <is>
          <t>ORD05531</t>
        </is>
      </c>
      <c r="B5532" t="inlineStr">
        <is>
          <t>C0531</t>
        </is>
      </c>
      <c r="C5532" t="n">
        <v>2</v>
      </c>
      <c r="D5532" t="inlineStr">
        <is>
          <t>Hub B</t>
        </is>
      </c>
      <c r="E5532" t="n">
        <v>35</v>
      </c>
      <c r="F5532" t="n">
        <v>22</v>
      </c>
    </row>
    <row r="5533">
      <c r="A5533" t="inlineStr">
        <is>
          <t>ORD05532</t>
        </is>
      </c>
      <c r="B5533" t="inlineStr">
        <is>
          <t>C0532</t>
        </is>
      </c>
      <c r="C5533" t="n">
        <v>3</v>
      </c>
      <c r="D5533" t="inlineStr">
        <is>
          <t>Hub B</t>
        </is>
      </c>
      <c r="E5533" t="n">
        <v>42</v>
      </c>
      <c r="F5533" t="n">
        <v>22</v>
      </c>
    </row>
    <row r="5534">
      <c r="A5534" t="inlineStr">
        <is>
          <t>ORD05533</t>
        </is>
      </c>
      <c r="B5534" t="inlineStr">
        <is>
          <t>C0533</t>
        </is>
      </c>
      <c r="C5534" t="n">
        <v>1</v>
      </c>
      <c r="D5534" t="inlineStr">
        <is>
          <t>Hub B</t>
        </is>
      </c>
      <c r="E5534" t="n">
        <v>49</v>
      </c>
      <c r="F5534" t="n">
        <v>22</v>
      </c>
    </row>
    <row r="5535">
      <c r="A5535" t="inlineStr">
        <is>
          <t>ORD05534</t>
        </is>
      </c>
      <c r="B5535" t="inlineStr">
        <is>
          <t>C0534</t>
        </is>
      </c>
      <c r="C5535" t="n">
        <v>2</v>
      </c>
      <c r="D5535" t="inlineStr">
        <is>
          <t>Hub B</t>
        </is>
      </c>
      <c r="E5535" t="n">
        <v>56</v>
      </c>
      <c r="F5535" t="n">
        <v>22</v>
      </c>
    </row>
    <row r="5536">
      <c r="A5536" t="inlineStr">
        <is>
          <t>ORD05535</t>
        </is>
      </c>
      <c r="B5536" t="inlineStr">
        <is>
          <t>C0535</t>
        </is>
      </c>
      <c r="C5536" t="n">
        <v>3</v>
      </c>
      <c r="D5536" t="inlineStr">
        <is>
          <t>Hub B</t>
        </is>
      </c>
      <c r="E5536" t="n">
        <v>63</v>
      </c>
      <c r="F5536" t="n">
        <v>22</v>
      </c>
    </row>
    <row r="5537">
      <c r="A5537" t="inlineStr">
        <is>
          <t>ORD05536</t>
        </is>
      </c>
      <c r="B5537" t="inlineStr">
        <is>
          <t>C0536</t>
        </is>
      </c>
      <c r="C5537" t="n">
        <v>1</v>
      </c>
      <c r="D5537" t="inlineStr">
        <is>
          <t>Hub B</t>
        </is>
      </c>
      <c r="E5537" t="n">
        <v>70</v>
      </c>
      <c r="F5537" t="n">
        <v>22</v>
      </c>
    </row>
    <row r="5538">
      <c r="A5538" t="inlineStr">
        <is>
          <t>ORD05537</t>
        </is>
      </c>
      <c r="B5538" t="inlineStr">
        <is>
          <t>C0537</t>
        </is>
      </c>
      <c r="C5538" t="n">
        <v>2</v>
      </c>
      <c r="D5538" t="inlineStr">
        <is>
          <t>Hub B</t>
        </is>
      </c>
      <c r="E5538" t="n">
        <v>77</v>
      </c>
      <c r="F5538" t="n">
        <v>22</v>
      </c>
    </row>
    <row r="5539">
      <c r="A5539" t="inlineStr">
        <is>
          <t>ORD05538</t>
        </is>
      </c>
      <c r="B5539" t="inlineStr">
        <is>
          <t>C0538</t>
        </is>
      </c>
      <c r="C5539" t="n">
        <v>3</v>
      </c>
      <c r="D5539" t="inlineStr">
        <is>
          <t>Hub B</t>
        </is>
      </c>
      <c r="E5539" t="n">
        <v>24</v>
      </c>
      <c r="F5539" t="n">
        <v>22</v>
      </c>
    </row>
    <row r="5540">
      <c r="A5540" t="inlineStr">
        <is>
          <t>ORD05539</t>
        </is>
      </c>
      <c r="B5540" t="inlineStr">
        <is>
          <t>C0539</t>
        </is>
      </c>
      <c r="C5540" t="n">
        <v>1</v>
      </c>
      <c r="D5540" t="inlineStr">
        <is>
          <t>Hub B</t>
        </is>
      </c>
      <c r="E5540" t="n">
        <v>31</v>
      </c>
      <c r="F5540" t="n">
        <v>22</v>
      </c>
    </row>
    <row r="5541">
      <c r="A5541" t="inlineStr">
        <is>
          <t>ORD05540</t>
        </is>
      </c>
      <c r="B5541" t="inlineStr">
        <is>
          <t>C0540</t>
        </is>
      </c>
      <c r="C5541" t="n">
        <v>2</v>
      </c>
      <c r="D5541" t="inlineStr">
        <is>
          <t>Hub B</t>
        </is>
      </c>
      <c r="E5541" t="n">
        <v>38</v>
      </c>
      <c r="F5541" t="n">
        <v>22</v>
      </c>
    </row>
    <row r="5542">
      <c r="A5542" t="inlineStr">
        <is>
          <t>ORD05541</t>
        </is>
      </c>
      <c r="B5542" t="inlineStr">
        <is>
          <t>C0541</t>
        </is>
      </c>
      <c r="C5542" t="n">
        <v>3</v>
      </c>
      <c r="D5542" t="inlineStr">
        <is>
          <t>Hub B</t>
        </is>
      </c>
      <c r="E5542" t="n">
        <v>45</v>
      </c>
      <c r="F5542" t="n">
        <v>22</v>
      </c>
    </row>
    <row r="5543">
      <c r="A5543" t="inlineStr">
        <is>
          <t>ORD05542</t>
        </is>
      </c>
      <c r="B5543" t="inlineStr">
        <is>
          <t>C0542</t>
        </is>
      </c>
      <c r="C5543" t="n">
        <v>1</v>
      </c>
      <c r="D5543" t="inlineStr">
        <is>
          <t>Hub B</t>
        </is>
      </c>
      <c r="E5543" t="n">
        <v>52</v>
      </c>
      <c r="F5543" t="n">
        <v>22</v>
      </c>
    </row>
    <row r="5544">
      <c r="A5544" t="inlineStr">
        <is>
          <t>ORD05543</t>
        </is>
      </c>
      <c r="B5544" t="inlineStr">
        <is>
          <t>C0543</t>
        </is>
      </c>
      <c r="C5544" t="n">
        <v>2</v>
      </c>
      <c r="D5544" t="inlineStr">
        <is>
          <t>Hub B</t>
        </is>
      </c>
      <c r="E5544" t="n">
        <v>59</v>
      </c>
      <c r="F5544" t="n">
        <v>22</v>
      </c>
    </row>
    <row r="5545">
      <c r="A5545" t="inlineStr">
        <is>
          <t>ORD05544</t>
        </is>
      </c>
      <c r="B5545" t="inlineStr">
        <is>
          <t>C0544</t>
        </is>
      </c>
      <c r="C5545" t="n">
        <v>3</v>
      </c>
      <c r="D5545" t="inlineStr">
        <is>
          <t>Hub B</t>
        </is>
      </c>
      <c r="E5545" t="n">
        <v>66</v>
      </c>
      <c r="F5545" t="n">
        <v>22</v>
      </c>
    </row>
    <row r="5546">
      <c r="A5546" t="inlineStr">
        <is>
          <t>ORD05545</t>
        </is>
      </c>
      <c r="B5546" t="inlineStr">
        <is>
          <t>C0545</t>
        </is>
      </c>
      <c r="C5546" t="n">
        <v>1</v>
      </c>
      <c r="D5546" t="inlineStr">
        <is>
          <t>Hub B</t>
        </is>
      </c>
      <c r="E5546" t="n">
        <v>73</v>
      </c>
      <c r="F5546" t="n">
        <v>22</v>
      </c>
    </row>
    <row r="5547">
      <c r="A5547" t="inlineStr">
        <is>
          <t>ORD05546</t>
        </is>
      </c>
      <c r="B5547" t="inlineStr">
        <is>
          <t>C0546</t>
        </is>
      </c>
      <c r="C5547" t="n">
        <v>2</v>
      </c>
      <c r="D5547" t="inlineStr">
        <is>
          <t>Hub B</t>
        </is>
      </c>
      <c r="E5547" t="n">
        <v>20</v>
      </c>
      <c r="F5547" t="n">
        <v>22</v>
      </c>
    </row>
    <row r="5548">
      <c r="A5548" t="inlineStr">
        <is>
          <t>ORD05547</t>
        </is>
      </c>
      <c r="B5548" t="inlineStr">
        <is>
          <t>C0547</t>
        </is>
      </c>
      <c r="C5548" t="n">
        <v>3</v>
      </c>
      <c r="D5548" t="inlineStr">
        <is>
          <t>Hub B</t>
        </is>
      </c>
      <c r="E5548" t="n">
        <v>27</v>
      </c>
      <c r="F5548" t="n">
        <v>22</v>
      </c>
    </row>
    <row r="5549">
      <c r="A5549" t="inlineStr">
        <is>
          <t>ORD05548</t>
        </is>
      </c>
      <c r="B5549" t="inlineStr">
        <is>
          <t>C0548</t>
        </is>
      </c>
      <c r="C5549" t="n">
        <v>1</v>
      </c>
      <c r="D5549" t="inlineStr">
        <is>
          <t>Hub B</t>
        </is>
      </c>
      <c r="E5549" t="n">
        <v>34</v>
      </c>
      <c r="F5549" t="n">
        <v>22</v>
      </c>
    </row>
    <row r="5550">
      <c r="A5550" t="inlineStr">
        <is>
          <t>ORD05549</t>
        </is>
      </c>
      <c r="B5550" t="inlineStr">
        <is>
          <t>C0549</t>
        </is>
      </c>
      <c r="C5550" t="n">
        <v>2</v>
      </c>
      <c r="D5550" t="inlineStr">
        <is>
          <t>Hub B</t>
        </is>
      </c>
      <c r="E5550" t="n">
        <v>41</v>
      </c>
      <c r="F5550" t="n">
        <v>22</v>
      </c>
    </row>
    <row r="5551">
      <c r="A5551" t="inlineStr">
        <is>
          <t>ORD05550</t>
        </is>
      </c>
      <c r="B5551" t="inlineStr">
        <is>
          <t>C0550</t>
        </is>
      </c>
      <c r="C5551" t="n">
        <v>3</v>
      </c>
      <c r="D5551" t="inlineStr">
        <is>
          <t>Hub B</t>
        </is>
      </c>
      <c r="E5551" t="n">
        <v>48</v>
      </c>
      <c r="F5551" t="n">
        <v>22</v>
      </c>
    </row>
    <row r="5552">
      <c r="A5552" t="inlineStr">
        <is>
          <t>ORD05551</t>
        </is>
      </c>
      <c r="B5552" t="inlineStr">
        <is>
          <t>C0551</t>
        </is>
      </c>
      <c r="C5552" t="n">
        <v>1</v>
      </c>
      <c r="D5552" t="inlineStr">
        <is>
          <t>Hub B</t>
        </is>
      </c>
      <c r="E5552" t="n">
        <v>55</v>
      </c>
      <c r="F5552" t="n">
        <v>22</v>
      </c>
    </row>
    <row r="5553">
      <c r="A5553" t="inlineStr">
        <is>
          <t>ORD05552</t>
        </is>
      </c>
      <c r="B5553" t="inlineStr">
        <is>
          <t>C0552</t>
        </is>
      </c>
      <c r="C5553" t="n">
        <v>2</v>
      </c>
      <c r="D5553" t="inlineStr">
        <is>
          <t>Hub B</t>
        </is>
      </c>
      <c r="E5553" t="n">
        <v>62</v>
      </c>
      <c r="F5553" t="n">
        <v>22</v>
      </c>
    </row>
    <row r="5554">
      <c r="A5554" t="inlineStr">
        <is>
          <t>ORD05553</t>
        </is>
      </c>
      <c r="B5554" t="inlineStr">
        <is>
          <t>C0553</t>
        </is>
      </c>
      <c r="C5554" t="n">
        <v>3</v>
      </c>
      <c r="D5554" t="inlineStr">
        <is>
          <t>Hub B</t>
        </is>
      </c>
      <c r="E5554" t="n">
        <v>69</v>
      </c>
      <c r="F5554" t="n">
        <v>22</v>
      </c>
    </row>
    <row r="5555">
      <c r="A5555" t="inlineStr">
        <is>
          <t>ORD05554</t>
        </is>
      </c>
      <c r="B5555" t="inlineStr">
        <is>
          <t>C0554</t>
        </is>
      </c>
      <c r="C5555" t="n">
        <v>1</v>
      </c>
      <c r="D5555" t="inlineStr">
        <is>
          <t>Hub B</t>
        </is>
      </c>
      <c r="E5555" t="n">
        <v>76</v>
      </c>
      <c r="F5555" t="n">
        <v>22</v>
      </c>
    </row>
    <row r="5556">
      <c r="A5556" t="inlineStr">
        <is>
          <t>ORD05555</t>
        </is>
      </c>
      <c r="B5556" t="inlineStr">
        <is>
          <t>C0555</t>
        </is>
      </c>
      <c r="C5556" t="n">
        <v>2</v>
      </c>
      <c r="D5556" t="inlineStr">
        <is>
          <t>Hub B</t>
        </is>
      </c>
      <c r="E5556" t="n">
        <v>23</v>
      </c>
      <c r="F5556" t="n">
        <v>22</v>
      </c>
    </row>
    <row r="5557">
      <c r="A5557" t="inlineStr">
        <is>
          <t>ORD05556</t>
        </is>
      </c>
      <c r="B5557" t="inlineStr">
        <is>
          <t>C0556</t>
        </is>
      </c>
      <c r="C5557" t="n">
        <v>3</v>
      </c>
      <c r="D5557" t="inlineStr">
        <is>
          <t>Hub B</t>
        </is>
      </c>
      <c r="E5557" t="n">
        <v>30</v>
      </c>
      <c r="F5557" t="n">
        <v>22</v>
      </c>
    </row>
    <row r="5558">
      <c r="A5558" t="inlineStr">
        <is>
          <t>ORD05557</t>
        </is>
      </c>
      <c r="B5558" t="inlineStr">
        <is>
          <t>C0557</t>
        </is>
      </c>
      <c r="C5558" t="n">
        <v>1</v>
      </c>
      <c r="D5558" t="inlineStr">
        <is>
          <t>Hub B</t>
        </is>
      </c>
      <c r="E5558" t="n">
        <v>37</v>
      </c>
      <c r="F5558" t="n">
        <v>22</v>
      </c>
    </row>
    <row r="5559">
      <c r="A5559" t="inlineStr">
        <is>
          <t>ORD05558</t>
        </is>
      </c>
      <c r="B5559" t="inlineStr">
        <is>
          <t>C0558</t>
        </is>
      </c>
      <c r="C5559" t="n">
        <v>2</v>
      </c>
      <c r="D5559" t="inlineStr">
        <is>
          <t>Hub B</t>
        </is>
      </c>
      <c r="E5559" t="n">
        <v>44</v>
      </c>
      <c r="F5559" t="n">
        <v>22</v>
      </c>
    </row>
    <row r="5560">
      <c r="A5560" t="inlineStr">
        <is>
          <t>ORD05559</t>
        </is>
      </c>
      <c r="B5560" t="inlineStr">
        <is>
          <t>C0559</t>
        </is>
      </c>
      <c r="C5560" t="n">
        <v>3</v>
      </c>
      <c r="D5560" t="inlineStr">
        <is>
          <t>Hub B</t>
        </is>
      </c>
      <c r="E5560" t="n">
        <v>51</v>
      </c>
      <c r="F5560" t="n">
        <v>22</v>
      </c>
    </row>
    <row r="5561">
      <c r="A5561" t="inlineStr">
        <is>
          <t>ORD05560</t>
        </is>
      </c>
      <c r="B5561" t="inlineStr">
        <is>
          <t>C0560</t>
        </is>
      </c>
      <c r="C5561" t="n">
        <v>1</v>
      </c>
      <c r="D5561" t="inlineStr">
        <is>
          <t>Hub B</t>
        </is>
      </c>
      <c r="E5561" t="n">
        <v>58</v>
      </c>
      <c r="F5561" t="n">
        <v>22</v>
      </c>
    </row>
    <row r="5562">
      <c r="A5562" t="inlineStr">
        <is>
          <t>ORD05561</t>
        </is>
      </c>
      <c r="B5562" t="inlineStr">
        <is>
          <t>C0561</t>
        </is>
      </c>
      <c r="C5562" t="n">
        <v>2</v>
      </c>
      <c r="D5562" t="inlineStr">
        <is>
          <t>Hub B</t>
        </is>
      </c>
      <c r="E5562" t="n">
        <v>65</v>
      </c>
      <c r="F5562" t="n">
        <v>22</v>
      </c>
    </row>
    <row r="5563">
      <c r="A5563" t="inlineStr">
        <is>
          <t>ORD05562</t>
        </is>
      </c>
      <c r="B5563" t="inlineStr">
        <is>
          <t>C0562</t>
        </is>
      </c>
      <c r="C5563" t="n">
        <v>3</v>
      </c>
      <c r="D5563" t="inlineStr">
        <is>
          <t>Hub B</t>
        </is>
      </c>
      <c r="E5563" t="n">
        <v>72</v>
      </c>
      <c r="F5563" t="n">
        <v>22</v>
      </c>
    </row>
    <row r="5564">
      <c r="A5564" t="inlineStr">
        <is>
          <t>ORD05563</t>
        </is>
      </c>
      <c r="B5564" t="inlineStr">
        <is>
          <t>C0563</t>
        </is>
      </c>
      <c r="C5564" t="n">
        <v>1</v>
      </c>
      <c r="D5564" t="inlineStr">
        <is>
          <t>Hub B</t>
        </is>
      </c>
      <c r="E5564" t="n">
        <v>19</v>
      </c>
      <c r="F5564" t="n">
        <v>22</v>
      </c>
    </row>
    <row r="5565">
      <c r="A5565" t="inlineStr">
        <is>
          <t>ORD05564</t>
        </is>
      </c>
      <c r="B5565" t="inlineStr">
        <is>
          <t>C0564</t>
        </is>
      </c>
      <c r="C5565" t="n">
        <v>2</v>
      </c>
      <c r="D5565" t="inlineStr">
        <is>
          <t>Hub B</t>
        </is>
      </c>
      <c r="E5565" t="n">
        <v>26</v>
      </c>
      <c r="F5565" t="n">
        <v>22</v>
      </c>
    </row>
    <row r="5566">
      <c r="A5566" t="inlineStr">
        <is>
          <t>ORD05565</t>
        </is>
      </c>
      <c r="B5566" t="inlineStr">
        <is>
          <t>C0565</t>
        </is>
      </c>
      <c r="C5566" t="n">
        <v>3</v>
      </c>
      <c r="D5566" t="inlineStr">
        <is>
          <t>Hub B</t>
        </is>
      </c>
      <c r="E5566" t="n">
        <v>33</v>
      </c>
      <c r="F5566" t="n">
        <v>22</v>
      </c>
    </row>
    <row r="5567">
      <c r="A5567" t="inlineStr">
        <is>
          <t>ORD05566</t>
        </is>
      </c>
      <c r="B5567" t="inlineStr">
        <is>
          <t>C0566</t>
        </is>
      </c>
      <c r="C5567" t="n">
        <v>1</v>
      </c>
      <c r="D5567" t="inlineStr">
        <is>
          <t>Hub B</t>
        </is>
      </c>
      <c r="E5567" t="n">
        <v>40</v>
      </c>
      <c r="F5567" t="n">
        <v>22</v>
      </c>
    </row>
    <row r="5568">
      <c r="A5568" t="inlineStr">
        <is>
          <t>ORD05567</t>
        </is>
      </c>
      <c r="B5568" t="inlineStr">
        <is>
          <t>C0567</t>
        </is>
      </c>
      <c r="C5568" t="n">
        <v>2</v>
      </c>
      <c r="D5568" t="inlineStr">
        <is>
          <t>Hub B</t>
        </is>
      </c>
      <c r="E5568" t="n">
        <v>47</v>
      </c>
      <c r="F5568" t="n">
        <v>22</v>
      </c>
    </row>
    <row r="5569">
      <c r="A5569" t="inlineStr">
        <is>
          <t>ORD05568</t>
        </is>
      </c>
      <c r="B5569" t="inlineStr">
        <is>
          <t>C0568</t>
        </is>
      </c>
      <c r="C5569" t="n">
        <v>3</v>
      </c>
      <c r="D5569" t="inlineStr">
        <is>
          <t>Hub B</t>
        </is>
      </c>
      <c r="E5569" t="n">
        <v>54</v>
      </c>
      <c r="F5569" t="n">
        <v>22</v>
      </c>
    </row>
    <row r="5570">
      <c r="A5570" t="inlineStr">
        <is>
          <t>ORD05569</t>
        </is>
      </c>
      <c r="B5570" t="inlineStr">
        <is>
          <t>C0569</t>
        </is>
      </c>
      <c r="C5570" t="n">
        <v>1</v>
      </c>
      <c r="D5570" t="inlineStr">
        <is>
          <t>Hub B</t>
        </is>
      </c>
      <c r="E5570" t="n">
        <v>61</v>
      </c>
      <c r="F5570" t="n">
        <v>22</v>
      </c>
    </row>
    <row r="5571">
      <c r="A5571" t="inlineStr">
        <is>
          <t>ORD05570</t>
        </is>
      </c>
      <c r="B5571" t="inlineStr">
        <is>
          <t>C0570</t>
        </is>
      </c>
      <c r="C5571" t="n">
        <v>2</v>
      </c>
      <c r="D5571" t="inlineStr">
        <is>
          <t>Hub B</t>
        </is>
      </c>
      <c r="E5571" t="n">
        <v>68</v>
      </c>
      <c r="F5571" t="n">
        <v>22</v>
      </c>
    </row>
    <row r="5572">
      <c r="A5572" t="inlineStr">
        <is>
          <t>ORD05571</t>
        </is>
      </c>
      <c r="B5572" t="inlineStr">
        <is>
          <t>C0571</t>
        </is>
      </c>
      <c r="C5572" t="n">
        <v>3</v>
      </c>
      <c r="D5572" t="inlineStr">
        <is>
          <t>Hub B</t>
        </is>
      </c>
      <c r="E5572" t="n">
        <v>75</v>
      </c>
      <c r="F5572" t="n">
        <v>22</v>
      </c>
    </row>
    <row r="5573">
      <c r="A5573" t="inlineStr">
        <is>
          <t>ORD05572</t>
        </is>
      </c>
      <c r="B5573" t="inlineStr">
        <is>
          <t>C0572</t>
        </is>
      </c>
      <c r="C5573" t="n">
        <v>1</v>
      </c>
      <c r="D5573" t="inlineStr">
        <is>
          <t>Hub B</t>
        </is>
      </c>
      <c r="E5573" t="n">
        <v>22</v>
      </c>
      <c r="F5573" t="n">
        <v>22</v>
      </c>
    </row>
    <row r="5574">
      <c r="A5574" t="inlineStr">
        <is>
          <t>ORD05573</t>
        </is>
      </c>
      <c r="B5574" t="inlineStr">
        <is>
          <t>C0573</t>
        </is>
      </c>
      <c r="C5574" t="n">
        <v>2</v>
      </c>
      <c r="D5574" t="inlineStr">
        <is>
          <t>Hub B</t>
        </is>
      </c>
      <c r="E5574" t="n">
        <v>29</v>
      </c>
      <c r="F5574" t="n">
        <v>22</v>
      </c>
    </row>
    <row r="5575">
      <c r="A5575" t="inlineStr">
        <is>
          <t>ORD05574</t>
        </is>
      </c>
      <c r="B5575" t="inlineStr">
        <is>
          <t>C0574</t>
        </is>
      </c>
      <c r="C5575" t="n">
        <v>3</v>
      </c>
      <c r="D5575" t="inlineStr">
        <is>
          <t>Hub B</t>
        </is>
      </c>
      <c r="E5575" t="n">
        <v>36</v>
      </c>
      <c r="F5575" t="n">
        <v>22</v>
      </c>
    </row>
    <row r="5576">
      <c r="A5576" t="inlineStr">
        <is>
          <t>ORD05575</t>
        </is>
      </c>
      <c r="B5576" t="inlineStr">
        <is>
          <t>C0575</t>
        </is>
      </c>
      <c r="C5576" t="n">
        <v>1</v>
      </c>
      <c r="D5576" t="inlineStr">
        <is>
          <t>Hub B</t>
        </is>
      </c>
      <c r="E5576" t="n">
        <v>43</v>
      </c>
      <c r="F5576" t="n">
        <v>22</v>
      </c>
    </row>
    <row r="5577">
      <c r="A5577" t="inlineStr">
        <is>
          <t>ORD05576</t>
        </is>
      </c>
      <c r="B5577" t="inlineStr">
        <is>
          <t>C0576</t>
        </is>
      </c>
      <c r="C5577" t="n">
        <v>2</v>
      </c>
      <c r="D5577" t="inlineStr">
        <is>
          <t>Hub B</t>
        </is>
      </c>
      <c r="E5577" t="n">
        <v>50</v>
      </c>
      <c r="F5577" t="n">
        <v>22</v>
      </c>
    </row>
    <row r="5578">
      <c r="A5578" t="inlineStr">
        <is>
          <t>ORD05577</t>
        </is>
      </c>
      <c r="B5578" t="inlineStr">
        <is>
          <t>C0577</t>
        </is>
      </c>
      <c r="C5578" t="n">
        <v>3</v>
      </c>
      <c r="D5578" t="inlineStr">
        <is>
          <t>Hub B</t>
        </is>
      </c>
      <c r="E5578" t="n">
        <v>57</v>
      </c>
      <c r="F5578" t="n">
        <v>22</v>
      </c>
    </row>
    <row r="5579">
      <c r="A5579" t="inlineStr">
        <is>
          <t>ORD05578</t>
        </is>
      </c>
      <c r="B5579" t="inlineStr">
        <is>
          <t>C0578</t>
        </is>
      </c>
      <c r="C5579" t="n">
        <v>1</v>
      </c>
      <c r="D5579" t="inlineStr">
        <is>
          <t>Hub B</t>
        </is>
      </c>
      <c r="E5579" t="n">
        <v>64</v>
      </c>
      <c r="F5579" t="n">
        <v>22</v>
      </c>
    </row>
    <row r="5580">
      <c r="A5580" t="inlineStr">
        <is>
          <t>ORD05579</t>
        </is>
      </c>
      <c r="B5580" t="inlineStr">
        <is>
          <t>C0579</t>
        </is>
      </c>
      <c r="C5580" t="n">
        <v>2</v>
      </c>
      <c r="D5580" t="inlineStr">
        <is>
          <t>Hub B</t>
        </is>
      </c>
      <c r="E5580" t="n">
        <v>71</v>
      </c>
      <c r="F5580" t="n">
        <v>22</v>
      </c>
    </row>
    <row r="5581">
      <c r="A5581" t="inlineStr">
        <is>
          <t>ORD05580</t>
        </is>
      </c>
      <c r="B5581" t="inlineStr">
        <is>
          <t>C0580</t>
        </is>
      </c>
      <c r="C5581" t="n">
        <v>3</v>
      </c>
      <c r="D5581" t="inlineStr">
        <is>
          <t>Hub B</t>
        </is>
      </c>
      <c r="E5581" t="n">
        <v>18</v>
      </c>
      <c r="F5581" t="n">
        <v>22</v>
      </c>
    </row>
    <row r="5582">
      <c r="A5582" t="inlineStr">
        <is>
          <t>ORD05581</t>
        </is>
      </c>
      <c r="B5582" t="inlineStr">
        <is>
          <t>C0581</t>
        </is>
      </c>
      <c r="C5582" t="n">
        <v>1</v>
      </c>
      <c r="D5582" t="inlineStr">
        <is>
          <t>Hub B</t>
        </is>
      </c>
      <c r="E5582" t="n">
        <v>25</v>
      </c>
      <c r="F5582" t="n">
        <v>22</v>
      </c>
    </row>
    <row r="5583">
      <c r="A5583" t="inlineStr">
        <is>
          <t>ORD05582</t>
        </is>
      </c>
      <c r="B5583" t="inlineStr">
        <is>
          <t>C0582</t>
        </is>
      </c>
      <c r="C5583" t="n">
        <v>2</v>
      </c>
      <c r="D5583" t="inlineStr">
        <is>
          <t>Hub B</t>
        </is>
      </c>
      <c r="E5583" t="n">
        <v>32</v>
      </c>
      <c r="F5583" t="n">
        <v>22</v>
      </c>
    </row>
    <row r="5584">
      <c r="A5584" t="inlineStr">
        <is>
          <t>ORD05583</t>
        </is>
      </c>
      <c r="B5584" t="inlineStr">
        <is>
          <t>C0583</t>
        </is>
      </c>
      <c r="C5584" t="n">
        <v>3</v>
      </c>
      <c r="D5584" t="inlineStr">
        <is>
          <t>Hub B</t>
        </is>
      </c>
      <c r="E5584" t="n">
        <v>39</v>
      </c>
      <c r="F5584" t="n">
        <v>22</v>
      </c>
    </row>
    <row r="5585">
      <c r="A5585" t="inlineStr">
        <is>
          <t>ORD05584</t>
        </is>
      </c>
      <c r="B5585" t="inlineStr">
        <is>
          <t>C0584</t>
        </is>
      </c>
      <c r="C5585" t="n">
        <v>1</v>
      </c>
      <c r="D5585" t="inlineStr">
        <is>
          <t>Hub B</t>
        </is>
      </c>
      <c r="E5585" t="n">
        <v>46</v>
      </c>
      <c r="F5585" t="n">
        <v>22</v>
      </c>
    </row>
    <row r="5586">
      <c r="A5586" t="inlineStr">
        <is>
          <t>ORD05585</t>
        </is>
      </c>
      <c r="B5586" t="inlineStr">
        <is>
          <t>C0585</t>
        </is>
      </c>
      <c r="C5586" t="n">
        <v>2</v>
      </c>
      <c r="D5586" t="inlineStr">
        <is>
          <t>Hub B</t>
        </is>
      </c>
      <c r="E5586" t="n">
        <v>53</v>
      </c>
      <c r="F5586" t="n">
        <v>22</v>
      </c>
    </row>
    <row r="5587">
      <c r="A5587" t="inlineStr">
        <is>
          <t>ORD05586</t>
        </is>
      </c>
      <c r="B5587" t="inlineStr">
        <is>
          <t>C0586</t>
        </is>
      </c>
      <c r="C5587" t="n">
        <v>3</v>
      </c>
      <c r="D5587" t="inlineStr">
        <is>
          <t>Hub B</t>
        </is>
      </c>
      <c r="E5587" t="n">
        <v>60</v>
      </c>
      <c r="F5587" t="n">
        <v>22</v>
      </c>
    </row>
    <row r="5588">
      <c r="A5588" t="inlineStr">
        <is>
          <t>ORD05587</t>
        </is>
      </c>
      <c r="B5588" t="inlineStr">
        <is>
          <t>C0587</t>
        </is>
      </c>
      <c r="C5588" t="n">
        <v>1</v>
      </c>
      <c r="D5588" t="inlineStr">
        <is>
          <t>Hub B</t>
        </is>
      </c>
      <c r="E5588" t="n">
        <v>67</v>
      </c>
      <c r="F5588" t="n">
        <v>22</v>
      </c>
    </row>
    <row r="5589">
      <c r="A5589" t="inlineStr">
        <is>
          <t>ORD05588</t>
        </is>
      </c>
      <c r="B5589" t="inlineStr">
        <is>
          <t>C0588</t>
        </is>
      </c>
      <c r="C5589" t="n">
        <v>2</v>
      </c>
      <c r="D5589" t="inlineStr">
        <is>
          <t>Hub B</t>
        </is>
      </c>
      <c r="E5589" t="n">
        <v>74</v>
      </c>
      <c r="F5589" t="n">
        <v>22</v>
      </c>
    </row>
    <row r="5590">
      <c r="A5590" t="inlineStr">
        <is>
          <t>ORD05589</t>
        </is>
      </c>
      <c r="B5590" t="inlineStr">
        <is>
          <t>C0589</t>
        </is>
      </c>
      <c r="C5590" t="n">
        <v>3</v>
      </c>
      <c r="D5590" t="inlineStr">
        <is>
          <t>Hub B</t>
        </is>
      </c>
      <c r="E5590" t="n">
        <v>21</v>
      </c>
      <c r="F5590" t="n">
        <v>22</v>
      </c>
    </row>
    <row r="5591">
      <c r="A5591" t="inlineStr">
        <is>
          <t>ORD05590</t>
        </is>
      </c>
      <c r="B5591" t="inlineStr">
        <is>
          <t>C0590</t>
        </is>
      </c>
      <c r="C5591" t="n">
        <v>1</v>
      </c>
      <c r="D5591" t="inlineStr">
        <is>
          <t>Hub B</t>
        </is>
      </c>
      <c r="E5591" t="n">
        <v>28</v>
      </c>
      <c r="F5591" t="n">
        <v>22</v>
      </c>
    </row>
    <row r="5592">
      <c r="A5592" t="inlineStr">
        <is>
          <t>ORD05591</t>
        </is>
      </c>
      <c r="B5592" t="inlineStr">
        <is>
          <t>C0591</t>
        </is>
      </c>
      <c r="C5592" t="n">
        <v>2</v>
      </c>
      <c r="D5592" t="inlineStr">
        <is>
          <t>Hub B</t>
        </is>
      </c>
      <c r="E5592" t="n">
        <v>35</v>
      </c>
      <c r="F5592" t="n">
        <v>22</v>
      </c>
    </row>
    <row r="5593">
      <c r="A5593" t="inlineStr">
        <is>
          <t>ORD05592</t>
        </is>
      </c>
      <c r="B5593" t="inlineStr">
        <is>
          <t>C0592</t>
        </is>
      </c>
      <c r="C5593" t="n">
        <v>3</v>
      </c>
      <c r="D5593" t="inlineStr">
        <is>
          <t>Hub B</t>
        </is>
      </c>
      <c r="E5593" t="n">
        <v>42</v>
      </c>
      <c r="F5593" t="n">
        <v>22</v>
      </c>
    </row>
    <row r="5594">
      <c r="A5594" t="inlineStr">
        <is>
          <t>ORD05593</t>
        </is>
      </c>
      <c r="B5594" t="inlineStr">
        <is>
          <t>C0593</t>
        </is>
      </c>
      <c r="C5594" t="n">
        <v>1</v>
      </c>
      <c r="D5594" t="inlineStr">
        <is>
          <t>Hub B</t>
        </is>
      </c>
      <c r="E5594" t="n">
        <v>49</v>
      </c>
      <c r="F5594" t="n">
        <v>22</v>
      </c>
    </row>
    <row r="5595">
      <c r="A5595" t="inlineStr">
        <is>
          <t>ORD05594</t>
        </is>
      </c>
      <c r="B5595" t="inlineStr">
        <is>
          <t>C0594</t>
        </is>
      </c>
      <c r="C5595" t="n">
        <v>2</v>
      </c>
      <c r="D5595" t="inlineStr">
        <is>
          <t>Hub B</t>
        </is>
      </c>
      <c r="E5595" t="n">
        <v>56</v>
      </c>
      <c r="F5595" t="n">
        <v>22</v>
      </c>
    </row>
    <row r="5596">
      <c r="A5596" t="inlineStr">
        <is>
          <t>ORD05595</t>
        </is>
      </c>
      <c r="B5596" t="inlineStr">
        <is>
          <t>C0595</t>
        </is>
      </c>
      <c r="C5596" t="n">
        <v>3</v>
      </c>
      <c r="D5596" t="inlineStr">
        <is>
          <t>Hub B</t>
        </is>
      </c>
      <c r="E5596" t="n">
        <v>63</v>
      </c>
      <c r="F5596" t="n">
        <v>22</v>
      </c>
    </row>
    <row r="5597">
      <c r="A5597" t="inlineStr">
        <is>
          <t>ORD05596</t>
        </is>
      </c>
      <c r="B5597" t="inlineStr">
        <is>
          <t>C0596</t>
        </is>
      </c>
      <c r="C5597" t="n">
        <v>1</v>
      </c>
      <c r="D5597" t="inlineStr">
        <is>
          <t>Hub B</t>
        </is>
      </c>
      <c r="E5597" t="n">
        <v>70</v>
      </c>
      <c r="F5597" t="n">
        <v>22</v>
      </c>
    </row>
    <row r="5598">
      <c r="A5598" t="inlineStr">
        <is>
          <t>ORD05597</t>
        </is>
      </c>
      <c r="B5598" t="inlineStr">
        <is>
          <t>C0597</t>
        </is>
      </c>
      <c r="C5598" t="n">
        <v>2</v>
      </c>
      <c r="D5598" t="inlineStr">
        <is>
          <t>Hub B</t>
        </is>
      </c>
      <c r="E5598" t="n">
        <v>77</v>
      </c>
      <c r="F5598" t="n">
        <v>22</v>
      </c>
    </row>
    <row r="5599">
      <c r="A5599" t="inlineStr">
        <is>
          <t>ORD05598</t>
        </is>
      </c>
      <c r="B5599" t="inlineStr">
        <is>
          <t>C0598</t>
        </is>
      </c>
      <c r="C5599" t="n">
        <v>3</v>
      </c>
      <c r="D5599" t="inlineStr">
        <is>
          <t>Hub B</t>
        </is>
      </c>
      <c r="E5599" t="n">
        <v>24</v>
      </c>
      <c r="F5599" t="n">
        <v>22</v>
      </c>
    </row>
    <row r="5600">
      <c r="A5600" t="inlineStr">
        <is>
          <t>ORD05599</t>
        </is>
      </c>
      <c r="B5600" t="inlineStr">
        <is>
          <t>C0599</t>
        </is>
      </c>
      <c r="C5600" t="n">
        <v>1</v>
      </c>
      <c r="D5600" t="inlineStr">
        <is>
          <t>Hub B</t>
        </is>
      </c>
      <c r="E5600" t="n">
        <v>31</v>
      </c>
      <c r="F5600" t="n">
        <v>22</v>
      </c>
    </row>
    <row r="5601">
      <c r="A5601" t="inlineStr">
        <is>
          <t>ORD05600</t>
        </is>
      </c>
      <c r="B5601" t="inlineStr">
        <is>
          <t>C0600</t>
        </is>
      </c>
      <c r="C5601" t="n">
        <v>2</v>
      </c>
      <c r="D5601" t="inlineStr">
        <is>
          <t>Hub B</t>
        </is>
      </c>
      <c r="E5601" t="n">
        <v>38</v>
      </c>
      <c r="F5601" t="n">
        <v>22</v>
      </c>
    </row>
    <row r="5602">
      <c r="A5602" t="inlineStr">
        <is>
          <t>ORD05601</t>
        </is>
      </c>
      <c r="B5602" t="inlineStr">
        <is>
          <t>C0601</t>
        </is>
      </c>
      <c r="C5602" t="n">
        <v>3</v>
      </c>
      <c r="D5602" t="inlineStr">
        <is>
          <t>Hub B</t>
        </is>
      </c>
      <c r="E5602" t="n">
        <v>45</v>
      </c>
      <c r="F5602" t="n">
        <v>22</v>
      </c>
    </row>
    <row r="5603">
      <c r="A5603" t="inlineStr">
        <is>
          <t>ORD05602</t>
        </is>
      </c>
      <c r="B5603" t="inlineStr">
        <is>
          <t>C0602</t>
        </is>
      </c>
      <c r="C5603" t="n">
        <v>1</v>
      </c>
      <c r="D5603" t="inlineStr">
        <is>
          <t>Hub B</t>
        </is>
      </c>
      <c r="E5603" t="n">
        <v>52</v>
      </c>
      <c r="F5603" t="n">
        <v>22</v>
      </c>
    </row>
    <row r="5604">
      <c r="A5604" t="inlineStr">
        <is>
          <t>ORD05603</t>
        </is>
      </c>
      <c r="B5604" t="inlineStr">
        <is>
          <t>C0603</t>
        </is>
      </c>
      <c r="C5604" t="n">
        <v>2</v>
      </c>
      <c r="D5604" t="inlineStr">
        <is>
          <t>Hub B</t>
        </is>
      </c>
      <c r="E5604" t="n">
        <v>59</v>
      </c>
      <c r="F5604" t="n">
        <v>22</v>
      </c>
    </row>
    <row r="5605">
      <c r="A5605" t="inlineStr">
        <is>
          <t>ORD05604</t>
        </is>
      </c>
      <c r="B5605" t="inlineStr">
        <is>
          <t>C0604</t>
        </is>
      </c>
      <c r="C5605" t="n">
        <v>3</v>
      </c>
      <c r="D5605" t="inlineStr">
        <is>
          <t>Hub B</t>
        </is>
      </c>
      <c r="E5605" t="n">
        <v>66</v>
      </c>
      <c r="F5605" t="n">
        <v>22</v>
      </c>
    </row>
    <row r="5606">
      <c r="A5606" t="inlineStr">
        <is>
          <t>ORD05605</t>
        </is>
      </c>
      <c r="B5606" t="inlineStr">
        <is>
          <t>C0605</t>
        </is>
      </c>
      <c r="C5606" t="n">
        <v>1</v>
      </c>
      <c r="D5606" t="inlineStr">
        <is>
          <t>Hub B</t>
        </is>
      </c>
      <c r="E5606" t="n">
        <v>73</v>
      </c>
      <c r="F5606" t="n">
        <v>22</v>
      </c>
    </row>
    <row r="5607">
      <c r="A5607" t="inlineStr">
        <is>
          <t>ORD05606</t>
        </is>
      </c>
      <c r="B5607" t="inlineStr">
        <is>
          <t>C0606</t>
        </is>
      </c>
      <c r="C5607" t="n">
        <v>2</v>
      </c>
      <c r="D5607" t="inlineStr">
        <is>
          <t>Hub B</t>
        </is>
      </c>
      <c r="E5607" t="n">
        <v>20</v>
      </c>
      <c r="F5607" t="n">
        <v>22</v>
      </c>
    </row>
    <row r="5608">
      <c r="A5608" t="inlineStr">
        <is>
          <t>ORD05607</t>
        </is>
      </c>
      <c r="B5608" t="inlineStr">
        <is>
          <t>C0607</t>
        </is>
      </c>
      <c r="C5608" t="n">
        <v>3</v>
      </c>
      <c r="D5608" t="inlineStr">
        <is>
          <t>Hub B</t>
        </is>
      </c>
      <c r="E5608" t="n">
        <v>27</v>
      </c>
      <c r="F5608" t="n">
        <v>22</v>
      </c>
    </row>
    <row r="5609">
      <c r="A5609" t="inlineStr">
        <is>
          <t>ORD05608</t>
        </is>
      </c>
      <c r="B5609" t="inlineStr">
        <is>
          <t>C0608</t>
        </is>
      </c>
      <c r="C5609" t="n">
        <v>1</v>
      </c>
      <c r="D5609" t="inlineStr">
        <is>
          <t>Hub B</t>
        </is>
      </c>
      <c r="E5609" t="n">
        <v>34</v>
      </c>
      <c r="F5609" t="n">
        <v>22</v>
      </c>
    </row>
    <row r="5610">
      <c r="A5610" t="inlineStr">
        <is>
          <t>ORD05609</t>
        </is>
      </c>
      <c r="B5610" t="inlineStr">
        <is>
          <t>C0609</t>
        </is>
      </c>
      <c r="C5610" t="n">
        <v>2</v>
      </c>
      <c r="D5610" t="inlineStr">
        <is>
          <t>Hub B</t>
        </is>
      </c>
      <c r="E5610" t="n">
        <v>41</v>
      </c>
      <c r="F5610" t="n">
        <v>22</v>
      </c>
    </row>
    <row r="5611">
      <c r="A5611" t="inlineStr">
        <is>
          <t>ORD05610</t>
        </is>
      </c>
      <c r="B5611" t="inlineStr">
        <is>
          <t>C0610</t>
        </is>
      </c>
      <c r="C5611" t="n">
        <v>3</v>
      </c>
      <c r="D5611" t="inlineStr">
        <is>
          <t>Hub B</t>
        </is>
      </c>
      <c r="E5611" t="n">
        <v>48</v>
      </c>
      <c r="F5611" t="n">
        <v>22</v>
      </c>
    </row>
    <row r="5612">
      <c r="A5612" t="inlineStr">
        <is>
          <t>ORD05611</t>
        </is>
      </c>
      <c r="B5612" t="inlineStr">
        <is>
          <t>C0611</t>
        </is>
      </c>
      <c r="C5612" t="n">
        <v>1</v>
      </c>
      <c r="D5612" t="inlineStr">
        <is>
          <t>Hub B</t>
        </is>
      </c>
      <c r="E5612" t="n">
        <v>55</v>
      </c>
      <c r="F5612" t="n">
        <v>22</v>
      </c>
    </row>
    <row r="5613">
      <c r="A5613" t="inlineStr">
        <is>
          <t>ORD05612</t>
        </is>
      </c>
      <c r="B5613" t="inlineStr">
        <is>
          <t>C0612</t>
        </is>
      </c>
      <c r="C5613" t="n">
        <v>2</v>
      </c>
      <c r="D5613" t="inlineStr">
        <is>
          <t>Hub B</t>
        </is>
      </c>
      <c r="E5613" t="n">
        <v>62</v>
      </c>
      <c r="F5613" t="n">
        <v>22</v>
      </c>
    </row>
    <row r="5614">
      <c r="A5614" t="inlineStr">
        <is>
          <t>ORD05613</t>
        </is>
      </c>
      <c r="B5614" t="inlineStr">
        <is>
          <t>C0613</t>
        </is>
      </c>
      <c r="C5614" t="n">
        <v>3</v>
      </c>
      <c r="D5614" t="inlineStr">
        <is>
          <t>Hub B</t>
        </is>
      </c>
      <c r="E5614" t="n">
        <v>69</v>
      </c>
      <c r="F5614" t="n">
        <v>22</v>
      </c>
    </row>
    <row r="5615">
      <c r="A5615" t="inlineStr">
        <is>
          <t>ORD05614</t>
        </is>
      </c>
      <c r="B5615" t="inlineStr">
        <is>
          <t>C0614</t>
        </is>
      </c>
      <c r="C5615" t="n">
        <v>1</v>
      </c>
      <c r="D5615" t="inlineStr">
        <is>
          <t>Hub B</t>
        </is>
      </c>
      <c r="E5615" t="n">
        <v>76</v>
      </c>
      <c r="F5615" t="n">
        <v>22</v>
      </c>
    </row>
    <row r="5616">
      <c r="A5616" t="inlineStr">
        <is>
          <t>ORD05615</t>
        </is>
      </c>
      <c r="B5616" t="inlineStr">
        <is>
          <t>C0615</t>
        </is>
      </c>
      <c r="C5616" t="n">
        <v>2</v>
      </c>
      <c r="D5616" t="inlineStr">
        <is>
          <t>Hub B</t>
        </is>
      </c>
      <c r="E5616" t="n">
        <v>23</v>
      </c>
      <c r="F5616" t="n">
        <v>22</v>
      </c>
    </row>
    <row r="5617">
      <c r="A5617" t="inlineStr">
        <is>
          <t>ORD05616</t>
        </is>
      </c>
      <c r="B5617" t="inlineStr">
        <is>
          <t>C0616</t>
        </is>
      </c>
      <c r="C5617" t="n">
        <v>3</v>
      </c>
      <c r="D5617" t="inlineStr">
        <is>
          <t>Hub B</t>
        </is>
      </c>
      <c r="E5617" t="n">
        <v>30</v>
      </c>
      <c r="F5617" t="n">
        <v>22</v>
      </c>
    </row>
    <row r="5618">
      <c r="A5618" t="inlineStr">
        <is>
          <t>ORD05617</t>
        </is>
      </c>
      <c r="B5618" t="inlineStr">
        <is>
          <t>C0617</t>
        </is>
      </c>
      <c r="C5618" t="n">
        <v>1</v>
      </c>
      <c r="D5618" t="inlineStr">
        <is>
          <t>Hub B</t>
        </is>
      </c>
      <c r="E5618" t="n">
        <v>37</v>
      </c>
      <c r="F5618" t="n">
        <v>22</v>
      </c>
    </row>
    <row r="5619">
      <c r="A5619" t="inlineStr">
        <is>
          <t>ORD05618</t>
        </is>
      </c>
      <c r="B5619" t="inlineStr">
        <is>
          <t>C0618</t>
        </is>
      </c>
      <c r="C5619" t="n">
        <v>2</v>
      </c>
      <c r="D5619" t="inlineStr">
        <is>
          <t>Hub B</t>
        </is>
      </c>
      <c r="E5619" t="n">
        <v>44</v>
      </c>
      <c r="F5619" t="n">
        <v>22</v>
      </c>
    </row>
    <row r="5620">
      <c r="A5620" t="inlineStr">
        <is>
          <t>ORD05619</t>
        </is>
      </c>
      <c r="B5620" t="inlineStr">
        <is>
          <t>C0619</t>
        </is>
      </c>
      <c r="C5620" t="n">
        <v>3</v>
      </c>
      <c r="D5620" t="inlineStr">
        <is>
          <t>Hub B</t>
        </is>
      </c>
      <c r="E5620" t="n">
        <v>51</v>
      </c>
      <c r="F5620" t="n">
        <v>22</v>
      </c>
    </row>
    <row r="5621">
      <c r="A5621" t="inlineStr">
        <is>
          <t>ORD05620</t>
        </is>
      </c>
      <c r="B5621" t="inlineStr">
        <is>
          <t>C0620</t>
        </is>
      </c>
      <c r="C5621" t="n">
        <v>1</v>
      </c>
      <c r="D5621" t="inlineStr">
        <is>
          <t>Hub B</t>
        </is>
      </c>
      <c r="E5621" t="n">
        <v>58</v>
      </c>
      <c r="F5621" t="n">
        <v>22</v>
      </c>
    </row>
    <row r="5622">
      <c r="A5622" t="inlineStr">
        <is>
          <t>ORD05621</t>
        </is>
      </c>
      <c r="B5622" t="inlineStr">
        <is>
          <t>C0621</t>
        </is>
      </c>
      <c r="C5622" t="n">
        <v>2</v>
      </c>
      <c r="D5622" t="inlineStr">
        <is>
          <t>Hub B</t>
        </is>
      </c>
      <c r="E5622" t="n">
        <v>65</v>
      </c>
      <c r="F5622" t="n">
        <v>22</v>
      </c>
    </row>
    <row r="5623">
      <c r="A5623" t="inlineStr">
        <is>
          <t>ORD05622</t>
        </is>
      </c>
      <c r="B5623" t="inlineStr">
        <is>
          <t>C0622</t>
        </is>
      </c>
      <c r="C5623" t="n">
        <v>3</v>
      </c>
      <c r="D5623" t="inlineStr">
        <is>
          <t>Hub B</t>
        </is>
      </c>
      <c r="E5623" t="n">
        <v>72</v>
      </c>
      <c r="F5623" t="n">
        <v>22</v>
      </c>
    </row>
    <row r="5624">
      <c r="A5624" t="inlineStr">
        <is>
          <t>ORD05623</t>
        </is>
      </c>
      <c r="B5624" t="inlineStr">
        <is>
          <t>C0623</t>
        </is>
      </c>
      <c r="C5624" t="n">
        <v>1</v>
      </c>
      <c r="D5624" t="inlineStr">
        <is>
          <t>Hub B</t>
        </is>
      </c>
      <c r="E5624" t="n">
        <v>19</v>
      </c>
      <c r="F5624" t="n">
        <v>22</v>
      </c>
    </row>
    <row r="5625">
      <c r="A5625" t="inlineStr">
        <is>
          <t>ORD05624</t>
        </is>
      </c>
      <c r="B5625" t="inlineStr">
        <is>
          <t>C0624</t>
        </is>
      </c>
      <c r="C5625" t="n">
        <v>2</v>
      </c>
      <c r="D5625" t="inlineStr">
        <is>
          <t>Hub B</t>
        </is>
      </c>
      <c r="E5625" t="n">
        <v>26</v>
      </c>
      <c r="F5625" t="n">
        <v>22</v>
      </c>
    </row>
    <row r="5626">
      <c r="A5626" t="inlineStr">
        <is>
          <t>ORD05625</t>
        </is>
      </c>
      <c r="B5626" t="inlineStr">
        <is>
          <t>C0625</t>
        </is>
      </c>
      <c r="C5626" t="n">
        <v>3</v>
      </c>
      <c r="D5626" t="inlineStr">
        <is>
          <t>Hub B</t>
        </is>
      </c>
      <c r="E5626" t="n">
        <v>33</v>
      </c>
      <c r="F5626" t="n">
        <v>22</v>
      </c>
    </row>
    <row r="5627">
      <c r="A5627" t="inlineStr">
        <is>
          <t>ORD05626</t>
        </is>
      </c>
      <c r="B5627" t="inlineStr">
        <is>
          <t>C0626</t>
        </is>
      </c>
      <c r="C5627" t="n">
        <v>1</v>
      </c>
      <c r="D5627" t="inlineStr">
        <is>
          <t>Hub B</t>
        </is>
      </c>
      <c r="E5627" t="n">
        <v>40</v>
      </c>
      <c r="F5627" t="n">
        <v>22</v>
      </c>
    </row>
    <row r="5628">
      <c r="A5628" t="inlineStr">
        <is>
          <t>ORD05627</t>
        </is>
      </c>
      <c r="B5628" t="inlineStr">
        <is>
          <t>C0627</t>
        </is>
      </c>
      <c r="C5628" t="n">
        <v>2</v>
      </c>
      <c r="D5628" t="inlineStr">
        <is>
          <t>Hub B</t>
        </is>
      </c>
      <c r="E5628" t="n">
        <v>47</v>
      </c>
      <c r="F5628" t="n">
        <v>22</v>
      </c>
    </row>
    <row r="5629">
      <c r="A5629" t="inlineStr">
        <is>
          <t>ORD05628</t>
        </is>
      </c>
      <c r="B5629" t="inlineStr">
        <is>
          <t>C0628</t>
        </is>
      </c>
      <c r="C5629" t="n">
        <v>3</v>
      </c>
      <c r="D5629" t="inlineStr">
        <is>
          <t>Hub B</t>
        </is>
      </c>
      <c r="E5629" t="n">
        <v>54</v>
      </c>
      <c r="F5629" t="n">
        <v>22</v>
      </c>
    </row>
    <row r="5630">
      <c r="A5630" t="inlineStr">
        <is>
          <t>ORD05629</t>
        </is>
      </c>
      <c r="B5630" t="inlineStr">
        <is>
          <t>C0629</t>
        </is>
      </c>
      <c r="C5630" t="n">
        <v>1</v>
      </c>
      <c r="D5630" t="inlineStr">
        <is>
          <t>Hub B</t>
        </is>
      </c>
      <c r="E5630" t="n">
        <v>61</v>
      </c>
      <c r="F5630" t="n">
        <v>22</v>
      </c>
    </row>
    <row r="5631">
      <c r="A5631" t="inlineStr">
        <is>
          <t>ORD05630</t>
        </is>
      </c>
      <c r="B5631" t="inlineStr">
        <is>
          <t>C0630</t>
        </is>
      </c>
      <c r="C5631" t="n">
        <v>2</v>
      </c>
      <c r="D5631" t="inlineStr">
        <is>
          <t>Hub B</t>
        </is>
      </c>
      <c r="E5631" t="n">
        <v>68</v>
      </c>
      <c r="F5631" t="n">
        <v>22</v>
      </c>
    </row>
    <row r="5632">
      <c r="A5632" t="inlineStr">
        <is>
          <t>ORD05631</t>
        </is>
      </c>
      <c r="B5632" t="inlineStr">
        <is>
          <t>C0631</t>
        </is>
      </c>
      <c r="C5632" t="n">
        <v>3</v>
      </c>
      <c r="D5632" t="inlineStr">
        <is>
          <t>Hub B</t>
        </is>
      </c>
      <c r="E5632" t="n">
        <v>75</v>
      </c>
      <c r="F5632" t="n">
        <v>22</v>
      </c>
    </row>
    <row r="5633">
      <c r="A5633" t="inlineStr">
        <is>
          <t>ORD05632</t>
        </is>
      </c>
      <c r="B5633" t="inlineStr">
        <is>
          <t>C0632</t>
        </is>
      </c>
      <c r="C5633" t="n">
        <v>1</v>
      </c>
      <c r="D5633" t="inlineStr">
        <is>
          <t>Hub B</t>
        </is>
      </c>
      <c r="E5633" t="n">
        <v>22</v>
      </c>
      <c r="F5633" t="n">
        <v>22</v>
      </c>
    </row>
    <row r="5634">
      <c r="A5634" t="inlineStr">
        <is>
          <t>ORD05633</t>
        </is>
      </c>
      <c r="B5634" t="inlineStr">
        <is>
          <t>C0633</t>
        </is>
      </c>
      <c r="C5634" t="n">
        <v>2</v>
      </c>
      <c r="D5634" t="inlineStr">
        <is>
          <t>Hub B</t>
        </is>
      </c>
      <c r="E5634" t="n">
        <v>29</v>
      </c>
      <c r="F5634" t="n">
        <v>22</v>
      </c>
    </row>
    <row r="5635">
      <c r="A5635" t="inlineStr">
        <is>
          <t>ORD05634</t>
        </is>
      </c>
      <c r="B5635" t="inlineStr">
        <is>
          <t>C0634</t>
        </is>
      </c>
      <c r="C5635" t="n">
        <v>3</v>
      </c>
      <c r="D5635" t="inlineStr">
        <is>
          <t>Hub B</t>
        </is>
      </c>
      <c r="E5635" t="n">
        <v>36</v>
      </c>
      <c r="F5635" t="n">
        <v>22</v>
      </c>
    </row>
    <row r="5636">
      <c r="A5636" t="inlineStr">
        <is>
          <t>ORD05635</t>
        </is>
      </c>
      <c r="B5636" t="inlineStr">
        <is>
          <t>C0635</t>
        </is>
      </c>
      <c r="C5636" t="n">
        <v>1</v>
      </c>
      <c r="D5636" t="inlineStr">
        <is>
          <t>Hub B</t>
        </is>
      </c>
      <c r="E5636" t="n">
        <v>43</v>
      </c>
      <c r="F5636" t="n">
        <v>22</v>
      </c>
    </row>
    <row r="5637">
      <c r="A5637" t="inlineStr">
        <is>
          <t>ORD05636</t>
        </is>
      </c>
      <c r="B5637" t="inlineStr">
        <is>
          <t>C0636</t>
        </is>
      </c>
      <c r="C5637" t="n">
        <v>2</v>
      </c>
      <c r="D5637" t="inlineStr">
        <is>
          <t>Hub B</t>
        </is>
      </c>
      <c r="E5637" t="n">
        <v>50</v>
      </c>
      <c r="F5637" t="n">
        <v>22</v>
      </c>
    </row>
    <row r="5638">
      <c r="A5638" t="inlineStr">
        <is>
          <t>ORD05637</t>
        </is>
      </c>
      <c r="B5638" t="inlineStr">
        <is>
          <t>C0637</t>
        </is>
      </c>
      <c r="C5638" t="n">
        <v>3</v>
      </c>
      <c r="D5638" t="inlineStr">
        <is>
          <t>Hub B</t>
        </is>
      </c>
      <c r="E5638" t="n">
        <v>57</v>
      </c>
      <c r="F5638" t="n">
        <v>22</v>
      </c>
    </row>
    <row r="5639">
      <c r="A5639" t="inlineStr">
        <is>
          <t>ORD05638</t>
        </is>
      </c>
      <c r="B5639" t="inlineStr">
        <is>
          <t>C0638</t>
        </is>
      </c>
      <c r="C5639" t="n">
        <v>1</v>
      </c>
      <c r="D5639" t="inlineStr">
        <is>
          <t>Hub B</t>
        </is>
      </c>
      <c r="E5639" t="n">
        <v>64</v>
      </c>
      <c r="F5639" t="n">
        <v>22</v>
      </c>
    </row>
    <row r="5640">
      <c r="A5640" t="inlineStr">
        <is>
          <t>ORD05639</t>
        </is>
      </c>
      <c r="B5640" t="inlineStr">
        <is>
          <t>C0639</t>
        </is>
      </c>
      <c r="C5640" t="n">
        <v>2</v>
      </c>
      <c r="D5640" t="inlineStr">
        <is>
          <t>Hub B</t>
        </is>
      </c>
      <c r="E5640" t="n">
        <v>71</v>
      </c>
      <c r="F5640" t="n">
        <v>22</v>
      </c>
    </row>
    <row r="5641">
      <c r="A5641" t="inlineStr">
        <is>
          <t>ORD05640</t>
        </is>
      </c>
      <c r="B5641" t="inlineStr">
        <is>
          <t>C0640</t>
        </is>
      </c>
      <c r="C5641" t="n">
        <v>3</v>
      </c>
      <c r="D5641" t="inlineStr">
        <is>
          <t>Hub B</t>
        </is>
      </c>
      <c r="E5641" t="n">
        <v>18</v>
      </c>
      <c r="F5641" t="n">
        <v>22</v>
      </c>
    </row>
    <row r="5642">
      <c r="A5642" t="inlineStr">
        <is>
          <t>ORD05641</t>
        </is>
      </c>
      <c r="B5642" t="inlineStr">
        <is>
          <t>C0641</t>
        </is>
      </c>
      <c r="C5642" t="n">
        <v>1</v>
      </c>
      <c r="D5642" t="inlineStr">
        <is>
          <t>Hub B</t>
        </is>
      </c>
      <c r="E5642" t="n">
        <v>25</v>
      </c>
      <c r="F5642" t="n">
        <v>22</v>
      </c>
    </row>
    <row r="5643">
      <c r="A5643" t="inlineStr">
        <is>
          <t>ORD05642</t>
        </is>
      </c>
      <c r="B5643" t="inlineStr">
        <is>
          <t>C0642</t>
        </is>
      </c>
      <c r="C5643" t="n">
        <v>2</v>
      </c>
      <c r="D5643" t="inlineStr">
        <is>
          <t>Hub B</t>
        </is>
      </c>
      <c r="E5643" t="n">
        <v>32</v>
      </c>
      <c r="F5643" t="n">
        <v>22</v>
      </c>
    </row>
    <row r="5644">
      <c r="A5644" t="inlineStr">
        <is>
          <t>ORD05643</t>
        </is>
      </c>
      <c r="B5644" t="inlineStr">
        <is>
          <t>C0643</t>
        </is>
      </c>
      <c r="C5644" t="n">
        <v>3</v>
      </c>
      <c r="D5644" t="inlineStr">
        <is>
          <t>Hub B</t>
        </is>
      </c>
      <c r="E5644" t="n">
        <v>39</v>
      </c>
      <c r="F5644" t="n">
        <v>22</v>
      </c>
    </row>
    <row r="5645">
      <c r="A5645" t="inlineStr">
        <is>
          <t>ORD05644</t>
        </is>
      </c>
      <c r="B5645" t="inlineStr">
        <is>
          <t>C0644</t>
        </is>
      </c>
      <c r="C5645" t="n">
        <v>1</v>
      </c>
      <c r="D5645" t="inlineStr">
        <is>
          <t>Hub B</t>
        </is>
      </c>
      <c r="E5645" t="n">
        <v>46</v>
      </c>
      <c r="F5645" t="n">
        <v>22</v>
      </c>
    </row>
    <row r="5646">
      <c r="A5646" t="inlineStr">
        <is>
          <t>ORD05645</t>
        </is>
      </c>
      <c r="B5646" t="inlineStr">
        <is>
          <t>C0645</t>
        </is>
      </c>
      <c r="C5646" t="n">
        <v>2</v>
      </c>
      <c r="D5646" t="inlineStr">
        <is>
          <t>Hub B</t>
        </is>
      </c>
      <c r="E5646" t="n">
        <v>53</v>
      </c>
      <c r="F5646" t="n">
        <v>22</v>
      </c>
    </row>
    <row r="5647">
      <c r="A5647" t="inlineStr">
        <is>
          <t>ORD05646</t>
        </is>
      </c>
      <c r="B5647" t="inlineStr">
        <is>
          <t>C0646</t>
        </is>
      </c>
      <c r="C5647" t="n">
        <v>3</v>
      </c>
      <c r="D5647" t="inlineStr">
        <is>
          <t>Hub B</t>
        </is>
      </c>
      <c r="E5647" t="n">
        <v>60</v>
      </c>
      <c r="F5647" t="n">
        <v>22</v>
      </c>
    </row>
    <row r="5648">
      <c r="A5648" t="inlineStr">
        <is>
          <t>ORD05647</t>
        </is>
      </c>
      <c r="B5648" t="inlineStr">
        <is>
          <t>C0647</t>
        </is>
      </c>
      <c r="C5648" t="n">
        <v>1</v>
      </c>
      <c r="D5648" t="inlineStr">
        <is>
          <t>Hub B</t>
        </is>
      </c>
      <c r="E5648" t="n">
        <v>67</v>
      </c>
      <c r="F5648" t="n">
        <v>22</v>
      </c>
    </row>
    <row r="5649">
      <c r="A5649" t="inlineStr">
        <is>
          <t>ORD05648</t>
        </is>
      </c>
      <c r="B5649" t="inlineStr">
        <is>
          <t>C0648</t>
        </is>
      </c>
      <c r="C5649" t="n">
        <v>2</v>
      </c>
      <c r="D5649" t="inlineStr">
        <is>
          <t>Hub B</t>
        </is>
      </c>
      <c r="E5649" t="n">
        <v>74</v>
      </c>
      <c r="F5649" t="n">
        <v>22</v>
      </c>
    </row>
    <row r="5650">
      <c r="A5650" t="inlineStr">
        <is>
          <t>ORD05649</t>
        </is>
      </c>
      <c r="B5650" t="inlineStr">
        <is>
          <t>C0649</t>
        </is>
      </c>
      <c r="C5650" t="n">
        <v>3</v>
      </c>
      <c r="D5650" t="inlineStr">
        <is>
          <t>Hub B</t>
        </is>
      </c>
      <c r="E5650" t="n">
        <v>21</v>
      </c>
      <c r="F5650" t="n">
        <v>22</v>
      </c>
    </row>
    <row r="5651">
      <c r="A5651" t="inlineStr">
        <is>
          <t>ORD05650</t>
        </is>
      </c>
      <c r="B5651" t="inlineStr">
        <is>
          <t>C0650</t>
        </is>
      </c>
      <c r="C5651" t="n">
        <v>1</v>
      </c>
      <c r="D5651" t="inlineStr">
        <is>
          <t>Hub B</t>
        </is>
      </c>
      <c r="E5651" t="n">
        <v>28</v>
      </c>
      <c r="F5651" t="n">
        <v>22</v>
      </c>
    </row>
    <row r="5652">
      <c r="A5652" t="inlineStr">
        <is>
          <t>ORD05651</t>
        </is>
      </c>
      <c r="B5652" t="inlineStr">
        <is>
          <t>C0651</t>
        </is>
      </c>
      <c r="C5652" t="n">
        <v>2</v>
      </c>
      <c r="D5652" t="inlineStr">
        <is>
          <t>Hub B</t>
        </is>
      </c>
      <c r="E5652" t="n">
        <v>35</v>
      </c>
      <c r="F5652" t="n">
        <v>22</v>
      </c>
    </row>
    <row r="5653">
      <c r="A5653" t="inlineStr">
        <is>
          <t>ORD05652</t>
        </is>
      </c>
      <c r="B5653" t="inlineStr">
        <is>
          <t>C0652</t>
        </is>
      </c>
      <c r="C5653" t="n">
        <v>3</v>
      </c>
      <c r="D5653" t="inlineStr">
        <is>
          <t>Hub B</t>
        </is>
      </c>
      <c r="E5653" t="n">
        <v>42</v>
      </c>
      <c r="F5653" t="n">
        <v>22</v>
      </c>
    </row>
    <row r="5654">
      <c r="A5654" t="inlineStr">
        <is>
          <t>ORD05653</t>
        </is>
      </c>
      <c r="B5654" t="inlineStr">
        <is>
          <t>C0653</t>
        </is>
      </c>
      <c r="C5654" t="n">
        <v>1</v>
      </c>
      <c r="D5654" t="inlineStr">
        <is>
          <t>Hub B</t>
        </is>
      </c>
      <c r="E5654" t="n">
        <v>49</v>
      </c>
      <c r="F5654" t="n">
        <v>22</v>
      </c>
    </row>
    <row r="5655">
      <c r="A5655" t="inlineStr">
        <is>
          <t>ORD05654</t>
        </is>
      </c>
      <c r="B5655" t="inlineStr">
        <is>
          <t>C0654</t>
        </is>
      </c>
      <c r="C5655" t="n">
        <v>2</v>
      </c>
      <c r="D5655" t="inlineStr">
        <is>
          <t>Hub B</t>
        </is>
      </c>
      <c r="E5655" t="n">
        <v>56</v>
      </c>
      <c r="F5655" t="n">
        <v>22</v>
      </c>
    </row>
    <row r="5656">
      <c r="A5656" t="inlineStr">
        <is>
          <t>ORD05655</t>
        </is>
      </c>
      <c r="B5656" t="inlineStr">
        <is>
          <t>C0655</t>
        </is>
      </c>
      <c r="C5656" t="n">
        <v>3</v>
      </c>
      <c r="D5656" t="inlineStr">
        <is>
          <t>Hub B</t>
        </is>
      </c>
      <c r="E5656" t="n">
        <v>63</v>
      </c>
      <c r="F5656" t="n">
        <v>22</v>
      </c>
    </row>
    <row r="5657">
      <c r="A5657" t="inlineStr">
        <is>
          <t>ORD05656</t>
        </is>
      </c>
      <c r="B5657" t="inlineStr">
        <is>
          <t>C0656</t>
        </is>
      </c>
      <c r="C5657" t="n">
        <v>1</v>
      </c>
      <c r="D5657" t="inlineStr">
        <is>
          <t>Hub B</t>
        </is>
      </c>
      <c r="E5657" t="n">
        <v>70</v>
      </c>
      <c r="F5657" t="n">
        <v>22</v>
      </c>
    </row>
    <row r="5658">
      <c r="A5658" t="inlineStr">
        <is>
          <t>ORD05657</t>
        </is>
      </c>
      <c r="B5658" t="inlineStr">
        <is>
          <t>C0657</t>
        </is>
      </c>
      <c r="C5658" t="n">
        <v>2</v>
      </c>
      <c r="D5658" t="inlineStr">
        <is>
          <t>Hub B</t>
        </is>
      </c>
      <c r="E5658" t="n">
        <v>77</v>
      </c>
      <c r="F5658" t="n">
        <v>22</v>
      </c>
    </row>
    <row r="5659">
      <c r="A5659" t="inlineStr">
        <is>
          <t>ORD05658</t>
        </is>
      </c>
      <c r="B5659" t="inlineStr">
        <is>
          <t>C0658</t>
        </is>
      </c>
      <c r="C5659" t="n">
        <v>3</v>
      </c>
      <c r="D5659" t="inlineStr">
        <is>
          <t>Hub B</t>
        </is>
      </c>
      <c r="E5659" t="n">
        <v>24</v>
      </c>
      <c r="F5659" t="n">
        <v>22</v>
      </c>
    </row>
    <row r="5660">
      <c r="A5660" t="inlineStr">
        <is>
          <t>ORD05659</t>
        </is>
      </c>
      <c r="B5660" t="inlineStr">
        <is>
          <t>C0659</t>
        </is>
      </c>
      <c r="C5660" t="n">
        <v>1</v>
      </c>
      <c r="D5660" t="inlineStr">
        <is>
          <t>Hub B</t>
        </is>
      </c>
      <c r="E5660" t="n">
        <v>31</v>
      </c>
      <c r="F5660" t="n">
        <v>22</v>
      </c>
    </row>
    <row r="5661">
      <c r="A5661" t="inlineStr">
        <is>
          <t>ORD05660</t>
        </is>
      </c>
      <c r="B5661" t="inlineStr">
        <is>
          <t>C0660</t>
        </is>
      </c>
      <c r="C5661" t="n">
        <v>2</v>
      </c>
      <c r="D5661" t="inlineStr">
        <is>
          <t>Hub B</t>
        </is>
      </c>
      <c r="E5661" t="n">
        <v>38</v>
      </c>
      <c r="F5661" t="n">
        <v>22</v>
      </c>
    </row>
    <row r="5662">
      <c r="A5662" t="inlineStr">
        <is>
          <t>ORD05661</t>
        </is>
      </c>
      <c r="B5662" t="inlineStr">
        <is>
          <t>C0661</t>
        </is>
      </c>
      <c r="C5662" t="n">
        <v>3</v>
      </c>
      <c r="D5662" t="inlineStr">
        <is>
          <t>Hub B</t>
        </is>
      </c>
      <c r="E5662" t="n">
        <v>45</v>
      </c>
      <c r="F5662" t="n">
        <v>22</v>
      </c>
    </row>
    <row r="5663">
      <c r="A5663" t="inlineStr">
        <is>
          <t>ORD05662</t>
        </is>
      </c>
      <c r="B5663" t="inlineStr">
        <is>
          <t>C0662</t>
        </is>
      </c>
      <c r="C5663" t="n">
        <v>1</v>
      </c>
      <c r="D5663" t="inlineStr">
        <is>
          <t>Hub B</t>
        </is>
      </c>
      <c r="E5663" t="n">
        <v>52</v>
      </c>
      <c r="F5663" t="n">
        <v>22</v>
      </c>
    </row>
    <row r="5664">
      <c r="A5664" t="inlineStr">
        <is>
          <t>ORD05663</t>
        </is>
      </c>
      <c r="B5664" t="inlineStr">
        <is>
          <t>C0663</t>
        </is>
      </c>
      <c r="C5664" t="n">
        <v>2</v>
      </c>
      <c r="D5664" t="inlineStr">
        <is>
          <t>Hub B</t>
        </is>
      </c>
      <c r="E5664" t="n">
        <v>59</v>
      </c>
      <c r="F5664" t="n">
        <v>22</v>
      </c>
    </row>
    <row r="5665">
      <c r="A5665" t="inlineStr">
        <is>
          <t>ORD05664</t>
        </is>
      </c>
      <c r="B5665" t="inlineStr">
        <is>
          <t>C0664</t>
        </is>
      </c>
      <c r="C5665" t="n">
        <v>3</v>
      </c>
      <c r="D5665" t="inlineStr">
        <is>
          <t>Hub B</t>
        </is>
      </c>
      <c r="E5665" t="n">
        <v>66</v>
      </c>
      <c r="F5665" t="n">
        <v>22</v>
      </c>
    </row>
    <row r="5666">
      <c r="A5666" t="inlineStr">
        <is>
          <t>ORD05665</t>
        </is>
      </c>
      <c r="B5666" t="inlineStr">
        <is>
          <t>C0665</t>
        </is>
      </c>
      <c r="C5666" t="n">
        <v>1</v>
      </c>
      <c r="D5666" t="inlineStr">
        <is>
          <t>Hub B</t>
        </is>
      </c>
      <c r="E5666" t="n">
        <v>73</v>
      </c>
      <c r="F5666" t="n">
        <v>22</v>
      </c>
    </row>
    <row r="5667">
      <c r="A5667" t="inlineStr">
        <is>
          <t>ORD05666</t>
        </is>
      </c>
      <c r="B5667" t="inlineStr">
        <is>
          <t>C0666</t>
        </is>
      </c>
      <c r="C5667" t="n">
        <v>2</v>
      </c>
      <c r="D5667" t="inlineStr">
        <is>
          <t>Hub B</t>
        </is>
      </c>
      <c r="E5667" t="n">
        <v>20</v>
      </c>
      <c r="F5667" t="n">
        <v>22</v>
      </c>
    </row>
    <row r="5668">
      <c r="A5668" t="inlineStr">
        <is>
          <t>ORD05667</t>
        </is>
      </c>
      <c r="B5668" t="inlineStr">
        <is>
          <t>C0667</t>
        </is>
      </c>
      <c r="C5668" t="n">
        <v>3</v>
      </c>
      <c r="D5668" t="inlineStr">
        <is>
          <t>Hub B</t>
        </is>
      </c>
      <c r="E5668" t="n">
        <v>27</v>
      </c>
      <c r="F5668" t="n">
        <v>22</v>
      </c>
    </row>
    <row r="5669">
      <c r="A5669" t="inlineStr">
        <is>
          <t>ORD05668</t>
        </is>
      </c>
      <c r="B5669" t="inlineStr">
        <is>
          <t>C0668</t>
        </is>
      </c>
      <c r="C5669" t="n">
        <v>1</v>
      </c>
      <c r="D5669" t="inlineStr">
        <is>
          <t>Hub B</t>
        </is>
      </c>
      <c r="E5669" t="n">
        <v>34</v>
      </c>
      <c r="F5669" t="n">
        <v>22</v>
      </c>
    </row>
    <row r="5670">
      <c r="A5670" t="inlineStr">
        <is>
          <t>ORD05669</t>
        </is>
      </c>
      <c r="B5670" t="inlineStr">
        <is>
          <t>C0669</t>
        </is>
      </c>
      <c r="C5670" t="n">
        <v>2</v>
      </c>
      <c r="D5670" t="inlineStr">
        <is>
          <t>Hub B</t>
        </is>
      </c>
      <c r="E5670" t="n">
        <v>41</v>
      </c>
      <c r="F5670" t="n">
        <v>22</v>
      </c>
    </row>
    <row r="5671">
      <c r="A5671" t="inlineStr">
        <is>
          <t>ORD05670</t>
        </is>
      </c>
      <c r="B5671" t="inlineStr">
        <is>
          <t>C0670</t>
        </is>
      </c>
      <c r="C5671" t="n">
        <v>3</v>
      </c>
      <c r="D5671" t="inlineStr">
        <is>
          <t>Hub B</t>
        </is>
      </c>
      <c r="E5671" t="n">
        <v>48</v>
      </c>
      <c r="F5671" t="n">
        <v>22</v>
      </c>
    </row>
    <row r="5672">
      <c r="A5672" t="inlineStr">
        <is>
          <t>ORD05671</t>
        </is>
      </c>
      <c r="B5672" t="inlineStr">
        <is>
          <t>C0671</t>
        </is>
      </c>
      <c r="C5672" t="n">
        <v>1</v>
      </c>
      <c r="D5672" t="inlineStr">
        <is>
          <t>Hub B</t>
        </is>
      </c>
      <c r="E5672" t="n">
        <v>55</v>
      </c>
      <c r="F5672" t="n">
        <v>22</v>
      </c>
    </row>
    <row r="5673">
      <c r="A5673" t="inlineStr">
        <is>
          <t>ORD05672</t>
        </is>
      </c>
      <c r="B5673" t="inlineStr">
        <is>
          <t>C0672</t>
        </is>
      </c>
      <c r="C5673" t="n">
        <v>2</v>
      </c>
      <c r="D5673" t="inlineStr">
        <is>
          <t>Hub B</t>
        </is>
      </c>
      <c r="E5673" t="n">
        <v>62</v>
      </c>
      <c r="F5673" t="n">
        <v>22</v>
      </c>
    </row>
    <row r="5674">
      <c r="A5674" t="inlineStr">
        <is>
          <t>ORD05673</t>
        </is>
      </c>
      <c r="B5674" t="inlineStr">
        <is>
          <t>C0673</t>
        </is>
      </c>
      <c r="C5674" t="n">
        <v>3</v>
      </c>
      <c r="D5674" t="inlineStr">
        <is>
          <t>Hub B</t>
        </is>
      </c>
      <c r="E5674" t="n">
        <v>69</v>
      </c>
      <c r="F5674" t="n">
        <v>22</v>
      </c>
    </row>
    <row r="5675">
      <c r="A5675" t="inlineStr">
        <is>
          <t>ORD05674</t>
        </is>
      </c>
      <c r="B5675" t="inlineStr">
        <is>
          <t>C0674</t>
        </is>
      </c>
      <c r="C5675" t="n">
        <v>1</v>
      </c>
      <c r="D5675" t="inlineStr">
        <is>
          <t>Hub B</t>
        </is>
      </c>
      <c r="E5675" t="n">
        <v>76</v>
      </c>
      <c r="F5675" t="n">
        <v>22</v>
      </c>
    </row>
    <row r="5676">
      <c r="A5676" t="inlineStr">
        <is>
          <t>ORD05675</t>
        </is>
      </c>
      <c r="B5676" t="inlineStr">
        <is>
          <t>C0675</t>
        </is>
      </c>
      <c r="C5676" t="n">
        <v>2</v>
      </c>
      <c r="D5676" t="inlineStr">
        <is>
          <t>Hub B</t>
        </is>
      </c>
      <c r="E5676" t="n">
        <v>23</v>
      </c>
      <c r="F5676" t="n">
        <v>22</v>
      </c>
    </row>
    <row r="5677">
      <c r="A5677" t="inlineStr">
        <is>
          <t>ORD05676</t>
        </is>
      </c>
      <c r="B5677" t="inlineStr">
        <is>
          <t>C0676</t>
        </is>
      </c>
      <c r="C5677" t="n">
        <v>3</v>
      </c>
      <c r="D5677" t="inlineStr">
        <is>
          <t>Hub B</t>
        </is>
      </c>
      <c r="E5677" t="n">
        <v>30</v>
      </c>
      <c r="F5677" t="n">
        <v>22</v>
      </c>
    </row>
    <row r="5678">
      <c r="A5678" t="inlineStr">
        <is>
          <t>ORD05677</t>
        </is>
      </c>
      <c r="B5678" t="inlineStr">
        <is>
          <t>C0677</t>
        </is>
      </c>
      <c r="C5678" t="n">
        <v>1</v>
      </c>
      <c r="D5678" t="inlineStr">
        <is>
          <t>Hub B</t>
        </is>
      </c>
      <c r="E5678" t="n">
        <v>37</v>
      </c>
      <c r="F5678" t="n">
        <v>22</v>
      </c>
    </row>
    <row r="5679">
      <c r="A5679" t="inlineStr">
        <is>
          <t>ORD05678</t>
        </is>
      </c>
      <c r="B5679" t="inlineStr">
        <is>
          <t>C0678</t>
        </is>
      </c>
      <c r="C5679" t="n">
        <v>2</v>
      </c>
      <c r="D5679" t="inlineStr">
        <is>
          <t>Hub B</t>
        </is>
      </c>
      <c r="E5679" t="n">
        <v>44</v>
      </c>
      <c r="F5679" t="n">
        <v>22</v>
      </c>
    </row>
    <row r="5680">
      <c r="A5680" t="inlineStr">
        <is>
          <t>ORD05679</t>
        </is>
      </c>
      <c r="B5680" t="inlineStr">
        <is>
          <t>C0679</t>
        </is>
      </c>
      <c r="C5680" t="n">
        <v>3</v>
      </c>
      <c r="D5680" t="inlineStr">
        <is>
          <t>Hub B</t>
        </is>
      </c>
      <c r="E5680" t="n">
        <v>51</v>
      </c>
      <c r="F5680" t="n">
        <v>22</v>
      </c>
    </row>
    <row r="5681">
      <c r="A5681" t="inlineStr">
        <is>
          <t>ORD05680</t>
        </is>
      </c>
      <c r="B5681" t="inlineStr">
        <is>
          <t>C0680</t>
        </is>
      </c>
      <c r="C5681" t="n">
        <v>1</v>
      </c>
      <c r="D5681" t="inlineStr">
        <is>
          <t>Hub B</t>
        </is>
      </c>
      <c r="E5681" t="n">
        <v>58</v>
      </c>
      <c r="F5681" t="n">
        <v>22</v>
      </c>
    </row>
    <row r="5682">
      <c r="A5682" t="inlineStr">
        <is>
          <t>ORD05681</t>
        </is>
      </c>
      <c r="B5682" t="inlineStr">
        <is>
          <t>C0681</t>
        </is>
      </c>
      <c r="C5682" t="n">
        <v>2</v>
      </c>
      <c r="D5682" t="inlineStr">
        <is>
          <t>Hub B</t>
        </is>
      </c>
      <c r="E5682" t="n">
        <v>65</v>
      </c>
      <c r="F5682" t="n">
        <v>22</v>
      </c>
    </row>
    <row r="5683">
      <c r="A5683" t="inlineStr">
        <is>
          <t>ORD05682</t>
        </is>
      </c>
      <c r="B5683" t="inlineStr">
        <is>
          <t>C0682</t>
        </is>
      </c>
      <c r="C5683" t="n">
        <v>3</v>
      </c>
      <c r="D5683" t="inlineStr">
        <is>
          <t>Hub B</t>
        </is>
      </c>
      <c r="E5683" t="n">
        <v>72</v>
      </c>
      <c r="F5683" t="n">
        <v>22</v>
      </c>
    </row>
    <row r="5684">
      <c r="A5684" t="inlineStr">
        <is>
          <t>ORD05683</t>
        </is>
      </c>
      <c r="B5684" t="inlineStr">
        <is>
          <t>C0683</t>
        </is>
      </c>
      <c r="C5684" t="n">
        <v>1</v>
      </c>
      <c r="D5684" t="inlineStr">
        <is>
          <t>Hub B</t>
        </is>
      </c>
      <c r="E5684" t="n">
        <v>19</v>
      </c>
      <c r="F5684" t="n">
        <v>22</v>
      </c>
    </row>
    <row r="5685">
      <c r="A5685" t="inlineStr">
        <is>
          <t>ORD05684</t>
        </is>
      </c>
      <c r="B5685" t="inlineStr">
        <is>
          <t>C0684</t>
        </is>
      </c>
      <c r="C5685" t="n">
        <v>2</v>
      </c>
      <c r="D5685" t="inlineStr">
        <is>
          <t>Hub B</t>
        </is>
      </c>
      <c r="E5685" t="n">
        <v>26</v>
      </c>
      <c r="F5685" t="n">
        <v>22</v>
      </c>
    </row>
    <row r="5686">
      <c r="A5686" t="inlineStr">
        <is>
          <t>ORD05685</t>
        </is>
      </c>
      <c r="B5686" t="inlineStr">
        <is>
          <t>C0685</t>
        </is>
      </c>
      <c r="C5686" t="n">
        <v>3</v>
      </c>
      <c r="D5686" t="inlineStr">
        <is>
          <t>Hub B</t>
        </is>
      </c>
      <c r="E5686" t="n">
        <v>33</v>
      </c>
      <c r="F5686" t="n">
        <v>22</v>
      </c>
    </row>
    <row r="5687">
      <c r="A5687" t="inlineStr">
        <is>
          <t>ORD05686</t>
        </is>
      </c>
      <c r="B5687" t="inlineStr">
        <is>
          <t>C0686</t>
        </is>
      </c>
      <c r="C5687" t="n">
        <v>1</v>
      </c>
      <c r="D5687" t="inlineStr">
        <is>
          <t>Hub B</t>
        </is>
      </c>
      <c r="E5687" t="n">
        <v>40</v>
      </c>
      <c r="F5687" t="n">
        <v>22</v>
      </c>
    </row>
    <row r="5688">
      <c r="A5688" t="inlineStr">
        <is>
          <t>ORD05687</t>
        </is>
      </c>
      <c r="B5688" t="inlineStr">
        <is>
          <t>C0687</t>
        </is>
      </c>
      <c r="C5688" t="n">
        <v>2</v>
      </c>
      <c r="D5688" t="inlineStr">
        <is>
          <t>Hub B</t>
        </is>
      </c>
      <c r="E5688" t="n">
        <v>47</v>
      </c>
      <c r="F5688" t="n">
        <v>22</v>
      </c>
    </row>
    <row r="5689">
      <c r="A5689" t="inlineStr">
        <is>
          <t>ORD05688</t>
        </is>
      </c>
      <c r="B5689" t="inlineStr">
        <is>
          <t>C0688</t>
        </is>
      </c>
      <c r="C5689" t="n">
        <v>3</v>
      </c>
      <c r="D5689" t="inlineStr">
        <is>
          <t>Hub B</t>
        </is>
      </c>
      <c r="E5689" t="n">
        <v>54</v>
      </c>
      <c r="F5689" t="n">
        <v>22</v>
      </c>
    </row>
    <row r="5690">
      <c r="A5690" t="inlineStr">
        <is>
          <t>ORD05689</t>
        </is>
      </c>
      <c r="B5690" t="inlineStr">
        <is>
          <t>C0689</t>
        </is>
      </c>
      <c r="C5690" t="n">
        <v>1</v>
      </c>
      <c r="D5690" t="inlineStr">
        <is>
          <t>Hub B</t>
        </is>
      </c>
      <c r="E5690" t="n">
        <v>61</v>
      </c>
      <c r="F5690" t="n">
        <v>22</v>
      </c>
    </row>
    <row r="5691">
      <c r="A5691" t="inlineStr">
        <is>
          <t>ORD05690</t>
        </is>
      </c>
      <c r="B5691" t="inlineStr">
        <is>
          <t>C0690</t>
        </is>
      </c>
      <c r="C5691" t="n">
        <v>2</v>
      </c>
      <c r="D5691" t="inlineStr">
        <is>
          <t>Hub B</t>
        </is>
      </c>
      <c r="E5691" t="n">
        <v>68</v>
      </c>
      <c r="F5691" t="n">
        <v>22</v>
      </c>
    </row>
    <row r="5692">
      <c r="A5692" t="inlineStr">
        <is>
          <t>ORD05691</t>
        </is>
      </c>
      <c r="B5692" t="inlineStr">
        <is>
          <t>C0691</t>
        </is>
      </c>
      <c r="C5692" t="n">
        <v>3</v>
      </c>
      <c r="D5692" t="inlineStr">
        <is>
          <t>Hub B</t>
        </is>
      </c>
      <c r="E5692" t="n">
        <v>75</v>
      </c>
      <c r="F5692" t="n">
        <v>22</v>
      </c>
    </row>
    <row r="5693">
      <c r="A5693" t="inlineStr">
        <is>
          <t>ORD05692</t>
        </is>
      </c>
      <c r="B5693" t="inlineStr">
        <is>
          <t>C0692</t>
        </is>
      </c>
      <c r="C5693" t="n">
        <v>1</v>
      </c>
      <c r="D5693" t="inlineStr">
        <is>
          <t>Hub B</t>
        </is>
      </c>
      <c r="E5693" t="n">
        <v>22</v>
      </c>
      <c r="F5693" t="n">
        <v>22</v>
      </c>
    </row>
    <row r="5694">
      <c r="A5694" t="inlineStr">
        <is>
          <t>ORD05693</t>
        </is>
      </c>
      <c r="B5694" t="inlineStr">
        <is>
          <t>C0693</t>
        </is>
      </c>
      <c r="C5694" t="n">
        <v>2</v>
      </c>
      <c r="D5694" t="inlineStr">
        <is>
          <t>Hub B</t>
        </is>
      </c>
      <c r="E5694" t="n">
        <v>29</v>
      </c>
      <c r="F5694" t="n">
        <v>22</v>
      </c>
    </row>
    <row r="5695">
      <c r="A5695" t="inlineStr">
        <is>
          <t>ORD05694</t>
        </is>
      </c>
      <c r="B5695" t="inlineStr">
        <is>
          <t>C0694</t>
        </is>
      </c>
      <c r="C5695" t="n">
        <v>3</v>
      </c>
      <c r="D5695" t="inlineStr">
        <is>
          <t>Hub B</t>
        </is>
      </c>
      <c r="E5695" t="n">
        <v>36</v>
      </c>
      <c r="F5695" t="n">
        <v>22</v>
      </c>
    </row>
    <row r="5696">
      <c r="A5696" t="inlineStr">
        <is>
          <t>ORD05695</t>
        </is>
      </c>
      <c r="B5696" t="inlineStr">
        <is>
          <t>C0695</t>
        </is>
      </c>
      <c r="C5696" t="n">
        <v>1</v>
      </c>
      <c r="D5696" t="inlineStr">
        <is>
          <t>Hub B</t>
        </is>
      </c>
      <c r="E5696" t="n">
        <v>43</v>
      </c>
      <c r="F5696" t="n">
        <v>22</v>
      </c>
    </row>
    <row r="5697">
      <c r="A5697" t="inlineStr">
        <is>
          <t>ORD05696</t>
        </is>
      </c>
      <c r="B5697" t="inlineStr">
        <is>
          <t>C0696</t>
        </is>
      </c>
      <c r="C5697" t="n">
        <v>2</v>
      </c>
      <c r="D5697" t="inlineStr">
        <is>
          <t>Hub B</t>
        </is>
      </c>
      <c r="E5697" t="n">
        <v>50</v>
      </c>
      <c r="F5697" t="n">
        <v>22</v>
      </c>
    </row>
    <row r="5698">
      <c r="A5698" t="inlineStr">
        <is>
          <t>ORD05697</t>
        </is>
      </c>
      <c r="B5698" t="inlineStr">
        <is>
          <t>C0697</t>
        </is>
      </c>
      <c r="C5698" t="n">
        <v>3</v>
      </c>
      <c r="D5698" t="inlineStr">
        <is>
          <t>Hub B</t>
        </is>
      </c>
      <c r="E5698" t="n">
        <v>57</v>
      </c>
      <c r="F5698" t="n">
        <v>22</v>
      </c>
    </row>
    <row r="5699">
      <c r="A5699" t="inlineStr">
        <is>
          <t>ORD05698</t>
        </is>
      </c>
      <c r="B5699" t="inlineStr">
        <is>
          <t>C0698</t>
        </is>
      </c>
      <c r="C5699" t="n">
        <v>1</v>
      </c>
      <c r="D5699" t="inlineStr">
        <is>
          <t>Hub B</t>
        </is>
      </c>
      <c r="E5699" t="n">
        <v>64</v>
      </c>
      <c r="F5699" t="n">
        <v>22</v>
      </c>
    </row>
    <row r="5700">
      <c r="A5700" t="inlineStr">
        <is>
          <t>ORD05699</t>
        </is>
      </c>
      <c r="B5700" t="inlineStr">
        <is>
          <t>C0699</t>
        </is>
      </c>
      <c r="C5700" t="n">
        <v>2</v>
      </c>
      <c r="D5700" t="inlineStr">
        <is>
          <t>Hub B</t>
        </is>
      </c>
      <c r="E5700" t="n">
        <v>71</v>
      </c>
      <c r="F5700" t="n">
        <v>22</v>
      </c>
    </row>
    <row r="5701">
      <c r="A5701" t="inlineStr">
        <is>
          <t>ORD05700</t>
        </is>
      </c>
      <c r="B5701" t="inlineStr">
        <is>
          <t>C0700</t>
        </is>
      </c>
      <c r="C5701" t="n">
        <v>3</v>
      </c>
      <c r="D5701" t="inlineStr">
        <is>
          <t>Hub B</t>
        </is>
      </c>
      <c r="E5701" t="n">
        <v>18</v>
      </c>
      <c r="F5701" t="n">
        <v>22</v>
      </c>
    </row>
    <row r="5702">
      <c r="A5702" t="inlineStr">
        <is>
          <t>ORD05701</t>
        </is>
      </c>
      <c r="B5702" t="inlineStr">
        <is>
          <t>C0701</t>
        </is>
      </c>
      <c r="C5702" t="n">
        <v>1</v>
      </c>
      <c r="D5702" t="inlineStr">
        <is>
          <t>Hub B</t>
        </is>
      </c>
      <c r="E5702" t="n">
        <v>25</v>
      </c>
      <c r="F5702" t="n">
        <v>22</v>
      </c>
    </row>
    <row r="5703">
      <c r="A5703" t="inlineStr">
        <is>
          <t>ORD05702</t>
        </is>
      </c>
      <c r="B5703" t="inlineStr">
        <is>
          <t>C0702</t>
        </is>
      </c>
      <c r="C5703" t="n">
        <v>2</v>
      </c>
      <c r="D5703" t="inlineStr">
        <is>
          <t>Hub B</t>
        </is>
      </c>
      <c r="E5703" t="n">
        <v>32</v>
      </c>
      <c r="F5703" t="n">
        <v>22</v>
      </c>
    </row>
    <row r="5704">
      <c r="A5704" t="inlineStr">
        <is>
          <t>ORD05703</t>
        </is>
      </c>
      <c r="B5704" t="inlineStr">
        <is>
          <t>C0703</t>
        </is>
      </c>
      <c r="C5704" t="n">
        <v>3</v>
      </c>
      <c r="D5704" t="inlineStr">
        <is>
          <t>Hub B</t>
        </is>
      </c>
      <c r="E5704" t="n">
        <v>39</v>
      </c>
      <c r="F5704" t="n">
        <v>22</v>
      </c>
    </row>
    <row r="5705">
      <c r="A5705" t="inlineStr">
        <is>
          <t>ORD05704</t>
        </is>
      </c>
      <c r="B5705" t="inlineStr">
        <is>
          <t>C0704</t>
        </is>
      </c>
      <c r="C5705" t="n">
        <v>1</v>
      </c>
      <c r="D5705" t="inlineStr">
        <is>
          <t>Hub B</t>
        </is>
      </c>
      <c r="E5705" t="n">
        <v>46</v>
      </c>
      <c r="F5705" t="n">
        <v>22</v>
      </c>
    </row>
    <row r="5706">
      <c r="A5706" t="inlineStr">
        <is>
          <t>ORD05705</t>
        </is>
      </c>
      <c r="B5706" t="inlineStr">
        <is>
          <t>C0705</t>
        </is>
      </c>
      <c r="C5706" t="n">
        <v>2</v>
      </c>
      <c r="D5706" t="inlineStr">
        <is>
          <t>Hub B</t>
        </is>
      </c>
      <c r="E5706" t="n">
        <v>53</v>
      </c>
      <c r="F5706" t="n">
        <v>22</v>
      </c>
    </row>
    <row r="5707">
      <c r="A5707" t="inlineStr">
        <is>
          <t>ORD05706</t>
        </is>
      </c>
      <c r="B5707" t="inlineStr">
        <is>
          <t>C0706</t>
        </is>
      </c>
      <c r="C5707" t="n">
        <v>3</v>
      </c>
      <c r="D5707" t="inlineStr">
        <is>
          <t>Hub B</t>
        </is>
      </c>
      <c r="E5707" t="n">
        <v>60</v>
      </c>
      <c r="F5707" t="n">
        <v>22</v>
      </c>
    </row>
    <row r="5708">
      <c r="A5708" t="inlineStr">
        <is>
          <t>ORD05707</t>
        </is>
      </c>
      <c r="B5708" t="inlineStr">
        <is>
          <t>C0707</t>
        </is>
      </c>
      <c r="C5708" t="n">
        <v>1</v>
      </c>
      <c r="D5708" t="inlineStr">
        <is>
          <t>Hub B</t>
        </is>
      </c>
      <c r="E5708" t="n">
        <v>67</v>
      </c>
      <c r="F5708" t="n">
        <v>22</v>
      </c>
    </row>
    <row r="5709">
      <c r="A5709" t="inlineStr">
        <is>
          <t>ORD05708</t>
        </is>
      </c>
      <c r="B5709" t="inlineStr">
        <is>
          <t>C0708</t>
        </is>
      </c>
      <c r="C5709" t="n">
        <v>2</v>
      </c>
      <c r="D5709" t="inlineStr">
        <is>
          <t>Hub B</t>
        </is>
      </c>
      <c r="E5709" t="n">
        <v>74</v>
      </c>
      <c r="F5709" t="n">
        <v>22</v>
      </c>
    </row>
    <row r="5710">
      <c r="A5710" t="inlineStr">
        <is>
          <t>ORD05709</t>
        </is>
      </c>
      <c r="B5710" t="inlineStr">
        <is>
          <t>C0709</t>
        </is>
      </c>
      <c r="C5710" t="n">
        <v>3</v>
      </c>
      <c r="D5710" t="inlineStr">
        <is>
          <t>Hub B</t>
        </is>
      </c>
      <c r="E5710" t="n">
        <v>21</v>
      </c>
      <c r="F5710" t="n">
        <v>22</v>
      </c>
    </row>
    <row r="5711">
      <c r="A5711" t="inlineStr">
        <is>
          <t>ORD05710</t>
        </is>
      </c>
      <c r="B5711" t="inlineStr">
        <is>
          <t>C0710</t>
        </is>
      </c>
      <c r="C5711" t="n">
        <v>1</v>
      </c>
      <c r="D5711" t="inlineStr">
        <is>
          <t>Hub B</t>
        </is>
      </c>
      <c r="E5711" t="n">
        <v>28</v>
      </c>
      <c r="F5711" t="n">
        <v>22</v>
      </c>
    </row>
    <row r="5712">
      <c r="A5712" t="inlineStr">
        <is>
          <t>ORD05711</t>
        </is>
      </c>
      <c r="B5712" t="inlineStr">
        <is>
          <t>C0711</t>
        </is>
      </c>
      <c r="C5712" t="n">
        <v>2</v>
      </c>
      <c r="D5712" t="inlineStr">
        <is>
          <t>Hub B</t>
        </is>
      </c>
      <c r="E5712" t="n">
        <v>35</v>
      </c>
      <c r="F5712" t="n">
        <v>22</v>
      </c>
    </row>
    <row r="5713">
      <c r="A5713" t="inlineStr">
        <is>
          <t>ORD05712</t>
        </is>
      </c>
      <c r="B5713" t="inlineStr">
        <is>
          <t>C0712</t>
        </is>
      </c>
      <c r="C5713" t="n">
        <v>3</v>
      </c>
      <c r="D5713" t="inlineStr">
        <is>
          <t>Hub B</t>
        </is>
      </c>
      <c r="E5713" t="n">
        <v>42</v>
      </c>
      <c r="F5713" t="n">
        <v>22</v>
      </c>
    </row>
    <row r="5714">
      <c r="A5714" t="inlineStr">
        <is>
          <t>ORD05713</t>
        </is>
      </c>
      <c r="B5714" t="inlineStr">
        <is>
          <t>C0713</t>
        </is>
      </c>
      <c r="C5714" t="n">
        <v>1</v>
      </c>
      <c r="D5714" t="inlineStr">
        <is>
          <t>Hub B</t>
        </is>
      </c>
      <c r="E5714" t="n">
        <v>49</v>
      </c>
      <c r="F5714" t="n">
        <v>22</v>
      </c>
    </row>
    <row r="5715">
      <c r="A5715" t="inlineStr">
        <is>
          <t>ORD05714</t>
        </is>
      </c>
      <c r="B5715" t="inlineStr">
        <is>
          <t>C0714</t>
        </is>
      </c>
      <c r="C5715" t="n">
        <v>2</v>
      </c>
      <c r="D5715" t="inlineStr">
        <is>
          <t>Hub B</t>
        </is>
      </c>
      <c r="E5715" t="n">
        <v>56</v>
      </c>
      <c r="F5715" t="n">
        <v>22</v>
      </c>
    </row>
    <row r="5716">
      <c r="A5716" t="inlineStr">
        <is>
          <t>ORD05715</t>
        </is>
      </c>
      <c r="B5716" t="inlineStr">
        <is>
          <t>C0715</t>
        </is>
      </c>
      <c r="C5716" t="n">
        <v>3</v>
      </c>
      <c r="D5716" t="inlineStr">
        <is>
          <t>Hub B</t>
        </is>
      </c>
      <c r="E5716" t="n">
        <v>63</v>
      </c>
      <c r="F5716" t="n">
        <v>22</v>
      </c>
    </row>
    <row r="5717">
      <c r="A5717" t="inlineStr">
        <is>
          <t>ORD05716</t>
        </is>
      </c>
      <c r="B5717" t="inlineStr">
        <is>
          <t>C0716</t>
        </is>
      </c>
      <c r="C5717" t="n">
        <v>1</v>
      </c>
      <c r="D5717" t="inlineStr">
        <is>
          <t>Hub B</t>
        </is>
      </c>
      <c r="E5717" t="n">
        <v>70</v>
      </c>
      <c r="F5717" t="n">
        <v>22</v>
      </c>
    </row>
    <row r="5718">
      <c r="A5718" t="inlineStr">
        <is>
          <t>ORD05717</t>
        </is>
      </c>
      <c r="B5718" t="inlineStr">
        <is>
          <t>C0717</t>
        </is>
      </c>
      <c r="C5718" t="n">
        <v>2</v>
      </c>
      <c r="D5718" t="inlineStr">
        <is>
          <t>Hub B</t>
        </is>
      </c>
      <c r="E5718" t="n">
        <v>77</v>
      </c>
      <c r="F5718" t="n">
        <v>22</v>
      </c>
    </row>
    <row r="5719">
      <c r="A5719" t="inlineStr">
        <is>
          <t>ORD05718</t>
        </is>
      </c>
      <c r="B5719" t="inlineStr">
        <is>
          <t>C0718</t>
        </is>
      </c>
      <c r="C5719" t="n">
        <v>3</v>
      </c>
      <c r="D5719" t="inlineStr">
        <is>
          <t>Hub B</t>
        </is>
      </c>
      <c r="E5719" t="n">
        <v>24</v>
      </c>
      <c r="F5719" t="n">
        <v>22</v>
      </c>
    </row>
    <row r="5720">
      <c r="A5720" t="inlineStr">
        <is>
          <t>ORD05719</t>
        </is>
      </c>
      <c r="B5720" t="inlineStr">
        <is>
          <t>C0719</t>
        </is>
      </c>
      <c r="C5720" t="n">
        <v>1</v>
      </c>
      <c r="D5720" t="inlineStr">
        <is>
          <t>Hub B</t>
        </is>
      </c>
      <c r="E5720" t="n">
        <v>31</v>
      </c>
      <c r="F5720" t="n">
        <v>22</v>
      </c>
    </row>
    <row r="5721">
      <c r="A5721" t="inlineStr">
        <is>
          <t>ORD05720</t>
        </is>
      </c>
      <c r="B5721" t="inlineStr">
        <is>
          <t>C0720</t>
        </is>
      </c>
      <c r="C5721" t="n">
        <v>2</v>
      </c>
      <c r="D5721" t="inlineStr">
        <is>
          <t>Hub B</t>
        </is>
      </c>
      <c r="E5721" t="n">
        <v>38</v>
      </c>
      <c r="F5721" t="n">
        <v>22</v>
      </c>
    </row>
    <row r="5722">
      <c r="A5722" t="inlineStr">
        <is>
          <t>ORD05721</t>
        </is>
      </c>
      <c r="B5722" t="inlineStr">
        <is>
          <t>C0721</t>
        </is>
      </c>
      <c r="C5722" t="n">
        <v>3</v>
      </c>
      <c r="D5722" t="inlineStr">
        <is>
          <t>Hub B</t>
        </is>
      </c>
      <c r="E5722" t="n">
        <v>45</v>
      </c>
      <c r="F5722" t="n">
        <v>22</v>
      </c>
    </row>
    <row r="5723">
      <c r="A5723" t="inlineStr">
        <is>
          <t>ORD05722</t>
        </is>
      </c>
      <c r="B5723" t="inlineStr">
        <is>
          <t>C0722</t>
        </is>
      </c>
      <c r="C5723" t="n">
        <v>1</v>
      </c>
      <c r="D5723" t="inlineStr">
        <is>
          <t>Hub B</t>
        </is>
      </c>
      <c r="E5723" t="n">
        <v>52</v>
      </c>
      <c r="F5723" t="n">
        <v>22</v>
      </c>
    </row>
    <row r="5724">
      <c r="A5724" t="inlineStr">
        <is>
          <t>ORD05723</t>
        </is>
      </c>
      <c r="B5724" t="inlineStr">
        <is>
          <t>C0723</t>
        </is>
      </c>
      <c r="C5724" t="n">
        <v>2</v>
      </c>
      <c r="D5724" t="inlineStr">
        <is>
          <t>Hub B</t>
        </is>
      </c>
      <c r="E5724" t="n">
        <v>59</v>
      </c>
      <c r="F5724" t="n">
        <v>22</v>
      </c>
    </row>
    <row r="5725">
      <c r="A5725" t="inlineStr">
        <is>
          <t>ORD05724</t>
        </is>
      </c>
      <c r="B5725" t="inlineStr">
        <is>
          <t>C0724</t>
        </is>
      </c>
      <c r="C5725" t="n">
        <v>3</v>
      </c>
      <c r="D5725" t="inlineStr">
        <is>
          <t>Hub B</t>
        </is>
      </c>
      <c r="E5725" t="n">
        <v>66</v>
      </c>
      <c r="F5725" t="n">
        <v>22</v>
      </c>
    </row>
    <row r="5726">
      <c r="A5726" t="inlineStr">
        <is>
          <t>ORD05725</t>
        </is>
      </c>
      <c r="B5726" t="inlineStr">
        <is>
          <t>C0725</t>
        </is>
      </c>
      <c r="C5726" t="n">
        <v>1</v>
      </c>
      <c r="D5726" t="inlineStr">
        <is>
          <t>Hub B</t>
        </is>
      </c>
      <c r="E5726" t="n">
        <v>73</v>
      </c>
      <c r="F5726" t="n">
        <v>22</v>
      </c>
    </row>
    <row r="5727">
      <c r="A5727" t="inlineStr">
        <is>
          <t>ORD05726</t>
        </is>
      </c>
      <c r="B5727" t="inlineStr">
        <is>
          <t>C0726</t>
        </is>
      </c>
      <c r="C5727" t="n">
        <v>2</v>
      </c>
      <c r="D5727" t="inlineStr">
        <is>
          <t>Hub B</t>
        </is>
      </c>
      <c r="E5727" t="n">
        <v>20</v>
      </c>
      <c r="F5727" t="n">
        <v>22</v>
      </c>
    </row>
    <row r="5728">
      <c r="A5728" t="inlineStr">
        <is>
          <t>ORD05727</t>
        </is>
      </c>
      <c r="B5728" t="inlineStr">
        <is>
          <t>C0727</t>
        </is>
      </c>
      <c r="C5728" t="n">
        <v>3</v>
      </c>
      <c r="D5728" t="inlineStr">
        <is>
          <t>Hub B</t>
        </is>
      </c>
      <c r="E5728" t="n">
        <v>27</v>
      </c>
      <c r="F5728" t="n">
        <v>22</v>
      </c>
    </row>
    <row r="5729">
      <c r="A5729" t="inlineStr">
        <is>
          <t>ORD05728</t>
        </is>
      </c>
      <c r="B5729" t="inlineStr">
        <is>
          <t>C0728</t>
        </is>
      </c>
      <c r="C5729" t="n">
        <v>1</v>
      </c>
      <c r="D5729" t="inlineStr">
        <is>
          <t>Hub B</t>
        </is>
      </c>
      <c r="E5729" t="n">
        <v>34</v>
      </c>
      <c r="F5729" t="n">
        <v>22</v>
      </c>
    </row>
    <row r="5730">
      <c r="A5730" t="inlineStr">
        <is>
          <t>ORD05729</t>
        </is>
      </c>
      <c r="B5730" t="inlineStr">
        <is>
          <t>C0729</t>
        </is>
      </c>
      <c r="C5730" t="n">
        <v>2</v>
      </c>
      <c r="D5730" t="inlineStr">
        <is>
          <t>Hub B</t>
        </is>
      </c>
      <c r="E5730" t="n">
        <v>41</v>
      </c>
      <c r="F5730" t="n">
        <v>22</v>
      </c>
    </row>
    <row r="5731">
      <c r="A5731" t="inlineStr">
        <is>
          <t>ORD05730</t>
        </is>
      </c>
      <c r="B5731" t="inlineStr">
        <is>
          <t>C0730</t>
        </is>
      </c>
      <c r="C5731" t="n">
        <v>3</v>
      </c>
      <c r="D5731" t="inlineStr">
        <is>
          <t>Hub B</t>
        </is>
      </c>
      <c r="E5731" t="n">
        <v>48</v>
      </c>
      <c r="F5731" t="n">
        <v>22</v>
      </c>
    </row>
    <row r="5732">
      <c r="A5732" t="inlineStr">
        <is>
          <t>ORD05731</t>
        </is>
      </c>
      <c r="B5732" t="inlineStr">
        <is>
          <t>C0731</t>
        </is>
      </c>
      <c r="C5732" t="n">
        <v>1</v>
      </c>
      <c r="D5732" t="inlineStr">
        <is>
          <t>Hub B</t>
        </is>
      </c>
      <c r="E5732" t="n">
        <v>55</v>
      </c>
      <c r="F5732" t="n">
        <v>22</v>
      </c>
    </row>
    <row r="5733">
      <c r="A5733" t="inlineStr">
        <is>
          <t>ORD05732</t>
        </is>
      </c>
      <c r="B5733" t="inlineStr">
        <is>
          <t>C0732</t>
        </is>
      </c>
      <c r="C5733" t="n">
        <v>2</v>
      </c>
      <c r="D5733" t="inlineStr">
        <is>
          <t>Hub B</t>
        </is>
      </c>
      <c r="E5733" t="n">
        <v>62</v>
      </c>
      <c r="F5733" t="n">
        <v>22</v>
      </c>
    </row>
    <row r="5734">
      <c r="A5734" t="inlineStr">
        <is>
          <t>ORD05733</t>
        </is>
      </c>
      <c r="B5734" t="inlineStr">
        <is>
          <t>C0733</t>
        </is>
      </c>
      <c r="C5734" t="n">
        <v>3</v>
      </c>
      <c r="D5734" t="inlineStr">
        <is>
          <t>Hub B</t>
        </is>
      </c>
      <c r="E5734" t="n">
        <v>69</v>
      </c>
      <c r="F5734" t="n">
        <v>22</v>
      </c>
    </row>
    <row r="5735">
      <c r="A5735" t="inlineStr">
        <is>
          <t>ORD05734</t>
        </is>
      </c>
      <c r="B5735" t="inlineStr">
        <is>
          <t>C0734</t>
        </is>
      </c>
      <c r="C5735" t="n">
        <v>1</v>
      </c>
      <c r="D5735" t="inlineStr">
        <is>
          <t>Hub B</t>
        </is>
      </c>
      <c r="E5735" t="n">
        <v>76</v>
      </c>
      <c r="F5735" t="n">
        <v>22</v>
      </c>
    </row>
    <row r="5736">
      <c r="A5736" t="inlineStr">
        <is>
          <t>ORD05735</t>
        </is>
      </c>
      <c r="B5736" t="inlineStr">
        <is>
          <t>C0735</t>
        </is>
      </c>
      <c r="C5736" t="n">
        <v>2</v>
      </c>
      <c r="D5736" t="inlineStr">
        <is>
          <t>Hub B</t>
        </is>
      </c>
      <c r="E5736" t="n">
        <v>23</v>
      </c>
      <c r="F5736" t="n">
        <v>22</v>
      </c>
    </row>
    <row r="5737">
      <c r="A5737" t="inlineStr">
        <is>
          <t>ORD05736</t>
        </is>
      </c>
      <c r="B5737" t="inlineStr">
        <is>
          <t>C0736</t>
        </is>
      </c>
      <c r="C5737" t="n">
        <v>3</v>
      </c>
      <c r="D5737" t="inlineStr">
        <is>
          <t>Hub B</t>
        </is>
      </c>
      <c r="E5737" t="n">
        <v>30</v>
      </c>
      <c r="F5737" t="n">
        <v>22</v>
      </c>
    </row>
    <row r="5738">
      <c r="A5738" t="inlineStr">
        <is>
          <t>ORD05737</t>
        </is>
      </c>
      <c r="B5738" t="inlineStr">
        <is>
          <t>C0737</t>
        </is>
      </c>
      <c r="C5738" t="n">
        <v>1</v>
      </c>
      <c r="D5738" t="inlineStr">
        <is>
          <t>Hub B</t>
        </is>
      </c>
      <c r="E5738" t="n">
        <v>37</v>
      </c>
      <c r="F5738" t="n">
        <v>22</v>
      </c>
    </row>
    <row r="5739">
      <c r="A5739" t="inlineStr">
        <is>
          <t>ORD05738</t>
        </is>
      </c>
      <c r="B5739" t="inlineStr">
        <is>
          <t>C0738</t>
        </is>
      </c>
      <c r="C5739" t="n">
        <v>2</v>
      </c>
      <c r="D5739" t="inlineStr">
        <is>
          <t>Hub B</t>
        </is>
      </c>
      <c r="E5739" t="n">
        <v>44</v>
      </c>
      <c r="F5739" t="n">
        <v>22</v>
      </c>
    </row>
    <row r="5740">
      <c r="A5740" t="inlineStr">
        <is>
          <t>ORD05739</t>
        </is>
      </c>
      <c r="B5740" t="inlineStr">
        <is>
          <t>C0739</t>
        </is>
      </c>
      <c r="C5740" t="n">
        <v>3</v>
      </c>
      <c r="D5740" t="inlineStr">
        <is>
          <t>Hub B</t>
        </is>
      </c>
      <c r="E5740" t="n">
        <v>51</v>
      </c>
      <c r="F5740" t="n">
        <v>22</v>
      </c>
    </row>
    <row r="5741">
      <c r="A5741" t="inlineStr">
        <is>
          <t>ORD05740</t>
        </is>
      </c>
      <c r="B5741" t="inlineStr">
        <is>
          <t>C0740</t>
        </is>
      </c>
      <c r="C5741" t="n">
        <v>1</v>
      </c>
      <c r="D5741" t="inlineStr">
        <is>
          <t>Hub B</t>
        </is>
      </c>
      <c r="E5741" t="n">
        <v>58</v>
      </c>
      <c r="F5741" t="n">
        <v>22</v>
      </c>
    </row>
    <row r="5742">
      <c r="A5742" t="inlineStr">
        <is>
          <t>ORD05741</t>
        </is>
      </c>
      <c r="B5742" t="inlineStr">
        <is>
          <t>C0741</t>
        </is>
      </c>
      <c r="C5742" t="n">
        <v>2</v>
      </c>
      <c r="D5742" t="inlineStr">
        <is>
          <t>Hub B</t>
        </is>
      </c>
      <c r="E5742" t="n">
        <v>65</v>
      </c>
      <c r="F5742" t="n">
        <v>22</v>
      </c>
    </row>
    <row r="5743">
      <c r="A5743" t="inlineStr">
        <is>
          <t>ORD05742</t>
        </is>
      </c>
      <c r="B5743" t="inlineStr">
        <is>
          <t>C0742</t>
        </is>
      </c>
      <c r="C5743" t="n">
        <v>3</v>
      </c>
      <c r="D5743" t="inlineStr">
        <is>
          <t>Hub B</t>
        </is>
      </c>
      <c r="E5743" t="n">
        <v>72</v>
      </c>
      <c r="F5743" t="n">
        <v>22</v>
      </c>
    </row>
    <row r="5744">
      <c r="A5744" t="inlineStr">
        <is>
          <t>ORD05743</t>
        </is>
      </c>
      <c r="B5744" t="inlineStr">
        <is>
          <t>C0743</t>
        </is>
      </c>
      <c r="C5744" t="n">
        <v>1</v>
      </c>
      <c r="D5744" t="inlineStr">
        <is>
          <t>Hub B</t>
        </is>
      </c>
      <c r="E5744" t="n">
        <v>19</v>
      </c>
      <c r="F5744" t="n">
        <v>22</v>
      </c>
    </row>
    <row r="5745">
      <c r="A5745" t="inlineStr">
        <is>
          <t>ORD05744</t>
        </is>
      </c>
      <c r="B5745" t="inlineStr">
        <is>
          <t>C0744</t>
        </is>
      </c>
      <c r="C5745" t="n">
        <v>2</v>
      </c>
      <c r="D5745" t="inlineStr">
        <is>
          <t>Hub B</t>
        </is>
      </c>
      <c r="E5745" t="n">
        <v>26</v>
      </c>
      <c r="F5745" t="n">
        <v>22</v>
      </c>
    </row>
    <row r="5746">
      <c r="A5746" t="inlineStr">
        <is>
          <t>ORD05745</t>
        </is>
      </c>
      <c r="B5746" t="inlineStr">
        <is>
          <t>C0745</t>
        </is>
      </c>
      <c r="C5746" t="n">
        <v>3</v>
      </c>
      <c r="D5746" t="inlineStr">
        <is>
          <t>Hub B</t>
        </is>
      </c>
      <c r="E5746" t="n">
        <v>33</v>
      </c>
      <c r="F5746" t="n">
        <v>22</v>
      </c>
    </row>
    <row r="5747">
      <c r="A5747" t="inlineStr">
        <is>
          <t>ORD05746</t>
        </is>
      </c>
      <c r="B5747" t="inlineStr">
        <is>
          <t>C0746</t>
        </is>
      </c>
      <c r="C5747" t="n">
        <v>1</v>
      </c>
      <c r="D5747" t="inlineStr">
        <is>
          <t>Hub B</t>
        </is>
      </c>
      <c r="E5747" t="n">
        <v>40</v>
      </c>
      <c r="F5747" t="n">
        <v>22</v>
      </c>
    </row>
    <row r="5748">
      <c r="A5748" t="inlineStr">
        <is>
          <t>ORD05747</t>
        </is>
      </c>
      <c r="B5748" t="inlineStr">
        <is>
          <t>C0747</t>
        </is>
      </c>
      <c r="C5748" t="n">
        <v>2</v>
      </c>
      <c r="D5748" t="inlineStr">
        <is>
          <t>Hub B</t>
        </is>
      </c>
      <c r="E5748" t="n">
        <v>47</v>
      </c>
      <c r="F5748" t="n">
        <v>22</v>
      </c>
    </row>
    <row r="5749">
      <c r="A5749" t="inlineStr">
        <is>
          <t>ORD05748</t>
        </is>
      </c>
      <c r="B5749" t="inlineStr">
        <is>
          <t>C0748</t>
        </is>
      </c>
      <c r="C5749" t="n">
        <v>3</v>
      </c>
      <c r="D5749" t="inlineStr">
        <is>
          <t>Hub B</t>
        </is>
      </c>
      <c r="E5749" t="n">
        <v>54</v>
      </c>
      <c r="F5749" t="n">
        <v>22</v>
      </c>
    </row>
    <row r="5750">
      <c r="A5750" t="inlineStr">
        <is>
          <t>ORD05749</t>
        </is>
      </c>
      <c r="B5750" t="inlineStr">
        <is>
          <t>C0749</t>
        </is>
      </c>
      <c r="C5750" t="n">
        <v>1</v>
      </c>
      <c r="D5750" t="inlineStr">
        <is>
          <t>Hub B</t>
        </is>
      </c>
      <c r="E5750" t="n">
        <v>61</v>
      </c>
      <c r="F5750" t="n">
        <v>22</v>
      </c>
    </row>
    <row r="5751">
      <c r="A5751" t="inlineStr">
        <is>
          <t>ORD05750</t>
        </is>
      </c>
      <c r="B5751" t="inlineStr">
        <is>
          <t>C0750</t>
        </is>
      </c>
      <c r="C5751" t="n">
        <v>2</v>
      </c>
      <c r="D5751" t="inlineStr">
        <is>
          <t>Hub B</t>
        </is>
      </c>
      <c r="E5751" t="n">
        <v>68</v>
      </c>
      <c r="F5751" t="n">
        <v>22</v>
      </c>
    </row>
    <row r="5752">
      <c r="A5752" t="inlineStr">
        <is>
          <t>ORD05751</t>
        </is>
      </c>
      <c r="B5752" t="inlineStr">
        <is>
          <t>C0751</t>
        </is>
      </c>
      <c r="C5752" t="n">
        <v>3</v>
      </c>
      <c r="D5752" t="inlineStr">
        <is>
          <t>Hub B</t>
        </is>
      </c>
      <c r="E5752" t="n">
        <v>75</v>
      </c>
      <c r="F5752" t="n">
        <v>22</v>
      </c>
    </row>
    <row r="5753">
      <c r="A5753" t="inlineStr">
        <is>
          <t>ORD05752</t>
        </is>
      </c>
      <c r="B5753" t="inlineStr">
        <is>
          <t>C0752</t>
        </is>
      </c>
      <c r="C5753" t="n">
        <v>1</v>
      </c>
      <c r="D5753" t="inlineStr">
        <is>
          <t>Hub B</t>
        </is>
      </c>
      <c r="E5753" t="n">
        <v>22</v>
      </c>
      <c r="F5753" t="n">
        <v>22</v>
      </c>
    </row>
    <row r="5754">
      <c r="A5754" t="inlineStr">
        <is>
          <t>ORD05753</t>
        </is>
      </c>
      <c r="B5754" t="inlineStr">
        <is>
          <t>C0753</t>
        </is>
      </c>
      <c r="C5754" t="n">
        <v>2</v>
      </c>
      <c r="D5754" t="inlineStr">
        <is>
          <t>Hub B</t>
        </is>
      </c>
      <c r="E5754" t="n">
        <v>29</v>
      </c>
      <c r="F5754" t="n">
        <v>22</v>
      </c>
    </row>
    <row r="5755">
      <c r="A5755" t="inlineStr">
        <is>
          <t>ORD05754</t>
        </is>
      </c>
      <c r="B5755" t="inlineStr">
        <is>
          <t>C0754</t>
        </is>
      </c>
      <c r="C5755" t="n">
        <v>3</v>
      </c>
      <c r="D5755" t="inlineStr">
        <is>
          <t>Hub B</t>
        </is>
      </c>
      <c r="E5755" t="n">
        <v>36</v>
      </c>
      <c r="F5755" t="n">
        <v>22</v>
      </c>
    </row>
    <row r="5756">
      <c r="A5756" t="inlineStr">
        <is>
          <t>ORD05755</t>
        </is>
      </c>
      <c r="B5756" t="inlineStr">
        <is>
          <t>C0755</t>
        </is>
      </c>
      <c r="C5756" t="n">
        <v>1</v>
      </c>
      <c r="D5756" t="inlineStr">
        <is>
          <t>Hub B</t>
        </is>
      </c>
      <c r="E5756" t="n">
        <v>43</v>
      </c>
      <c r="F5756" t="n">
        <v>22</v>
      </c>
    </row>
    <row r="5757">
      <c r="A5757" t="inlineStr">
        <is>
          <t>ORD05756</t>
        </is>
      </c>
      <c r="B5757" t="inlineStr">
        <is>
          <t>C0756</t>
        </is>
      </c>
      <c r="C5757" t="n">
        <v>2</v>
      </c>
      <c r="D5757" t="inlineStr">
        <is>
          <t>Hub B</t>
        </is>
      </c>
      <c r="E5757" t="n">
        <v>50</v>
      </c>
      <c r="F5757" t="n">
        <v>22</v>
      </c>
    </row>
    <row r="5758">
      <c r="A5758" t="inlineStr">
        <is>
          <t>ORD05757</t>
        </is>
      </c>
      <c r="B5758" t="inlineStr">
        <is>
          <t>C0757</t>
        </is>
      </c>
      <c r="C5758" t="n">
        <v>3</v>
      </c>
      <c r="D5758" t="inlineStr">
        <is>
          <t>Hub B</t>
        </is>
      </c>
      <c r="E5758" t="n">
        <v>57</v>
      </c>
      <c r="F5758" t="n">
        <v>22</v>
      </c>
    </row>
    <row r="5759">
      <c r="A5759" t="inlineStr">
        <is>
          <t>ORD05758</t>
        </is>
      </c>
      <c r="B5759" t="inlineStr">
        <is>
          <t>C0758</t>
        </is>
      </c>
      <c r="C5759" t="n">
        <v>1</v>
      </c>
      <c r="D5759" t="inlineStr">
        <is>
          <t>Hub B</t>
        </is>
      </c>
      <c r="E5759" t="n">
        <v>64</v>
      </c>
      <c r="F5759" t="n">
        <v>22</v>
      </c>
    </row>
    <row r="5760">
      <c r="A5760" t="inlineStr">
        <is>
          <t>ORD05759</t>
        </is>
      </c>
      <c r="B5760" t="inlineStr">
        <is>
          <t>C0759</t>
        </is>
      </c>
      <c r="C5760" t="n">
        <v>2</v>
      </c>
      <c r="D5760" t="inlineStr">
        <is>
          <t>Hub B</t>
        </is>
      </c>
      <c r="E5760" t="n">
        <v>71</v>
      </c>
      <c r="F5760" t="n">
        <v>22</v>
      </c>
    </row>
    <row r="5761">
      <c r="A5761" t="inlineStr">
        <is>
          <t>ORD05760</t>
        </is>
      </c>
      <c r="B5761" t="inlineStr">
        <is>
          <t>C0760</t>
        </is>
      </c>
      <c r="C5761" t="n">
        <v>3</v>
      </c>
      <c r="D5761" t="inlineStr">
        <is>
          <t>Hub B</t>
        </is>
      </c>
      <c r="E5761" t="n">
        <v>18</v>
      </c>
      <c r="F5761" t="n">
        <v>22</v>
      </c>
    </row>
    <row r="5762">
      <c r="A5762" t="inlineStr">
        <is>
          <t>ORD05761</t>
        </is>
      </c>
      <c r="B5762" t="inlineStr">
        <is>
          <t>C0761</t>
        </is>
      </c>
      <c r="C5762" t="n">
        <v>1</v>
      </c>
      <c r="D5762" t="inlineStr">
        <is>
          <t>Hub B</t>
        </is>
      </c>
      <c r="E5762" t="n">
        <v>25</v>
      </c>
      <c r="F5762" t="n">
        <v>22</v>
      </c>
    </row>
    <row r="5763">
      <c r="A5763" t="inlineStr">
        <is>
          <t>ORD05762</t>
        </is>
      </c>
      <c r="B5763" t="inlineStr">
        <is>
          <t>C0762</t>
        </is>
      </c>
      <c r="C5763" t="n">
        <v>2</v>
      </c>
      <c r="D5763" t="inlineStr">
        <is>
          <t>Hub B</t>
        </is>
      </c>
      <c r="E5763" t="n">
        <v>32</v>
      </c>
      <c r="F5763" t="n">
        <v>22</v>
      </c>
    </row>
    <row r="5764">
      <c r="A5764" t="inlineStr">
        <is>
          <t>ORD05763</t>
        </is>
      </c>
      <c r="B5764" t="inlineStr">
        <is>
          <t>C0763</t>
        </is>
      </c>
      <c r="C5764" t="n">
        <v>3</v>
      </c>
      <c r="D5764" t="inlineStr">
        <is>
          <t>Hub B</t>
        </is>
      </c>
      <c r="E5764" t="n">
        <v>39</v>
      </c>
      <c r="F5764" t="n">
        <v>22</v>
      </c>
    </row>
    <row r="5765">
      <c r="A5765" t="inlineStr">
        <is>
          <t>ORD05764</t>
        </is>
      </c>
      <c r="B5765" t="inlineStr">
        <is>
          <t>C0764</t>
        </is>
      </c>
      <c r="C5765" t="n">
        <v>1</v>
      </c>
      <c r="D5765" t="inlineStr">
        <is>
          <t>Hub B</t>
        </is>
      </c>
      <c r="E5765" t="n">
        <v>46</v>
      </c>
      <c r="F5765" t="n">
        <v>22</v>
      </c>
    </row>
    <row r="5766">
      <c r="A5766" t="inlineStr">
        <is>
          <t>ORD05765</t>
        </is>
      </c>
      <c r="B5766" t="inlineStr">
        <is>
          <t>C0765</t>
        </is>
      </c>
      <c r="C5766" t="n">
        <v>2</v>
      </c>
      <c r="D5766" t="inlineStr">
        <is>
          <t>Hub B</t>
        </is>
      </c>
      <c r="E5766" t="n">
        <v>53</v>
      </c>
      <c r="F5766" t="n">
        <v>22</v>
      </c>
    </row>
    <row r="5767">
      <c r="A5767" t="inlineStr">
        <is>
          <t>ORD05766</t>
        </is>
      </c>
      <c r="B5767" t="inlineStr">
        <is>
          <t>C0766</t>
        </is>
      </c>
      <c r="C5767" t="n">
        <v>3</v>
      </c>
      <c r="D5767" t="inlineStr">
        <is>
          <t>Hub B</t>
        </is>
      </c>
      <c r="E5767" t="n">
        <v>60</v>
      </c>
      <c r="F5767" t="n">
        <v>22</v>
      </c>
    </row>
    <row r="5768">
      <c r="A5768" t="inlineStr">
        <is>
          <t>ORD05767</t>
        </is>
      </c>
      <c r="B5768" t="inlineStr">
        <is>
          <t>C0767</t>
        </is>
      </c>
      <c r="C5768" t="n">
        <v>1</v>
      </c>
      <c r="D5768" t="inlineStr">
        <is>
          <t>Hub B</t>
        </is>
      </c>
      <c r="E5768" t="n">
        <v>67</v>
      </c>
      <c r="F5768" t="n">
        <v>22</v>
      </c>
    </row>
    <row r="5769">
      <c r="A5769" t="inlineStr">
        <is>
          <t>ORD05768</t>
        </is>
      </c>
      <c r="B5769" t="inlineStr">
        <is>
          <t>C0768</t>
        </is>
      </c>
      <c r="C5769" t="n">
        <v>2</v>
      </c>
      <c r="D5769" t="inlineStr">
        <is>
          <t>Hub B</t>
        </is>
      </c>
      <c r="E5769" t="n">
        <v>74</v>
      </c>
      <c r="F5769" t="n">
        <v>22</v>
      </c>
    </row>
    <row r="5770">
      <c r="A5770" t="inlineStr">
        <is>
          <t>ORD05769</t>
        </is>
      </c>
      <c r="B5770" t="inlineStr">
        <is>
          <t>C0769</t>
        </is>
      </c>
      <c r="C5770" t="n">
        <v>3</v>
      </c>
      <c r="D5770" t="inlineStr">
        <is>
          <t>Hub B</t>
        </is>
      </c>
      <c r="E5770" t="n">
        <v>21</v>
      </c>
      <c r="F5770" t="n">
        <v>22</v>
      </c>
    </row>
    <row r="5771">
      <c r="A5771" t="inlineStr">
        <is>
          <t>ORD05770</t>
        </is>
      </c>
      <c r="B5771" t="inlineStr">
        <is>
          <t>C0770</t>
        </is>
      </c>
      <c r="C5771" t="n">
        <v>1</v>
      </c>
      <c r="D5771" t="inlineStr">
        <is>
          <t>Hub B</t>
        </is>
      </c>
      <c r="E5771" t="n">
        <v>28</v>
      </c>
      <c r="F5771" t="n">
        <v>22</v>
      </c>
    </row>
    <row r="5772">
      <c r="A5772" t="inlineStr">
        <is>
          <t>ORD05771</t>
        </is>
      </c>
      <c r="B5772" t="inlineStr">
        <is>
          <t>C0771</t>
        </is>
      </c>
      <c r="C5772" t="n">
        <v>2</v>
      </c>
      <c r="D5772" t="inlineStr">
        <is>
          <t>Hub B</t>
        </is>
      </c>
      <c r="E5772" t="n">
        <v>35</v>
      </c>
      <c r="F5772" t="n">
        <v>22</v>
      </c>
    </row>
    <row r="5773">
      <c r="A5773" t="inlineStr">
        <is>
          <t>ORD05772</t>
        </is>
      </c>
      <c r="B5773" t="inlineStr">
        <is>
          <t>C0772</t>
        </is>
      </c>
      <c r="C5773" t="n">
        <v>3</v>
      </c>
      <c r="D5773" t="inlineStr">
        <is>
          <t>Hub B</t>
        </is>
      </c>
      <c r="E5773" t="n">
        <v>42</v>
      </c>
      <c r="F5773" t="n">
        <v>22</v>
      </c>
    </row>
    <row r="5774">
      <c r="A5774" t="inlineStr">
        <is>
          <t>ORD05773</t>
        </is>
      </c>
      <c r="B5774" t="inlineStr">
        <is>
          <t>C0773</t>
        </is>
      </c>
      <c r="C5774" t="n">
        <v>1</v>
      </c>
      <c r="D5774" t="inlineStr">
        <is>
          <t>Hub B</t>
        </is>
      </c>
      <c r="E5774" t="n">
        <v>49</v>
      </c>
      <c r="F5774" t="n">
        <v>22</v>
      </c>
    </row>
    <row r="5775">
      <c r="A5775" t="inlineStr">
        <is>
          <t>ORD05774</t>
        </is>
      </c>
      <c r="B5775" t="inlineStr">
        <is>
          <t>C0774</t>
        </is>
      </c>
      <c r="C5775" t="n">
        <v>2</v>
      </c>
      <c r="D5775" t="inlineStr">
        <is>
          <t>Hub B</t>
        </is>
      </c>
      <c r="E5775" t="n">
        <v>56</v>
      </c>
      <c r="F5775" t="n">
        <v>22</v>
      </c>
    </row>
    <row r="5776">
      <c r="A5776" t="inlineStr">
        <is>
          <t>ORD05775</t>
        </is>
      </c>
      <c r="B5776" t="inlineStr">
        <is>
          <t>C0775</t>
        </is>
      </c>
      <c r="C5776" t="n">
        <v>3</v>
      </c>
      <c r="D5776" t="inlineStr">
        <is>
          <t>Hub B</t>
        </is>
      </c>
      <c r="E5776" t="n">
        <v>63</v>
      </c>
      <c r="F5776" t="n">
        <v>22</v>
      </c>
    </row>
    <row r="5777">
      <c r="A5777" t="inlineStr">
        <is>
          <t>ORD05776</t>
        </is>
      </c>
      <c r="B5777" t="inlineStr">
        <is>
          <t>C0776</t>
        </is>
      </c>
      <c r="C5777" t="n">
        <v>1</v>
      </c>
      <c r="D5777" t="inlineStr">
        <is>
          <t>Hub B</t>
        </is>
      </c>
      <c r="E5777" t="n">
        <v>70</v>
      </c>
      <c r="F5777" t="n">
        <v>22</v>
      </c>
    </row>
    <row r="5778">
      <c r="A5778" t="inlineStr">
        <is>
          <t>ORD05777</t>
        </is>
      </c>
      <c r="B5778" t="inlineStr">
        <is>
          <t>C0777</t>
        </is>
      </c>
      <c r="C5778" t="n">
        <v>2</v>
      </c>
      <c r="D5778" t="inlineStr">
        <is>
          <t>Hub B</t>
        </is>
      </c>
      <c r="E5778" t="n">
        <v>77</v>
      </c>
      <c r="F5778" t="n">
        <v>22</v>
      </c>
    </row>
    <row r="5779">
      <c r="A5779" t="inlineStr">
        <is>
          <t>ORD05778</t>
        </is>
      </c>
      <c r="B5779" t="inlineStr">
        <is>
          <t>C0778</t>
        </is>
      </c>
      <c r="C5779" t="n">
        <v>3</v>
      </c>
      <c r="D5779" t="inlineStr">
        <is>
          <t>Hub B</t>
        </is>
      </c>
      <c r="E5779" t="n">
        <v>24</v>
      </c>
      <c r="F5779" t="n">
        <v>22</v>
      </c>
    </row>
    <row r="5780">
      <c r="A5780" t="inlineStr">
        <is>
          <t>ORD05779</t>
        </is>
      </c>
      <c r="B5780" t="inlineStr">
        <is>
          <t>C0779</t>
        </is>
      </c>
      <c r="C5780" t="n">
        <v>1</v>
      </c>
      <c r="D5780" t="inlineStr">
        <is>
          <t>Hub B</t>
        </is>
      </c>
      <c r="E5780" t="n">
        <v>31</v>
      </c>
      <c r="F5780" t="n">
        <v>22</v>
      </c>
    </row>
    <row r="5781">
      <c r="A5781" t="inlineStr">
        <is>
          <t>ORD05780</t>
        </is>
      </c>
      <c r="B5781" t="inlineStr">
        <is>
          <t>C0780</t>
        </is>
      </c>
      <c r="C5781" t="n">
        <v>2</v>
      </c>
      <c r="D5781" t="inlineStr">
        <is>
          <t>Hub B</t>
        </is>
      </c>
      <c r="E5781" t="n">
        <v>38</v>
      </c>
      <c r="F5781" t="n">
        <v>22</v>
      </c>
    </row>
    <row r="5782">
      <c r="A5782" t="inlineStr">
        <is>
          <t>ORD05781</t>
        </is>
      </c>
      <c r="B5782" t="inlineStr">
        <is>
          <t>C0781</t>
        </is>
      </c>
      <c r="C5782" t="n">
        <v>3</v>
      </c>
      <c r="D5782" t="inlineStr">
        <is>
          <t>Hub B</t>
        </is>
      </c>
      <c r="E5782" t="n">
        <v>45</v>
      </c>
      <c r="F5782" t="n">
        <v>22</v>
      </c>
    </row>
    <row r="5783">
      <c r="A5783" t="inlineStr">
        <is>
          <t>ORD05782</t>
        </is>
      </c>
      <c r="B5783" t="inlineStr">
        <is>
          <t>C0782</t>
        </is>
      </c>
      <c r="C5783" t="n">
        <v>1</v>
      </c>
      <c r="D5783" t="inlineStr">
        <is>
          <t>Hub B</t>
        </is>
      </c>
      <c r="E5783" t="n">
        <v>52</v>
      </c>
      <c r="F5783" t="n">
        <v>22</v>
      </c>
    </row>
    <row r="5784">
      <c r="A5784" t="inlineStr">
        <is>
          <t>ORD05783</t>
        </is>
      </c>
      <c r="B5784" t="inlineStr">
        <is>
          <t>C0783</t>
        </is>
      </c>
      <c r="C5784" t="n">
        <v>2</v>
      </c>
      <c r="D5784" t="inlineStr">
        <is>
          <t>Hub B</t>
        </is>
      </c>
      <c r="E5784" t="n">
        <v>59</v>
      </c>
      <c r="F5784" t="n">
        <v>22</v>
      </c>
    </row>
    <row r="5785">
      <c r="A5785" t="inlineStr">
        <is>
          <t>ORD05784</t>
        </is>
      </c>
      <c r="B5785" t="inlineStr">
        <is>
          <t>C0784</t>
        </is>
      </c>
      <c r="C5785" t="n">
        <v>3</v>
      </c>
      <c r="D5785" t="inlineStr">
        <is>
          <t>Hub B</t>
        </is>
      </c>
      <c r="E5785" t="n">
        <v>66</v>
      </c>
      <c r="F5785" t="n">
        <v>22</v>
      </c>
    </row>
    <row r="5786">
      <c r="A5786" t="inlineStr">
        <is>
          <t>ORD05785</t>
        </is>
      </c>
      <c r="B5786" t="inlineStr">
        <is>
          <t>C0785</t>
        </is>
      </c>
      <c r="C5786" t="n">
        <v>1</v>
      </c>
      <c r="D5786" t="inlineStr">
        <is>
          <t>Hub B</t>
        </is>
      </c>
      <c r="E5786" t="n">
        <v>73</v>
      </c>
      <c r="F5786" t="n">
        <v>22</v>
      </c>
    </row>
    <row r="5787">
      <c r="A5787" t="inlineStr">
        <is>
          <t>ORD05786</t>
        </is>
      </c>
      <c r="B5787" t="inlineStr">
        <is>
          <t>C0786</t>
        </is>
      </c>
      <c r="C5787" t="n">
        <v>2</v>
      </c>
      <c r="D5787" t="inlineStr">
        <is>
          <t>Hub B</t>
        </is>
      </c>
      <c r="E5787" t="n">
        <v>20</v>
      </c>
      <c r="F5787" t="n">
        <v>22</v>
      </c>
    </row>
    <row r="5788">
      <c r="A5788" t="inlineStr">
        <is>
          <t>ORD05787</t>
        </is>
      </c>
      <c r="B5788" t="inlineStr">
        <is>
          <t>C0787</t>
        </is>
      </c>
      <c r="C5788" t="n">
        <v>3</v>
      </c>
      <c r="D5788" t="inlineStr">
        <is>
          <t>Hub B</t>
        </is>
      </c>
      <c r="E5788" t="n">
        <v>27</v>
      </c>
      <c r="F5788" t="n">
        <v>22</v>
      </c>
    </row>
    <row r="5789">
      <c r="A5789" t="inlineStr">
        <is>
          <t>ORD05788</t>
        </is>
      </c>
      <c r="B5789" t="inlineStr">
        <is>
          <t>C0788</t>
        </is>
      </c>
      <c r="C5789" t="n">
        <v>1</v>
      </c>
      <c r="D5789" t="inlineStr">
        <is>
          <t>Hub B</t>
        </is>
      </c>
      <c r="E5789" t="n">
        <v>34</v>
      </c>
      <c r="F5789" t="n">
        <v>22</v>
      </c>
    </row>
    <row r="5790">
      <c r="A5790" t="inlineStr">
        <is>
          <t>ORD05789</t>
        </is>
      </c>
      <c r="B5790" t="inlineStr">
        <is>
          <t>C0789</t>
        </is>
      </c>
      <c r="C5790" t="n">
        <v>2</v>
      </c>
      <c r="D5790" t="inlineStr">
        <is>
          <t>Hub B</t>
        </is>
      </c>
      <c r="E5790" t="n">
        <v>41</v>
      </c>
      <c r="F5790" t="n">
        <v>22</v>
      </c>
    </row>
    <row r="5791">
      <c r="A5791" t="inlineStr">
        <is>
          <t>ORD05790</t>
        </is>
      </c>
      <c r="B5791" t="inlineStr">
        <is>
          <t>C0790</t>
        </is>
      </c>
      <c r="C5791" t="n">
        <v>3</v>
      </c>
      <c r="D5791" t="inlineStr">
        <is>
          <t>Hub B</t>
        </is>
      </c>
      <c r="E5791" t="n">
        <v>48</v>
      </c>
      <c r="F5791" t="n">
        <v>22</v>
      </c>
    </row>
    <row r="5792">
      <c r="A5792" t="inlineStr">
        <is>
          <t>ORD05791</t>
        </is>
      </c>
      <c r="B5792" t="inlineStr">
        <is>
          <t>C0791</t>
        </is>
      </c>
      <c r="C5792" t="n">
        <v>1</v>
      </c>
      <c r="D5792" t="inlineStr">
        <is>
          <t>Hub B</t>
        </is>
      </c>
      <c r="E5792" t="n">
        <v>55</v>
      </c>
      <c r="F5792" t="n">
        <v>22</v>
      </c>
    </row>
    <row r="5793">
      <c r="A5793" t="inlineStr">
        <is>
          <t>ORD05792</t>
        </is>
      </c>
      <c r="B5793" t="inlineStr">
        <is>
          <t>C0792</t>
        </is>
      </c>
      <c r="C5793" t="n">
        <v>2</v>
      </c>
      <c r="D5793" t="inlineStr">
        <is>
          <t>Hub B</t>
        </is>
      </c>
      <c r="E5793" t="n">
        <v>62</v>
      </c>
      <c r="F5793" t="n">
        <v>22</v>
      </c>
    </row>
    <row r="5794">
      <c r="A5794" t="inlineStr">
        <is>
          <t>ORD05793</t>
        </is>
      </c>
      <c r="B5794" t="inlineStr">
        <is>
          <t>C0793</t>
        </is>
      </c>
      <c r="C5794" t="n">
        <v>3</v>
      </c>
      <c r="D5794" t="inlineStr">
        <is>
          <t>Hub B</t>
        </is>
      </c>
      <c r="E5794" t="n">
        <v>69</v>
      </c>
      <c r="F5794" t="n">
        <v>22</v>
      </c>
    </row>
    <row r="5795">
      <c r="A5795" t="inlineStr">
        <is>
          <t>ORD05794</t>
        </is>
      </c>
      <c r="B5795" t="inlineStr">
        <is>
          <t>C0794</t>
        </is>
      </c>
      <c r="C5795" t="n">
        <v>1</v>
      </c>
      <c r="D5795" t="inlineStr">
        <is>
          <t>Hub B</t>
        </is>
      </c>
      <c r="E5795" t="n">
        <v>76</v>
      </c>
      <c r="F5795" t="n">
        <v>22</v>
      </c>
    </row>
    <row r="5796">
      <c r="A5796" t="inlineStr">
        <is>
          <t>ORD05795</t>
        </is>
      </c>
      <c r="B5796" t="inlineStr">
        <is>
          <t>C0795</t>
        </is>
      </c>
      <c r="C5796" t="n">
        <v>2</v>
      </c>
      <c r="D5796" t="inlineStr">
        <is>
          <t>Hub B</t>
        </is>
      </c>
      <c r="E5796" t="n">
        <v>23</v>
      </c>
      <c r="F5796" t="n">
        <v>22</v>
      </c>
    </row>
    <row r="5797">
      <c r="A5797" t="inlineStr">
        <is>
          <t>ORD05796</t>
        </is>
      </c>
      <c r="B5797" t="inlineStr">
        <is>
          <t>C0796</t>
        </is>
      </c>
      <c r="C5797" t="n">
        <v>3</v>
      </c>
      <c r="D5797" t="inlineStr">
        <is>
          <t>Hub B</t>
        </is>
      </c>
      <c r="E5797" t="n">
        <v>30</v>
      </c>
      <c r="F5797" t="n">
        <v>22</v>
      </c>
    </row>
    <row r="5798">
      <c r="A5798" t="inlineStr">
        <is>
          <t>ORD05797</t>
        </is>
      </c>
      <c r="B5798" t="inlineStr">
        <is>
          <t>C0797</t>
        </is>
      </c>
      <c r="C5798" t="n">
        <v>1</v>
      </c>
      <c r="D5798" t="inlineStr">
        <is>
          <t>Hub B</t>
        </is>
      </c>
      <c r="E5798" t="n">
        <v>37</v>
      </c>
      <c r="F5798" t="n">
        <v>22</v>
      </c>
    </row>
    <row r="5799">
      <c r="A5799" t="inlineStr">
        <is>
          <t>ORD05798</t>
        </is>
      </c>
      <c r="B5799" t="inlineStr">
        <is>
          <t>C0798</t>
        </is>
      </c>
      <c r="C5799" t="n">
        <v>2</v>
      </c>
      <c r="D5799" t="inlineStr">
        <is>
          <t>Hub B</t>
        </is>
      </c>
      <c r="E5799" t="n">
        <v>44</v>
      </c>
      <c r="F5799" t="n">
        <v>22</v>
      </c>
    </row>
    <row r="5800">
      <c r="A5800" t="inlineStr">
        <is>
          <t>ORD05799</t>
        </is>
      </c>
      <c r="B5800" t="inlineStr">
        <is>
          <t>C0799</t>
        </is>
      </c>
      <c r="C5800" t="n">
        <v>3</v>
      </c>
      <c r="D5800" t="inlineStr">
        <is>
          <t>Hub B</t>
        </is>
      </c>
      <c r="E5800" t="n">
        <v>51</v>
      </c>
      <c r="F5800" t="n">
        <v>22</v>
      </c>
    </row>
    <row r="5801">
      <c r="A5801" t="inlineStr">
        <is>
          <t>ORD05800</t>
        </is>
      </c>
      <c r="B5801" t="inlineStr">
        <is>
          <t>C0800</t>
        </is>
      </c>
      <c r="C5801" t="n">
        <v>1</v>
      </c>
      <c r="D5801" t="inlineStr">
        <is>
          <t>Hub B</t>
        </is>
      </c>
      <c r="E5801" t="n">
        <v>58</v>
      </c>
      <c r="F5801" t="n">
        <v>22</v>
      </c>
    </row>
    <row r="5802">
      <c r="A5802" t="inlineStr">
        <is>
          <t>ORD05801</t>
        </is>
      </c>
      <c r="B5802" t="inlineStr">
        <is>
          <t>C0801</t>
        </is>
      </c>
      <c r="C5802" t="n">
        <v>2</v>
      </c>
      <c r="D5802" t="inlineStr">
        <is>
          <t>Hub B</t>
        </is>
      </c>
      <c r="E5802" t="n">
        <v>65</v>
      </c>
      <c r="F5802" t="n">
        <v>22</v>
      </c>
    </row>
    <row r="5803">
      <c r="A5803" t="inlineStr">
        <is>
          <t>ORD05802</t>
        </is>
      </c>
      <c r="B5803" t="inlineStr">
        <is>
          <t>C0802</t>
        </is>
      </c>
      <c r="C5803" t="n">
        <v>3</v>
      </c>
      <c r="D5803" t="inlineStr">
        <is>
          <t>Hub B</t>
        </is>
      </c>
      <c r="E5803" t="n">
        <v>72</v>
      </c>
      <c r="F5803" t="n">
        <v>22</v>
      </c>
    </row>
    <row r="5804">
      <c r="A5804" t="inlineStr">
        <is>
          <t>ORD05803</t>
        </is>
      </c>
      <c r="B5804" t="inlineStr">
        <is>
          <t>C0803</t>
        </is>
      </c>
      <c r="C5804" t="n">
        <v>1</v>
      </c>
      <c r="D5804" t="inlineStr">
        <is>
          <t>Hub B</t>
        </is>
      </c>
      <c r="E5804" t="n">
        <v>19</v>
      </c>
      <c r="F5804" t="n">
        <v>22</v>
      </c>
    </row>
    <row r="5805">
      <c r="A5805" t="inlineStr">
        <is>
          <t>ORD05804</t>
        </is>
      </c>
      <c r="B5805" t="inlineStr">
        <is>
          <t>C0804</t>
        </is>
      </c>
      <c r="C5805" t="n">
        <v>2</v>
      </c>
      <c r="D5805" t="inlineStr">
        <is>
          <t>Hub B</t>
        </is>
      </c>
      <c r="E5805" t="n">
        <v>26</v>
      </c>
      <c r="F5805" t="n">
        <v>22</v>
      </c>
    </row>
    <row r="5806">
      <c r="A5806" t="inlineStr">
        <is>
          <t>ORD05805</t>
        </is>
      </c>
      <c r="B5806" t="inlineStr">
        <is>
          <t>C0805</t>
        </is>
      </c>
      <c r="C5806" t="n">
        <v>3</v>
      </c>
      <c r="D5806" t="inlineStr">
        <is>
          <t>Hub B</t>
        </is>
      </c>
      <c r="E5806" t="n">
        <v>33</v>
      </c>
      <c r="F5806" t="n">
        <v>22</v>
      </c>
    </row>
    <row r="5807">
      <c r="A5807" t="inlineStr">
        <is>
          <t>ORD05806</t>
        </is>
      </c>
      <c r="B5807" t="inlineStr">
        <is>
          <t>C0806</t>
        </is>
      </c>
      <c r="C5807" t="n">
        <v>1</v>
      </c>
      <c r="D5807" t="inlineStr">
        <is>
          <t>Hub B</t>
        </is>
      </c>
      <c r="E5807" t="n">
        <v>40</v>
      </c>
      <c r="F5807" t="n">
        <v>22</v>
      </c>
    </row>
    <row r="5808">
      <c r="A5808" t="inlineStr">
        <is>
          <t>ORD05807</t>
        </is>
      </c>
      <c r="B5808" t="inlineStr">
        <is>
          <t>C0807</t>
        </is>
      </c>
      <c r="C5808" t="n">
        <v>2</v>
      </c>
      <c r="D5808" t="inlineStr">
        <is>
          <t>Hub B</t>
        </is>
      </c>
      <c r="E5808" t="n">
        <v>47</v>
      </c>
      <c r="F5808" t="n">
        <v>22</v>
      </c>
    </row>
    <row r="5809">
      <c r="A5809" t="inlineStr">
        <is>
          <t>ORD05808</t>
        </is>
      </c>
      <c r="B5809" t="inlineStr">
        <is>
          <t>C0808</t>
        </is>
      </c>
      <c r="C5809" t="n">
        <v>3</v>
      </c>
      <c r="D5809" t="inlineStr">
        <is>
          <t>Hub B</t>
        </is>
      </c>
      <c r="E5809" t="n">
        <v>54</v>
      </c>
      <c r="F5809" t="n">
        <v>22</v>
      </c>
    </row>
    <row r="5810">
      <c r="A5810" t="inlineStr">
        <is>
          <t>ORD05809</t>
        </is>
      </c>
      <c r="B5810" t="inlineStr">
        <is>
          <t>C0809</t>
        </is>
      </c>
      <c r="C5810" t="n">
        <v>1</v>
      </c>
      <c r="D5810" t="inlineStr">
        <is>
          <t>Hub B</t>
        </is>
      </c>
      <c r="E5810" t="n">
        <v>61</v>
      </c>
      <c r="F5810" t="n">
        <v>26</v>
      </c>
    </row>
    <row r="5811">
      <c r="A5811" t="inlineStr">
        <is>
          <t>ORD05810</t>
        </is>
      </c>
      <c r="B5811" t="inlineStr">
        <is>
          <t>C0810</t>
        </is>
      </c>
      <c r="C5811" t="n">
        <v>2</v>
      </c>
      <c r="D5811" t="inlineStr">
        <is>
          <t>Hub B</t>
        </is>
      </c>
      <c r="E5811" t="n">
        <v>68</v>
      </c>
      <c r="F5811" t="n">
        <v>47.544</v>
      </c>
    </row>
    <row r="5812">
      <c r="A5812" t="inlineStr">
        <is>
          <t>ORD05811</t>
        </is>
      </c>
      <c r="B5812" t="inlineStr">
        <is>
          <t>C0811</t>
        </is>
      </c>
      <c r="C5812" t="n">
        <v>3</v>
      </c>
      <c r="D5812" t="inlineStr">
        <is>
          <t>Hub B</t>
        </is>
      </c>
      <c r="E5812" t="n">
        <v>75</v>
      </c>
      <c r="F5812" t="n">
        <v>47.544</v>
      </c>
    </row>
    <row r="5813">
      <c r="A5813" t="inlineStr">
        <is>
          <t>ORD05812</t>
        </is>
      </c>
      <c r="B5813" t="inlineStr">
        <is>
          <t>C0812</t>
        </is>
      </c>
      <c r="C5813" t="n">
        <v>1</v>
      </c>
      <c r="D5813" t="inlineStr">
        <is>
          <t>Hub B</t>
        </is>
      </c>
      <c r="E5813" t="n">
        <v>22</v>
      </c>
      <c r="F5813" t="n">
        <v>47.544</v>
      </c>
    </row>
    <row r="5814">
      <c r="A5814" t="inlineStr">
        <is>
          <t>ORD05813</t>
        </is>
      </c>
      <c r="B5814" t="inlineStr">
        <is>
          <t>C0813</t>
        </is>
      </c>
      <c r="C5814" t="n">
        <v>2</v>
      </c>
      <c r="D5814" t="inlineStr">
        <is>
          <t>Hub B</t>
        </is>
      </c>
      <c r="E5814" t="n">
        <v>29</v>
      </c>
      <c r="F5814" t="n">
        <v>47.544</v>
      </c>
    </row>
    <row r="5815">
      <c r="A5815" t="inlineStr">
        <is>
          <t>ORD05814</t>
        </is>
      </c>
      <c r="B5815" t="inlineStr">
        <is>
          <t>C0814</t>
        </is>
      </c>
      <c r="C5815" t="n">
        <v>3</v>
      </c>
      <c r="D5815" t="inlineStr">
        <is>
          <t>Hub B</t>
        </is>
      </c>
      <c r="E5815" t="n">
        <v>36</v>
      </c>
      <c r="F5815" t="n">
        <v>47.544</v>
      </c>
    </row>
    <row r="5816">
      <c r="A5816" t="inlineStr">
        <is>
          <t>ORD05815</t>
        </is>
      </c>
      <c r="B5816" t="inlineStr">
        <is>
          <t>C0815</t>
        </is>
      </c>
      <c r="C5816" t="n">
        <v>1</v>
      </c>
      <c r="D5816" t="inlineStr">
        <is>
          <t>Hub B</t>
        </is>
      </c>
      <c r="E5816" t="n">
        <v>43</v>
      </c>
      <c r="F5816" t="n">
        <v>47.544</v>
      </c>
    </row>
    <row r="5817">
      <c r="A5817" t="inlineStr">
        <is>
          <t>ORD05816</t>
        </is>
      </c>
      <c r="B5817" t="inlineStr">
        <is>
          <t>C0816</t>
        </is>
      </c>
      <c r="C5817" t="n">
        <v>2</v>
      </c>
      <c r="D5817" t="inlineStr">
        <is>
          <t>Hub B</t>
        </is>
      </c>
      <c r="E5817" t="n">
        <v>50</v>
      </c>
      <c r="F5817" t="n">
        <v>47.544</v>
      </c>
    </row>
    <row r="5818">
      <c r="A5818" t="inlineStr">
        <is>
          <t>ORD05817</t>
        </is>
      </c>
      <c r="B5818" t="inlineStr">
        <is>
          <t>C0817</t>
        </is>
      </c>
      <c r="C5818" t="n">
        <v>3</v>
      </c>
      <c r="D5818" t="inlineStr">
        <is>
          <t>Hub B</t>
        </is>
      </c>
      <c r="E5818" t="n">
        <v>57</v>
      </c>
      <c r="F5818" t="n">
        <v>47.544</v>
      </c>
    </row>
    <row r="5819">
      <c r="A5819" t="inlineStr">
        <is>
          <t>ORD05818</t>
        </is>
      </c>
      <c r="B5819" t="inlineStr">
        <is>
          <t>C0818</t>
        </is>
      </c>
      <c r="C5819" t="n">
        <v>1</v>
      </c>
      <c r="D5819" t="inlineStr">
        <is>
          <t>Hub B</t>
        </is>
      </c>
      <c r="E5819" t="n">
        <v>64</v>
      </c>
      <c r="F5819" t="n">
        <v>47.544</v>
      </c>
    </row>
    <row r="5820">
      <c r="A5820" t="inlineStr">
        <is>
          <t>ORD05819</t>
        </is>
      </c>
      <c r="B5820" t="inlineStr">
        <is>
          <t>C0819</t>
        </is>
      </c>
      <c r="C5820" t="n">
        <v>2</v>
      </c>
      <c r="D5820" t="inlineStr">
        <is>
          <t>Hub B</t>
        </is>
      </c>
      <c r="E5820" t="n">
        <v>71</v>
      </c>
      <c r="F5820" t="n">
        <v>47.544</v>
      </c>
    </row>
    <row r="5821">
      <c r="A5821" t="inlineStr">
        <is>
          <t>ORD05820</t>
        </is>
      </c>
      <c r="B5821" t="inlineStr">
        <is>
          <t>C0820</t>
        </is>
      </c>
      <c r="C5821" t="n">
        <v>3</v>
      </c>
      <c r="D5821" t="inlineStr">
        <is>
          <t>Hub B</t>
        </is>
      </c>
      <c r="E5821" t="n">
        <v>18</v>
      </c>
      <c r="F5821" t="n">
        <v>47.544</v>
      </c>
    </row>
    <row r="5822">
      <c r="A5822" t="inlineStr">
        <is>
          <t>ORD05821</t>
        </is>
      </c>
      <c r="B5822" t="inlineStr">
        <is>
          <t>C0821</t>
        </is>
      </c>
      <c r="C5822" t="n">
        <v>1</v>
      </c>
      <c r="D5822" t="inlineStr">
        <is>
          <t>Hub B</t>
        </is>
      </c>
      <c r="E5822" t="n">
        <v>25</v>
      </c>
      <c r="F5822" t="n">
        <v>47.544</v>
      </c>
    </row>
    <row r="5823">
      <c r="A5823" t="inlineStr">
        <is>
          <t>ORD05822</t>
        </is>
      </c>
      <c r="B5823" t="inlineStr">
        <is>
          <t>C0822</t>
        </is>
      </c>
      <c r="C5823" t="n">
        <v>2</v>
      </c>
      <c r="D5823" t="inlineStr">
        <is>
          <t>Hub B</t>
        </is>
      </c>
      <c r="E5823" t="n">
        <v>32</v>
      </c>
      <c r="F5823" t="n">
        <v>47.544</v>
      </c>
    </row>
    <row r="5824">
      <c r="A5824" t="inlineStr">
        <is>
          <t>ORD05823</t>
        </is>
      </c>
      <c r="B5824" t="inlineStr">
        <is>
          <t>C0823</t>
        </is>
      </c>
      <c r="C5824" t="n">
        <v>3</v>
      </c>
      <c r="D5824" t="inlineStr">
        <is>
          <t>Hub B</t>
        </is>
      </c>
      <c r="E5824" t="n">
        <v>39</v>
      </c>
      <c r="F5824" t="n">
        <v>47.544</v>
      </c>
    </row>
    <row r="5825">
      <c r="A5825" t="inlineStr">
        <is>
          <t>ORD05824</t>
        </is>
      </c>
      <c r="B5825" t="inlineStr">
        <is>
          <t>C0824</t>
        </is>
      </c>
      <c r="C5825" t="n">
        <v>1</v>
      </c>
      <c r="D5825" t="inlineStr">
        <is>
          <t>Hub B</t>
        </is>
      </c>
      <c r="E5825" t="n">
        <v>46</v>
      </c>
      <c r="F5825" t="n">
        <v>47.544</v>
      </c>
    </row>
    <row r="5826">
      <c r="A5826" t="inlineStr">
        <is>
          <t>ORD05825</t>
        </is>
      </c>
      <c r="B5826" t="inlineStr">
        <is>
          <t>C0825</t>
        </is>
      </c>
      <c r="C5826" t="n">
        <v>2</v>
      </c>
      <c r="D5826" t="inlineStr">
        <is>
          <t>Hub B</t>
        </is>
      </c>
      <c r="E5826" t="n">
        <v>53</v>
      </c>
      <c r="F5826" t="n">
        <v>47.544</v>
      </c>
    </row>
    <row r="5827">
      <c r="A5827" t="inlineStr">
        <is>
          <t>ORD05826</t>
        </is>
      </c>
      <c r="B5827" t="inlineStr">
        <is>
          <t>C0826</t>
        </is>
      </c>
      <c r="C5827" t="n">
        <v>3</v>
      </c>
      <c r="D5827" t="inlineStr">
        <is>
          <t>Hub B</t>
        </is>
      </c>
      <c r="E5827" t="n">
        <v>60</v>
      </c>
      <c r="F5827" t="n">
        <v>47.544</v>
      </c>
    </row>
    <row r="5828">
      <c r="A5828" t="inlineStr">
        <is>
          <t>ORD05827</t>
        </is>
      </c>
      <c r="B5828" t="inlineStr">
        <is>
          <t>C0827</t>
        </is>
      </c>
      <c r="C5828" t="n">
        <v>1</v>
      </c>
      <c r="D5828" t="inlineStr">
        <is>
          <t>Hub B</t>
        </is>
      </c>
      <c r="E5828" t="n">
        <v>67</v>
      </c>
      <c r="F5828" t="n">
        <v>47.544</v>
      </c>
    </row>
    <row r="5829">
      <c r="A5829" t="inlineStr">
        <is>
          <t>ORD05828</t>
        </is>
      </c>
      <c r="B5829" t="inlineStr">
        <is>
          <t>C0828</t>
        </is>
      </c>
      <c r="C5829" t="n">
        <v>2</v>
      </c>
      <c r="D5829" t="inlineStr">
        <is>
          <t>Hub B</t>
        </is>
      </c>
      <c r="E5829" t="n">
        <v>74</v>
      </c>
      <c r="F5829" t="n">
        <v>47.544</v>
      </c>
    </row>
    <row r="5830">
      <c r="A5830" t="inlineStr">
        <is>
          <t>ORD05829</t>
        </is>
      </c>
      <c r="B5830" t="inlineStr">
        <is>
          <t>C0829</t>
        </is>
      </c>
      <c r="C5830" t="n">
        <v>3</v>
      </c>
      <c r="D5830" t="inlineStr">
        <is>
          <t>Hub B</t>
        </is>
      </c>
      <c r="E5830" t="n">
        <v>21</v>
      </c>
      <c r="F5830" t="n">
        <v>47.544</v>
      </c>
    </row>
    <row r="5831">
      <c r="A5831" t="inlineStr">
        <is>
          <t>ORD05830</t>
        </is>
      </c>
      <c r="B5831" t="inlineStr">
        <is>
          <t>C0830</t>
        </is>
      </c>
      <c r="C5831" t="n">
        <v>1</v>
      </c>
      <c r="D5831" t="inlineStr">
        <is>
          <t>Hub B</t>
        </is>
      </c>
      <c r="E5831" t="n">
        <v>28</v>
      </c>
      <c r="F5831" t="n">
        <v>47.544</v>
      </c>
    </row>
    <row r="5832">
      <c r="A5832" t="inlineStr">
        <is>
          <t>ORD05831</t>
        </is>
      </c>
      <c r="B5832" t="inlineStr">
        <is>
          <t>C0831</t>
        </is>
      </c>
      <c r="C5832" t="n">
        <v>2</v>
      </c>
      <c r="D5832" t="inlineStr">
        <is>
          <t>Hub B</t>
        </is>
      </c>
      <c r="E5832" t="n">
        <v>35</v>
      </c>
      <c r="F5832" t="n">
        <v>47.544</v>
      </c>
    </row>
    <row r="5833">
      <c r="A5833" t="inlineStr">
        <is>
          <t>ORD05832</t>
        </is>
      </c>
      <c r="B5833" t="inlineStr">
        <is>
          <t>C0832</t>
        </is>
      </c>
      <c r="C5833" t="n">
        <v>3</v>
      </c>
      <c r="D5833" t="inlineStr">
        <is>
          <t>Hub B</t>
        </is>
      </c>
      <c r="E5833" t="n">
        <v>42</v>
      </c>
      <c r="F5833" t="n">
        <v>47.544</v>
      </c>
    </row>
    <row r="5834">
      <c r="A5834" t="inlineStr">
        <is>
          <t>ORD05833</t>
        </is>
      </c>
      <c r="B5834" t="inlineStr">
        <is>
          <t>C0833</t>
        </is>
      </c>
      <c r="C5834" t="n">
        <v>1</v>
      </c>
      <c r="D5834" t="inlineStr">
        <is>
          <t>Hub B</t>
        </is>
      </c>
      <c r="E5834" t="n">
        <v>49</v>
      </c>
      <c r="F5834" t="n">
        <v>47.544</v>
      </c>
    </row>
    <row r="5835">
      <c r="A5835" t="inlineStr">
        <is>
          <t>ORD05834</t>
        </is>
      </c>
      <c r="B5835" t="inlineStr">
        <is>
          <t>C0834</t>
        </is>
      </c>
      <c r="C5835" t="n">
        <v>2</v>
      </c>
      <c r="D5835" t="inlineStr">
        <is>
          <t>Hub B</t>
        </is>
      </c>
      <c r="E5835" t="n">
        <v>56</v>
      </c>
      <c r="F5835" t="n">
        <v>47.544</v>
      </c>
    </row>
    <row r="5836">
      <c r="A5836" t="inlineStr">
        <is>
          <t>ORD05835</t>
        </is>
      </c>
      <c r="B5836" t="inlineStr">
        <is>
          <t>C0835</t>
        </is>
      </c>
      <c r="C5836" t="n">
        <v>3</v>
      </c>
      <c r="D5836" t="inlineStr">
        <is>
          <t>Hub B</t>
        </is>
      </c>
      <c r="E5836" t="n">
        <v>63</v>
      </c>
      <c r="F5836" t="n">
        <v>47.544</v>
      </c>
    </row>
    <row r="5837">
      <c r="A5837" t="inlineStr">
        <is>
          <t>ORD05836</t>
        </is>
      </c>
      <c r="B5837" t="inlineStr">
        <is>
          <t>C0836</t>
        </is>
      </c>
      <c r="C5837" t="n">
        <v>1</v>
      </c>
      <c r="D5837" t="inlineStr">
        <is>
          <t>Hub B</t>
        </is>
      </c>
      <c r="E5837" t="n">
        <v>70</v>
      </c>
      <c r="F5837" t="n">
        <v>47.544</v>
      </c>
    </row>
    <row r="5838">
      <c r="A5838" t="inlineStr">
        <is>
          <t>ORD05837</t>
        </is>
      </c>
      <c r="B5838" t="inlineStr">
        <is>
          <t>C0837</t>
        </is>
      </c>
      <c r="C5838" t="n">
        <v>2</v>
      </c>
      <c r="D5838" t="inlineStr">
        <is>
          <t>Hub B</t>
        </is>
      </c>
      <c r="E5838" t="n">
        <v>77</v>
      </c>
      <c r="F5838" t="n">
        <v>47.544</v>
      </c>
    </row>
    <row r="5839">
      <c r="A5839" t="inlineStr">
        <is>
          <t>ORD05838</t>
        </is>
      </c>
      <c r="B5839" t="inlineStr">
        <is>
          <t>C0838</t>
        </is>
      </c>
      <c r="C5839" t="n">
        <v>3</v>
      </c>
      <c r="D5839" t="inlineStr">
        <is>
          <t>Hub B</t>
        </is>
      </c>
      <c r="E5839" t="n">
        <v>24</v>
      </c>
      <c r="F5839" t="n">
        <v>47.544</v>
      </c>
    </row>
    <row r="5840">
      <c r="A5840" t="inlineStr">
        <is>
          <t>ORD05839</t>
        </is>
      </c>
      <c r="B5840" t="inlineStr">
        <is>
          <t>C0839</t>
        </is>
      </c>
      <c r="C5840" t="n">
        <v>1</v>
      </c>
      <c r="D5840" t="inlineStr">
        <is>
          <t>Hub B</t>
        </is>
      </c>
      <c r="E5840" t="n">
        <v>31</v>
      </c>
      <c r="F5840" t="n">
        <v>47.544</v>
      </c>
    </row>
    <row r="5841">
      <c r="A5841" t="inlineStr">
        <is>
          <t>ORD05840</t>
        </is>
      </c>
      <c r="B5841" t="inlineStr">
        <is>
          <t>C0840</t>
        </is>
      </c>
      <c r="C5841" t="n">
        <v>2</v>
      </c>
      <c r="D5841" t="inlineStr">
        <is>
          <t>Hub B</t>
        </is>
      </c>
      <c r="E5841" t="n">
        <v>38</v>
      </c>
      <c r="F5841" t="n">
        <v>47.544</v>
      </c>
    </row>
    <row r="5842">
      <c r="A5842" t="inlineStr">
        <is>
          <t>ORD05841</t>
        </is>
      </c>
      <c r="B5842" t="inlineStr">
        <is>
          <t>C0841</t>
        </is>
      </c>
      <c r="C5842" t="n">
        <v>3</v>
      </c>
      <c r="D5842" t="inlineStr">
        <is>
          <t>Hub B</t>
        </is>
      </c>
      <c r="E5842" t="n">
        <v>45</v>
      </c>
      <c r="F5842" t="n">
        <v>47.544</v>
      </c>
    </row>
    <row r="5843">
      <c r="A5843" t="inlineStr">
        <is>
          <t>ORD05842</t>
        </is>
      </c>
      <c r="B5843" t="inlineStr">
        <is>
          <t>C0842</t>
        </is>
      </c>
      <c r="C5843" t="n">
        <v>1</v>
      </c>
      <c r="D5843" t="inlineStr">
        <is>
          <t>Hub B</t>
        </is>
      </c>
      <c r="E5843" t="n">
        <v>52</v>
      </c>
      <c r="F5843" t="n">
        <v>47.544</v>
      </c>
    </row>
    <row r="5844">
      <c r="A5844" t="inlineStr">
        <is>
          <t>ORD05843</t>
        </is>
      </c>
      <c r="B5844" t="inlineStr">
        <is>
          <t>C0843</t>
        </is>
      </c>
      <c r="C5844" t="n">
        <v>2</v>
      </c>
      <c r="D5844" t="inlineStr">
        <is>
          <t>Hub B</t>
        </is>
      </c>
      <c r="E5844" t="n">
        <v>59</v>
      </c>
      <c r="F5844" t="n">
        <v>47.544</v>
      </c>
    </row>
    <row r="5845">
      <c r="A5845" t="inlineStr">
        <is>
          <t>ORD05844</t>
        </is>
      </c>
      <c r="B5845" t="inlineStr">
        <is>
          <t>C0844</t>
        </is>
      </c>
      <c r="C5845" t="n">
        <v>3</v>
      </c>
      <c r="D5845" t="inlineStr">
        <is>
          <t>Hub B</t>
        </is>
      </c>
      <c r="E5845" t="n">
        <v>66</v>
      </c>
      <c r="F5845" t="n">
        <v>47.544</v>
      </c>
    </row>
    <row r="5846">
      <c r="A5846" t="inlineStr">
        <is>
          <t>ORD05845</t>
        </is>
      </c>
      <c r="B5846" t="inlineStr">
        <is>
          <t>C0845</t>
        </is>
      </c>
      <c r="C5846" t="n">
        <v>1</v>
      </c>
      <c r="D5846" t="inlineStr">
        <is>
          <t>Hub B</t>
        </is>
      </c>
      <c r="E5846" t="n">
        <v>73</v>
      </c>
      <c r="F5846" t="n">
        <v>47.544</v>
      </c>
    </row>
    <row r="5847">
      <c r="A5847" t="inlineStr">
        <is>
          <t>ORD05846</t>
        </is>
      </c>
      <c r="B5847" t="inlineStr">
        <is>
          <t>C0846</t>
        </is>
      </c>
      <c r="C5847" t="n">
        <v>2</v>
      </c>
      <c r="D5847" t="inlineStr">
        <is>
          <t>Hub B</t>
        </is>
      </c>
      <c r="E5847" t="n">
        <v>20</v>
      </c>
      <c r="F5847" t="n">
        <v>47.544</v>
      </c>
    </row>
    <row r="5848">
      <c r="A5848" t="inlineStr">
        <is>
          <t>ORD05847</t>
        </is>
      </c>
      <c r="B5848" t="inlineStr">
        <is>
          <t>C0847</t>
        </is>
      </c>
      <c r="C5848" t="n">
        <v>3</v>
      </c>
      <c r="D5848" t="inlineStr">
        <is>
          <t>Hub B</t>
        </is>
      </c>
      <c r="E5848" t="n">
        <v>27</v>
      </c>
      <c r="F5848" t="n">
        <v>47.544</v>
      </c>
    </row>
    <row r="5849">
      <c r="A5849" t="inlineStr">
        <is>
          <t>ORD05848</t>
        </is>
      </c>
      <c r="B5849" t="inlineStr">
        <is>
          <t>C0848</t>
        </is>
      </c>
      <c r="C5849" t="n">
        <v>1</v>
      </c>
      <c r="D5849" t="inlineStr">
        <is>
          <t>Hub B</t>
        </is>
      </c>
      <c r="E5849" t="n">
        <v>34</v>
      </c>
      <c r="F5849" t="n">
        <v>47.544</v>
      </c>
    </row>
    <row r="5850">
      <c r="A5850" t="inlineStr">
        <is>
          <t>ORD05849</t>
        </is>
      </c>
      <c r="B5850" t="inlineStr">
        <is>
          <t>C0849</t>
        </is>
      </c>
      <c r="C5850" t="n">
        <v>2</v>
      </c>
      <c r="D5850" t="inlineStr">
        <is>
          <t>Hub B</t>
        </is>
      </c>
      <c r="E5850" t="n">
        <v>41</v>
      </c>
      <c r="F5850" t="n">
        <v>47.544</v>
      </c>
    </row>
    <row r="5851">
      <c r="A5851" t="inlineStr">
        <is>
          <t>ORD05850</t>
        </is>
      </c>
      <c r="B5851" t="inlineStr">
        <is>
          <t>C0850</t>
        </is>
      </c>
      <c r="C5851" t="n">
        <v>3</v>
      </c>
      <c r="D5851" t="inlineStr">
        <is>
          <t>Hub B</t>
        </is>
      </c>
      <c r="E5851" t="n">
        <v>48</v>
      </c>
      <c r="F5851" t="n">
        <v>47.544</v>
      </c>
    </row>
    <row r="5852">
      <c r="A5852" t="inlineStr">
        <is>
          <t>ORD05851</t>
        </is>
      </c>
      <c r="B5852" t="inlineStr">
        <is>
          <t>C0851</t>
        </is>
      </c>
      <c r="C5852" t="n">
        <v>1</v>
      </c>
      <c r="D5852" t="inlineStr">
        <is>
          <t>Hub B</t>
        </is>
      </c>
      <c r="E5852" t="n">
        <v>55</v>
      </c>
      <c r="F5852" t="n">
        <v>47.544</v>
      </c>
    </row>
    <row r="5853">
      <c r="A5853" t="inlineStr">
        <is>
          <t>ORD05852</t>
        </is>
      </c>
      <c r="B5853" t="inlineStr">
        <is>
          <t>C0852</t>
        </is>
      </c>
      <c r="C5853" t="n">
        <v>2</v>
      </c>
      <c r="D5853" t="inlineStr">
        <is>
          <t>Hub B</t>
        </is>
      </c>
      <c r="E5853" t="n">
        <v>62</v>
      </c>
      <c r="F5853" t="n">
        <v>47.544</v>
      </c>
    </row>
    <row r="5854">
      <c r="A5854" t="inlineStr">
        <is>
          <t>ORD05853</t>
        </is>
      </c>
      <c r="B5854" t="inlineStr">
        <is>
          <t>C0853</t>
        </is>
      </c>
      <c r="C5854" t="n">
        <v>3</v>
      </c>
      <c r="D5854" t="inlineStr">
        <is>
          <t>Hub B</t>
        </is>
      </c>
      <c r="E5854" t="n">
        <v>69</v>
      </c>
      <c r="F5854" t="n">
        <v>47.544</v>
      </c>
    </row>
    <row r="5855">
      <c r="A5855" t="inlineStr">
        <is>
          <t>ORD05854</t>
        </is>
      </c>
      <c r="B5855" t="inlineStr">
        <is>
          <t>C0854</t>
        </is>
      </c>
      <c r="C5855" t="n">
        <v>1</v>
      </c>
      <c r="D5855" t="inlineStr">
        <is>
          <t>Hub B</t>
        </is>
      </c>
      <c r="E5855" t="n">
        <v>76</v>
      </c>
      <c r="F5855" t="n">
        <v>47.544</v>
      </c>
    </row>
    <row r="5856">
      <c r="A5856" t="inlineStr">
        <is>
          <t>ORD05855</t>
        </is>
      </c>
      <c r="B5856" t="inlineStr">
        <is>
          <t>C0855</t>
        </is>
      </c>
      <c r="C5856" t="n">
        <v>2</v>
      </c>
      <c r="D5856" t="inlineStr">
        <is>
          <t>Hub B</t>
        </is>
      </c>
      <c r="E5856" t="n">
        <v>23</v>
      </c>
      <c r="F5856" t="n">
        <v>47.544</v>
      </c>
    </row>
    <row r="5857">
      <c r="A5857" t="inlineStr">
        <is>
          <t>ORD05856</t>
        </is>
      </c>
      <c r="B5857" t="inlineStr">
        <is>
          <t>C0856</t>
        </is>
      </c>
      <c r="C5857" t="n">
        <v>3</v>
      </c>
      <c r="D5857" t="inlineStr">
        <is>
          <t>Hub B</t>
        </is>
      </c>
      <c r="E5857" t="n">
        <v>30</v>
      </c>
      <c r="F5857" t="n">
        <v>47.544</v>
      </c>
    </row>
    <row r="5858">
      <c r="A5858" t="inlineStr">
        <is>
          <t>ORD05857</t>
        </is>
      </c>
      <c r="B5858" t="inlineStr">
        <is>
          <t>C0857</t>
        </is>
      </c>
      <c r="C5858" t="n">
        <v>1</v>
      </c>
      <c r="D5858" t="inlineStr">
        <is>
          <t>Hub B</t>
        </is>
      </c>
      <c r="E5858" t="n">
        <v>37</v>
      </c>
      <c r="F5858" t="n">
        <v>47.544</v>
      </c>
    </row>
    <row r="5859">
      <c r="A5859" t="inlineStr">
        <is>
          <t>ORD05858</t>
        </is>
      </c>
      <c r="B5859" t="inlineStr">
        <is>
          <t>C0858</t>
        </is>
      </c>
      <c r="C5859" t="n">
        <v>2</v>
      </c>
      <c r="D5859" t="inlineStr">
        <is>
          <t>Hub B</t>
        </is>
      </c>
      <c r="E5859" t="n">
        <v>44</v>
      </c>
      <c r="F5859" t="n">
        <v>47.544</v>
      </c>
    </row>
    <row r="5860">
      <c r="A5860" t="inlineStr">
        <is>
          <t>ORD05859</t>
        </is>
      </c>
      <c r="B5860" t="inlineStr">
        <is>
          <t>C0859</t>
        </is>
      </c>
      <c r="C5860" t="n">
        <v>3</v>
      </c>
      <c r="D5860" t="inlineStr">
        <is>
          <t>Hub B</t>
        </is>
      </c>
      <c r="E5860" t="n">
        <v>51</v>
      </c>
      <c r="F5860" t="n">
        <v>47.544</v>
      </c>
    </row>
    <row r="5861">
      <c r="A5861" t="inlineStr">
        <is>
          <t>ORD05860</t>
        </is>
      </c>
      <c r="B5861" t="inlineStr">
        <is>
          <t>C0860</t>
        </is>
      </c>
      <c r="C5861" t="n">
        <v>1</v>
      </c>
      <c r="D5861" t="inlineStr">
        <is>
          <t>Hub B</t>
        </is>
      </c>
      <c r="E5861" t="n">
        <v>58</v>
      </c>
      <c r="F5861" t="n">
        <v>47.544</v>
      </c>
    </row>
    <row r="5862">
      <c r="A5862" t="inlineStr">
        <is>
          <t>ORD05861</t>
        </is>
      </c>
      <c r="B5862" t="inlineStr">
        <is>
          <t>C0861</t>
        </is>
      </c>
      <c r="C5862" t="n">
        <v>2</v>
      </c>
      <c r="D5862" t="inlineStr">
        <is>
          <t>Hub B</t>
        </is>
      </c>
      <c r="E5862" t="n">
        <v>65</v>
      </c>
      <c r="F5862" t="n">
        <v>47.544</v>
      </c>
    </row>
    <row r="5863">
      <c r="A5863" t="inlineStr">
        <is>
          <t>ORD05862</t>
        </is>
      </c>
      <c r="B5863" t="inlineStr">
        <is>
          <t>C0862</t>
        </is>
      </c>
      <c r="C5863" t="n">
        <v>3</v>
      </c>
      <c r="D5863" t="inlineStr">
        <is>
          <t>Hub B</t>
        </is>
      </c>
      <c r="E5863" t="n">
        <v>72</v>
      </c>
      <c r="F5863" t="n">
        <v>47.544</v>
      </c>
    </row>
    <row r="5864">
      <c r="A5864" t="inlineStr">
        <is>
          <t>ORD05863</t>
        </is>
      </c>
      <c r="B5864" t="inlineStr">
        <is>
          <t>C0863</t>
        </is>
      </c>
      <c r="C5864" t="n">
        <v>1</v>
      </c>
      <c r="D5864" t="inlineStr">
        <is>
          <t>Hub B</t>
        </is>
      </c>
      <c r="E5864" t="n">
        <v>19</v>
      </c>
      <c r="F5864" t="n">
        <v>47.544</v>
      </c>
    </row>
    <row r="5865">
      <c r="A5865" t="inlineStr">
        <is>
          <t>ORD05864</t>
        </is>
      </c>
      <c r="B5865" t="inlineStr">
        <is>
          <t>C0864</t>
        </is>
      </c>
      <c r="C5865" t="n">
        <v>2</v>
      </c>
      <c r="D5865" t="inlineStr">
        <is>
          <t>Hub B</t>
        </is>
      </c>
      <c r="E5865" t="n">
        <v>26</v>
      </c>
      <c r="F5865" t="n">
        <v>47.544</v>
      </c>
    </row>
    <row r="5866">
      <c r="A5866" t="inlineStr">
        <is>
          <t>ORD05865</t>
        </is>
      </c>
      <c r="B5866" t="inlineStr">
        <is>
          <t>C0865</t>
        </is>
      </c>
      <c r="C5866" t="n">
        <v>3</v>
      </c>
      <c r="D5866" t="inlineStr">
        <is>
          <t>Hub B</t>
        </is>
      </c>
      <c r="E5866" t="n">
        <v>33</v>
      </c>
      <c r="F5866" t="n">
        <v>47.544</v>
      </c>
    </row>
    <row r="5867">
      <c r="A5867" t="inlineStr">
        <is>
          <t>ORD05866</t>
        </is>
      </c>
      <c r="B5867" t="inlineStr">
        <is>
          <t>C0866</t>
        </is>
      </c>
      <c r="C5867" t="n">
        <v>1</v>
      </c>
      <c r="D5867" t="inlineStr">
        <is>
          <t>Hub B</t>
        </is>
      </c>
      <c r="E5867" t="n">
        <v>40</v>
      </c>
      <c r="F5867" t="n">
        <v>47.544</v>
      </c>
    </row>
    <row r="5868">
      <c r="A5868" t="inlineStr">
        <is>
          <t>ORD05867</t>
        </is>
      </c>
      <c r="B5868" t="inlineStr">
        <is>
          <t>C0867</t>
        </is>
      </c>
      <c r="C5868" t="n">
        <v>2</v>
      </c>
      <c r="D5868" t="inlineStr">
        <is>
          <t>Hub B</t>
        </is>
      </c>
      <c r="E5868" t="n">
        <v>47</v>
      </c>
      <c r="F5868" t="n">
        <v>47.544</v>
      </c>
    </row>
    <row r="5869">
      <c r="A5869" t="inlineStr">
        <is>
          <t>ORD05868</t>
        </is>
      </c>
      <c r="B5869" t="inlineStr">
        <is>
          <t>C0868</t>
        </is>
      </c>
      <c r="C5869" t="n">
        <v>3</v>
      </c>
      <c r="D5869" t="inlineStr">
        <is>
          <t>Hub B</t>
        </is>
      </c>
      <c r="E5869" t="n">
        <v>54</v>
      </c>
      <c r="F5869" t="n">
        <v>47.544</v>
      </c>
    </row>
    <row r="5870">
      <c r="A5870" t="inlineStr">
        <is>
          <t>ORD05869</t>
        </is>
      </c>
      <c r="B5870" t="inlineStr">
        <is>
          <t>C0869</t>
        </is>
      </c>
      <c r="C5870" t="n">
        <v>1</v>
      </c>
      <c r="D5870" t="inlineStr">
        <is>
          <t>Hub B</t>
        </is>
      </c>
      <c r="E5870" t="n">
        <v>61</v>
      </c>
      <c r="F5870" t="n">
        <v>47.544</v>
      </c>
    </row>
    <row r="5871">
      <c r="A5871" t="inlineStr">
        <is>
          <t>ORD05870</t>
        </is>
      </c>
      <c r="B5871" t="inlineStr">
        <is>
          <t>C0870</t>
        </is>
      </c>
      <c r="C5871" t="n">
        <v>2</v>
      </c>
      <c r="D5871" t="inlineStr">
        <is>
          <t>Hub B</t>
        </is>
      </c>
      <c r="E5871" t="n">
        <v>68</v>
      </c>
      <c r="F5871" t="n">
        <v>47.544</v>
      </c>
    </row>
    <row r="5872">
      <c r="A5872" t="inlineStr">
        <is>
          <t>ORD05871</t>
        </is>
      </c>
      <c r="B5872" t="inlineStr">
        <is>
          <t>C0871</t>
        </is>
      </c>
      <c r="C5872" t="n">
        <v>3</v>
      </c>
      <c r="D5872" t="inlineStr">
        <is>
          <t>Hub B</t>
        </is>
      </c>
      <c r="E5872" t="n">
        <v>75</v>
      </c>
      <c r="F5872" t="n">
        <v>47.544</v>
      </c>
    </row>
    <row r="5873">
      <c r="A5873" t="inlineStr">
        <is>
          <t>ORD05872</t>
        </is>
      </c>
      <c r="B5873" t="inlineStr">
        <is>
          <t>C0872</t>
        </is>
      </c>
      <c r="C5873" t="n">
        <v>1</v>
      </c>
      <c r="D5873" t="inlineStr">
        <is>
          <t>Hub B</t>
        </is>
      </c>
      <c r="E5873" t="n">
        <v>22</v>
      </c>
      <c r="F5873" t="n">
        <v>47.544</v>
      </c>
    </row>
    <row r="5874">
      <c r="A5874" t="inlineStr">
        <is>
          <t>ORD05873</t>
        </is>
      </c>
      <c r="B5874" t="inlineStr">
        <is>
          <t>C0873</t>
        </is>
      </c>
      <c r="C5874" t="n">
        <v>2</v>
      </c>
      <c r="D5874" t="inlineStr">
        <is>
          <t>Hub B</t>
        </is>
      </c>
      <c r="E5874" t="n">
        <v>29</v>
      </c>
      <c r="F5874" t="n">
        <v>47.544</v>
      </c>
    </row>
    <row r="5875">
      <c r="A5875" t="inlineStr">
        <is>
          <t>ORD05874</t>
        </is>
      </c>
      <c r="B5875" t="inlineStr">
        <is>
          <t>C0874</t>
        </is>
      </c>
      <c r="C5875" t="n">
        <v>3</v>
      </c>
      <c r="D5875" t="inlineStr">
        <is>
          <t>Hub B</t>
        </is>
      </c>
      <c r="E5875" t="n">
        <v>36</v>
      </c>
      <c r="F5875" t="n">
        <v>47.544</v>
      </c>
    </row>
    <row r="5876">
      <c r="A5876" t="inlineStr">
        <is>
          <t>ORD05875</t>
        </is>
      </c>
      <c r="B5876" t="inlineStr">
        <is>
          <t>C0875</t>
        </is>
      </c>
      <c r="C5876" t="n">
        <v>1</v>
      </c>
      <c r="D5876" t="inlineStr">
        <is>
          <t>Hub B</t>
        </is>
      </c>
      <c r="E5876" t="n">
        <v>43</v>
      </c>
      <c r="F5876" t="n">
        <v>47.544</v>
      </c>
    </row>
    <row r="5877">
      <c r="A5877" t="inlineStr">
        <is>
          <t>ORD05876</t>
        </is>
      </c>
      <c r="B5877" t="inlineStr">
        <is>
          <t>C0876</t>
        </is>
      </c>
      <c r="C5877" t="n">
        <v>2</v>
      </c>
      <c r="D5877" t="inlineStr">
        <is>
          <t>Hub B</t>
        </is>
      </c>
      <c r="E5877" t="n">
        <v>50</v>
      </c>
      <c r="F5877" t="n">
        <v>47.544</v>
      </c>
    </row>
    <row r="5878">
      <c r="A5878" t="inlineStr">
        <is>
          <t>ORD05877</t>
        </is>
      </c>
      <c r="B5878" t="inlineStr">
        <is>
          <t>C0877</t>
        </is>
      </c>
      <c r="C5878" t="n">
        <v>3</v>
      </c>
      <c r="D5878" t="inlineStr">
        <is>
          <t>Hub B</t>
        </is>
      </c>
      <c r="E5878" t="n">
        <v>57</v>
      </c>
      <c r="F5878" t="n">
        <v>47.544</v>
      </c>
    </row>
    <row r="5879">
      <c r="A5879" t="inlineStr">
        <is>
          <t>ORD05878</t>
        </is>
      </c>
      <c r="B5879" t="inlineStr">
        <is>
          <t>C0878</t>
        </is>
      </c>
      <c r="C5879" t="n">
        <v>1</v>
      </c>
      <c r="D5879" t="inlineStr">
        <is>
          <t>Hub B</t>
        </is>
      </c>
      <c r="E5879" t="n">
        <v>64</v>
      </c>
      <c r="F5879" t="n">
        <v>47.544</v>
      </c>
    </row>
    <row r="5880">
      <c r="A5880" t="inlineStr">
        <is>
          <t>ORD05879</t>
        </is>
      </c>
      <c r="B5880" t="inlineStr">
        <is>
          <t>C0879</t>
        </is>
      </c>
      <c r="C5880" t="n">
        <v>2</v>
      </c>
      <c r="D5880" t="inlineStr">
        <is>
          <t>Hub B</t>
        </is>
      </c>
      <c r="E5880" t="n">
        <v>71</v>
      </c>
      <c r="F5880" t="n">
        <v>47.544</v>
      </c>
    </row>
    <row r="5881">
      <c r="A5881" t="inlineStr">
        <is>
          <t>ORD05880</t>
        </is>
      </c>
      <c r="B5881" t="inlineStr">
        <is>
          <t>C0880</t>
        </is>
      </c>
      <c r="C5881" t="n">
        <v>3</v>
      </c>
      <c r="D5881" t="inlineStr">
        <is>
          <t>Hub B</t>
        </is>
      </c>
      <c r="E5881" t="n">
        <v>18</v>
      </c>
      <c r="F5881" t="n">
        <v>47.544</v>
      </c>
    </row>
    <row r="5882">
      <c r="A5882" t="inlineStr">
        <is>
          <t>ORD05881</t>
        </is>
      </c>
      <c r="B5882" t="inlineStr">
        <is>
          <t>C0881</t>
        </is>
      </c>
      <c r="C5882" t="n">
        <v>1</v>
      </c>
      <c r="D5882" t="inlineStr">
        <is>
          <t>Hub B</t>
        </is>
      </c>
      <c r="E5882" t="n">
        <v>25</v>
      </c>
      <c r="F5882" t="n">
        <v>47.544</v>
      </c>
    </row>
    <row r="5883">
      <c r="A5883" t="inlineStr">
        <is>
          <t>ORD05882</t>
        </is>
      </c>
      <c r="B5883" t="inlineStr">
        <is>
          <t>C0882</t>
        </is>
      </c>
      <c r="C5883" t="n">
        <v>2</v>
      </c>
      <c r="D5883" t="inlineStr">
        <is>
          <t>Hub B</t>
        </is>
      </c>
      <c r="E5883" t="n">
        <v>32</v>
      </c>
      <c r="F5883" t="n">
        <v>47.544</v>
      </c>
    </row>
    <row r="5884">
      <c r="A5884" t="inlineStr">
        <is>
          <t>ORD05883</t>
        </is>
      </c>
      <c r="B5884" t="inlineStr">
        <is>
          <t>C0883</t>
        </is>
      </c>
      <c r="C5884" t="n">
        <v>3</v>
      </c>
      <c r="D5884" t="inlineStr">
        <is>
          <t>Hub B</t>
        </is>
      </c>
      <c r="E5884" t="n">
        <v>39</v>
      </c>
      <c r="F5884" t="n">
        <v>47.544</v>
      </c>
    </row>
    <row r="5885">
      <c r="A5885" t="inlineStr">
        <is>
          <t>ORD05884</t>
        </is>
      </c>
      <c r="B5885" t="inlineStr">
        <is>
          <t>C0884</t>
        </is>
      </c>
      <c r="C5885" t="n">
        <v>1</v>
      </c>
      <c r="D5885" t="inlineStr">
        <is>
          <t>Hub B</t>
        </is>
      </c>
      <c r="E5885" t="n">
        <v>46</v>
      </c>
      <c r="F5885" t="n">
        <v>47.544</v>
      </c>
    </row>
    <row r="5886">
      <c r="A5886" t="inlineStr">
        <is>
          <t>ORD05885</t>
        </is>
      </c>
      <c r="B5886" t="inlineStr">
        <is>
          <t>C0885</t>
        </is>
      </c>
      <c r="C5886" t="n">
        <v>2</v>
      </c>
      <c r="D5886" t="inlineStr">
        <is>
          <t>Hub B</t>
        </is>
      </c>
      <c r="E5886" t="n">
        <v>53</v>
      </c>
      <c r="F5886" t="n">
        <v>47.544</v>
      </c>
    </row>
    <row r="5887">
      <c r="A5887" t="inlineStr">
        <is>
          <t>ORD05886</t>
        </is>
      </c>
      <c r="B5887" t="inlineStr">
        <is>
          <t>C0886</t>
        </is>
      </c>
      <c r="C5887" t="n">
        <v>3</v>
      </c>
      <c r="D5887" t="inlineStr">
        <is>
          <t>Hub B</t>
        </is>
      </c>
      <c r="E5887" t="n">
        <v>60</v>
      </c>
      <c r="F5887" t="n">
        <v>47.544</v>
      </c>
    </row>
    <row r="5888">
      <c r="A5888" t="inlineStr">
        <is>
          <t>ORD05887</t>
        </is>
      </c>
      <c r="B5888" t="inlineStr">
        <is>
          <t>C0887</t>
        </is>
      </c>
      <c r="C5888" t="n">
        <v>1</v>
      </c>
      <c r="D5888" t="inlineStr">
        <is>
          <t>Hub B</t>
        </is>
      </c>
      <c r="E5888" t="n">
        <v>67</v>
      </c>
      <c r="F5888" t="n">
        <v>47.544</v>
      </c>
    </row>
    <row r="5889">
      <c r="A5889" t="inlineStr">
        <is>
          <t>ORD05888</t>
        </is>
      </c>
      <c r="B5889" t="inlineStr">
        <is>
          <t>C0888</t>
        </is>
      </c>
      <c r="C5889" t="n">
        <v>2</v>
      </c>
      <c r="D5889" t="inlineStr">
        <is>
          <t>Hub B</t>
        </is>
      </c>
      <c r="E5889" t="n">
        <v>74</v>
      </c>
      <c r="F5889" t="n">
        <v>47.544</v>
      </c>
    </row>
    <row r="5890">
      <c r="A5890" t="inlineStr">
        <is>
          <t>ORD05889</t>
        </is>
      </c>
      <c r="B5890" t="inlineStr">
        <is>
          <t>C0889</t>
        </is>
      </c>
      <c r="C5890" t="n">
        <v>3</v>
      </c>
      <c r="D5890" t="inlineStr">
        <is>
          <t>Hub B</t>
        </is>
      </c>
      <c r="E5890" t="n">
        <v>21</v>
      </c>
      <c r="F5890" t="n">
        <v>47.544</v>
      </c>
    </row>
    <row r="5891">
      <c r="A5891" t="inlineStr">
        <is>
          <t>ORD05890</t>
        </is>
      </c>
      <c r="B5891" t="inlineStr">
        <is>
          <t>C0890</t>
        </is>
      </c>
      <c r="C5891" t="n">
        <v>1</v>
      </c>
      <c r="D5891" t="inlineStr">
        <is>
          <t>Hub B</t>
        </is>
      </c>
      <c r="E5891" t="n">
        <v>28</v>
      </c>
      <c r="F5891" t="n">
        <v>47.544</v>
      </c>
    </row>
    <row r="5892">
      <c r="A5892" t="inlineStr">
        <is>
          <t>ORD05891</t>
        </is>
      </c>
      <c r="B5892" t="inlineStr">
        <is>
          <t>C0891</t>
        </is>
      </c>
      <c r="C5892" t="n">
        <v>2</v>
      </c>
      <c r="D5892" t="inlineStr">
        <is>
          <t>Hub B</t>
        </is>
      </c>
      <c r="E5892" t="n">
        <v>35</v>
      </c>
      <c r="F5892" t="n">
        <v>47.544</v>
      </c>
    </row>
    <row r="5893">
      <c r="A5893" t="inlineStr">
        <is>
          <t>ORD05892</t>
        </is>
      </c>
      <c r="B5893" t="inlineStr">
        <is>
          <t>C0892</t>
        </is>
      </c>
      <c r="C5893" t="n">
        <v>3</v>
      </c>
      <c r="D5893" t="inlineStr">
        <is>
          <t>Hub B</t>
        </is>
      </c>
      <c r="E5893" t="n">
        <v>42</v>
      </c>
      <c r="F5893" t="n">
        <v>47.544</v>
      </c>
    </row>
    <row r="5894">
      <c r="A5894" t="inlineStr">
        <is>
          <t>ORD05893</t>
        </is>
      </c>
      <c r="B5894" t="inlineStr">
        <is>
          <t>C0893</t>
        </is>
      </c>
      <c r="C5894" t="n">
        <v>1</v>
      </c>
      <c r="D5894" t="inlineStr">
        <is>
          <t>Hub B</t>
        </is>
      </c>
      <c r="E5894" t="n">
        <v>49</v>
      </c>
      <c r="F5894" t="n">
        <v>47.544</v>
      </c>
    </row>
    <row r="5895">
      <c r="A5895" t="inlineStr">
        <is>
          <t>ORD05894</t>
        </is>
      </c>
      <c r="B5895" t="inlineStr">
        <is>
          <t>C0894</t>
        </is>
      </c>
      <c r="C5895" t="n">
        <v>2</v>
      </c>
      <c r="D5895" t="inlineStr">
        <is>
          <t>Hub B</t>
        </is>
      </c>
      <c r="E5895" t="n">
        <v>56</v>
      </c>
      <c r="F5895" t="n">
        <v>47.544</v>
      </c>
    </row>
    <row r="5896">
      <c r="A5896" t="inlineStr">
        <is>
          <t>ORD05895</t>
        </is>
      </c>
      <c r="B5896" t="inlineStr">
        <is>
          <t>C0895</t>
        </is>
      </c>
      <c r="C5896" t="n">
        <v>3</v>
      </c>
      <c r="D5896" t="inlineStr">
        <is>
          <t>Hub B</t>
        </is>
      </c>
      <c r="E5896" t="n">
        <v>63</v>
      </c>
      <c r="F5896" t="n">
        <v>47.544</v>
      </c>
    </row>
    <row r="5897">
      <c r="A5897" t="inlineStr">
        <is>
          <t>ORD05896</t>
        </is>
      </c>
      <c r="B5897" t="inlineStr">
        <is>
          <t>C0896</t>
        </is>
      </c>
      <c r="C5897" t="n">
        <v>1</v>
      </c>
      <c r="D5897" t="inlineStr">
        <is>
          <t>Hub B</t>
        </is>
      </c>
      <c r="E5897" t="n">
        <v>70</v>
      </c>
      <c r="F5897" t="n">
        <v>47.544</v>
      </c>
    </row>
    <row r="5898">
      <c r="A5898" t="inlineStr">
        <is>
          <t>ORD05897</t>
        </is>
      </c>
      <c r="B5898" t="inlineStr">
        <is>
          <t>C0897</t>
        </is>
      </c>
      <c r="C5898" t="n">
        <v>2</v>
      </c>
      <c r="D5898" t="inlineStr">
        <is>
          <t>Hub B</t>
        </is>
      </c>
      <c r="E5898" t="n">
        <v>77</v>
      </c>
      <c r="F5898" t="n">
        <v>47.544</v>
      </c>
    </row>
    <row r="5899">
      <c r="A5899" t="inlineStr">
        <is>
          <t>ORD05898</t>
        </is>
      </c>
      <c r="B5899" t="inlineStr">
        <is>
          <t>C0898</t>
        </is>
      </c>
      <c r="C5899" t="n">
        <v>3</v>
      </c>
      <c r="D5899" t="inlineStr">
        <is>
          <t>Hub B</t>
        </is>
      </c>
      <c r="E5899" t="n">
        <v>24</v>
      </c>
      <c r="F5899" t="n">
        <v>47.544</v>
      </c>
    </row>
    <row r="5900">
      <c r="A5900" t="inlineStr">
        <is>
          <t>ORD05899</t>
        </is>
      </c>
      <c r="B5900" t="inlineStr">
        <is>
          <t>C0899</t>
        </is>
      </c>
      <c r="C5900" t="n">
        <v>1</v>
      </c>
      <c r="D5900" t="inlineStr">
        <is>
          <t>Hub B</t>
        </is>
      </c>
      <c r="E5900" t="n">
        <v>31</v>
      </c>
      <c r="F5900" t="n">
        <v>47.544</v>
      </c>
    </row>
    <row r="5901">
      <c r="A5901" t="inlineStr">
        <is>
          <t>ORD05900</t>
        </is>
      </c>
      <c r="B5901" t="inlineStr">
        <is>
          <t>C0900</t>
        </is>
      </c>
      <c r="C5901" t="n">
        <v>2</v>
      </c>
      <c r="D5901" t="inlineStr">
        <is>
          <t>Hub B</t>
        </is>
      </c>
      <c r="E5901" t="n">
        <v>38</v>
      </c>
      <c r="F5901" t="n">
        <v>47.544</v>
      </c>
    </row>
    <row r="5902">
      <c r="A5902" t="inlineStr">
        <is>
          <t>ORD05901</t>
        </is>
      </c>
      <c r="B5902" t="inlineStr">
        <is>
          <t>C0901</t>
        </is>
      </c>
      <c r="C5902" t="n">
        <v>3</v>
      </c>
      <c r="D5902" t="inlineStr">
        <is>
          <t>Hub B</t>
        </is>
      </c>
      <c r="E5902" t="n">
        <v>45</v>
      </c>
      <c r="F5902" t="n">
        <v>47.544</v>
      </c>
    </row>
    <row r="5903">
      <c r="A5903" t="inlineStr">
        <is>
          <t>ORD05902</t>
        </is>
      </c>
      <c r="B5903" t="inlineStr">
        <is>
          <t>C0902</t>
        </is>
      </c>
      <c r="C5903" t="n">
        <v>1</v>
      </c>
      <c r="D5903" t="inlineStr">
        <is>
          <t>Hub B</t>
        </is>
      </c>
      <c r="E5903" t="n">
        <v>52</v>
      </c>
      <c r="F5903" t="n">
        <v>47.544</v>
      </c>
    </row>
    <row r="5904">
      <c r="A5904" t="inlineStr">
        <is>
          <t>ORD05903</t>
        </is>
      </c>
      <c r="B5904" t="inlineStr">
        <is>
          <t>C0903</t>
        </is>
      </c>
      <c r="C5904" t="n">
        <v>2</v>
      </c>
      <c r="D5904" t="inlineStr">
        <is>
          <t>Hub B</t>
        </is>
      </c>
      <c r="E5904" t="n">
        <v>59</v>
      </c>
      <c r="F5904" t="n">
        <v>47.544</v>
      </c>
    </row>
    <row r="5905">
      <c r="A5905" t="inlineStr">
        <is>
          <t>ORD05904</t>
        </is>
      </c>
      <c r="B5905" t="inlineStr">
        <is>
          <t>C0904</t>
        </is>
      </c>
      <c r="C5905" t="n">
        <v>3</v>
      </c>
      <c r="D5905" t="inlineStr">
        <is>
          <t>Hub B</t>
        </is>
      </c>
      <c r="E5905" t="n">
        <v>66</v>
      </c>
      <c r="F5905" t="n">
        <v>47.544</v>
      </c>
    </row>
    <row r="5906">
      <c r="A5906" t="inlineStr">
        <is>
          <t>ORD05905</t>
        </is>
      </c>
      <c r="B5906" t="inlineStr">
        <is>
          <t>C0905</t>
        </is>
      </c>
      <c r="C5906" t="n">
        <v>1</v>
      </c>
      <c r="D5906" t="inlineStr">
        <is>
          <t>Hub B</t>
        </is>
      </c>
      <c r="E5906" t="n">
        <v>73</v>
      </c>
      <c r="F5906" t="n">
        <v>47.544</v>
      </c>
    </row>
    <row r="5907">
      <c r="A5907" t="inlineStr">
        <is>
          <t>ORD05906</t>
        </is>
      </c>
      <c r="B5907" t="inlineStr">
        <is>
          <t>C0906</t>
        </is>
      </c>
      <c r="C5907" t="n">
        <v>2</v>
      </c>
      <c r="D5907" t="inlineStr">
        <is>
          <t>Hub B</t>
        </is>
      </c>
      <c r="E5907" t="n">
        <v>20</v>
      </c>
      <c r="F5907" t="n">
        <v>47.544</v>
      </c>
    </row>
    <row r="5908">
      <c r="A5908" t="inlineStr">
        <is>
          <t>ORD05907</t>
        </is>
      </c>
      <c r="B5908" t="inlineStr">
        <is>
          <t>C0907</t>
        </is>
      </c>
      <c r="C5908" t="n">
        <v>3</v>
      </c>
      <c r="D5908" t="inlineStr">
        <is>
          <t>Hub B</t>
        </is>
      </c>
      <c r="E5908" t="n">
        <v>27</v>
      </c>
      <c r="F5908" t="n">
        <v>47.544</v>
      </c>
    </row>
    <row r="5909">
      <c r="A5909" t="inlineStr">
        <is>
          <t>ORD05908</t>
        </is>
      </c>
      <c r="B5909" t="inlineStr">
        <is>
          <t>C0908</t>
        </is>
      </c>
      <c r="C5909" t="n">
        <v>1</v>
      </c>
      <c r="D5909" t="inlineStr">
        <is>
          <t>Hub B</t>
        </is>
      </c>
      <c r="E5909" t="n">
        <v>34</v>
      </c>
      <c r="F5909" t="n">
        <v>47.544</v>
      </c>
    </row>
    <row r="5910">
      <c r="A5910" t="inlineStr">
        <is>
          <t>ORD05909</t>
        </is>
      </c>
      <c r="B5910" t="inlineStr">
        <is>
          <t>C0909</t>
        </is>
      </c>
      <c r="C5910" t="n">
        <v>2</v>
      </c>
      <c r="D5910" t="inlineStr">
        <is>
          <t>Hub B</t>
        </is>
      </c>
      <c r="E5910" t="n">
        <v>41</v>
      </c>
      <c r="F5910" t="n">
        <v>47.544</v>
      </c>
    </row>
    <row r="5911">
      <c r="A5911" t="inlineStr">
        <is>
          <t>ORD05910</t>
        </is>
      </c>
      <c r="B5911" t="inlineStr">
        <is>
          <t>C0910</t>
        </is>
      </c>
      <c r="C5911" t="n">
        <v>3</v>
      </c>
      <c r="D5911" t="inlineStr">
        <is>
          <t>Hub B</t>
        </is>
      </c>
      <c r="E5911" t="n">
        <v>48</v>
      </c>
      <c r="F5911" t="n">
        <v>47.544</v>
      </c>
    </row>
    <row r="5912">
      <c r="A5912" t="inlineStr">
        <is>
          <t>ORD05911</t>
        </is>
      </c>
      <c r="B5912" t="inlineStr">
        <is>
          <t>C0911</t>
        </is>
      </c>
      <c r="C5912" t="n">
        <v>1</v>
      </c>
      <c r="D5912" t="inlineStr">
        <is>
          <t>Hub B</t>
        </is>
      </c>
      <c r="E5912" t="n">
        <v>55</v>
      </c>
      <c r="F5912" t="n">
        <v>47.544</v>
      </c>
    </row>
    <row r="5913">
      <c r="A5913" t="inlineStr">
        <is>
          <t>ORD05912</t>
        </is>
      </c>
      <c r="B5913" t="inlineStr">
        <is>
          <t>C0912</t>
        </is>
      </c>
      <c r="C5913" t="n">
        <v>2</v>
      </c>
      <c r="D5913" t="inlineStr">
        <is>
          <t>Hub B</t>
        </is>
      </c>
      <c r="E5913" t="n">
        <v>62</v>
      </c>
      <c r="F5913" t="n">
        <v>47.544</v>
      </c>
    </row>
    <row r="5914">
      <c r="A5914" t="inlineStr">
        <is>
          <t>ORD05913</t>
        </is>
      </c>
      <c r="B5914" t="inlineStr">
        <is>
          <t>C0913</t>
        </is>
      </c>
      <c r="C5914" t="n">
        <v>3</v>
      </c>
      <c r="D5914" t="inlineStr">
        <is>
          <t>Hub B</t>
        </is>
      </c>
      <c r="E5914" t="n">
        <v>69</v>
      </c>
      <c r="F5914" t="n">
        <v>47.544</v>
      </c>
    </row>
    <row r="5915">
      <c r="A5915" t="inlineStr">
        <is>
          <t>ORD05914</t>
        </is>
      </c>
      <c r="B5915" t="inlineStr">
        <is>
          <t>C0914</t>
        </is>
      </c>
      <c r="C5915" t="n">
        <v>1</v>
      </c>
      <c r="D5915" t="inlineStr">
        <is>
          <t>Hub B</t>
        </is>
      </c>
      <c r="E5915" t="n">
        <v>76</v>
      </c>
      <c r="F5915" t="n">
        <v>47.544</v>
      </c>
    </row>
    <row r="5916">
      <c r="A5916" t="inlineStr">
        <is>
          <t>ORD05915</t>
        </is>
      </c>
      <c r="B5916" t="inlineStr">
        <is>
          <t>C0915</t>
        </is>
      </c>
      <c r="C5916" t="n">
        <v>2</v>
      </c>
      <c r="D5916" t="inlineStr">
        <is>
          <t>Hub B</t>
        </is>
      </c>
      <c r="E5916" t="n">
        <v>23</v>
      </c>
      <c r="F5916" t="n">
        <v>47.544</v>
      </c>
    </row>
    <row r="5917">
      <c r="A5917" t="inlineStr">
        <is>
          <t>ORD05916</t>
        </is>
      </c>
      <c r="B5917" t="inlineStr">
        <is>
          <t>C0916</t>
        </is>
      </c>
      <c r="C5917" t="n">
        <v>3</v>
      </c>
      <c r="D5917" t="inlineStr">
        <is>
          <t>Hub B</t>
        </is>
      </c>
      <c r="E5917" t="n">
        <v>30</v>
      </c>
      <c r="F5917" t="n">
        <v>47.544</v>
      </c>
    </row>
    <row r="5918">
      <c r="A5918" t="inlineStr">
        <is>
          <t>ORD05917</t>
        </is>
      </c>
      <c r="B5918" t="inlineStr">
        <is>
          <t>C0917</t>
        </is>
      </c>
      <c r="C5918" t="n">
        <v>1</v>
      </c>
      <c r="D5918" t="inlineStr">
        <is>
          <t>Hub B</t>
        </is>
      </c>
      <c r="E5918" t="n">
        <v>37</v>
      </c>
      <c r="F5918" t="n">
        <v>47.544</v>
      </c>
    </row>
    <row r="5919">
      <c r="A5919" t="inlineStr">
        <is>
          <t>ORD05918</t>
        </is>
      </c>
      <c r="B5919" t="inlineStr">
        <is>
          <t>C0918</t>
        </is>
      </c>
      <c r="C5919" t="n">
        <v>2</v>
      </c>
      <c r="D5919" t="inlineStr">
        <is>
          <t>Hub B</t>
        </is>
      </c>
      <c r="E5919" t="n">
        <v>44</v>
      </c>
      <c r="F5919" t="n">
        <v>47.544</v>
      </c>
    </row>
    <row r="5920">
      <c r="A5920" t="inlineStr">
        <is>
          <t>ORD05919</t>
        </is>
      </c>
      <c r="B5920" t="inlineStr">
        <is>
          <t>C0919</t>
        </is>
      </c>
      <c r="C5920" t="n">
        <v>3</v>
      </c>
      <c r="D5920" t="inlineStr">
        <is>
          <t>Hub B</t>
        </is>
      </c>
      <c r="E5920" t="n">
        <v>51</v>
      </c>
      <c r="F5920" t="n">
        <v>47.544</v>
      </c>
    </row>
    <row r="5921">
      <c r="A5921" t="inlineStr">
        <is>
          <t>ORD05920</t>
        </is>
      </c>
      <c r="B5921" t="inlineStr">
        <is>
          <t>C0920</t>
        </is>
      </c>
      <c r="C5921" t="n">
        <v>1</v>
      </c>
      <c r="D5921" t="inlineStr">
        <is>
          <t>Hub B</t>
        </is>
      </c>
      <c r="E5921" t="n">
        <v>58</v>
      </c>
      <c r="F5921" t="n">
        <v>47.544</v>
      </c>
    </row>
    <row r="5922">
      <c r="A5922" t="inlineStr">
        <is>
          <t>ORD05921</t>
        </is>
      </c>
      <c r="B5922" t="inlineStr">
        <is>
          <t>C0921</t>
        </is>
      </c>
      <c r="C5922" t="n">
        <v>2</v>
      </c>
      <c r="D5922" t="inlineStr">
        <is>
          <t>Hub B</t>
        </is>
      </c>
      <c r="E5922" t="n">
        <v>65</v>
      </c>
      <c r="F5922" t="n">
        <v>47.544</v>
      </c>
    </row>
    <row r="5923">
      <c r="A5923" t="inlineStr">
        <is>
          <t>ORD05922</t>
        </is>
      </c>
      <c r="B5923" t="inlineStr">
        <is>
          <t>C0922</t>
        </is>
      </c>
      <c r="C5923" t="n">
        <v>3</v>
      </c>
      <c r="D5923" t="inlineStr">
        <is>
          <t>Hub B</t>
        </is>
      </c>
      <c r="E5923" t="n">
        <v>72</v>
      </c>
      <c r="F5923" t="n">
        <v>47.544</v>
      </c>
    </row>
    <row r="5924">
      <c r="A5924" t="inlineStr">
        <is>
          <t>ORD05923</t>
        </is>
      </c>
      <c r="B5924" t="inlineStr">
        <is>
          <t>C0923</t>
        </is>
      </c>
      <c r="C5924" t="n">
        <v>1</v>
      </c>
      <c r="D5924" t="inlineStr">
        <is>
          <t>Hub B</t>
        </is>
      </c>
      <c r="E5924" t="n">
        <v>19</v>
      </c>
      <c r="F5924" t="n">
        <v>47.544</v>
      </c>
    </row>
    <row r="5925">
      <c r="A5925" t="inlineStr">
        <is>
          <t>ORD05924</t>
        </is>
      </c>
      <c r="B5925" t="inlineStr">
        <is>
          <t>C0924</t>
        </is>
      </c>
      <c r="C5925" t="n">
        <v>2</v>
      </c>
      <c r="D5925" t="inlineStr">
        <is>
          <t>Hub B</t>
        </is>
      </c>
      <c r="E5925" t="n">
        <v>26</v>
      </c>
      <c r="F5925" t="n">
        <v>47.544</v>
      </c>
    </row>
    <row r="5926">
      <c r="A5926" t="inlineStr">
        <is>
          <t>ORD05925</t>
        </is>
      </c>
      <c r="B5926" t="inlineStr">
        <is>
          <t>C0925</t>
        </is>
      </c>
      <c r="C5926" t="n">
        <v>3</v>
      </c>
      <c r="D5926" t="inlineStr">
        <is>
          <t>Hub B</t>
        </is>
      </c>
      <c r="E5926" t="n">
        <v>33</v>
      </c>
      <c r="F5926" t="n">
        <v>47.544</v>
      </c>
    </row>
    <row r="5927">
      <c r="A5927" t="inlineStr">
        <is>
          <t>ORD05926</t>
        </is>
      </c>
      <c r="B5927" t="inlineStr">
        <is>
          <t>C0926</t>
        </is>
      </c>
      <c r="C5927" t="n">
        <v>1</v>
      </c>
      <c r="D5927" t="inlineStr">
        <is>
          <t>Hub B</t>
        </is>
      </c>
      <c r="E5927" t="n">
        <v>40</v>
      </c>
      <c r="F5927" t="n">
        <v>47.544</v>
      </c>
    </row>
    <row r="5928">
      <c r="A5928" t="inlineStr">
        <is>
          <t>ORD05927</t>
        </is>
      </c>
      <c r="B5928" t="inlineStr">
        <is>
          <t>C0927</t>
        </is>
      </c>
      <c r="C5928" t="n">
        <v>2</v>
      </c>
      <c r="D5928" t="inlineStr">
        <is>
          <t>Hub B</t>
        </is>
      </c>
      <c r="E5928" t="n">
        <v>47</v>
      </c>
      <c r="F5928" t="n">
        <v>47.544</v>
      </c>
    </row>
    <row r="5929">
      <c r="A5929" t="inlineStr">
        <is>
          <t>ORD05928</t>
        </is>
      </c>
      <c r="B5929" t="inlineStr">
        <is>
          <t>C0928</t>
        </is>
      </c>
      <c r="C5929" t="n">
        <v>3</v>
      </c>
      <c r="D5929" t="inlineStr">
        <is>
          <t>Hub B</t>
        </is>
      </c>
      <c r="E5929" t="n">
        <v>54</v>
      </c>
      <c r="F5929" t="n">
        <v>47.544</v>
      </c>
    </row>
    <row r="5930">
      <c r="A5930" t="inlineStr">
        <is>
          <t>ORD05929</t>
        </is>
      </c>
      <c r="B5930" t="inlineStr">
        <is>
          <t>C0929</t>
        </is>
      </c>
      <c r="C5930" t="n">
        <v>1</v>
      </c>
      <c r="D5930" t="inlineStr">
        <is>
          <t>Hub B</t>
        </is>
      </c>
      <c r="E5930" t="n">
        <v>61</v>
      </c>
      <c r="F5930" t="n">
        <v>47.544</v>
      </c>
    </row>
    <row r="5931">
      <c r="A5931" t="inlineStr">
        <is>
          <t>ORD05930</t>
        </is>
      </c>
      <c r="B5931" t="inlineStr">
        <is>
          <t>C0930</t>
        </is>
      </c>
      <c r="C5931" t="n">
        <v>2</v>
      </c>
      <c r="D5931" t="inlineStr">
        <is>
          <t>Hub B</t>
        </is>
      </c>
      <c r="E5931" t="n">
        <v>68</v>
      </c>
      <c r="F5931" t="n">
        <v>47.544</v>
      </c>
    </row>
    <row r="5932">
      <c r="A5932" t="inlineStr">
        <is>
          <t>ORD05931</t>
        </is>
      </c>
      <c r="B5932" t="inlineStr">
        <is>
          <t>C0931</t>
        </is>
      </c>
      <c r="C5932" t="n">
        <v>3</v>
      </c>
      <c r="D5932" t="inlineStr">
        <is>
          <t>Hub B</t>
        </is>
      </c>
      <c r="E5932" t="n">
        <v>75</v>
      </c>
      <c r="F5932" t="n">
        <v>47.544</v>
      </c>
    </row>
    <row r="5933">
      <c r="A5933" t="inlineStr">
        <is>
          <t>ORD05932</t>
        </is>
      </c>
      <c r="B5933" t="inlineStr">
        <is>
          <t>C0932</t>
        </is>
      </c>
      <c r="C5933" t="n">
        <v>1</v>
      </c>
      <c r="D5933" t="inlineStr">
        <is>
          <t>Hub B</t>
        </is>
      </c>
      <c r="E5933" t="n">
        <v>22</v>
      </c>
      <c r="F5933" t="n">
        <v>47.544</v>
      </c>
    </row>
    <row r="5934">
      <c r="A5934" t="inlineStr">
        <is>
          <t>ORD05933</t>
        </is>
      </c>
      <c r="B5934" t="inlineStr">
        <is>
          <t>C0933</t>
        </is>
      </c>
      <c r="C5934" t="n">
        <v>2</v>
      </c>
      <c r="D5934" t="inlineStr">
        <is>
          <t>Hub B</t>
        </is>
      </c>
      <c r="E5934" t="n">
        <v>29</v>
      </c>
      <c r="F5934" t="n">
        <v>47.544</v>
      </c>
    </row>
    <row r="5935">
      <c r="A5935" t="inlineStr">
        <is>
          <t>ORD05934</t>
        </is>
      </c>
      <c r="B5935" t="inlineStr">
        <is>
          <t>C0934</t>
        </is>
      </c>
      <c r="C5935" t="n">
        <v>3</v>
      </c>
      <c r="D5935" t="inlineStr">
        <is>
          <t>Hub B</t>
        </is>
      </c>
      <c r="E5935" t="n">
        <v>36</v>
      </c>
      <c r="F5935" t="n">
        <v>47.544</v>
      </c>
    </row>
    <row r="5936">
      <c r="A5936" t="inlineStr">
        <is>
          <t>ORD05935</t>
        </is>
      </c>
      <c r="B5936" t="inlineStr">
        <is>
          <t>C0935</t>
        </is>
      </c>
      <c r="C5936" t="n">
        <v>1</v>
      </c>
      <c r="D5936" t="inlineStr">
        <is>
          <t>Hub B</t>
        </is>
      </c>
      <c r="E5936" t="n">
        <v>43</v>
      </c>
      <c r="F5936" t="n">
        <v>47.544</v>
      </c>
    </row>
    <row r="5937">
      <c r="A5937" t="inlineStr">
        <is>
          <t>ORD05936</t>
        </is>
      </c>
      <c r="B5937" t="inlineStr">
        <is>
          <t>C0936</t>
        </is>
      </c>
      <c r="C5937" t="n">
        <v>2</v>
      </c>
      <c r="D5937" t="inlineStr">
        <is>
          <t>Hub B</t>
        </is>
      </c>
      <c r="E5937" t="n">
        <v>50</v>
      </c>
      <c r="F5937" t="n">
        <v>47.544</v>
      </c>
    </row>
    <row r="5938">
      <c r="A5938" t="inlineStr">
        <is>
          <t>ORD05937</t>
        </is>
      </c>
      <c r="B5938" t="inlineStr">
        <is>
          <t>C0937</t>
        </is>
      </c>
      <c r="C5938" t="n">
        <v>3</v>
      </c>
      <c r="D5938" t="inlineStr">
        <is>
          <t>Hub B</t>
        </is>
      </c>
      <c r="E5938" t="n">
        <v>57</v>
      </c>
      <c r="F5938" t="n">
        <v>47.544</v>
      </c>
    </row>
    <row r="5939">
      <c r="A5939" t="inlineStr">
        <is>
          <t>ORD05938</t>
        </is>
      </c>
      <c r="B5939" t="inlineStr">
        <is>
          <t>C0938</t>
        </is>
      </c>
      <c r="C5939" t="n">
        <v>1</v>
      </c>
      <c r="D5939" t="inlineStr">
        <is>
          <t>Hub B</t>
        </is>
      </c>
      <c r="E5939" t="n">
        <v>64</v>
      </c>
      <c r="F5939" t="n">
        <v>47.544</v>
      </c>
    </row>
    <row r="5940">
      <c r="A5940" t="inlineStr">
        <is>
          <t>ORD05939</t>
        </is>
      </c>
      <c r="B5940" t="inlineStr">
        <is>
          <t>C0939</t>
        </is>
      </c>
      <c r="C5940" t="n">
        <v>2</v>
      </c>
      <c r="D5940" t="inlineStr">
        <is>
          <t>Hub B</t>
        </is>
      </c>
      <c r="E5940" t="n">
        <v>71</v>
      </c>
      <c r="F5940" t="n">
        <v>47.544</v>
      </c>
    </row>
    <row r="5941">
      <c r="A5941" t="inlineStr">
        <is>
          <t>ORD05940</t>
        </is>
      </c>
      <c r="B5941" t="inlineStr">
        <is>
          <t>C0940</t>
        </is>
      </c>
      <c r="C5941" t="n">
        <v>3</v>
      </c>
      <c r="D5941" t="inlineStr">
        <is>
          <t>Hub B</t>
        </is>
      </c>
      <c r="E5941" t="n">
        <v>18</v>
      </c>
      <c r="F5941" t="n">
        <v>47.544</v>
      </c>
    </row>
    <row r="5942">
      <c r="A5942" t="inlineStr">
        <is>
          <t>ORD05941</t>
        </is>
      </c>
      <c r="B5942" t="inlineStr">
        <is>
          <t>C0941</t>
        </is>
      </c>
      <c r="C5942" t="n">
        <v>1</v>
      </c>
      <c r="D5942" t="inlineStr">
        <is>
          <t>Hub B</t>
        </is>
      </c>
      <c r="E5942" t="n">
        <v>25</v>
      </c>
      <c r="F5942" t="n">
        <v>47.544</v>
      </c>
    </row>
    <row r="5943">
      <c r="A5943" t="inlineStr">
        <is>
          <t>ORD05942</t>
        </is>
      </c>
      <c r="B5943" t="inlineStr">
        <is>
          <t>C0942</t>
        </is>
      </c>
      <c r="C5943" t="n">
        <v>2</v>
      </c>
      <c r="D5943" t="inlineStr">
        <is>
          <t>Hub B</t>
        </is>
      </c>
      <c r="E5943" t="n">
        <v>32</v>
      </c>
      <c r="F5943" t="n">
        <v>47.544</v>
      </c>
    </row>
    <row r="5944">
      <c r="A5944" t="inlineStr">
        <is>
          <t>ORD05943</t>
        </is>
      </c>
      <c r="B5944" t="inlineStr">
        <is>
          <t>C0943</t>
        </is>
      </c>
      <c r="C5944" t="n">
        <v>3</v>
      </c>
      <c r="D5944" t="inlineStr">
        <is>
          <t>Hub B</t>
        </is>
      </c>
      <c r="E5944" t="n">
        <v>39</v>
      </c>
      <c r="F5944" t="n">
        <v>47.544</v>
      </c>
    </row>
    <row r="5945">
      <c r="A5945" t="inlineStr">
        <is>
          <t>ORD05944</t>
        </is>
      </c>
      <c r="B5945" t="inlineStr">
        <is>
          <t>C0944</t>
        </is>
      </c>
      <c r="C5945" t="n">
        <v>1</v>
      </c>
      <c r="D5945" t="inlineStr">
        <is>
          <t>Hub B</t>
        </is>
      </c>
      <c r="E5945" t="n">
        <v>46</v>
      </c>
      <c r="F5945" t="n">
        <v>47.544</v>
      </c>
    </row>
    <row r="5946">
      <c r="A5946" t="inlineStr">
        <is>
          <t>ORD05945</t>
        </is>
      </c>
      <c r="B5946" t="inlineStr">
        <is>
          <t>C0945</t>
        </is>
      </c>
      <c r="C5946" t="n">
        <v>2</v>
      </c>
      <c r="D5946" t="inlineStr">
        <is>
          <t>Hub B</t>
        </is>
      </c>
      <c r="E5946" t="n">
        <v>53</v>
      </c>
      <c r="F5946" t="n">
        <v>47.544</v>
      </c>
    </row>
    <row r="5947">
      <c r="A5947" t="inlineStr">
        <is>
          <t>ORD05946</t>
        </is>
      </c>
      <c r="B5947" t="inlineStr">
        <is>
          <t>C0946</t>
        </is>
      </c>
      <c r="C5947" t="n">
        <v>3</v>
      </c>
      <c r="D5947" t="inlineStr">
        <is>
          <t>Hub B</t>
        </is>
      </c>
      <c r="E5947" t="n">
        <v>60</v>
      </c>
      <c r="F5947" t="n">
        <v>47.544</v>
      </c>
    </row>
    <row r="5948">
      <c r="A5948" t="inlineStr">
        <is>
          <t>ORD05947</t>
        </is>
      </c>
      <c r="B5948" t="inlineStr">
        <is>
          <t>C0947</t>
        </is>
      </c>
      <c r="C5948" t="n">
        <v>1</v>
      </c>
      <c r="D5948" t="inlineStr">
        <is>
          <t>Hub B</t>
        </is>
      </c>
      <c r="E5948" t="n">
        <v>67</v>
      </c>
      <c r="F5948" t="n">
        <v>47.544</v>
      </c>
    </row>
    <row r="5949">
      <c r="A5949" t="inlineStr">
        <is>
          <t>ORD05948</t>
        </is>
      </c>
      <c r="B5949" t="inlineStr">
        <is>
          <t>C0948</t>
        </is>
      </c>
      <c r="C5949" t="n">
        <v>2</v>
      </c>
      <c r="D5949" t="inlineStr">
        <is>
          <t>Hub B</t>
        </is>
      </c>
      <c r="E5949" t="n">
        <v>74</v>
      </c>
      <c r="F5949" t="n">
        <v>47.544</v>
      </c>
    </row>
    <row r="5950">
      <c r="A5950" t="inlineStr">
        <is>
          <t>ORD05949</t>
        </is>
      </c>
      <c r="B5950" t="inlineStr">
        <is>
          <t>C0949</t>
        </is>
      </c>
      <c r="C5950" t="n">
        <v>3</v>
      </c>
      <c r="D5950" t="inlineStr">
        <is>
          <t>Hub B</t>
        </is>
      </c>
      <c r="E5950" t="n">
        <v>21</v>
      </c>
      <c r="F5950" t="n">
        <v>47.544</v>
      </c>
    </row>
    <row r="5951">
      <c r="A5951" t="inlineStr">
        <is>
          <t>ORD05950</t>
        </is>
      </c>
      <c r="B5951" t="inlineStr">
        <is>
          <t>C0950</t>
        </is>
      </c>
      <c r="C5951" t="n">
        <v>1</v>
      </c>
      <c r="D5951" t="inlineStr">
        <is>
          <t>Hub B</t>
        </is>
      </c>
      <c r="E5951" t="n">
        <v>28</v>
      </c>
      <c r="F5951" t="n">
        <v>47.544</v>
      </c>
    </row>
    <row r="5952">
      <c r="A5952" t="inlineStr">
        <is>
          <t>ORD05951</t>
        </is>
      </c>
      <c r="B5952" t="inlineStr">
        <is>
          <t>C0951</t>
        </is>
      </c>
      <c r="C5952" t="n">
        <v>2</v>
      </c>
      <c r="D5952" t="inlineStr">
        <is>
          <t>Hub B</t>
        </is>
      </c>
      <c r="E5952" t="n">
        <v>35</v>
      </c>
      <c r="F5952" t="n">
        <v>47.544</v>
      </c>
    </row>
    <row r="5953">
      <c r="A5953" t="inlineStr">
        <is>
          <t>ORD05952</t>
        </is>
      </c>
      <c r="B5953" t="inlineStr">
        <is>
          <t>C0952</t>
        </is>
      </c>
      <c r="C5953" t="n">
        <v>3</v>
      </c>
      <c r="D5953" t="inlineStr">
        <is>
          <t>Hub B</t>
        </is>
      </c>
      <c r="E5953" t="n">
        <v>42</v>
      </c>
      <c r="F5953" t="n">
        <v>47.544</v>
      </c>
    </row>
    <row r="5954">
      <c r="A5954" t="inlineStr">
        <is>
          <t>ORD05953</t>
        </is>
      </c>
      <c r="B5954" t="inlineStr">
        <is>
          <t>C0953</t>
        </is>
      </c>
      <c r="C5954" t="n">
        <v>1</v>
      </c>
      <c r="D5954" t="inlineStr">
        <is>
          <t>Hub B</t>
        </is>
      </c>
      <c r="E5954" t="n">
        <v>49</v>
      </c>
      <c r="F5954" t="n">
        <v>47.544</v>
      </c>
    </row>
    <row r="5955">
      <c r="A5955" t="inlineStr">
        <is>
          <t>ORD05954</t>
        </is>
      </c>
      <c r="B5955" t="inlineStr">
        <is>
          <t>C0954</t>
        </is>
      </c>
      <c r="C5955" t="n">
        <v>2</v>
      </c>
      <c r="D5955" t="inlineStr">
        <is>
          <t>Hub B</t>
        </is>
      </c>
      <c r="E5955" t="n">
        <v>56</v>
      </c>
      <c r="F5955" t="n">
        <v>47.544</v>
      </c>
    </row>
    <row r="5956">
      <c r="A5956" t="inlineStr">
        <is>
          <t>ORD05955</t>
        </is>
      </c>
      <c r="B5956" t="inlineStr">
        <is>
          <t>C0955</t>
        </is>
      </c>
      <c r="C5956" t="n">
        <v>3</v>
      </c>
      <c r="D5956" t="inlineStr">
        <is>
          <t>Hub B</t>
        </is>
      </c>
      <c r="E5956" t="n">
        <v>63</v>
      </c>
      <c r="F5956" t="n">
        <v>47.544</v>
      </c>
    </row>
    <row r="5957">
      <c r="A5957" t="inlineStr">
        <is>
          <t>ORD05956</t>
        </is>
      </c>
      <c r="B5957" t="inlineStr">
        <is>
          <t>C0956</t>
        </is>
      </c>
      <c r="C5957" t="n">
        <v>1</v>
      </c>
      <c r="D5957" t="inlineStr">
        <is>
          <t>Hub B</t>
        </is>
      </c>
      <c r="E5957" t="n">
        <v>70</v>
      </c>
      <c r="F5957" t="n">
        <v>47.544</v>
      </c>
    </row>
    <row r="5958">
      <c r="A5958" t="inlineStr">
        <is>
          <t>ORD05957</t>
        </is>
      </c>
      <c r="B5958" t="inlineStr">
        <is>
          <t>C0957</t>
        </is>
      </c>
      <c r="C5958" t="n">
        <v>2</v>
      </c>
      <c r="D5958" t="inlineStr">
        <is>
          <t>Hub B</t>
        </is>
      </c>
      <c r="E5958" t="n">
        <v>77</v>
      </c>
      <c r="F5958" t="n">
        <v>47.544</v>
      </c>
    </row>
    <row r="5959">
      <c r="A5959" t="inlineStr">
        <is>
          <t>ORD05958</t>
        </is>
      </c>
      <c r="B5959" t="inlineStr">
        <is>
          <t>C0958</t>
        </is>
      </c>
      <c r="C5959" t="n">
        <v>3</v>
      </c>
      <c r="D5959" t="inlineStr">
        <is>
          <t>Hub B</t>
        </is>
      </c>
      <c r="E5959" t="n">
        <v>24</v>
      </c>
      <c r="F5959" t="n">
        <v>47.544</v>
      </c>
    </row>
    <row r="5960">
      <c r="A5960" t="inlineStr">
        <is>
          <t>ORD05959</t>
        </is>
      </c>
      <c r="B5960" t="inlineStr">
        <is>
          <t>C0959</t>
        </is>
      </c>
      <c r="C5960" t="n">
        <v>1</v>
      </c>
      <c r="D5960" t="inlineStr">
        <is>
          <t>Hub B</t>
        </is>
      </c>
      <c r="E5960" t="n">
        <v>31</v>
      </c>
      <c r="F5960" t="n">
        <v>47.544</v>
      </c>
    </row>
    <row r="5961">
      <c r="A5961" t="inlineStr">
        <is>
          <t>ORD05960</t>
        </is>
      </c>
      <c r="B5961" t="inlineStr">
        <is>
          <t>C0960</t>
        </is>
      </c>
      <c r="C5961" t="n">
        <v>2</v>
      </c>
      <c r="D5961" t="inlineStr">
        <is>
          <t>Hub B</t>
        </is>
      </c>
      <c r="E5961" t="n">
        <v>38</v>
      </c>
      <c r="F5961" t="n">
        <v>47.544</v>
      </c>
    </row>
    <row r="5962">
      <c r="A5962" t="inlineStr">
        <is>
          <t>ORD05961</t>
        </is>
      </c>
      <c r="B5962" t="inlineStr">
        <is>
          <t>C0961</t>
        </is>
      </c>
      <c r="C5962" t="n">
        <v>3</v>
      </c>
      <c r="D5962" t="inlineStr">
        <is>
          <t>Hub B</t>
        </is>
      </c>
      <c r="E5962" t="n">
        <v>45</v>
      </c>
      <c r="F5962" t="n">
        <v>47.544</v>
      </c>
    </row>
    <row r="5963">
      <c r="A5963" t="inlineStr">
        <is>
          <t>ORD05962</t>
        </is>
      </c>
      <c r="B5963" t="inlineStr">
        <is>
          <t>C0962</t>
        </is>
      </c>
      <c r="C5963" t="n">
        <v>1</v>
      </c>
      <c r="D5963" t="inlineStr">
        <is>
          <t>Hub B</t>
        </is>
      </c>
      <c r="E5963" t="n">
        <v>52</v>
      </c>
      <c r="F5963" t="n">
        <v>47.544</v>
      </c>
    </row>
    <row r="5964">
      <c r="A5964" t="inlineStr">
        <is>
          <t>ORD05963</t>
        </is>
      </c>
      <c r="B5964" t="inlineStr">
        <is>
          <t>C0963</t>
        </is>
      </c>
      <c r="C5964" t="n">
        <v>2</v>
      </c>
      <c r="D5964" t="inlineStr">
        <is>
          <t>Hub B</t>
        </is>
      </c>
      <c r="E5964" t="n">
        <v>59</v>
      </c>
      <c r="F5964" t="n">
        <v>47.544</v>
      </c>
    </row>
    <row r="5965">
      <c r="A5965" t="inlineStr">
        <is>
          <t>ORD05964</t>
        </is>
      </c>
      <c r="B5965" t="inlineStr">
        <is>
          <t>C0964</t>
        </is>
      </c>
      <c r="C5965" t="n">
        <v>3</v>
      </c>
      <c r="D5965" t="inlineStr">
        <is>
          <t>Hub B</t>
        </is>
      </c>
      <c r="E5965" t="n">
        <v>66</v>
      </c>
      <c r="F5965" t="n">
        <v>47.544</v>
      </c>
    </row>
    <row r="5966">
      <c r="A5966" t="inlineStr">
        <is>
          <t>ORD05965</t>
        </is>
      </c>
      <c r="B5966" t="inlineStr">
        <is>
          <t>C0965</t>
        </is>
      </c>
      <c r="C5966" t="n">
        <v>1</v>
      </c>
      <c r="D5966" t="inlineStr">
        <is>
          <t>Hub B</t>
        </is>
      </c>
      <c r="E5966" t="n">
        <v>73</v>
      </c>
      <c r="F5966" t="n">
        <v>47.544</v>
      </c>
    </row>
    <row r="5967">
      <c r="A5967" t="inlineStr">
        <is>
          <t>ORD05966</t>
        </is>
      </c>
      <c r="B5967" t="inlineStr">
        <is>
          <t>C0966</t>
        </is>
      </c>
      <c r="C5967" t="n">
        <v>2</v>
      </c>
      <c r="D5967" t="inlineStr">
        <is>
          <t>Hub B</t>
        </is>
      </c>
      <c r="E5967" t="n">
        <v>20</v>
      </c>
      <c r="F5967" t="n">
        <v>47.544</v>
      </c>
    </row>
    <row r="5968">
      <c r="A5968" t="inlineStr">
        <is>
          <t>ORD05967</t>
        </is>
      </c>
      <c r="B5968" t="inlineStr">
        <is>
          <t>C0967</t>
        </is>
      </c>
      <c r="C5968" t="n">
        <v>3</v>
      </c>
      <c r="D5968" t="inlineStr">
        <is>
          <t>Hub B</t>
        </is>
      </c>
      <c r="E5968" t="n">
        <v>27</v>
      </c>
      <c r="F5968" t="n">
        <v>47.544</v>
      </c>
    </row>
    <row r="5969">
      <c r="A5969" t="inlineStr">
        <is>
          <t>ORD05968</t>
        </is>
      </c>
      <c r="B5969" t="inlineStr">
        <is>
          <t>C0968</t>
        </is>
      </c>
      <c r="C5969" t="n">
        <v>1</v>
      </c>
      <c r="D5969" t="inlineStr">
        <is>
          <t>Hub B</t>
        </is>
      </c>
      <c r="E5969" t="n">
        <v>34</v>
      </c>
      <c r="F5969" t="n">
        <v>47.544</v>
      </c>
    </row>
    <row r="5970">
      <c r="A5970" t="inlineStr">
        <is>
          <t>ORD05969</t>
        </is>
      </c>
      <c r="B5970" t="inlineStr">
        <is>
          <t>C0969</t>
        </is>
      </c>
      <c r="C5970" t="n">
        <v>2</v>
      </c>
      <c r="D5970" t="inlineStr">
        <is>
          <t>Hub B</t>
        </is>
      </c>
      <c r="E5970" t="n">
        <v>41</v>
      </c>
      <c r="F5970" t="n">
        <v>47.544</v>
      </c>
    </row>
    <row r="5971">
      <c r="A5971" t="inlineStr">
        <is>
          <t>ORD05970</t>
        </is>
      </c>
      <c r="B5971" t="inlineStr">
        <is>
          <t>C0970</t>
        </is>
      </c>
      <c r="C5971" t="n">
        <v>3</v>
      </c>
      <c r="D5971" t="inlineStr">
        <is>
          <t>Hub B</t>
        </is>
      </c>
      <c r="E5971" t="n">
        <v>48</v>
      </c>
      <c r="F5971" t="n">
        <v>47.544</v>
      </c>
    </row>
    <row r="5972">
      <c r="A5972" t="inlineStr">
        <is>
          <t>ORD05971</t>
        </is>
      </c>
      <c r="B5972" t="inlineStr">
        <is>
          <t>C0971</t>
        </is>
      </c>
      <c r="C5972" t="n">
        <v>1</v>
      </c>
      <c r="D5972" t="inlineStr">
        <is>
          <t>Hub B</t>
        </is>
      </c>
      <c r="E5972" t="n">
        <v>55</v>
      </c>
      <c r="F5972" t="n">
        <v>47.544</v>
      </c>
    </row>
    <row r="5973">
      <c r="A5973" t="inlineStr">
        <is>
          <t>ORD05972</t>
        </is>
      </c>
      <c r="B5973" t="inlineStr">
        <is>
          <t>C0972</t>
        </is>
      </c>
      <c r="C5973" t="n">
        <v>2</v>
      </c>
      <c r="D5973" t="inlineStr">
        <is>
          <t>Hub B</t>
        </is>
      </c>
      <c r="E5973" t="n">
        <v>62</v>
      </c>
      <c r="F5973" t="n">
        <v>47.544</v>
      </c>
    </row>
    <row r="5974">
      <c r="A5974" t="inlineStr">
        <is>
          <t>ORD05973</t>
        </is>
      </c>
      <c r="B5974" t="inlineStr">
        <is>
          <t>C0973</t>
        </is>
      </c>
      <c r="C5974" t="n">
        <v>3</v>
      </c>
      <c r="D5974" t="inlineStr">
        <is>
          <t>Hub B</t>
        </is>
      </c>
      <c r="E5974" t="n">
        <v>69</v>
      </c>
      <c r="F5974" t="n">
        <v>47.544</v>
      </c>
    </row>
    <row r="5975">
      <c r="A5975" t="inlineStr">
        <is>
          <t>ORD05974</t>
        </is>
      </c>
      <c r="B5975" t="inlineStr">
        <is>
          <t>C0974</t>
        </is>
      </c>
      <c r="C5975" t="n">
        <v>1</v>
      </c>
      <c r="D5975" t="inlineStr">
        <is>
          <t>Hub B</t>
        </is>
      </c>
      <c r="E5975" t="n">
        <v>76</v>
      </c>
      <c r="F5975" t="n">
        <v>47.544</v>
      </c>
    </row>
    <row r="5976">
      <c r="A5976" t="inlineStr">
        <is>
          <t>ORD05975</t>
        </is>
      </c>
      <c r="B5976" t="inlineStr">
        <is>
          <t>C0975</t>
        </is>
      </c>
      <c r="C5976" t="n">
        <v>2</v>
      </c>
      <c r="D5976" t="inlineStr">
        <is>
          <t>Hub B</t>
        </is>
      </c>
      <c r="E5976" t="n">
        <v>23</v>
      </c>
      <c r="F5976" t="n">
        <v>47.544</v>
      </c>
    </row>
    <row r="5977">
      <c r="A5977" t="inlineStr">
        <is>
          <t>ORD05976</t>
        </is>
      </c>
      <c r="B5977" t="inlineStr">
        <is>
          <t>C0976</t>
        </is>
      </c>
      <c r="C5977" t="n">
        <v>3</v>
      </c>
      <c r="D5977" t="inlineStr">
        <is>
          <t>Hub B</t>
        </is>
      </c>
      <c r="E5977" t="n">
        <v>30</v>
      </c>
      <c r="F5977" t="n">
        <v>47.544</v>
      </c>
    </row>
    <row r="5978">
      <c r="A5978" t="inlineStr">
        <is>
          <t>ORD05977</t>
        </is>
      </c>
      <c r="B5978" t="inlineStr">
        <is>
          <t>C0977</t>
        </is>
      </c>
      <c r="C5978" t="n">
        <v>1</v>
      </c>
      <c r="D5978" t="inlineStr">
        <is>
          <t>Hub B</t>
        </is>
      </c>
      <c r="E5978" t="n">
        <v>37</v>
      </c>
      <c r="F5978" t="n">
        <v>47.544</v>
      </c>
    </row>
    <row r="5979">
      <c r="A5979" t="inlineStr">
        <is>
          <t>ORD05978</t>
        </is>
      </c>
      <c r="B5979" t="inlineStr">
        <is>
          <t>C0978</t>
        </is>
      </c>
      <c r="C5979" t="n">
        <v>2</v>
      </c>
      <c r="D5979" t="inlineStr">
        <is>
          <t>Hub B</t>
        </is>
      </c>
      <c r="E5979" t="n">
        <v>44</v>
      </c>
      <c r="F5979" t="n">
        <v>47.544</v>
      </c>
    </row>
    <row r="5980">
      <c r="A5980" t="inlineStr">
        <is>
          <t>ORD05979</t>
        </is>
      </c>
      <c r="B5980" t="inlineStr">
        <is>
          <t>C0979</t>
        </is>
      </c>
      <c r="C5980" t="n">
        <v>3</v>
      </c>
      <c r="D5980" t="inlineStr">
        <is>
          <t>Hub B</t>
        </is>
      </c>
      <c r="E5980" t="n">
        <v>51</v>
      </c>
      <c r="F5980" t="n">
        <v>47.544</v>
      </c>
    </row>
    <row r="5981">
      <c r="A5981" t="inlineStr">
        <is>
          <t>ORD05980</t>
        </is>
      </c>
      <c r="B5981" t="inlineStr">
        <is>
          <t>C0980</t>
        </is>
      </c>
      <c r="C5981" t="n">
        <v>1</v>
      </c>
      <c r="D5981" t="inlineStr">
        <is>
          <t>Hub B</t>
        </is>
      </c>
      <c r="E5981" t="n">
        <v>58</v>
      </c>
      <c r="F5981" t="n">
        <v>47.544</v>
      </c>
    </row>
    <row r="5982">
      <c r="A5982" t="inlineStr">
        <is>
          <t>ORD05981</t>
        </is>
      </c>
      <c r="B5982" t="inlineStr">
        <is>
          <t>C0981</t>
        </is>
      </c>
      <c r="C5982" t="n">
        <v>2</v>
      </c>
      <c r="D5982" t="inlineStr">
        <is>
          <t>Hub B</t>
        </is>
      </c>
      <c r="E5982" t="n">
        <v>65</v>
      </c>
      <c r="F5982" t="n">
        <v>47.544</v>
      </c>
    </row>
    <row r="5983">
      <c r="A5983" t="inlineStr">
        <is>
          <t>ORD05982</t>
        </is>
      </c>
      <c r="B5983" t="inlineStr">
        <is>
          <t>C0982</t>
        </is>
      </c>
      <c r="C5983" t="n">
        <v>3</v>
      </c>
      <c r="D5983" t="inlineStr">
        <is>
          <t>Hub B</t>
        </is>
      </c>
      <c r="E5983" t="n">
        <v>72</v>
      </c>
      <c r="F5983" t="n">
        <v>47.544</v>
      </c>
    </row>
    <row r="5984">
      <c r="A5984" t="inlineStr">
        <is>
          <t>ORD05983</t>
        </is>
      </c>
      <c r="B5984" t="inlineStr">
        <is>
          <t>C0983</t>
        </is>
      </c>
      <c r="C5984" t="n">
        <v>1</v>
      </c>
      <c r="D5984" t="inlineStr">
        <is>
          <t>Hub B</t>
        </is>
      </c>
      <c r="E5984" t="n">
        <v>19</v>
      </c>
      <c r="F5984" t="n">
        <v>47.544</v>
      </c>
    </row>
    <row r="5985">
      <c r="A5985" t="inlineStr">
        <is>
          <t>ORD05984</t>
        </is>
      </c>
      <c r="B5985" t="inlineStr">
        <is>
          <t>C0984</t>
        </is>
      </c>
      <c r="C5985" t="n">
        <v>2</v>
      </c>
      <c r="D5985" t="inlineStr">
        <is>
          <t>Hub B</t>
        </is>
      </c>
      <c r="E5985" t="n">
        <v>26</v>
      </c>
      <c r="F5985" t="n">
        <v>47.544</v>
      </c>
    </row>
    <row r="5986">
      <c r="A5986" t="inlineStr">
        <is>
          <t>ORD05985</t>
        </is>
      </c>
      <c r="B5986" t="inlineStr">
        <is>
          <t>C0985</t>
        </is>
      </c>
      <c r="C5986" t="n">
        <v>3</v>
      </c>
      <c r="D5986" t="inlineStr">
        <is>
          <t>Hub B</t>
        </is>
      </c>
      <c r="E5986" t="n">
        <v>33</v>
      </c>
      <c r="F5986" t="n">
        <v>47.544</v>
      </c>
    </row>
    <row r="5987">
      <c r="A5987" t="inlineStr">
        <is>
          <t>ORD05986</t>
        </is>
      </c>
      <c r="B5987" t="inlineStr">
        <is>
          <t>C0986</t>
        </is>
      </c>
      <c r="C5987" t="n">
        <v>1</v>
      </c>
      <c r="D5987" t="inlineStr">
        <is>
          <t>Hub B</t>
        </is>
      </c>
      <c r="E5987" t="n">
        <v>40</v>
      </c>
      <c r="F5987" t="n">
        <v>47.544</v>
      </c>
    </row>
    <row r="5988">
      <c r="A5988" t="inlineStr">
        <is>
          <t>ORD05987</t>
        </is>
      </c>
      <c r="B5988" t="inlineStr">
        <is>
          <t>C0987</t>
        </is>
      </c>
      <c r="C5988" t="n">
        <v>2</v>
      </c>
      <c r="D5988" t="inlineStr">
        <is>
          <t>Hub B</t>
        </is>
      </c>
      <c r="E5988" t="n">
        <v>47</v>
      </c>
      <c r="F5988" t="n">
        <v>47.544</v>
      </c>
    </row>
    <row r="5989">
      <c r="A5989" t="inlineStr">
        <is>
          <t>ORD05988</t>
        </is>
      </c>
      <c r="B5989" t="inlineStr">
        <is>
          <t>C0988</t>
        </is>
      </c>
      <c r="C5989" t="n">
        <v>3</v>
      </c>
      <c r="D5989" t="inlineStr">
        <is>
          <t>Hub B</t>
        </is>
      </c>
      <c r="E5989" t="n">
        <v>54</v>
      </c>
      <c r="F5989" t="n">
        <v>47.544</v>
      </c>
    </row>
    <row r="5990">
      <c r="A5990" t="inlineStr">
        <is>
          <t>ORD05989</t>
        </is>
      </c>
      <c r="B5990" t="inlineStr">
        <is>
          <t>C0989</t>
        </is>
      </c>
      <c r="C5990" t="n">
        <v>1</v>
      </c>
      <c r="D5990" t="inlineStr">
        <is>
          <t>Hub B</t>
        </is>
      </c>
      <c r="E5990" t="n">
        <v>61</v>
      </c>
      <c r="F5990" t="n">
        <v>47.544</v>
      </c>
    </row>
    <row r="5991">
      <c r="A5991" t="inlineStr">
        <is>
          <t>ORD05990</t>
        </is>
      </c>
      <c r="B5991" t="inlineStr">
        <is>
          <t>C0990</t>
        </is>
      </c>
      <c r="C5991" t="n">
        <v>2</v>
      </c>
      <c r="D5991" t="inlineStr">
        <is>
          <t>Hub B</t>
        </is>
      </c>
      <c r="E5991" t="n">
        <v>68</v>
      </c>
      <c r="F5991" t="n">
        <v>47.544</v>
      </c>
    </row>
    <row r="5992">
      <c r="A5992" t="inlineStr">
        <is>
          <t>ORD05991</t>
        </is>
      </c>
      <c r="B5992" t="inlineStr">
        <is>
          <t>C0991</t>
        </is>
      </c>
      <c r="C5992" t="n">
        <v>3</v>
      </c>
      <c r="D5992" t="inlineStr">
        <is>
          <t>Hub B</t>
        </is>
      </c>
      <c r="E5992" t="n">
        <v>75</v>
      </c>
      <c r="F5992" t="n">
        <v>47.544</v>
      </c>
    </row>
    <row r="5993">
      <c r="A5993" t="inlineStr">
        <is>
          <t>ORD05992</t>
        </is>
      </c>
      <c r="B5993" t="inlineStr">
        <is>
          <t>C0992</t>
        </is>
      </c>
      <c r="C5993" t="n">
        <v>1</v>
      </c>
      <c r="D5993" t="inlineStr">
        <is>
          <t>Hub B</t>
        </is>
      </c>
      <c r="E5993" t="n">
        <v>22</v>
      </c>
      <c r="F5993" t="n">
        <v>47.544</v>
      </c>
    </row>
    <row r="5994">
      <c r="A5994" t="inlineStr">
        <is>
          <t>ORD05993</t>
        </is>
      </c>
      <c r="B5994" t="inlineStr">
        <is>
          <t>C0993</t>
        </is>
      </c>
      <c r="C5994" t="n">
        <v>2</v>
      </c>
      <c r="D5994" t="inlineStr">
        <is>
          <t>Hub B</t>
        </is>
      </c>
      <c r="E5994" t="n">
        <v>29</v>
      </c>
      <c r="F5994" t="n">
        <v>47.544</v>
      </c>
    </row>
    <row r="5995">
      <c r="A5995" t="inlineStr">
        <is>
          <t>ORD05994</t>
        </is>
      </c>
      <c r="B5995" t="inlineStr">
        <is>
          <t>C0994</t>
        </is>
      </c>
      <c r="C5995" t="n">
        <v>3</v>
      </c>
      <c r="D5995" t="inlineStr">
        <is>
          <t>Hub B</t>
        </is>
      </c>
      <c r="E5995" t="n">
        <v>36</v>
      </c>
      <c r="F5995" t="n">
        <v>47.544</v>
      </c>
    </row>
    <row r="5996">
      <c r="A5996" t="inlineStr">
        <is>
          <t>ORD05995</t>
        </is>
      </c>
      <c r="B5996" t="inlineStr">
        <is>
          <t>C0995</t>
        </is>
      </c>
      <c r="C5996" t="n">
        <v>1</v>
      </c>
      <c r="D5996" t="inlineStr">
        <is>
          <t>Hub B</t>
        </is>
      </c>
      <c r="E5996" t="n">
        <v>43</v>
      </c>
      <c r="F5996" t="n">
        <v>47.544</v>
      </c>
    </row>
    <row r="5997">
      <c r="A5997" t="inlineStr">
        <is>
          <t>ORD05996</t>
        </is>
      </c>
      <c r="B5997" t="inlineStr">
        <is>
          <t>C0996</t>
        </is>
      </c>
      <c r="C5997" t="n">
        <v>2</v>
      </c>
      <c r="D5997" t="inlineStr">
        <is>
          <t>Hub B</t>
        </is>
      </c>
      <c r="E5997" t="n">
        <v>50</v>
      </c>
      <c r="F5997" t="n">
        <v>47.544</v>
      </c>
    </row>
    <row r="5998">
      <c r="A5998" t="inlineStr">
        <is>
          <t>ORD05997</t>
        </is>
      </c>
      <c r="B5998" t="inlineStr">
        <is>
          <t>C0997</t>
        </is>
      </c>
      <c r="C5998" t="n">
        <v>3</v>
      </c>
      <c r="D5998" t="inlineStr">
        <is>
          <t>Hub B</t>
        </is>
      </c>
      <c r="E5998" t="n">
        <v>57</v>
      </c>
      <c r="F5998" t="n">
        <v>47.544</v>
      </c>
    </row>
    <row r="5999">
      <c r="A5999" t="inlineStr">
        <is>
          <t>ORD05998</t>
        </is>
      </c>
      <c r="B5999" t="inlineStr">
        <is>
          <t>C0998</t>
        </is>
      </c>
      <c r="C5999" t="n">
        <v>1</v>
      </c>
      <c r="D5999" t="inlineStr">
        <is>
          <t>Hub B</t>
        </is>
      </c>
      <c r="E5999" t="n">
        <v>64</v>
      </c>
      <c r="F5999" t="n">
        <v>47.544</v>
      </c>
    </row>
    <row r="6000">
      <c r="A6000" t="inlineStr">
        <is>
          <t>ORD05999</t>
        </is>
      </c>
      <c r="B6000" t="inlineStr">
        <is>
          <t>C0999</t>
        </is>
      </c>
      <c r="C6000" t="n">
        <v>2</v>
      </c>
      <c r="D6000" t="inlineStr">
        <is>
          <t>Hub B</t>
        </is>
      </c>
      <c r="E6000" t="n">
        <v>71</v>
      </c>
      <c r="F6000" t="n">
        <v>47.544</v>
      </c>
    </row>
    <row r="6001">
      <c r="A6001" t="inlineStr">
        <is>
          <t>ORD06000</t>
        </is>
      </c>
      <c r="B6001" t="inlineStr">
        <is>
          <t>C1000</t>
        </is>
      </c>
      <c r="C6001" t="n">
        <v>3</v>
      </c>
      <c r="D6001" t="inlineStr">
        <is>
          <t>Hub B</t>
        </is>
      </c>
      <c r="E6001" t="n">
        <v>18</v>
      </c>
      <c r="F6001" t="n">
        <v>47.544</v>
      </c>
    </row>
    <row r="6002">
      <c r="A6002" t="inlineStr">
        <is>
          <t>ORD06001</t>
        </is>
      </c>
      <c r="B6002" t="inlineStr">
        <is>
          <t>C1001</t>
        </is>
      </c>
      <c r="C6002" t="n">
        <v>1</v>
      </c>
      <c r="D6002" t="inlineStr">
        <is>
          <t>Hub B</t>
        </is>
      </c>
      <c r="E6002" t="n">
        <v>25</v>
      </c>
      <c r="F6002" t="n">
        <v>47.544</v>
      </c>
    </row>
    <row r="6003">
      <c r="A6003" t="inlineStr">
        <is>
          <t>ORD06002</t>
        </is>
      </c>
      <c r="B6003" t="inlineStr">
        <is>
          <t>C1002</t>
        </is>
      </c>
      <c r="C6003" t="n">
        <v>2</v>
      </c>
      <c r="D6003" t="inlineStr">
        <is>
          <t>Hub B</t>
        </is>
      </c>
      <c r="E6003" t="n">
        <v>32</v>
      </c>
      <c r="F6003" t="n">
        <v>47.544</v>
      </c>
    </row>
    <row r="6004">
      <c r="A6004" t="inlineStr">
        <is>
          <t>ORD06003</t>
        </is>
      </c>
      <c r="B6004" t="inlineStr">
        <is>
          <t>C1003</t>
        </is>
      </c>
      <c r="C6004" t="n">
        <v>3</v>
      </c>
      <c r="D6004" t="inlineStr">
        <is>
          <t>Hub B</t>
        </is>
      </c>
      <c r="E6004" t="n">
        <v>39</v>
      </c>
      <c r="F6004" t="n">
        <v>47.544</v>
      </c>
    </row>
    <row r="6005">
      <c r="A6005" t="inlineStr">
        <is>
          <t>ORD06004</t>
        </is>
      </c>
      <c r="B6005" t="inlineStr">
        <is>
          <t>C1004</t>
        </is>
      </c>
      <c r="C6005" t="n">
        <v>1</v>
      </c>
      <c r="D6005" t="inlineStr">
        <is>
          <t>Hub B</t>
        </is>
      </c>
      <c r="E6005" t="n">
        <v>46</v>
      </c>
      <c r="F6005" t="n">
        <v>47.544</v>
      </c>
    </row>
    <row r="6006">
      <c r="A6006" t="inlineStr">
        <is>
          <t>ORD06005</t>
        </is>
      </c>
      <c r="B6006" t="inlineStr">
        <is>
          <t>C1005</t>
        </is>
      </c>
      <c r="C6006" t="n">
        <v>2</v>
      </c>
      <c r="D6006" t="inlineStr">
        <is>
          <t>Hub B</t>
        </is>
      </c>
      <c r="E6006" t="n">
        <v>53</v>
      </c>
      <c r="F6006" t="n">
        <v>47.544</v>
      </c>
    </row>
    <row r="6007">
      <c r="A6007" t="inlineStr">
        <is>
          <t>ORD06006</t>
        </is>
      </c>
      <c r="B6007" t="inlineStr">
        <is>
          <t>C1006</t>
        </is>
      </c>
      <c r="C6007" t="n">
        <v>3</v>
      </c>
      <c r="D6007" t="inlineStr">
        <is>
          <t>Hub B</t>
        </is>
      </c>
      <c r="E6007" t="n">
        <v>60</v>
      </c>
      <c r="F6007" t="n">
        <v>47.544</v>
      </c>
    </row>
    <row r="6008">
      <c r="A6008" t="inlineStr">
        <is>
          <t>ORD06007</t>
        </is>
      </c>
      <c r="B6008" t="inlineStr">
        <is>
          <t>C1007</t>
        </is>
      </c>
      <c r="C6008" t="n">
        <v>1</v>
      </c>
      <c r="D6008" t="inlineStr">
        <is>
          <t>Hub B</t>
        </is>
      </c>
      <c r="E6008" t="n">
        <v>67</v>
      </c>
      <c r="F6008" t="n">
        <v>47.544</v>
      </c>
    </row>
    <row r="6009">
      <c r="A6009" t="inlineStr">
        <is>
          <t>ORD06008</t>
        </is>
      </c>
      <c r="B6009" t="inlineStr">
        <is>
          <t>C1008</t>
        </is>
      </c>
      <c r="C6009" t="n">
        <v>2</v>
      </c>
      <c r="D6009" t="inlineStr">
        <is>
          <t>Hub B</t>
        </is>
      </c>
      <c r="E6009" t="n">
        <v>74</v>
      </c>
      <c r="F6009" t="n">
        <v>47.544</v>
      </c>
    </row>
    <row r="6010">
      <c r="A6010" t="inlineStr">
        <is>
          <t>ORD06009</t>
        </is>
      </c>
      <c r="B6010" t="inlineStr">
        <is>
          <t>C1009</t>
        </is>
      </c>
      <c r="C6010" t="n">
        <v>3</v>
      </c>
      <c r="D6010" t="inlineStr">
        <is>
          <t>Hub B</t>
        </is>
      </c>
      <c r="E6010" t="n">
        <v>21</v>
      </c>
      <c r="F6010" t="n">
        <v>47.544</v>
      </c>
    </row>
    <row r="6011">
      <c r="A6011" t="inlineStr">
        <is>
          <t>ORD06010</t>
        </is>
      </c>
      <c r="B6011" t="inlineStr">
        <is>
          <t>C1010</t>
        </is>
      </c>
      <c r="C6011" t="n">
        <v>1</v>
      </c>
      <c r="D6011" t="inlineStr">
        <is>
          <t>Hub B</t>
        </is>
      </c>
      <c r="E6011" t="n">
        <v>28</v>
      </c>
      <c r="F6011" t="n">
        <v>47.544</v>
      </c>
    </row>
    <row r="6012">
      <c r="A6012" t="inlineStr">
        <is>
          <t>ORD06011</t>
        </is>
      </c>
      <c r="B6012" t="inlineStr">
        <is>
          <t>C1011</t>
        </is>
      </c>
      <c r="C6012" t="n">
        <v>2</v>
      </c>
      <c r="D6012" t="inlineStr">
        <is>
          <t>Hub B</t>
        </is>
      </c>
      <c r="E6012" t="n">
        <v>35</v>
      </c>
      <c r="F6012" t="n">
        <v>47.544</v>
      </c>
    </row>
    <row r="6013">
      <c r="A6013" t="inlineStr">
        <is>
          <t>ORD06012</t>
        </is>
      </c>
      <c r="B6013" t="inlineStr">
        <is>
          <t>C1012</t>
        </is>
      </c>
      <c r="C6013" t="n">
        <v>3</v>
      </c>
      <c r="D6013" t="inlineStr">
        <is>
          <t>Hub B</t>
        </is>
      </c>
      <c r="E6013" t="n">
        <v>42</v>
      </c>
      <c r="F6013" t="n">
        <v>47.544</v>
      </c>
    </row>
    <row r="6014">
      <c r="A6014" t="inlineStr">
        <is>
          <t>ORD06013</t>
        </is>
      </c>
      <c r="B6014" t="inlineStr">
        <is>
          <t>C1013</t>
        </is>
      </c>
      <c r="C6014" t="n">
        <v>1</v>
      </c>
      <c r="D6014" t="inlineStr">
        <is>
          <t>Hub B</t>
        </is>
      </c>
      <c r="E6014" t="n">
        <v>49</v>
      </c>
      <c r="F6014" t="n">
        <v>47.544</v>
      </c>
    </row>
    <row r="6015">
      <c r="A6015" t="inlineStr">
        <is>
          <t>ORD06014</t>
        </is>
      </c>
      <c r="B6015" t="inlineStr">
        <is>
          <t>C1014</t>
        </is>
      </c>
      <c r="C6015" t="n">
        <v>2</v>
      </c>
      <c r="D6015" t="inlineStr">
        <is>
          <t>Hub B</t>
        </is>
      </c>
      <c r="E6015" t="n">
        <v>56</v>
      </c>
      <c r="F6015" t="n">
        <v>47.544</v>
      </c>
    </row>
    <row r="6016">
      <c r="A6016" t="inlineStr">
        <is>
          <t>ORD06015</t>
        </is>
      </c>
      <c r="B6016" t="inlineStr">
        <is>
          <t>C1015</t>
        </is>
      </c>
      <c r="C6016" t="n">
        <v>3</v>
      </c>
      <c r="D6016" t="inlineStr">
        <is>
          <t>Hub B</t>
        </is>
      </c>
      <c r="E6016" t="n">
        <v>63</v>
      </c>
      <c r="F6016" t="n">
        <v>47.544</v>
      </c>
    </row>
    <row r="6017">
      <c r="A6017" t="inlineStr">
        <is>
          <t>ORD06016</t>
        </is>
      </c>
      <c r="B6017" t="inlineStr">
        <is>
          <t>C1016</t>
        </is>
      </c>
      <c r="C6017" t="n">
        <v>1</v>
      </c>
      <c r="D6017" t="inlineStr">
        <is>
          <t>Hub B</t>
        </is>
      </c>
      <c r="E6017" t="n">
        <v>70</v>
      </c>
      <c r="F6017" t="n">
        <v>47.544</v>
      </c>
    </row>
    <row r="6018">
      <c r="A6018" t="inlineStr">
        <is>
          <t>ORD06017</t>
        </is>
      </c>
      <c r="B6018" t="inlineStr">
        <is>
          <t>C1017</t>
        </is>
      </c>
      <c r="C6018" t="n">
        <v>2</v>
      </c>
      <c r="D6018" t="inlineStr">
        <is>
          <t>Hub B</t>
        </is>
      </c>
      <c r="E6018" t="n">
        <v>77</v>
      </c>
      <c r="F6018" t="n">
        <v>47.544</v>
      </c>
    </row>
    <row r="6019">
      <c r="A6019" t="inlineStr">
        <is>
          <t>ORD06018</t>
        </is>
      </c>
      <c r="B6019" t="inlineStr">
        <is>
          <t>C1018</t>
        </is>
      </c>
      <c r="C6019" t="n">
        <v>3</v>
      </c>
      <c r="D6019" t="inlineStr">
        <is>
          <t>Hub B</t>
        </is>
      </c>
      <c r="E6019" t="n">
        <v>24</v>
      </c>
      <c r="F6019" t="n">
        <v>47.544</v>
      </c>
    </row>
    <row r="6020">
      <c r="A6020" t="inlineStr">
        <is>
          <t>ORD06019</t>
        </is>
      </c>
      <c r="B6020" t="inlineStr">
        <is>
          <t>C1019</t>
        </is>
      </c>
      <c r="C6020" t="n">
        <v>1</v>
      </c>
      <c r="D6020" t="inlineStr">
        <is>
          <t>Hub B</t>
        </is>
      </c>
      <c r="E6020" t="n">
        <v>31</v>
      </c>
      <c r="F6020" t="n">
        <v>47.544</v>
      </c>
    </row>
    <row r="6021">
      <c r="A6021" t="inlineStr">
        <is>
          <t>ORD06020</t>
        </is>
      </c>
      <c r="B6021" t="inlineStr">
        <is>
          <t>C1020</t>
        </is>
      </c>
      <c r="C6021" t="n">
        <v>2</v>
      </c>
      <c r="D6021" t="inlineStr">
        <is>
          <t>Hub B</t>
        </is>
      </c>
      <c r="E6021" t="n">
        <v>38</v>
      </c>
      <c r="F6021" t="n">
        <v>47.544</v>
      </c>
    </row>
    <row r="6022">
      <c r="A6022" t="inlineStr">
        <is>
          <t>ORD06021</t>
        </is>
      </c>
      <c r="B6022" t="inlineStr">
        <is>
          <t>C1021</t>
        </is>
      </c>
      <c r="C6022" t="n">
        <v>3</v>
      </c>
      <c r="D6022" t="inlineStr">
        <is>
          <t>Hub B</t>
        </is>
      </c>
      <c r="E6022" t="n">
        <v>45</v>
      </c>
      <c r="F6022" t="n">
        <v>47.544</v>
      </c>
    </row>
    <row r="6023">
      <c r="A6023" t="inlineStr">
        <is>
          <t>ORD06022</t>
        </is>
      </c>
      <c r="B6023" t="inlineStr">
        <is>
          <t>C1022</t>
        </is>
      </c>
      <c r="C6023" t="n">
        <v>1</v>
      </c>
      <c r="D6023" t="inlineStr">
        <is>
          <t>Hub B</t>
        </is>
      </c>
      <c r="E6023" t="n">
        <v>52</v>
      </c>
      <c r="F6023" t="n">
        <v>47.544</v>
      </c>
    </row>
    <row r="6024">
      <c r="A6024" t="inlineStr">
        <is>
          <t>ORD06023</t>
        </is>
      </c>
      <c r="B6024" t="inlineStr">
        <is>
          <t>C1023</t>
        </is>
      </c>
      <c r="C6024" t="n">
        <v>2</v>
      </c>
      <c r="D6024" t="inlineStr">
        <is>
          <t>Hub B</t>
        </is>
      </c>
      <c r="E6024" t="n">
        <v>59</v>
      </c>
      <c r="F6024" t="n">
        <v>47.544</v>
      </c>
    </row>
    <row r="6025">
      <c r="A6025" t="inlineStr">
        <is>
          <t>ORD06024</t>
        </is>
      </c>
      <c r="B6025" t="inlineStr">
        <is>
          <t>C1024</t>
        </is>
      </c>
      <c r="C6025" t="n">
        <v>3</v>
      </c>
      <c r="D6025" t="inlineStr">
        <is>
          <t>Hub B</t>
        </is>
      </c>
      <c r="E6025" t="n">
        <v>66</v>
      </c>
      <c r="F6025" t="n">
        <v>47.544</v>
      </c>
    </row>
    <row r="6026">
      <c r="A6026" t="inlineStr">
        <is>
          <t>ORD06025</t>
        </is>
      </c>
      <c r="B6026" t="inlineStr">
        <is>
          <t>C1025</t>
        </is>
      </c>
      <c r="C6026" t="n">
        <v>1</v>
      </c>
      <c r="D6026" t="inlineStr">
        <is>
          <t>Hub B</t>
        </is>
      </c>
      <c r="E6026" t="n">
        <v>73</v>
      </c>
      <c r="F6026" t="n">
        <v>47.544</v>
      </c>
    </row>
    <row r="6027">
      <c r="A6027" t="inlineStr">
        <is>
          <t>ORD06026</t>
        </is>
      </c>
      <c r="B6027" t="inlineStr">
        <is>
          <t>C1026</t>
        </is>
      </c>
      <c r="C6027" t="n">
        <v>2</v>
      </c>
      <c r="D6027" t="inlineStr">
        <is>
          <t>Hub B</t>
        </is>
      </c>
      <c r="E6027" t="n">
        <v>20</v>
      </c>
      <c r="F6027" t="n">
        <v>47.544</v>
      </c>
    </row>
    <row r="6028">
      <c r="A6028" t="inlineStr">
        <is>
          <t>ORD06027</t>
        </is>
      </c>
      <c r="B6028" t="inlineStr">
        <is>
          <t>C1027</t>
        </is>
      </c>
      <c r="C6028" t="n">
        <v>3</v>
      </c>
      <c r="D6028" t="inlineStr">
        <is>
          <t>Hub B</t>
        </is>
      </c>
      <c r="E6028" t="n">
        <v>27</v>
      </c>
      <c r="F6028" t="n">
        <v>47.544</v>
      </c>
    </row>
    <row r="6029">
      <c r="A6029" t="inlineStr">
        <is>
          <t>ORD06028</t>
        </is>
      </c>
      <c r="B6029" t="inlineStr">
        <is>
          <t>C1028</t>
        </is>
      </c>
      <c r="C6029" t="n">
        <v>1</v>
      </c>
      <c r="D6029" t="inlineStr">
        <is>
          <t>Hub B</t>
        </is>
      </c>
      <c r="E6029" t="n">
        <v>34</v>
      </c>
      <c r="F6029" t="n">
        <v>47.544</v>
      </c>
    </row>
    <row r="6030">
      <c r="A6030" t="inlineStr">
        <is>
          <t>ORD06029</t>
        </is>
      </c>
      <c r="B6030" t="inlineStr">
        <is>
          <t>C1029</t>
        </is>
      </c>
      <c r="C6030" t="n">
        <v>2</v>
      </c>
      <c r="D6030" t="inlineStr">
        <is>
          <t>Hub B</t>
        </is>
      </c>
      <c r="E6030" t="n">
        <v>41</v>
      </c>
      <c r="F6030" t="n">
        <v>47.544</v>
      </c>
    </row>
    <row r="6031">
      <c r="A6031" t="inlineStr">
        <is>
          <t>ORD06030</t>
        </is>
      </c>
      <c r="B6031" t="inlineStr">
        <is>
          <t>C1030</t>
        </is>
      </c>
      <c r="C6031" t="n">
        <v>3</v>
      </c>
      <c r="D6031" t="inlineStr">
        <is>
          <t>Hub B</t>
        </is>
      </c>
      <c r="E6031" t="n">
        <v>48</v>
      </c>
      <c r="F6031" t="n">
        <v>47.544</v>
      </c>
    </row>
    <row r="6032">
      <c r="A6032" t="inlineStr">
        <is>
          <t>ORD06031</t>
        </is>
      </c>
      <c r="B6032" t="inlineStr">
        <is>
          <t>C1031</t>
        </is>
      </c>
      <c r="C6032" t="n">
        <v>1</v>
      </c>
      <c r="D6032" t="inlineStr">
        <is>
          <t>Hub B</t>
        </is>
      </c>
      <c r="E6032" t="n">
        <v>55</v>
      </c>
      <c r="F6032" t="n">
        <v>47.544</v>
      </c>
    </row>
    <row r="6033">
      <c r="A6033" t="inlineStr">
        <is>
          <t>ORD06032</t>
        </is>
      </c>
      <c r="B6033" t="inlineStr">
        <is>
          <t>C1032</t>
        </is>
      </c>
      <c r="C6033" t="n">
        <v>2</v>
      </c>
      <c r="D6033" t="inlineStr">
        <is>
          <t>Hub B</t>
        </is>
      </c>
      <c r="E6033" t="n">
        <v>62</v>
      </c>
      <c r="F6033" t="n">
        <v>47.544</v>
      </c>
    </row>
    <row r="6034">
      <c r="A6034" t="inlineStr">
        <is>
          <t>ORD06033</t>
        </is>
      </c>
      <c r="B6034" t="inlineStr">
        <is>
          <t>C1033</t>
        </is>
      </c>
      <c r="C6034" t="n">
        <v>3</v>
      </c>
      <c r="D6034" t="inlineStr">
        <is>
          <t>Hub B</t>
        </is>
      </c>
      <c r="E6034" t="n">
        <v>69</v>
      </c>
      <c r="F6034" t="n">
        <v>47.544</v>
      </c>
    </row>
    <row r="6035">
      <c r="A6035" t="inlineStr">
        <is>
          <t>ORD06034</t>
        </is>
      </c>
      <c r="B6035" t="inlineStr">
        <is>
          <t>C1034</t>
        </is>
      </c>
      <c r="C6035" t="n">
        <v>1</v>
      </c>
      <c r="D6035" t="inlineStr">
        <is>
          <t>Hub B</t>
        </is>
      </c>
      <c r="E6035" t="n">
        <v>76</v>
      </c>
      <c r="F6035" t="n">
        <v>47.544</v>
      </c>
    </row>
    <row r="6036">
      <c r="A6036" t="inlineStr">
        <is>
          <t>ORD06035</t>
        </is>
      </c>
      <c r="B6036" t="inlineStr">
        <is>
          <t>C1035</t>
        </is>
      </c>
      <c r="C6036" t="n">
        <v>2</v>
      </c>
      <c r="D6036" t="inlineStr">
        <is>
          <t>Hub B</t>
        </is>
      </c>
      <c r="E6036" t="n">
        <v>23</v>
      </c>
      <c r="F6036" t="n">
        <v>47.544</v>
      </c>
    </row>
    <row r="6037">
      <c r="A6037" t="inlineStr">
        <is>
          <t>ORD06036</t>
        </is>
      </c>
      <c r="B6037" t="inlineStr">
        <is>
          <t>C1036</t>
        </is>
      </c>
      <c r="C6037" t="n">
        <v>3</v>
      </c>
      <c r="D6037" t="inlineStr">
        <is>
          <t>Hub B</t>
        </is>
      </c>
      <c r="E6037" t="n">
        <v>30</v>
      </c>
      <c r="F6037" t="n">
        <v>47.544</v>
      </c>
    </row>
    <row r="6038">
      <c r="A6038" t="inlineStr">
        <is>
          <t>ORD06037</t>
        </is>
      </c>
      <c r="B6038" t="inlineStr">
        <is>
          <t>C1037</t>
        </is>
      </c>
      <c r="C6038" t="n">
        <v>1</v>
      </c>
      <c r="D6038" t="inlineStr">
        <is>
          <t>Hub B</t>
        </is>
      </c>
      <c r="E6038" t="n">
        <v>37</v>
      </c>
      <c r="F6038" t="n">
        <v>47.544</v>
      </c>
    </row>
    <row r="6039">
      <c r="A6039" t="inlineStr">
        <is>
          <t>ORD06038</t>
        </is>
      </c>
      <c r="B6039" t="inlineStr">
        <is>
          <t>C1038</t>
        </is>
      </c>
      <c r="C6039" t="n">
        <v>2</v>
      </c>
      <c r="D6039" t="inlineStr">
        <is>
          <t>Hub B</t>
        </is>
      </c>
      <c r="E6039" t="n">
        <v>44</v>
      </c>
      <c r="F6039" t="n">
        <v>47.544</v>
      </c>
    </row>
    <row r="6040">
      <c r="A6040" t="inlineStr">
        <is>
          <t>ORD06039</t>
        </is>
      </c>
      <c r="B6040" t="inlineStr">
        <is>
          <t>C1039</t>
        </is>
      </c>
      <c r="C6040" t="n">
        <v>3</v>
      </c>
      <c r="D6040" t="inlineStr">
        <is>
          <t>Hub B</t>
        </is>
      </c>
      <c r="E6040" t="n">
        <v>51</v>
      </c>
      <c r="F6040" t="n">
        <v>47.544</v>
      </c>
    </row>
    <row r="6041">
      <c r="A6041" t="inlineStr">
        <is>
          <t>ORD06040</t>
        </is>
      </c>
      <c r="B6041" t="inlineStr">
        <is>
          <t>C1040</t>
        </is>
      </c>
      <c r="C6041" t="n">
        <v>1</v>
      </c>
      <c r="D6041" t="inlineStr">
        <is>
          <t>Hub B</t>
        </is>
      </c>
      <c r="E6041" t="n">
        <v>58</v>
      </c>
      <c r="F6041" t="n">
        <v>47.544</v>
      </c>
    </row>
    <row r="6042">
      <c r="A6042" t="inlineStr">
        <is>
          <t>ORD06041</t>
        </is>
      </c>
      <c r="B6042" t="inlineStr">
        <is>
          <t>C1041</t>
        </is>
      </c>
      <c r="C6042" t="n">
        <v>2</v>
      </c>
      <c r="D6042" t="inlineStr">
        <is>
          <t>Hub B</t>
        </is>
      </c>
      <c r="E6042" t="n">
        <v>65</v>
      </c>
      <c r="F6042" t="n">
        <v>47.544</v>
      </c>
    </row>
    <row r="6043">
      <c r="A6043" t="inlineStr">
        <is>
          <t>ORD06042</t>
        </is>
      </c>
      <c r="B6043" t="inlineStr">
        <is>
          <t>C1042</t>
        </is>
      </c>
      <c r="C6043" t="n">
        <v>3</v>
      </c>
      <c r="D6043" t="inlineStr">
        <is>
          <t>Hub B</t>
        </is>
      </c>
      <c r="E6043" t="n">
        <v>72</v>
      </c>
      <c r="F6043" t="n">
        <v>47.544</v>
      </c>
    </row>
    <row r="6044">
      <c r="A6044" t="inlineStr">
        <is>
          <t>ORD06043</t>
        </is>
      </c>
      <c r="B6044" t="inlineStr">
        <is>
          <t>C1043</t>
        </is>
      </c>
      <c r="C6044" t="n">
        <v>1</v>
      </c>
      <c r="D6044" t="inlineStr">
        <is>
          <t>Hub B</t>
        </is>
      </c>
      <c r="E6044" t="n">
        <v>19</v>
      </c>
      <c r="F6044" t="n">
        <v>47.544</v>
      </c>
    </row>
    <row r="6045">
      <c r="A6045" t="inlineStr">
        <is>
          <t>ORD06044</t>
        </is>
      </c>
      <c r="B6045" t="inlineStr">
        <is>
          <t>C1044</t>
        </is>
      </c>
      <c r="C6045" t="n">
        <v>2</v>
      </c>
      <c r="D6045" t="inlineStr">
        <is>
          <t>Hub B</t>
        </is>
      </c>
      <c r="E6045" t="n">
        <v>26</v>
      </c>
      <c r="F6045" t="n">
        <v>47.544</v>
      </c>
    </row>
    <row r="6046">
      <c r="A6046" t="inlineStr">
        <is>
          <t>ORD06045</t>
        </is>
      </c>
      <c r="B6046" t="inlineStr">
        <is>
          <t>C1045</t>
        </is>
      </c>
      <c r="C6046" t="n">
        <v>3</v>
      </c>
      <c r="D6046" t="inlineStr">
        <is>
          <t>Hub B</t>
        </is>
      </c>
      <c r="E6046" t="n">
        <v>33</v>
      </c>
      <c r="F6046" t="n">
        <v>47.544</v>
      </c>
    </row>
    <row r="6047">
      <c r="A6047" t="inlineStr">
        <is>
          <t>ORD06046</t>
        </is>
      </c>
      <c r="B6047" t="inlineStr">
        <is>
          <t>C1046</t>
        </is>
      </c>
      <c r="C6047" t="n">
        <v>1</v>
      </c>
      <c r="D6047" t="inlineStr">
        <is>
          <t>Hub B</t>
        </is>
      </c>
      <c r="E6047" t="n">
        <v>40</v>
      </c>
      <c r="F6047" t="n">
        <v>47.544</v>
      </c>
    </row>
    <row r="6048">
      <c r="A6048" t="inlineStr">
        <is>
          <t>ORD06047</t>
        </is>
      </c>
      <c r="B6048" t="inlineStr">
        <is>
          <t>C1047</t>
        </is>
      </c>
      <c r="C6048" t="n">
        <v>2</v>
      </c>
      <c r="D6048" t="inlineStr">
        <is>
          <t>Hub B</t>
        </is>
      </c>
      <c r="E6048" t="n">
        <v>47</v>
      </c>
      <c r="F6048" t="n">
        <v>47.544</v>
      </c>
    </row>
    <row r="6049">
      <c r="A6049" t="inlineStr">
        <is>
          <t>ORD06048</t>
        </is>
      </c>
      <c r="B6049" t="inlineStr">
        <is>
          <t>C1048</t>
        </is>
      </c>
      <c r="C6049" t="n">
        <v>3</v>
      </c>
      <c r="D6049" t="inlineStr">
        <is>
          <t>Hub B</t>
        </is>
      </c>
      <c r="E6049" t="n">
        <v>54</v>
      </c>
      <c r="F6049" t="n">
        <v>47.544</v>
      </c>
    </row>
    <row r="6050">
      <c r="A6050" t="inlineStr">
        <is>
          <t>ORD06049</t>
        </is>
      </c>
      <c r="B6050" t="inlineStr">
        <is>
          <t>C1049</t>
        </is>
      </c>
      <c r="C6050" t="n">
        <v>1</v>
      </c>
      <c r="D6050" t="inlineStr">
        <is>
          <t>Hub B</t>
        </is>
      </c>
      <c r="E6050" t="n">
        <v>61</v>
      </c>
      <c r="F6050" t="n">
        <v>47.544</v>
      </c>
    </row>
    <row r="6051">
      <c r="A6051" t="inlineStr">
        <is>
          <t>ORD06050</t>
        </is>
      </c>
      <c r="B6051" t="inlineStr">
        <is>
          <t>C1050</t>
        </is>
      </c>
      <c r="C6051" t="n">
        <v>2</v>
      </c>
      <c r="D6051" t="inlineStr">
        <is>
          <t>Hub B</t>
        </is>
      </c>
      <c r="E6051" t="n">
        <v>68</v>
      </c>
      <c r="F6051" t="n">
        <v>47.544</v>
      </c>
    </row>
    <row r="6052">
      <c r="A6052" t="inlineStr">
        <is>
          <t>ORD06051</t>
        </is>
      </c>
      <c r="B6052" t="inlineStr">
        <is>
          <t>C1051</t>
        </is>
      </c>
      <c r="C6052" t="n">
        <v>3</v>
      </c>
      <c r="D6052" t="inlineStr">
        <is>
          <t>Hub B</t>
        </is>
      </c>
      <c r="E6052" t="n">
        <v>75</v>
      </c>
      <c r="F6052" t="n">
        <v>47.544</v>
      </c>
    </row>
    <row r="6053">
      <c r="A6053" t="inlineStr">
        <is>
          <t>ORD06052</t>
        </is>
      </c>
      <c r="B6053" t="inlineStr">
        <is>
          <t>C1052</t>
        </is>
      </c>
      <c r="C6053" t="n">
        <v>1</v>
      </c>
      <c r="D6053" t="inlineStr">
        <is>
          <t>Hub B</t>
        </is>
      </c>
      <c r="E6053" t="n">
        <v>22</v>
      </c>
      <c r="F6053" t="n">
        <v>47.544</v>
      </c>
    </row>
    <row r="6054">
      <c r="A6054" t="inlineStr">
        <is>
          <t>ORD06053</t>
        </is>
      </c>
      <c r="B6054" t="inlineStr">
        <is>
          <t>C1053</t>
        </is>
      </c>
      <c r="C6054" t="n">
        <v>2</v>
      </c>
      <c r="D6054" t="inlineStr">
        <is>
          <t>Hub B</t>
        </is>
      </c>
      <c r="E6054" t="n">
        <v>29</v>
      </c>
      <c r="F6054" t="n">
        <v>47.544</v>
      </c>
    </row>
    <row r="6055">
      <c r="A6055" t="inlineStr">
        <is>
          <t>ORD06054</t>
        </is>
      </c>
      <c r="B6055" t="inlineStr">
        <is>
          <t>C1054</t>
        </is>
      </c>
      <c r="C6055" t="n">
        <v>3</v>
      </c>
      <c r="D6055" t="inlineStr">
        <is>
          <t>Hub B</t>
        </is>
      </c>
      <c r="E6055" t="n">
        <v>36</v>
      </c>
      <c r="F6055" t="n">
        <v>47.544</v>
      </c>
    </row>
    <row r="6056">
      <c r="A6056" t="inlineStr">
        <is>
          <t>ORD06055</t>
        </is>
      </c>
      <c r="B6056" t="inlineStr">
        <is>
          <t>C1055</t>
        </is>
      </c>
      <c r="C6056" t="n">
        <v>1</v>
      </c>
      <c r="D6056" t="inlineStr">
        <is>
          <t>Hub B</t>
        </is>
      </c>
      <c r="E6056" t="n">
        <v>43</v>
      </c>
      <c r="F6056" t="n">
        <v>47.544</v>
      </c>
    </row>
    <row r="6057">
      <c r="A6057" t="inlineStr">
        <is>
          <t>ORD06056</t>
        </is>
      </c>
      <c r="B6057" t="inlineStr">
        <is>
          <t>C1056</t>
        </is>
      </c>
      <c r="C6057" t="n">
        <v>2</v>
      </c>
      <c r="D6057" t="inlineStr">
        <is>
          <t>Hub B</t>
        </is>
      </c>
      <c r="E6057" t="n">
        <v>50</v>
      </c>
      <c r="F6057" t="n">
        <v>47.544</v>
      </c>
    </row>
    <row r="6058">
      <c r="A6058" t="inlineStr">
        <is>
          <t>ORD06057</t>
        </is>
      </c>
      <c r="B6058" t="inlineStr">
        <is>
          <t>C1057</t>
        </is>
      </c>
      <c r="C6058" t="n">
        <v>3</v>
      </c>
      <c r="D6058" t="inlineStr">
        <is>
          <t>Hub B</t>
        </is>
      </c>
      <c r="E6058" t="n">
        <v>57</v>
      </c>
      <c r="F6058" t="n">
        <v>47.544</v>
      </c>
    </row>
    <row r="6059">
      <c r="A6059" t="inlineStr">
        <is>
          <t>ORD06058</t>
        </is>
      </c>
      <c r="B6059" t="inlineStr">
        <is>
          <t>C1058</t>
        </is>
      </c>
      <c r="C6059" t="n">
        <v>1</v>
      </c>
      <c r="D6059" t="inlineStr">
        <is>
          <t>Hub B</t>
        </is>
      </c>
      <c r="E6059" t="n">
        <v>64</v>
      </c>
      <c r="F6059" t="n">
        <v>47.544</v>
      </c>
    </row>
    <row r="6060">
      <c r="A6060" t="inlineStr">
        <is>
          <t>ORD06059</t>
        </is>
      </c>
      <c r="B6060" t="inlineStr">
        <is>
          <t>C1059</t>
        </is>
      </c>
      <c r="C6060" t="n">
        <v>2</v>
      </c>
      <c r="D6060" t="inlineStr">
        <is>
          <t>Hub B</t>
        </is>
      </c>
      <c r="E6060" t="n">
        <v>71</v>
      </c>
      <c r="F6060" t="n">
        <v>47.544</v>
      </c>
    </row>
    <row r="6061">
      <c r="A6061" t="inlineStr">
        <is>
          <t>ORD06060</t>
        </is>
      </c>
      <c r="B6061" t="inlineStr">
        <is>
          <t>C1060</t>
        </is>
      </c>
      <c r="C6061" t="n">
        <v>3</v>
      </c>
      <c r="D6061" t="inlineStr">
        <is>
          <t>Hub B</t>
        </is>
      </c>
      <c r="E6061" t="n">
        <v>18</v>
      </c>
      <c r="F6061" t="n">
        <v>47.544</v>
      </c>
    </row>
    <row r="6062">
      <c r="A6062" t="inlineStr">
        <is>
          <t>ORD06061</t>
        </is>
      </c>
      <c r="B6062" t="inlineStr">
        <is>
          <t>C1061</t>
        </is>
      </c>
      <c r="C6062" t="n">
        <v>1</v>
      </c>
      <c r="D6062" t="inlineStr">
        <is>
          <t>Hub B</t>
        </is>
      </c>
      <c r="E6062" t="n">
        <v>25</v>
      </c>
      <c r="F6062" t="n">
        <v>47.544</v>
      </c>
    </row>
    <row r="6063">
      <c r="A6063" t="inlineStr">
        <is>
          <t>ORD06062</t>
        </is>
      </c>
      <c r="B6063" t="inlineStr">
        <is>
          <t>C1062</t>
        </is>
      </c>
      <c r="C6063" t="n">
        <v>2</v>
      </c>
      <c r="D6063" t="inlineStr">
        <is>
          <t>Hub B</t>
        </is>
      </c>
      <c r="E6063" t="n">
        <v>32</v>
      </c>
      <c r="F6063" t="n">
        <v>47.544</v>
      </c>
    </row>
    <row r="6064">
      <c r="A6064" t="inlineStr">
        <is>
          <t>ORD06063</t>
        </is>
      </c>
      <c r="B6064" t="inlineStr">
        <is>
          <t>C1063</t>
        </is>
      </c>
      <c r="C6064" t="n">
        <v>3</v>
      </c>
      <c r="D6064" t="inlineStr">
        <is>
          <t>Hub B</t>
        </is>
      </c>
      <c r="E6064" t="n">
        <v>39</v>
      </c>
      <c r="F6064" t="n">
        <v>47.544</v>
      </c>
    </row>
    <row r="6065">
      <c r="A6065" t="inlineStr">
        <is>
          <t>ORD06064</t>
        </is>
      </c>
      <c r="B6065" t="inlineStr">
        <is>
          <t>C1064</t>
        </is>
      </c>
      <c r="C6065" t="n">
        <v>1</v>
      </c>
      <c r="D6065" t="inlineStr">
        <is>
          <t>Hub B</t>
        </is>
      </c>
      <c r="E6065" t="n">
        <v>46</v>
      </c>
      <c r="F6065" t="n">
        <v>47.544</v>
      </c>
    </row>
    <row r="6066">
      <c r="A6066" t="inlineStr">
        <is>
          <t>ORD06065</t>
        </is>
      </c>
      <c r="B6066" t="inlineStr">
        <is>
          <t>C1065</t>
        </is>
      </c>
      <c r="C6066" t="n">
        <v>2</v>
      </c>
      <c r="D6066" t="inlineStr">
        <is>
          <t>Hub B</t>
        </is>
      </c>
      <c r="E6066" t="n">
        <v>53</v>
      </c>
      <c r="F6066" t="n">
        <v>47.544</v>
      </c>
    </row>
    <row r="6067">
      <c r="A6067" t="inlineStr">
        <is>
          <t>ORD06066</t>
        </is>
      </c>
      <c r="B6067" t="inlineStr">
        <is>
          <t>C1066</t>
        </is>
      </c>
      <c r="C6067" t="n">
        <v>3</v>
      </c>
      <c r="D6067" t="inlineStr">
        <is>
          <t>Hub B</t>
        </is>
      </c>
      <c r="E6067" t="n">
        <v>60</v>
      </c>
      <c r="F6067" t="n">
        <v>47.544</v>
      </c>
    </row>
    <row r="6068">
      <c r="A6068" t="inlineStr">
        <is>
          <t>ORD06067</t>
        </is>
      </c>
      <c r="B6068" t="inlineStr">
        <is>
          <t>C1067</t>
        </is>
      </c>
      <c r="C6068" t="n">
        <v>1</v>
      </c>
      <c r="D6068" t="inlineStr">
        <is>
          <t>Hub B</t>
        </is>
      </c>
      <c r="E6068" t="n">
        <v>67</v>
      </c>
      <c r="F6068" t="n">
        <v>47.544</v>
      </c>
    </row>
    <row r="6069">
      <c r="A6069" t="inlineStr">
        <is>
          <t>ORD06068</t>
        </is>
      </c>
      <c r="B6069" t="inlineStr">
        <is>
          <t>C1068</t>
        </is>
      </c>
      <c r="C6069" t="n">
        <v>2</v>
      </c>
      <c r="D6069" t="inlineStr">
        <is>
          <t>Hub B</t>
        </is>
      </c>
      <c r="E6069" t="n">
        <v>74</v>
      </c>
      <c r="F6069" t="n">
        <v>47.544</v>
      </c>
    </row>
    <row r="6070">
      <c r="A6070" t="inlineStr">
        <is>
          <t>ORD06069</t>
        </is>
      </c>
      <c r="B6070" t="inlineStr">
        <is>
          <t>C1069</t>
        </is>
      </c>
      <c r="C6070" t="n">
        <v>3</v>
      </c>
      <c r="D6070" t="inlineStr">
        <is>
          <t>Hub B</t>
        </is>
      </c>
      <c r="E6070" t="n">
        <v>21</v>
      </c>
      <c r="F6070" t="n">
        <v>47.544</v>
      </c>
    </row>
    <row r="6071">
      <c r="A6071" t="inlineStr">
        <is>
          <t>ORD06070</t>
        </is>
      </c>
      <c r="B6071" t="inlineStr">
        <is>
          <t>C1070</t>
        </is>
      </c>
      <c r="C6071" t="n">
        <v>1</v>
      </c>
      <c r="D6071" t="inlineStr">
        <is>
          <t>Hub B</t>
        </is>
      </c>
      <c r="E6071" t="n">
        <v>28</v>
      </c>
      <c r="F6071" t="n">
        <v>47.544</v>
      </c>
    </row>
    <row r="6072">
      <c r="A6072" t="inlineStr">
        <is>
          <t>ORD06071</t>
        </is>
      </c>
      <c r="B6072" t="inlineStr">
        <is>
          <t>C1071</t>
        </is>
      </c>
      <c r="C6072" t="n">
        <v>2</v>
      </c>
      <c r="D6072" t="inlineStr">
        <is>
          <t>Hub B</t>
        </is>
      </c>
      <c r="E6072" t="n">
        <v>35</v>
      </c>
      <c r="F6072" t="n">
        <v>47.544</v>
      </c>
    </row>
    <row r="6073">
      <c r="A6073" t="inlineStr">
        <is>
          <t>ORD06072</t>
        </is>
      </c>
      <c r="B6073" t="inlineStr">
        <is>
          <t>C1072</t>
        </is>
      </c>
      <c r="C6073" t="n">
        <v>3</v>
      </c>
      <c r="D6073" t="inlineStr">
        <is>
          <t>Hub B</t>
        </is>
      </c>
      <c r="E6073" t="n">
        <v>42</v>
      </c>
      <c r="F6073" t="n">
        <v>47.544</v>
      </c>
    </row>
    <row r="6074">
      <c r="A6074" t="inlineStr">
        <is>
          <t>ORD06073</t>
        </is>
      </c>
      <c r="B6074" t="inlineStr">
        <is>
          <t>C1073</t>
        </is>
      </c>
      <c r="C6074" t="n">
        <v>1</v>
      </c>
      <c r="D6074" t="inlineStr">
        <is>
          <t>Hub B</t>
        </is>
      </c>
      <c r="E6074" t="n">
        <v>49</v>
      </c>
      <c r="F6074" t="n">
        <v>47.544</v>
      </c>
    </row>
    <row r="6075">
      <c r="A6075" t="inlineStr">
        <is>
          <t>ORD06074</t>
        </is>
      </c>
      <c r="B6075" t="inlineStr">
        <is>
          <t>C1074</t>
        </is>
      </c>
      <c r="C6075" t="n">
        <v>2</v>
      </c>
      <c r="D6075" t="inlineStr">
        <is>
          <t>Hub B</t>
        </is>
      </c>
      <c r="E6075" t="n">
        <v>56</v>
      </c>
      <c r="F6075" t="n">
        <v>47.544</v>
      </c>
    </row>
    <row r="6076">
      <c r="A6076" t="inlineStr">
        <is>
          <t>ORD06075</t>
        </is>
      </c>
      <c r="B6076" t="inlineStr">
        <is>
          <t>C1075</t>
        </is>
      </c>
      <c r="C6076" t="n">
        <v>3</v>
      </c>
      <c r="D6076" t="inlineStr">
        <is>
          <t>Hub B</t>
        </is>
      </c>
      <c r="E6076" t="n">
        <v>63</v>
      </c>
      <c r="F6076" t="n">
        <v>47.544</v>
      </c>
    </row>
    <row r="6077">
      <c r="A6077" t="inlineStr">
        <is>
          <t>ORD06076</t>
        </is>
      </c>
      <c r="B6077" t="inlineStr">
        <is>
          <t>C1076</t>
        </is>
      </c>
      <c r="C6077" t="n">
        <v>1</v>
      </c>
      <c r="D6077" t="inlineStr">
        <is>
          <t>Hub B</t>
        </is>
      </c>
      <c r="E6077" t="n">
        <v>70</v>
      </c>
      <c r="F6077" t="n">
        <v>47.544</v>
      </c>
    </row>
    <row r="6078">
      <c r="A6078" t="inlineStr">
        <is>
          <t>ORD06077</t>
        </is>
      </c>
      <c r="B6078" t="inlineStr">
        <is>
          <t>C1077</t>
        </is>
      </c>
      <c r="C6078" t="n">
        <v>2</v>
      </c>
      <c r="D6078" t="inlineStr">
        <is>
          <t>Hub B</t>
        </is>
      </c>
      <c r="E6078" t="n">
        <v>77</v>
      </c>
      <c r="F6078" t="n">
        <v>47.544</v>
      </c>
    </row>
    <row r="6079">
      <c r="A6079" t="inlineStr">
        <is>
          <t>ORD06078</t>
        </is>
      </c>
      <c r="B6079" t="inlineStr">
        <is>
          <t>C1078</t>
        </is>
      </c>
      <c r="C6079" t="n">
        <v>3</v>
      </c>
      <c r="D6079" t="inlineStr">
        <is>
          <t>Hub B</t>
        </is>
      </c>
      <c r="E6079" t="n">
        <v>24</v>
      </c>
      <c r="F6079" t="n">
        <v>47.544</v>
      </c>
    </row>
    <row r="6080">
      <c r="A6080" t="inlineStr">
        <is>
          <t>ORD06079</t>
        </is>
      </c>
      <c r="B6080" t="inlineStr">
        <is>
          <t>C1079</t>
        </is>
      </c>
      <c r="C6080" t="n">
        <v>1</v>
      </c>
      <c r="D6080" t="inlineStr">
        <is>
          <t>Hub B</t>
        </is>
      </c>
      <c r="E6080" t="n">
        <v>31</v>
      </c>
      <c r="F6080" t="n">
        <v>47.544</v>
      </c>
    </row>
    <row r="6081">
      <c r="A6081" t="inlineStr">
        <is>
          <t>ORD06080</t>
        </is>
      </c>
      <c r="B6081" t="inlineStr">
        <is>
          <t>C1080</t>
        </is>
      </c>
      <c r="C6081" t="n">
        <v>2</v>
      </c>
      <c r="D6081" t="inlineStr">
        <is>
          <t>Hub B</t>
        </is>
      </c>
      <c r="E6081" t="n">
        <v>38</v>
      </c>
      <c r="F6081" t="n">
        <v>47.544</v>
      </c>
    </row>
    <row r="6082">
      <c r="A6082" t="inlineStr">
        <is>
          <t>ORD06081</t>
        </is>
      </c>
      <c r="B6082" t="inlineStr">
        <is>
          <t>C1081</t>
        </is>
      </c>
      <c r="C6082" t="n">
        <v>3</v>
      </c>
      <c r="D6082" t="inlineStr">
        <is>
          <t>Hub B</t>
        </is>
      </c>
      <c r="E6082" t="n">
        <v>45</v>
      </c>
      <c r="F6082" t="n">
        <v>47.544</v>
      </c>
    </row>
    <row r="6083">
      <c r="A6083" t="inlineStr">
        <is>
          <t>ORD06082</t>
        </is>
      </c>
      <c r="B6083" t="inlineStr">
        <is>
          <t>C1082</t>
        </is>
      </c>
      <c r="C6083" t="n">
        <v>1</v>
      </c>
      <c r="D6083" t="inlineStr">
        <is>
          <t>Hub B</t>
        </is>
      </c>
      <c r="E6083" t="n">
        <v>52</v>
      </c>
      <c r="F6083" t="n">
        <v>47.544</v>
      </c>
    </row>
    <row r="6084">
      <c r="A6084" t="inlineStr">
        <is>
          <t>ORD06083</t>
        </is>
      </c>
      <c r="B6084" t="inlineStr">
        <is>
          <t>C1083</t>
        </is>
      </c>
      <c r="C6084" t="n">
        <v>2</v>
      </c>
      <c r="D6084" t="inlineStr">
        <is>
          <t>Hub B</t>
        </is>
      </c>
      <c r="E6084" t="n">
        <v>59</v>
      </c>
      <c r="F6084" t="n">
        <v>47.544</v>
      </c>
    </row>
    <row r="6085">
      <c r="A6085" t="inlineStr">
        <is>
          <t>ORD06084</t>
        </is>
      </c>
      <c r="B6085" t="inlineStr">
        <is>
          <t>C1084</t>
        </is>
      </c>
      <c r="C6085" t="n">
        <v>3</v>
      </c>
      <c r="D6085" t="inlineStr">
        <is>
          <t>Hub B</t>
        </is>
      </c>
      <c r="E6085" t="n">
        <v>66</v>
      </c>
      <c r="F6085" t="n">
        <v>47.544</v>
      </c>
    </row>
    <row r="6086">
      <c r="A6086" t="inlineStr">
        <is>
          <t>ORD06085</t>
        </is>
      </c>
      <c r="B6086" t="inlineStr">
        <is>
          <t>C1085</t>
        </is>
      </c>
      <c r="C6086" t="n">
        <v>1</v>
      </c>
      <c r="D6086" t="inlineStr">
        <is>
          <t>Hub B</t>
        </is>
      </c>
      <c r="E6086" t="n">
        <v>73</v>
      </c>
      <c r="F6086" t="n">
        <v>47.544</v>
      </c>
    </row>
    <row r="6087">
      <c r="A6087" t="inlineStr">
        <is>
          <t>ORD06086</t>
        </is>
      </c>
      <c r="B6087" t="inlineStr">
        <is>
          <t>C1086</t>
        </is>
      </c>
      <c r="C6087" t="n">
        <v>2</v>
      </c>
      <c r="D6087" t="inlineStr">
        <is>
          <t>Hub B</t>
        </is>
      </c>
      <c r="E6087" t="n">
        <v>20</v>
      </c>
      <c r="F6087" t="n">
        <v>47.544</v>
      </c>
    </row>
    <row r="6088">
      <c r="A6088" t="inlineStr">
        <is>
          <t>ORD06087</t>
        </is>
      </c>
      <c r="B6088" t="inlineStr">
        <is>
          <t>C1087</t>
        </is>
      </c>
      <c r="C6088" t="n">
        <v>3</v>
      </c>
      <c r="D6088" t="inlineStr">
        <is>
          <t>Hub B</t>
        </is>
      </c>
      <c r="E6088" t="n">
        <v>27</v>
      </c>
      <c r="F6088" t="n">
        <v>47.544</v>
      </c>
    </row>
    <row r="6089">
      <c r="A6089" t="inlineStr">
        <is>
          <t>ORD06088</t>
        </is>
      </c>
      <c r="B6089" t="inlineStr">
        <is>
          <t>C1088</t>
        </is>
      </c>
      <c r="C6089" t="n">
        <v>1</v>
      </c>
      <c r="D6089" t="inlineStr">
        <is>
          <t>Hub B</t>
        </is>
      </c>
      <c r="E6089" t="n">
        <v>34</v>
      </c>
      <c r="F6089" t="n">
        <v>47.544</v>
      </c>
    </row>
    <row r="6090">
      <c r="A6090" t="inlineStr">
        <is>
          <t>ORD06089</t>
        </is>
      </c>
      <c r="B6090" t="inlineStr">
        <is>
          <t>C1089</t>
        </is>
      </c>
      <c r="C6090" t="n">
        <v>2</v>
      </c>
      <c r="D6090" t="inlineStr">
        <is>
          <t>Hub B</t>
        </is>
      </c>
      <c r="E6090" t="n">
        <v>41</v>
      </c>
      <c r="F6090" t="n">
        <v>47.544</v>
      </c>
    </row>
    <row r="6091">
      <c r="A6091" t="inlineStr">
        <is>
          <t>ORD06090</t>
        </is>
      </c>
      <c r="B6091" t="inlineStr">
        <is>
          <t>C1090</t>
        </is>
      </c>
      <c r="C6091" t="n">
        <v>3</v>
      </c>
      <c r="D6091" t="inlineStr">
        <is>
          <t>Hub B</t>
        </is>
      </c>
      <c r="E6091" t="n">
        <v>48</v>
      </c>
      <c r="F6091" t="n">
        <v>47.544</v>
      </c>
    </row>
    <row r="6092">
      <c r="A6092" t="inlineStr">
        <is>
          <t>ORD06091</t>
        </is>
      </c>
      <c r="B6092" t="inlineStr">
        <is>
          <t>C1091</t>
        </is>
      </c>
      <c r="C6092" t="n">
        <v>1</v>
      </c>
      <c r="D6092" t="inlineStr">
        <is>
          <t>Hub B</t>
        </is>
      </c>
      <c r="E6092" t="n">
        <v>55</v>
      </c>
      <c r="F6092" t="n">
        <v>47.544</v>
      </c>
    </row>
    <row r="6093">
      <c r="A6093" t="inlineStr">
        <is>
          <t>ORD06092</t>
        </is>
      </c>
      <c r="B6093" t="inlineStr">
        <is>
          <t>C1092</t>
        </is>
      </c>
      <c r="C6093" t="n">
        <v>2</v>
      </c>
      <c r="D6093" t="inlineStr">
        <is>
          <t>Hub B</t>
        </is>
      </c>
      <c r="E6093" t="n">
        <v>62</v>
      </c>
      <c r="F6093" t="n">
        <v>47.544</v>
      </c>
    </row>
    <row r="6094">
      <c r="A6094" t="inlineStr">
        <is>
          <t>ORD06093</t>
        </is>
      </c>
      <c r="B6094" t="inlineStr">
        <is>
          <t>C1093</t>
        </is>
      </c>
      <c r="C6094" t="n">
        <v>3</v>
      </c>
      <c r="D6094" t="inlineStr">
        <is>
          <t>Hub B</t>
        </is>
      </c>
      <c r="E6094" t="n">
        <v>69</v>
      </c>
      <c r="F6094" t="n">
        <v>47.544</v>
      </c>
    </row>
    <row r="6095">
      <c r="A6095" t="inlineStr">
        <is>
          <t>ORD06094</t>
        </is>
      </c>
      <c r="B6095" t="inlineStr">
        <is>
          <t>C1094</t>
        </is>
      </c>
      <c r="C6095" t="n">
        <v>1</v>
      </c>
      <c r="D6095" t="inlineStr">
        <is>
          <t>Hub B</t>
        </is>
      </c>
      <c r="E6095" t="n">
        <v>76</v>
      </c>
      <c r="F6095" t="n">
        <v>47.544</v>
      </c>
    </row>
    <row r="6096">
      <c r="A6096" t="inlineStr">
        <is>
          <t>ORD06095</t>
        </is>
      </c>
      <c r="B6096" t="inlineStr">
        <is>
          <t>C1095</t>
        </is>
      </c>
      <c r="C6096" t="n">
        <v>2</v>
      </c>
      <c r="D6096" t="inlineStr">
        <is>
          <t>Hub B</t>
        </is>
      </c>
      <c r="E6096" t="n">
        <v>23</v>
      </c>
      <c r="F6096" t="n">
        <v>47.544</v>
      </c>
    </row>
    <row r="6097">
      <c r="A6097" t="inlineStr">
        <is>
          <t>ORD06096</t>
        </is>
      </c>
      <c r="B6097" t="inlineStr">
        <is>
          <t>C1096</t>
        </is>
      </c>
      <c r="C6097" t="n">
        <v>3</v>
      </c>
      <c r="D6097" t="inlineStr">
        <is>
          <t>Hub B</t>
        </is>
      </c>
      <c r="E6097" t="n">
        <v>30</v>
      </c>
      <c r="F6097" t="n">
        <v>47.544</v>
      </c>
    </row>
    <row r="6098">
      <c r="A6098" t="inlineStr">
        <is>
          <t>ORD06097</t>
        </is>
      </c>
      <c r="B6098" t="inlineStr">
        <is>
          <t>C1097</t>
        </is>
      </c>
      <c r="C6098" t="n">
        <v>1</v>
      </c>
      <c r="D6098" t="inlineStr">
        <is>
          <t>Hub B</t>
        </is>
      </c>
      <c r="E6098" t="n">
        <v>37</v>
      </c>
      <c r="F6098" t="n">
        <v>47.544</v>
      </c>
    </row>
    <row r="6099">
      <c r="A6099" t="inlineStr">
        <is>
          <t>ORD06098</t>
        </is>
      </c>
      <c r="B6099" t="inlineStr">
        <is>
          <t>C1098</t>
        </is>
      </c>
      <c r="C6099" t="n">
        <v>2</v>
      </c>
      <c r="D6099" t="inlineStr">
        <is>
          <t>Hub B</t>
        </is>
      </c>
      <c r="E6099" t="n">
        <v>44</v>
      </c>
      <c r="F6099" t="n">
        <v>47.544</v>
      </c>
    </row>
    <row r="6100">
      <c r="A6100" t="inlineStr">
        <is>
          <t>ORD06099</t>
        </is>
      </c>
      <c r="B6100" t="inlineStr">
        <is>
          <t>C1099</t>
        </is>
      </c>
      <c r="C6100" t="n">
        <v>3</v>
      </c>
      <c r="D6100" t="inlineStr">
        <is>
          <t>Hub B</t>
        </is>
      </c>
      <c r="E6100" t="n">
        <v>51</v>
      </c>
      <c r="F6100" t="n">
        <v>47.544</v>
      </c>
    </row>
    <row r="6101">
      <c r="A6101" t="inlineStr">
        <is>
          <t>ORD06100</t>
        </is>
      </c>
      <c r="B6101" t="inlineStr">
        <is>
          <t>C1100</t>
        </is>
      </c>
      <c r="C6101" t="n">
        <v>1</v>
      </c>
      <c r="D6101" t="inlineStr">
        <is>
          <t>Hub B</t>
        </is>
      </c>
      <c r="E6101" t="n">
        <v>58</v>
      </c>
      <c r="F6101" t="n">
        <v>47.544</v>
      </c>
    </row>
    <row r="6102">
      <c r="A6102" t="inlineStr">
        <is>
          <t>ORD06101</t>
        </is>
      </c>
      <c r="B6102" t="inlineStr">
        <is>
          <t>C1101</t>
        </is>
      </c>
      <c r="C6102" t="n">
        <v>2</v>
      </c>
      <c r="D6102" t="inlineStr">
        <is>
          <t>Hub B</t>
        </is>
      </c>
      <c r="E6102" t="n">
        <v>65</v>
      </c>
      <c r="F6102" t="n">
        <v>47.544</v>
      </c>
    </row>
    <row r="6103">
      <c r="A6103" t="inlineStr">
        <is>
          <t>ORD06102</t>
        </is>
      </c>
      <c r="B6103" t="inlineStr">
        <is>
          <t>C1102</t>
        </is>
      </c>
      <c r="C6103" t="n">
        <v>3</v>
      </c>
      <c r="D6103" t="inlineStr">
        <is>
          <t>Hub B</t>
        </is>
      </c>
      <c r="E6103" t="n">
        <v>72</v>
      </c>
      <c r="F6103" t="n">
        <v>47.544</v>
      </c>
    </row>
    <row r="6104">
      <c r="A6104" t="inlineStr">
        <is>
          <t>ORD06103</t>
        </is>
      </c>
      <c r="B6104" t="inlineStr">
        <is>
          <t>C1103</t>
        </is>
      </c>
      <c r="C6104" t="n">
        <v>1</v>
      </c>
      <c r="D6104" t="inlineStr">
        <is>
          <t>Hub B</t>
        </is>
      </c>
      <c r="E6104" t="n">
        <v>19</v>
      </c>
      <c r="F6104" t="n">
        <v>47.544</v>
      </c>
    </row>
    <row r="6105">
      <c r="A6105" t="inlineStr">
        <is>
          <t>ORD06104</t>
        </is>
      </c>
      <c r="B6105" t="inlineStr">
        <is>
          <t>C1104</t>
        </is>
      </c>
      <c r="C6105" t="n">
        <v>2</v>
      </c>
      <c r="D6105" t="inlineStr">
        <is>
          <t>Hub B</t>
        </is>
      </c>
      <c r="E6105" t="n">
        <v>26</v>
      </c>
      <c r="F6105" t="n">
        <v>47.544</v>
      </c>
    </row>
    <row r="6106">
      <c r="A6106" t="inlineStr">
        <is>
          <t>ORD06105</t>
        </is>
      </c>
      <c r="B6106" t="inlineStr">
        <is>
          <t>C1105</t>
        </is>
      </c>
      <c r="C6106" t="n">
        <v>3</v>
      </c>
      <c r="D6106" t="inlineStr">
        <is>
          <t>Hub B</t>
        </is>
      </c>
      <c r="E6106" t="n">
        <v>33</v>
      </c>
      <c r="F6106" t="n">
        <v>47.544</v>
      </c>
    </row>
    <row r="6107">
      <c r="A6107" t="inlineStr">
        <is>
          <t>ORD06106</t>
        </is>
      </c>
      <c r="B6107" t="inlineStr">
        <is>
          <t>C1106</t>
        </is>
      </c>
      <c r="C6107" t="n">
        <v>1</v>
      </c>
      <c r="D6107" t="inlineStr">
        <is>
          <t>Hub B</t>
        </is>
      </c>
      <c r="E6107" t="n">
        <v>40</v>
      </c>
      <c r="F6107" t="n">
        <v>47.544</v>
      </c>
    </row>
    <row r="6108">
      <c r="A6108" t="inlineStr">
        <is>
          <t>ORD06107</t>
        </is>
      </c>
      <c r="B6108" t="inlineStr">
        <is>
          <t>C1107</t>
        </is>
      </c>
      <c r="C6108" t="n">
        <v>2</v>
      </c>
      <c r="D6108" t="inlineStr">
        <is>
          <t>Hub B</t>
        </is>
      </c>
      <c r="E6108" t="n">
        <v>47</v>
      </c>
      <c r="F6108" t="n">
        <v>47.544</v>
      </c>
    </row>
    <row r="6109">
      <c r="A6109" t="inlineStr">
        <is>
          <t>ORD06108</t>
        </is>
      </c>
      <c r="B6109" t="inlineStr">
        <is>
          <t>C1108</t>
        </is>
      </c>
      <c r="C6109" t="n">
        <v>3</v>
      </c>
      <c r="D6109" t="inlineStr">
        <is>
          <t>Hub B</t>
        </is>
      </c>
      <c r="E6109" t="n">
        <v>54</v>
      </c>
      <c r="F6109" t="n">
        <v>47.544</v>
      </c>
    </row>
    <row r="6110">
      <c r="A6110" t="inlineStr">
        <is>
          <t>ORD06109</t>
        </is>
      </c>
      <c r="B6110" t="inlineStr">
        <is>
          <t>C1109</t>
        </is>
      </c>
      <c r="C6110" t="n">
        <v>1</v>
      </c>
      <c r="D6110" t="inlineStr">
        <is>
          <t>Hub B</t>
        </is>
      </c>
      <c r="E6110" t="n">
        <v>61</v>
      </c>
      <c r="F6110" t="n">
        <v>47.544</v>
      </c>
    </row>
    <row r="6111">
      <c r="A6111" t="inlineStr">
        <is>
          <t>ORD06110</t>
        </is>
      </c>
      <c r="B6111" t="inlineStr">
        <is>
          <t>C1110</t>
        </is>
      </c>
      <c r="C6111" t="n">
        <v>2</v>
      </c>
      <c r="D6111" t="inlineStr">
        <is>
          <t>Hub B</t>
        </is>
      </c>
      <c r="E6111" t="n">
        <v>68</v>
      </c>
      <c r="F6111" t="n">
        <v>47.544</v>
      </c>
    </row>
    <row r="6112">
      <c r="A6112" t="inlineStr">
        <is>
          <t>ORD06111</t>
        </is>
      </c>
      <c r="B6112" t="inlineStr">
        <is>
          <t>C1111</t>
        </is>
      </c>
      <c r="C6112" t="n">
        <v>3</v>
      </c>
      <c r="D6112" t="inlineStr">
        <is>
          <t>Hub B</t>
        </is>
      </c>
      <c r="E6112" t="n">
        <v>75</v>
      </c>
      <c r="F6112" t="n">
        <v>47.544</v>
      </c>
    </row>
    <row r="6113">
      <c r="A6113" t="inlineStr">
        <is>
          <t>ORD06112</t>
        </is>
      </c>
      <c r="B6113" t="inlineStr">
        <is>
          <t>C1112</t>
        </is>
      </c>
      <c r="C6113" t="n">
        <v>1</v>
      </c>
      <c r="D6113" t="inlineStr">
        <is>
          <t>Hub B</t>
        </is>
      </c>
      <c r="E6113" t="n">
        <v>22</v>
      </c>
      <c r="F6113" t="n">
        <v>47.544</v>
      </c>
    </row>
    <row r="6114">
      <c r="A6114" t="inlineStr">
        <is>
          <t>ORD06113</t>
        </is>
      </c>
      <c r="B6114" t="inlineStr">
        <is>
          <t>C1113</t>
        </is>
      </c>
      <c r="C6114" t="n">
        <v>2</v>
      </c>
      <c r="D6114" t="inlineStr">
        <is>
          <t>Hub B</t>
        </is>
      </c>
      <c r="E6114" t="n">
        <v>29</v>
      </c>
      <c r="F6114" t="n">
        <v>47.544</v>
      </c>
    </row>
    <row r="6115">
      <c r="A6115" t="inlineStr">
        <is>
          <t>ORD06114</t>
        </is>
      </c>
      <c r="B6115" t="inlineStr">
        <is>
          <t>C1114</t>
        </is>
      </c>
      <c r="C6115" t="n">
        <v>3</v>
      </c>
      <c r="D6115" t="inlineStr">
        <is>
          <t>Hub B</t>
        </is>
      </c>
      <c r="E6115" t="n">
        <v>36</v>
      </c>
      <c r="F6115" t="n">
        <v>47.544</v>
      </c>
    </row>
    <row r="6116">
      <c r="A6116" t="inlineStr">
        <is>
          <t>ORD06115</t>
        </is>
      </c>
      <c r="B6116" t="inlineStr">
        <is>
          <t>C1115</t>
        </is>
      </c>
      <c r="C6116" t="n">
        <v>1</v>
      </c>
      <c r="D6116" t="inlineStr">
        <is>
          <t>Hub B</t>
        </is>
      </c>
      <c r="E6116" t="n">
        <v>43</v>
      </c>
      <c r="F6116" t="n">
        <v>47.544</v>
      </c>
    </row>
    <row r="6117">
      <c r="A6117" t="inlineStr">
        <is>
          <t>ORD06116</t>
        </is>
      </c>
      <c r="B6117" t="inlineStr">
        <is>
          <t>C1116</t>
        </is>
      </c>
      <c r="C6117" t="n">
        <v>2</v>
      </c>
      <c r="D6117" t="inlineStr">
        <is>
          <t>Hub B</t>
        </is>
      </c>
      <c r="E6117" t="n">
        <v>50</v>
      </c>
      <c r="F6117" t="n">
        <v>47.544</v>
      </c>
    </row>
    <row r="6118">
      <c r="A6118" t="inlineStr">
        <is>
          <t>ORD06117</t>
        </is>
      </c>
      <c r="B6118" t="inlineStr">
        <is>
          <t>C1117</t>
        </is>
      </c>
      <c r="C6118" t="n">
        <v>3</v>
      </c>
      <c r="D6118" t="inlineStr">
        <is>
          <t>Hub B</t>
        </is>
      </c>
      <c r="E6118" t="n">
        <v>57</v>
      </c>
      <c r="F6118" t="n">
        <v>47.544</v>
      </c>
    </row>
    <row r="6119">
      <c r="A6119" t="inlineStr">
        <is>
          <t>ORD06118</t>
        </is>
      </c>
      <c r="B6119" t="inlineStr">
        <is>
          <t>C1118</t>
        </is>
      </c>
      <c r="C6119" t="n">
        <v>1</v>
      </c>
      <c r="D6119" t="inlineStr">
        <is>
          <t>Hub B</t>
        </is>
      </c>
      <c r="E6119" t="n">
        <v>64</v>
      </c>
      <c r="F6119" t="n">
        <v>47.544</v>
      </c>
    </row>
    <row r="6120">
      <c r="A6120" t="inlineStr">
        <is>
          <t>ORD06119</t>
        </is>
      </c>
      <c r="B6120" t="inlineStr">
        <is>
          <t>C1119</t>
        </is>
      </c>
      <c r="C6120" t="n">
        <v>2</v>
      </c>
      <c r="D6120" t="inlineStr">
        <is>
          <t>Hub B</t>
        </is>
      </c>
      <c r="E6120" t="n">
        <v>71</v>
      </c>
      <c r="F6120" t="n">
        <v>47.544</v>
      </c>
    </row>
    <row r="6121">
      <c r="A6121" t="inlineStr">
        <is>
          <t>ORD06120</t>
        </is>
      </c>
      <c r="B6121" t="inlineStr">
        <is>
          <t>C1120</t>
        </is>
      </c>
      <c r="C6121" t="n">
        <v>3</v>
      </c>
      <c r="D6121" t="inlineStr">
        <is>
          <t>Hub B</t>
        </is>
      </c>
      <c r="E6121" t="n">
        <v>18</v>
      </c>
      <c r="F6121" t="n">
        <v>47.544</v>
      </c>
    </row>
    <row r="6122">
      <c r="A6122" t="inlineStr">
        <is>
          <t>ORD06121</t>
        </is>
      </c>
      <c r="B6122" t="inlineStr">
        <is>
          <t>C1121</t>
        </is>
      </c>
      <c r="C6122" t="n">
        <v>1</v>
      </c>
      <c r="D6122" t="inlineStr">
        <is>
          <t>Hub B</t>
        </is>
      </c>
      <c r="E6122" t="n">
        <v>25</v>
      </c>
      <c r="F6122" t="n">
        <v>47.544</v>
      </c>
    </row>
    <row r="6123">
      <c r="A6123" t="inlineStr">
        <is>
          <t>ORD06122</t>
        </is>
      </c>
      <c r="B6123" t="inlineStr">
        <is>
          <t>C1122</t>
        </is>
      </c>
      <c r="C6123" t="n">
        <v>2</v>
      </c>
      <c r="D6123" t="inlineStr">
        <is>
          <t>Hub B</t>
        </is>
      </c>
      <c r="E6123" t="n">
        <v>32</v>
      </c>
      <c r="F6123" t="n">
        <v>47.544</v>
      </c>
    </row>
    <row r="6124">
      <c r="A6124" t="inlineStr">
        <is>
          <t>ORD06123</t>
        </is>
      </c>
      <c r="B6124" t="inlineStr">
        <is>
          <t>C1123</t>
        </is>
      </c>
      <c r="C6124" t="n">
        <v>3</v>
      </c>
      <c r="D6124" t="inlineStr">
        <is>
          <t>Hub B</t>
        </is>
      </c>
      <c r="E6124" t="n">
        <v>39</v>
      </c>
      <c r="F6124" t="n">
        <v>47.544</v>
      </c>
    </row>
    <row r="6125">
      <c r="A6125" t="inlineStr">
        <is>
          <t>ORD06124</t>
        </is>
      </c>
      <c r="B6125" t="inlineStr">
        <is>
          <t>C1124</t>
        </is>
      </c>
      <c r="C6125" t="n">
        <v>1</v>
      </c>
      <c r="D6125" t="inlineStr">
        <is>
          <t>Hub B</t>
        </is>
      </c>
      <c r="E6125" t="n">
        <v>46</v>
      </c>
      <c r="F6125" t="n">
        <v>47.544</v>
      </c>
    </row>
    <row r="6126">
      <c r="A6126" t="inlineStr">
        <is>
          <t>ORD06125</t>
        </is>
      </c>
      <c r="B6126" t="inlineStr">
        <is>
          <t>C1125</t>
        </is>
      </c>
      <c r="C6126" t="n">
        <v>2</v>
      </c>
      <c r="D6126" t="inlineStr">
        <is>
          <t>Hub B</t>
        </is>
      </c>
      <c r="E6126" t="n">
        <v>53</v>
      </c>
      <c r="F6126" t="n">
        <v>47.544</v>
      </c>
    </row>
    <row r="6127">
      <c r="A6127" t="inlineStr">
        <is>
          <t>ORD06126</t>
        </is>
      </c>
      <c r="B6127" t="inlineStr">
        <is>
          <t>C1126</t>
        </is>
      </c>
      <c r="C6127" t="n">
        <v>3</v>
      </c>
      <c r="D6127" t="inlineStr">
        <is>
          <t>Hub B</t>
        </is>
      </c>
      <c r="E6127" t="n">
        <v>60</v>
      </c>
      <c r="F6127" t="n">
        <v>47.544</v>
      </c>
    </row>
    <row r="6128">
      <c r="A6128" t="inlineStr">
        <is>
          <t>ORD06127</t>
        </is>
      </c>
      <c r="B6128" t="inlineStr">
        <is>
          <t>C1127</t>
        </is>
      </c>
      <c r="C6128" t="n">
        <v>1</v>
      </c>
      <c r="D6128" t="inlineStr">
        <is>
          <t>Hub B</t>
        </is>
      </c>
      <c r="E6128" t="n">
        <v>67</v>
      </c>
      <c r="F6128" t="n">
        <v>47.544</v>
      </c>
    </row>
    <row r="6129">
      <c r="A6129" t="inlineStr">
        <is>
          <t>ORD06128</t>
        </is>
      </c>
      <c r="B6129" t="inlineStr">
        <is>
          <t>C1128</t>
        </is>
      </c>
      <c r="C6129" t="n">
        <v>2</v>
      </c>
      <c r="D6129" t="inlineStr">
        <is>
          <t>Hub B</t>
        </is>
      </c>
      <c r="E6129" t="n">
        <v>74</v>
      </c>
      <c r="F6129" t="n">
        <v>47.544</v>
      </c>
    </row>
    <row r="6130">
      <c r="A6130" t="inlineStr">
        <is>
          <t>ORD06129</t>
        </is>
      </c>
      <c r="B6130" t="inlineStr">
        <is>
          <t>C1129</t>
        </is>
      </c>
      <c r="C6130" t="n">
        <v>3</v>
      </c>
      <c r="D6130" t="inlineStr">
        <is>
          <t>Hub B</t>
        </is>
      </c>
      <c r="E6130" t="n">
        <v>21</v>
      </c>
      <c r="F6130" t="n">
        <v>47.544</v>
      </c>
    </row>
    <row r="6131">
      <c r="A6131" t="inlineStr">
        <is>
          <t>ORD06130</t>
        </is>
      </c>
      <c r="B6131" t="inlineStr">
        <is>
          <t>C1130</t>
        </is>
      </c>
      <c r="C6131" t="n">
        <v>1</v>
      </c>
      <c r="D6131" t="inlineStr">
        <is>
          <t>Hub B</t>
        </is>
      </c>
      <c r="E6131" t="n">
        <v>28</v>
      </c>
      <c r="F6131" t="n">
        <v>47.544</v>
      </c>
    </row>
    <row r="6132">
      <c r="A6132" t="inlineStr">
        <is>
          <t>ORD06131</t>
        </is>
      </c>
      <c r="B6132" t="inlineStr">
        <is>
          <t>C1131</t>
        </is>
      </c>
      <c r="C6132" t="n">
        <v>2</v>
      </c>
      <c r="D6132" t="inlineStr">
        <is>
          <t>Hub B</t>
        </is>
      </c>
      <c r="E6132" t="n">
        <v>35</v>
      </c>
      <c r="F6132" t="n">
        <v>47.544</v>
      </c>
    </row>
    <row r="6133">
      <c r="A6133" t="inlineStr">
        <is>
          <t>ORD06132</t>
        </is>
      </c>
      <c r="B6133" t="inlineStr">
        <is>
          <t>C1132</t>
        </is>
      </c>
      <c r="C6133" t="n">
        <v>3</v>
      </c>
      <c r="D6133" t="inlineStr">
        <is>
          <t>Hub B</t>
        </is>
      </c>
      <c r="E6133" t="n">
        <v>42</v>
      </c>
      <c r="F6133" t="n">
        <v>47.544</v>
      </c>
    </row>
    <row r="6134">
      <c r="A6134" t="inlineStr">
        <is>
          <t>ORD06133</t>
        </is>
      </c>
      <c r="B6134" t="inlineStr">
        <is>
          <t>C1133</t>
        </is>
      </c>
      <c r="C6134" t="n">
        <v>1</v>
      </c>
      <c r="D6134" t="inlineStr">
        <is>
          <t>Hub B</t>
        </is>
      </c>
      <c r="E6134" t="n">
        <v>49</v>
      </c>
      <c r="F6134" t="n">
        <v>47.544</v>
      </c>
    </row>
    <row r="6135">
      <c r="A6135" t="inlineStr">
        <is>
          <t>ORD06134</t>
        </is>
      </c>
      <c r="B6135" t="inlineStr">
        <is>
          <t>C1134</t>
        </is>
      </c>
      <c r="C6135" t="n">
        <v>2</v>
      </c>
      <c r="D6135" t="inlineStr">
        <is>
          <t>Hub B</t>
        </is>
      </c>
      <c r="E6135" t="n">
        <v>56</v>
      </c>
      <c r="F6135" t="n">
        <v>47.544</v>
      </c>
    </row>
    <row r="6136">
      <c r="A6136" t="inlineStr">
        <is>
          <t>ORD06135</t>
        </is>
      </c>
      <c r="B6136" t="inlineStr">
        <is>
          <t>C1135</t>
        </is>
      </c>
      <c r="C6136" t="n">
        <v>3</v>
      </c>
      <c r="D6136" t="inlineStr">
        <is>
          <t>Hub B</t>
        </is>
      </c>
      <c r="E6136" t="n">
        <v>63</v>
      </c>
      <c r="F6136" t="n">
        <v>47.544</v>
      </c>
    </row>
    <row r="6137">
      <c r="A6137" t="inlineStr">
        <is>
          <t>ORD06136</t>
        </is>
      </c>
      <c r="B6137" t="inlineStr">
        <is>
          <t>C1136</t>
        </is>
      </c>
      <c r="C6137" t="n">
        <v>1</v>
      </c>
      <c r="D6137" t="inlineStr">
        <is>
          <t>Hub B</t>
        </is>
      </c>
      <c r="E6137" t="n">
        <v>70</v>
      </c>
      <c r="F6137" t="n">
        <v>47.544</v>
      </c>
    </row>
    <row r="6138">
      <c r="A6138" t="inlineStr">
        <is>
          <t>ORD06137</t>
        </is>
      </c>
      <c r="B6138" t="inlineStr">
        <is>
          <t>C1137</t>
        </is>
      </c>
      <c r="C6138" t="n">
        <v>2</v>
      </c>
      <c r="D6138" t="inlineStr">
        <is>
          <t>Hub B</t>
        </is>
      </c>
      <c r="E6138" t="n">
        <v>77</v>
      </c>
      <c r="F6138" t="n">
        <v>47.544</v>
      </c>
    </row>
    <row r="6139">
      <c r="A6139" t="inlineStr">
        <is>
          <t>ORD06138</t>
        </is>
      </c>
      <c r="B6139" t="inlineStr">
        <is>
          <t>C1138</t>
        </is>
      </c>
      <c r="C6139" t="n">
        <v>3</v>
      </c>
      <c r="D6139" t="inlineStr">
        <is>
          <t>Hub B</t>
        </is>
      </c>
      <c r="E6139" t="n">
        <v>24</v>
      </c>
      <c r="F6139" t="n">
        <v>47.544</v>
      </c>
    </row>
    <row r="6140">
      <c r="A6140" t="inlineStr">
        <is>
          <t>ORD06139</t>
        </is>
      </c>
      <c r="B6140" t="inlineStr">
        <is>
          <t>C1139</t>
        </is>
      </c>
      <c r="C6140" t="n">
        <v>1</v>
      </c>
      <c r="D6140" t="inlineStr">
        <is>
          <t>Hub B</t>
        </is>
      </c>
      <c r="E6140" t="n">
        <v>31</v>
      </c>
      <c r="F6140" t="n">
        <v>47.544</v>
      </c>
    </row>
    <row r="6141">
      <c r="A6141" t="inlineStr">
        <is>
          <t>ORD06140</t>
        </is>
      </c>
      <c r="B6141" t="inlineStr">
        <is>
          <t>C1140</t>
        </is>
      </c>
      <c r="C6141" t="n">
        <v>2</v>
      </c>
      <c r="D6141" t="inlineStr">
        <is>
          <t>Hub B</t>
        </is>
      </c>
      <c r="E6141" t="n">
        <v>38</v>
      </c>
      <c r="F6141" t="n">
        <v>47.544</v>
      </c>
    </row>
    <row r="6142">
      <c r="A6142" t="inlineStr">
        <is>
          <t>ORD06141</t>
        </is>
      </c>
      <c r="B6142" t="inlineStr">
        <is>
          <t>C1141</t>
        </is>
      </c>
      <c r="C6142" t="n">
        <v>3</v>
      </c>
      <c r="D6142" t="inlineStr">
        <is>
          <t>Hub B</t>
        </is>
      </c>
      <c r="E6142" t="n">
        <v>45</v>
      </c>
      <c r="F6142" t="n">
        <v>47.544</v>
      </c>
    </row>
    <row r="6143">
      <c r="A6143" t="inlineStr">
        <is>
          <t>ORD06142</t>
        </is>
      </c>
      <c r="B6143" t="inlineStr">
        <is>
          <t>C1142</t>
        </is>
      </c>
      <c r="C6143" t="n">
        <v>1</v>
      </c>
      <c r="D6143" t="inlineStr">
        <is>
          <t>Hub B</t>
        </is>
      </c>
      <c r="E6143" t="n">
        <v>52</v>
      </c>
      <c r="F6143" t="n">
        <v>47.544</v>
      </c>
    </row>
    <row r="6144">
      <c r="A6144" t="inlineStr">
        <is>
          <t>ORD06143</t>
        </is>
      </c>
      <c r="B6144" t="inlineStr">
        <is>
          <t>C1143</t>
        </is>
      </c>
      <c r="C6144" t="n">
        <v>2</v>
      </c>
      <c r="D6144" t="inlineStr">
        <is>
          <t>Hub B</t>
        </is>
      </c>
      <c r="E6144" t="n">
        <v>59</v>
      </c>
      <c r="F6144" t="n">
        <v>47.544</v>
      </c>
    </row>
    <row r="6145">
      <c r="A6145" t="inlineStr">
        <is>
          <t>ORD06144</t>
        </is>
      </c>
      <c r="B6145" t="inlineStr">
        <is>
          <t>C1144</t>
        </is>
      </c>
      <c r="C6145" t="n">
        <v>3</v>
      </c>
      <c r="D6145" t="inlineStr">
        <is>
          <t>Hub B</t>
        </is>
      </c>
      <c r="E6145" t="n">
        <v>66</v>
      </c>
      <c r="F6145" t="n">
        <v>47.544</v>
      </c>
    </row>
    <row r="6146">
      <c r="A6146" t="inlineStr">
        <is>
          <t>ORD06145</t>
        </is>
      </c>
      <c r="B6146" t="inlineStr">
        <is>
          <t>C1145</t>
        </is>
      </c>
      <c r="C6146" t="n">
        <v>1</v>
      </c>
      <c r="D6146" t="inlineStr">
        <is>
          <t>Hub B</t>
        </is>
      </c>
      <c r="E6146" t="n">
        <v>73</v>
      </c>
      <c r="F6146" t="n">
        <v>47.544</v>
      </c>
    </row>
    <row r="6147">
      <c r="A6147" t="inlineStr">
        <is>
          <t>ORD06146</t>
        </is>
      </c>
      <c r="B6147" t="inlineStr">
        <is>
          <t>C1146</t>
        </is>
      </c>
      <c r="C6147" t="n">
        <v>2</v>
      </c>
      <c r="D6147" t="inlineStr">
        <is>
          <t>Hub B</t>
        </is>
      </c>
      <c r="E6147" t="n">
        <v>20</v>
      </c>
      <c r="F6147" t="n">
        <v>47.544</v>
      </c>
    </row>
    <row r="6148">
      <c r="A6148" t="inlineStr">
        <is>
          <t>ORD06147</t>
        </is>
      </c>
      <c r="B6148" t="inlineStr">
        <is>
          <t>C1147</t>
        </is>
      </c>
      <c r="C6148" t="n">
        <v>3</v>
      </c>
      <c r="D6148" t="inlineStr">
        <is>
          <t>Hub B</t>
        </is>
      </c>
      <c r="E6148" t="n">
        <v>27</v>
      </c>
      <c r="F6148" t="n">
        <v>47.544</v>
      </c>
    </row>
    <row r="6149">
      <c r="A6149" t="inlineStr">
        <is>
          <t>ORD06148</t>
        </is>
      </c>
      <c r="B6149" t="inlineStr">
        <is>
          <t>C1148</t>
        </is>
      </c>
      <c r="C6149" t="n">
        <v>1</v>
      </c>
      <c r="D6149" t="inlineStr">
        <is>
          <t>Hub B</t>
        </is>
      </c>
      <c r="E6149" t="n">
        <v>34</v>
      </c>
      <c r="F6149" t="n">
        <v>47.544</v>
      </c>
    </row>
    <row r="6150">
      <c r="A6150" t="inlineStr">
        <is>
          <t>ORD06149</t>
        </is>
      </c>
      <c r="B6150" t="inlineStr">
        <is>
          <t>C1149</t>
        </is>
      </c>
      <c r="C6150" t="n">
        <v>2</v>
      </c>
      <c r="D6150" t="inlineStr">
        <is>
          <t>Hub B</t>
        </is>
      </c>
      <c r="E6150" t="n">
        <v>41</v>
      </c>
      <c r="F6150" t="n">
        <v>47.544</v>
      </c>
    </row>
    <row r="6151">
      <c r="A6151" t="inlineStr">
        <is>
          <t>ORD06150</t>
        </is>
      </c>
      <c r="B6151" t="inlineStr">
        <is>
          <t>C1150</t>
        </is>
      </c>
      <c r="C6151" t="n">
        <v>3</v>
      </c>
      <c r="D6151" t="inlineStr">
        <is>
          <t>Hub B</t>
        </is>
      </c>
      <c r="E6151" t="n">
        <v>48</v>
      </c>
      <c r="F6151" t="n">
        <v>47.544</v>
      </c>
    </row>
    <row r="6152">
      <c r="A6152" t="inlineStr">
        <is>
          <t>ORD06151</t>
        </is>
      </c>
      <c r="B6152" t="inlineStr">
        <is>
          <t>C1151</t>
        </is>
      </c>
      <c r="C6152" t="n">
        <v>1</v>
      </c>
      <c r="D6152" t="inlineStr">
        <is>
          <t>Hub B</t>
        </is>
      </c>
      <c r="E6152" t="n">
        <v>55</v>
      </c>
      <c r="F6152" t="n">
        <v>47.544</v>
      </c>
    </row>
    <row r="6153">
      <c r="A6153" t="inlineStr">
        <is>
          <t>ORD06152</t>
        </is>
      </c>
      <c r="B6153" t="inlineStr">
        <is>
          <t>C1152</t>
        </is>
      </c>
      <c r="C6153" t="n">
        <v>2</v>
      </c>
      <c r="D6153" t="inlineStr">
        <is>
          <t>Hub B</t>
        </is>
      </c>
      <c r="E6153" t="n">
        <v>62</v>
      </c>
      <c r="F6153" t="n">
        <v>47.544</v>
      </c>
    </row>
    <row r="6154">
      <c r="A6154" t="inlineStr">
        <is>
          <t>ORD06153</t>
        </is>
      </c>
      <c r="B6154" t="inlineStr">
        <is>
          <t>C1153</t>
        </is>
      </c>
      <c r="C6154" t="n">
        <v>3</v>
      </c>
      <c r="D6154" t="inlineStr">
        <is>
          <t>Hub B</t>
        </is>
      </c>
      <c r="E6154" t="n">
        <v>69</v>
      </c>
      <c r="F6154" t="n">
        <v>47.544</v>
      </c>
    </row>
    <row r="6155">
      <c r="A6155" t="inlineStr">
        <is>
          <t>ORD06154</t>
        </is>
      </c>
      <c r="B6155" t="inlineStr">
        <is>
          <t>C1154</t>
        </is>
      </c>
      <c r="C6155" t="n">
        <v>1</v>
      </c>
      <c r="D6155" t="inlineStr">
        <is>
          <t>Hub B</t>
        </is>
      </c>
      <c r="E6155" t="n">
        <v>76</v>
      </c>
      <c r="F6155" t="n">
        <v>47.544</v>
      </c>
    </row>
    <row r="6156">
      <c r="A6156" t="inlineStr">
        <is>
          <t>ORD06155</t>
        </is>
      </c>
      <c r="B6156" t="inlineStr">
        <is>
          <t>C1155</t>
        </is>
      </c>
      <c r="C6156" t="n">
        <v>2</v>
      </c>
      <c r="D6156" t="inlineStr">
        <is>
          <t>Hub B</t>
        </is>
      </c>
      <c r="E6156" t="n">
        <v>23</v>
      </c>
      <c r="F6156" t="n">
        <v>47.544</v>
      </c>
    </row>
    <row r="6157">
      <c r="A6157" t="inlineStr">
        <is>
          <t>ORD06156</t>
        </is>
      </c>
      <c r="B6157" t="inlineStr">
        <is>
          <t>C1156</t>
        </is>
      </c>
      <c r="C6157" t="n">
        <v>3</v>
      </c>
      <c r="D6157" t="inlineStr">
        <is>
          <t>Hub B</t>
        </is>
      </c>
      <c r="E6157" t="n">
        <v>30</v>
      </c>
      <c r="F6157" t="n">
        <v>47.544</v>
      </c>
    </row>
    <row r="6158">
      <c r="A6158" t="inlineStr">
        <is>
          <t>ORD06157</t>
        </is>
      </c>
      <c r="B6158" t="inlineStr">
        <is>
          <t>C1157</t>
        </is>
      </c>
      <c r="C6158" t="n">
        <v>1</v>
      </c>
      <c r="D6158" t="inlineStr">
        <is>
          <t>Hub B</t>
        </is>
      </c>
      <c r="E6158" t="n">
        <v>37</v>
      </c>
      <c r="F6158" t="n">
        <v>47.544</v>
      </c>
    </row>
    <row r="6159">
      <c r="A6159" t="inlineStr">
        <is>
          <t>ORD06158</t>
        </is>
      </c>
      <c r="B6159" t="inlineStr">
        <is>
          <t>C1158</t>
        </is>
      </c>
      <c r="C6159" t="n">
        <v>2</v>
      </c>
      <c r="D6159" t="inlineStr">
        <is>
          <t>Hub B</t>
        </is>
      </c>
      <c r="E6159" t="n">
        <v>44</v>
      </c>
      <c r="F6159" t="n">
        <v>47.544</v>
      </c>
    </row>
    <row r="6160">
      <c r="A6160" t="inlineStr">
        <is>
          <t>ORD06159</t>
        </is>
      </c>
      <c r="B6160" t="inlineStr">
        <is>
          <t>C1159</t>
        </is>
      </c>
      <c r="C6160" t="n">
        <v>3</v>
      </c>
      <c r="D6160" t="inlineStr">
        <is>
          <t>Hub B</t>
        </is>
      </c>
      <c r="E6160" t="n">
        <v>51</v>
      </c>
      <c r="F6160" t="n">
        <v>47.544</v>
      </c>
    </row>
    <row r="6161">
      <c r="A6161" t="inlineStr">
        <is>
          <t>ORD06160</t>
        </is>
      </c>
      <c r="B6161" t="inlineStr">
        <is>
          <t>C1160</t>
        </is>
      </c>
      <c r="C6161" t="n">
        <v>1</v>
      </c>
      <c r="D6161" t="inlineStr">
        <is>
          <t>Hub B</t>
        </is>
      </c>
      <c r="E6161" t="n">
        <v>58</v>
      </c>
      <c r="F6161" t="n">
        <v>47.544</v>
      </c>
    </row>
    <row r="6162">
      <c r="A6162" t="inlineStr">
        <is>
          <t>ORD06161</t>
        </is>
      </c>
      <c r="B6162" t="inlineStr">
        <is>
          <t>C1161</t>
        </is>
      </c>
      <c r="C6162" t="n">
        <v>2</v>
      </c>
      <c r="D6162" t="inlineStr">
        <is>
          <t>Hub B</t>
        </is>
      </c>
      <c r="E6162" t="n">
        <v>65</v>
      </c>
      <c r="F6162" t="n">
        <v>47.544</v>
      </c>
    </row>
    <row r="6163">
      <c r="A6163" t="inlineStr">
        <is>
          <t>ORD06162</t>
        </is>
      </c>
      <c r="B6163" t="inlineStr">
        <is>
          <t>C1162</t>
        </is>
      </c>
      <c r="C6163" t="n">
        <v>3</v>
      </c>
      <c r="D6163" t="inlineStr">
        <is>
          <t>Hub B</t>
        </is>
      </c>
      <c r="E6163" t="n">
        <v>72</v>
      </c>
      <c r="F6163" t="n">
        <v>47.544</v>
      </c>
    </row>
    <row r="6164">
      <c r="A6164" t="inlineStr">
        <is>
          <t>ORD06163</t>
        </is>
      </c>
      <c r="B6164" t="inlineStr">
        <is>
          <t>C1163</t>
        </is>
      </c>
      <c r="C6164" t="n">
        <v>1</v>
      </c>
      <c r="D6164" t="inlineStr">
        <is>
          <t>Hub B</t>
        </is>
      </c>
      <c r="E6164" t="n">
        <v>19</v>
      </c>
      <c r="F6164" t="n">
        <v>47.544</v>
      </c>
    </row>
    <row r="6165">
      <c r="A6165" t="inlineStr">
        <is>
          <t>ORD06164</t>
        </is>
      </c>
      <c r="B6165" t="inlineStr">
        <is>
          <t>C1164</t>
        </is>
      </c>
      <c r="C6165" t="n">
        <v>2</v>
      </c>
      <c r="D6165" t="inlineStr">
        <is>
          <t>Hub B</t>
        </is>
      </c>
      <c r="E6165" t="n">
        <v>26</v>
      </c>
      <c r="F6165" t="n">
        <v>47.544</v>
      </c>
    </row>
    <row r="6166">
      <c r="A6166" t="inlineStr">
        <is>
          <t>ORD06165</t>
        </is>
      </c>
      <c r="B6166" t="inlineStr">
        <is>
          <t>C1165</t>
        </is>
      </c>
      <c r="C6166" t="n">
        <v>3</v>
      </c>
      <c r="D6166" t="inlineStr">
        <is>
          <t>Hub B</t>
        </is>
      </c>
      <c r="E6166" t="n">
        <v>33</v>
      </c>
      <c r="F6166" t="n">
        <v>47.544</v>
      </c>
    </row>
    <row r="6167">
      <c r="A6167" t="inlineStr">
        <is>
          <t>ORD06166</t>
        </is>
      </c>
      <c r="B6167" t="inlineStr">
        <is>
          <t>C1166</t>
        </is>
      </c>
      <c r="C6167" t="n">
        <v>1</v>
      </c>
      <c r="D6167" t="inlineStr">
        <is>
          <t>Hub B</t>
        </is>
      </c>
      <c r="E6167" t="n">
        <v>40</v>
      </c>
      <c r="F6167" t="n">
        <v>47.544</v>
      </c>
    </row>
    <row r="6168">
      <c r="A6168" t="inlineStr">
        <is>
          <t>ORD06167</t>
        </is>
      </c>
      <c r="B6168" t="inlineStr">
        <is>
          <t>C1167</t>
        </is>
      </c>
      <c r="C6168" t="n">
        <v>2</v>
      </c>
      <c r="D6168" t="inlineStr">
        <is>
          <t>Hub B</t>
        </is>
      </c>
      <c r="E6168" t="n">
        <v>47</v>
      </c>
      <c r="F6168" t="n">
        <v>47.544</v>
      </c>
    </row>
    <row r="6169">
      <c r="A6169" t="inlineStr">
        <is>
          <t>ORD06168</t>
        </is>
      </c>
      <c r="B6169" t="inlineStr">
        <is>
          <t>C1168</t>
        </is>
      </c>
      <c r="C6169" t="n">
        <v>3</v>
      </c>
      <c r="D6169" t="inlineStr">
        <is>
          <t>Hub B</t>
        </is>
      </c>
      <c r="E6169" t="n">
        <v>54</v>
      </c>
      <c r="F6169" t="n">
        <v>47.544</v>
      </c>
    </row>
    <row r="6170">
      <c r="A6170" t="inlineStr">
        <is>
          <t>ORD06169</t>
        </is>
      </c>
      <c r="B6170" t="inlineStr">
        <is>
          <t>C1169</t>
        </is>
      </c>
      <c r="C6170" t="n">
        <v>1</v>
      </c>
      <c r="D6170" t="inlineStr">
        <is>
          <t>Hub B</t>
        </is>
      </c>
      <c r="E6170" t="n">
        <v>61</v>
      </c>
      <c r="F6170" t="n">
        <v>47.544</v>
      </c>
    </row>
    <row r="6171">
      <c r="A6171" t="inlineStr">
        <is>
          <t>ORD06170</t>
        </is>
      </c>
      <c r="B6171" t="inlineStr">
        <is>
          <t>C1170</t>
        </is>
      </c>
      <c r="C6171" t="n">
        <v>2</v>
      </c>
      <c r="D6171" t="inlineStr">
        <is>
          <t>Hub B</t>
        </is>
      </c>
      <c r="E6171" t="n">
        <v>68</v>
      </c>
      <c r="F6171" t="n">
        <v>47.544</v>
      </c>
    </row>
    <row r="6172">
      <c r="A6172" t="inlineStr">
        <is>
          <t>ORD06171</t>
        </is>
      </c>
      <c r="B6172" t="inlineStr">
        <is>
          <t>C1171</t>
        </is>
      </c>
      <c r="C6172" t="n">
        <v>3</v>
      </c>
      <c r="D6172" t="inlineStr">
        <is>
          <t>Hub B</t>
        </is>
      </c>
      <c r="E6172" t="n">
        <v>75</v>
      </c>
      <c r="F6172" t="n">
        <v>47.544</v>
      </c>
    </row>
    <row r="6173">
      <c r="A6173" t="inlineStr">
        <is>
          <t>ORD06172</t>
        </is>
      </c>
      <c r="B6173" t="inlineStr">
        <is>
          <t>C1172</t>
        </is>
      </c>
      <c r="C6173" t="n">
        <v>1</v>
      </c>
      <c r="D6173" t="inlineStr">
        <is>
          <t>Hub B</t>
        </is>
      </c>
      <c r="E6173" t="n">
        <v>22</v>
      </c>
      <c r="F6173" t="n">
        <v>47.544</v>
      </c>
    </row>
    <row r="6174">
      <c r="A6174" t="inlineStr">
        <is>
          <t>ORD06173</t>
        </is>
      </c>
      <c r="B6174" t="inlineStr">
        <is>
          <t>C1173</t>
        </is>
      </c>
      <c r="C6174" t="n">
        <v>2</v>
      </c>
      <c r="D6174" t="inlineStr">
        <is>
          <t>Hub B</t>
        </is>
      </c>
      <c r="E6174" t="n">
        <v>29</v>
      </c>
      <c r="F6174" t="n">
        <v>47.544</v>
      </c>
    </row>
    <row r="6175">
      <c r="A6175" t="inlineStr">
        <is>
          <t>ORD06174</t>
        </is>
      </c>
      <c r="B6175" t="inlineStr">
        <is>
          <t>C1174</t>
        </is>
      </c>
      <c r="C6175" t="n">
        <v>3</v>
      </c>
      <c r="D6175" t="inlineStr">
        <is>
          <t>Hub B</t>
        </is>
      </c>
      <c r="E6175" t="n">
        <v>36</v>
      </c>
      <c r="F6175" t="n">
        <v>47.544</v>
      </c>
    </row>
    <row r="6176">
      <c r="A6176" t="inlineStr">
        <is>
          <t>ORD06175</t>
        </is>
      </c>
      <c r="B6176" t="inlineStr">
        <is>
          <t>C1175</t>
        </is>
      </c>
      <c r="C6176" t="n">
        <v>1</v>
      </c>
      <c r="D6176" t="inlineStr">
        <is>
          <t>Hub B</t>
        </is>
      </c>
      <c r="E6176" t="n">
        <v>43</v>
      </c>
      <c r="F6176" t="n">
        <v>47.544</v>
      </c>
    </row>
    <row r="6177">
      <c r="A6177" t="inlineStr">
        <is>
          <t>ORD06176</t>
        </is>
      </c>
      <c r="B6177" t="inlineStr">
        <is>
          <t>C1176</t>
        </is>
      </c>
      <c r="C6177" t="n">
        <v>2</v>
      </c>
      <c r="D6177" t="inlineStr">
        <is>
          <t>Hub B</t>
        </is>
      </c>
      <c r="E6177" t="n">
        <v>50</v>
      </c>
      <c r="F6177" t="n">
        <v>47.544</v>
      </c>
    </row>
    <row r="6178">
      <c r="A6178" t="inlineStr">
        <is>
          <t>ORD06177</t>
        </is>
      </c>
      <c r="B6178" t="inlineStr">
        <is>
          <t>C1177</t>
        </is>
      </c>
      <c r="C6178" t="n">
        <v>3</v>
      </c>
      <c r="D6178" t="inlineStr">
        <is>
          <t>Hub B</t>
        </is>
      </c>
      <c r="E6178" t="n">
        <v>57</v>
      </c>
      <c r="F6178" t="n">
        <v>47.544</v>
      </c>
    </row>
    <row r="6179">
      <c r="A6179" t="inlineStr">
        <is>
          <t>ORD06178</t>
        </is>
      </c>
      <c r="B6179" t="inlineStr">
        <is>
          <t>C1178</t>
        </is>
      </c>
      <c r="C6179" t="n">
        <v>1</v>
      </c>
      <c r="D6179" t="inlineStr">
        <is>
          <t>Hub B</t>
        </is>
      </c>
      <c r="E6179" t="n">
        <v>64</v>
      </c>
      <c r="F6179" t="n">
        <v>47.544</v>
      </c>
    </row>
    <row r="6180">
      <c r="A6180" t="inlineStr">
        <is>
          <t>ORD06179</t>
        </is>
      </c>
      <c r="B6180" t="inlineStr">
        <is>
          <t>C1179</t>
        </is>
      </c>
      <c r="C6180" t="n">
        <v>2</v>
      </c>
      <c r="D6180" t="inlineStr">
        <is>
          <t>Hub B</t>
        </is>
      </c>
      <c r="E6180" t="n">
        <v>71</v>
      </c>
      <c r="F6180" t="n">
        <v>47.544</v>
      </c>
    </row>
    <row r="6181">
      <c r="A6181" t="inlineStr">
        <is>
          <t>ORD06180</t>
        </is>
      </c>
      <c r="B6181" t="inlineStr">
        <is>
          <t>C1180</t>
        </is>
      </c>
      <c r="C6181" t="n">
        <v>3</v>
      </c>
      <c r="D6181" t="inlineStr">
        <is>
          <t>Hub B</t>
        </is>
      </c>
      <c r="E6181" t="n">
        <v>18</v>
      </c>
      <c r="F6181" t="n">
        <v>47.544</v>
      </c>
    </row>
    <row r="6182">
      <c r="A6182" t="inlineStr">
        <is>
          <t>ORD06181</t>
        </is>
      </c>
      <c r="B6182" t="inlineStr">
        <is>
          <t>C1181</t>
        </is>
      </c>
      <c r="C6182" t="n">
        <v>1</v>
      </c>
      <c r="D6182" t="inlineStr">
        <is>
          <t>Hub B</t>
        </is>
      </c>
      <c r="E6182" t="n">
        <v>25</v>
      </c>
      <c r="F6182" t="n">
        <v>47.544</v>
      </c>
    </row>
    <row r="6183">
      <c r="A6183" t="inlineStr">
        <is>
          <t>ORD06182</t>
        </is>
      </c>
      <c r="B6183" t="inlineStr">
        <is>
          <t>C1182</t>
        </is>
      </c>
      <c r="C6183" t="n">
        <v>2</v>
      </c>
      <c r="D6183" t="inlineStr">
        <is>
          <t>Hub B</t>
        </is>
      </c>
      <c r="E6183" t="n">
        <v>32</v>
      </c>
      <c r="F6183" t="n">
        <v>47.544</v>
      </c>
    </row>
    <row r="6184">
      <c r="A6184" t="inlineStr">
        <is>
          <t>ORD06183</t>
        </is>
      </c>
      <c r="B6184" t="inlineStr">
        <is>
          <t>C1183</t>
        </is>
      </c>
      <c r="C6184" t="n">
        <v>3</v>
      </c>
      <c r="D6184" t="inlineStr">
        <is>
          <t>Hub B</t>
        </is>
      </c>
      <c r="E6184" t="n">
        <v>39</v>
      </c>
      <c r="F6184" t="n">
        <v>47.544</v>
      </c>
    </row>
    <row r="6185">
      <c r="A6185" t="inlineStr">
        <is>
          <t>ORD06184</t>
        </is>
      </c>
      <c r="B6185" t="inlineStr">
        <is>
          <t>C1184</t>
        </is>
      </c>
      <c r="C6185" t="n">
        <v>1</v>
      </c>
      <c r="D6185" t="inlineStr">
        <is>
          <t>Hub B</t>
        </is>
      </c>
      <c r="E6185" t="n">
        <v>46</v>
      </c>
      <c r="F6185" t="n">
        <v>47.544</v>
      </c>
    </row>
    <row r="6186">
      <c r="A6186" t="inlineStr">
        <is>
          <t>ORD06185</t>
        </is>
      </c>
      <c r="B6186" t="inlineStr">
        <is>
          <t>C1185</t>
        </is>
      </c>
      <c r="C6186" t="n">
        <v>2</v>
      </c>
      <c r="D6186" t="inlineStr">
        <is>
          <t>Hub B</t>
        </is>
      </c>
      <c r="E6186" t="n">
        <v>53</v>
      </c>
      <c r="F6186" t="n">
        <v>47.544</v>
      </c>
    </row>
    <row r="6187">
      <c r="A6187" t="inlineStr">
        <is>
          <t>ORD06186</t>
        </is>
      </c>
      <c r="B6187" t="inlineStr">
        <is>
          <t>C1186</t>
        </is>
      </c>
      <c r="C6187" t="n">
        <v>3</v>
      </c>
      <c r="D6187" t="inlineStr">
        <is>
          <t>Hub B</t>
        </is>
      </c>
      <c r="E6187" t="n">
        <v>60</v>
      </c>
      <c r="F6187" t="n">
        <v>47.544</v>
      </c>
    </row>
    <row r="6188">
      <c r="A6188" t="inlineStr">
        <is>
          <t>ORD06187</t>
        </is>
      </c>
      <c r="B6188" t="inlineStr">
        <is>
          <t>C1187</t>
        </is>
      </c>
      <c r="C6188" t="n">
        <v>1</v>
      </c>
      <c r="D6188" t="inlineStr">
        <is>
          <t>Hub B</t>
        </is>
      </c>
      <c r="E6188" t="n">
        <v>67</v>
      </c>
      <c r="F6188" t="n">
        <v>47.544</v>
      </c>
    </row>
    <row r="6189">
      <c r="A6189" t="inlineStr">
        <is>
          <t>ORD06188</t>
        </is>
      </c>
      <c r="B6189" t="inlineStr">
        <is>
          <t>C1188</t>
        </is>
      </c>
      <c r="C6189" t="n">
        <v>2</v>
      </c>
      <c r="D6189" t="inlineStr">
        <is>
          <t>Hub B</t>
        </is>
      </c>
      <c r="E6189" t="n">
        <v>74</v>
      </c>
      <c r="F6189" t="n">
        <v>47.544</v>
      </c>
    </row>
    <row r="6190">
      <c r="A6190" t="inlineStr">
        <is>
          <t>ORD06189</t>
        </is>
      </c>
      <c r="B6190" t="inlineStr">
        <is>
          <t>C1189</t>
        </is>
      </c>
      <c r="C6190" t="n">
        <v>3</v>
      </c>
      <c r="D6190" t="inlineStr">
        <is>
          <t>Hub B</t>
        </is>
      </c>
      <c r="E6190" t="n">
        <v>21</v>
      </c>
      <c r="F6190" t="n">
        <v>47.544</v>
      </c>
    </row>
    <row r="6191">
      <c r="A6191" t="inlineStr">
        <is>
          <t>ORD06190</t>
        </is>
      </c>
      <c r="B6191" t="inlineStr">
        <is>
          <t>C1190</t>
        </is>
      </c>
      <c r="C6191" t="n">
        <v>1</v>
      </c>
      <c r="D6191" t="inlineStr">
        <is>
          <t>Hub B</t>
        </is>
      </c>
      <c r="E6191" t="n">
        <v>28</v>
      </c>
      <c r="F6191" t="n">
        <v>47.544</v>
      </c>
    </row>
    <row r="6192">
      <c r="A6192" t="inlineStr">
        <is>
          <t>ORD06191</t>
        </is>
      </c>
      <c r="B6192" t="inlineStr">
        <is>
          <t>C1191</t>
        </is>
      </c>
      <c r="C6192" t="n">
        <v>2</v>
      </c>
      <c r="D6192" t="inlineStr">
        <is>
          <t>Hub B</t>
        </is>
      </c>
      <c r="E6192" t="n">
        <v>35</v>
      </c>
      <c r="F6192" t="n">
        <v>47.544</v>
      </c>
    </row>
    <row r="6193">
      <c r="A6193" t="inlineStr">
        <is>
          <t>ORD06192</t>
        </is>
      </c>
      <c r="B6193" t="inlineStr">
        <is>
          <t>C1192</t>
        </is>
      </c>
      <c r="C6193" t="n">
        <v>3</v>
      </c>
      <c r="D6193" t="inlineStr">
        <is>
          <t>Hub B</t>
        </is>
      </c>
      <c r="E6193" t="n">
        <v>42</v>
      </c>
      <c r="F6193" t="n">
        <v>47.544</v>
      </c>
    </row>
    <row r="6194">
      <c r="A6194" t="inlineStr">
        <is>
          <t>ORD06193</t>
        </is>
      </c>
      <c r="B6194" t="inlineStr">
        <is>
          <t>C1193</t>
        </is>
      </c>
      <c r="C6194" t="n">
        <v>1</v>
      </c>
      <c r="D6194" t="inlineStr">
        <is>
          <t>Hub B</t>
        </is>
      </c>
      <c r="E6194" t="n">
        <v>49</v>
      </c>
      <c r="F6194" t="n">
        <v>47.544</v>
      </c>
    </row>
    <row r="6195">
      <c r="A6195" t="inlineStr">
        <is>
          <t>ORD06194</t>
        </is>
      </c>
      <c r="B6195" t="inlineStr">
        <is>
          <t>C1194</t>
        </is>
      </c>
      <c r="C6195" t="n">
        <v>2</v>
      </c>
      <c r="D6195" t="inlineStr">
        <is>
          <t>Hub B</t>
        </is>
      </c>
      <c r="E6195" t="n">
        <v>56</v>
      </c>
      <c r="F6195" t="n">
        <v>47.544</v>
      </c>
    </row>
    <row r="6196">
      <c r="A6196" t="inlineStr">
        <is>
          <t>ORD06195</t>
        </is>
      </c>
      <c r="B6196" t="inlineStr">
        <is>
          <t>C1195</t>
        </is>
      </c>
      <c r="C6196" t="n">
        <v>3</v>
      </c>
      <c r="D6196" t="inlineStr">
        <is>
          <t>Hub B</t>
        </is>
      </c>
      <c r="E6196" t="n">
        <v>63</v>
      </c>
      <c r="F6196" t="n">
        <v>47.544</v>
      </c>
    </row>
    <row r="6197">
      <c r="A6197" t="inlineStr">
        <is>
          <t>ORD06196</t>
        </is>
      </c>
      <c r="B6197" t="inlineStr">
        <is>
          <t>C1196</t>
        </is>
      </c>
      <c r="C6197" t="n">
        <v>1</v>
      </c>
      <c r="D6197" t="inlineStr">
        <is>
          <t>Hub B</t>
        </is>
      </c>
      <c r="E6197" t="n">
        <v>70</v>
      </c>
      <c r="F6197" t="n">
        <v>47.544</v>
      </c>
    </row>
    <row r="6198">
      <c r="A6198" t="inlineStr">
        <is>
          <t>ORD06197</t>
        </is>
      </c>
      <c r="B6198" t="inlineStr">
        <is>
          <t>C1197</t>
        </is>
      </c>
      <c r="C6198" t="n">
        <v>2</v>
      </c>
      <c r="D6198" t="inlineStr">
        <is>
          <t>Hub B</t>
        </is>
      </c>
      <c r="E6198" t="n">
        <v>77</v>
      </c>
      <c r="F6198" t="n">
        <v>47.544</v>
      </c>
    </row>
    <row r="6199">
      <c r="A6199" t="inlineStr">
        <is>
          <t>ORD06198</t>
        </is>
      </c>
      <c r="B6199" t="inlineStr">
        <is>
          <t>C1198</t>
        </is>
      </c>
      <c r="C6199" t="n">
        <v>3</v>
      </c>
      <c r="D6199" t="inlineStr">
        <is>
          <t>Hub B</t>
        </is>
      </c>
      <c r="E6199" t="n">
        <v>24</v>
      </c>
      <c r="F6199" t="n">
        <v>47.544</v>
      </c>
    </row>
    <row r="6200">
      <c r="A6200" t="inlineStr">
        <is>
          <t>ORD06199</t>
        </is>
      </c>
      <c r="B6200" t="inlineStr">
        <is>
          <t>C1199</t>
        </is>
      </c>
      <c r="C6200" t="n">
        <v>1</v>
      </c>
      <c r="D6200" t="inlineStr">
        <is>
          <t>Hub B</t>
        </is>
      </c>
      <c r="E6200" t="n">
        <v>31</v>
      </c>
      <c r="F6200" t="n">
        <v>47.544</v>
      </c>
    </row>
    <row r="6201">
      <c r="A6201" t="inlineStr">
        <is>
          <t>ORD06200</t>
        </is>
      </c>
      <c r="B6201" t="inlineStr">
        <is>
          <t>C1200</t>
        </is>
      </c>
      <c r="C6201" t="n">
        <v>2</v>
      </c>
      <c r="D6201" t="inlineStr">
        <is>
          <t>Hub B</t>
        </is>
      </c>
      <c r="E6201" t="n">
        <v>38</v>
      </c>
      <c r="F6201" t="n">
        <v>47.544</v>
      </c>
    </row>
    <row r="6202">
      <c r="A6202" t="inlineStr">
        <is>
          <t>ORD06201</t>
        </is>
      </c>
      <c r="B6202" t="inlineStr">
        <is>
          <t>C1201</t>
        </is>
      </c>
      <c r="C6202" t="n">
        <v>3</v>
      </c>
      <c r="D6202" t="inlineStr">
        <is>
          <t>Hub B</t>
        </is>
      </c>
      <c r="E6202" t="n">
        <v>45</v>
      </c>
      <c r="F6202" t="n">
        <v>47.544</v>
      </c>
    </row>
    <row r="6203">
      <c r="A6203" t="inlineStr">
        <is>
          <t>ORD06202</t>
        </is>
      </c>
      <c r="B6203" t="inlineStr">
        <is>
          <t>C1202</t>
        </is>
      </c>
      <c r="C6203" t="n">
        <v>1</v>
      </c>
      <c r="D6203" t="inlineStr">
        <is>
          <t>Hub B</t>
        </is>
      </c>
      <c r="E6203" t="n">
        <v>52</v>
      </c>
      <c r="F6203" t="n">
        <v>47.544</v>
      </c>
    </row>
    <row r="6204">
      <c r="A6204" t="inlineStr">
        <is>
          <t>ORD06203</t>
        </is>
      </c>
      <c r="B6204" t="inlineStr">
        <is>
          <t>C1203</t>
        </is>
      </c>
      <c r="C6204" t="n">
        <v>2</v>
      </c>
      <c r="D6204" t="inlineStr">
        <is>
          <t>Hub B</t>
        </is>
      </c>
      <c r="E6204" t="n">
        <v>59</v>
      </c>
      <c r="F6204" t="n">
        <v>47.544</v>
      </c>
    </row>
    <row r="6205">
      <c r="A6205" t="inlineStr">
        <is>
          <t>ORD06204</t>
        </is>
      </c>
      <c r="B6205" t="inlineStr">
        <is>
          <t>C1204</t>
        </is>
      </c>
      <c r="C6205" t="n">
        <v>3</v>
      </c>
      <c r="D6205" t="inlineStr">
        <is>
          <t>Hub B</t>
        </is>
      </c>
      <c r="E6205" t="n">
        <v>66</v>
      </c>
      <c r="F6205" t="n">
        <v>47.544</v>
      </c>
    </row>
    <row r="6206">
      <c r="A6206" t="inlineStr">
        <is>
          <t>ORD06205</t>
        </is>
      </c>
      <c r="B6206" t="inlineStr">
        <is>
          <t>C1205</t>
        </is>
      </c>
      <c r="C6206" t="n">
        <v>1</v>
      </c>
      <c r="D6206" t="inlineStr">
        <is>
          <t>Hub B</t>
        </is>
      </c>
      <c r="E6206" t="n">
        <v>73</v>
      </c>
      <c r="F6206" t="n">
        <v>47.544</v>
      </c>
    </row>
    <row r="6207">
      <c r="A6207" t="inlineStr">
        <is>
          <t>ORD06206</t>
        </is>
      </c>
      <c r="B6207" t="inlineStr">
        <is>
          <t>C1206</t>
        </is>
      </c>
      <c r="C6207" t="n">
        <v>2</v>
      </c>
      <c r="D6207" t="inlineStr">
        <is>
          <t>Hub B</t>
        </is>
      </c>
      <c r="E6207" t="n">
        <v>20</v>
      </c>
      <c r="F6207" t="n">
        <v>47.544</v>
      </c>
    </row>
    <row r="6208">
      <c r="A6208" t="inlineStr">
        <is>
          <t>ORD06207</t>
        </is>
      </c>
      <c r="B6208" t="inlineStr">
        <is>
          <t>C1207</t>
        </is>
      </c>
      <c r="C6208" t="n">
        <v>3</v>
      </c>
      <c r="D6208" t="inlineStr">
        <is>
          <t>Hub B</t>
        </is>
      </c>
      <c r="E6208" t="n">
        <v>27</v>
      </c>
      <c r="F6208" t="n">
        <v>47.544</v>
      </c>
    </row>
    <row r="6209">
      <c r="A6209" t="inlineStr">
        <is>
          <t>ORD06208</t>
        </is>
      </c>
      <c r="B6209" t="inlineStr">
        <is>
          <t>C1208</t>
        </is>
      </c>
      <c r="C6209" t="n">
        <v>1</v>
      </c>
      <c r="D6209" t="inlineStr">
        <is>
          <t>Hub B</t>
        </is>
      </c>
      <c r="E6209" t="n">
        <v>34</v>
      </c>
      <c r="F6209" t="n">
        <v>47.544</v>
      </c>
    </row>
    <row r="6210">
      <c r="A6210" t="inlineStr">
        <is>
          <t>ORD06209</t>
        </is>
      </c>
      <c r="B6210" t="inlineStr">
        <is>
          <t>C1209</t>
        </is>
      </c>
      <c r="C6210" t="n">
        <v>2</v>
      </c>
      <c r="D6210" t="inlineStr">
        <is>
          <t>Hub B</t>
        </is>
      </c>
      <c r="E6210" t="n">
        <v>41</v>
      </c>
      <c r="F6210" t="n">
        <v>47.544</v>
      </c>
    </row>
    <row r="6211">
      <c r="A6211" t="inlineStr">
        <is>
          <t>ORD06210</t>
        </is>
      </c>
      <c r="B6211" t="inlineStr">
        <is>
          <t>C1210</t>
        </is>
      </c>
      <c r="C6211" t="n">
        <v>3</v>
      </c>
      <c r="D6211" t="inlineStr">
        <is>
          <t>Hub B</t>
        </is>
      </c>
      <c r="E6211" t="n">
        <v>48</v>
      </c>
      <c r="F6211" t="n">
        <v>47.544</v>
      </c>
    </row>
    <row r="6212">
      <c r="A6212" t="inlineStr">
        <is>
          <t>ORD06211</t>
        </is>
      </c>
      <c r="B6212" t="inlineStr">
        <is>
          <t>C1211</t>
        </is>
      </c>
      <c r="C6212" t="n">
        <v>1</v>
      </c>
      <c r="D6212" t="inlineStr">
        <is>
          <t>Hub B</t>
        </is>
      </c>
      <c r="E6212" t="n">
        <v>55</v>
      </c>
      <c r="F6212" t="n">
        <v>47.544</v>
      </c>
    </row>
    <row r="6213">
      <c r="A6213" t="inlineStr">
        <is>
          <t>ORD06212</t>
        </is>
      </c>
      <c r="B6213" t="inlineStr">
        <is>
          <t>C1212</t>
        </is>
      </c>
      <c r="C6213" t="n">
        <v>2</v>
      </c>
      <c r="D6213" t="inlineStr">
        <is>
          <t>Hub B</t>
        </is>
      </c>
      <c r="E6213" t="n">
        <v>62</v>
      </c>
      <c r="F6213" t="n">
        <v>47.544</v>
      </c>
    </row>
    <row r="6214">
      <c r="A6214" t="inlineStr">
        <is>
          <t>ORD06213</t>
        </is>
      </c>
      <c r="B6214" t="inlineStr">
        <is>
          <t>C1213</t>
        </is>
      </c>
      <c r="C6214" t="n">
        <v>3</v>
      </c>
      <c r="D6214" t="inlineStr">
        <is>
          <t>Hub B</t>
        </is>
      </c>
      <c r="E6214" t="n">
        <v>69</v>
      </c>
      <c r="F6214" t="n">
        <v>47.544</v>
      </c>
    </row>
    <row r="6215">
      <c r="A6215" t="inlineStr">
        <is>
          <t>ORD06214</t>
        </is>
      </c>
      <c r="B6215" t="inlineStr">
        <is>
          <t>C1214</t>
        </is>
      </c>
      <c r="C6215" t="n">
        <v>1</v>
      </c>
      <c r="D6215" t="inlineStr">
        <is>
          <t>Hub B</t>
        </is>
      </c>
      <c r="E6215" t="n">
        <v>76</v>
      </c>
      <c r="F6215" t="n">
        <v>47.544</v>
      </c>
    </row>
    <row r="6216">
      <c r="A6216" t="inlineStr">
        <is>
          <t>ORD06215</t>
        </is>
      </c>
      <c r="B6216" t="inlineStr">
        <is>
          <t>C1215</t>
        </is>
      </c>
      <c r="C6216" t="n">
        <v>2</v>
      </c>
      <c r="D6216" t="inlineStr">
        <is>
          <t>Hub B</t>
        </is>
      </c>
      <c r="E6216" t="n">
        <v>23</v>
      </c>
      <c r="F6216" t="n">
        <v>47.544</v>
      </c>
    </row>
    <row r="6217">
      <c r="A6217" t="inlineStr">
        <is>
          <t>ORD06216</t>
        </is>
      </c>
      <c r="B6217" t="inlineStr">
        <is>
          <t>C1216</t>
        </is>
      </c>
      <c r="C6217" t="n">
        <v>3</v>
      </c>
      <c r="D6217" t="inlineStr">
        <is>
          <t>Hub B</t>
        </is>
      </c>
      <c r="E6217" t="n">
        <v>30</v>
      </c>
      <c r="F6217" t="n">
        <v>47.544</v>
      </c>
    </row>
    <row r="6218">
      <c r="A6218" t="inlineStr">
        <is>
          <t>ORD06217</t>
        </is>
      </c>
      <c r="B6218" t="inlineStr">
        <is>
          <t>C1217</t>
        </is>
      </c>
      <c r="C6218" t="n">
        <v>1</v>
      </c>
      <c r="D6218" t="inlineStr">
        <is>
          <t>Hub B</t>
        </is>
      </c>
      <c r="E6218" t="n">
        <v>37</v>
      </c>
      <c r="F6218" t="n">
        <v>47.544</v>
      </c>
    </row>
    <row r="6219">
      <c r="A6219" t="inlineStr">
        <is>
          <t>ORD06218</t>
        </is>
      </c>
      <c r="B6219" t="inlineStr">
        <is>
          <t>C1218</t>
        </is>
      </c>
      <c r="C6219" t="n">
        <v>2</v>
      </c>
      <c r="D6219" t="inlineStr">
        <is>
          <t>Hub B</t>
        </is>
      </c>
      <c r="E6219" t="n">
        <v>44</v>
      </c>
      <c r="F6219" t="n">
        <v>47.544</v>
      </c>
    </row>
    <row r="6220">
      <c r="A6220" t="inlineStr">
        <is>
          <t>ORD06219</t>
        </is>
      </c>
      <c r="B6220" t="inlineStr">
        <is>
          <t>C1219</t>
        </is>
      </c>
      <c r="C6220" t="n">
        <v>3</v>
      </c>
      <c r="D6220" t="inlineStr">
        <is>
          <t>Hub B</t>
        </is>
      </c>
      <c r="E6220" t="n">
        <v>51</v>
      </c>
      <c r="F6220" t="n">
        <v>47.544</v>
      </c>
    </row>
    <row r="6221">
      <c r="A6221" t="inlineStr">
        <is>
          <t>ORD06220</t>
        </is>
      </c>
      <c r="B6221" t="inlineStr">
        <is>
          <t>C1220</t>
        </is>
      </c>
      <c r="C6221" t="n">
        <v>1</v>
      </c>
      <c r="D6221" t="inlineStr">
        <is>
          <t>Hub B</t>
        </is>
      </c>
      <c r="E6221" t="n">
        <v>58</v>
      </c>
      <c r="F6221" t="n">
        <v>47.544</v>
      </c>
    </row>
    <row r="6222">
      <c r="A6222" t="inlineStr">
        <is>
          <t>ORD06221</t>
        </is>
      </c>
      <c r="B6222" t="inlineStr">
        <is>
          <t>C1221</t>
        </is>
      </c>
      <c r="C6222" t="n">
        <v>2</v>
      </c>
      <c r="D6222" t="inlineStr">
        <is>
          <t>Hub B</t>
        </is>
      </c>
      <c r="E6222" t="n">
        <v>65</v>
      </c>
      <c r="F6222" t="n">
        <v>47.544</v>
      </c>
    </row>
    <row r="6223">
      <c r="A6223" t="inlineStr">
        <is>
          <t>ORD06222</t>
        </is>
      </c>
      <c r="B6223" t="inlineStr">
        <is>
          <t>C1222</t>
        </is>
      </c>
      <c r="C6223" t="n">
        <v>3</v>
      </c>
      <c r="D6223" t="inlineStr">
        <is>
          <t>Hub B</t>
        </is>
      </c>
      <c r="E6223" t="n">
        <v>72</v>
      </c>
      <c r="F6223" t="n">
        <v>47.544</v>
      </c>
    </row>
    <row r="6224">
      <c r="A6224" t="inlineStr">
        <is>
          <t>ORD06223</t>
        </is>
      </c>
      <c r="B6224" t="inlineStr">
        <is>
          <t>C1223</t>
        </is>
      </c>
      <c r="C6224" t="n">
        <v>1</v>
      </c>
      <c r="D6224" t="inlineStr">
        <is>
          <t>Hub B</t>
        </is>
      </c>
      <c r="E6224" t="n">
        <v>19</v>
      </c>
      <c r="F6224" t="n">
        <v>47.544</v>
      </c>
    </row>
    <row r="6225">
      <c r="A6225" t="inlineStr">
        <is>
          <t>ORD06224</t>
        </is>
      </c>
      <c r="B6225" t="inlineStr">
        <is>
          <t>C1224</t>
        </is>
      </c>
      <c r="C6225" t="n">
        <v>2</v>
      </c>
      <c r="D6225" t="inlineStr">
        <is>
          <t>Hub B</t>
        </is>
      </c>
      <c r="E6225" t="n">
        <v>26</v>
      </c>
      <c r="F6225" t="n">
        <v>47.544</v>
      </c>
    </row>
    <row r="6226">
      <c r="A6226" t="inlineStr">
        <is>
          <t>ORD06225</t>
        </is>
      </c>
      <c r="B6226" t="inlineStr">
        <is>
          <t>C1225</t>
        </is>
      </c>
      <c r="C6226" t="n">
        <v>3</v>
      </c>
      <c r="D6226" t="inlineStr">
        <is>
          <t>Hub B</t>
        </is>
      </c>
      <c r="E6226" t="n">
        <v>33</v>
      </c>
      <c r="F6226" t="n">
        <v>47.544</v>
      </c>
    </row>
    <row r="6227">
      <c r="A6227" t="inlineStr">
        <is>
          <t>ORD06226</t>
        </is>
      </c>
      <c r="B6227" t="inlineStr">
        <is>
          <t>C1226</t>
        </is>
      </c>
      <c r="C6227" t="n">
        <v>1</v>
      </c>
      <c r="D6227" t="inlineStr">
        <is>
          <t>Hub B</t>
        </is>
      </c>
      <c r="E6227" t="n">
        <v>40</v>
      </c>
      <c r="F6227" t="n">
        <v>47.544</v>
      </c>
    </row>
    <row r="6228">
      <c r="A6228" t="inlineStr">
        <is>
          <t>ORD06227</t>
        </is>
      </c>
      <c r="B6228" t="inlineStr">
        <is>
          <t>C1227</t>
        </is>
      </c>
      <c r="C6228" t="n">
        <v>2</v>
      </c>
      <c r="D6228" t="inlineStr">
        <is>
          <t>Hub B</t>
        </is>
      </c>
      <c r="E6228" t="n">
        <v>47</v>
      </c>
      <c r="F6228" t="n">
        <v>47.544</v>
      </c>
    </row>
    <row r="6229">
      <c r="A6229" t="inlineStr">
        <is>
          <t>ORD06228</t>
        </is>
      </c>
      <c r="B6229" t="inlineStr">
        <is>
          <t>C1228</t>
        </is>
      </c>
      <c r="C6229" t="n">
        <v>3</v>
      </c>
      <c r="D6229" t="inlineStr">
        <is>
          <t>Hub B</t>
        </is>
      </c>
      <c r="E6229" t="n">
        <v>54</v>
      </c>
      <c r="F6229" t="n">
        <v>47.544</v>
      </c>
    </row>
    <row r="6230">
      <c r="A6230" t="inlineStr">
        <is>
          <t>ORD06229</t>
        </is>
      </c>
      <c r="B6230" t="inlineStr">
        <is>
          <t>C1229</t>
        </is>
      </c>
      <c r="C6230" t="n">
        <v>1</v>
      </c>
      <c r="D6230" t="inlineStr">
        <is>
          <t>Hub B</t>
        </is>
      </c>
      <c r="E6230" t="n">
        <v>61</v>
      </c>
      <c r="F6230" t="n">
        <v>47.544</v>
      </c>
    </row>
    <row r="6231">
      <c r="A6231" t="inlineStr">
        <is>
          <t>ORD06230</t>
        </is>
      </c>
      <c r="B6231" t="inlineStr">
        <is>
          <t>C1230</t>
        </is>
      </c>
      <c r="C6231" t="n">
        <v>2</v>
      </c>
      <c r="D6231" t="inlineStr">
        <is>
          <t>Hub B</t>
        </is>
      </c>
      <c r="E6231" t="n">
        <v>68</v>
      </c>
      <c r="F6231" t="n">
        <v>47.544</v>
      </c>
    </row>
    <row r="6232">
      <c r="A6232" t="inlineStr">
        <is>
          <t>ORD06231</t>
        </is>
      </c>
      <c r="B6232" t="inlineStr">
        <is>
          <t>C1231</t>
        </is>
      </c>
      <c r="C6232" t="n">
        <v>3</v>
      </c>
      <c r="D6232" t="inlineStr">
        <is>
          <t>Hub B</t>
        </is>
      </c>
      <c r="E6232" t="n">
        <v>75</v>
      </c>
      <c r="F6232" t="n">
        <v>47.544</v>
      </c>
    </row>
    <row r="6233">
      <c r="A6233" t="inlineStr">
        <is>
          <t>ORD06232</t>
        </is>
      </c>
      <c r="B6233" t="inlineStr">
        <is>
          <t>C1232</t>
        </is>
      </c>
      <c r="C6233" t="n">
        <v>1</v>
      </c>
      <c r="D6233" t="inlineStr">
        <is>
          <t>Hub B</t>
        </is>
      </c>
      <c r="E6233" t="n">
        <v>22</v>
      </c>
      <c r="F6233" t="n">
        <v>47.544</v>
      </c>
    </row>
    <row r="6234">
      <c r="A6234" t="inlineStr">
        <is>
          <t>ORD06233</t>
        </is>
      </c>
      <c r="B6234" t="inlineStr">
        <is>
          <t>C1233</t>
        </is>
      </c>
      <c r="C6234" t="n">
        <v>2</v>
      </c>
      <c r="D6234" t="inlineStr">
        <is>
          <t>Hub B</t>
        </is>
      </c>
      <c r="E6234" t="n">
        <v>29</v>
      </c>
      <c r="F6234" t="n">
        <v>47.544</v>
      </c>
    </row>
    <row r="6235">
      <c r="A6235" t="inlineStr">
        <is>
          <t>ORD06234</t>
        </is>
      </c>
      <c r="B6235" t="inlineStr">
        <is>
          <t>C1234</t>
        </is>
      </c>
      <c r="C6235" t="n">
        <v>3</v>
      </c>
      <c r="D6235" t="inlineStr">
        <is>
          <t>Hub B</t>
        </is>
      </c>
      <c r="E6235" t="n">
        <v>36</v>
      </c>
      <c r="F6235" t="n">
        <v>47.544</v>
      </c>
    </row>
    <row r="6236">
      <c r="A6236" t="inlineStr">
        <is>
          <t>ORD06235</t>
        </is>
      </c>
      <c r="B6236" t="inlineStr">
        <is>
          <t>C1235</t>
        </is>
      </c>
      <c r="C6236" t="n">
        <v>1</v>
      </c>
      <c r="D6236" t="inlineStr">
        <is>
          <t>Hub B</t>
        </is>
      </c>
      <c r="E6236" t="n">
        <v>43</v>
      </c>
      <c r="F6236" t="n">
        <v>47.544</v>
      </c>
    </row>
    <row r="6237">
      <c r="A6237" t="inlineStr">
        <is>
          <t>ORD06236</t>
        </is>
      </c>
      <c r="B6237" t="inlineStr">
        <is>
          <t>C1236</t>
        </is>
      </c>
      <c r="C6237" t="n">
        <v>2</v>
      </c>
      <c r="D6237" t="inlineStr">
        <is>
          <t>Hub B</t>
        </is>
      </c>
      <c r="E6237" t="n">
        <v>50</v>
      </c>
      <c r="F6237" t="n">
        <v>47.544</v>
      </c>
    </row>
    <row r="6238">
      <c r="A6238" t="inlineStr">
        <is>
          <t>ORD06237</t>
        </is>
      </c>
      <c r="B6238" t="inlineStr">
        <is>
          <t>C1237</t>
        </is>
      </c>
      <c r="C6238" t="n">
        <v>3</v>
      </c>
      <c r="D6238" t="inlineStr">
        <is>
          <t>Hub B</t>
        </is>
      </c>
      <c r="E6238" t="n">
        <v>57</v>
      </c>
      <c r="F6238" t="n">
        <v>47.544</v>
      </c>
    </row>
    <row r="6239">
      <c r="A6239" t="inlineStr">
        <is>
          <t>ORD06238</t>
        </is>
      </c>
      <c r="B6239" t="inlineStr">
        <is>
          <t>C1238</t>
        </is>
      </c>
      <c r="C6239" t="n">
        <v>1</v>
      </c>
      <c r="D6239" t="inlineStr">
        <is>
          <t>Hub B</t>
        </is>
      </c>
      <c r="E6239" t="n">
        <v>64</v>
      </c>
      <c r="F6239" t="n">
        <v>47.544</v>
      </c>
    </row>
    <row r="6240">
      <c r="A6240" t="inlineStr">
        <is>
          <t>ORD06239</t>
        </is>
      </c>
      <c r="B6240" t="inlineStr">
        <is>
          <t>C1239</t>
        </is>
      </c>
      <c r="C6240" t="n">
        <v>2</v>
      </c>
      <c r="D6240" t="inlineStr">
        <is>
          <t>Hub B</t>
        </is>
      </c>
      <c r="E6240" t="n">
        <v>71</v>
      </c>
      <c r="F6240" t="n">
        <v>47.544</v>
      </c>
    </row>
    <row r="6241">
      <c r="A6241" t="inlineStr">
        <is>
          <t>ORD06240</t>
        </is>
      </c>
      <c r="B6241" t="inlineStr">
        <is>
          <t>C1240</t>
        </is>
      </c>
      <c r="C6241" t="n">
        <v>3</v>
      </c>
      <c r="D6241" t="inlineStr">
        <is>
          <t>Hub B</t>
        </is>
      </c>
      <c r="E6241" t="n">
        <v>18</v>
      </c>
      <c r="F6241" t="n">
        <v>47.544</v>
      </c>
    </row>
    <row r="6242">
      <c r="A6242" t="inlineStr">
        <is>
          <t>ORD06241</t>
        </is>
      </c>
      <c r="B6242" t="inlineStr">
        <is>
          <t>C1241</t>
        </is>
      </c>
      <c r="C6242" t="n">
        <v>1</v>
      </c>
      <c r="D6242" t="inlineStr">
        <is>
          <t>Hub B</t>
        </is>
      </c>
      <c r="E6242" t="n">
        <v>25</v>
      </c>
      <c r="F6242" t="n">
        <v>47.544</v>
      </c>
    </row>
    <row r="6243">
      <c r="A6243" t="inlineStr">
        <is>
          <t>ORD06242</t>
        </is>
      </c>
      <c r="B6243" t="inlineStr">
        <is>
          <t>C1242</t>
        </is>
      </c>
      <c r="C6243" t="n">
        <v>2</v>
      </c>
      <c r="D6243" t="inlineStr">
        <is>
          <t>Hub B</t>
        </is>
      </c>
      <c r="E6243" t="n">
        <v>32</v>
      </c>
      <c r="F6243" t="n">
        <v>47.544</v>
      </c>
    </row>
    <row r="6244">
      <c r="A6244" t="inlineStr">
        <is>
          <t>ORD06243</t>
        </is>
      </c>
      <c r="B6244" t="inlineStr">
        <is>
          <t>C1243</t>
        </is>
      </c>
      <c r="C6244" t="n">
        <v>3</v>
      </c>
      <c r="D6244" t="inlineStr">
        <is>
          <t>Hub B</t>
        </is>
      </c>
      <c r="E6244" t="n">
        <v>39</v>
      </c>
      <c r="F6244" t="n">
        <v>47.544</v>
      </c>
    </row>
    <row r="6245">
      <c r="A6245" t="inlineStr">
        <is>
          <t>ORD06244</t>
        </is>
      </c>
      <c r="B6245" t="inlineStr">
        <is>
          <t>C1244</t>
        </is>
      </c>
      <c r="C6245" t="n">
        <v>1</v>
      </c>
      <c r="D6245" t="inlineStr">
        <is>
          <t>Hub B</t>
        </is>
      </c>
      <c r="E6245" t="n">
        <v>46</v>
      </c>
      <c r="F6245" t="n">
        <v>47.544</v>
      </c>
    </row>
    <row r="6246">
      <c r="A6246" t="inlineStr">
        <is>
          <t>ORD06245</t>
        </is>
      </c>
      <c r="B6246" t="inlineStr">
        <is>
          <t>C1245</t>
        </is>
      </c>
      <c r="C6246" t="n">
        <v>2</v>
      </c>
      <c r="D6246" t="inlineStr">
        <is>
          <t>Hub B</t>
        </is>
      </c>
      <c r="E6246" t="n">
        <v>53</v>
      </c>
      <c r="F6246" t="n">
        <v>47.544</v>
      </c>
    </row>
    <row r="6247">
      <c r="A6247" t="inlineStr">
        <is>
          <t>ORD06246</t>
        </is>
      </c>
      <c r="B6247" t="inlineStr">
        <is>
          <t>C1246</t>
        </is>
      </c>
      <c r="C6247" t="n">
        <v>3</v>
      </c>
      <c r="D6247" t="inlineStr">
        <is>
          <t>Hub B</t>
        </is>
      </c>
      <c r="E6247" t="n">
        <v>60</v>
      </c>
      <c r="F6247" t="n">
        <v>47.544</v>
      </c>
    </row>
    <row r="6248">
      <c r="A6248" t="inlineStr">
        <is>
          <t>ORD06247</t>
        </is>
      </c>
      <c r="B6248" t="inlineStr">
        <is>
          <t>C1247</t>
        </is>
      </c>
      <c r="C6248" t="n">
        <v>1</v>
      </c>
      <c r="D6248" t="inlineStr">
        <is>
          <t>Hub B</t>
        </is>
      </c>
      <c r="E6248" t="n">
        <v>67</v>
      </c>
      <c r="F6248" t="n">
        <v>47.544</v>
      </c>
    </row>
    <row r="6249">
      <c r="A6249" t="inlineStr">
        <is>
          <t>ORD06248</t>
        </is>
      </c>
      <c r="B6249" t="inlineStr">
        <is>
          <t>C1248</t>
        </is>
      </c>
      <c r="C6249" t="n">
        <v>2</v>
      </c>
      <c r="D6249" t="inlineStr">
        <is>
          <t>Hub B</t>
        </is>
      </c>
      <c r="E6249" t="n">
        <v>74</v>
      </c>
      <c r="F6249" t="n">
        <v>47.544</v>
      </c>
    </row>
    <row r="6250">
      <c r="A6250" t="inlineStr">
        <is>
          <t>ORD06249</t>
        </is>
      </c>
      <c r="B6250" t="inlineStr">
        <is>
          <t>C1249</t>
        </is>
      </c>
      <c r="C6250" t="n">
        <v>3</v>
      </c>
      <c r="D6250" t="inlineStr">
        <is>
          <t>Hub B</t>
        </is>
      </c>
      <c r="E6250" t="n">
        <v>21</v>
      </c>
      <c r="F6250" t="n">
        <v>47.544</v>
      </c>
    </row>
    <row r="6251">
      <c r="A6251" t="inlineStr">
        <is>
          <t>ORD06250</t>
        </is>
      </c>
      <c r="B6251" t="inlineStr">
        <is>
          <t>C1250</t>
        </is>
      </c>
      <c r="C6251" t="n">
        <v>1</v>
      </c>
      <c r="D6251" t="inlineStr">
        <is>
          <t>Hub B</t>
        </is>
      </c>
      <c r="E6251" t="n">
        <v>28</v>
      </c>
      <c r="F6251" t="n">
        <v>47.544</v>
      </c>
    </row>
    <row r="6252">
      <c r="A6252" t="inlineStr">
        <is>
          <t>ORD06251</t>
        </is>
      </c>
      <c r="B6252" t="inlineStr">
        <is>
          <t>C1251</t>
        </is>
      </c>
      <c r="C6252" t="n">
        <v>2</v>
      </c>
      <c r="D6252" t="inlineStr">
        <is>
          <t>Hub B</t>
        </is>
      </c>
      <c r="E6252" t="n">
        <v>35</v>
      </c>
      <c r="F6252" t="n">
        <v>47.544</v>
      </c>
    </row>
    <row r="6253">
      <c r="A6253" t="inlineStr">
        <is>
          <t>ORD06252</t>
        </is>
      </c>
      <c r="B6253" t="inlineStr">
        <is>
          <t>C1252</t>
        </is>
      </c>
      <c r="C6253" t="n">
        <v>3</v>
      </c>
      <c r="D6253" t="inlineStr">
        <is>
          <t>Hub B</t>
        </is>
      </c>
      <c r="E6253" t="n">
        <v>42</v>
      </c>
      <c r="F6253" t="n">
        <v>47.544</v>
      </c>
    </row>
    <row r="6254">
      <c r="A6254" t="inlineStr">
        <is>
          <t>ORD06253</t>
        </is>
      </c>
      <c r="B6254" t="inlineStr">
        <is>
          <t>C1253</t>
        </is>
      </c>
      <c r="C6254" t="n">
        <v>1</v>
      </c>
      <c r="D6254" t="inlineStr">
        <is>
          <t>Hub B</t>
        </is>
      </c>
      <c r="E6254" t="n">
        <v>49</v>
      </c>
      <c r="F6254" t="n">
        <v>47.544</v>
      </c>
    </row>
    <row r="6255">
      <c r="A6255" t="inlineStr">
        <is>
          <t>ORD06254</t>
        </is>
      </c>
      <c r="B6255" t="inlineStr">
        <is>
          <t>C1254</t>
        </is>
      </c>
      <c r="C6255" t="n">
        <v>2</v>
      </c>
      <c r="D6255" t="inlineStr">
        <is>
          <t>Hub B</t>
        </is>
      </c>
      <c r="E6255" t="n">
        <v>56</v>
      </c>
      <c r="F6255" t="n">
        <v>47.544</v>
      </c>
    </row>
    <row r="6256">
      <c r="A6256" t="inlineStr">
        <is>
          <t>ORD06255</t>
        </is>
      </c>
      <c r="B6256" t="inlineStr">
        <is>
          <t>C1255</t>
        </is>
      </c>
      <c r="C6256" t="n">
        <v>3</v>
      </c>
      <c r="D6256" t="inlineStr">
        <is>
          <t>Hub B</t>
        </is>
      </c>
      <c r="E6256" t="n">
        <v>63</v>
      </c>
      <c r="F6256" t="n">
        <v>47.544</v>
      </c>
    </row>
    <row r="6257">
      <c r="A6257" t="inlineStr">
        <is>
          <t>ORD06256</t>
        </is>
      </c>
      <c r="B6257" t="inlineStr">
        <is>
          <t>C1256</t>
        </is>
      </c>
      <c r="C6257" t="n">
        <v>1</v>
      </c>
      <c r="D6257" t="inlineStr">
        <is>
          <t>Hub B</t>
        </is>
      </c>
      <c r="E6257" t="n">
        <v>70</v>
      </c>
      <c r="F6257" t="n">
        <v>47.544</v>
      </c>
    </row>
    <row r="6258">
      <c r="A6258" t="inlineStr">
        <is>
          <t>ORD06257</t>
        </is>
      </c>
      <c r="B6258" t="inlineStr">
        <is>
          <t>C1257</t>
        </is>
      </c>
      <c r="C6258" t="n">
        <v>2</v>
      </c>
      <c r="D6258" t="inlineStr">
        <is>
          <t>Hub B</t>
        </is>
      </c>
      <c r="E6258" t="n">
        <v>77</v>
      </c>
      <c r="F6258" t="n">
        <v>47.544</v>
      </c>
    </row>
    <row r="6259">
      <c r="A6259" t="inlineStr">
        <is>
          <t>ORD06258</t>
        </is>
      </c>
      <c r="B6259" t="inlineStr">
        <is>
          <t>C1258</t>
        </is>
      </c>
      <c r="C6259" t="n">
        <v>3</v>
      </c>
      <c r="D6259" t="inlineStr">
        <is>
          <t>Hub B</t>
        </is>
      </c>
      <c r="E6259" t="n">
        <v>24</v>
      </c>
      <c r="F6259" t="n">
        <v>47.544</v>
      </c>
    </row>
    <row r="6260">
      <c r="A6260" t="inlineStr">
        <is>
          <t>ORD06259</t>
        </is>
      </c>
      <c r="B6260" t="inlineStr">
        <is>
          <t>C1259</t>
        </is>
      </c>
      <c r="C6260" t="n">
        <v>1</v>
      </c>
      <c r="D6260" t="inlineStr">
        <is>
          <t>Hub B</t>
        </is>
      </c>
      <c r="E6260" t="n">
        <v>31</v>
      </c>
      <c r="F6260" t="n">
        <v>47.544</v>
      </c>
    </row>
    <row r="6261">
      <c r="A6261" t="inlineStr">
        <is>
          <t>ORD06260</t>
        </is>
      </c>
      <c r="B6261" t="inlineStr">
        <is>
          <t>C1260</t>
        </is>
      </c>
      <c r="C6261" t="n">
        <v>2</v>
      </c>
      <c r="D6261" t="inlineStr">
        <is>
          <t>Hub B</t>
        </is>
      </c>
      <c r="E6261" t="n">
        <v>38</v>
      </c>
      <c r="F6261" t="n">
        <v>47.544</v>
      </c>
    </row>
    <row r="6262">
      <c r="A6262" t="inlineStr">
        <is>
          <t>ORD06261</t>
        </is>
      </c>
      <c r="B6262" t="inlineStr">
        <is>
          <t>C1261</t>
        </is>
      </c>
      <c r="C6262" t="n">
        <v>3</v>
      </c>
      <c r="D6262" t="inlineStr">
        <is>
          <t>Hub B</t>
        </is>
      </c>
      <c r="E6262" t="n">
        <v>45</v>
      </c>
      <c r="F6262" t="n">
        <v>47.544</v>
      </c>
    </row>
    <row r="6263">
      <c r="A6263" t="inlineStr">
        <is>
          <t>ORD06262</t>
        </is>
      </c>
      <c r="B6263" t="inlineStr">
        <is>
          <t>C1262</t>
        </is>
      </c>
      <c r="C6263" t="n">
        <v>1</v>
      </c>
      <c r="D6263" t="inlineStr">
        <is>
          <t>Hub B</t>
        </is>
      </c>
      <c r="E6263" t="n">
        <v>52</v>
      </c>
      <c r="F6263" t="n">
        <v>47.544</v>
      </c>
    </row>
    <row r="6264">
      <c r="A6264" t="inlineStr">
        <is>
          <t>ORD06263</t>
        </is>
      </c>
      <c r="B6264" t="inlineStr">
        <is>
          <t>C1263</t>
        </is>
      </c>
      <c r="C6264" t="n">
        <v>2</v>
      </c>
      <c r="D6264" t="inlineStr">
        <is>
          <t>Hub B</t>
        </is>
      </c>
      <c r="E6264" t="n">
        <v>59</v>
      </c>
      <c r="F6264" t="n">
        <v>47.544</v>
      </c>
    </row>
    <row r="6265">
      <c r="A6265" t="inlineStr">
        <is>
          <t>ORD06264</t>
        </is>
      </c>
      <c r="B6265" t="inlineStr">
        <is>
          <t>C1264</t>
        </is>
      </c>
      <c r="C6265" t="n">
        <v>3</v>
      </c>
      <c r="D6265" t="inlineStr">
        <is>
          <t>Hub B</t>
        </is>
      </c>
      <c r="E6265" t="n">
        <v>66</v>
      </c>
      <c r="F6265" t="n">
        <v>47.544</v>
      </c>
    </row>
    <row r="6266">
      <c r="A6266" t="inlineStr">
        <is>
          <t>ORD06265</t>
        </is>
      </c>
      <c r="B6266" t="inlineStr">
        <is>
          <t>C1265</t>
        </is>
      </c>
      <c r="C6266" t="n">
        <v>1</v>
      </c>
      <c r="D6266" t="inlineStr">
        <is>
          <t>Hub B</t>
        </is>
      </c>
      <c r="E6266" t="n">
        <v>73</v>
      </c>
      <c r="F6266" t="n">
        <v>47.544</v>
      </c>
    </row>
    <row r="6267">
      <c r="A6267" t="inlineStr">
        <is>
          <t>ORD06266</t>
        </is>
      </c>
      <c r="B6267" t="inlineStr">
        <is>
          <t>C1266</t>
        </is>
      </c>
      <c r="C6267" t="n">
        <v>2</v>
      </c>
      <c r="D6267" t="inlineStr">
        <is>
          <t>Hub B</t>
        </is>
      </c>
      <c r="E6267" t="n">
        <v>20</v>
      </c>
      <c r="F6267" t="n">
        <v>47.544</v>
      </c>
    </row>
    <row r="6268">
      <c r="A6268" t="inlineStr">
        <is>
          <t>ORD06267</t>
        </is>
      </c>
      <c r="B6268" t="inlineStr">
        <is>
          <t>C1267</t>
        </is>
      </c>
      <c r="C6268" t="n">
        <v>3</v>
      </c>
      <c r="D6268" t="inlineStr">
        <is>
          <t>Hub B</t>
        </is>
      </c>
      <c r="E6268" t="n">
        <v>27</v>
      </c>
      <c r="F6268" t="n">
        <v>47.544</v>
      </c>
    </row>
    <row r="6269">
      <c r="A6269" t="inlineStr">
        <is>
          <t>ORD06268</t>
        </is>
      </c>
      <c r="B6269" t="inlineStr">
        <is>
          <t>C1268</t>
        </is>
      </c>
      <c r="C6269" t="n">
        <v>1</v>
      </c>
      <c r="D6269" t="inlineStr">
        <is>
          <t>Hub B</t>
        </is>
      </c>
      <c r="E6269" t="n">
        <v>34</v>
      </c>
      <c r="F6269" t="n">
        <v>47.544</v>
      </c>
    </row>
    <row r="6270">
      <c r="A6270" t="inlineStr">
        <is>
          <t>ORD06269</t>
        </is>
      </c>
      <c r="B6270" t="inlineStr">
        <is>
          <t>C1269</t>
        </is>
      </c>
      <c r="C6270" t="n">
        <v>2</v>
      </c>
      <c r="D6270" t="inlineStr">
        <is>
          <t>Hub B</t>
        </is>
      </c>
      <c r="E6270" t="n">
        <v>41</v>
      </c>
      <c r="F6270" t="n">
        <v>47.544</v>
      </c>
    </row>
    <row r="6271">
      <c r="A6271" t="inlineStr">
        <is>
          <t>ORD06270</t>
        </is>
      </c>
      <c r="B6271" t="inlineStr">
        <is>
          <t>C1270</t>
        </is>
      </c>
      <c r="C6271" t="n">
        <v>3</v>
      </c>
      <c r="D6271" t="inlineStr">
        <is>
          <t>Hub B</t>
        </is>
      </c>
      <c r="E6271" t="n">
        <v>48</v>
      </c>
      <c r="F6271" t="n">
        <v>47.544</v>
      </c>
    </row>
    <row r="6272">
      <c r="A6272" t="inlineStr">
        <is>
          <t>ORD06271</t>
        </is>
      </c>
      <c r="B6272" t="inlineStr">
        <is>
          <t>C1271</t>
        </is>
      </c>
      <c r="C6272" t="n">
        <v>1</v>
      </c>
      <c r="D6272" t="inlineStr">
        <is>
          <t>Hub B</t>
        </is>
      </c>
      <c r="E6272" t="n">
        <v>55</v>
      </c>
      <c r="F6272" t="n">
        <v>47.544</v>
      </c>
    </row>
    <row r="6273">
      <c r="A6273" t="inlineStr">
        <is>
          <t>ORD06272</t>
        </is>
      </c>
      <c r="B6273" t="inlineStr">
        <is>
          <t>C1272</t>
        </is>
      </c>
      <c r="C6273" t="n">
        <v>2</v>
      </c>
      <c r="D6273" t="inlineStr">
        <is>
          <t>Hub B</t>
        </is>
      </c>
      <c r="E6273" t="n">
        <v>62</v>
      </c>
      <c r="F6273" t="n">
        <v>47.544</v>
      </c>
    </row>
    <row r="6274">
      <c r="A6274" t="inlineStr">
        <is>
          <t>ORD06273</t>
        </is>
      </c>
      <c r="B6274" t="inlineStr">
        <is>
          <t>C1273</t>
        </is>
      </c>
      <c r="C6274" t="n">
        <v>3</v>
      </c>
      <c r="D6274" t="inlineStr">
        <is>
          <t>Hub B</t>
        </is>
      </c>
      <c r="E6274" t="n">
        <v>69</v>
      </c>
      <c r="F6274" t="n">
        <v>47.544</v>
      </c>
    </row>
    <row r="6275">
      <c r="A6275" t="inlineStr">
        <is>
          <t>ORD06274</t>
        </is>
      </c>
      <c r="B6275" t="inlineStr">
        <is>
          <t>C1274</t>
        </is>
      </c>
      <c r="C6275" t="n">
        <v>1</v>
      </c>
      <c r="D6275" t="inlineStr">
        <is>
          <t>Hub B</t>
        </is>
      </c>
      <c r="E6275" t="n">
        <v>76</v>
      </c>
      <c r="F6275" t="n">
        <v>47.544</v>
      </c>
    </row>
    <row r="6276">
      <c r="A6276" t="inlineStr">
        <is>
          <t>ORD06275</t>
        </is>
      </c>
      <c r="B6276" t="inlineStr">
        <is>
          <t>C1275</t>
        </is>
      </c>
      <c r="C6276" t="n">
        <v>2</v>
      </c>
      <c r="D6276" t="inlineStr">
        <is>
          <t>Hub B</t>
        </is>
      </c>
      <c r="E6276" t="n">
        <v>23</v>
      </c>
      <c r="F6276" t="n">
        <v>47.544</v>
      </c>
    </row>
    <row r="6277">
      <c r="A6277" t="inlineStr">
        <is>
          <t>ORD06276</t>
        </is>
      </c>
      <c r="B6277" t="inlineStr">
        <is>
          <t>C1276</t>
        </is>
      </c>
      <c r="C6277" t="n">
        <v>3</v>
      </c>
      <c r="D6277" t="inlineStr">
        <is>
          <t>Hub B</t>
        </is>
      </c>
      <c r="E6277" t="n">
        <v>30</v>
      </c>
      <c r="F6277" t="n">
        <v>47.544</v>
      </c>
    </row>
    <row r="6278">
      <c r="A6278" t="inlineStr">
        <is>
          <t>ORD06277</t>
        </is>
      </c>
      <c r="B6278" t="inlineStr">
        <is>
          <t>C1277</t>
        </is>
      </c>
      <c r="C6278" t="n">
        <v>1</v>
      </c>
      <c r="D6278" t="inlineStr">
        <is>
          <t>Hub B</t>
        </is>
      </c>
      <c r="E6278" t="n">
        <v>37</v>
      </c>
      <c r="F6278" t="n">
        <v>47.544</v>
      </c>
    </row>
    <row r="6279">
      <c r="A6279" t="inlineStr">
        <is>
          <t>ORD06278</t>
        </is>
      </c>
      <c r="B6279" t="inlineStr">
        <is>
          <t>C1278</t>
        </is>
      </c>
      <c r="C6279" t="n">
        <v>2</v>
      </c>
      <c r="D6279" t="inlineStr">
        <is>
          <t>Hub B</t>
        </is>
      </c>
      <c r="E6279" t="n">
        <v>44</v>
      </c>
      <c r="F6279" t="n">
        <v>47.544</v>
      </c>
    </row>
    <row r="6280">
      <c r="A6280" t="inlineStr">
        <is>
          <t>ORD06279</t>
        </is>
      </c>
      <c r="B6280" t="inlineStr">
        <is>
          <t>C1279</t>
        </is>
      </c>
      <c r="C6280" t="n">
        <v>3</v>
      </c>
      <c r="D6280" t="inlineStr">
        <is>
          <t>Hub B</t>
        </is>
      </c>
      <c r="E6280" t="n">
        <v>51</v>
      </c>
      <c r="F6280" t="n">
        <v>47.544</v>
      </c>
    </row>
    <row r="6281">
      <c r="A6281" t="inlineStr">
        <is>
          <t>ORD06280</t>
        </is>
      </c>
      <c r="B6281" t="inlineStr">
        <is>
          <t>C1280</t>
        </is>
      </c>
      <c r="C6281" t="n">
        <v>1</v>
      </c>
      <c r="D6281" t="inlineStr">
        <is>
          <t>Hub B</t>
        </is>
      </c>
      <c r="E6281" t="n">
        <v>58</v>
      </c>
      <c r="F6281" t="n">
        <v>47.544</v>
      </c>
    </row>
    <row r="6282">
      <c r="A6282" t="inlineStr">
        <is>
          <t>ORD06281</t>
        </is>
      </c>
      <c r="B6282" t="inlineStr">
        <is>
          <t>C1281</t>
        </is>
      </c>
      <c r="C6282" t="n">
        <v>2</v>
      </c>
      <c r="D6282" t="inlineStr">
        <is>
          <t>Hub B</t>
        </is>
      </c>
      <c r="E6282" t="n">
        <v>65</v>
      </c>
      <c r="F6282" t="n">
        <v>47.544</v>
      </c>
    </row>
    <row r="6283">
      <c r="A6283" t="inlineStr">
        <is>
          <t>ORD06282</t>
        </is>
      </c>
      <c r="B6283" t="inlineStr">
        <is>
          <t>C1282</t>
        </is>
      </c>
      <c r="C6283" t="n">
        <v>3</v>
      </c>
      <c r="D6283" t="inlineStr">
        <is>
          <t>Hub B</t>
        </is>
      </c>
      <c r="E6283" t="n">
        <v>72</v>
      </c>
      <c r="F6283" t="n">
        <v>47.544</v>
      </c>
    </row>
    <row r="6284">
      <c r="A6284" t="inlineStr">
        <is>
          <t>ORD06283</t>
        </is>
      </c>
      <c r="B6284" t="inlineStr">
        <is>
          <t>C1283</t>
        </is>
      </c>
      <c r="C6284" t="n">
        <v>1</v>
      </c>
      <c r="D6284" t="inlineStr">
        <is>
          <t>Hub B</t>
        </is>
      </c>
      <c r="E6284" t="n">
        <v>19</v>
      </c>
      <c r="F6284" t="n">
        <v>47.544</v>
      </c>
    </row>
    <row r="6285">
      <c r="A6285" t="inlineStr">
        <is>
          <t>ORD06284</t>
        </is>
      </c>
      <c r="B6285" t="inlineStr">
        <is>
          <t>C1284</t>
        </is>
      </c>
      <c r="C6285" t="n">
        <v>2</v>
      </c>
      <c r="D6285" t="inlineStr">
        <is>
          <t>Hub B</t>
        </is>
      </c>
      <c r="E6285" t="n">
        <v>26</v>
      </c>
      <c r="F6285" t="n">
        <v>47.544</v>
      </c>
    </row>
    <row r="6286">
      <c r="A6286" t="inlineStr">
        <is>
          <t>ORD06285</t>
        </is>
      </c>
      <c r="B6286" t="inlineStr">
        <is>
          <t>C1285</t>
        </is>
      </c>
      <c r="C6286" t="n">
        <v>3</v>
      </c>
      <c r="D6286" t="inlineStr">
        <is>
          <t>Hub B</t>
        </is>
      </c>
      <c r="E6286" t="n">
        <v>33</v>
      </c>
      <c r="F6286" t="n">
        <v>47.544</v>
      </c>
    </row>
    <row r="6287">
      <c r="A6287" t="inlineStr">
        <is>
          <t>ORD06286</t>
        </is>
      </c>
      <c r="B6287" t="inlineStr">
        <is>
          <t>C1286</t>
        </is>
      </c>
      <c r="C6287" t="n">
        <v>1</v>
      </c>
      <c r="D6287" t="inlineStr">
        <is>
          <t>Hub B</t>
        </is>
      </c>
      <c r="E6287" t="n">
        <v>40</v>
      </c>
      <c r="F6287" t="n">
        <v>47.544</v>
      </c>
    </row>
    <row r="6288">
      <c r="A6288" t="inlineStr">
        <is>
          <t>ORD06287</t>
        </is>
      </c>
      <c r="B6288" t="inlineStr">
        <is>
          <t>C1287</t>
        </is>
      </c>
      <c r="C6288" t="n">
        <v>2</v>
      </c>
      <c r="D6288" t="inlineStr">
        <is>
          <t>Hub B</t>
        </is>
      </c>
      <c r="E6288" t="n">
        <v>47</v>
      </c>
      <c r="F6288" t="n">
        <v>47.544</v>
      </c>
    </row>
    <row r="6289">
      <c r="A6289" t="inlineStr">
        <is>
          <t>ORD06288</t>
        </is>
      </c>
      <c r="B6289" t="inlineStr">
        <is>
          <t>C1288</t>
        </is>
      </c>
      <c r="C6289" t="n">
        <v>3</v>
      </c>
      <c r="D6289" t="inlineStr">
        <is>
          <t>Hub B</t>
        </is>
      </c>
      <c r="E6289" t="n">
        <v>54</v>
      </c>
      <c r="F6289" t="n">
        <v>47.544</v>
      </c>
    </row>
    <row r="6290">
      <c r="A6290" t="inlineStr">
        <is>
          <t>ORD06289</t>
        </is>
      </c>
      <c r="B6290" t="inlineStr">
        <is>
          <t>C1289</t>
        </is>
      </c>
      <c r="C6290" t="n">
        <v>1</v>
      </c>
      <c r="D6290" t="inlineStr">
        <is>
          <t>Hub B</t>
        </is>
      </c>
      <c r="E6290" t="n">
        <v>61</v>
      </c>
      <c r="F6290" t="n">
        <v>47.544</v>
      </c>
    </row>
    <row r="6291">
      <c r="A6291" t="inlineStr">
        <is>
          <t>ORD06290</t>
        </is>
      </c>
      <c r="B6291" t="inlineStr">
        <is>
          <t>C1290</t>
        </is>
      </c>
      <c r="C6291" t="n">
        <v>2</v>
      </c>
      <c r="D6291" t="inlineStr">
        <is>
          <t>Hub B</t>
        </is>
      </c>
      <c r="E6291" t="n">
        <v>68</v>
      </c>
      <c r="F6291" t="n">
        <v>47.544</v>
      </c>
    </row>
    <row r="6292">
      <c r="A6292" t="inlineStr">
        <is>
          <t>ORD06291</t>
        </is>
      </c>
      <c r="B6292" t="inlineStr">
        <is>
          <t>C1291</t>
        </is>
      </c>
      <c r="C6292" t="n">
        <v>3</v>
      </c>
      <c r="D6292" t="inlineStr">
        <is>
          <t>Hub B</t>
        </is>
      </c>
      <c r="E6292" t="n">
        <v>75</v>
      </c>
      <c r="F6292" t="n">
        <v>47.544</v>
      </c>
    </row>
    <row r="6293">
      <c r="A6293" t="inlineStr">
        <is>
          <t>ORD06292</t>
        </is>
      </c>
      <c r="B6293" t="inlineStr">
        <is>
          <t>C1292</t>
        </is>
      </c>
      <c r="C6293" t="n">
        <v>1</v>
      </c>
      <c r="D6293" t="inlineStr">
        <is>
          <t>Hub B</t>
        </is>
      </c>
      <c r="E6293" t="n">
        <v>22</v>
      </c>
      <c r="F6293" t="n">
        <v>47.544</v>
      </c>
    </row>
    <row r="6294">
      <c r="A6294" t="inlineStr">
        <is>
          <t>ORD06293</t>
        </is>
      </c>
      <c r="B6294" t="inlineStr">
        <is>
          <t>C1293</t>
        </is>
      </c>
      <c r="C6294" t="n">
        <v>2</v>
      </c>
      <c r="D6294" t="inlineStr">
        <is>
          <t>Hub B</t>
        </is>
      </c>
      <c r="E6294" t="n">
        <v>29</v>
      </c>
      <c r="F6294" t="n">
        <v>47.544</v>
      </c>
    </row>
    <row r="6295">
      <c r="A6295" t="inlineStr">
        <is>
          <t>ORD06294</t>
        </is>
      </c>
      <c r="B6295" t="inlineStr">
        <is>
          <t>C1294</t>
        </is>
      </c>
      <c r="C6295" t="n">
        <v>3</v>
      </c>
      <c r="D6295" t="inlineStr">
        <is>
          <t>Hub B</t>
        </is>
      </c>
      <c r="E6295" t="n">
        <v>36</v>
      </c>
      <c r="F6295" t="n">
        <v>47.544</v>
      </c>
    </row>
    <row r="6296">
      <c r="A6296" t="inlineStr">
        <is>
          <t>ORD06295</t>
        </is>
      </c>
      <c r="B6296" t="inlineStr">
        <is>
          <t>C1295</t>
        </is>
      </c>
      <c r="C6296" t="n">
        <v>1</v>
      </c>
      <c r="D6296" t="inlineStr">
        <is>
          <t>Hub B</t>
        </is>
      </c>
      <c r="E6296" t="n">
        <v>43</v>
      </c>
      <c r="F6296" t="n">
        <v>47.544</v>
      </c>
    </row>
    <row r="6297">
      <c r="A6297" t="inlineStr">
        <is>
          <t>ORD06296</t>
        </is>
      </c>
      <c r="B6297" t="inlineStr">
        <is>
          <t>C1296</t>
        </is>
      </c>
      <c r="C6297" t="n">
        <v>2</v>
      </c>
      <c r="D6297" t="inlineStr">
        <is>
          <t>Hub B</t>
        </is>
      </c>
      <c r="E6297" t="n">
        <v>50</v>
      </c>
      <c r="F6297" t="n">
        <v>47.544</v>
      </c>
    </row>
    <row r="6298">
      <c r="A6298" t="inlineStr">
        <is>
          <t>ORD06297</t>
        </is>
      </c>
      <c r="B6298" t="inlineStr">
        <is>
          <t>C1297</t>
        </is>
      </c>
      <c r="C6298" t="n">
        <v>3</v>
      </c>
      <c r="D6298" t="inlineStr">
        <is>
          <t>Hub B</t>
        </is>
      </c>
      <c r="E6298" t="n">
        <v>57</v>
      </c>
      <c r="F6298" t="n">
        <v>47.544</v>
      </c>
    </row>
    <row r="6299">
      <c r="A6299" t="inlineStr">
        <is>
          <t>ORD06298</t>
        </is>
      </c>
      <c r="B6299" t="inlineStr">
        <is>
          <t>C1298</t>
        </is>
      </c>
      <c r="C6299" t="n">
        <v>1</v>
      </c>
      <c r="D6299" t="inlineStr">
        <is>
          <t>Hub B</t>
        </is>
      </c>
      <c r="E6299" t="n">
        <v>64</v>
      </c>
      <c r="F6299" t="n">
        <v>47.544</v>
      </c>
    </row>
    <row r="6300">
      <c r="A6300" t="inlineStr">
        <is>
          <t>ORD06299</t>
        </is>
      </c>
      <c r="B6300" t="inlineStr">
        <is>
          <t>C1299</t>
        </is>
      </c>
      <c r="C6300" t="n">
        <v>2</v>
      </c>
      <c r="D6300" t="inlineStr">
        <is>
          <t>Hub B</t>
        </is>
      </c>
      <c r="E6300" t="n">
        <v>71</v>
      </c>
      <c r="F6300" t="n">
        <v>47.544</v>
      </c>
    </row>
    <row r="6301">
      <c r="A6301" t="inlineStr">
        <is>
          <t>ORD06300</t>
        </is>
      </c>
      <c r="B6301" t="inlineStr">
        <is>
          <t>C1300</t>
        </is>
      </c>
      <c r="C6301" t="n">
        <v>3</v>
      </c>
      <c r="D6301" t="inlineStr">
        <is>
          <t>Hub B</t>
        </is>
      </c>
      <c r="E6301" t="n">
        <v>18</v>
      </c>
      <c r="F6301" t="n">
        <v>47.544</v>
      </c>
    </row>
    <row r="6302">
      <c r="A6302" t="inlineStr">
        <is>
          <t>ORD06301</t>
        </is>
      </c>
      <c r="B6302" t="inlineStr">
        <is>
          <t>C1301</t>
        </is>
      </c>
      <c r="C6302" t="n">
        <v>1</v>
      </c>
      <c r="D6302" t="inlineStr">
        <is>
          <t>Hub B</t>
        </is>
      </c>
      <c r="E6302" t="n">
        <v>25</v>
      </c>
      <c r="F6302" t="n">
        <v>47.544</v>
      </c>
    </row>
    <row r="6303">
      <c r="A6303" t="inlineStr">
        <is>
          <t>ORD06302</t>
        </is>
      </c>
      <c r="B6303" t="inlineStr">
        <is>
          <t>C1302</t>
        </is>
      </c>
      <c r="C6303" t="n">
        <v>2</v>
      </c>
      <c r="D6303" t="inlineStr">
        <is>
          <t>Hub B</t>
        </is>
      </c>
      <c r="E6303" t="n">
        <v>32</v>
      </c>
      <c r="F6303" t="n">
        <v>47.544</v>
      </c>
    </row>
    <row r="6304">
      <c r="A6304" t="inlineStr">
        <is>
          <t>ORD06303</t>
        </is>
      </c>
      <c r="B6304" t="inlineStr">
        <is>
          <t>C1303</t>
        </is>
      </c>
      <c r="C6304" t="n">
        <v>3</v>
      </c>
      <c r="D6304" t="inlineStr">
        <is>
          <t>Hub B</t>
        </is>
      </c>
      <c r="E6304" t="n">
        <v>39</v>
      </c>
      <c r="F6304" t="n">
        <v>47.544</v>
      </c>
    </row>
    <row r="6305">
      <c r="A6305" t="inlineStr">
        <is>
          <t>ORD06304</t>
        </is>
      </c>
      <c r="B6305" t="inlineStr">
        <is>
          <t>C1304</t>
        </is>
      </c>
      <c r="C6305" t="n">
        <v>1</v>
      </c>
      <c r="D6305" t="inlineStr">
        <is>
          <t>Hub B</t>
        </is>
      </c>
      <c r="E6305" t="n">
        <v>46</v>
      </c>
      <c r="F6305" t="n">
        <v>47.544</v>
      </c>
    </row>
    <row r="6306">
      <c r="A6306" t="inlineStr">
        <is>
          <t>ORD06305</t>
        </is>
      </c>
      <c r="B6306" t="inlineStr">
        <is>
          <t>C1305</t>
        </is>
      </c>
      <c r="C6306" t="n">
        <v>2</v>
      </c>
      <c r="D6306" t="inlineStr">
        <is>
          <t>Hub B</t>
        </is>
      </c>
      <c r="E6306" t="n">
        <v>53</v>
      </c>
      <c r="F6306" t="n">
        <v>47.544</v>
      </c>
    </row>
    <row r="6307">
      <c r="A6307" t="inlineStr">
        <is>
          <t>ORD06306</t>
        </is>
      </c>
      <c r="B6307" t="inlineStr">
        <is>
          <t>C1306</t>
        </is>
      </c>
      <c r="C6307" t="n">
        <v>3</v>
      </c>
      <c r="D6307" t="inlineStr">
        <is>
          <t>Hub B</t>
        </is>
      </c>
      <c r="E6307" t="n">
        <v>60</v>
      </c>
      <c r="F6307" t="n">
        <v>47.544</v>
      </c>
    </row>
    <row r="6308">
      <c r="A6308" t="inlineStr">
        <is>
          <t>ORD06307</t>
        </is>
      </c>
      <c r="B6308" t="inlineStr">
        <is>
          <t>C1307</t>
        </is>
      </c>
      <c r="C6308" t="n">
        <v>1</v>
      </c>
      <c r="D6308" t="inlineStr">
        <is>
          <t>Hub B</t>
        </is>
      </c>
      <c r="E6308" t="n">
        <v>67</v>
      </c>
      <c r="F6308" t="n">
        <v>47.544</v>
      </c>
    </row>
    <row r="6309">
      <c r="A6309" t="inlineStr">
        <is>
          <t>ORD06308</t>
        </is>
      </c>
      <c r="B6309" t="inlineStr">
        <is>
          <t>C1308</t>
        </is>
      </c>
      <c r="C6309" t="n">
        <v>2</v>
      </c>
      <c r="D6309" t="inlineStr">
        <is>
          <t>Hub B</t>
        </is>
      </c>
      <c r="E6309" t="n">
        <v>74</v>
      </c>
      <c r="F6309" t="n">
        <v>47.544</v>
      </c>
    </row>
    <row r="6310">
      <c r="A6310" t="inlineStr">
        <is>
          <t>ORD06309</t>
        </is>
      </c>
      <c r="B6310" t="inlineStr">
        <is>
          <t>C1309</t>
        </is>
      </c>
      <c r="C6310" t="n">
        <v>3</v>
      </c>
      <c r="D6310" t="inlineStr">
        <is>
          <t>Hub B</t>
        </is>
      </c>
      <c r="E6310" t="n">
        <v>21</v>
      </c>
      <c r="F6310" t="n">
        <v>47.544</v>
      </c>
    </row>
    <row r="6311">
      <c r="A6311" t="inlineStr">
        <is>
          <t>ORD06310</t>
        </is>
      </c>
      <c r="B6311" t="inlineStr">
        <is>
          <t>C1310</t>
        </is>
      </c>
      <c r="C6311" t="n">
        <v>1</v>
      </c>
      <c r="D6311" t="inlineStr">
        <is>
          <t>Hub B</t>
        </is>
      </c>
      <c r="E6311" t="n">
        <v>28</v>
      </c>
      <c r="F6311" t="n">
        <v>47.544</v>
      </c>
    </row>
    <row r="6312">
      <c r="A6312" t="inlineStr">
        <is>
          <t>ORD06311</t>
        </is>
      </c>
      <c r="B6312" t="inlineStr">
        <is>
          <t>C1311</t>
        </is>
      </c>
      <c r="C6312" t="n">
        <v>2</v>
      </c>
      <c r="D6312" t="inlineStr">
        <is>
          <t>Hub B</t>
        </is>
      </c>
      <c r="E6312" t="n">
        <v>35</v>
      </c>
      <c r="F6312" t="n">
        <v>47.544</v>
      </c>
    </row>
    <row r="6313">
      <c r="A6313" t="inlineStr">
        <is>
          <t>ORD06312</t>
        </is>
      </c>
      <c r="B6313" t="inlineStr">
        <is>
          <t>C1312</t>
        </is>
      </c>
      <c r="C6313" t="n">
        <v>3</v>
      </c>
      <c r="D6313" t="inlineStr">
        <is>
          <t>Hub B</t>
        </is>
      </c>
      <c r="E6313" t="n">
        <v>42</v>
      </c>
      <c r="F6313" t="n">
        <v>47.544</v>
      </c>
    </row>
    <row r="6314">
      <c r="A6314" t="inlineStr">
        <is>
          <t>ORD06313</t>
        </is>
      </c>
      <c r="B6314" t="inlineStr">
        <is>
          <t>C1313</t>
        </is>
      </c>
      <c r="C6314" t="n">
        <v>1</v>
      </c>
      <c r="D6314" t="inlineStr">
        <is>
          <t>Hub B</t>
        </is>
      </c>
      <c r="E6314" t="n">
        <v>49</v>
      </c>
      <c r="F6314" t="n">
        <v>47.544</v>
      </c>
    </row>
    <row r="6315">
      <c r="A6315" t="inlineStr">
        <is>
          <t>ORD06314</t>
        </is>
      </c>
      <c r="B6315" t="inlineStr">
        <is>
          <t>C1314</t>
        </is>
      </c>
      <c r="C6315" t="n">
        <v>2</v>
      </c>
      <c r="D6315" t="inlineStr">
        <is>
          <t>Hub B</t>
        </is>
      </c>
      <c r="E6315" t="n">
        <v>56</v>
      </c>
      <c r="F6315" t="n">
        <v>47.544</v>
      </c>
    </row>
    <row r="6316">
      <c r="A6316" t="inlineStr">
        <is>
          <t>ORD06315</t>
        </is>
      </c>
      <c r="B6316" t="inlineStr">
        <is>
          <t>C1315</t>
        </is>
      </c>
      <c r="C6316" t="n">
        <v>3</v>
      </c>
      <c r="D6316" t="inlineStr">
        <is>
          <t>Hub B</t>
        </is>
      </c>
      <c r="E6316" t="n">
        <v>63</v>
      </c>
      <c r="F6316" t="n">
        <v>47.544</v>
      </c>
    </row>
    <row r="6317">
      <c r="A6317" t="inlineStr">
        <is>
          <t>ORD06316</t>
        </is>
      </c>
      <c r="B6317" t="inlineStr">
        <is>
          <t>C1316</t>
        </is>
      </c>
      <c r="C6317" t="n">
        <v>1</v>
      </c>
      <c r="D6317" t="inlineStr">
        <is>
          <t>Hub B</t>
        </is>
      </c>
      <c r="E6317" t="n">
        <v>70</v>
      </c>
      <c r="F6317" t="n">
        <v>47.544</v>
      </c>
    </row>
    <row r="6318">
      <c r="A6318" t="inlineStr">
        <is>
          <t>ORD06317</t>
        </is>
      </c>
      <c r="B6318" t="inlineStr">
        <is>
          <t>C1317</t>
        </is>
      </c>
      <c r="C6318" t="n">
        <v>2</v>
      </c>
      <c r="D6318" t="inlineStr">
        <is>
          <t>Hub B</t>
        </is>
      </c>
      <c r="E6318" t="n">
        <v>77</v>
      </c>
      <c r="F6318" t="n">
        <v>47.544</v>
      </c>
    </row>
    <row r="6319">
      <c r="A6319" t="inlineStr">
        <is>
          <t>ORD06318</t>
        </is>
      </c>
      <c r="B6319" t="inlineStr">
        <is>
          <t>C1318</t>
        </is>
      </c>
      <c r="C6319" t="n">
        <v>3</v>
      </c>
      <c r="D6319" t="inlineStr">
        <is>
          <t>Hub B</t>
        </is>
      </c>
      <c r="E6319" t="n">
        <v>24</v>
      </c>
      <c r="F6319" t="n">
        <v>47.544</v>
      </c>
    </row>
    <row r="6320">
      <c r="A6320" t="inlineStr">
        <is>
          <t>ORD06319</t>
        </is>
      </c>
      <c r="B6320" t="inlineStr">
        <is>
          <t>C1319</t>
        </is>
      </c>
      <c r="C6320" t="n">
        <v>1</v>
      </c>
      <c r="D6320" t="inlineStr">
        <is>
          <t>Hub B</t>
        </is>
      </c>
      <c r="E6320" t="n">
        <v>31</v>
      </c>
      <c r="F6320" t="n">
        <v>47.544</v>
      </c>
    </row>
    <row r="6321">
      <c r="A6321" t="inlineStr">
        <is>
          <t>ORD06320</t>
        </is>
      </c>
      <c r="B6321" t="inlineStr">
        <is>
          <t>C1320</t>
        </is>
      </c>
      <c r="C6321" t="n">
        <v>2</v>
      </c>
      <c r="D6321" t="inlineStr">
        <is>
          <t>Hub B</t>
        </is>
      </c>
      <c r="E6321" t="n">
        <v>38</v>
      </c>
      <c r="F6321" t="n">
        <v>47.544</v>
      </c>
    </row>
    <row r="6322">
      <c r="A6322" t="inlineStr">
        <is>
          <t>ORD06321</t>
        </is>
      </c>
      <c r="B6322" t="inlineStr">
        <is>
          <t>C1321</t>
        </is>
      </c>
      <c r="C6322" t="n">
        <v>3</v>
      </c>
      <c r="D6322" t="inlineStr">
        <is>
          <t>Hub B</t>
        </is>
      </c>
      <c r="E6322" t="n">
        <v>45</v>
      </c>
      <c r="F6322" t="n">
        <v>47.544</v>
      </c>
    </row>
    <row r="6323">
      <c r="A6323" t="inlineStr">
        <is>
          <t>ORD06322</t>
        </is>
      </c>
      <c r="B6323" t="inlineStr">
        <is>
          <t>C1322</t>
        </is>
      </c>
      <c r="C6323" t="n">
        <v>1</v>
      </c>
      <c r="D6323" t="inlineStr">
        <is>
          <t>Hub B</t>
        </is>
      </c>
      <c r="E6323" t="n">
        <v>52</v>
      </c>
      <c r="F6323" t="n">
        <v>47.544</v>
      </c>
    </row>
    <row r="6324">
      <c r="A6324" t="inlineStr">
        <is>
          <t>ORD06323</t>
        </is>
      </c>
      <c r="B6324" t="inlineStr">
        <is>
          <t>C1323</t>
        </is>
      </c>
      <c r="C6324" t="n">
        <v>2</v>
      </c>
      <c r="D6324" t="inlineStr">
        <is>
          <t>Hub B</t>
        </is>
      </c>
      <c r="E6324" t="n">
        <v>59</v>
      </c>
      <c r="F6324" t="n">
        <v>47.544</v>
      </c>
    </row>
    <row r="6325">
      <c r="A6325" t="inlineStr">
        <is>
          <t>ORD06324</t>
        </is>
      </c>
      <c r="B6325" t="inlineStr">
        <is>
          <t>C1324</t>
        </is>
      </c>
      <c r="C6325" t="n">
        <v>3</v>
      </c>
      <c r="D6325" t="inlineStr">
        <is>
          <t>Hub B</t>
        </is>
      </c>
      <c r="E6325" t="n">
        <v>66</v>
      </c>
      <c r="F6325" t="n">
        <v>47.544</v>
      </c>
    </row>
    <row r="6326">
      <c r="A6326" t="inlineStr">
        <is>
          <t>ORD06325</t>
        </is>
      </c>
      <c r="B6326" t="inlineStr">
        <is>
          <t>C1325</t>
        </is>
      </c>
      <c r="C6326" t="n">
        <v>1</v>
      </c>
      <c r="D6326" t="inlineStr">
        <is>
          <t>Hub B</t>
        </is>
      </c>
      <c r="E6326" t="n">
        <v>73</v>
      </c>
      <c r="F6326" t="n">
        <v>47.544</v>
      </c>
    </row>
    <row r="6327">
      <c r="A6327" t="inlineStr">
        <is>
          <t>ORD06326</t>
        </is>
      </c>
      <c r="B6327" t="inlineStr">
        <is>
          <t>C1326</t>
        </is>
      </c>
      <c r="C6327" t="n">
        <v>2</v>
      </c>
      <c r="D6327" t="inlineStr">
        <is>
          <t>Hub B</t>
        </is>
      </c>
      <c r="E6327" t="n">
        <v>20</v>
      </c>
      <c r="F6327" t="n">
        <v>47.544</v>
      </c>
    </row>
    <row r="6328">
      <c r="A6328" t="inlineStr">
        <is>
          <t>ORD06327</t>
        </is>
      </c>
      <c r="B6328" t="inlineStr">
        <is>
          <t>C1327</t>
        </is>
      </c>
      <c r="C6328" t="n">
        <v>3</v>
      </c>
      <c r="D6328" t="inlineStr">
        <is>
          <t>Hub B</t>
        </is>
      </c>
      <c r="E6328" t="n">
        <v>27</v>
      </c>
      <c r="F6328" t="n">
        <v>47.544</v>
      </c>
    </row>
    <row r="6329">
      <c r="A6329" t="inlineStr">
        <is>
          <t>ORD06328</t>
        </is>
      </c>
      <c r="B6329" t="inlineStr">
        <is>
          <t>C1328</t>
        </is>
      </c>
      <c r="C6329" t="n">
        <v>1</v>
      </c>
      <c r="D6329" t="inlineStr">
        <is>
          <t>Hub B</t>
        </is>
      </c>
      <c r="E6329" t="n">
        <v>34</v>
      </c>
      <c r="F6329" t="n">
        <v>47.544</v>
      </c>
    </row>
    <row r="6330">
      <c r="A6330" t="inlineStr">
        <is>
          <t>ORD06329</t>
        </is>
      </c>
      <c r="B6330" t="inlineStr">
        <is>
          <t>C1329</t>
        </is>
      </c>
      <c r="C6330" t="n">
        <v>2</v>
      </c>
      <c r="D6330" t="inlineStr">
        <is>
          <t>Hub B</t>
        </is>
      </c>
      <c r="E6330" t="n">
        <v>41</v>
      </c>
      <c r="F6330" t="n">
        <v>47.544</v>
      </c>
    </row>
    <row r="6331">
      <c r="A6331" t="inlineStr">
        <is>
          <t>ORD06330</t>
        </is>
      </c>
      <c r="B6331" t="inlineStr">
        <is>
          <t>C1330</t>
        </is>
      </c>
      <c r="C6331" t="n">
        <v>3</v>
      </c>
      <c r="D6331" t="inlineStr">
        <is>
          <t>Hub B</t>
        </is>
      </c>
      <c r="E6331" t="n">
        <v>48</v>
      </c>
      <c r="F6331" t="n">
        <v>47.544</v>
      </c>
    </row>
    <row r="6332">
      <c r="A6332" t="inlineStr">
        <is>
          <t>ORD06331</t>
        </is>
      </c>
      <c r="B6332" t="inlineStr">
        <is>
          <t>C1331</t>
        </is>
      </c>
      <c r="C6332" t="n">
        <v>1</v>
      </c>
      <c r="D6332" t="inlineStr">
        <is>
          <t>Hub B</t>
        </is>
      </c>
      <c r="E6332" t="n">
        <v>55</v>
      </c>
      <c r="F6332" t="n">
        <v>47.544</v>
      </c>
    </row>
    <row r="6333">
      <c r="A6333" t="inlineStr">
        <is>
          <t>ORD06332</t>
        </is>
      </c>
      <c r="B6333" t="inlineStr">
        <is>
          <t>C1332</t>
        </is>
      </c>
      <c r="C6333" t="n">
        <v>2</v>
      </c>
      <c r="D6333" t="inlineStr">
        <is>
          <t>Hub B</t>
        </is>
      </c>
      <c r="E6333" t="n">
        <v>62</v>
      </c>
      <c r="F6333" t="n">
        <v>47.544</v>
      </c>
    </row>
    <row r="6334">
      <c r="A6334" t="inlineStr">
        <is>
          <t>ORD06333</t>
        </is>
      </c>
      <c r="B6334" t="inlineStr">
        <is>
          <t>C1333</t>
        </is>
      </c>
      <c r="C6334" t="n">
        <v>3</v>
      </c>
      <c r="D6334" t="inlineStr">
        <is>
          <t>Hub B</t>
        </is>
      </c>
      <c r="E6334" t="n">
        <v>69</v>
      </c>
      <c r="F6334" t="n">
        <v>47.544</v>
      </c>
    </row>
    <row r="6335">
      <c r="A6335" t="inlineStr">
        <is>
          <t>ORD06334</t>
        </is>
      </c>
      <c r="B6335" t="inlineStr">
        <is>
          <t>C1334</t>
        </is>
      </c>
      <c r="C6335" t="n">
        <v>1</v>
      </c>
      <c r="D6335" t="inlineStr">
        <is>
          <t>Hub B</t>
        </is>
      </c>
      <c r="E6335" t="n">
        <v>76</v>
      </c>
      <c r="F6335" t="n">
        <v>47.544</v>
      </c>
    </row>
    <row r="6336">
      <c r="A6336" t="inlineStr">
        <is>
          <t>ORD06335</t>
        </is>
      </c>
      <c r="B6336" t="inlineStr">
        <is>
          <t>C1335</t>
        </is>
      </c>
      <c r="C6336" t="n">
        <v>2</v>
      </c>
      <c r="D6336" t="inlineStr">
        <is>
          <t>Hub B</t>
        </is>
      </c>
      <c r="E6336" t="n">
        <v>23</v>
      </c>
      <c r="F6336" t="n">
        <v>47.544</v>
      </c>
    </row>
    <row r="6337">
      <c r="A6337" t="inlineStr">
        <is>
          <t>ORD06336</t>
        </is>
      </c>
      <c r="B6337" t="inlineStr">
        <is>
          <t>C1336</t>
        </is>
      </c>
      <c r="C6337" t="n">
        <v>3</v>
      </c>
      <c r="D6337" t="inlineStr">
        <is>
          <t>Hub B</t>
        </is>
      </c>
      <c r="E6337" t="n">
        <v>30</v>
      </c>
      <c r="F6337" t="n">
        <v>47.544</v>
      </c>
    </row>
    <row r="6338">
      <c r="A6338" t="inlineStr">
        <is>
          <t>ORD06337</t>
        </is>
      </c>
      <c r="B6338" t="inlineStr">
        <is>
          <t>C1337</t>
        </is>
      </c>
      <c r="C6338" t="n">
        <v>1</v>
      </c>
      <c r="D6338" t="inlineStr">
        <is>
          <t>Hub B</t>
        </is>
      </c>
      <c r="E6338" t="n">
        <v>37</v>
      </c>
      <c r="F6338" t="n">
        <v>47.544</v>
      </c>
    </row>
    <row r="6339">
      <c r="A6339" t="inlineStr">
        <is>
          <t>ORD06338</t>
        </is>
      </c>
      <c r="B6339" t="inlineStr">
        <is>
          <t>C1338</t>
        </is>
      </c>
      <c r="C6339" t="n">
        <v>2</v>
      </c>
      <c r="D6339" t="inlineStr">
        <is>
          <t>Hub B</t>
        </is>
      </c>
      <c r="E6339" t="n">
        <v>44</v>
      </c>
      <c r="F6339" t="n">
        <v>47.544</v>
      </c>
    </row>
    <row r="6340">
      <c r="A6340" t="inlineStr">
        <is>
          <t>ORD06339</t>
        </is>
      </c>
      <c r="B6340" t="inlineStr">
        <is>
          <t>C1339</t>
        </is>
      </c>
      <c r="C6340" t="n">
        <v>3</v>
      </c>
      <c r="D6340" t="inlineStr">
        <is>
          <t>Hub B</t>
        </is>
      </c>
      <c r="E6340" t="n">
        <v>51</v>
      </c>
      <c r="F6340" t="n">
        <v>47.544</v>
      </c>
    </row>
    <row r="6341">
      <c r="A6341" t="inlineStr">
        <is>
          <t>ORD06340</t>
        </is>
      </c>
      <c r="B6341" t="inlineStr">
        <is>
          <t>C1340</t>
        </is>
      </c>
      <c r="C6341" t="n">
        <v>1</v>
      </c>
      <c r="D6341" t="inlineStr">
        <is>
          <t>Hub B</t>
        </is>
      </c>
      <c r="E6341" t="n">
        <v>58</v>
      </c>
      <c r="F6341" t="n">
        <v>47.544</v>
      </c>
    </row>
    <row r="6342">
      <c r="A6342" t="inlineStr">
        <is>
          <t>ORD06341</t>
        </is>
      </c>
      <c r="B6342" t="inlineStr">
        <is>
          <t>C1341</t>
        </is>
      </c>
      <c r="C6342" t="n">
        <v>2</v>
      </c>
      <c r="D6342" t="inlineStr">
        <is>
          <t>Hub B</t>
        </is>
      </c>
      <c r="E6342" t="n">
        <v>65</v>
      </c>
      <c r="F6342" t="n">
        <v>47.544</v>
      </c>
    </row>
    <row r="6343">
      <c r="A6343" t="inlineStr">
        <is>
          <t>ORD06342</t>
        </is>
      </c>
      <c r="B6343" t="inlineStr">
        <is>
          <t>C1342</t>
        </is>
      </c>
      <c r="C6343" t="n">
        <v>3</v>
      </c>
      <c r="D6343" t="inlineStr">
        <is>
          <t>Hub B</t>
        </is>
      </c>
      <c r="E6343" t="n">
        <v>72</v>
      </c>
      <c r="F6343" t="n">
        <v>47.544</v>
      </c>
    </row>
    <row r="6344">
      <c r="A6344" t="inlineStr">
        <is>
          <t>ORD06343</t>
        </is>
      </c>
      <c r="B6344" t="inlineStr">
        <is>
          <t>C1343</t>
        </is>
      </c>
      <c r="C6344" t="n">
        <v>1</v>
      </c>
      <c r="D6344" t="inlineStr">
        <is>
          <t>Hub B</t>
        </is>
      </c>
      <c r="E6344" t="n">
        <v>19</v>
      </c>
      <c r="F6344" t="n">
        <v>47.544</v>
      </c>
    </row>
    <row r="6345">
      <c r="A6345" t="inlineStr">
        <is>
          <t>ORD06344</t>
        </is>
      </c>
      <c r="B6345" t="inlineStr">
        <is>
          <t>C1344</t>
        </is>
      </c>
      <c r="C6345" t="n">
        <v>2</v>
      </c>
      <c r="D6345" t="inlineStr">
        <is>
          <t>Hub B</t>
        </is>
      </c>
      <c r="E6345" t="n">
        <v>26</v>
      </c>
      <c r="F6345" t="n">
        <v>47.544</v>
      </c>
    </row>
    <row r="6346">
      <c r="A6346" t="inlineStr">
        <is>
          <t>ORD06345</t>
        </is>
      </c>
      <c r="B6346" t="inlineStr">
        <is>
          <t>C1345</t>
        </is>
      </c>
      <c r="C6346" t="n">
        <v>3</v>
      </c>
      <c r="D6346" t="inlineStr">
        <is>
          <t>Hub B</t>
        </is>
      </c>
      <c r="E6346" t="n">
        <v>33</v>
      </c>
      <c r="F6346" t="n">
        <v>47.544</v>
      </c>
    </row>
    <row r="6347">
      <c r="A6347" t="inlineStr">
        <is>
          <t>ORD06346</t>
        </is>
      </c>
      <c r="B6347" t="inlineStr">
        <is>
          <t>C1346</t>
        </is>
      </c>
      <c r="C6347" t="n">
        <v>1</v>
      </c>
      <c r="D6347" t="inlineStr">
        <is>
          <t>Hub B</t>
        </is>
      </c>
      <c r="E6347" t="n">
        <v>40</v>
      </c>
      <c r="F6347" t="n">
        <v>47.544</v>
      </c>
    </row>
    <row r="6348">
      <c r="A6348" t="inlineStr">
        <is>
          <t>ORD06347</t>
        </is>
      </c>
      <c r="B6348" t="inlineStr">
        <is>
          <t>C1347</t>
        </is>
      </c>
      <c r="C6348" t="n">
        <v>2</v>
      </c>
      <c r="D6348" t="inlineStr">
        <is>
          <t>Hub B</t>
        </is>
      </c>
      <c r="E6348" t="n">
        <v>47</v>
      </c>
      <c r="F6348" t="n">
        <v>47.544</v>
      </c>
    </row>
    <row r="6349">
      <c r="A6349" t="inlineStr">
        <is>
          <t>ORD06348</t>
        </is>
      </c>
      <c r="B6349" t="inlineStr">
        <is>
          <t>C1348</t>
        </is>
      </c>
      <c r="C6349" t="n">
        <v>3</v>
      </c>
      <c r="D6349" t="inlineStr">
        <is>
          <t>Hub B</t>
        </is>
      </c>
      <c r="E6349" t="n">
        <v>54</v>
      </c>
      <c r="F6349" t="n">
        <v>47.544</v>
      </c>
    </row>
    <row r="6350">
      <c r="A6350" t="inlineStr">
        <is>
          <t>ORD06349</t>
        </is>
      </c>
      <c r="B6350" t="inlineStr">
        <is>
          <t>C1349</t>
        </is>
      </c>
      <c r="C6350" t="n">
        <v>1</v>
      </c>
      <c r="D6350" t="inlineStr">
        <is>
          <t>Hub B</t>
        </is>
      </c>
      <c r="E6350" t="n">
        <v>61</v>
      </c>
      <c r="F6350" t="n">
        <v>47.544</v>
      </c>
    </row>
    <row r="6351">
      <c r="A6351" t="inlineStr">
        <is>
          <t>ORD06350</t>
        </is>
      </c>
      <c r="B6351" t="inlineStr">
        <is>
          <t>C1350</t>
        </is>
      </c>
      <c r="C6351" t="n">
        <v>2</v>
      </c>
      <c r="D6351" t="inlineStr">
        <is>
          <t>Hub B</t>
        </is>
      </c>
      <c r="E6351" t="n">
        <v>68</v>
      </c>
      <c r="F6351" t="n">
        <v>47.544</v>
      </c>
    </row>
    <row r="6352">
      <c r="A6352" t="inlineStr">
        <is>
          <t>ORD06351</t>
        </is>
      </c>
      <c r="B6352" t="inlineStr">
        <is>
          <t>C1351</t>
        </is>
      </c>
      <c r="C6352" t="n">
        <v>3</v>
      </c>
      <c r="D6352" t="inlineStr">
        <is>
          <t>Hub B</t>
        </is>
      </c>
      <c r="E6352" t="n">
        <v>75</v>
      </c>
      <c r="F6352" t="n">
        <v>47.544</v>
      </c>
    </row>
    <row r="6353">
      <c r="A6353" t="inlineStr">
        <is>
          <t>ORD06352</t>
        </is>
      </c>
      <c r="B6353" t="inlineStr">
        <is>
          <t>C1352</t>
        </is>
      </c>
      <c r="C6353" t="n">
        <v>1</v>
      </c>
      <c r="D6353" t="inlineStr">
        <is>
          <t>Hub B</t>
        </is>
      </c>
      <c r="E6353" t="n">
        <v>22</v>
      </c>
      <c r="F6353" t="n">
        <v>47.544</v>
      </c>
    </row>
    <row r="6354">
      <c r="A6354" t="inlineStr">
        <is>
          <t>ORD06353</t>
        </is>
      </c>
      <c r="B6354" t="inlineStr">
        <is>
          <t>C1353</t>
        </is>
      </c>
      <c r="C6354" t="n">
        <v>2</v>
      </c>
      <c r="D6354" t="inlineStr">
        <is>
          <t>Hub B</t>
        </is>
      </c>
      <c r="E6354" t="n">
        <v>29</v>
      </c>
      <c r="F6354" t="n">
        <v>47.544</v>
      </c>
    </row>
    <row r="6355">
      <c r="A6355" t="inlineStr">
        <is>
          <t>ORD06354</t>
        </is>
      </c>
      <c r="B6355" t="inlineStr">
        <is>
          <t>C1354</t>
        </is>
      </c>
      <c r="C6355" t="n">
        <v>3</v>
      </c>
      <c r="D6355" t="inlineStr">
        <is>
          <t>Hub B</t>
        </is>
      </c>
      <c r="E6355" t="n">
        <v>36</v>
      </c>
      <c r="F6355" t="n">
        <v>47.544</v>
      </c>
    </row>
    <row r="6356">
      <c r="A6356" t="inlineStr">
        <is>
          <t>ORD06355</t>
        </is>
      </c>
      <c r="B6356" t="inlineStr">
        <is>
          <t>C1355</t>
        </is>
      </c>
      <c r="C6356" t="n">
        <v>1</v>
      </c>
      <c r="D6356" t="inlineStr">
        <is>
          <t>Hub B</t>
        </is>
      </c>
      <c r="E6356" t="n">
        <v>43</v>
      </c>
      <c r="F6356" t="n">
        <v>47.544</v>
      </c>
    </row>
    <row r="6357">
      <c r="A6357" t="inlineStr">
        <is>
          <t>ORD06356</t>
        </is>
      </c>
      <c r="B6357" t="inlineStr">
        <is>
          <t>C1356</t>
        </is>
      </c>
      <c r="C6357" t="n">
        <v>2</v>
      </c>
      <c r="D6357" t="inlineStr">
        <is>
          <t>Hub B</t>
        </is>
      </c>
      <c r="E6357" t="n">
        <v>50</v>
      </c>
      <c r="F6357" t="n">
        <v>47.544</v>
      </c>
    </row>
    <row r="6358">
      <c r="A6358" t="inlineStr">
        <is>
          <t>ORD06357</t>
        </is>
      </c>
      <c r="B6358" t="inlineStr">
        <is>
          <t>C1357</t>
        </is>
      </c>
      <c r="C6358" t="n">
        <v>3</v>
      </c>
      <c r="D6358" t="inlineStr">
        <is>
          <t>Hub B</t>
        </is>
      </c>
      <c r="E6358" t="n">
        <v>57</v>
      </c>
      <c r="F6358" t="n">
        <v>47.544</v>
      </c>
    </row>
    <row r="6359">
      <c r="A6359" t="inlineStr">
        <is>
          <t>ORD06358</t>
        </is>
      </c>
      <c r="B6359" t="inlineStr">
        <is>
          <t>C1358</t>
        </is>
      </c>
      <c r="C6359" t="n">
        <v>1</v>
      </c>
      <c r="D6359" t="inlineStr">
        <is>
          <t>Hub B</t>
        </is>
      </c>
      <c r="E6359" t="n">
        <v>64</v>
      </c>
      <c r="F6359" t="n">
        <v>47.544</v>
      </c>
    </row>
    <row r="6360">
      <c r="A6360" t="inlineStr">
        <is>
          <t>ORD06359</t>
        </is>
      </c>
      <c r="B6360" t="inlineStr">
        <is>
          <t>C1359</t>
        </is>
      </c>
      <c r="C6360" t="n">
        <v>2</v>
      </c>
      <c r="D6360" t="inlineStr">
        <is>
          <t>Hub B</t>
        </is>
      </c>
      <c r="E6360" t="n">
        <v>71</v>
      </c>
      <c r="F6360" t="n">
        <v>47.544</v>
      </c>
    </row>
    <row r="6361">
      <c r="A6361" t="inlineStr">
        <is>
          <t>ORD06360</t>
        </is>
      </c>
      <c r="B6361" t="inlineStr">
        <is>
          <t>C1360</t>
        </is>
      </c>
      <c r="C6361" t="n">
        <v>3</v>
      </c>
      <c r="D6361" t="inlineStr">
        <is>
          <t>Hub B</t>
        </is>
      </c>
      <c r="E6361" t="n">
        <v>18</v>
      </c>
      <c r="F6361" t="n">
        <v>47.544</v>
      </c>
    </row>
    <row r="6362">
      <c r="A6362" t="inlineStr">
        <is>
          <t>ORD06361</t>
        </is>
      </c>
      <c r="B6362" t="inlineStr">
        <is>
          <t>C1361</t>
        </is>
      </c>
      <c r="C6362" t="n">
        <v>1</v>
      </c>
      <c r="D6362" t="inlineStr">
        <is>
          <t>Hub B</t>
        </is>
      </c>
      <c r="E6362" t="n">
        <v>25</v>
      </c>
      <c r="F6362" t="n">
        <v>47.544</v>
      </c>
    </row>
    <row r="6363">
      <c r="A6363" t="inlineStr">
        <is>
          <t>ORD06362</t>
        </is>
      </c>
      <c r="B6363" t="inlineStr">
        <is>
          <t>C1362</t>
        </is>
      </c>
      <c r="C6363" t="n">
        <v>2</v>
      </c>
      <c r="D6363" t="inlineStr">
        <is>
          <t>Hub B</t>
        </is>
      </c>
      <c r="E6363" t="n">
        <v>32</v>
      </c>
      <c r="F6363" t="n">
        <v>47.544</v>
      </c>
    </row>
    <row r="6364">
      <c r="A6364" t="inlineStr">
        <is>
          <t>ORD06363</t>
        </is>
      </c>
      <c r="B6364" t="inlineStr">
        <is>
          <t>C1363</t>
        </is>
      </c>
      <c r="C6364" t="n">
        <v>3</v>
      </c>
      <c r="D6364" t="inlineStr">
        <is>
          <t>Hub B</t>
        </is>
      </c>
      <c r="E6364" t="n">
        <v>39</v>
      </c>
      <c r="F6364" t="n">
        <v>47.544</v>
      </c>
    </row>
    <row r="6365">
      <c r="A6365" t="inlineStr">
        <is>
          <t>ORD06364</t>
        </is>
      </c>
      <c r="B6365" t="inlineStr">
        <is>
          <t>C1364</t>
        </is>
      </c>
      <c r="C6365" t="n">
        <v>1</v>
      </c>
      <c r="D6365" t="inlineStr">
        <is>
          <t>Hub B</t>
        </is>
      </c>
      <c r="E6365" t="n">
        <v>46</v>
      </c>
      <c r="F6365" t="n">
        <v>47.544</v>
      </c>
    </row>
    <row r="6366">
      <c r="A6366" t="inlineStr">
        <is>
          <t>ORD06365</t>
        </is>
      </c>
      <c r="B6366" t="inlineStr">
        <is>
          <t>C1365</t>
        </is>
      </c>
      <c r="C6366" t="n">
        <v>2</v>
      </c>
      <c r="D6366" t="inlineStr">
        <is>
          <t>Hub B</t>
        </is>
      </c>
      <c r="E6366" t="n">
        <v>53</v>
      </c>
      <c r="F6366" t="n">
        <v>47.544</v>
      </c>
    </row>
    <row r="6367">
      <c r="A6367" t="inlineStr">
        <is>
          <t>ORD06366</t>
        </is>
      </c>
      <c r="B6367" t="inlineStr">
        <is>
          <t>C1366</t>
        </is>
      </c>
      <c r="C6367" t="n">
        <v>3</v>
      </c>
      <c r="D6367" t="inlineStr">
        <is>
          <t>Hub B</t>
        </is>
      </c>
      <c r="E6367" t="n">
        <v>60</v>
      </c>
      <c r="F6367" t="n">
        <v>47.544</v>
      </c>
    </row>
    <row r="6368">
      <c r="A6368" t="inlineStr">
        <is>
          <t>ORD06367</t>
        </is>
      </c>
      <c r="B6368" t="inlineStr">
        <is>
          <t>C1367</t>
        </is>
      </c>
      <c r="C6368" t="n">
        <v>1</v>
      </c>
      <c r="D6368" t="inlineStr">
        <is>
          <t>Hub B</t>
        </is>
      </c>
      <c r="E6368" t="n">
        <v>67</v>
      </c>
      <c r="F6368" t="n">
        <v>47.544</v>
      </c>
    </row>
    <row r="6369">
      <c r="A6369" t="inlineStr">
        <is>
          <t>ORD06368</t>
        </is>
      </c>
      <c r="B6369" t="inlineStr">
        <is>
          <t>C1368</t>
        </is>
      </c>
      <c r="C6369" t="n">
        <v>2</v>
      </c>
      <c r="D6369" t="inlineStr">
        <is>
          <t>Hub B</t>
        </is>
      </c>
      <c r="E6369" t="n">
        <v>74</v>
      </c>
      <c r="F6369" t="n">
        <v>47.544</v>
      </c>
    </row>
    <row r="6370">
      <c r="A6370" t="inlineStr">
        <is>
          <t>ORD06369</t>
        </is>
      </c>
      <c r="B6370" t="inlineStr">
        <is>
          <t>C1369</t>
        </is>
      </c>
      <c r="C6370" t="n">
        <v>3</v>
      </c>
      <c r="D6370" t="inlineStr">
        <is>
          <t>Hub B</t>
        </is>
      </c>
      <c r="E6370" t="n">
        <v>21</v>
      </c>
      <c r="F6370" t="n">
        <v>47.544</v>
      </c>
    </row>
    <row r="6371">
      <c r="A6371" t="inlineStr">
        <is>
          <t>ORD06370</t>
        </is>
      </c>
      <c r="B6371" t="inlineStr">
        <is>
          <t>C1370</t>
        </is>
      </c>
      <c r="C6371" t="n">
        <v>1</v>
      </c>
      <c r="D6371" t="inlineStr">
        <is>
          <t>Hub B</t>
        </is>
      </c>
      <c r="E6371" t="n">
        <v>28</v>
      </c>
      <c r="F6371" t="n">
        <v>47.544</v>
      </c>
    </row>
    <row r="6372">
      <c r="A6372" t="inlineStr">
        <is>
          <t>ORD06371</t>
        </is>
      </c>
      <c r="B6372" t="inlineStr">
        <is>
          <t>C1371</t>
        </is>
      </c>
      <c r="C6372" t="n">
        <v>2</v>
      </c>
      <c r="D6372" t="inlineStr">
        <is>
          <t>Hub B</t>
        </is>
      </c>
      <c r="E6372" t="n">
        <v>35</v>
      </c>
      <c r="F6372" t="n">
        <v>47.544</v>
      </c>
    </row>
    <row r="6373">
      <c r="A6373" t="inlineStr">
        <is>
          <t>ORD06372</t>
        </is>
      </c>
      <c r="B6373" t="inlineStr">
        <is>
          <t>C1372</t>
        </is>
      </c>
      <c r="C6373" t="n">
        <v>3</v>
      </c>
      <c r="D6373" t="inlineStr">
        <is>
          <t>Hub B</t>
        </is>
      </c>
      <c r="E6373" t="n">
        <v>42</v>
      </c>
      <c r="F6373" t="n">
        <v>47.544</v>
      </c>
    </row>
    <row r="6374">
      <c r="A6374" t="inlineStr">
        <is>
          <t>ORD06373</t>
        </is>
      </c>
      <c r="B6374" t="inlineStr">
        <is>
          <t>C1373</t>
        </is>
      </c>
      <c r="C6374" t="n">
        <v>1</v>
      </c>
      <c r="D6374" t="inlineStr">
        <is>
          <t>Hub B</t>
        </is>
      </c>
      <c r="E6374" t="n">
        <v>49</v>
      </c>
      <c r="F6374" t="n">
        <v>47.544</v>
      </c>
    </row>
    <row r="6375">
      <c r="A6375" t="inlineStr">
        <is>
          <t>ORD06374</t>
        </is>
      </c>
      <c r="B6375" t="inlineStr">
        <is>
          <t>C1374</t>
        </is>
      </c>
      <c r="C6375" t="n">
        <v>2</v>
      </c>
      <c r="D6375" t="inlineStr">
        <is>
          <t>Hub B</t>
        </is>
      </c>
      <c r="E6375" t="n">
        <v>56</v>
      </c>
      <c r="F6375" t="n">
        <v>47.544</v>
      </c>
    </row>
    <row r="6376">
      <c r="A6376" t="inlineStr">
        <is>
          <t>ORD06375</t>
        </is>
      </c>
      <c r="B6376" t="inlineStr">
        <is>
          <t>C1375</t>
        </is>
      </c>
      <c r="C6376" t="n">
        <v>3</v>
      </c>
      <c r="D6376" t="inlineStr">
        <is>
          <t>Hub B</t>
        </is>
      </c>
      <c r="E6376" t="n">
        <v>63</v>
      </c>
      <c r="F6376" t="n">
        <v>47.544</v>
      </c>
    </row>
    <row r="6377">
      <c r="A6377" t="inlineStr">
        <is>
          <t>ORD06376</t>
        </is>
      </c>
      <c r="B6377" t="inlineStr">
        <is>
          <t>C1376</t>
        </is>
      </c>
      <c r="C6377" t="n">
        <v>1</v>
      </c>
      <c r="D6377" t="inlineStr">
        <is>
          <t>Hub B</t>
        </is>
      </c>
      <c r="E6377" t="n">
        <v>70</v>
      </c>
      <c r="F6377" t="n">
        <v>47.544</v>
      </c>
    </row>
    <row r="6378">
      <c r="A6378" t="inlineStr">
        <is>
          <t>ORD06377</t>
        </is>
      </c>
      <c r="B6378" t="inlineStr">
        <is>
          <t>C1377</t>
        </is>
      </c>
      <c r="C6378" t="n">
        <v>2</v>
      </c>
      <c r="D6378" t="inlineStr">
        <is>
          <t>Hub B</t>
        </is>
      </c>
      <c r="E6378" t="n">
        <v>77</v>
      </c>
      <c r="F6378" t="n">
        <v>47.544</v>
      </c>
    </row>
    <row r="6379">
      <c r="A6379" t="inlineStr">
        <is>
          <t>ORD06378</t>
        </is>
      </c>
      <c r="B6379" t="inlineStr">
        <is>
          <t>C1378</t>
        </is>
      </c>
      <c r="C6379" t="n">
        <v>3</v>
      </c>
      <c r="D6379" t="inlineStr">
        <is>
          <t>Hub B</t>
        </is>
      </c>
      <c r="E6379" t="n">
        <v>24</v>
      </c>
      <c r="F6379" t="n">
        <v>47.544</v>
      </c>
    </row>
    <row r="6380">
      <c r="A6380" t="inlineStr">
        <is>
          <t>ORD06379</t>
        </is>
      </c>
      <c r="B6380" t="inlineStr">
        <is>
          <t>C1379</t>
        </is>
      </c>
      <c r="C6380" t="n">
        <v>1</v>
      </c>
      <c r="D6380" t="inlineStr">
        <is>
          <t>Hub B</t>
        </is>
      </c>
      <c r="E6380" t="n">
        <v>31</v>
      </c>
      <c r="F6380" t="n">
        <v>47.544</v>
      </c>
    </row>
    <row r="6381">
      <c r="A6381" t="inlineStr">
        <is>
          <t>ORD06380</t>
        </is>
      </c>
      <c r="B6381" t="inlineStr">
        <is>
          <t>C1380</t>
        </is>
      </c>
      <c r="C6381" t="n">
        <v>2</v>
      </c>
      <c r="D6381" t="inlineStr">
        <is>
          <t>Hub B</t>
        </is>
      </c>
      <c r="E6381" t="n">
        <v>38</v>
      </c>
      <c r="F6381" t="n">
        <v>47.544</v>
      </c>
    </row>
    <row r="6382">
      <c r="A6382" t="inlineStr">
        <is>
          <t>ORD06381</t>
        </is>
      </c>
      <c r="B6382" t="inlineStr">
        <is>
          <t>C1381</t>
        </is>
      </c>
      <c r="C6382" t="n">
        <v>3</v>
      </c>
      <c r="D6382" t="inlineStr">
        <is>
          <t>Hub B</t>
        </is>
      </c>
      <c r="E6382" t="n">
        <v>45</v>
      </c>
      <c r="F6382" t="n">
        <v>47.544</v>
      </c>
    </row>
    <row r="6383">
      <c r="A6383" t="inlineStr">
        <is>
          <t>ORD06382</t>
        </is>
      </c>
      <c r="B6383" t="inlineStr">
        <is>
          <t>C1382</t>
        </is>
      </c>
      <c r="C6383" t="n">
        <v>1</v>
      </c>
      <c r="D6383" t="inlineStr">
        <is>
          <t>Hub B</t>
        </is>
      </c>
      <c r="E6383" t="n">
        <v>52</v>
      </c>
      <c r="F6383" t="n">
        <v>47.544</v>
      </c>
    </row>
    <row r="6384">
      <c r="A6384" t="inlineStr">
        <is>
          <t>ORD06383</t>
        </is>
      </c>
      <c r="B6384" t="inlineStr">
        <is>
          <t>C1383</t>
        </is>
      </c>
      <c r="C6384" t="n">
        <v>2</v>
      </c>
      <c r="D6384" t="inlineStr">
        <is>
          <t>Hub B</t>
        </is>
      </c>
      <c r="E6384" t="n">
        <v>59</v>
      </c>
      <c r="F6384" t="n">
        <v>47.544</v>
      </c>
    </row>
    <row r="6385">
      <c r="A6385" t="inlineStr">
        <is>
          <t>ORD06384</t>
        </is>
      </c>
      <c r="B6385" t="inlineStr">
        <is>
          <t>C1384</t>
        </is>
      </c>
      <c r="C6385" t="n">
        <v>3</v>
      </c>
      <c r="D6385" t="inlineStr">
        <is>
          <t>Hub B</t>
        </is>
      </c>
      <c r="E6385" t="n">
        <v>66</v>
      </c>
      <c r="F6385" t="n">
        <v>47.544</v>
      </c>
    </row>
    <row r="6386">
      <c r="A6386" t="inlineStr">
        <is>
          <t>ORD06385</t>
        </is>
      </c>
      <c r="B6386" t="inlineStr">
        <is>
          <t>C1385</t>
        </is>
      </c>
      <c r="C6386" t="n">
        <v>1</v>
      </c>
      <c r="D6386" t="inlineStr">
        <is>
          <t>Hub B</t>
        </is>
      </c>
      <c r="E6386" t="n">
        <v>73</v>
      </c>
      <c r="F6386" t="n">
        <v>47.544</v>
      </c>
    </row>
    <row r="6387">
      <c r="A6387" t="inlineStr">
        <is>
          <t>ORD06386</t>
        </is>
      </c>
      <c r="B6387" t="inlineStr">
        <is>
          <t>C1386</t>
        </is>
      </c>
      <c r="C6387" t="n">
        <v>2</v>
      </c>
      <c r="D6387" t="inlineStr">
        <is>
          <t>Hub B</t>
        </is>
      </c>
      <c r="E6387" t="n">
        <v>20</v>
      </c>
      <c r="F6387" t="n">
        <v>47.544</v>
      </c>
    </row>
    <row r="6388">
      <c r="A6388" t="inlineStr">
        <is>
          <t>ORD06387</t>
        </is>
      </c>
      <c r="B6388" t="inlineStr">
        <is>
          <t>C1387</t>
        </is>
      </c>
      <c r="C6388" t="n">
        <v>3</v>
      </c>
      <c r="D6388" t="inlineStr">
        <is>
          <t>Hub B</t>
        </is>
      </c>
      <c r="E6388" t="n">
        <v>27</v>
      </c>
      <c r="F6388" t="n">
        <v>47.544</v>
      </c>
    </row>
    <row r="6389">
      <c r="A6389" t="inlineStr">
        <is>
          <t>ORD06388</t>
        </is>
      </c>
      <c r="B6389" t="inlineStr">
        <is>
          <t>C1388</t>
        </is>
      </c>
      <c r="C6389" t="n">
        <v>1</v>
      </c>
      <c r="D6389" t="inlineStr">
        <is>
          <t>Hub B</t>
        </is>
      </c>
      <c r="E6389" t="n">
        <v>34</v>
      </c>
      <c r="F6389" t="n">
        <v>47.544</v>
      </c>
    </row>
    <row r="6390">
      <c r="A6390" t="inlineStr">
        <is>
          <t>ORD06389</t>
        </is>
      </c>
      <c r="B6390" t="inlineStr">
        <is>
          <t>C1389</t>
        </is>
      </c>
      <c r="C6390" t="n">
        <v>2</v>
      </c>
      <c r="D6390" t="inlineStr">
        <is>
          <t>Hub B</t>
        </is>
      </c>
      <c r="E6390" t="n">
        <v>41</v>
      </c>
      <c r="F6390" t="n">
        <v>47.544</v>
      </c>
    </row>
    <row r="6391">
      <c r="A6391" t="inlineStr">
        <is>
          <t>ORD06390</t>
        </is>
      </c>
      <c r="B6391" t="inlineStr">
        <is>
          <t>C1390</t>
        </is>
      </c>
      <c r="C6391" t="n">
        <v>3</v>
      </c>
      <c r="D6391" t="inlineStr">
        <is>
          <t>Hub B</t>
        </is>
      </c>
      <c r="E6391" t="n">
        <v>48</v>
      </c>
      <c r="F6391" t="n">
        <v>47.544</v>
      </c>
    </row>
    <row r="6392">
      <c r="A6392" t="inlineStr">
        <is>
          <t>ORD06391</t>
        </is>
      </c>
      <c r="B6392" t="inlineStr">
        <is>
          <t>C1391</t>
        </is>
      </c>
      <c r="C6392" t="n">
        <v>1</v>
      </c>
      <c r="D6392" t="inlineStr">
        <is>
          <t>Hub B</t>
        </is>
      </c>
      <c r="E6392" t="n">
        <v>55</v>
      </c>
      <c r="F6392" t="n">
        <v>47.544</v>
      </c>
    </row>
    <row r="6393">
      <c r="A6393" t="inlineStr">
        <is>
          <t>ORD06392</t>
        </is>
      </c>
      <c r="B6393" t="inlineStr">
        <is>
          <t>C1392</t>
        </is>
      </c>
      <c r="C6393" t="n">
        <v>2</v>
      </c>
      <c r="D6393" t="inlineStr">
        <is>
          <t>Hub B</t>
        </is>
      </c>
      <c r="E6393" t="n">
        <v>62</v>
      </c>
      <c r="F6393" t="n">
        <v>47.544</v>
      </c>
    </row>
    <row r="6394">
      <c r="A6394" t="inlineStr">
        <is>
          <t>ORD06393</t>
        </is>
      </c>
      <c r="B6394" t="inlineStr">
        <is>
          <t>C1393</t>
        </is>
      </c>
      <c r="C6394" t="n">
        <v>3</v>
      </c>
      <c r="D6394" t="inlineStr">
        <is>
          <t>Hub B</t>
        </is>
      </c>
      <c r="E6394" t="n">
        <v>69</v>
      </c>
      <c r="F6394" t="n">
        <v>47.544</v>
      </c>
    </row>
    <row r="6395">
      <c r="A6395" t="inlineStr">
        <is>
          <t>ORD06394</t>
        </is>
      </c>
      <c r="B6395" t="inlineStr">
        <is>
          <t>C1394</t>
        </is>
      </c>
      <c r="C6395" t="n">
        <v>1</v>
      </c>
      <c r="D6395" t="inlineStr">
        <is>
          <t>Hub B</t>
        </is>
      </c>
      <c r="E6395" t="n">
        <v>76</v>
      </c>
      <c r="F6395" t="n">
        <v>47.544</v>
      </c>
    </row>
    <row r="6396">
      <c r="A6396" t="inlineStr">
        <is>
          <t>ORD06395</t>
        </is>
      </c>
      <c r="B6396" t="inlineStr">
        <is>
          <t>C1395</t>
        </is>
      </c>
      <c r="C6396" t="n">
        <v>2</v>
      </c>
      <c r="D6396" t="inlineStr">
        <is>
          <t>Hub B</t>
        </is>
      </c>
      <c r="E6396" t="n">
        <v>23</v>
      </c>
      <c r="F6396" t="n">
        <v>47.544</v>
      </c>
    </row>
    <row r="6397">
      <c r="A6397" t="inlineStr">
        <is>
          <t>ORD06396</t>
        </is>
      </c>
      <c r="B6397" t="inlineStr">
        <is>
          <t>C1396</t>
        </is>
      </c>
      <c r="C6397" t="n">
        <v>3</v>
      </c>
      <c r="D6397" t="inlineStr">
        <is>
          <t>Hub B</t>
        </is>
      </c>
      <c r="E6397" t="n">
        <v>30</v>
      </c>
      <c r="F6397" t="n">
        <v>47.544</v>
      </c>
    </row>
    <row r="6398">
      <c r="A6398" t="inlineStr">
        <is>
          <t>ORD06397</t>
        </is>
      </c>
      <c r="B6398" t="inlineStr">
        <is>
          <t>C1397</t>
        </is>
      </c>
      <c r="C6398" t="n">
        <v>1</v>
      </c>
      <c r="D6398" t="inlineStr">
        <is>
          <t>Hub B</t>
        </is>
      </c>
      <c r="E6398" t="n">
        <v>37</v>
      </c>
      <c r="F6398" t="n">
        <v>47.544</v>
      </c>
    </row>
    <row r="6399">
      <c r="A6399" t="inlineStr">
        <is>
          <t>ORD06398</t>
        </is>
      </c>
      <c r="B6399" t="inlineStr">
        <is>
          <t>C1398</t>
        </is>
      </c>
      <c r="C6399" t="n">
        <v>2</v>
      </c>
      <c r="D6399" t="inlineStr">
        <is>
          <t>Hub B</t>
        </is>
      </c>
      <c r="E6399" t="n">
        <v>44</v>
      </c>
      <c r="F6399" t="n">
        <v>47.544</v>
      </c>
    </row>
    <row r="6400">
      <c r="A6400" t="inlineStr">
        <is>
          <t>ORD06399</t>
        </is>
      </c>
      <c r="B6400" t="inlineStr">
        <is>
          <t>C1399</t>
        </is>
      </c>
      <c r="C6400" t="n">
        <v>3</v>
      </c>
      <c r="D6400" t="inlineStr">
        <is>
          <t>Hub B</t>
        </is>
      </c>
      <c r="E6400" t="n">
        <v>51</v>
      </c>
      <c r="F6400" t="n">
        <v>47.544</v>
      </c>
    </row>
    <row r="6401">
      <c r="A6401" t="inlineStr">
        <is>
          <t>ORD06400</t>
        </is>
      </c>
      <c r="B6401" t="inlineStr">
        <is>
          <t>C1400</t>
        </is>
      </c>
      <c r="C6401" t="n">
        <v>1</v>
      </c>
      <c r="D6401" t="inlineStr">
        <is>
          <t>Hub B</t>
        </is>
      </c>
      <c r="E6401" t="n">
        <v>58</v>
      </c>
      <c r="F6401" t="n">
        <v>47.544</v>
      </c>
    </row>
    <row r="6402">
      <c r="A6402" t="inlineStr">
        <is>
          <t>ORD06401</t>
        </is>
      </c>
      <c r="B6402" t="inlineStr">
        <is>
          <t>C1401</t>
        </is>
      </c>
      <c r="C6402" t="n">
        <v>2</v>
      </c>
      <c r="D6402" t="inlineStr">
        <is>
          <t>Hub B</t>
        </is>
      </c>
      <c r="E6402" t="n">
        <v>65</v>
      </c>
      <c r="F6402" t="n">
        <v>47.544</v>
      </c>
    </row>
    <row r="6403">
      <c r="A6403" t="inlineStr">
        <is>
          <t>ORD06402</t>
        </is>
      </c>
      <c r="B6403" t="inlineStr">
        <is>
          <t>C1402</t>
        </is>
      </c>
      <c r="C6403" t="n">
        <v>3</v>
      </c>
      <c r="D6403" t="inlineStr">
        <is>
          <t>Hub B</t>
        </is>
      </c>
      <c r="E6403" t="n">
        <v>72</v>
      </c>
      <c r="F6403" t="n">
        <v>47.544</v>
      </c>
    </row>
    <row r="6404">
      <c r="A6404" t="inlineStr">
        <is>
          <t>ORD06403</t>
        </is>
      </c>
      <c r="B6404" t="inlineStr">
        <is>
          <t>C1403</t>
        </is>
      </c>
      <c r="C6404" t="n">
        <v>1</v>
      </c>
      <c r="D6404" t="inlineStr">
        <is>
          <t>Hub B</t>
        </is>
      </c>
      <c r="E6404" t="n">
        <v>19</v>
      </c>
      <c r="F6404" t="n">
        <v>47.544</v>
      </c>
    </row>
    <row r="6405">
      <c r="A6405" t="inlineStr">
        <is>
          <t>ORD06404</t>
        </is>
      </c>
      <c r="B6405" t="inlineStr">
        <is>
          <t>C1404</t>
        </is>
      </c>
      <c r="C6405" t="n">
        <v>2</v>
      </c>
      <c r="D6405" t="inlineStr">
        <is>
          <t>Hub B</t>
        </is>
      </c>
      <c r="E6405" t="n">
        <v>26</v>
      </c>
      <c r="F6405" t="n">
        <v>47.544</v>
      </c>
    </row>
    <row r="6406">
      <c r="A6406" t="inlineStr">
        <is>
          <t>ORD06405</t>
        </is>
      </c>
      <c r="B6406" t="inlineStr">
        <is>
          <t>C1405</t>
        </is>
      </c>
      <c r="C6406" t="n">
        <v>3</v>
      </c>
      <c r="D6406" t="inlineStr">
        <is>
          <t>Hub B</t>
        </is>
      </c>
      <c r="E6406" t="n">
        <v>33</v>
      </c>
      <c r="F6406" t="n">
        <v>47.544</v>
      </c>
    </row>
    <row r="6407">
      <c r="A6407" t="inlineStr">
        <is>
          <t>ORD06406</t>
        </is>
      </c>
      <c r="B6407" t="inlineStr">
        <is>
          <t>C1406</t>
        </is>
      </c>
      <c r="C6407" t="n">
        <v>1</v>
      </c>
      <c r="D6407" t="inlineStr">
        <is>
          <t>Hub B</t>
        </is>
      </c>
      <c r="E6407" t="n">
        <v>40</v>
      </c>
      <c r="F6407" t="n">
        <v>47.544</v>
      </c>
    </row>
    <row r="6408">
      <c r="A6408" t="inlineStr">
        <is>
          <t>ORD06407</t>
        </is>
      </c>
      <c r="B6408" t="inlineStr">
        <is>
          <t>C1407</t>
        </is>
      </c>
      <c r="C6408" t="n">
        <v>2</v>
      </c>
      <c r="D6408" t="inlineStr">
        <is>
          <t>Hub B</t>
        </is>
      </c>
      <c r="E6408" t="n">
        <v>47</v>
      </c>
      <c r="F6408" t="n">
        <v>47.544</v>
      </c>
    </row>
    <row r="6409">
      <c r="A6409" t="inlineStr">
        <is>
          <t>ORD06408</t>
        </is>
      </c>
      <c r="B6409" t="inlineStr">
        <is>
          <t>C1408</t>
        </is>
      </c>
      <c r="C6409" t="n">
        <v>3</v>
      </c>
      <c r="D6409" t="inlineStr">
        <is>
          <t>Hub B</t>
        </is>
      </c>
      <c r="E6409" t="n">
        <v>54</v>
      </c>
      <c r="F6409" t="n">
        <v>47.544</v>
      </c>
    </row>
    <row r="6410">
      <c r="A6410" t="inlineStr">
        <is>
          <t>ORD06409</t>
        </is>
      </c>
      <c r="B6410" t="inlineStr">
        <is>
          <t>C1409</t>
        </is>
      </c>
      <c r="C6410" t="n">
        <v>1</v>
      </c>
      <c r="D6410" t="inlineStr">
        <is>
          <t>Hub B</t>
        </is>
      </c>
      <c r="E6410" t="n">
        <v>61</v>
      </c>
      <c r="F6410" t="n">
        <v>47.544</v>
      </c>
    </row>
    <row r="6411">
      <c r="A6411" t="inlineStr">
        <is>
          <t>ORD06410</t>
        </is>
      </c>
      <c r="B6411" t="inlineStr">
        <is>
          <t>C1410</t>
        </is>
      </c>
      <c r="C6411" t="n">
        <v>2</v>
      </c>
      <c r="D6411" t="inlineStr">
        <is>
          <t>Hub B</t>
        </is>
      </c>
      <c r="E6411" t="n">
        <v>68</v>
      </c>
      <c r="F6411" t="n">
        <v>47.544</v>
      </c>
    </row>
    <row r="6412">
      <c r="A6412" t="inlineStr">
        <is>
          <t>ORD06411</t>
        </is>
      </c>
      <c r="B6412" t="inlineStr">
        <is>
          <t>C1411</t>
        </is>
      </c>
      <c r="C6412" t="n">
        <v>3</v>
      </c>
      <c r="D6412" t="inlineStr">
        <is>
          <t>Hub B</t>
        </is>
      </c>
      <c r="E6412" t="n">
        <v>75</v>
      </c>
      <c r="F6412" t="n">
        <v>47.544</v>
      </c>
    </row>
    <row r="6413">
      <c r="A6413" t="inlineStr">
        <is>
          <t>ORD06412</t>
        </is>
      </c>
      <c r="B6413" t="inlineStr">
        <is>
          <t>C1412</t>
        </is>
      </c>
      <c r="C6413" t="n">
        <v>1</v>
      </c>
      <c r="D6413" t="inlineStr">
        <is>
          <t>Hub B</t>
        </is>
      </c>
      <c r="E6413" t="n">
        <v>22</v>
      </c>
      <c r="F6413" t="n">
        <v>47.544</v>
      </c>
    </row>
    <row r="6414">
      <c r="A6414" t="inlineStr">
        <is>
          <t>ORD06413</t>
        </is>
      </c>
      <c r="B6414" t="inlineStr">
        <is>
          <t>C1413</t>
        </is>
      </c>
      <c r="C6414" t="n">
        <v>2</v>
      </c>
      <c r="D6414" t="inlineStr">
        <is>
          <t>Hub B</t>
        </is>
      </c>
      <c r="E6414" t="n">
        <v>29</v>
      </c>
      <c r="F6414" t="n">
        <v>47.544</v>
      </c>
    </row>
    <row r="6415">
      <c r="A6415" t="inlineStr">
        <is>
          <t>ORD06414</t>
        </is>
      </c>
      <c r="B6415" t="inlineStr">
        <is>
          <t>C1414</t>
        </is>
      </c>
      <c r="C6415" t="n">
        <v>3</v>
      </c>
      <c r="D6415" t="inlineStr">
        <is>
          <t>Hub B</t>
        </is>
      </c>
      <c r="E6415" t="n">
        <v>36</v>
      </c>
      <c r="F6415" t="n">
        <v>47.544</v>
      </c>
    </row>
    <row r="6416">
      <c r="A6416" t="inlineStr">
        <is>
          <t>ORD06415</t>
        </is>
      </c>
      <c r="B6416" t="inlineStr">
        <is>
          <t>C1415</t>
        </is>
      </c>
      <c r="C6416" t="n">
        <v>1</v>
      </c>
      <c r="D6416" t="inlineStr">
        <is>
          <t>Hub B</t>
        </is>
      </c>
      <c r="E6416" t="n">
        <v>43</v>
      </c>
      <c r="F6416" t="n">
        <v>47.544</v>
      </c>
    </row>
    <row r="6417">
      <c r="A6417" t="inlineStr">
        <is>
          <t>ORD06416</t>
        </is>
      </c>
      <c r="B6417" t="inlineStr">
        <is>
          <t>C1416</t>
        </is>
      </c>
      <c r="C6417" t="n">
        <v>2</v>
      </c>
      <c r="D6417" t="inlineStr">
        <is>
          <t>Hub B</t>
        </is>
      </c>
      <c r="E6417" t="n">
        <v>50</v>
      </c>
      <c r="F6417" t="n">
        <v>47.544</v>
      </c>
    </row>
    <row r="6418">
      <c r="A6418" t="inlineStr">
        <is>
          <t>ORD06417</t>
        </is>
      </c>
      <c r="B6418" t="inlineStr">
        <is>
          <t>C1417</t>
        </is>
      </c>
      <c r="C6418" t="n">
        <v>3</v>
      </c>
      <c r="D6418" t="inlineStr">
        <is>
          <t>Hub B</t>
        </is>
      </c>
      <c r="E6418" t="n">
        <v>57</v>
      </c>
      <c r="F6418" t="n">
        <v>47.544</v>
      </c>
    </row>
    <row r="6419">
      <c r="A6419" t="inlineStr">
        <is>
          <t>ORD06418</t>
        </is>
      </c>
      <c r="B6419" t="inlineStr">
        <is>
          <t>C1418</t>
        </is>
      </c>
      <c r="C6419" t="n">
        <v>1</v>
      </c>
      <c r="D6419" t="inlineStr">
        <is>
          <t>Hub B</t>
        </is>
      </c>
      <c r="E6419" t="n">
        <v>64</v>
      </c>
      <c r="F6419" t="n">
        <v>47.544</v>
      </c>
    </row>
    <row r="6420">
      <c r="A6420" t="inlineStr">
        <is>
          <t>ORD06419</t>
        </is>
      </c>
      <c r="B6420" t="inlineStr">
        <is>
          <t>C1419</t>
        </is>
      </c>
      <c r="C6420" t="n">
        <v>2</v>
      </c>
      <c r="D6420" t="inlineStr">
        <is>
          <t>Hub B</t>
        </is>
      </c>
      <c r="E6420" t="n">
        <v>71</v>
      </c>
      <c r="F6420" t="n">
        <v>47.544</v>
      </c>
    </row>
    <row r="6421">
      <c r="A6421" t="inlineStr">
        <is>
          <t>ORD06420</t>
        </is>
      </c>
      <c r="B6421" t="inlineStr">
        <is>
          <t>C1420</t>
        </is>
      </c>
      <c r="C6421" t="n">
        <v>3</v>
      </c>
      <c r="D6421" t="inlineStr">
        <is>
          <t>Hub B</t>
        </is>
      </c>
      <c r="E6421" t="n">
        <v>18</v>
      </c>
      <c r="F6421" t="n">
        <v>47.544</v>
      </c>
    </row>
    <row r="6422">
      <c r="A6422" t="inlineStr">
        <is>
          <t>ORD06421</t>
        </is>
      </c>
      <c r="B6422" t="inlineStr">
        <is>
          <t>C1421</t>
        </is>
      </c>
      <c r="C6422" t="n">
        <v>1</v>
      </c>
      <c r="D6422" t="inlineStr">
        <is>
          <t>Hub B</t>
        </is>
      </c>
      <c r="E6422" t="n">
        <v>25</v>
      </c>
      <c r="F6422" t="n">
        <v>47.544</v>
      </c>
    </row>
    <row r="6423">
      <c r="A6423" t="inlineStr">
        <is>
          <t>ORD06422</t>
        </is>
      </c>
      <c r="B6423" t="inlineStr">
        <is>
          <t>C1422</t>
        </is>
      </c>
      <c r="C6423" t="n">
        <v>2</v>
      </c>
      <c r="D6423" t="inlineStr">
        <is>
          <t>Hub B</t>
        </is>
      </c>
      <c r="E6423" t="n">
        <v>32</v>
      </c>
      <c r="F6423" t="n">
        <v>47.544</v>
      </c>
    </row>
    <row r="6424">
      <c r="A6424" t="inlineStr">
        <is>
          <t>ORD06423</t>
        </is>
      </c>
      <c r="B6424" t="inlineStr">
        <is>
          <t>C1423</t>
        </is>
      </c>
      <c r="C6424" t="n">
        <v>3</v>
      </c>
      <c r="D6424" t="inlineStr">
        <is>
          <t>Hub B</t>
        </is>
      </c>
      <c r="E6424" t="n">
        <v>39</v>
      </c>
      <c r="F6424" t="n">
        <v>47.544</v>
      </c>
    </row>
    <row r="6425">
      <c r="A6425" t="inlineStr">
        <is>
          <t>ORD06424</t>
        </is>
      </c>
      <c r="B6425" t="inlineStr">
        <is>
          <t>C1424</t>
        </is>
      </c>
      <c r="C6425" t="n">
        <v>1</v>
      </c>
      <c r="D6425" t="inlineStr">
        <is>
          <t>Hub B</t>
        </is>
      </c>
      <c r="E6425" t="n">
        <v>46</v>
      </c>
      <c r="F6425" t="n">
        <v>47.544</v>
      </c>
    </row>
    <row r="6426">
      <c r="A6426" t="inlineStr">
        <is>
          <t>ORD06425</t>
        </is>
      </c>
      <c r="B6426" t="inlineStr">
        <is>
          <t>C1425</t>
        </is>
      </c>
      <c r="C6426" t="n">
        <v>2</v>
      </c>
      <c r="D6426" t="inlineStr">
        <is>
          <t>Hub B</t>
        </is>
      </c>
      <c r="E6426" t="n">
        <v>53</v>
      </c>
      <c r="F6426" t="n">
        <v>47.544</v>
      </c>
    </row>
    <row r="6427">
      <c r="A6427" t="inlineStr">
        <is>
          <t>ORD06426</t>
        </is>
      </c>
      <c r="B6427" t="inlineStr">
        <is>
          <t>C1426</t>
        </is>
      </c>
      <c r="C6427" t="n">
        <v>3</v>
      </c>
      <c r="D6427" t="inlineStr">
        <is>
          <t>Hub B</t>
        </is>
      </c>
      <c r="E6427" t="n">
        <v>60</v>
      </c>
      <c r="F6427" t="n">
        <v>47.544</v>
      </c>
    </row>
    <row r="6428">
      <c r="A6428" t="inlineStr">
        <is>
          <t>ORD06427</t>
        </is>
      </c>
      <c r="B6428" t="inlineStr">
        <is>
          <t>C1427</t>
        </is>
      </c>
      <c r="C6428" t="n">
        <v>1</v>
      </c>
      <c r="D6428" t="inlineStr">
        <is>
          <t>Hub B</t>
        </is>
      </c>
      <c r="E6428" t="n">
        <v>67</v>
      </c>
      <c r="F6428" t="n">
        <v>47.544</v>
      </c>
    </row>
    <row r="6429">
      <c r="A6429" t="inlineStr">
        <is>
          <t>ORD06428</t>
        </is>
      </c>
      <c r="B6429" t="inlineStr">
        <is>
          <t>C1428</t>
        </is>
      </c>
      <c r="C6429" t="n">
        <v>2</v>
      </c>
      <c r="D6429" t="inlineStr">
        <is>
          <t>Hub B</t>
        </is>
      </c>
      <c r="E6429" t="n">
        <v>74</v>
      </c>
      <c r="F6429" t="n">
        <v>47.544</v>
      </c>
    </row>
    <row r="6430">
      <c r="A6430" t="inlineStr">
        <is>
          <t>ORD06429</t>
        </is>
      </c>
      <c r="B6430" t="inlineStr">
        <is>
          <t>C1429</t>
        </is>
      </c>
      <c r="C6430" t="n">
        <v>3</v>
      </c>
      <c r="D6430" t="inlineStr">
        <is>
          <t>Hub B</t>
        </is>
      </c>
      <c r="E6430" t="n">
        <v>21</v>
      </c>
      <c r="F6430" t="n">
        <v>47.544</v>
      </c>
    </row>
    <row r="6431">
      <c r="A6431" t="inlineStr">
        <is>
          <t>ORD06430</t>
        </is>
      </c>
      <c r="B6431" t="inlineStr">
        <is>
          <t>C1430</t>
        </is>
      </c>
      <c r="C6431" t="n">
        <v>1</v>
      </c>
      <c r="D6431" t="inlineStr">
        <is>
          <t>Hub B</t>
        </is>
      </c>
      <c r="E6431" t="n">
        <v>28</v>
      </c>
      <c r="F6431" t="n">
        <v>47.544</v>
      </c>
    </row>
    <row r="6432">
      <c r="A6432" t="inlineStr">
        <is>
          <t>ORD06431</t>
        </is>
      </c>
      <c r="B6432" t="inlineStr">
        <is>
          <t>C1431</t>
        </is>
      </c>
      <c r="C6432" t="n">
        <v>2</v>
      </c>
      <c r="D6432" t="inlineStr">
        <is>
          <t>Hub B</t>
        </is>
      </c>
      <c r="E6432" t="n">
        <v>35</v>
      </c>
      <c r="F6432" t="n">
        <v>47.544</v>
      </c>
    </row>
    <row r="6433">
      <c r="A6433" t="inlineStr">
        <is>
          <t>ORD06432</t>
        </is>
      </c>
      <c r="B6433" t="inlineStr">
        <is>
          <t>C1432</t>
        </is>
      </c>
      <c r="C6433" t="n">
        <v>3</v>
      </c>
      <c r="D6433" t="inlineStr">
        <is>
          <t>Hub B</t>
        </is>
      </c>
      <c r="E6433" t="n">
        <v>42</v>
      </c>
      <c r="F6433" t="n">
        <v>47.544</v>
      </c>
    </row>
    <row r="6434">
      <c r="A6434" t="inlineStr">
        <is>
          <t>ORD06433</t>
        </is>
      </c>
      <c r="B6434" t="inlineStr">
        <is>
          <t>C1433</t>
        </is>
      </c>
      <c r="C6434" t="n">
        <v>1</v>
      </c>
      <c r="D6434" t="inlineStr">
        <is>
          <t>Hub B</t>
        </is>
      </c>
      <c r="E6434" t="n">
        <v>49</v>
      </c>
      <c r="F6434" t="n">
        <v>47.544</v>
      </c>
    </row>
    <row r="6435">
      <c r="A6435" t="inlineStr">
        <is>
          <t>ORD06434</t>
        </is>
      </c>
      <c r="B6435" t="inlineStr">
        <is>
          <t>C1434</t>
        </is>
      </c>
      <c r="C6435" t="n">
        <v>2</v>
      </c>
      <c r="D6435" t="inlineStr">
        <is>
          <t>Hub B</t>
        </is>
      </c>
      <c r="E6435" t="n">
        <v>56</v>
      </c>
      <c r="F6435" t="n">
        <v>47.544</v>
      </c>
    </row>
    <row r="6436">
      <c r="A6436" t="inlineStr">
        <is>
          <t>ORD06435</t>
        </is>
      </c>
      <c r="B6436" t="inlineStr">
        <is>
          <t>C1435</t>
        </is>
      </c>
      <c r="C6436" t="n">
        <v>3</v>
      </c>
      <c r="D6436" t="inlineStr">
        <is>
          <t>Hub B</t>
        </is>
      </c>
      <c r="E6436" t="n">
        <v>63</v>
      </c>
      <c r="F6436" t="n">
        <v>47.544</v>
      </c>
    </row>
    <row r="6437">
      <c r="A6437" t="inlineStr">
        <is>
          <t>ORD06436</t>
        </is>
      </c>
      <c r="B6437" t="inlineStr">
        <is>
          <t>C1436</t>
        </is>
      </c>
      <c r="C6437" t="n">
        <v>1</v>
      </c>
      <c r="D6437" t="inlineStr">
        <is>
          <t>Hub B</t>
        </is>
      </c>
      <c r="E6437" t="n">
        <v>70</v>
      </c>
      <c r="F6437" t="n">
        <v>47.544</v>
      </c>
    </row>
    <row r="6438">
      <c r="A6438" t="inlineStr">
        <is>
          <t>ORD06437</t>
        </is>
      </c>
      <c r="B6438" t="inlineStr">
        <is>
          <t>C1437</t>
        </is>
      </c>
      <c r="C6438" t="n">
        <v>2</v>
      </c>
      <c r="D6438" t="inlineStr">
        <is>
          <t>Hub B</t>
        </is>
      </c>
      <c r="E6438" t="n">
        <v>77</v>
      </c>
      <c r="F6438" t="n">
        <v>47.544</v>
      </c>
    </row>
    <row r="6439">
      <c r="A6439" t="inlineStr">
        <is>
          <t>ORD06438</t>
        </is>
      </c>
      <c r="B6439" t="inlineStr">
        <is>
          <t>C1438</t>
        </is>
      </c>
      <c r="C6439" t="n">
        <v>3</v>
      </c>
      <c r="D6439" t="inlineStr">
        <is>
          <t>Hub B</t>
        </is>
      </c>
      <c r="E6439" t="n">
        <v>24</v>
      </c>
      <c r="F6439" t="n">
        <v>47.544</v>
      </c>
    </row>
    <row r="6440">
      <c r="A6440" t="inlineStr">
        <is>
          <t>ORD06439</t>
        </is>
      </c>
      <c r="B6440" t="inlineStr">
        <is>
          <t>C1439</t>
        </is>
      </c>
      <c r="C6440" t="n">
        <v>1</v>
      </c>
      <c r="D6440" t="inlineStr">
        <is>
          <t>Hub B</t>
        </is>
      </c>
      <c r="E6440" t="n">
        <v>31</v>
      </c>
      <c r="F6440" t="n">
        <v>47.544</v>
      </c>
    </row>
    <row r="6441">
      <c r="A6441" t="inlineStr">
        <is>
          <t>ORD06440</t>
        </is>
      </c>
      <c r="B6441" t="inlineStr">
        <is>
          <t>C1440</t>
        </is>
      </c>
      <c r="C6441" t="n">
        <v>2</v>
      </c>
      <c r="D6441" t="inlineStr">
        <is>
          <t>Hub B</t>
        </is>
      </c>
      <c r="E6441" t="n">
        <v>38</v>
      </c>
      <c r="F6441" t="n">
        <v>47.544</v>
      </c>
    </row>
    <row r="6442">
      <c r="A6442" t="inlineStr">
        <is>
          <t>ORD06441</t>
        </is>
      </c>
      <c r="B6442" t="inlineStr">
        <is>
          <t>C1441</t>
        </is>
      </c>
      <c r="C6442" t="n">
        <v>3</v>
      </c>
      <c r="D6442" t="inlineStr">
        <is>
          <t>Hub B</t>
        </is>
      </c>
      <c r="E6442" t="n">
        <v>45</v>
      </c>
      <c r="F6442" t="n">
        <v>47.544</v>
      </c>
    </row>
    <row r="6443">
      <c r="A6443" t="inlineStr">
        <is>
          <t>ORD06442</t>
        </is>
      </c>
      <c r="B6443" t="inlineStr">
        <is>
          <t>C1442</t>
        </is>
      </c>
      <c r="C6443" t="n">
        <v>1</v>
      </c>
      <c r="D6443" t="inlineStr">
        <is>
          <t>Hub B</t>
        </is>
      </c>
      <c r="E6443" t="n">
        <v>52</v>
      </c>
      <c r="F6443" t="n">
        <v>47.544</v>
      </c>
    </row>
    <row r="6444">
      <c r="A6444" t="inlineStr">
        <is>
          <t>ORD06443</t>
        </is>
      </c>
      <c r="B6444" t="inlineStr">
        <is>
          <t>C1443</t>
        </is>
      </c>
      <c r="C6444" t="n">
        <v>2</v>
      </c>
      <c r="D6444" t="inlineStr">
        <is>
          <t>Hub B</t>
        </is>
      </c>
      <c r="E6444" t="n">
        <v>59</v>
      </c>
      <c r="F6444" t="n">
        <v>47.544</v>
      </c>
    </row>
    <row r="6445">
      <c r="A6445" t="inlineStr">
        <is>
          <t>ORD06444</t>
        </is>
      </c>
      <c r="B6445" t="inlineStr">
        <is>
          <t>C1444</t>
        </is>
      </c>
      <c r="C6445" t="n">
        <v>3</v>
      </c>
      <c r="D6445" t="inlineStr">
        <is>
          <t>Hub B</t>
        </is>
      </c>
      <c r="E6445" t="n">
        <v>66</v>
      </c>
      <c r="F6445" t="n">
        <v>47.544</v>
      </c>
    </row>
    <row r="6446">
      <c r="A6446" t="inlineStr">
        <is>
          <t>ORD06445</t>
        </is>
      </c>
      <c r="B6446" t="inlineStr">
        <is>
          <t>C1445</t>
        </is>
      </c>
      <c r="C6446" t="n">
        <v>1</v>
      </c>
      <c r="D6446" t="inlineStr">
        <is>
          <t>Hub B</t>
        </is>
      </c>
      <c r="E6446" t="n">
        <v>73</v>
      </c>
      <c r="F6446" t="n">
        <v>47.544</v>
      </c>
    </row>
    <row r="6447">
      <c r="A6447" t="inlineStr">
        <is>
          <t>ORD06446</t>
        </is>
      </c>
      <c r="B6447" t="inlineStr">
        <is>
          <t>C1446</t>
        </is>
      </c>
      <c r="C6447" t="n">
        <v>2</v>
      </c>
      <c r="D6447" t="inlineStr">
        <is>
          <t>Hub B</t>
        </is>
      </c>
      <c r="E6447" t="n">
        <v>20</v>
      </c>
      <c r="F6447" t="n">
        <v>47.544</v>
      </c>
    </row>
    <row r="6448">
      <c r="A6448" t="inlineStr">
        <is>
          <t>ORD06447</t>
        </is>
      </c>
      <c r="B6448" t="inlineStr">
        <is>
          <t>C1447</t>
        </is>
      </c>
      <c r="C6448" t="n">
        <v>3</v>
      </c>
      <c r="D6448" t="inlineStr">
        <is>
          <t>Hub B</t>
        </is>
      </c>
      <c r="E6448" t="n">
        <v>27</v>
      </c>
      <c r="F6448" t="n">
        <v>47.544</v>
      </c>
    </row>
    <row r="6449">
      <c r="A6449" t="inlineStr">
        <is>
          <t>ORD06448</t>
        </is>
      </c>
      <c r="B6449" t="inlineStr">
        <is>
          <t>C1448</t>
        </is>
      </c>
      <c r="C6449" t="n">
        <v>1</v>
      </c>
      <c r="D6449" t="inlineStr">
        <is>
          <t>Hub B</t>
        </is>
      </c>
      <c r="E6449" t="n">
        <v>34</v>
      </c>
      <c r="F6449" t="n">
        <v>47.544</v>
      </c>
    </row>
    <row r="6450">
      <c r="A6450" t="inlineStr">
        <is>
          <t>ORD06449</t>
        </is>
      </c>
      <c r="B6450" t="inlineStr">
        <is>
          <t>C1449</t>
        </is>
      </c>
      <c r="C6450" t="n">
        <v>2</v>
      </c>
      <c r="D6450" t="inlineStr">
        <is>
          <t>Hub B</t>
        </is>
      </c>
      <c r="E6450" t="n">
        <v>41</v>
      </c>
      <c r="F6450" t="n">
        <v>47.544</v>
      </c>
    </row>
    <row r="6451">
      <c r="A6451" t="inlineStr">
        <is>
          <t>ORD06450</t>
        </is>
      </c>
      <c r="B6451" t="inlineStr">
        <is>
          <t>C1450</t>
        </is>
      </c>
      <c r="C6451" t="n">
        <v>3</v>
      </c>
      <c r="D6451" t="inlineStr">
        <is>
          <t>Hub B</t>
        </is>
      </c>
      <c r="E6451" t="n">
        <v>48</v>
      </c>
      <c r="F6451" t="n">
        <v>47.544</v>
      </c>
    </row>
    <row r="6452">
      <c r="A6452" t="inlineStr">
        <is>
          <t>ORD06451</t>
        </is>
      </c>
      <c r="B6452" t="inlineStr">
        <is>
          <t>C1451</t>
        </is>
      </c>
      <c r="C6452" t="n">
        <v>1</v>
      </c>
      <c r="D6452" t="inlineStr">
        <is>
          <t>Hub B</t>
        </is>
      </c>
      <c r="E6452" t="n">
        <v>55</v>
      </c>
      <c r="F6452" t="n">
        <v>47.544</v>
      </c>
    </row>
    <row r="6453">
      <c r="A6453" t="inlineStr">
        <is>
          <t>ORD06452</t>
        </is>
      </c>
      <c r="B6453" t="inlineStr">
        <is>
          <t>C1452</t>
        </is>
      </c>
      <c r="C6453" t="n">
        <v>2</v>
      </c>
      <c r="D6453" t="inlineStr">
        <is>
          <t>Hub B</t>
        </is>
      </c>
      <c r="E6453" t="n">
        <v>62</v>
      </c>
      <c r="F6453" t="n">
        <v>47.544</v>
      </c>
    </row>
    <row r="6454">
      <c r="A6454" t="inlineStr">
        <is>
          <t>ORD06453</t>
        </is>
      </c>
      <c r="B6454" t="inlineStr">
        <is>
          <t>C1453</t>
        </is>
      </c>
      <c r="C6454" t="n">
        <v>3</v>
      </c>
      <c r="D6454" t="inlineStr">
        <is>
          <t>Hub B</t>
        </is>
      </c>
      <c r="E6454" t="n">
        <v>69</v>
      </c>
      <c r="F6454" t="n">
        <v>47.544</v>
      </c>
    </row>
    <row r="6455">
      <c r="A6455" t="inlineStr">
        <is>
          <t>ORD06454</t>
        </is>
      </c>
      <c r="B6455" t="inlineStr">
        <is>
          <t>C1454</t>
        </is>
      </c>
      <c r="C6455" t="n">
        <v>1</v>
      </c>
      <c r="D6455" t="inlineStr">
        <is>
          <t>Hub B</t>
        </is>
      </c>
      <c r="E6455" t="n">
        <v>76</v>
      </c>
      <c r="F6455" t="n">
        <v>47.544</v>
      </c>
    </row>
    <row r="6456">
      <c r="A6456" t="inlineStr">
        <is>
          <t>ORD06455</t>
        </is>
      </c>
      <c r="B6456" t="inlineStr">
        <is>
          <t>C1455</t>
        </is>
      </c>
      <c r="C6456" t="n">
        <v>2</v>
      </c>
      <c r="D6456" t="inlineStr">
        <is>
          <t>Hub B</t>
        </is>
      </c>
      <c r="E6456" t="n">
        <v>23</v>
      </c>
      <c r="F6456" t="n">
        <v>47.544</v>
      </c>
    </row>
    <row r="6457">
      <c r="A6457" t="inlineStr">
        <is>
          <t>ORD06456</t>
        </is>
      </c>
      <c r="B6457" t="inlineStr">
        <is>
          <t>C1456</t>
        </is>
      </c>
      <c r="C6457" t="n">
        <v>3</v>
      </c>
      <c r="D6457" t="inlineStr">
        <is>
          <t>Hub B</t>
        </is>
      </c>
      <c r="E6457" t="n">
        <v>30</v>
      </c>
      <c r="F6457" t="n">
        <v>47.544</v>
      </c>
    </row>
    <row r="6458">
      <c r="A6458" t="inlineStr">
        <is>
          <t>ORD06457</t>
        </is>
      </c>
      <c r="B6458" t="inlineStr">
        <is>
          <t>C1457</t>
        </is>
      </c>
      <c r="C6458" t="n">
        <v>1</v>
      </c>
      <c r="D6458" t="inlineStr">
        <is>
          <t>Hub B</t>
        </is>
      </c>
      <c r="E6458" t="n">
        <v>37</v>
      </c>
      <c r="F6458" t="n">
        <v>47.544</v>
      </c>
    </row>
    <row r="6459">
      <c r="A6459" t="inlineStr">
        <is>
          <t>ORD06458</t>
        </is>
      </c>
      <c r="B6459" t="inlineStr">
        <is>
          <t>C1458</t>
        </is>
      </c>
      <c r="C6459" t="n">
        <v>2</v>
      </c>
      <c r="D6459" t="inlineStr">
        <is>
          <t>Hub B</t>
        </is>
      </c>
      <c r="E6459" t="n">
        <v>44</v>
      </c>
      <c r="F6459" t="n">
        <v>47.544</v>
      </c>
    </row>
    <row r="6460">
      <c r="A6460" t="inlineStr">
        <is>
          <t>ORD06459</t>
        </is>
      </c>
      <c r="B6460" t="inlineStr">
        <is>
          <t>C1459</t>
        </is>
      </c>
      <c r="C6460" t="n">
        <v>3</v>
      </c>
      <c r="D6460" t="inlineStr">
        <is>
          <t>Hub B</t>
        </is>
      </c>
      <c r="E6460" t="n">
        <v>51</v>
      </c>
      <c r="F6460" t="n">
        <v>47.544</v>
      </c>
    </row>
    <row r="6461">
      <c r="A6461" t="inlineStr">
        <is>
          <t>ORD06460</t>
        </is>
      </c>
      <c r="B6461" t="inlineStr">
        <is>
          <t>C1460</t>
        </is>
      </c>
      <c r="C6461" t="n">
        <v>1</v>
      </c>
      <c r="D6461" t="inlineStr">
        <is>
          <t>Hub B</t>
        </is>
      </c>
      <c r="E6461" t="n">
        <v>58</v>
      </c>
      <c r="F6461" t="n">
        <v>47.544</v>
      </c>
    </row>
    <row r="6462">
      <c r="A6462" t="inlineStr">
        <is>
          <t>ORD06461</t>
        </is>
      </c>
      <c r="B6462" t="inlineStr">
        <is>
          <t>C1461</t>
        </is>
      </c>
      <c r="C6462" t="n">
        <v>2</v>
      </c>
      <c r="D6462" t="inlineStr">
        <is>
          <t>Hub B</t>
        </is>
      </c>
      <c r="E6462" t="n">
        <v>65</v>
      </c>
      <c r="F6462" t="n">
        <v>47.544</v>
      </c>
    </row>
    <row r="6463">
      <c r="A6463" t="inlineStr">
        <is>
          <t>ORD06462</t>
        </is>
      </c>
      <c r="B6463" t="inlineStr">
        <is>
          <t>C1462</t>
        </is>
      </c>
      <c r="C6463" t="n">
        <v>3</v>
      </c>
      <c r="D6463" t="inlineStr">
        <is>
          <t>Hub B</t>
        </is>
      </c>
      <c r="E6463" t="n">
        <v>72</v>
      </c>
      <c r="F6463" t="n">
        <v>47.544</v>
      </c>
    </row>
    <row r="6464">
      <c r="A6464" t="inlineStr">
        <is>
          <t>ORD06463</t>
        </is>
      </c>
      <c r="B6464" t="inlineStr">
        <is>
          <t>C1463</t>
        </is>
      </c>
      <c r="C6464" t="n">
        <v>1</v>
      </c>
      <c r="D6464" t="inlineStr">
        <is>
          <t>Hub B</t>
        </is>
      </c>
      <c r="E6464" t="n">
        <v>19</v>
      </c>
      <c r="F6464" t="n">
        <v>47.544</v>
      </c>
    </row>
    <row r="6465">
      <c r="A6465" t="inlineStr">
        <is>
          <t>ORD06464</t>
        </is>
      </c>
      <c r="B6465" t="inlineStr">
        <is>
          <t>C1464</t>
        </is>
      </c>
      <c r="C6465" t="n">
        <v>2</v>
      </c>
      <c r="D6465" t="inlineStr">
        <is>
          <t>Hub B</t>
        </is>
      </c>
      <c r="E6465" t="n">
        <v>26</v>
      </c>
      <c r="F6465" t="n">
        <v>47.544</v>
      </c>
    </row>
    <row r="6466">
      <c r="A6466" t="inlineStr">
        <is>
          <t>ORD06465</t>
        </is>
      </c>
      <c r="B6466" t="inlineStr">
        <is>
          <t>C1465</t>
        </is>
      </c>
      <c r="C6466" t="n">
        <v>3</v>
      </c>
      <c r="D6466" t="inlineStr">
        <is>
          <t>Hub B</t>
        </is>
      </c>
      <c r="E6466" t="n">
        <v>33</v>
      </c>
      <c r="F6466" t="n">
        <v>47.544</v>
      </c>
    </row>
    <row r="6467">
      <c r="A6467" t="inlineStr">
        <is>
          <t>ORD06466</t>
        </is>
      </c>
      <c r="B6467" t="inlineStr">
        <is>
          <t>C1466</t>
        </is>
      </c>
      <c r="C6467" t="n">
        <v>1</v>
      </c>
      <c r="D6467" t="inlineStr">
        <is>
          <t>Hub B</t>
        </is>
      </c>
      <c r="E6467" t="n">
        <v>40</v>
      </c>
      <c r="F6467" t="n">
        <v>47.544</v>
      </c>
    </row>
    <row r="6468">
      <c r="A6468" t="inlineStr">
        <is>
          <t>ORD06467</t>
        </is>
      </c>
      <c r="B6468" t="inlineStr">
        <is>
          <t>C1467</t>
        </is>
      </c>
      <c r="C6468" t="n">
        <v>2</v>
      </c>
      <c r="D6468" t="inlineStr">
        <is>
          <t>Hub B</t>
        </is>
      </c>
      <c r="E6468" t="n">
        <v>47</v>
      </c>
      <c r="F6468" t="n">
        <v>47.544</v>
      </c>
    </row>
    <row r="6469">
      <c r="A6469" t="inlineStr">
        <is>
          <t>ORD06468</t>
        </is>
      </c>
      <c r="B6469" t="inlineStr">
        <is>
          <t>C1468</t>
        </is>
      </c>
      <c r="C6469" t="n">
        <v>3</v>
      </c>
      <c r="D6469" t="inlineStr">
        <is>
          <t>Hub B</t>
        </is>
      </c>
      <c r="E6469" t="n">
        <v>54</v>
      </c>
      <c r="F6469" t="n">
        <v>47.544</v>
      </c>
    </row>
    <row r="6470">
      <c r="A6470" t="inlineStr">
        <is>
          <t>ORD06469</t>
        </is>
      </c>
      <c r="B6470" t="inlineStr">
        <is>
          <t>C1469</t>
        </is>
      </c>
      <c r="C6470" t="n">
        <v>1</v>
      </c>
      <c r="D6470" t="inlineStr">
        <is>
          <t>Hub B</t>
        </is>
      </c>
      <c r="E6470" t="n">
        <v>61</v>
      </c>
      <c r="F6470" t="n">
        <v>47.544</v>
      </c>
    </row>
    <row r="6471">
      <c r="A6471" t="inlineStr">
        <is>
          <t>ORD06470</t>
        </is>
      </c>
      <c r="B6471" t="inlineStr">
        <is>
          <t>C1470</t>
        </is>
      </c>
      <c r="C6471" t="n">
        <v>2</v>
      </c>
      <c r="D6471" t="inlineStr">
        <is>
          <t>Hub B</t>
        </is>
      </c>
      <c r="E6471" t="n">
        <v>68</v>
      </c>
      <c r="F6471" t="n">
        <v>47.544</v>
      </c>
    </row>
    <row r="6472">
      <c r="A6472" t="inlineStr">
        <is>
          <t>ORD06471</t>
        </is>
      </c>
      <c r="B6472" t="inlineStr">
        <is>
          <t>C1471</t>
        </is>
      </c>
      <c r="C6472" t="n">
        <v>3</v>
      </c>
      <c r="D6472" t="inlineStr">
        <is>
          <t>Hub B</t>
        </is>
      </c>
      <c r="E6472" t="n">
        <v>75</v>
      </c>
      <c r="F6472" t="n">
        <v>47.544</v>
      </c>
    </row>
    <row r="6473">
      <c r="A6473" t="inlineStr">
        <is>
          <t>ORD06472</t>
        </is>
      </c>
      <c r="B6473" t="inlineStr">
        <is>
          <t>C1472</t>
        </is>
      </c>
      <c r="C6473" t="n">
        <v>1</v>
      </c>
      <c r="D6473" t="inlineStr">
        <is>
          <t>Hub B</t>
        </is>
      </c>
      <c r="E6473" t="n">
        <v>22</v>
      </c>
      <c r="F6473" t="n">
        <v>47.544</v>
      </c>
    </row>
    <row r="6474">
      <c r="A6474" t="inlineStr">
        <is>
          <t>ORD06473</t>
        </is>
      </c>
      <c r="B6474" t="inlineStr">
        <is>
          <t>C1473</t>
        </is>
      </c>
      <c r="C6474" t="n">
        <v>2</v>
      </c>
      <c r="D6474" t="inlineStr">
        <is>
          <t>Hub B</t>
        </is>
      </c>
      <c r="E6474" t="n">
        <v>29</v>
      </c>
      <c r="F6474" t="n">
        <v>47.544</v>
      </c>
    </row>
    <row r="6475">
      <c r="A6475" t="inlineStr">
        <is>
          <t>ORD06474</t>
        </is>
      </c>
      <c r="B6475" t="inlineStr">
        <is>
          <t>C1474</t>
        </is>
      </c>
      <c r="C6475" t="n">
        <v>3</v>
      </c>
      <c r="D6475" t="inlineStr">
        <is>
          <t>Hub B</t>
        </is>
      </c>
      <c r="E6475" t="n">
        <v>36</v>
      </c>
      <c r="F6475" t="n">
        <v>47.544</v>
      </c>
    </row>
    <row r="6476">
      <c r="A6476" t="inlineStr">
        <is>
          <t>ORD06475</t>
        </is>
      </c>
      <c r="B6476" t="inlineStr">
        <is>
          <t>C1475</t>
        </is>
      </c>
      <c r="C6476" t="n">
        <v>1</v>
      </c>
      <c r="D6476" t="inlineStr">
        <is>
          <t>Hub B</t>
        </is>
      </c>
      <c r="E6476" t="n">
        <v>43</v>
      </c>
      <c r="F6476" t="n">
        <v>47.544</v>
      </c>
    </row>
    <row r="6477">
      <c r="A6477" t="inlineStr">
        <is>
          <t>ORD06476</t>
        </is>
      </c>
      <c r="B6477" t="inlineStr">
        <is>
          <t>C1476</t>
        </is>
      </c>
      <c r="C6477" t="n">
        <v>2</v>
      </c>
      <c r="D6477" t="inlineStr">
        <is>
          <t>Hub B</t>
        </is>
      </c>
      <c r="E6477" t="n">
        <v>50</v>
      </c>
      <c r="F6477" t="n">
        <v>47.544</v>
      </c>
    </row>
    <row r="6478">
      <c r="A6478" t="inlineStr">
        <is>
          <t>ORD06477</t>
        </is>
      </c>
      <c r="B6478" t="inlineStr">
        <is>
          <t>C1477</t>
        </is>
      </c>
      <c r="C6478" t="n">
        <v>3</v>
      </c>
      <c r="D6478" t="inlineStr">
        <is>
          <t>Hub B</t>
        </is>
      </c>
      <c r="E6478" t="n">
        <v>57</v>
      </c>
      <c r="F6478" t="n">
        <v>47.544</v>
      </c>
    </row>
    <row r="6479">
      <c r="A6479" t="inlineStr">
        <is>
          <t>ORD06478</t>
        </is>
      </c>
      <c r="B6479" t="inlineStr">
        <is>
          <t>C1478</t>
        </is>
      </c>
      <c r="C6479" t="n">
        <v>1</v>
      </c>
      <c r="D6479" t="inlineStr">
        <is>
          <t>Hub B</t>
        </is>
      </c>
      <c r="E6479" t="n">
        <v>64</v>
      </c>
      <c r="F6479" t="n">
        <v>47.544</v>
      </c>
    </row>
    <row r="6480">
      <c r="A6480" t="inlineStr">
        <is>
          <t>ORD06479</t>
        </is>
      </c>
      <c r="B6480" t="inlineStr">
        <is>
          <t>C1479</t>
        </is>
      </c>
      <c r="C6480" t="n">
        <v>2</v>
      </c>
      <c r="D6480" t="inlineStr">
        <is>
          <t>Hub B</t>
        </is>
      </c>
      <c r="E6480" t="n">
        <v>71</v>
      </c>
      <c r="F6480" t="n">
        <v>47.544</v>
      </c>
    </row>
    <row r="6481">
      <c r="A6481" t="inlineStr">
        <is>
          <t>ORD06480</t>
        </is>
      </c>
      <c r="B6481" t="inlineStr">
        <is>
          <t>C1480</t>
        </is>
      </c>
      <c r="C6481" t="n">
        <v>3</v>
      </c>
      <c r="D6481" t="inlineStr">
        <is>
          <t>Hub B</t>
        </is>
      </c>
      <c r="E6481" t="n">
        <v>18</v>
      </c>
      <c r="F6481" t="n">
        <v>47.544</v>
      </c>
    </row>
    <row r="6482">
      <c r="A6482" t="inlineStr">
        <is>
          <t>ORD06481</t>
        </is>
      </c>
      <c r="B6482" t="inlineStr">
        <is>
          <t>C1481</t>
        </is>
      </c>
      <c r="C6482" t="n">
        <v>1</v>
      </c>
      <c r="D6482" t="inlineStr">
        <is>
          <t>Hub B</t>
        </is>
      </c>
      <c r="E6482" t="n">
        <v>25</v>
      </c>
      <c r="F6482" t="n">
        <v>47.544</v>
      </c>
    </row>
    <row r="6483">
      <c r="A6483" t="inlineStr">
        <is>
          <t>ORD06482</t>
        </is>
      </c>
      <c r="B6483" t="inlineStr">
        <is>
          <t>C1482</t>
        </is>
      </c>
      <c r="C6483" t="n">
        <v>2</v>
      </c>
      <c r="D6483" t="inlineStr">
        <is>
          <t>Hub B</t>
        </is>
      </c>
      <c r="E6483" t="n">
        <v>32</v>
      </c>
      <c r="F6483" t="n">
        <v>47.544</v>
      </c>
    </row>
    <row r="6484">
      <c r="A6484" t="inlineStr">
        <is>
          <t>ORD06483</t>
        </is>
      </c>
      <c r="B6484" t="inlineStr">
        <is>
          <t>C1483</t>
        </is>
      </c>
      <c r="C6484" t="n">
        <v>3</v>
      </c>
      <c r="D6484" t="inlineStr">
        <is>
          <t>Hub B</t>
        </is>
      </c>
      <c r="E6484" t="n">
        <v>39</v>
      </c>
      <c r="F6484" t="n">
        <v>47.544</v>
      </c>
    </row>
    <row r="6485">
      <c r="A6485" t="inlineStr">
        <is>
          <t>ORD06484</t>
        </is>
      </c>
      <c r="B6485" t="inlineStr">
        <is>
          <t>C1484</t>
        </is>
      </c>
      <c r="C6485" t="n">
        <v>1</v>
      </c>
      <c r="D6485" t="inlineStr">
        <is>
          <t>Hub B</t>
        </is>
      </c>
      <c r="E6485" t="n">
        <v>46</v>
      </c>
      <c r="F6485" t="n">
        <v>47.544</v>
      </c>
    </row>
    <row r="6486">
      <c r="A6486" t="inlineStr">
        <is>
          <t>ORD06485</t>
        </is>
      </c>
      <c r="B6486" t="inlineStr">
        <is>
          <t>C1485</t>
        </is>
      </c>
      <c r="C6486" t="n">
        <v>2</v>
      </c>
      <c r="D6486" t="inlineStr">
        <is>
          <t>Hub B</t>
        </is>
      </c>
      <c r="E6486" t="n">
        <v>53</v>
      </c>
      <c r="F6486" t="n">
        <v>47.544</v>
      </c>
    </row>
    <row r="6487">
      <c r="A6487" t="inlineStr">
        <is>
          <t>ORD06486</t>
        </is>
      </c>
      <c r="B6487" t="inlineStr">
        <is>
          <t>C1486</t>
        </is>
      </c>
      <c r="C6487" t="n">
        <v>3</v>
      </c>
      <c r="D6487" t="inlineStr">
        <is>
          <t>Hub B</t>
        </is>
      </c>
      <c r="E6487" t="n">
        <v>60</v>
      </c>
      <c r="F6487" t="n">
        <v>47.544</v>
      </c>
    </row>
    <row r="6488">
      <c r="A6488" t="inlineStr">
        <is>
          <t>ORD06487</t>
        </is>
      </c>
      <c r="B6488" t="inlineStr">
        <is>
          <t>C1487</t>
        </is>
      </c>
      <c r="C6488" t="n">
        <v>1</v>
      </c>
      <c r="D6488" t="inlineStr">
        <is>
          <t>Hub B</t>
        </is>
      </c>
      <c r="E6488" t="n">
        <v>67</v>
      </c>
      <c r="F6488" t="n">
        <v>47.544</v>
      </c>
    </row>
    <row r="6489">
      <c r="A6489" t="inlineStr">
        <is>
          <t>ORD06488</t>
        </is>
      </c>
      <c r="B6489" t="inlineStr">
        <is>
          <t>C1488</t>
        </is>
      </c>
      <c r="C6489" t="n">
        <v>2</v>
      </c>
      <c r="D6489" t="inlineStr">
        <is>
          <t>Hub B</t>
        </is>
      </c>
      <c r="E6489" t="n">
        <v>74</v>
      </c>
      <c r="F6489" t="n">
        <v>47.544</v>
      </c>
    </row>
    <row r="6490">
      <c r="A6490" t="inlineStr">
        <is>
          <t>ORD06489</t>
        </is>
      </c>
      <c r="B6490" t="inlineStr">
        <is>
          <t>C1489</t>
        </is>
      </c>
      <c r="C6490" t="n">
        <v>3</v>
      </c>
      <c r="D6490" t="inlineStr">
        <is>
          <t>Hub B</t>
        </is>
      </c>
      <c r="E6490" t="n">
        <v>21</v>
      </c>
      <c r="F6490" t="n">
        <v>47.544</v>
      </c>
    </row>
    <row r="6491">
      <c r="A6491" t="inlineStr">
        <is>
          <t>ORD06490</t>
        </is>
      </c>
      <c r="B6491" t="inlineStr">
        <is>
          <t>C1490</t>
        </is>
      </c>
      <c r="C6491" t="n">
        <v>1</v>
      </c>
      <c r="D6491" t="inlineStr">
        <is>
          <t>Hub B</t>
        </is>
      </c>
      <c r="E6491" t="n">
        <v>28</v>
      </c>
      <c r="F6491" t="n">
        <v>47.544</v>
      </c>
    </row>
    <row r="6492">
      <c r="A6492" t="inlineStr">
        <is>
          <t>ORD06491</t>
        </is>
      </c>
      <c r="B6492" t="inlineStr">
        <is>
          <t>C1491</t>
        </is>
      </c>
      <c r="C6492" t="n">
        <v>2</v>
      </c>
      <c r="D6492" t="inlineStr">
        <is>
          <t>Hub B</t>
        </is>
      </c>
      <c r="E6492" t="n">
        <v>35</v>
      </c>
      <c r="F6492" t="n">
        <v>47.544</v>
      </c>
    </row>
    <row r="6493">
      <c r="A6493" t="inlineStr">
        <is>
          <t>ORD06492</t>
        </is>
      </c>
      <c r="B6493" t="inlineStr">
        <is>
          <t>C1492</t>
        </is>
      </c>
      <c r="C6493" t="n">
        <v>3</v>
      </c>
      <c r="D6493" t="inlineStr">
        <is>
          <t>Hub B</t>
        </is>
      </c>
      <c r="E6493" t="n">
        <v>42</v>
      </c>
      <c r="F6493" t="n">
        <v>47.544</v>
      </c>
    </row>
    <row r="6494">
      <c r="A6494" t="inlineStr">
        <is>
          <t>ORD06493</t>
        </is>
      </c>
      <c r="B6494" t="inlineStr">
        <is>
          <t>C1493</t>
        </is>
      </c>
      <c r="C6494" t="n">
        <v>1</v>
      </c>
      <c r="D6494" t="inlineStr">
        <is>
          <t>Hub B</t>
        </is>
      </c>
      <c r="E6494" t="n">
        <v>49</v>
      </c>
      <c r="F6494" t="n">
        <v>47.544</v>
      </c>
    </row>
    <row r="6495">
      <c r="A6495" t="inlineStr">
        <is>
          <t>ORD06494</t>
        </is>
      </c>
      <c r="B6495" t="inlineStr">
        <is>
          <t>C1494</t>
        </is>
      </c>
      <c r="C6495" t="n">
        <v>2</v>
      </c>
      <c r="D6495" t="inlineStr">
        <is>
          <t>Hub B</t>
        </is>
      </c>
      <c r="E6495" t="n">
        <v>56</v>
      </c>
      <c r="F6495" t="n">
        <v>47.544</v>
      </c>
    </row>
    <row r="6496">
      <c r="A6496" t="inlineStr">
        <is>
          <t>ORD06495</t>
        </is>
      </c>
      <c r="B6496" t="inlineStr">
        <is>
          <t>C1495</t>
        </is>
      </c>
      <c r="C6496" t="n">
        <v>3</v>
      </c>
      <c r="D6496" t="inlineStr">
        <is>
          <t>Hub B</t>
        </is>
      </c>
      <c r="E6496" t="n">
        <v>63</v>
      </c>
      <c r="F6496" t="n">
        <v>47.544</v>
      </c>
    </row>
    <row r="6497">
      <c r="A6497" t="inlineStr">
        <is>
          <t>ORD06496</t>
        </is>
      </c>
      <c r="B6497" t="inlineStr">
        <is>
          <t>C1496</t>
        </is>
      </c>
      <c r="C6497" t="n">
        <v>1</v>
      </c>
      <c r="D6497" t="inlineStr">
        <is>
          <t>Hub B</t>
        </is>
      </c>
      <c r="E6497" t="n">
        <v>70</v>
      </c>
      <c r="F6497" t="n">
        <v>47.544</v>
      </c>
    </row>
    <row r="6498">
      <c r="A6498" t="inlineStr">
        <is>
          <t>ORD06497</t>
        </is>
      </c>
      <c r="B6498" t="inlineStr">
        <is>
          <t>C1497</t>
        </is>
      </c>
      <c r="C6498" t="n">
        <v>2</v>
      </c>
      <c r="D6498" t="inlineStr">
        <is>
          <t>Hub B</t>
        </is>
      </c>
      <c r="E6498" t="n">
        <v>77</v>
      </c>
      <c r="F6498" t="n">
        <v>47.544</v>
      </c>
    </row>
    <row r="6499">
      <c r="A6499" t="inlineStr">
        <is>
          <t>ORD06498</t>
        </is>
      </c>
      <c r="B6499" t="inlineStr">
        <is>
          <t>C1498</t>
        </is>
      </c>
      <c r="C6499" t="n">
        <v>3</v>
      </c>
      <c r="D6499" t="inlineStr">
        <is>
          <t>Hub B</t>
        </is>
      </c>
      <c r="E6499" t="n">
        <v>24</v>
      </c>
      <c r="F6499" t="n">
        <v>47.544</v>
      </c>
    </row>
    <row r="6500">
      <c r="A6500" t="inlineStr">
        <is>
          <t>ORD06499</t>
        </is>
      </c>
      <c r="B6500" t="inlineStr">
        <is>
          <t>C1499</t>
        </is>
      </c>
      <c r="C6500" t="n">
        <v>1</v>
      </c>
      <c r="D6500" t="inlineStr">
        <is>
          <t>Hub B</t>
        </is>
      </c>
      <c r="E6500" t="n">
        <v>31</v>
      </c>
      <c r="F6500" t="n">
        <v>47.544</v>
      </c>
    </row>
    <row r="6501">
      <c r="A6501" t="inlineStr">
        <is>
          <t>ORD06500</t>
        </is>
      </c>
      <c r="B6501" t="inlineStr">
        <is>
          <t>C1500</t>
        </is>
      </c>
      <c r="C6501" t="n">
        <v>2</v>
      </c>
      <c r="D6501" t="inlineStr">
        <is>
          <t>Hub B</t>
        </is>
      </c>
      <c r="E6501" t="n">
        <v>38</v>
      </c>
      <c r="F6501" t="n">
        <v>47.544</v>
      </c>
    </row>
    <row r="6502">
      <c r="A6502" t="inlineStr">
        <is>
          <t>ORD06501</t>
        </is>
      </c>
      <c r="B6502" t="inlineStr">
        <is>
          <t>C1501</t>
        </is>
      </c>
      <c r="C6502" t="n">
        <v>3</v>
      </c>
      <c r="D6502" t="inlineStr">
        <is>
          <t>Hub B</t>
        </is>
      </c>
      <c r="E6502" t="n">
        <v>45</v>
      </c>
      <c r="F6502" t="n">
        <v>47.544</v>
      </c>
    </row>
    <row r="6503">
      <c r="A6503" t="inlineStr">
        <is>
          <t>ORD06502</t>
        </is>
      </c>
      <c r="B6503" t="inlineStr">
        <is>
          <t>C1502</t>
        </is>
      </c>
      <c r="C6503" t="n">
        <v>1</v>
      </c>
      <c r="D6503" t="inlineStr">
        <is>
          <t>Hub B</t>
        </is>
      </c>
      <c r="E6503" t="n">
        <v>52</v>
      </c>
      <c r="F6503" t="n">
        <v>47.544</v>
      </c>
    </row>
    <row r="6504">
      <c r="A6504" t="inlineStr">
        <is>
          <t>ORD06503</t>
        </is>
      </c>
      <c r="B6504" t="inlineStr">
        <is>
          <t>C1503</t>
        </is>
      </c>
      <c r="C6504" t="n">
        <v>2</v>
      </c>
      <c r="D6504" t="inlineStr">
        <is>
          <t>Hub B</t>
        </is>
      </c>
      <c r="E6504" t="n">
        <v>59</v>
      </c>
      <c r="F6504" t="n">
        <v>47.544</v>
      </c>
    </row>
    <row r="6505">
      <c r="A6505" t="inlineStr">
        <is>
          <t>ORD06504</t>
        </is>
      </c>
      <c r="B6505" t="inlineStr">
        <is>
          <t>C1504</t>
        </is>
      </c>
      <c r="C6505" t="n">
        <v>3</v>
      </c>
      <c r="D6505" t="inlineStr">
        <is>
          <t>Hub B</t>
        </is>
      </c>
      <c r="E6505" t="n">
        <v>66</v>
      </c>
      <c r="F6505" t="n">
        <v>47.544</v>
      </c>
    </row>
    <row r="6506">
      <c r="A6506" t="inlineStr">
        <is>
          <t>ORD06505</t>
        </is>
      </c>
      <c r="B6506" t="inlineStr">
        <is>
          <t>C1505</t>
        </is>
      </c>
      <c r="C6506" t="n">
        <v>1</v>
      </c>
      <c r="D6506" t="inlineStr">
        <is>
          <t>Hub B</t>
        </is>
      </c>
      <c r="E6506" t="n">
        <v>73</v>
      </c>
      <c r="F6506" t="n">
        <v>47.544</v>
      </c>
    </row>
    <row r="6507">
      <c r="A6507" t="inlineStr">
        <is>
          <t>ORD06506</t>
        </is>
      </c>
      <c r="B6507" t="inlineStr">
        <is>
          <t>C1506</t>
        </is>
      </c>
      <c r="C6507" t="n">
        <v>2</v>
      </c>
      <c r="D6507" t="inlineStr">
        <is>
          <t>Hub B</t>
        </is>
      </c>
      <c r="E6507" t="n">
        <v>20</v>
      </c>
      <c r="F6507" t="n">
        <v>47.544</v>
      </c>
    </row>
    <row r="6508">
      <c r="A6508" t="inlineStr">
        <is>
          <t>ORD06507</t>
        </is>
      </c>
      <c r="B6508" t="inlineStr">
        <is>
          <t>C1507</t>
        </is>
      </c>
      <c r="C6508" t="n">
        <v>3</v>
      </c>
      <c r="D6508" t="inlineStr">
        <is>
          <t>Hub B</t>
        </is>
      </c>
      <c r="E6508" t="n">
        <v>27</v>
      </c>
      <c r="F6508" t="n">
        <v>47.544</v>
      </c>
    </row>
    <row r="6509">
      <c r="A6509" t="inlineStr">
        <is>
          <t>ORD06508</t>
        </is>
      </c>
      <c r="B6509" t="inlineStr">
        <is>
          <t>C1508</t>
        </is>
      </c>
      <c r="C6509" t="n">
        <v>1</v>
      </c>
      <c r="D6509" t="inlineStr">
        <is>
          <t>Hub B</t>
        </is>
      </c>
      <c r="E6509" t="n">
        <v>34</v>
      </c>
      <c r="F6509" t="n">
        <v>47.544</v>
      </c>
    </row>
    <row r="6510">
      <c r="A6510" t="inlineStr">
        <is>
          <t>ORD06509</t>
        </is>
      </c>
      <c r="B6510" t="inlineStr">
        <is>
          <t>C1509</t>
        </is>
      </c>
      <c r="C6510" t="n">
        <v>2</v>
      </c>
      <c r="D6510" t="inlineStr">
        <is>
          <t>Hub B</t>
        </is>
      </c>
      <c r="E6510" t="n">
        <v>41</v>
      </c>
      <c r="F6510" t="n">
        <v>47.544</v>
      </c>
    </row>
    <row r="6511">
      <c r="A6511" t="inlineStr">
        <is>
          <t>ORD06510</t>
        </is>
      </c>
      <c r="B6511" t="inlineStr">
        <is>
          <t>C1510</t>
        </is>
      </c>
      <c r="C6511" t="n">
        <v>3</v>
      </c>
      <c r="D6511" t="inlineStr">
        <is>
          <t>Hub B</t>
        </is>
      </c>
      <c r="E6511" t="n">
        <v>48</v>
      </c>
      <c r="F6511" t="n">
        <v>47.544</v>
      </c>
    </row>
    <row r="6512">
      <c r="A6512" t="inlineStr">
        <is>
          <t>ORD06511</t>
        </is>
      </c>
      <c r="B6512" t="inlineStr">
        <is>
          <t>C1511</t>
        </is>
      </c>
      <c r="C6512" t="n">
        <v>1</v>
      </c>
      <c r="D6512" t="inlineStr">
        <is>
          <t>Hub B</t>
        </is>
      </c>
      <c r="E6512" t="n">
        <v>55</v>
      </c>
      <c r="F6512" t="n">
        <v>47.544</v>
      </c>
    </row>
    <row r="6513">
      <c r="A6513" t="inlineStr">
        <is>
          <t>ORD06512</t>
        </is>
      </c>
      <c r="B6513" t="inlineStr">
        <is>
          <t>C1512</t>
        </is>
      </c>
      <c r="C6513" t="n">
        <v>2</v>
      </c>
      <c r="D6513" t="inlineStr">
        <is>
          <t>Hub B</t>
        </is>
      </c>
      <c r="E6513" t="n">
        <v>62</v>
      </c>
      <c r="F6513" t="n">
        <v>47.544</v>
      </c>
    </row>
    <row r="6514">
      <c r="A6514" t="inlineStr">
        <is>
          <t>ORD06513</t>
        </is>
      </c>
      <c r="B6514" t="inlineStr">
        <is>
          <t>C1513</t>
        </is>
      </c>
      <c r="C6514" t="n">
        <v>3</v>
      </c>
      <c r="D6514" t="inlineStr">
        <is>
          <t>Hub B</t>
        </is>
      </c>
      <c r="E6514" t="n">
        <v>69</v>
      </c>
      <c r="F6514" t="n">
        <v>47.544</v>
      </c>
    </row>
    <row r="6515">
      <c r="A6515" t="inlineStr">
        <is>
          <t>ORD06514</t>
        </is>
      </c>
      <c r="B6515" t="inlineStr">
        <is>
          <t>C1514</t>
        </is>
      </c>
      <c r="C6515" t="n">
        <v>1</v>
      </c>
      <c r="D6515" t="inlineStr">
        <is>
          <t>Hub B</t>
        </is>
      </c>
      <c r="E6515" t="n">
        <v>76</v>
      </c>
      <c r="F6515" t="n">
        <v>47.544</v>
      </c>
    </row>
    <row r="6516">
      <c r="A6516" t="inlineStr">
        <is>
          <t>ORD06515</t>
        </is>
      </c>
      <c r="B6516" t="inlineStr">
        <is>
          <t>C1515</t>
        </is>
      </c>
      <c r="C6516" t="n">
        <v>2</v>
      </c>
      <c r="D6516" t="inlineStr">
        <is>
          <t>Hub B</t>
        </is>
      </c>
      <c r="E6516" t="n">
        <v>23</v>
      </c>
      <c r="F6516" t="n">
        <v>47.544</v>
      </c>
    </row>
    <row r="6517">
      <c r="A6517" t="inlineStr">
        <is>
          <t>ORD06516</t>
        </is>
      </c>
      <c r="B6517" t="inlineStr">
        <is>
          <t>C1516</t>
        </is>
      </c>
      <c r="C6517" t="n">
        <v>3</v>
      </c>
      <c r="D6517" t="inlineStr">
        <is>
          <t>Hub B</t>
        </is>
      </c>
      <c r="E6517" t="n">
        <v>30</v>
      </c>
      <c r="F6517" t="n">
        <v>47.544</v>
      </c>
    </row>
    <row r="6518">
      <c r="A6518" t="inlineStr">
        <is>
          <t>ORD06517</t>
        </is>
      </c>
      <c r="B6518" t="inlineStr">
        <is>
          <t>C1517</t>
        </is>
      </c>
      <c r="C6518" t="n">
        <v>1</v>
      </c>
      <c r="D6518" t="inlineStr">
        <is>
          <t>Hub B</t>
        </is>
      </c>
      <c r="E6518" t="n">
        <v>37</v>
      </c>
      <c r="F6518" t="n">
        <v>47.544</v>
      </c>
    </row>
    <row r="6519">
      <c r="A6519" t="inlineStr">
        <is>
          <t>ORD06518</t>
        </is>
      </c>
      <c r="B6519" t="inlineStr">
        <is>
          <t>C1518</t>
        </is>
      </c>
      <c r="C6519" t="n">
        <v>2</v>
      </c>
      <c r="D6519" t="inlineStr">
        <is>
          <t>Hub B</t>
        </is>
      </c>
      <c r="E6519" t="n">
        <v>44</v>
      </c>
      <c r="F6519" t="n">
        <v>47.544</v>
      </c>
    </row>
    <row r="6520">
      <c r="A6520" t="inlineStr">
        <is>
          <t>ORD06519</t>
        </is>
      </c>
      <c r="B6520" t="inlineStr">
        <is>
          <t>C1519</t>
        </is>
      </c>
      <c r="C6520" t="n">
        <v>3</v>
      </c>
      <c r="D6520" t="inlineStr">
        <is>
          <t>Hub B</t>
        </is>
      </c>
      <c r="E6520" t="n">
        <v>51</v>
      </c>
      <c r="F6520" t="n">
        <v>47.544</v>
      </c>
    </row>
    <row r="6521">
      <c r="A6521" t="inlineStr">
        <is>
          <t>ORD06520</t>
        </is>
      </c>
      <c r="B6521" t="inlineStr">
        <is>
          <t>C1520</t>
        </is>
      </c>
      <c r="C6521" t="n">
        <v>1</v>
      </c>
      <c r="D6521" t="inlineStr">
        <is>
          <t>Hub B</t>
        </is>
      </c>
      <c r="E6521" t="n">
        <v>58</v>
      </c>
      <c r="F6521" t="n">
        <v>47.544</v>
      </c>
    </row>
    <row r="6522">
      <c r="A6522" t="inlineStr">
        <is>
          <t>ORD06521</t>
        </is>
      </c>
      <c r="B6522" t="inlineStr">
        <is>
          <t>C1521</t>
        </is>
      </c>
      <c r="C6522" t="n">
        <v>2</v>
      </c>
      <c r="D6522" t="inlineStr">
        <is>
          <t>Hub B</t>
        </is>
      </c>
      <c r="E6522" t="n">
        <v>65</v>
      </c>
      <c r="F6522" t="n">
        <v>47.544</v>
      </c>
    </row>
    <row r="6523">
      <c r="A6523" t="inlineStr">
        <is>
          <t>ORD06522</t>
        </is>
      </c>
      <c r="B6523" t="inlineStr">
        <is>
          <t>C1522</t>
        </is>
      </c>
      <c r="C6523" t="n">
        <v>3</v>
      </c>
      <c r="D6523" t="inlineStr">
        <is>
          <t>Hub B</t>
        </is>
      </c>
      <c r="E6523" t="n">
        <v>72</v>
      </c>
      <c r="F6523" t="n">
        <v>47.544</v>
      </c>
    </row>
    <row r="6524">
      <c r="A6524" t="inlineStr">
        <is>
          <t>ORD06523</t>
        </is>
      </c>
      <c r="B6524" t="inlineStr">
        <is>
          <t>C1523</t>
        </is>
      </c>
      <c r="C6524" t="n">
        <v>1</v>
      </c>
      <c r="D6524" t="inlineStr">
        <is>
          <t>Hub B</t>
        </is>
      </c>
      <c r="E6524" t="n">
        <v>19</v>
      </c>
      <c r="F6524" t="n">
        <v>47.544</v>
      </c>
    </row>
    <row r="6525">
      <c r="A6525" t="inlineStr">
        <is>
          <t>ORD06524</t>
        </is>
      </c>
      <c r="B6525" t="inlineStr">
        <is>
          <t>C1524</t>
        </is>
      </c>
      <c r="C6525" t="n">
        <v>2</v>
      </c>
      <c r="D6525" t="inlineStr">
        <is>
          <t>Hub B</t>
        </is>
      </c>
      <c r="E6525" t="n">
        <v>26</v>
      </c>
      <c r="F6525" t="n">
        <v>47.544</v>
      </c>
    </row>
    <row r="6526">
      <c r="A6526" t="inlineStr">
        <is>
          <t>ORD06525</t>
        </is>
      </c>
      <c r="B6526" t="inlineStr">
        <is>
          <t>C1525</t>
        </is>
      </c>
      <c r="C6526" t="n">
        <v>3</v>
      </c>
      <c r="D6526" t="inlineStr">
        <is>
          <t>Hub B</t>
        </is>
      </c>
      <c r="E6526" t="n">
        <v>33</v>
      </c>
      <c r="F6526" t="n">
        <v>47.544</v>
      </c>
    </row>
    <row r="6527">
      <c r="A6527" t="inlineStr">
        <is>
          <t>ORD06526</t>
        </is>
      </c>
      <c r="B6527" t="inlineStr">
        <is>
          <t>C1526</t>
        </is>
      </c>
      <c r="C6527" t="n">
        <v>1</v>
      </c>
      <c r="D6527" t="inlineStr">
        <is>
          <t>Hub B</t>
        </is>
      </c>
      <c r="E6527" t="n">
        <v>40</v>
      </c>
      <c r="F6527" t="n">
        <v>47.544</v>
      </c>
    </row>
    <row r="6528">
      <c r="A6528" t="inlineStr">
        <is>
          <t>ORD06527</t>
        </is>
      </c>
      <c r="B6528" t="inlineStr">
        <is>
          <t>C1527</t>
        </is>
      </c>
      <c r="C6528" t="n">
        <v>2</v>
      </c>
      <c r="D6528" t="inlineStr">
        <is>
          <t>Hub B</t>
        </is>
      </c>
      <c r="E6528" t="n">
        <v>47</v>
      </c>
      <c r="F6528" t="n">
        <v>47.544</v>
      </c>
    </row>
    <row r="6529">
      <c r="A6529" t="inlineStr">
        <is>
          <t>ORD06528</t>
        </is>
      </c>
      <c r="B6529" t="inlineStr">
        <is>
          <t>C1528</t>
        </is>
      </c>
      <c r="C6529" t="n">
        <v>3</v>
      </c>
      <c r="D6529" t="inlineStr">
        <is>
          <t>Hub B</t>
        </is>
      </c>
      <c r="E6529" t="n">
        <v>54</v>
      </c>
      <c r="F6529" t="n">
        <v>47.544</v>
      </c>
    </row>
    <row r="6530">
      <c r="A6530" t="inlineStr">
        <is>
          <t>ORD06529</t>
        </is>
      </c>
      <c r="B6530" t="inlineStr">
        <is>
          <t>C1529</t>
        </is>
      </c>
      <c r="C6530" t="n">
        <v>1</v>
      </c>
      <c r="D6530" t="inlineStr">
        <is>
          <t>Hub B</t>
        </is>
      </c>
      <c r="E6530" t="n">
        <v>61</v>
      </c>
      <c r="F6530" t="n">
        <v>47.544</v>
      </c>
    </row>
    <row r="6531">
      <c r="A6531" t="inlineStr">
        <is>
          <t>ORD06530</t>
        </is>
      </c>
      <c r="B6531" t="inlineStr">
        <is>
          <t>C1530</t>
        </is>
      </c>
      <c r="C6531" t="n">
        <v>2</v>
      </c>
      <c r="D6531" t="inlineStr">
        <is>
          <t>Hub B</t>
        </is>
      </c>
      <c r="E6531" t="n">
        <v>68</v>
      </c>
      <c r="F6531" t="n">
        <v>47.544</v>
      </c>
    </row>
    <row r="6532">
      <c r="A6532" t="inlineStr">
        <is>
          <t>ORD06531</t>
        </is>
      </c>
      <c r="B6532" t="inlineStr">
        <is>
          <t>C1531</t>
        </is>
      </c>
      <c r="C6532" t="n">
        <v>3</v>
      </c>
      <c r="D6532" t="inlineStr">
        <is>
          <t>Hub B</t>
        </is>
      </c>
      <c r="E6532" t="n">
        <v>75</v>
      </c>
      <c r="F6532" t="n">
        <v>47.544</v>
      </c>
    </row>
    <row r="6533">
      <c r="A6533" t="inlineStr">
        <is>
          <t>ORD06532</t>
        </is>
      </c>
      <c r="B6533" t="inlineStr">
        <is>
          <t>C1532</t>
        </is>
      </c>
      <c r="C6533" t="n">
        <v>1</v>
      </c>
      <c r="D6533" t="inlineStr">
        <is>
          <t>Hub B</t>
        </is>
      </c>
      <c r="E6533" t="n">
        <v>22</v>
      </c>
      <c r="F6533" t="n">
        <v>47.544</v>
      </c>
    </row>
    <row r="6534">
      <c r="A6534" t="inlineStr">
        <is>
          <t>ORD06533</t>
        </is>
      </c>
      <c r="B6534" t="inlineStr">
        <is>
          <t>C1533</t>
        </is>
      </c>
      <c r="C6534" t="n">
        <v>2</v>
      </c>
      <c r="D6534" t="inlineStr">
        <is>
          <t>Hub B</t>
        </is>
      </c>
      <c r="E6534" t="n">
        <v>29</v>
      </c>
      <c r="F6534" t="n">
        <v>47.544</v>
      </c>
    </row>
    <row r="6535">
      <c r="A6535" t="inlineStr">
        <is>
          <t>ORD06534</t>
        </is>
      </c>
      <c r="B6535" t="inlineStr">
        <is>
          <t>C1534</t>
        </is>
      </c>
      <c r="C6535" t="n">
        <v>3</v>
      </c>
      <c r="D6535" t="inlineStr">
        <is>
          <t>Hub B</t>
        </is>
      </c>
      <c r="E6535" t="n">
        <v>36</v>
      </c>
      <c r="F6535" t="n">
        <v>47.544</v>
      </c>
    </row>
    <row r="6536">
      <c r="A6536" t="inlineStr">
        <is>
          <t>ORD06535</t>
        </is>
      </c>
      <c r="B6536" t="inlineStr">
        <is>
          <t>C1535</t>
        </is>
      </c>
      <c r="C6536" t="n">
        <v>1</v>
      </c>
      <c r="D6536" t="inlineStr">
        <is>
          <t>Hub B</t>
        </is>
      </c>
      <c r="E6536" t="n">
        <v>43</v>
      </c>
      <c r="F6536" t="n">
        <v>47.544</v>
      </c>
    </row>
    <row r="6537">
      <c r="A6537" t="inlineStr">
        <is>
          <t>ORD06536</t>
        </is>
      </c>
      <c r="B6537" t="inlineStr">
        <is>
          <t>C1536</t>
        </is>
      </c>
      <c r="C6537" t="n">
        <v>2</v>
      </c>
      <c r="D6537" t="inlineStr">
        <is>
          <t>Hub B</t>
        </is>
      </c>
      <c r="E6537" t="n">
        <v>50</v>
      </c>
      <c r="F6537" t="n">
        <v>47.544</v>
      </c>
    </row>
    <row r="6538">
      <c r="A6538" t="inlineStr">
        <is>
          <t>ORD06537</t>
        </is>
      </c>
      <c r="B6538" t="inlineStr">
        <is>
          <t>C1537</t>
        </is>
      </c>
      <c r="C6538" t="n">
        <v>3</v>
      </c>
      <c r="D6538" t="inlineStr">
        <is>
          <t>Hub B</t>
        </is>
      </c>
      <c r="E6538" t="n">
        <v>57</v>
      </c>
      <c r="F6538" t="n">
        <v>47.544</v>
      </c>
    </row>
    <row r="6539">
      <c r="A6539" t="inlineStr">
        <is>
          <t>ORD06538</t>
        </is>
      </c>
      <c r="B6539" t="inlineStr">
        <is>
          <t>C1538</t>
        </is>
      </c>
      <c r="C6539" t="n">
        <v>1</v>
      </c>
      <c r="D6539" t="inlineStr">
        <is>
          <t>Hub B</t>
        </is>
      </c>
      <c r="E6539" t="n">
        <v>64</v>
      </c>
      <c r="F6539" t="n">
        <v>47.544</v>
      </c>
    </row>
    <row r="6540">
      <c r="A6540" t="inlineStr">
        <is>
          <t>ORD06539</t>
        </is>
      </c>
      <c r="B6540" t="inlineStr">
        <is>
          <t>C1539</t>
        </is>
      </c>
      <c r="C6540" t="n">
        <v>2</v>
      </c>
      <c r="D6540" t="inlineStr">
        <is>
          <t>Hub B</t>
        </is>
      </c>
      <c r="E6540" t="n">
        <v>71</v>
      </c>
      <c r="F6540" t="n">
        <v>47.544</v>
      </c>
    </row>
    <row r="6541">
      <c r="A6541" t="inlineStr">
        <is>
          <t>ORD06540</t>
        </is>
      </c>
      <c r="B6541" t="inlineStr">
        <is>
          <t>C1540</t>
        </is>
      </c>
      <c r="C6541" t="n">
        <v>3</v>
      </c>
      <c r="D6541" t="inlineStr">
        <is>
          <t>Hub B</t>
        </is>
      </c>
      <c r="E6541" t="n">
        <v>18</v>
      </c>
      <c r="F6541" t="n">
        <v>47.544</v>
      </c>
    </row>
    <row r="6542">
      <c r="A6542" t="inlineStr">
        <is>
          <t>ORD06541</t>
        </is>
      </c>
      <c r="B6542" t="inlineStr">
        <is>
          <t>C1541</t>
        </is>
      </c>
      <c r="C6542" t="n">
        <v>1</v>
      </c>
      <c r="D6542" t="inlineStr">
        <is>
          <t>Hub B</t>
        </is>
      </c>
      <c r="E6542" t="n">
        <v>25</v>
      </c>
      <c r="F6542" t="n">
        <v>47.544</v>
      </c>
    </row>
    <row r="6543">
      <c r="A6543" t="inlineStr">
        <is>
          <t>ORD06542</t>
        </is>
      </c>
      <c r="B6543" t="inlineStr">
        <is>
          <t>C1542</t>
        </is>
      </c>
      <c r="C6543" t="n">
        <v>2</v>
      </c>
      <c r="D6543" t="inlineStr">
        <is>
          <t>Hub B</t>
        </is>
      </c>
      <c r="E6543" t="n">
        <v>32</v>
      </c>
      <c r="F6543" t="n">
        <v>47.544</v>
      </c>
    </row>
    <row r="6544">
      <c r="A6544" t="inlineStr">
        <is>
          <t>ORD06543</t>
        </is>
      </c>
      <c r="B6544" t="inlineStr">
        <is>
          <t>C1543</t>
        </is>
      </c>
      <c r="C6544" t="n">
        <v>3</v>
      </c>
      <c r="D6544" t="inlineStr">
        <is>
          <t>Hub B</t>
        </is>
      </c>
      <c r="E6544" t="n">
        <v>39</v>
      </c>
      <c r="F6544" t="n">
        <v>47.544</v>
      </c>
    </row>
    <row r="6545">
      <c r="A6545" t="inlineStr">
        <is>
          <t>ORD06544</t>
        </is>
      </c>
      <c r="B6545" t="inlineStr">
        <is>
          <t>C1544</t>
        </is>
      </c>
      <c r="C6545" t="n">
        <v>1</v>
      </c>
      <c r="D6545" t="inlineStr">
        <is>
          <t>Hub B</t>
        </is>
      </c>
      <c r="E6545" t="n">
        <v>46</v>
      </c>
      <c r="F6545" t="n">
        <v>47.544</v>
      </c>
    </row>
    <row r="6546">
      <c r="A6546" t="inlineStr">
        <is>
          <t>ORD06545</t>
        </is>
      </c>
      <c r="B6546" t="inlineStr">
        <is>
          <t>C1545</t>
        </is>
      </c>
      <c r="C6546" t="n">
        <v>2</v>
      </c>
      <c r="D6546" t="inlineStr">
        <is>
          <t>Hub B</t>
        </is>
      </c>
      <c r="E6546" t="n">
        <v>53</v>
      </c>
      <c r="F6546" t="n">
        <v>47.544</v>
      </c>
    </row>
    <row r="6547">
      <c r="A6547" t="inlineStr">
        <is>
          <t>ORD06546</t>
        </is>
      </c>
      <c r="B6547" t="inlineStr">
        <is>
          <t>C1546</t>
        </is>
      </c>
      <c r="C6547" t="n">
        <v>3</v>
      </c>
      <c r="D6547" t="inlineStr">
        <is>
          <t>Hub B</t>
        </is>
      </c>
      <c r="E6547" t="n">
        <v>60</v>
      </c>
      <c r="F6547" t="n">
        <v>47.544</v>
      </c>
    </row>
    <row r="6548">
      <c r="A6548" t="inlineStr">
        <is>
          <t>ORD06547</t>
        </is>
      </c>
      <c r="B6548" t="inlineStr">
        <is>
          <t>C1547</t>
        </is>
      </c>
      <c r="C6548" t="n">
        <v>1</v>
      </c>
      <c r="D6548" t="inlineStr">
        <is>
          <t>Hub B</t>
        </is>
      </c>
      <c r="E6548" t="n">
        <v>67</v>
      </c>
      <c r="F6548" t="n">
        <v>47.544</v>
      </c>
    </row>
    <row r="6549">
      <c r="A6549" t="inlineStr">
        <is>
          <t>ORD06548</t>
        </is>
      </c>
      <c r="B6549" t="inlineStr">
        <is>
          <t>C1548</t>
        </is>
      </c>
      <c r="C6549" t="n">
        <v>2</v>
      </c>
      <c r="D6549" t="inlineStr">
        <is>
          <t>Hub B</t>
        </is>
      </c>
      <c r="E6549" t="n">
        <v>74</v>
      </c>
      <c r="F6549" t="n">
        <v>47.544</v>
      </c>
    </row>
    <row r="6550">
      <c r="A6550" t="inlineStr">
        <is>
          <t>ORD06549</t>
        </is>
      </c>
      <c r="B6550" t="inlineStr">
        <is>
          <t>C1549</t>
        </is>
      </c>
      <c r="C6550" t="n">
        <v>3</v>
      </c>
      <c r="D6550" t="inlineStr">
        <is>
          <t>Hub B</t>
        </is>
      </c>
      <c r="E6550" t="n">
        <v>21</v>
      </c>
      <c r="F6550" t="n">
        <v>47.544</v>
      </c>
    </row>
    <row r="6551">
      <c r="A6551" t="inlineStr">
        <is>
          <t>ORD06550</t>
        </is>
      </c>
      <c r="B6551" t="inlineStr">
        <is>
          <t>C1550</t>
        </is>
      </c>
      <c r="C6551" t="n">
        <v>1</v>
      </c>
      <c r="D6551" t="inlineStr">
        <is>
          <t>Hub B</t>
        </is>
      </c>
      <c r="E6551" t="n">
        <v>28</v>
      </c>
      <c r="F6551" t="n">
        <v>47.544</v>
      </c>
    </row>
    <row r="6552">
      <c r="A6552" t="inlineStr">
        <is>
          <t>ORD06551</t>
        </is>
      </c>
      <c r="B6552" t="inlineStr">
        <is>
          <t>C1551</t>
        </is>
      </c>
      <c r="C6552" t="n">
        <v>2</v>
      </c>
      <c r="D6552" t="inlineStr">
        <is>
          <t>Hub B</t>
        </is>
      </c>
      <c r="E6552" t="n">
        <v>35</v>
      </c>
      <c r="F6552" t="n">
        <v>47.544</v>
      </c>
    </row>
    <row r="6553">
      <c r="A6553" t="inlineStr">
        <is>
          <t>ORD06552</t>
        </is>
      </c>
      <c r="B6553" t="inlineStr">
        <is>
          <t>C1552</t>
        </is>
      </c>
      <c r="C6553" t="n">
        <v>3</v>
      </c>
      <c r="D6553" t="inlineStr">
        <is>
          <t>Hub B</t>
        </is>
      </c>
      <c r="E6553" t="n">
        <v>42</v>
      </c>
      <c r="F6553" t="n">
        <v>47.544</v>
      </c>
    </row>
    <row r="6554">
      <c r="A6554" t="inlineStr">
        <is>
          <t>ORD06553</t>
        </is>
      </c>
      <c r="B6554" t="inlineStr">
        <is>
          <t>C1553</t>
        </is>
      </c>
      <c r="C6554" t="n">
        <v>1</v>
      </c>
      <c r="D6554" t="inlineStr">
        <is>
          <t>Hub B</t>
        </is>
      </c>
      <c r="E6554" t="n">
        <v>49</v>
      </c>
      <c r="F6554" t="n">
        <v>47.544</v>
      </c>
    </row>
    <row r="6555">
      <c r="A6555" t="inlineStr">
        <is>
          <t>ORD06554</t>
        </is>
      </c>
      <c r="B6555" t="inlineStr">
        <is>
          <t>C1554</t>
        </is>
      </c>
      <c r="C6555" t="n">
        <v>2</v>
      </c>
      <c r="D6555" t="inlineStr">
        <is>
          <t>Hub B</t>
        </is>
      </c>
      <c r="E6555" t="n">
        <v>56</v>
      </c>
      <c r="F6555" t="n">
        <v>47.544</v>
      </c>
    </row>
    <row r="6556">
      <c r="A6556" t="inlineStr">
        <is>
          <t>ORD06555</t>
        </is>
      </c>
      <c r="B6556" t="inlineStr">
        <is>
          <t>C1555</t>
        </is>
      </c>
      <c r="C6556" t="n">
        <v>3</v>
      </c>
      <c r="D6556" t="inlineStr">
        <is>
          <t>Hub B</t>
        </is>
      </c>
      <c r="E6556" t="n">
        <v>63</v>
      </c>
      <c r="F6556" t="n">
        <v>47.544</v>
      </c>
    </row>
    <row r="6557">
      <c r="A6557" t="inlineStr">
        <is>
          <t>ORD06556</t>
        </is>
      </c>
      <c r="B6557" t="inlineStr">
        <is>
          <t>C1556</t>
        </is>
      </c>
      <c r="C6557" t="n">
        <v>1</v>
      </c>
      <c r="D6557" t="inlineStr">
        <is>
          <t>Hub B</t>
        </is>
      </c>
      <c r="E6557" t="n">
        <v>70</v>
      </c>
      <c r="F6557" t="n">
        <v>47.544</v>
      </c>
    </row>
    <row r="6558">
      <c r="A6558" t="inlineStr">
        <is>
          <t>ORD06557</t>
        </is>
      </c>
      <c r="B6558" t="inlineStr">
        <is>
          <t>C1557</t>
        </is>
      </c>
      <c r="C6558" t="n">
        <v>2</v>
      </c>
      <c r="D6558" t="inlineStr">
        <is>
          <t>Hub B</t>
        </is>
      </c>
      <c r="E6558" t="n">
        <v>77</v>
      </c>
      <c r="F6558" t="n">
        <v>47.544</v>
      </c>
    </row>
    <row r="6559">
      <c r="A6559" t="inlineStr">
        <is>
          <t>ORD06558</t>
        </is>
      </c>
      <c r="B6559" t="inlineStr">
        <is>
          <t>C1558</t>
        </is>
      </c>
      <c r="C6559" t="n">
        <v>3</v>
      </c>
      <c r="D6559" t="inlineStr">
        <is>
          <t>Hub B</t>
        </is>
      </c>
      <c r="E6559" t="n">
        <v>24</v>
      </c>
      <c r="F6559" t="n">
        <v>47.544</v>
      </c>
    </row>
    <row r="6560">
      <c r="A6560" t="inlineStr">
        <is>
          <t>ORD06559</t>
        </is>
      </c>
      <c r="B6560" t="inlineStr">
        <is>
          <t>C1559</t>
        </is>
      </c>
      <c r="C6560" t="n">
        <v>1</v>
      </c>
      <c r="D6560" t="inlineStr">
        <is>
          <t>Hub B</t>
        </is>
      </c>
      <c r="E6560" t="n">
        <v>31</v>
      </c>
      <c r="F6560" t="n">
        <v>47.544</v>
      </c>
    </row>
    <row r="6561">
      <c r="A6561" t="inlineStr">
        <is>
          <t>ORD06560</t>
        </is>
      </c>
      <c r="B6561" t="inlineStr">
        <is>
          <t>C1560</t>
        </is>
      </c>
      <c r="C6561" t="n">
        <v>2</v>
      </c>
      <c r="D6561" t="inlineStr">
        <is>
          <t>Hub B</t>
        </is>
      </c>
      <c r="E6561" t="n">
        <v>38</v>
      </c>
      <c r="F6561" t="n">
        <v>47.544</v>
      </c>
    </row>
    <row r="6562">
      <c r="A6562" t="inlineStr">
        <is>
          <t>ORD06561</t>
        </is>
      </c>
      <c r="B6562" t="inlineStr">
        <is>
          <t>C1561</t>
        </is>
      </c>
      <c r="C6562" t="n">
        <v>3</v>
      </c>
      <c r="D6562" t="inlineStr">
        <is>
          <t>Hub B</t>
        </is>
      </c>
      <c r="E6562" t="n">
        <v>45</v>
      </c>
      <c r="F6562" t="n">
        <v>47.544</v>
      </c>
    </row>
    <row r="6563">
      <c r="A6563" t="inlineStr">
        <is>
          <t>ORD06562</t>
        </is>
      </c>
      <c r="B6563" t="inlineStr">
        <is>
          <t>C1562</t>
        </is>
      </c>
      <c r="C6563" t="n">
        <v>1</v>
      </c>
      <c r="D6563" t="inlineStr">
        <is>
          <t>Hub B</t>
        </is>
      </c>
      <c r="E6563" t="n">
        <v>52</v>
      </c>
      <c r="F6563" t="n">
        <v>47.544</v>
      </c>
    </row>
    <row r="6564">
      <c r="A6564" t="inlineStr">
        <is>
          <t>ORD06563</t>
        </is>
      </c>
      <c r="B6564" t="inlineStr">
        <is>
          <t>C1563</t>
        </is>
      </c>
      <c r="C6564" t="n">
        <v>2</v>
      </c>
      <c r="D6564" t="inlineStr">
        <is>
          <t>Hub B</t>
        </is>
      </c>
      <c r="E6564" t="n">
        <v>59</v>
      </c>
      <c r="F6564" t="n">
        <v>47.544</v>
      </c>
    </row>
    <row r="6565">
      <c r="A6565" t="inlineStr">
        <is>
          <t>ORD06564</t>
        </is>
      </c>
      <c r="B6565" t="inlineStr">
        <is>
          <t>C1564</t>
        </is>
      </c>
      <c r="C6565" t="n">
        <v>3</v>
      </c>
      <c r="D6565" t="inlineStr">
        <is>
          <t>Hub B</t>
        </is>
      </c>
      <c r="E6565" t="n">
        <v>66</v>
      </c>
      <c r="F6565" t="n">
        <v>47.544</v>
      </c>
    </row>
    <row r="6566">
      <c r="A6566" t="inlineStr">
        <is>
          <t>ORD06565</t>
        </is>
      </c>
      <c r="B6566" t="inlineStr">
        <is>
          <t>C1565</t>
        </is>
      </c>
      <c r="C6566" t="n">
        <v>1</v>
      </c>
      <c r="D6566" t="inlineStr">
        <is>
          <t>Hub B</t>
        </is>
      </c>
      <c r="E6566" t="n">
        <v>73</v>
      </c>
      <c r="F6566" t="n">
        <v>47.544</v>
      </c>
    </row>
    <row r="6567">
      <c r="A6567" t="inlineStr">
        <is>
          <t>ORD06566</t>
        </is>
      </c>
      <c r="B6567" t="inlineStr">
        <is>
          <t>C1566</t>
        </is>
      </c>
      <c r="C6567" t="n">
        <v>2</v>
      </c>
      <c r="D6567" t="inlineStr">
        <is>
          <t>Hub B</t>
        </is>
      </c>
      <c r="E6567" t="n">
        <v>20</v>
      </c>
      <c r="F6567" t="n">
        <v>47.544</v>
      </c>
    </row>
    <row r="6568">
      <c r="A6568" t="inlineStr">
        <is>
          <t>ORD06567</t>
        </is>
      </c>
      <c r="B6568" t="inlineStr">
        <is>
          <t>C1567</t>
        </is>
      </c>
      <c r="C6568" t="n">
        <v>3</v>
      </c>
      <c r="D6568" t="inlineStr">
        <is>
          <t>Hub B</t>
        </is>
      </c>
      <c r="E6568" t="n">
        <v>27</v>
      </c>
      <c r="F6568" t="n">
        <v>47.544</v>
      </c>
    </row>
    <row r="6569">
      <c r="A6569" t="inlineStr">
        <is>
          <t>ORD06568</t>
        </is>
      </c>
      <c r="B6569" t="inlineStr">
        <is>
          <t>C1568</t>
        </is>
      </c>
      <c r="C6569" t="n">
        <v>1</v>
      </c>
      <c r="D6569" t="inlineStr">
        <is>
          <t>Hub B</t>
        </is>
      </c>
      <c r="E6569" t="n">
        <v>34</v>
      </c>
      <c r="F6569" t="n">
        <v>47.544</v>
      </c>
    </row>
    <row r="6570">
      <c r="A6570" t="inlineStr">
        <is>
          <t>ORD06569</t>
        </is>
      </c>
      <c r="B6570" t="inlineStr">
        <is>
          <t>C1569</t>
        </is>
      </c>
      <c r="C6570" t="n">
        <v>2</v>
      </c>
      <c r="D6570" t="inlineStr">
        <is>
          <t>Hub B</t>
        </is>
      </c>
      <c r="E6570" t="n">
        <v>41</v>
      </c>
      <c r="F6570" t="n">
        <v>47.544</v>
      </c>
    </row>
    <row r="6571">
      <c r="A6571" t="inlineStr">
        <is>
          <t>ORD06570</t>
        </is>
      </c>
      <c r="B6571" t="inlineStr">
        <is>
          <t>C1570</t>
        </is>
      </c>
      <c r="C6571" t="n">
        <v>3</v>
      </c>
      <c r="D6571" t="inlineStr">
        <is>
          <t>Hub B</t>
        </is>
      </c>
      <c r="E6571" t="n">
        <v>48</v>
      </c>
      <c r="F6571" t="n">
        <v>47.544</v>
      </c>
    </row>
    <row r="6572">
      <c r="A6572" t="inlineStr">
        <is>
          <t>ORD06571</t>
        </is>
      </c>
      <c r="B6572" t="inlineStr">
        <is>
          <t>C1571</t>
        </is>
      </c>
      <c r="C6572" t="n">
        <v>1</v>
      </c>
      <c r="D6572" t="inlineStr">
        <is>
          <t>Hub B</t>
        </is>
      </c>
      <c r="E6572" t="n">
        <v>55</v>
      </c>
      <c r="F6572" t="n">
        <v>47.544</v>
      </c>
    </row>
    <row r="6573">
      <c r="A6573" t="inlineStr">
        <is>
          <t>ORD06572</t>
        </is>
      </c>
      <c r="B6573" t="inlineStr">
        <is>
          <t>C1572</t>
        </is>
      </c>
      <c r="C6573" t="n">
        <v>2</v>
      </c>
      <c r="D6573" t="inlineStr">
        <is>
          <t>Hub B</t>
        </is>
      </c>
      <c r="E6573" t="n">
        <v>62</v>
      </c>
      <c r="F6573" t="n">
        <v>47.544</v>
      </c>
    </row>
    <row r="6574">
      <c r="A6574" t="inlineStr">
        <is>
          <t>ORD06573</t>
        </is>
      </c>
      <c r="B6574" t="inlineStr">
        <is>
          <t>C1573</t>
        </is>
      </c>
      <c r="C6574" t="n">
        <v>3</v>
      </c>
      <c r="D6574" t="inlineStr">
        <is>
          <t>Hub B</t>
        </is>
      </c>
      <c r="E6574" t="n">
        <v>69</v>
      </c>
      <c r="F6574" t="n">
        <v>47.544</v>
      </c>
    </row>
    <row r="6575">
      <c r="A6575" t="inlineStr">
        <is>
          <t>ORD06574</t>
        </is>
      </c>
      <c r="B6575" t="inlineStr">
        <is>
          <t>C1574</t>
        </is>
      </c>
      <c r="C6575" t="n">
        <v>1</v>
      </c>
      <c r="D6575" t="inlineStr">
        <is>
          <t>Hub B</t>
        </is>
      </c>
      <c r="E6575" t="n">
        <v>76</v>
      </c>
      <c r="F6575" t="n">
        <v>47.544</v>
      </c>
    </row>
    <row r="6576">
      <c r="A6576" t="inlineStr">
        <is>
          <t>ORD06575</t>
        </is>
      </c>
      <c r="B6576" t="inlineStr">
        <is>
          <t>C1575</t>
        </is>
      </c>
      <c r="C6576" t="n">
        <v>2</v>
      </c>
      <c r="D6576" t="inlineStr">
        <is>
          <t>Hub B</t>
        </is>
      </c>
      <c r="E6576" t="n">
        <v>23</v>
      </c>
      <c r="F6576" t="n">
        <v>47.544</v>
      </c>
    </row>
    <row r="6577">
      <c r="A6577" t="inlineStr">
        <is>
          <t>ORD06576</t>
        </is>
      </c>
      <c r="B6577" t="inlineStr">
        <is>
          <t>C1576</t>
        </is>
      </c>
      <c r="C6577" t="n">
        <v>3</v>
      </c>
      <c r="D6577" t="inlineStr">
        <is>
          <t>Hub B</t>
        </is>
      </c>
      <c r="E6577" t="n">
        <v>30</v>
      </c>
      <c r="F6577" t="n">
        <v>47.544</v>
      </c>
    </row>
    <row r="6578">
      <c r="A6578" t="inlineStr">
        <is>
          <t>ORD06577</t>
        </is>
      </c>
      <c r="B6578" t="inlineStr">
        <is>
          <t>C1577</t>
        </is>
      </c>
      <c r="C6578" t="n">
        <v>1</v>
      </c>
      <c r="D6578" t="inlineStr">
        <is>
          <t>Hub B</t>
        </is>
      </c>
      <c r="E6578" t="n">
        <v>37</v>
      </c>
      <c r="F6578" t="n">
        <v>47.544</v>
      </c>
    </row>
    <row r="6579">
      <c r="A6579" t="inlineStr">
        <is>
          <t>ORD06578</t>
        </is>
      </c>
      <c r="B6579" t="inlineStr">
        <is>
          <t>C1578</t>
        </is>
      </c>
      <c r="C6579" t="n">
        <v>2</v>
      </c>
      <c r="D6579" t="inlineStr">
        <is>
          <t>Hub B</t>
        </is>
      </c>
      <c r="E6579" t="n">
        <v>44</v>
      </c>
      <c r="F6579" t="n">
        <v>47.544</v>
      </c>
    </row>
    <row r="6580">
      <c r="A6580" t="inlineStr">
        <is>
          <t>ORD06579</t>
        </is>
      </c>
      <c r="B6580" t="inlineStr">
        <is>
          <t>C1579</t>
        </is>
      </c>
      <c r="C6580" t="n">
        <v>3</v>
      </c>
      <c r="D6580" t="inlineStr">
        <is>
          <t>Hub B</t>
        </is>
      </c>
      <c r="E6580" t="n">
        <v>51</v>
      </c>
      <c r="F6580" t="n">
        <v>47.544</v>
      </c>
    </row>
    <row r="6581">
      <c r="A6581" t="inlineStr">
        <is>
          <t>ORD06580</t>
        </is>
      </c>
      <c r="B6581" t="inlineStr">
        <is>
          <t>C1580</t>
        </is>
      </c>
      <c r="C6581" t="n">
        <v>1</v>
      </c>
      <c r="D6581" t="inlineStr">
        <is>
          <t>Hub B</t>
        </is>
      </c>
      <c r="E6581" t="n">
        <v>58</v>
      </c>
      <c r="F6581" t="n">
        <v>47.544</v>
      </c>
    </row>
    <row r="6582">
      <c r="A6582" t="inlineStr">
        <is>
          <t>ORD06581</t>
        </is>
      </c>
      <c r="B6582" t="inlineStr">
        <is>
          <t>C1581</t>
        </is>
      </c>
      <c r="C6582" t="n">
        <v>2</v>
      </c>
      <c r="D6582" t="inlineStr">
        <is>
          <t>Hub B</t>
        </is>
      </c>
      <c r="E6582" t="n">
        <v>65</v>
      </c>
      <c r="F6582" t="n">
        <v>47.544</v>
      </c>
    </row>
    <row r="6583">
      <c r="A6583" t="inlineStr">
        <is>
          <t>ORD06582</t>
        </is>
      </c>
      <c r="B6583" t="inlineStr">
        <is>
          <t>C1582</t>
        </is>
      </c>
      <c r="C6583" t="n">
        <v>3</v>
      </c>
      <c r="D6583" t="inlineStr">
        <is>
          <t>Hub B</t>
        </is>
      </c>
      <c r="E6583" t="n">
        <v>72</v>
      </c>
      <c r="F6583" t="n">
        <v>47.544</v>
      </c>
    </row>
    <row r="6584">
      <c r="A6584" t="inlineStr">
        <is>
          <t>ORD06583</t>
        </is>
      </c>
      <c r="B6584" t="inlineStr">
        <is>
          <t>C1583</t>
        </is>
      </c>
      <c r="C6584" t="n">
        <v>1</v>
      </c>
      <c r="D6584" t="inlineStr">
        <is>
          <t>Hub B</t>
        </is>
      </c>
      <c r="E6584" t="n">
        <v>19</v>
      </c>
      <c r="F6584" t="n">
        <v>47.544</v>
      </c>
    </row>
    <row r="6585">
      <c r="A6585" t="inlineStr">
        <is>
          <t>ORD06584</t>
        </is>
      </c>
      <c r="B6585" t="inlineStr">
        <is>
          <t>C1584</t>
        </is>
      </c>
      <c r="C6585" t="n">
        <v>2</v>
      </c>
      <c r="D6585" t="inlineStr">
        <is>
          <t>Hub B</t>
        </is>
      </c>
      <c r="E6585" t="n">
        <v>26</v>
      </c>
      <c r="F6585" t="n">
        <v>47.544</v>
      </c>
    </row>
    <row r="6586">
      <c r="A6586" t="inlineStr">
        <is>
          <t>ORD06585</t>
        </is>
      </c>
      <c r="B6586" t="inlineStr">
        <is>
          <t>C1585</t>
        </is>
      </c>
      <c r="C6586" t="n">
        <v>3</v>
      </c>
      <c r="D6586" t="inlineStr">
        <is>
          <t>Hub B</t>
        </is>
      </c>
      <c r="E6586" t="n">
        <v>33</v>
      </c>
      <c r="F6586" t="n">
        <v>47.544</v>
      </c>
    </row>
    <row r="6587">
      <c r="A6587" t="inlineStr">
        <is>
          <t>ORD06586</t>
        </is>
      </c>
      <c r="B6587" t="inlineStr">
        <is>
          <t>C1586</t>
        </is>
      </c>
      <c r="C6587" t="n">
        <v>1</v>
      </c>
      <c r="D6587" t="inlineStr">
        <is>
          <t>Hub B</t>
        </is>
      </c>
      <c r="E6587" t="n">
        <v>40</v>
      </c>
      <c r="F6587" t="n">
        <v>47.544</v>
      </c>
    </row>
    <row r="6588">
      <c r="A6588" t="inlineStr">
        <is>
          <t>ORD06587</t>
        </is>
      </c>
      <c r="B6588" t="inlineStr">
        <is>
          <t>C1587</t>
        </is>
      </c>
      <c r="C6588" t="n">
        <v>2</v>
      </c>
      <c r="D6588" t="inlineStr">
        <is>
          <t>Hub B</t>
        </is>
      </c>
      <c r="E6588" t="n">
        <v>47</v>
      </c>
      <c r="F6588" t="n">
        <v>47.544</v>
      </c>
    </row>
    <row r="6589">
      <c r="A6589" t="inlineStr">
        <is>
          <t>ORD06588</t>
        </is>
      </c>
      <c r="B6589" t="inlineStr">
        <is>
          <t>C1588</t>
        </is>
      </c>
      <c r="C6589" t="n">
        <v>3</v>
      </c>
      <c r="D6589" t="inlineStr">
        <is>
          <t>Hub B</t>
        </is>
      </c>
      <c r="E6589" t="n">
        <v>54</v>
      </c>
      <c r="F6589" t="n">
        <v>47.544</v>
      </c>
    </row>
    <row r="6590">
      <c r="A6590" t="inlineStr">
        <is>
          <t>ORD06589</t>
        </is>
      </c>
      <c r="B6590" t="inlineStr">
        <is>
          <t>C1589</t>
        </is>
      </c>
      <c r="C6590" t="n">
        <v>1</v>
      </c>
      <c r="D6590" t="inlineStr">
        <is>
          <t>Hub B</t>
        </is>
      </c>
      <c r="E6590" t="n">
        <v>61</v>
      </c>
      <c r="F6590" t="n">
        <v>47.544</v>
      </c>
    </row>
    <row r="6591">
      <c r="A6591" t="inlineStr">
        <is>
          <t>ORD06590</t>
        </is>
      </c>
      <c r="B6591" t="inlineStr">
        <is>
          <t>C1590</t>
        </is>
      </c>
      <c r="C6591" t="n">
        <v>2</v>
      </c>
      <c r="D6591" t="inlineStr">
        <is>
          <t>Hub B</t>
        </is>
      </c>
      <c r="E6591" t="n">
        <v>68</v>
      </c>
      <c r="F6591" t="n">
        <v>47.544</v>
      </c>
    </row>
    <row r="6592">
      <c r="A6592" t="inlineStr">
        <is>
          <t>ORD06591</t>
        </is>
      </c>
      <c r="B6592" t="inlineStr">
        <is>
          <t>C1591</t>
        </is>
      </c>
      <c r="C6592" t="n">
        <v>3</v>
      </c>
      <c r="D6592" t="inlineStr">
        <is>
          <t>Hub B</t>
        </is>
      </c>
      <c r="E6592" t="n">
        <v>75</v>
      </c>
      <c r="F6592" t="n">
        <v>47.544</v>
      </c>
    </row>
    <row r="6593">
      <c r="A6593" t="inlineStr">
        <is>
          <t>ORD06592</t>
        </is>
      </c>
      <c r="B6593" t="inlineStr">
        <is>
          <t>C1592</t>
        </is>
      </c>
      <c r="C6593" t="n">
        <v>1</v>
      </c>
      <c r="D6593" t="inlineStr">
        <is>
          <t>Hub B</t>
        </is>
      </c>
      <c r="E6593" t="n">
        <v>22</v>
      </c>
      <c r="F6593" t="n">
        <v>47.544</v>
      </c>
    </row>
    <row r="6594">
      <c r="A6594" t="inlineStr">
        <is>
          <t>ORD06593</t>
        </is>
      </c>
      <c r="B6594" t="inlineStr">
        <is>
          <t>C1593</t>
        </is>
      </c>
      <c r="C6594" t="n">
        <v>2</v>
      </c>
      <c r="D6594" t="inlineStr">
        <is>
          <t>Hub B</t>
        </is>
      </c>
      <c r="E6594" t="n">
        <v>29</v>
      </c>
      <c r="F6594" t="n">
        <v>47.544</v>
      </c>
    </row>
    <row r="6595">
      <c r="A6595" t="inlineStr">
        <is>
          <t>ORD06594</t>
        </is>
      </c>
      <c r="B6595" t="inlineStr">
        <is>
          <t>C1594</t>
        </is>
      </c>
      <c r="C6595" t="n">
        <v>3</v>
      </c>
      <c r="D6595" t="inlineStr">
        <is>
          <t>Hub B</t>
        </is>
      </c>
      <c r="E6595" t="n">
        <v>36</v>
      </c>
      <c r="F6595" t="n">
        <v>47.544</v>
      </c>
    </row>
    <row r="6596">
      <c r="A6596" t="inlineStr">
        <is>
          <t>ORD06595</t>
        </is>
      </c>
      <c r="B6596" t="inlineStr">
        <is>
          <t>C1595</t>
        </is>
      </c>
      <c r="C6596" t="n">
        <v>1</v>
      </c>
      <c r="D6596" t="inlineStr">
        <is>
          <t>Hub B</t>
        </is>
      </c>
      <c r="E6596" t="n">
        <v>43</v>
      </c>
      <c r="F6596" t="n">
        <v>47.544</v>
      </c>
    </row>
    <row r="6597">
      <c r="A6597" t="inlineStr">
        <is>
          <t>ORD06596</t>
        </is>
      </c>
      <c r="B6597" t="inlineStr">
        <is>
          <t>C1596</t>
        </is>
      </c>
      <c r="C6597" t="n">
        <v>2</v>
      </c>
      <c r="D6597" t="inlineStr">
        <is>
          <t>Hub B</t>
        </is>
      </c>
      <c r="E6597" t="n">
        <v>50</v>
      </c>
      <c r="F6597" t="n">
        <v>47.544</v>
      </c>
    </row>
    <row r="6598">
      <c r="A6598" t="inlineStr">
        <is>
          <t>ORD06597</t>
        </is>
      </c>
      <c r="B6598" t="inlineStr">
        <is>
          <t>C1597</t>
        </is>
      </c>
      <c r="C6598" t="n">
        <v>3</v>
      </c>
      <c r="D6598" t="inlineStr">
        <is>
          <t>Hub B</t>
        </is>
      </c>
      <c r="E6598" t="n">
        <v>57</v>
      </c>
      <c r="F6598" t="n">
        <v>47.544</v>
      </c>
    </row>
    <row r="6599">
      <c r="A6599" t="inlineStr">
        <is>
          <t>ORD06598</t>
        </is>
      </c>
      <c r="B6599" t="inlineStr">
        <is>
          <t>C1598</t>
        </is>
      </c>
      <c r="C6599" t="n">
        <v>1</v>
      </c>
      <c r="D6599" t="inlineStr">
        <is>
          <t>Hub B</t>
        </is>
      </c>
      <c r="E6599" t="n">
        <v>64</v>
      </c>
      <c r="F6599" t="n">
        <v>47.544</v>
      </c>
    </row>
    <row r="6600">
      <c r="A6600" t="inlineStr">
        <is>
          <t>ORD06599</t>
        </is>
      </c>
      <c r="B6600" t="inlineStr">
        <is>
          <t>C1599</t>
        </is>
      </c>
      <c r="C6600" t="n">
        <v>2</v>
      </c>
      <c r="D6600" t="inlineStr">
        <is>
          <t>Hub B</t>
        </is>
      </c>
      <c r="E6600" t="n">
        <v>71</v>
      </c>
      <c r="F6600" t="n">
        <v>47.544</v>
      </c>
    </row>
    <row r="6601">
      <c r="A6601" t="inlineStr">
        <is>
          <t>ORD06600</t>
        </is>
      </c>
      <c r="B6601" t="inlineStr">
        <is>
          <t>C1600</t>
        </is>
      </c>
      <c r="C6601" t="n">
        <v>3</v>
      </c>
      <c r="D6601" t="inlineStr">
        <is>
          <t>Hub B</t>
        </is>
      </c>
      <c r="E6601" t="n">
        <v>18</v>
      </c>
      <c r="F6601" t="n">
        <v>47.544</v>
      </c>
    </row>
    <row r="6602">
      <c r="A6602" t="inlineStr">
        <is>
          <t>ORD06601</t>
        </is>
      </c>
      <c r="B6602" t="inlineStr">
        <is>
          <t>C1601</t>
        </is>
      </c>
      <c r="C6602" t="n">
        <v>1</v>
      </c>
      <c r="D6602" t="inlineStr">
        <is>
          <t>Hub B</t>
        </is>
      </c>
      <c r="E6602" t="n">
        <v>25</v>
      </c>
      <c r="F6602" t="n">
        <v>47.544</v>
      </c>
    </row>
    <row r="6603">
      <c r="A6603" t="inlineStr">
        <is>
          <t>ORD06602</t>
        </is>
      </c>
      <c r="B6603" t="inlineStr">
        <is>
          <t>C1602</t>
        </is>
      </c>
      <c r="C6603" t="n">
        <v>2</v>
      </c>
      <c r="D6603" t="inlineStr">
        <is>
          <t>Hub B</t>
        </is>
      </c>
      <c r="E6603" t="n">
        <v>32</v>
      </c>
      <c r="F6603" t="n">
        <v>47.544</v>
      </c>
    </row>
    <row r="6604">
      <c r="A6604" t="inlineStr">
        <is>
          <t>ORD06603</t>
        </is>
      </c>
      <c r="B6604" t="inlineStr">
        <is>
          <t>C1603</t>
        </is>
      </c>
      <c r="C6604" t="n">
        <v>3</v>
      </c>
      <c r="D6604" t="inlineStr">
        <is>
          <t>Hub B</t>
        </is>
      </c>
      <c r="E6604" t="n">
        <v>39</v>
      </c>
      <c r="F6604" t="n">
        <v>47.544</v>
      </c>
    </row>
    <row r="6605">
      <c r="A6605" t="inlineStr">
        <is>
          <t>ORD06604</t>
        </is>
      </c>
      <c r="B6605" t="inlineStr">
        <is>
          <t>C1604</t>
        </is>
      </c>
      <c r="C6605" t="n">
        <v>1</v>
      </c>
      <c r="D6605" t="inlineStr">
        <is>
          <t>Hub B</t>
        </is>
      </c>
      <c r="E6605" t="n">
        <v>46</v>
      </c>
      <c r="F6605" t="n">
        <v>47.544</v>
      </c>
    </row>
    <row r="6606">
      <c r="A6606" t="inlineStr">
        <is>
          <t>ORD06605</t>
        </is>
      </c>
      <c r="B6606" t="inlineStr">
        <is>
          <t>C1605</t>
        </is>
      </c>
      <c r="C6606" t="n">
        <v>2</v>
      </c>
      <c r="D6606" t="inlineStr">
        <is>
          <t>Hub B</t>
        </is>
      </c>
      <c r="E6606" t="n">
        <v>53</v>
      </c>
      <c r="F6606" t="n">
        <v>47.544</v>
      </c>
    </row>
    <row r="6607">
      <c r="A6607" t="inlineStr">
        <is>
          <t>ORD06606</t>
        </is>
      </c>
      <c r="B6607" t="inlineStr">
        <is>
          <t>C1606</t>
        </is>
      </c>
      <c r="C6607" t="n">
        <v>3</v>
      </c>
      <c r="D6607" t="inlineStr">
        <is>
          <t>Hub B</t>
        </is>
      </c>
      <c r="E6607" t="n">
        <v>60</v>
      </c>
      <c r="F6607" t="n">
        <v>47.544</v>
      </c>
    </row>
    <row r="6608">
      <c r="A6608" t="inlineStr">
        <is>
          <t>ORD06607</t>
        </is>
      </c>
      <c r="B6608" t="inlineStr">
        <is>
          <t>C1607</t>
        </is>
      </c>
      <c r="C6608" t="n">
        <v>1</v>
      </c>
      <c r="D6608" t="inlineStr">
        <is>
          <t>Hub B</t>
        </is>
      </c>
      <c r="E6608" t="n">
        <v>67</v>
      </c>
      <c r="F6608" t="n">
        <v>47.544</v>
      </c>
    </row>
    <row r="6609">
      <c r="A6609" t="inlineStr">
        <is>
          <t>ORD06608</t>
        </is>
      </c>
      <c r="B6609" t="inlineStr">
        <is>
          <t>C1608</t>
        </is>
      </c>
      <c r="C6609" t="n">
        <v>2</v>
      </c>
      <c r="D6609" t="inlineStr">
        <is>
          <t>Hub B</t>
        </is>
      </c>
      <c r="E6609" t="n">
        <v>74</v>
      </c>
      <c r="F6609" t="n">
        <v>47.544</v>
      </c>
    </row>
    <row r="6610">
      <c r="A6610" t="inlineStr">
        <is>
          <t>ORD06609</t>
        </is>
      </c>
      <c r="B6610" t="inlineStr">
        <is>
          <t>C1609</t>
        </is>
      </c>
      <c r="C6610" t="n">
        <v>3</v>
      </c>
      <c r="D6610" t="inlineStr">
        <is>
          <t>Hub B</t>
        </is>
      </c>
      <c r="E6610" t="n">
        <v>21</v>
      </c>
      <c r="F6610" t="n">
        <v>47.544</v>
      </c>
    </row>
    <row r="6611">
      <c r="A6611" t="inlineStr">
        <is>
          <t>ORD06610</t>
        </is>
      </c>
      <c r="B6611" t="inlineStr">
        <is>
          <t>C1610</t>
        </is>
      </c>
      <c r="C6611" t="n">
        <v>1</v>
      </c>
      <c r="D6611" t="inlineStr">
        <is>
          <t>Hub B</t>
        </is>
      </c>
      <c r="E6611" t="n">
        <v>28</v>
      </c>
      <c r="F6611" t="n">
        <v>47.544</v>
      </c>
    </row>
    <row r="6612">
      <c r="A6612" t="inlineStr">
        <is>
          <t>ORD06611</t>
        </is>
      </c>
      <c r="B6612" t="inlineStr">
        <is>
          <t>C1611</t>
        </is>
      </c>
      <c r="C6612" t="n">
        <v>2</v>
      </c>
      <c r="D6612" t="inlineStr">
        <is>
          <t>Hub B</t>
        </is>
      </c>
      <c r="E6612" t="n">
        <v>35</v>
      </c>
      <c r="F6612" t="n">
        <v>47.544</v>
      </c>
    </row>
    <row r="6613">
      <c r="A6613" t="inlineStr">
        <is>
          <t>ORD06612</t>
        </is>
      </c>
      <c r="B6613" t="inlineStr">
        <is>
          <t>C1612</t>
        </is>
      </c>
      <c r="C6613" t="n">
        <v>3</v>
      </c>
      <c r="D6613" t="inlineStr">
        <is>
          <t>Hub B</t>
        </is>
      </c>
      <c r="E6613" t="n">
        <v>42</v>
      </c>
      <c r="F6613" t="n">
        <v>47.544</v>
      </c>
    </row>
    <row r="6614">
      <c r="A6614" t="inlineStr">
        <is>
          <t>ORD06613</t>
        </is>
      </c>
      <c r="B6614" t="inlineStr">
        <is>
          <t>C1613</t>
        </is>
      </c>
      <c r="C6614" t="n">
        <v>1</v>
      </c>
      <c r="D6614" t="inlineStr">
        <is>
          <t>Hub B</t>
        </is>
      </c>
      <c r="E6614" t="n">
        <v>49</v>
      </c>
      <c r="F6614" t="n">
        <v>47.544</v>
      </c>
    </row>
    <row r="6615">
      <c r="A6615" t="inlineStr">
        <is>
          <t>ORD06614</t>
        </is>
      </c>
      <c r="B6615" t="inlineStr">
        <is>
          <t>C1614</t>
        </is>
      </c>
      <c r="C6615" t="n">
        <v>2</v>
      </c>
      <c r="D6615" t="inlineStr">
        <is>
          <t>Hub B</t>
        </is>
      </c>
      <c r="E6615" t="n">
        <v>56</v>
      </c>
      <c r="F6615" t="n">
        <v>47.544</v>
      </c>
    </row>
    <row r="6616">
      <c r="A6616" t="inlineStr">
        <is>
          <t>ORD06615</t>
        </is>
      </c>
      <c r="B6616" t="inlineStr">
        <is>
          <t>C1615</t>
        </is>
      </c>
      <c r="C6616" t="n">
        <v>3</v>
      </c>
      <c r="D6616" t="inlineStr">
        <is>
          <t>Hub B</t>
        </is>
      </c>
      <c r="E6616" t="n">
        <v>63</v>
      </c>
      <c r="F6616" t="n">
        <v>47.544</v>
      </c>
    </row>
    <row r="6617">
      <c r="A6617" t="inlineStr">
        <is>
          <t>ORD06616</t>
        </is>
      </c>
      <c r="B6617" t="inlineStr">
        <is>
          <t>C1616</t>
        </is>
      </c>
      <c r="C6617" t="n">
        <v>1</v>
      </c>
      <c r="D6617" t="inlineStr">
        <is>
          <t>Hub B</t>
        </is>
      </c>
      <c r="E6617" t="n">
        <v>70</v>
      </c>
      <c r="F6617" t="n">
        <v>47.544</v>
      </c>
    </row>
    <row r="6618">
      <c r="A6618" t="inlineStr">
        <is>
          <t>ORD06617</t>
        </is>
      </c>
      <c r="B6618" t="inlineStr">
        <is>
          <t>C1617</t>
        </is>
      </c>
      <c r="C6618" t="n">
        <v>2</v>
      </c>
      <c r="D6618" t="inlineStr">
        <is>
          <t>Hub B</t>
        </is>
      </c>
      <c r="E6618" t="n">
        <v>77</v>
      </c>
      <c r="F6618" t="n">
        <v>47.544</v>
      </c>
    </row>
    <row r="6619">
      <c r="A6619" t="inlineStr">
        <is>
          <t>ORD06618</t>
        </is>
      </c>
      <c r="B6619" t="inlineStr">
        <is>
          <t>C1618</t>
        </is>
      </c>
      <c r="C6619" t="n">
        <v>3</v>
      </c>
      <c r="D6619" t="inlineStr">
        <is>
          <t>Hub B</t>
        </is>
      </c>
      <c r="E6619" t="n">
        <v>24</v>
      </c>
      <c r="F6619" t="n">
        <v>47.544</v>
      </c>
    </row>
    <row r="6620">
      <c r="A6620" t="inlineStr">
        <is>
          <t>ORD06619</t>
        </is>
      </c>
      <c r="B6620" t="inlineStr">
        <is>
          <t>C1619</t>
        </is>
      </c>
      <c r="C6620" t="n">
        <v>1</v>
      </c>
      <c r="D6620" t="inlineStr">
        <is>
          <t>Hub B</t>
        </is>
      </c>
      <c r="E6620" t="n">
        <v>31</v>
      </c>
      <c r="F6620" t="n">
        <v>47.544</v>
      </c>
    </row>
    <row r="6621">
      <c r="A6621" t="inlineStr">
        <is>
          <t>ORD06620</t>
        </is>
      </c>
      <c r="B6621" t="inlineStr">
        <is>
          <t>C1620</t>
        </is>
      </c>
      <c r="C6621" t="n">
        <v>2</v>
      </c>
      <c r="D6621" t="inlineStr">
        <is>
          <t>Hub B</t>
        </is>
      </c>
      <c r="E6621" t="n">
        <v>38</v>
      </c>
      <c r="F6621" t="n">
        <v>47.544</v>
      </c>
    </row>
    <row r="6622">
      <c r="A6622" t="inlineStr">
        <is>
          <t>ORD06621</t>
        </is>
      </c>
      <c r="B6622" t="inlineStr">
        <is>
          <t>C1621</t>
        </is>
      </c>
      <c r="C6622" t="n">
        <v>3</v>
      </c>
      <c r="D6622" t="inlineStr">
        <is>
          <t>Hub B</t>
        </is>
      </c>
      <c r="E6622" t="n">
        <v>45</v>
      </c>
      <c r="F6622" t="n">
        <v>47.544</v>
      </c>
    </row>
    <row r="6623">
      <c r="A6623" t="inlineStr">
        <is>
          <t>ORD06622</t>
        </is>
      </c>
      <c r="B6623" t="inlineStr">
        <is>
          <t>C1622</t>
        </is>
      </c>
      <c r="C6623" t="n">
        <v>1</v>
      </c>
      <c r="D6623" t="inlineStr">
        <is>
          <t>Hub B</t>
        </is>
      </c>
      <c r="E6623" t="n">
        <v>52</v>
      </c>
      <c r="F6623" t="n">
        <v>47.544</v>
      </c>
    </row>
    <row r="6624">
      <c r="A6624" t="inlineStr">
        <is>
          <t>ORD06623</t>
        </is>
      </c>
      <c r="B6624" t="inlineStr">
        <is>
          <t>C1623</t>
        </is>
      </c>
      <c r="C6624" t="n">
        <v>2</v>
      </c>
      <c r="D6624" t="inlineStr">
        <is>
          <t>Hub B</t>
        </is>
      </c>
      <c r="E6624" t="n">
        <v>59</v>
      </c>
      <c r="F6624" t="n">
        <v>47.544</v>
      </c>
    </row>
    <row r="6625">
      <c r="A6625" t="inlineStr">
        <is>
          <t>ORD06624</t>
        </is>
      </c>
      <c r="B6625" t="inlineStr">
        <is>
          <t>C1624</t>
        </is>
      </c>
      <c r="C6625" t="n">
        <v>3</v>
      </c>
      <c r="D6625" t="inlineStr">
        <is>
          <t>Hub B</t>
        </is>
      </c>
      <c r="E6625" t="n">
        <v>66</v>
      </c>
      <c r="F6625" t="n">
        <v>47.544</v>
      </c>
    </row>
    <row r="6626">
      <c r="A6626" t="inlineStr">
        <is>
          <t>ORD06625</t>
        </is>
      </c>
      <c r="B6626" t="inlineStr">
        <is>
          <t>C1625</t>
        </is>
      </c>
      <c r="C6626" t="n">
        <v>1</v>
      </c>
      <c r="D6626" t="inlineStr">
        <is>
          <t>Hub B</t>
        </is>
      </c>
      <c r="E6626" t="n">
        <v>73</v>
      </c>
      <c r="F6626" t="n">
        <v>47.544</v>
      </c>
    </row>
    <row r="6627">
      <c r="A6627" t="inlineStr">
        <is>
          <t>ORD06626</t>
        </is>
      </c>
      <c r="B6627" t="inlineStr">
        <is>
          <t>C1626</t>
        </is>
      </c>
      <c r="C6627" t="n">
        <v>2</v>
      </c>
      <c r="D6627" t="inlineStr">
        <is>
          <t>Hub B</t>
        </is>
      </c>
      <c r="E6627" t="n">
        <v>20</v>
      </c>
      <c r="F6627" t="n">
        <v>47.544</v>
      </c>
    </row>
    <row r="6628">
      <c r="A6628" t="inlineStr">
        <is>
          <t>ORD06627</t>
        </is>
      </c>
      <c r="B6628" t="inlineStr">
        <is>
          <t>C1627</t>
        </is>
      </c>
      <c r="C6628" t="n">
        <v>3</v>
      </c>
      <c r="D6628" t="inlineStr">
        <is>
          <t>Hub B</t>
        </is>
      </c>
      <c r="E6628" t="n">
        <v>27</v>
      </c>
      <c r="F6628" t="n">
        <v>47.544</v>
      </c>
    </row>
    <row r="6629">
      <c r="A6629" t="inlineStr">
        <is>
          <t>ORD06628</t>
        </is>
      </c>
      <c r="B6629" t="inlineStr">
        <is>
          <t>C1628</t>
        </is>
      </c>
      <c r="C6629" t="n">
        <v>1</v>
      </c>
      <c r="D6629" t="inlineStr">
        <is>
          <t>Hub B</t>
        </is>
      </c>
      <c r="E6629" t="n">
        <v>34</v>
      </c>
      <c r="F6629" t="n">
        <v>47.544</v>
      </c>
    </row>
    <row r="6630">
      <c r="A6630" t="inlineStr">
        <is>
          <t>ORD06629</t>
        </is>
      </c>
      <c r="B6630" t="inlineStr">
        <is>
          <t>C1629</t>
        </is>
      </c>
      <c r="C6630" t="n">
        <v>2</v>
      </c>
      <c r="D6630" t="inlineStr">
        <is>
          <t>Hub B</t>
        </is>
      </c>
      <c r="E6630" t="n">
        <v>41</v>
      </c>
      <c r="F6630" t="n">
        <v>47.544</v>
      </c>
    </row>
    <row r="6631">
      <c r="A6631" t="inlineStr">
        <is>
          <t>ORD06630</t>
        </is>
      </c>
      <c r="B6631" t="inlineStr">
        <is>
          <t>C1630</t>
        </is>
      </c>
      <c r="C6631" t="n">
        <v>3</v>
      </c>
      <c r="D6631" t="inlineStr">
        <is>
          <t>Hub B</t>
        </is>
      </c>
      <c r="E6631" t="n">
        <v>48</v>
      </c>
      <c r="F6631" t="n">
        <v>47.544</v>
      </c>
    </row>
    <row r="6632">
      <c r="A6632" t="inlineStr">
        <is>
          <t>ORD06631</t>
        </is>
      </c>
      <c r="B6632" t="inlineStr">
        <is>
          <t>C1631</t>
        </is>
      </c>
      <c r="C6632" t="n">
        <v>1</v>
      </c>
      <c r="D6632" t="inlineStr">
        <is>
          <t>Hub B</t>
        </is>
      </c>
      <c r="E6632" t="n">
        <v>55</v>
      </c>
      <c r="F6632" t="n">
        <v>47.544</v>
      </c>
    </row>
    <row r="6633">
      <c r="A6633" t="inlineStr">
        <is>
          <t>ORD06632</t>
        </is>
      </c>
      <c r="B6633" t="inlineStr">
        <is>
          <t>C1632</t>
        </is>
      </c>
      <c r="C6633" t="n">
        <v>2</v>
      </c>
      <c r="D6633" t="inlineStr">
        <is>
          <t>Hub B</t>
        </is>
      </c>
      <c r="E6633" t="n">
        <v>62</v>
      </c>
      <c r="F6633" t="n">
        <v>47.544</v>
      </c>
    </row>
    <row r="6634">
      <c r="A6634" t="inlineStr">
        <is>
          <t>ORD06633</t>
        </is>
      </c>
      <c r="B6634" t="inlineStr">
        <is>
          <t>C1633</t>
        </is>
      </c>
      <c r="C6634" t="n">
        <v>3</v>
      </c>
      <c r="D6634" t="inlineStr">
        <is>
          <t>Hub B</t>
        </is>
      </c>
      <c r="E6634" t="n">
        <v>69</v>
      </c>
      <c r="F6634" t="n">
        <v>47.544</v>
      </c>
    </row>
    <row r="6635">
      <c r="A6635" t="inlineStr">
        <is>
          <t>ORD06634</t>
        </is>
      </c>
      <c r="B6635" t="inlineStr">
        <is>
          <t>C1634</t>
        </is>
      </c>
      <c r="C6635" t="n">
        <v>1</v>
      </c>
      <c r="D6635" t="inlineStr">
        <is>
          <t>Hub B</t>
        </is>
      </c>
      <c r="E6635" t="n">
        <v>76</v>
      </c>
      <c r="F6635" t="n">
        <v>47.544</v>
      </c>
    </row>
    <row r="6636">
      <c r="A6636" t="inlineStr">
        <is>
          <t>ORD06635</t>
        </is>
      </c>
      <c r="B6636" t="inlineStr">
        <is>
          <t>C1635</t>
        </is>
      </c>
      <c r="C6636" t="n">
        <v>2</v>
      </c>
      <c r="D6636" t="inlineStr">
        <is>
          <t>Hub B</t>
        </is>
      </c>
      <c r="E6636" t="n">
        <v>23</v>
      </c>
      <c r="F6636" t="n">
        <v>47.544</v>
      </c>
    </row>
    <row r="6637">
      <c r="A6637" t="inlineStr">
        <is>
          <t>ORD06636</t>
        </is>
      </c>
      <c r="B6637" t="inlineStr">
        <is>
          <t>C1636</t>
        </is>
      </c>
      <c r="C6637" t="n">
        <v>3</v>
      </c>
      <c r="D6637" t="inlineStr">
        <is>
          <t>Hub B</t>
        </is>
      </c>
      <c r="E6637" t="n">
        <v>30</v>
      </c>
      <c r="F6637" t="n">
        <v>47.544</v>
      </c>
    </row>
    <row r="6638">
      <c r="A6638" t="inlineStr">
        <is>
          <t>ORD06637</t>
        </is>
      </c>
      <c r="B6638" t="inlineStr">
        <is>
          <t>C1637</t>
        </is>
      </c>
      <c r="C6638" t="n">
        <v>1</v>
      </c>
      <c r="D6638" t="inlineStr">
        <is>
          <t>Hub B</t>
        </is>
      </c>
      <c r="E6638" t="n">
        <v>37</v>
      </c>
      <c r="F6638" t="n">
        <v>47.544</v>
      </c>
    </row>
    <row r="6639">
      <c r="A6639" t="inlineStr">
        <is>
          <t>ORD06638</t>
        </is>
      </c>
      <c r="B6639" t="inlineStr">
        <is>
          <t>C1638</t>
        </is>
      </c>
      <c r="C6639" t="n">
        <v>2</v>
      </c>
      <c r="D6639" t="inlineStr">
        <is>
          <t>Hub B</t>
        </is>
      </c>
      <c r="E6639" t="n">
        <v>44</v>
      </c>
      <c r="F6639" t="n">
        <v>47.792</v>
      </c>
    </row>
    <row r="6640">
      <c r="A6640" t="inlineStr">
        <is>
          <t>ORD06639</t>
        </is>
      </c>
      <c r="B6640" t="inlineStr">
        <is>
          <t>C1639</t>
        </is>
      </c>
      <c r="C6640" t="n">
        <v>3</v>
      </c>
      <c r="D6640" t="inlineStr">
        <is>
          <t>Hub C</t>
        </is>
      </c>
      <c r="E6640" t="n">
        <v>51</v>
      </c>
      <c r="F6640" t="n">
        <v>13</v>
      </c>
    </row>
    <row r="6641">
      <c r="A6641" t="inlineStr">
        <is>
          <t>ORD06640</t>
        </is>
      </c>
      <c r="B6641" t="inlineStr">
        <is>
          <t>C1640</t>
        </is>
      </c>
      <c r="C6641" t="n">
        <v>1</v>
      </c>
      <c r="D6641" t="inlineStr">
        <is>
          <t>Hub C</t>
        </is>
      </c>
      <c r="E6641" t="n">
        <v>58</v>
      </c>
      <c r="F6641" t="n">
        <v>13</v>
      </c>
    </row>
    <row r="6642">
      <c r="A6642" t="inlineStr">
        <is>
          <t>ORD06641</t>
        </is>
      </c>
      <c r="B6642" t="inlineStr">
        <is>
          <t>C1641</t>
        </is>
      </c>
      <c r="C6642" t="n">
        <v>2</v>
      </c>
      <c r="D6642" t="inlineStr">
        <is>
          <t>Hub C</t>
        </is>
      </c>
      <c r="E6642" t="n">
        <v>65</v>
      </c>
      <c r="F6642" t="n">
        <v>13</v>
      </c>
    </row>
    <row r="6643">
      <c r="A6643" t="inlineStr">
        <is>
          <t>ORD06642</t>
        </is>
      </c>
      <c r="B6643" t="inlineStr">
        <is>
          <t>C1642</t>
        </is>
      </c>
      <c r="C6643" t="n">
        <v>3</v>
      </c>
      <c r="D6643" t="inlineStr">
        <is>
          <t>Hub C</t>
        </is>
      </c>
      <c r="E6643" t="n">
        <v>72</v>
      </c>
      <c r="F6643" t="n">
        <v>13</v>
      </c>
    </row>
    <row r="6644">
      <c r="A6644" t="inlineStr">
        <is>
          <t>ORD06643</t>
        </is>
      </c>
      <c r="B6644" t="inlineStr">
        <is>
          <t>C1643</t>
        </is>
      </c>
      <c r="C6644" t="n">
        <v>1</v>
      </c>
      <c r="D6644" t="inlineStr">
        <is>
          <t>Hub C</t>
        </is>
      </c>
      <c r="E6644" t="n">
        <v>19</v>
      </c>
      <c r="F6644" t="n">
        <v>13</v>
      </c>
    </row>
    <row r="6645">
      <c r="A6645" t="inlineStr">
        <is>
          <t>ORD06644</t>
        </is>
      </c>
      <c r="B6645" t="inlineStr">
        <is>
          <t>C1644</t>
        </is>
      </c>
      <c r="C6645" t="n">
        <v>2</v>
      </c>
      <c r="D6645" t="inlineStr">
        <is>
          <t>Hub C</t>
        </is>
      </c>
      <c r="E6645" t="n">
        <v>26</v>
      </c>
      <c r="F6645" t="n">
        <v>13</v>
      </c>
    </row>
    <row r="6646">
      <c r="A6646" t="inlineStr">
        <is>
          <t>ORD06645</t>
        </is>
      </c>
      <c r="B6646" t="inlineStr">
        <is>
          <t>C1645</t>
        </is>
      </c>
      <c r="C6646" t="n">
        <v>3</v>
      </c>
      <c r="D6646" t="inlineStr">
        <is>
          <t>Hub C</t>
        </is>
      </c>
      <c r="E6646" t="n">
        <v>33</v>
      </c>
      <c r="F6646" t="n">
        <v>13</v>
      </c>
    </row>
    <row r="6647">
      <c r="A6647" t="inlineStr">
        <is>
          <t>ORD06646</t>
        </is>
      </c>
      <c r="B6647" t="inlineStr">
        <is>
          <t>C1646</t>
        </is>
      </c>
      <c r="C6647" t="n">
        <v>1</v>
      </c>
      <c r="D6647" t="inlineStr">
        <is>
          <t>Hub C</t>
        </is>
      </c>
      <c r="E6647" t="n">
        <v>40</v>
      </c>
      <c r="F6647" t="n">
        <v>13</v>
      </c>
    </row>
    <row r="6648">
      <c r="A6648" t="inlineStr">
        <is>
          <t>ORD06647</t>
        </is>
      </c>
      <c r="B6648" t="inlineStr">
        <is>
          <t>C1647</t>
        </is>
      </c>
      <c r="C6648" t="n">
        <v>2</v>
      </c>
      <c r="D6648" t="inlineStr">
        <is>
          <t>Hub C</t>
        </is>
      </c>
      <c r="E6648" t="n">
        <v>47</v>
      </c>
      <c r="F6648" t="n">
        <v>13</v>
      </c>
    </row>
    <row r="6649">
      <c r="A6649" t="inlineStr">
        <is>
          <t>ORD06648</t>
        </is>
      </c>
      <c r="B6649" t="inlineStr">
        <is>
          <t>C1648</t>
        </is>
      </c>
      <c r="C6649" t="n">
        <v>3</v>
      </c>
      <c r="D6649" t="inlineStr">
        <is>
          <t>Hub C</t>
        </is>
      </c>
      <c r="E6649" t="n">
        <v>54</v>
      </c>
      <c r="F6649" t="n">
        <v>13</v>
      </c>
    </row>
    <row r="6650">
      <c r="A6650" t="inlineStr">
        <is>
          <t>ORD06649</t>
        </is>
      </c>
      <c r="B6650" t="inlineStr">
        <is>
          <t>C1649</t>
        </is>
      </c>
      <c r="C6650" t="n">
        <v>1</v>
      </c>
      <c r="D6650" t="inlineStr">
        <is>
          <t>Hub C</t>
        </is>
      </c>
      <c r="E6650" t="n">
        <v>61</v>
      </c>
      <c r="F6650" t="n">
        <v>13</v>
      </c>
    </row>
    <row r="6651">
      <c r="A6651" t="inlineStr">
        <is>
          <t>ORD06650</t>
        </is>
      </c>
      <c r="B6651" t="inlineStr">
        <is>
          <t>C1650</t>
        </is>
      </c>
      <c r="C6651" t="n">
        <v>2</v>
      </c>
      <c r="D6651" t="inlineStr">
        <is>
          <t>Hub C</t>
        </is>
      </c>
      <c r="E6651" t="n">
        <v>68</v>
      </c>
      <c r="F6651" t="n">
        <v>13</v>
      </c>
    </row>
    <row r="6652">
      <c r="A6652" t="inlineStr">
        <is>
          <t>ORD06651</t>
        </is>
      </c>
      <c r="B6652" t="inlineStr">
        <is>
          <t>C1651</t>
        </is>
      </c>
      <c r="C6652" t="n">
        <v>3</v>
      </c>
      <c r="D6652" t="inlineStr">
        <is>
          <t>Hub C</t>
        </is>
      </c>
      <c r="E6652" t="n">
        <v>75</v>
      </c>
      <c r="F6652" t="n">
        <v>13</v>
      </c>
    </row>
    <row r="6653">
      <c r="A6653" t="inlineStr">
        <is>
          <t>ORD06652</t>
        </is>
      </c>
      <c r="B6653" t="inlineStr">
        <is>
          <t>C1652</t>
        </is>
      </c>
      <c r="C6653" t="n">
        <v>1</v>
      </c>
      <c r="D6653" t="inlineStr">
        <is>
          <t>Hub C</t>
        </is>
      </c>
      <c r="E6653" t="n">
        <v>22</v>
      </c>
      <c r="F6653" t="n">
        <v>13</v>
      </c>
    </row>
    <row r="6654">
      <c r="A6654" t="inlineStr">
        <is>
          <t>ORD06653</t>
        </is>
      </c>
      <c r="B6654" t="inlineStr">
        <is>
          <t>C1653</t>
        </is>
      </c>
      <c r="C6654" t="n">
        <v>2</v>
      </c>
      <c r="D6654" t="inlineStr">
        <is>
          <t>Hub C</t>
        </is>
      </c>
      <c r="E6654" t="n">
        <v>29</v>
      </c>
      <c r="F6654" t="n">
        <v>13</v>
      </c>
    </row>
    <row r="6655">
      <c r="A6655" t="inlineStr">
        <is>
          <t>ORD06654</t>
        </is>
      </c>
      <c r="B6655" t="inlineStr">
        <is>
          <t>C1654</t>
        </is>
      </c>
      <c r="C6655" t="n">
        <v>3</v>
      </c>
      <c r="D6655" t="inlineStr">
        <is>
          <t>Hub C</t>
        </is>
      </c>
      <c r="E6655" t="n">
        <v>36</v>
      </c>
      <c r="F6655" t="n">
        <v>13</v>
      </c>
    </row>
    <row r="6656">
      <c r="A6656" t="inlineStr">
        <is>
          <t>ORD06655</t>
        </is>
      </c>
      <c r="B6656" t="inlineStr">
        <is>
          <t>C1655</t>
        </is>
      </c>
      <c r="C6656" t="n">
        <v>1</v>
      </c>
      <c r="D6656" t="inlineStr">
        <is>
          <t>Hub C</t>
        </is>
      </c>
      <c r="E6656" t="n">
        <v>43</v>
      </c>
      <c r="F6656" t="n">
        <v>13</v>
      </c>
    </row>
    <row r="6657">
      <c r="A6657" t="inlineStr">
        <is>
          <t>ORD06656</t>
        </is>
      </c>
      <c r="B6657" t="inlineStr">
        <is>
          <t>C1656</t>
        </is>
      </c>
      <c r="C6657" t="n">
        <v>2</v>
      </c>
      <c r="D6657" t="inlineStr">
        <is>
          <t>Hub C</t>
        </is>
      </c>
      <c r="E6657" t="n">
        <v>50</v>
      </c>
      <c r="F6657" t="n">
        <v>13</v>
      </c>
    </row>
    <row r="6658">
      <c r="A6658" t="inlineStr">
        <is>
          <t>ORD06657</t>
        </is>
      </c>
      <c r="B6658" t="inlineStr">
        <is>
          <t>C1657</t>
        </is>
      </c>
      <c r="C6658" t="n">
        <v>3</v>
      </c>
      <c r="D6658" t="inlineStr">
        <is>
          <t>Hub C</t>
        </is>
      </c>
      <c r="E6658" t="n">
        <v>57</v>
      </c>
      <c r="F6658" t="n">
        <v>13</v>
      </c>
    </row>
    <row r="6659">
      <c r="A6659" t="inlineStr">
        <is>
          <t>ORD06658</t>
        </is>
      </c>
      <c r="B6659" t="inlineStr">
        <is>
          <t>C1658</t>
        </is>
      </c>
      <c r="C6659" t="n">
        <v>1</v>
      </c>
      <c r="D6659" t="inlineStr">
        <is>
          <t>Hub C</t>
        </is>
      </c>
      <c r="E6659" t="n">
        <v>64</v>
      </c>
      <c r="F6659" t="n">
        <v>13</v>
      </c>
    </row>
    <row r="6660">
      <c r="A6660" t="inlineStr">
        <is>
          <t>ORD06659</t>
        </is>
      </c>
      <c r="B6660" t="inlineStr">
        <is>
          <t>C1659</t>
        </is>
      </c>
      <c r="C6660" t="n">
        <v>2</v>
      </c>
      <c r="D6660" t="inlineStr">
        <is>
          <t>Hub C</t>
        </is>
      </c>
      <c r="E6660" t="n">
        <v>71</v>
      </c>
      <c r="F6660" t="n">
        <v>13</v>
      </c>
    </row>
    <row r="6661">
      <c r="A6661" t="inlineStr">
        <is>
          <t>ORD06660</t>
        </is>
      </c>
      <c r="B6661" t="inlineStr">
        <is>
          <t>C1660</t>
        </is>
      </c>
      <c r="C6661" t="n">
        <v>3</v>
      </c>
      <c r="D6661" t="inlineStr">
        <is>
          <t>Hub C</t>
        </is>
      </c>
      <c r="E6661" t="n">
        <v>18</v>
      </c>
      <c r="F6661" t="n">
        <v>13</v>
      </c>
    </row>
    <row r="6662">
      <c r="A6662" t="inlineStr">
        <is>
          <t>ORD06661</t>
        </is>
      </c>
      <c r="B6662" t="inlineStr">
        <is>
          <t>C1661</t>
        </is>
      </c>
      <c r="C6662" t="n">
        <v>1</v>
      </c>
      <c r="D6662" t="inlineStr">
        <is>
          <t>Hub C</t>
        </is>
      </c>
      <c r="E6662" t="n">
        <v>25</v>
      </c>
      <c r="F6662" t="n">
        <v>13</v>
      </c>
    </row>
    <row r="6663">
      <c r="A6663" t="inlineStr">
        <is>
          <t>ORD06662</t>
        </is>
      </c>
      <c r="B6663" t="inlineStr">
        <is>
          <t>C1662</t>
        </is>
      </c>
      <c r="C6663" t="n">
        <v>2</v>
      </c>
      <c r="D6663" t="inlineStr">
        <is>
          <t>Hub C</t>
        </is>
      </c>
      <c r="E6663" t="n">
        <v>32</v>
      </c>
      <c r="F6663" t="n">
        <v>13</v>
      </c>
    </row>
    <row r="6664">
      <c r="A6664" t="inlineStr">
        <is>
          <t>ORD06663</t>
        </is>
      </c>
      <c r="B6664" t="inlineStr">
        <is>
          <t>C1663</t>
        </is>
      </c>
      <c r="C6664" t="n">
        <v>3</v>
      </c>
      <c r="D6664" t="inlineStr">
        <is>
          <t>Hub C</t>
        </is>
      </c>
      <c r="E6664" t="n">
        <v>39</v>
      </c>
      <c r="F6664" t="n">
        <v>13</v>
      </c>
    </row>
    <row r="6665">
      <c r="A6665" t="inlineStr">
        <is>
          <t>ORD06664</t>
        </is>
      </c>
      <c r="B6665" t="inlineStr">
        <is>
          <t>C1664</t>
        </is>
      </c>
      <c r="C6665" t="n">
        <v>1</v>
      </c>
      <c r="D6665" t="inlineStr">
        <is>
          <t>Hub C</t>
        </is>
      </c>
      <c r="E6665" t="n">
        <v>46</v>
      </c>
      <c r="F6665" t="n">
        <v>13</v>
      </c>
    </row>
    <row r="6666">
      <c r="A6666" t="inlineStr">
        <is>
          <t>ORD06665</t>
        </is>
      </c>
      <c r="B6666" t="inlineStr">
        <is>
          <t>C1665</t>
        </is>
      </c>
      <c r="C6666" t="n">
        <v>2</v>
      </c>
      <c r="D6666" t="inlineStr">
        <is>
          <t>Hub C</t>
        </is>
      </c>
      <c r="E6666" t="n">
        <v>53</v>
      </c>
      <c r="F6666" t="n">
        <v>13</v>
      </c>
    </row>
    <row r="6667">
      <c r="A6667" t="inlineStr">
        <is>
          <t>ORD06666</t>
        </is>
      </c>
      <c r="B6667" t="inlineStr">
        <is>
          <t>C1666</t>
        </is>
      </c>
      <c r="C6667" t="n">
        <v>3</v>
      </c>
      <c r="D6667" t="inlineStr">
        <is>
          <t>Hub C</t>
        </is>
      </c>
      <c r="E6667" t="n">
        <v>60</v>
      </c>
      <c r="F6667" t="n">
        <v>13</v>
      </c>
    </row>
    <row r="6668">
      <c r="A6668" t="inlineStr">
        <is>
          <t>ORD06667</t>
        </is>
      </c>
      <c r="B6668" t="inlineStr">
        <is>
          <t>C1667</t>
        </is>
      </c>
      <c r="C6668" t="n">
        <v>1</v>
      </c>
      <c r="D6668" t="inlineStr">
        <is>
          <t>Hub C</t>
        </is>
      </c>
      <c r="E6668" t="n">
        <v>67</v>
      </c>
      <c r="F6668" t="n">
        <v>13</v>
      </c>
    </row>
    <row r="6669">
      <c r="A6669" t="inlineStr">
        <is>
          <t>ORD06668</t>
        </is>
      </c>
      <c r="B6669" t="inlineStr">
        <is>
          <t>C1668</t>
        </is>
      </c>
      <c r="C6669" t="n">
        <v>2</v>
      </c>
      <c r="D6669" t="inlineStr">
        <is>
          <t>Hub C</t>
        </is>
      </c>
      <c r="E6669" t="n">
        <v>74</v>
      </c>
      <c r="F6669" t="n">
        <v>13</v>
      </c>
    </row>
    <row r="6670">
      <c r="A6670" t="inlineStr">
        <is>
          <t>ORD06669</t>
        </is>
      </c>
      <c r="B6670" t="inlineStr">
        <is>
          <t>C1669</t>
        </is>
      </c>
      <c r="C6670" t="n">
        <v>3</v>
      </c>
      <c r="D6670" t="inlineStr">
        <is>
          <t>Hub C</t>
        </is>
      </c>
      <c r="E6670" t="n">
        <v>21</v>
      </c>
      <c r="F6670" t="n">
        <v>13</v>
      </c>
    </row>
    <row r="6671">
      <c r="A6671" t="inlineStr">
        <is>
          <t>ORD06670</t>
        </is>
      </c>
      <c r="B6671" t="inlineStr">
        <is>
          <t>C1670</t>
        </is>
      </c>
      <c r="C6671" t="n">
        <v>1</v>
      </c>
      <c r="D6671" t="inlineStr">
        <is>
          <t>Hub C</t>
        </is>
      </c>
      <c r="E6671" t="n">
        <v>28</v>
      </c>
      <c r="F6671" t="n">
        <v>13</v>
      </c>
    </row>
    <row r="6672">
      <c r="A6672" t="inlineStr">
        <is>
          <t>ORD06671</t>
        </is>
      </c>
      <c r="B6672" t="inlineStr">
        <is>
          <t>C1671</t>
        </is>
      </c>
      <c r="C6672" t="n">
        <v>2</v>
      </c>
      <c r="D6672" t="inlineStr">
        <is>
          <t>Hub C</t>
        </is>
      </c>
      <c r="E6672" t="n">
        <v>35</v>
      </c>
      <c r="F6672" t="n">
        <v>13</v>
      </c>
    </row>
    <row r="6673">
      <c r="A6673" t="inlineStr">
        <is>
          <t>ORD06672</t>
        </is>
      </c>
      <c r="B6673" t="inlineStr">
        <is>
          <t>C1672</t>
        </is>
      </c>
      <c r="C6673" t="n">
        <v>3</v>
      </c>
      <c r="D6673" t="inlineStr">
        <is>
          <t>Hub C</t>
        </is>
      </c>
      <c r="E6673" t="n">
        <v>42</v>
      </c>
      <c r="F6673" t="n">
        <v>13</v>
      </c>
    </row>
    <row r="6674">
      <c r="A6674" t="inlineStr">
        <is>
          <t>ORD06673</t>
        </is>
      </c>
      <c r="B6674" t="inlineStr">
        <is>
          <t>C1673</t>
        </is>
      </c>
      <c r="C6674" t="n">
        <v>1</v>
      </c>
      <c r="D6674" t="inlineStr">
        <is>
          <t>Hub C</t>
        </is>
      </c>
      <c r="E6674" t="n">
        <v>49</v>
      </c>
      <c r="F6674" t="n">
        <v>13</v>
      </c>
    </row>
    <row r="6675">
      <c r="A6675" t="inlineStr">
        <is>
          <t>ORD06674</t>
        </is>
      </c>
      <c r="B6675" t="inlineStr">
        <is>
          <t>C1674</t>
        </is>
      </c>
      <c r="C6675" t="n">
        <v>2</v>
      </c>
      <c r="D6675" t="inlineStr">
        <is>
          <t>Hub C</t>
        </is>
      </c>
      <c r="E6675" t="n">
        <v>56</v>
      </c>
      <c r="F6675" t="n">
        <v>13</v>
      </c>
    </row>
    <row r="6676">
      <c r="A6676" t="inlineStr">
        <is>
          <t>ORD06675</t>
        </is>
      </c>
      <c r="B6676" t="inlineStr">
        <is>
          <t>C1675</t>
        </is>
      </c>
      <c r="C6676" t="n">
        <v>3</v>
      </c>
      <c r="D6676" t="inlineStr">
        <is>
          <t>Hub C</t>
        </is>
      </c>
      <c r="E6676" t="n">
        <v>63</v>
      </c>
      <c r="F6676" t="n">
        <v>13</v>
      </c>
    </row>
    <row r="6677">
      <c r="A6677" t="inlineStr">
        <is>
          <t>ORD06676</t>
        </is>
      </c>
      <c r="B6677" t="inlineStr">
        <is>
          <t>C1676</t>
        </is>
      </c>
      <c r="C6677" t="n">
        <v>1</v>
      </c>
      <c r="D6677" t="inlineStr">
        <is>
          <t>Hub C</t>
        </is>
      </c>
      <c r="E6677" t="n">
        <v>70</v>
      </c>
      <c r="F6677" t="n">
        <v>13</v>
      </c>
    </row>
    <row r="6678">
      <c r="A6678" t="inlineStr">
        <is>
          <t>ORD06677</t>
        </is>
      </c>
      <c r="B6678" t="inlineStr">
        <is>
          <t>C1677</t>
        </is>
      </c>
      <c r="C6678" t="n">
        <v>2</v>
      </c>
      <c r="D6678" t="inlineStr">
        <is>
          <t>Hub C</t>
        </is>
      </c>
      <c r="E6678" t="n">
        <v>77</v>
      </c>
      <c r="F6678" t="n">
        <v>13</v>
      </c>
    </row>
    <row r="6679">
      <c r="A6679" t="inlineStr">
        <is>
          <t>ORD06678</t>
        </is>
      </c>
      <c r="B6679" t="inlineStr">
        <is>
          <t>C1678</t>
        </is>
      </c>
      <c r="C6679" t="n">
        <v>3</v>
      </c>
      <c r="D6679" t="inlineStr">
        <is>
          <t>Hub C</t>
        </is>
      </c>
      <c r="E6679" t="n">
        <v>24</v>
      </c>
      <c r="F6679" t="n">
        <v>13</v>
      </c>
    </row>
    <row r="6680">
      <c r="A6680" t="inlineStr">
        <is>
          <t>ORD06679</t>
        </is>
      </c>
      <c r="B6680" t="inlineStr">
        <is>
          <t>C1679</t>
        </is>
      </c>
      <c r="C6680" t="n">
        <v>1</v>
      </c>
      <c r="D6680" t="inlineStr">
        <is>
          <t>Hub C</t>
        </is>
      </c>
      <c r="E6680" t="n">
        <v>31</v>
      </c>
      <c r="F6680" t="n">
        <v>13</v>
      </c>
    </row>
    <row r="6681">
      <c r="A6681" t="inlineStr">
        <is>
          <t>ORD06680</t>
        </is>
      </c>
      <c r="B6681" t="inlineStr">
        <is>
          <t>C1680</t>
        </is>
      </c>
      <c r="C6681" t="n">
        <v>2</v>
      </c>
      <c r="D6681" t="inlineStr">
        <is>
          <t>Hub C</t>
        </is>
      </c>
      <c r="E6681" t="n">
        <v>38</v>
      </c>
      <c r="F6681" t="n">
        <v>13</v>
      </c>
    </row>
    <row r="6682">
      <c r="A6682" t="inlineStr">
        <is>
          <t>ORD06681</t>
        </is>
      </c>
      <c r="B6682" t="inlineStr">
        <is>
          <t>C1681</t>
        </is>
      </c>
      <c r="C6682" t="n">
        <v>3</v>
      </c>
      <c r="D6682" t="inlineStr">
        <is>
          <t>Hub C</t>
        </is>
      </c>
      <c r="E6682" t="n">
        <v>45</v>
      </c>
      <c r="F6682" t="n">
        <v>13</v>
      </c>
    </row>
    <row r="6683">
      <c r="A6683" t="inlineStr">
        <is>
          <t>ORD06682</t>
        </is>
      </c>
      <c r="B6683" t="inlineStr">
        <is>
          <t>C1682</t>
        </is>
      </c>
      <c r="C6683" t="n">
        <v>1</v>
      </c>
      <c r="D6683" t="inlineStr">
        <is>
          <t>Hub C</t>
        </is>
      </c>
      <c r="E6683" t="n">
        <v>52</v>
      </c>
      <c r="F6683" t="n">
        <v>13</v>
      </c>
    </row>
    <row r="6684">
      <c r="A6684" t="inlineStr">
        <is>
          <t>ORD06683</t>
        </is>
      </c>
      <c r="B6684" t="inlineStr">
        <is>
          <t>C1683</t>
        </is>
      </c>
      <c r="C6684" t="n">
        <v>2</v>
      </c>
      <c r="D6684" t="inlineStr">
        <is>
          <t>Hub C</t>
        </is>
      </c>
      <c r="E6684" t="n">
        <v>59</v>
      </c>
      <c r="F6684" t="n">
        <v>13</v>
      </c>
    </row>
    <row r="6685">
      <c r="A6685" t="inlineStr">
        <is>
          <t>ORD06684</t>
        </is>
      </c>
      <c r="B6685" t="inlineStr">
        <is>
          <t>C1684</t>
        </is>
      </c>
      <c r="C6685" t="n">
        <v>3</v>
      </c>
      <c r="D6685" t="inlineStr">
        <is>
          <t>Hub C</t>
        </is>
      </c>
      <c r="E6685" t="n">
        <v>66</v>
      </c>
      <c r="F6685" t="n">
        <v>13</v>
      </c>
    </row>
    <row r="6686">
      <c r="A6686" t="inlineStr">
        <is>
          <t>ORD06685</t>
        </is>
      </c>
      <c r="B6686" t="inlineStr">
        <is>
          <t>C1685</t>
        </is>
      </c>
      <c r="C6686" t="n">
        <v>1</v>
      </c>
      <c r="D6686" t="inlineStr">
        <is>
          <t>Hub C</t>
        </is>
      </c>
      <c r="E6686" t="n">
        <v>73</v>
      </c>
      <c r="F6686" t="n">
        <v>13</v>
      </c>
    </row>
    <row r="6687">
      <c r="A6687" t="inlineStr">
        <is>
          <t>ORD06686</t>
        </is>
      </c>
      <c r="B6687" t="inlineStr">
        <is>
          <t>C1686</t>
        </is>
      </c>
      <c r="C6687" t="n">
        <v>2</v>
      </c>
      <c r="D6687" t="inlineStr">
        <is>
          <t>Hub C</t>
        </is>
      </c>
      <c r="E6687" t="n">
        <v>20</v>
      </c>
      <c r="F6687" t="n">
        <v>13</v>
      </c>
    </row>
    <row r="6688">
      <c r="A6688" t="inlineStr">
        <is>
          <t>ORD06687</t>
        </is>
      </c>
      <c r="B6688" t="inlineStr">
        <is>
          <t>C1687</t>
        </is>
      </c>
      <c r="C6688" t="n">
        <v>3</v>
      </c>
      <c r="D6688" t="inlineStr">
        <is>
          <t>Hub C</t>
        </is>
      </c>
      <c r="E6688" t="n">
        <v>27</v>
      </c>
      <c r="F6688" t="n">
        <v>13</v>
      </c>
    </row>
    <row r="6689">
      <c r="A6689" t="inlineStr">
        <is>
          <t>ORD06688</t>
        </is>
      </c>
      <c r="B6689" t="inlineStr">
        <is>
          <t>C1688</t>
        </is>
      </c>
      <c r="C6689" t="n">
        <v>1</v>
      </c>
      <c r="D6689" t="inlineStr">
        <is>
          <t>Hub C</t>
        </is>
      </c>
      <c r="E6689" t="n">
        <v>34</v>
      </c>
      <c r="F6689" t="n">
        <v>13</v>
      </c>
    </row>
    <row r="6690">
      <c r="A6690" t="inlineStr">
        <is>
          <t>ORD06689</t>
        </is>
      </c>
      <c r="B6690" t="inlineStr">
        <is>
          <t>C1689</t>
        </is>
      </c>
      <c r="C6690" t="n">
        <v>2</v>
      </c>
      <c r="D6690" t="inlineStr">
        <is>
          <t>Hub C</t>
        </is>
      </c>
      <c r="E6690" t="n">
        <v>41</v>
      </c>
      <c r="F6690" t="n">
        <v>13</v>
      </c>
    </row>
    <row r="6691">
      <c r="A6691" t="inlineStr">
        <is>
          <t>ORD06690</t>
        </is>
      </c>
      <c r="B6691" t="inlineStr">
        <is>
          <t>C1690</t>
        </is>
      </c>
      <c r="C6691" t="n">
        <v>3</v>
      </c>
      <c r="D6691" t="inlineStr">
        <is>
          <t>Hub C</t>
        </is>
      </c>
      <c r="E6691" t="n">
        <v>48</v>
      </c>
      <c r="F6691" t="n">
        <v>13</v>
      </c>
    </row>
    <row r="6692">
      <c r="A6692" t="inlineStr">
        <is>
          <t>ORD06691</t>
        </is>
      </c>
      <c r="B6692" t="inlineStr">
        <is>
          <t>C1691</t>
        </is>
      </c>
      <c r="C6692" t="n">
        <v>1</v>
      </c>
      <c r="D6692" t="inlineStr">
        <is>
          <t>Hub C</t>
        </is>
      </c>
      <c r="E6692" t="n">
        <v>55</v>
      </c>
      <c r="F6692" t="n">
        <v>13</v>
      </c>
    </row>
    <row r="6693">
      <c r="A6693" t="inlineStr">
        <is>
          <t>ORD06692</t>
        </is>
      </c>
      <c r="B6693" t="inlineStr">
        <is>
          <t>C1692</t>
        </is>
      </c>
      <c r="C6693" t="n">
        <v>2</v>
      </c>
      <c r="D6693" t="inlineStr">
        <is>
          <t>Hub C</t>
        </is>
      </c>
      <c r="E6693" t="n">
        <v>62</v>
      </c>
      <c r="F6693" t="n">
        <v>13</v>
      </c>
    </row>
    <row r="6694">
      <c r="A6694" t="inlineStr">
        <is>
          <t>ORD06693</t>
        </is>
      </c>
      <c r="B6694" t="inlineStr">
        <is>
          <t>C1693</t>
        </is>
      </c>
      <c r="C6694" t="n">
        <v>3</v>
      </c>
      <c r="D6694" t="inlineStr">
        <is>
          <t>Hub C</t>
        </is>
      </c>
      <c r="E6694" t="n">
        <v>69</v>
      </c>
      <c r="F6694" t="n">
        <v>13</v>
      </c>
    </row>
    <row r="6695">
      <c r="A6695" t="inlineStr">
        <is>
          <t>ORD06694</t>
        </is>
      </c>
      <c r="B6695" t="inlineStr">
        <is>
          <t>C1694</t>
        </is>
      </c>
      <c r="C6695" t="n">
        <v>1</v>
      </c>
      <c r="D6695" t="inlineStr">
        <is>
          <t>Hub C</t>
        </is>
      </c>
      <c r="E6695" t="n">
        <v>76</v>
      </c>
      <c r="F6695" t="n">
        <v>13</v>
      </c>
    </row>
    <row r="6696">
      <c r="A6696" t="inlineStr">
        <is>
          <t>ORD06695</t>
        </is>
      </c>
      <c r="B6696" t="inlineStr">
        <is>
          <t>C1695</t>
        </is>
      </c>
      <c r="C6696" t="n">
        <v>2</v>
      </c>
      <c r="D6696" t="inlineStr">
        <is>
          <t>Hub C</t>
        </is>
      </c>
      <c r="E6696" t="n">
        <v>23</v>
      </c>
      <c r="F6696" t="n">
        <v>13</v>
      </c>
    </row>
    <row r="6697">
      <c r="A6697" t="inlineStr">
        <is>
          <t>ORD06696</t>
        </is>
      </c>
      <c r="B6697" t="inlineStr">
        <is>
          <t>C1696</t>
        </is>
      </c>
      <c r="C6697" t="n">
        <v>3</v>
      </c>
      <c r="D6697" t="inlineStr">
        <is>
          <t>Hub C</t>
        </is>
      </c>
      <c r="E6697" t="n">
        <v>30</v>
      </c>
      <c r="F6697" t="n">
        <v>13</v>
      </c>
    </row>
    <row r="6698">
      <c r="A6698" t="inlineStr">
        <is>
          <t>ORD06697</t>
        </is>
      </c>
      <c r="B6698" t="inlineStr">
        <is>
          <t>C1697</t>
        </is>
      </c>
      <c r="C6698" t="n">
        <v>1</v>
      </c>
      <c r="D6698" t="inlineStr">
        <is>
          <t>Hub C</t>
        </is>
      </c>
      <c r="E6698" t="n">
        <v>37</v>
      </c>
      <c r="F6698" t="n">
        <v>13</v>
      </c>
    </row>
    <row r="6699">
      <c r="A6699" t="inlineStr">
        <is>
          <t>ORD06698</t>
        </is>
      </c>
      <c r="B6699" t="inlineStr">
        <is>
          <t>C1698</t>
        </is>
      </c>
      <c r="C6699" t="n">
        <v>2</v>
      </c>
      <c r="D6699" t="inlineStr">
        <is>
          <t>Hub C</t>
        </is>
      </c>
      <c r="E6699" t="n">
        <v>44</v>
      </c>
      <c r="F6699" t="n">
        <v>13</v>
      </c>
    </row>
    <row r="6700">
      <c r="A6700" t="inlineStr">
        <is>
          <t>ORD06699</t>
        </is>
      </c>
      <c r="B6700" t="inlineStr">
        <is>
          <t>C1699</t>
        </is>
      </c>
      <c r="C6700" t="n">
        <v>3</v>
      </c>
      <c r="D6700" t="inlineStr">
        <is>
          <t>Hub C</t>
        </is>
      </c>
      <c r="E6700" t="n">
        <v>51</v>
      </c>
      <c r="F6700" t="n">
        <v>13</v>
      </c>
    </row>
    <row r="6701">
      <c r="A6701" t="inlineStr">
        <is>
          <t>ORD06700</t>
        </is>
      </c>
      <c r="B6701" t="inlineStr">
        <is>
          <t>C1700</t>
        </is>
      </c>
      <c r="C6701" t="n">
        <v>1</v>
      </c>
      <c r="D6701" t="inlineStr">
        <is>
          <t>Hub C</t>
        </is>
      </c>
      <c r="E6701" t="n">
        <v>58</v>
      </c>
      <c r="F6701" t="n">
        <v>13</v>
      </c>
    </row>
    <row r="6702">
      <c r="A6702" t="inlineStr">
        <is>
          <t>ORD06701</t>
        </is>
      </c>
      <c r="B6702" t="inlineStr">
        <is>
          <t>C1701</t>
        </is>
      </c>
      <c r="C6702" t="n">
        <v>2</v>
      </c>
      <c r="D6702" t="inlineStr">
        <is>
          <t>Hub C</t>
        </is>
      </c>
      <c r="E6702" t="n">
        <v>65</v>
      </c>
      <c r="F6702" t="n">
        <v>13</v>
      </c>
    </row>
    <row r="6703">
      <c r="A6703" t="inlineStr">
        <is>
          <t>ORD06702</t>
        </is>
      </c>
      <c r="B6703" t="inlineStr">
        <is>
          <t>C1702</t>
        </is>
      </c>
      <c r="C6703" t="n">
        <v>3</v>
      </c>
      <c r="D6703" t="inlineStr">
        <is>
          <t>Hub C</t>
        </is>
      </c>
      <c r="E6703" t="n">
        <v>72</v>
      </c>
      <c r="F6703" t="n">
        <v>13</v>
      </c>
    </row>
    <row r="6704">
      <c r="A6704" t="inlineStr">
        <is>
          <t>ORD06703</t>
        </is>
      </c>
      <c r="B6704" t="inlineStr">
        <is>
          <t>C1703</t>
        </is>
      </c>
      <c r="C6704" t="n">
        <v>1</v>
      </c>
      <c r="D6704" t="inlineStr">
        <is>
          <t>Hub C</t>
        </is>
      </c>
      <c r="E6704" t="n">
        <v>19</v>
      </c>
      <c r="F6704" t="n">
        <v>13</v>
      </c>
    </row>
    <row r="6705">
      <c r="A6705" t="inlineStr">
        <is>
          <t>ORD06704</t>
        </is>
      </c>
      <c r="B6705" t="inlineStr">
        <is>
          <t>C1704</t>
        </is>
      </c>
      <c r="C6705" t="n">
        <v>2</v>
      </c>
      <c r="D6705" t="inlineStr">
        <is>
          <t>Hub C</t>
        </is>
      </c>
      <c r="E6705" t="n">
        <v>26</v>
      </c>
      <c r="F6705" t="n">
        <v>13</v>
      </c>
    </row>
    <row r="6706">
      <c r="A6706" t="inlineStr">
        <is>
          <t>ORD06705</t>
        </is>
      </c>
      <c r="B6706" t="inlineStr">
        <is>
          <t>C1705</t>
        </is>
      </c>
      <c r="C6706" t="n">
        <v>3</v>
      </c>
      <c r="D6706" t="inlineStr">
        <is>
          <t>Hub C</t>
        </is>
      </c>
      <c r="E6706" t="n">
        <v>33</v>
      </c>
      <c r="F6706" t="n">
        <v>13</v>
      </c>
    </row>
    <row r="6707">
      <c r="A6707" t="inlineStr">
        <is>
          <t>ORD06706</t>
        </is>
      </c>
      <c r="B6707" t="inlineStr">
        <is>
          <t>C1706</t>
        </is>
      </c>
      <c r="C6707" t="n">
        <v>1</v>
      </c>
      <c r="D6707" t="inlineStr">
        <is>
          <t>Hub C</t>
        </is>
      </c>
      <c r="E6707" t="n">
        <v>40</v>
      </c>
      <c r="F6707" t="n">
        <v>13</v>
      </c>
    </row>
    <row r="6708">
      <c r="A6708" t="inlineStr">
        <is>
          <t>ORD06707</t>
        </is>
      </c>
      <c r="B6708" t="inlineStr">
        <is>
          <t>C1707</t>
        </is>
      </c>
      <c r="C6708" t="n">
        <v>2</v>
      </c>
      <c r="D6708" t="inlineStr">
        <is>
          <t>Hub C</t>
        </is>
      </c>
      <c r="E6708" t="n">
        <v>47</v>
      </c>
      <c r="F6708" t="n">
        <v>13</v>
      </c>
    </row>
    <row r="6709">
      <c r="A6709" t="inlineStr">
        <is>
          <t>ORD06708</t>
        </is>
      </c>
      <c r="B6709" t="inlineStr">
        <is>
          <t>C1708</t>
        </is>
      </c>
      <c r="C6709" t="n">
        <v>3</v>
      </c>
      <c r="D6709" t="inlineStr">
        <is>
          <t>Hub C</t>
        </is>
      </c>
      <c r="E6709" t="n">
        <v>54</v>
      </c>
      <c r="F6709" t="n">
        <v>13</v>
      </c>
    </row>
    <row r="6710">
      <c r="A6710" t="inlineStr">
        <is>
          <t>ORD06709</t>
        </is>
      </c>
      <c r="B6710" t="inlineStr">
        <is>
          <t>C1709</t>
        </is>
      </c>
      <c r="C6710" t="n">
        <v>1</v>
      </c>
      <c r="D6710" t="inlineStr">
        <is>
          <t>Hub C</t>
        </is>
      </c>
      <c r="E6710" t="n">
        <v>61</v>
      </c>
      <c r="F6710" t="n">
        <v>13</v>
      </c>
    </row>
    <row r="6711">
      <c r="A6711" t="inlineStr">
        <is>
          <t>ORD06710</t>
        </is>
      </c>
      <c r="B6711" t="inlineStr">
        <is>
          <t>C1710</t>
        </is>
      </c>
      <c r="C6711" t="n">
        <v>2</v>
      </c>
      <c r="D6711" t="inlineStr">
        <is>
          <t>Hub C</t>
        </is>
      </c>
      <c r="E6711" t="n">
        <v>68</v>
      </c>
      <c r="F6711" t="n">
        <v>13</v>
      </c>
    </row>
    <row r="6712">
      <c r="A6712" t="inlineStr">
        <is>
          <t>ORD06711</t>
        </is>
      </c>
      <c r="B6712" t="inlineStr">
        <is>
          <t>C1711</t>
        </is>
      </c>
      <c r="C6712" t="n">
        <v>3</v>
      </c>
      <c r="D6712" t="inlineStr">
        <is>
          <t>Hub C</t>
        </is>
      </c>
      <c r="E6712" t="n">
        <v>75</v>
      </c>
      <c r="F6712" t="n">
        <v>13</v>
      </c>
    </row>
    <row r="6713">
      <c r="A6713" t="inlineStr">
        <is>
          <t>ORD06712</t>
        </is>
      </c>
      <c r="B6713" t="inlineStr">
        <is>
          <t>C1712</t>
        </is>
      </c>
      <c r="C6713" t="n">
        <v>1</v>
      </c>
      <c r="D6713" t="inlineStr">
        <is>
          <t>Hub C</t>
        </is>
      </c>
      <c r="E6713" t="n">
        <v>22</v>
      </c>
      <c r="F6713" t="n">
        <v>13</v>
      </c>
    </row>
    <row r="6714">
      <c r="A6714" t="inlineStr">
        <is>
          <t>ORD06713</t>
        </is>
      </c>
      <c r="B6714" t="inlineStr">
        <is>
          <t>C1713</t>
        </is>
      </c>
      <c r="C6714" t="n">
        <v>2</v>
      </c>
      <c r="D6714" t="inlineStr">
        <is>
          <t>Hub C</t>
        </is>
      </c>
      <c r="E6714" t="n">
        <v>29</v>
      </c>
      <c r="F6714" t="n">
        <v>13</v>
      </c>
    </row>
    <row r="6715">
      <c r="A6715" t="inlineStr">
        <is>
          <t>ORD06714</t>
        </is>
      </c>
      <c r="B6715" t="inlineStr">
        <is>
          <t>C1714</t>
        </is>
      </c>
      <c r="C6715" t="n">
        <v>3</v>
      </c>
      <c r="D6715" t="inlineStr">
        <is>
          <t>Hub C</t>
        </is>
      </c>
      <c r="E6715" t="n">
        <v>36</v>
      </c>
      <c r="F6715" t="n">
        <v>13</v>
      </c>
    </row>
    <row r="6716">
      <c r="A6716" t="inlineStr">
        <is>
          <t>ORD06715</t>
        </is>
      </c>
      <c r="B6716" t="inlineStr">
        <is>
          <t>C1715</t>
        </is>
      </c>
      <c r="C6716" t="n">
        <v>1</v>
      </c>
      <c r="D6716" t="inlineStr">
        <is>
          <t>Hub C</t>
        </is>
      </c>
      <c r="E6716" t="n">
        <v>43</v>
      </c>
      <c r="F6716" t="n">
        <v>13</v>
      </c>
    </row>
    <row r="6717">
      <c r="A6717" t="inlineStr">
        <is>
          <t>ORD06716</t>
        </is>
      </c>
      <c r="B6717" t="inlineStr">
        <is>
          <t>C1716</t>
        </is>
      </c>
      <c r="C6717" t="n">
        <v>2</v>
      </c>
      <c r="D6717" t="inlineStr">
        <is>
          <t>Hub C</t>
        </is>
      </c>
      <c r="E6717" t="n">
        <v>50</v>
      </c>
      <c r="F6717" t="n">
        <v>13</v>
      </c>
    </row>
    <row r="6718">
      <c r="A6718" t="inlineStr">
        <is>
          <t>ORD06717</t>
        </is>
      </c>
      <c r="B6718" t="inlineStr">
        <is>
          <t>C1717</t>
        </is>
      </c>
      <c r="C6718" t="n">
        <v>3</v>
      </c>
      <c r="D6718" t="inlineStr">
        <is>
          <t>Hub C</t>
        </is>
      </c>
      <c r="E6718" t="n">
        <v>57</v>
      </c>
      <c r="F6718" t="n">
        <v>13</v>
      </c>
    </row>
    <row r="6719">
      <c r="A6719" t="inlineStr">
        <is>
          <t>ORD06718</t>
        </is>
      </c>
      <c r="B6719" t="inlineStr">
        <is>
          <t>C1718</t>
        </is>
      </c>
      <c r="C6719" t="n">
        <v>1</v>
      </c>
      <c r="D6719" t="inlineStr">
        <is>
          <t>Hub C</t>
        </is>
      </c>
      <c r="E6719" t="n">
        <v>64</v>
      </c>
      <c r="F6719" t="n">
        <v>13</v>
      </c>
    </row>
    <row r="6720">
      <c r="A6720" t="inlineStr">
        <is>
          <t>ORD06719</t>
        </is>
      </c>
      <c r="B6720" t="inlineStr">
        <is>
          <t>C1719</t>
        </is>
      </c>
      <c r="C6720" t="n">
        <v>2</v>
      </c>
      <c r="D6720" t="inlineStr">
        <is>
          <t>Hub C</t>
        </is>
      </c>
      <c r="E6720" t="n">
        <v>71</v>
      </c>
      <c r="F6720" t="n">
        <v>13</v>
      </c>
    </row>
    <row r="6721">
      <c r="A6721" t="inlineStr">
        <is>
          <t>ORD06720</t>
        </is>
      </c>
      <c r="B6721" t="inlineStr">
        <is>
          <t>C1720</t>
        </is>
      </c>
      <c r="C6721" t="n">
        <v>3</v>
      </c>
      <c r="D6721" t="inlineStr">
        <is>
          <t>Hub C</t>
        </is>
      </c>
      <c r="E6721" t="n">
        <v>18</v>
      </c>
      <c r="F6721" t="n">
        <v>13</v>
      </c>
    </row>
    <row r="6722">
      <c r="A6722" t="inlineStr">
        <is>
          <t>ORD06721</t>
        </is>
      </c>
      <c r="B6722" t="inlineStr">
        <is>
          <t>C1721</t>
        </is>
      </c>
      <c r="C6722" t="n">
        <v>1</v>
      </c>
      <c r="D6722" t="inlineStr">
        <is>
          <t>Hub C</t>
        </is>
      </c>
      <c r="E6722" t="n">
        <v>25</v>
      </c>
      <c r="F6722" t="n">
        <v>13</v>
      </c>
    </row>
    <row r="6723">
      <c r="A6723" t="inlineStr">
        <is>
          <t>ORD06722</t>
        </is>
      </c>
      <c r="B6723" t="inlineStr">
        <is>
          <t>C1722</t>
        </is>
      </c>
      <c r="C6723" t="n">
        <v>2</v>
      </c>
      <c r="D6723" t="inlineStr">
        <is>
          <t>Hub C</t>
        </is>
      </c>
      <c r="E6723" t="n">
        <v>32</v>
      </c>
      <c r="F6723" t="n">
        <v>13</v>
      </c>
    </row>
    <row r="6724">
      <c r="A6724" t="inlineStr">
        <is>
          <t>ORD06723</t>
        </is>
      </c>
      <c r="B6724" t="inlineStr">
        <is>
          <t>C1723</t>
        </is>
      </c>
      <c r="C6724" t="n">
        <v>3</v>
      </c>
      <c r="D6724" t="inlineStr">
        <is>
          <t>Hub C</t>
        </is>
      </c>
      <c r="E6724" t="n">
        <v>39</v>
      </c>
      <c r="F6724" t="n">
        <v>13</v>
      </c>
    </row>
    <row r="6725">
      <c r="A6725" t="inlineStr">
        <is>
          <t>ORD06724</t>
        </is>
      </c>
      <c r="B6725" t="inlineStr">
        <is>
          <t>C1724</t>
        </is>
      </c>
      <c r="C6725" t="n">
        <v>1</v>
      </c>
      <c r="D6725" t="inlineStr">
        <is>
          <t>Hub C</t>
        </is>
      </c>
      <c r="E6725" t="n">
        <v>46</v>
      </c>
      <c r="F6725" t="n">
        <v>13</v>
      </c>
    </row>
    <row r="6726">
      <c r="A6726" t="inlineStr">
        <is>
          <t>ORD06725</t>
        </is>
      </c>
      <c r="B6726" t="inlineStr">
        <is>
          <t>C1725</t>
        </is>
      </c>
      <c r="C6726" t="n">
        <v>2</v>
      </c>
      <c r="D6726" t="inlineStr">
        <is>
          <t>Hub C</t>
        </is>
      </c>
      <c r="E6726" t="n">
        <v>53</v>
      </c>
      <c r="F6726" t="n">
        <v>13</v>
      </c>
    </row>
    <row r="6727">
      <c r="A6727" t="inlineStr">
        <is>
          <t>ORD06726</t>
        </is>
      </c>
      <c r="B6727" t="inlineStr">
        <is>
          <t>C1726</t>
        </is>
      </c>
      <c r="C6727" t="n">
        <v>3</v>
      </c>
      <c r="D6727" t="inlineStr">
        <is>
          <t>Hub C</t>
        </is>
      </c>
      <c r="E6727" t="n">
        <v>60</v>
      </c>
      <c r="F6727" t="n">
        <v>13</v>
      </c>
    </row>
    <row r="6728">
      <c r="A6728" t="inlineStr">
        <is>
          <t>ORD06727</t>
        </is>
      </c>
      <c r="B6728" t="inlineStr">
        <is>
          <t>C1727</t>
        </is>
      </c>
      <c r="C6728" t="n">
        <v>1</v>
      </c>
      <c r="D6728" t="inlineStr">
        <is>
          <t>Hub C</t>
        </is>
      </c>
      <c r="E6728" t="n">
        <v>67</v>
      </c>
      <c r="F6728" t="n">
        <v>13</v>
      </c>
    </row>
    <row r="6729">
      <c r="A6729" t="inlineStr">
        <is>
          <t>ORD06728</t>
        </is>
      </c>
      <c r="B6729" t="inlineStr">
        <is>
          <t>C1728</t>
        </is>
      </c>
      <c r="C6729" t="n">
        <v>2</v>
      </c>
      <c r="D6729" t="inlineStr">
        <is>
          <t>Hub C</t>
        </is>
      </c>
      <c r="E6729" t="n">
        <v>74</v>
      </c>
      <c r="F6729" t="n">
        <v>13</v>
      </c>
    </row>
    <row r="6730">
      <c r="A6730" t="inlineStr">
        <is>
          <t>ORD06729</t>
        </is>
      </c>
      <c r="B6730" t="inlineStr">
        <is>
          <t>C1729</t>
        </is>
      </c>
      <c r="C6730" t="n">
        <v>3</v>
      </c>
      <c r="D6730" t="inlineStr">
        <is>
          <t>Hub C</t>
        </is>
      </c>
      <c r="E6730" t="n">
        <v>21</v>
      </c>
      <c r="F6730" t="n">
        <v>13</v>
      </c>
    </row>
    <row r="6731">
      <c r="A6731" t="inlineStr">
        <is>
          <t>ORD06730</t>
        </is>
      </c>
      <c r="B6731" t="inlineStr">
        <is>
          <t>C1730</t>
        </is>
      </c>
      <c r="C6731" t="n">
        <v>1</v>
      </c>
      <c r="D6731" t="inlineStr">
        <is>
          <t>Hub C</t>
        </is>
      </c>
      <c r="E6731" t="n">
        <v>28</v>
      </c>
      <c r="F6731" t="n">
        <v>13</v>
      </c>
    </row>
    <row r="6732">
      <c r="A6732" t="inlineStr">
        <is>
          <t>ORD06731</t>
        </is>
      </c>
      <c r="B6732" t="inlineStr">
        <is>
          <t>C1731</t>
        </is>
      </c>
      <c r="C6732" t="n">
        <v>2</v>
      </c>
      <c r="D6732" t="inlineStr">
        <is>
          <t>Hub C</t>
        </is>
      </c>
      <c r="E6732" t="n">
        <v>35</v>
      </c>
      <c r="F6732" t="n">
        <v>13</v>
      </c>
    </row>
    <row r="6733">
      <c r="A6733" t="inlineStr">
        <is>
          <t>ORD06732</t>
        </is>
      </c>
      <c r="B6733" t="inlineStr">
        <is>
          <t>C1732</t>
        </is>
      </c>
      <c r="C6733" t="n">
        <v>3</v>
      </c>
      <c r="D6733" t="inlineStr">
        <is>
          <t>Hub C</t>
        </is>
      </c>
      <c r="E6733" t="n">
        <v>42</v>
      </c>
      <c r="F6733" t="n">
        <v>13</v>
      </c>
    </row>
    <row r="6734">
      <c r="A6734" t="inlineStr">
        <is>
          <t>ORD06733</t>
        </is>
      </c>
      <c r="B6734" t="inlineStr">
        <is>
          <t>C1733</t>
        </is>
      </c>
      <c r="C6734" t="n">
        <v>1</v>
      </c>
      <c r="D6734" t="inlineStr">
        <is>
          <t>Hub C</t>
        </is>
      </c>
      <c r="E6734" t="n">
        <v>49</v>
      </c>
      <c r="F6734" t="n">
        <v>13</v>
      </c>
    </row>
    <row r="6735">
      <c r="A6735" t="inlineStr">
        <is>
          <t>ORD06734</t>
        </is>
      </c>
      <c r="B6735" t="inlineStr">
        <is>
          <t>C1734</t>
        </is>
      </c>
      <c r="C6735" t="n">
        <v>2</v>
      </c>
      <c r="D6735" t="inlineStr">
        <is>
          <t>Hub C</t>
        </is>
      </c>
      <c r="E6735" t="n">
        <v>56</v>
      </c>
      <c r="F6735" t="n">
        <v>13</v>
      </c>
    </row>
    <row r="6736">
      <c r="A6736" t="inlineStr">
        <is>
          <t>ORD06735</t>
        </is>
      </c>
      <c r="B6736" t="inlineStr">
        <is>
          <t>C1735</t>
        </is>
      </c>
      <c r="C6736" t="n">
        <v>3</v>
      </c>
      <c r="D6736" t="inlineStr">
        <is>
          <t>Hub C</t>
        </is>
      </c>
      <c r="E6736" t="n">
        <v>63</v>
      </c>
      <c r="F6736" t="n">
        <v>13</v>
      </c>
    </row>
    <row r="6737">
      <c r="A6737" t="inlineStr">
        <is>
          <t>ORD06736</t>
        </is>
      </c>
      <c r="B6737" t="inlineStr">
        <is>
          <t>C1736</t>
        </is>
      </c>
      <c r="C6737" t="n">
        <v>1</v>
      </c>
      <c r="D6737" t="inlineStr">
        <is>
          <t>Hub C</t>
        </is>
      </c>
      <c r="E6737" t="n">
        <v>70</v>
      </c>
      <c r="F6737" t="n">
        <v>13</v>
      </c>
    </row>
    <row r="6738">
      <c r="A6738" t="inlineStr">
        <is>
          <t>ORD06737</t>
        </is>
      </c>
      <c r="B6738" t="inlineStr">
        <is>
          <t>C1737</t>
        </is>
      </c>
      <c r="C6738" t="n">
        <v>2</v>
      </c>
      <c r="D6738" t="inlineStr">
        <is>
          <t>Hub C</t>
        </is>
      </c>
      <c r="E6738" t="n">
        <v>77</v>
      </c>
      <c r="F6738" t="n">
        <v>13</v>
      </c>
    </row>
    <row r="6739">
      <c r="A6739" t="inlineStr">
        <is>
          <t>ORD06738</t>
        </is>
      </c>
      <c r="B6739" t="inlineStr">
        <is>
          <t>C1738</t>
        </is>
      </c>
      <c r="C6739" t="n">
        <v>3</v>
      </c>
      <c r="D6739" t="inlineStr">
        <is>
          <t>Hub C</t>
        </is>
      </c>
      <c r="E6739" t="n">
        <v>24</v>
      </c>
      <c r="F6739" t="n">
        <v>13</v>
      </c>
    </row>
    <row r="6740">
      <c r="A6740" t="inlineStr">
        <is>
          <t>ORD06739</t>
        </is>
      </c>
      <c r="B6740" t="inlineStr">
        <is>
          <t>C1739</t>
        </is>
      </c>
      <c r="C6740" t="n">
        <v>1</v>
      </c>
      <c r="D6740" t="inlineStr">
        <is>
          <t>Hub C</t>
        </is>
      </c>
      <c r="E6740" t="n">
        <v>31</v>
      </c>
      <c r="F6740" t="n">
        <v>13</v>
      </c>
    </row>
    <row r="6741">
      <c r="A6741" t="inlineStr">
        <is>
          <t>ORD06740</t>
        </is>
      </c>
      <c r="B6741" t="inlineStr">
        <is>
          <t>C1740</t>
        </is>
      </c>
      <c r="C6741" t="n">
        <v>2</v>
      </c>
      <c r="D6741" t="inlineStr">
        <is>
          <t>Hub C</t>
        </is>
      </c>
      <c r="E6741" t="n">
        <v>38</v>
      </c>
      <c r="F6741" t="n">
        <v>13</v>
      </c>
    </row>
    <row r="6742">
      <c r="A6742" t="inlineStr">
        <is>
          <t>ORD06741</t>
        </is>
      </c>
      <c r="B6742" t="inlineStr">
        <is>
          <t>C1741</t>
        </is>
      </c>
      <c r="C6742" t="n">
        <v>3</v>
      </c>
      <c r="D6742" t="inlineStr">
        <is>
          <t>Hub C</t>
        </is>
      </c>
      <c r="E6742" t="n">
        <v>45</v>
      </c>
      <c r="F6742" t="n">
        <v>13</v>
      </c>
    </row>
    <row r="6743">
      <c r="A6743" t="inlineStr">
        <is>
          <t>ORD06742</t>
        </is>
      </c>
      <c r="B6743" t="inlineStr">
        <is>
          <t>C1742</t>
        </is>
      </c>
      <c r="C6743" t="n">
        <v>1</v>
      </c>
      <c r="D6743" t="inlineStr">
        <is>
          <t>Hub C</t>
        </is>
      </c>
      <c r="E6743" t="n">
        <v>52</v>
      </c>
      <c r="F6743" t="n">
        <v>13</v>
      </c>
    </row>
    <row r="6744">
      <c r="A6744" t="inlineStr">
        <is>
          <t>ORD06743</t>
        </is>
      </c>
      <c r="B6744" t="inlineStr">
        <is>
          <t>C1743</t>
        </is>
      </c>
      <c r="C6744" t="n">
        <v>2</v>
      </c>
      <c r="D6744" t="inlineStr">
        <is>
          <t>Hub C</t>
        </is>
      </c>
      <c r="E6744" t="n">
        <v>59</v>
      </c>
      <c r="F6744" t="n">
        <v>13</v>
      </c>
    </row>
    <row r="6745">
      <c r="A6745" t="inlineStr">
        <is>
          <t>ORD06744</t>
        </is>
      </c>
      <c r="B6745" t="inlineStr">
        <is>
          <t>C1744</t>
        </is>
      </c>
      <c r="C6745" t="n">
        <v>3</v>
      </c>
      <c r="D6745" t="inlineStr">
        <is>
          <t>Hub C</t>
        </is>
      </c>
      <c r="E6745" t="n">
        <v>66</v>
      </c>
      <c r="F6745" t="n">
        <v>13</v>
      </c>
    </row>
    <row r="6746">
      <c r="A6746" t="inlineStr">
        <is>
          <t>ORD06745</t>
        </is>
      </c>
      <c r="B6746" t="inlineStr">
        <is>
          <t>C1745</t>
        </is>
      </c>
      <c r="C6746" t="n">
        <v>1</v>
      </c>
      <c r="D6746" t="inlineStr">
        <is>
          <t>Hub C</t>
        </is>
      </c>
      <c r="E6746" t="n">
        <v>73</v>
      </c>
      <c r="F6746" t="n">
        <v>13</v>
      </c>
    </row>
    <row r="6747">
      <c r="A6747" t="inlineStr">
        <is>
          <t>ORD06746</t>
        </is>
      </c>
      <c r="B6747" t="inlineStr">
        <is>
          <t>C1746</t>
        </is>
      </c>
      <c r="C6747" t="n">
        <v>2</v>
      </c>
      <c r="D6747" t="inlineStr">
        <is>
          <t>Hub C</t>
        </is>
      </c>
      <c r="E6747" t="n">
        <v>20</v>
      </c>
      <c r="F6747" t="n">
        <v>13</v>
      </c>
    </row>
    <row r="6748">
      <c r="A6748" t="inlineStr">
        <is>
          <t>ORD06747</t>
        </is>
      </c>
      <c r="B6748" t="inlineStr">
        <is>
          <t>C1747</t>
        </is>
      </c>
      <c r="C6748" t="n">
        <v>3</v>
      </c>
      <c r="D6748" t="inlineStr">
        <is>
          <t>Hub C</t>
        </is>
      </c>
      <c r="E6748" t="n">
        <v>27</v>
      </c>
      <c r="F6748" t="n">
        <v>13</v>
      </c>
    </row>
    <row r="6749">
      <c r="A6749" t="inlineStr">
        <is>
          <t>ORD06748</t>
        </is>
      </c>
      <c r="B6749" t="inlineStr">
        <is>
          <t>C1748</t>
        </is>
      </c>
      <c r="C6749" t="n">
        <v>1</v>
      </c>
      <c r="D6749" t="inlineStr">
        <is>
          <t>Hub C</t>
        </is>
      </c>
      <c r="E6749" t="n">
        <v>34</v>
      </c>
      <c r="F6749" t="n">
        <v>13</v>
      </c>
    </row>
    <row r="6750">
      <c r="A6750" t="inlineStr">
        <is>
          <t>ORD06749</t>
        </is>
      </c>
      <c r="B6750" t="inlineStr">
        <is>
          <t>C1749</t>
        </is>
      </c>
      <c r="C6750" t="n">
        <v>2</v>
      </c>
      <c r="D6750" t="inlineStr">
        <is>
          <t>Hub C</t>
        </is>
      </c>
      <c r="E6750" t="n">
        <v>41</v>
      </c>
      <c r="F6750" t="n">
        <v>13</v>
      </c>
    </row>
    <row r="6751">
      <c r="A6751" t="inlineStr">
        <is>
          <t>ORD06750</t>
        </is>
      </c>
      <c r="B6751" t="inlineStr">
        <is>
          <t>C1750</t>
        </is>
      </c>
      <c r="C6751" t="n">
        <v>3</v>
      </c>
      <c r="D6751" t="inlineStr">
        <is>
          <t>Hub C</t>
        </is>
      </c>
      <c r="E6751" t="n">
        <v>48</v>
      </c>
      <c r="F6751" t="n">
        <v>13</v>
      </c>
    </row>
    <row r="6752">
      <c r="A6752" t="inlineStr">
        <is>
          <t>ORD06751</t>
        </is>
      </c>
      <c r="B6752" t="inlineStr">
        <is>
          <t>C1751</t>
        </is>
      </c>
      <c r="C6752" t="n">
        <v>1</v>
      </c>
      <c r="D6752" t="inlineStr">
        <is>
          <t>Hub C</t>
        </is>
      </c>
      <c r="E6752" t="n">
        <v>55</v>
      </c>
      <c r="F6752" t="n">
        <v>13</v>
      </c>
    </row>
    <row r="6753">
      <c r="A6753" t="inlineStr">
        <is>
          <t>ORD06752</t>
        </is>
      </c>
      <c r="B6753" t="inlineStr">
        <is>
          <t>C1752</t>
        </is>
      </c>
      <c r="C6753" t="n">
        <v>2</v>
      </c>
      <c r="D6753" t="inlineStr">
        <is>
          <t>Hub C</t>
        </is>
      </c>
      <c r="E6753" t="n">
        <v>62</v>
      </c>
      <c r="F6753" t="n">
        <v>13</v>
      </c>
    </row>
    <row r="6754">
      <c r="A6754" t="inlineStr">
        <is>
          <t>ORD06753</t>
        </is>
      </c>
      <c r="B6754" t="inlineStr">
        <is>
          <t>C1753</t>
        </is>
      </c>
      <c r="C6754" t="n">
        <v>3</v>
      </c>
      <c r="D6754" t="inlineStr">
        <is>
          <t>Hub C</t>
        </is>
      </c>
      <c r="E6754" t="n">
        <v>69</v>
      </c>
      <c r="F6754" t="n">
        <v>13</v>
      </c>
    </row>
    <row r="6755">
      <c r="A6755" t="inlineStr">
        <is>
          <t>ORD06754</t>
        </is>
      </c>
      <c r="B6755" t="inlineStr">
        <is>
          <t>C1754</t>
        </is>
      </c>
      <c r="C6755" t="n">
        <v>1</v>
      </c>
      <c r="D6755" t="inlineStr">
        <is>
          <t>Hub C</t>
        </is>
      </c>
      <c r="E6755" t="n">
        <v>76</v>
      </c>
      <c r="F6755" t="n">
        <v>13</v>
      </c>
    </row>
    <row r="6756">
      <c r="A6756" t="inlineStr">
        <is>
          <t>ORD06755</t>
        </is>
      </c>
      <c r="B6756" t="inlineStr">
        <is>
          <t>C1755</t>
        </is>
      </c>
      <c r="C6756" t="n">
        <v>2</v>
      </c>
      <c r="D6756" t="inlineStr">
        <is>
          <t>Hub C</t>
        </is>
      </c>
      <c r="E6756" t="n">
        <v>23</v>
      </c>
      <c r="F6756" t="n">
        <v>13</v>
      </c>
    </row>
    <row r="6757">
      <c r="A6757" t="inlineStr">
        <is>
          <t>ORD06756</t>
        </is>
      </c>
      <c r="B6757" t="inlineStr">
        <is>
          <t>C1756</t>
        </is>
      </c>
      <c r="C6757" t="n">
        <v>3</v>
      </c>
      <c r="D6757" t="inlineStr">
        <is>
          <t>Hub C</t>
        </is>
      </c>
      <c r="E6757" t="n">
        <v>30</v>
      </c>
      <c r="F6757" t="n">
        <v>13</v>
      </c>
    </row>
    <row r="6758">
      <c r="A6758" t="inlineStr">
        <is>
          <t>ORD06757</t>
        </is>
      </c>
      <c r="B6758" t="inlineStr">
        <is>
          <t>C1757</t>
        </is>
      </c>
      <c r="C6758" t="n">
        <v>1</v>
      </c>
      <c r="D6758" t="inlineStr">
        <is>
          <t>Hub C</t>
        </is>
      </c>
      <c r="E6758" t="n">
        <v>37</v>
      </c>
      <c r="F6758" t="n">
        <v>13</v>
      </c>
    </row>
    <row r="6759">
      <c r="A6759" t="inlineStr">
        <is>
          <t>ORD06758</t>
        </is>
      </c>
      <c r="B6759" t="inlineStr">
        <is>
          <t>C1758</t>
        </is>
      </c>
      <c r="C6759" t="n">
        <v>2</v>
      </c>
      <c r="D6759" t="inlineStr">
        <is>
          <t>Hub C</t>
        </is>
      </c>
      <c r="E6759" t="n">
        <v>44</v>
      </c>
      <c r="F6759" t="n">
        <v>13</v>
      </c>
    </row>
    <row r="6760">
      <c r="A6760" t="inlineStr">
        <is>
          <t>ORD06759</t>
        </is>
      </c>
      <c r="B6760" t="inlineStr">
        <is>
          <t>C1759</t>
        </is>
      </c>
      <c r="C6760" t="n">
        <v>3</v>
      </c>
      <c r="D6760" t="inlineStr">
        <is>
          <t>Hub C</t>
        </is>
      </c>
      <c r="E6760" t="n">
        <v>51</v>
      </c>
      <c r="F6760" t="n">
        <v>13</v>
      </c>
    </row>
    <row r="6761">
      <c r="A6761" t="inlineStr">
        <is>
          <t>ORD06760</t>
        </is>
      </c>
      <c r="B6761" t="inlineStr">
        <is>
          <t>C1760</t>
        </is>
      </c>
      <c r="C6761" t="n">
        <v>1</v>
      </c>
      <c r="D6761" t="inlineStr">
        <is>
          <t>Hub C</t>
        </is>
      </c>
      <c r="E6761" t="n">
        <v>58</v>
      </c>
      <c r="F6761" t="n">
        <v>13</v>
      </c>
    </row>
    <row r="6762">
      <c r="A6762" t="inlineStr">
        <is>
          <t>ORD06761</t>
        </is>
      </c>
      <c r="B6762" t="inlineStr">
        <is>
          <t>C1761</t>
        </is>
      </c>
      <c r="C6762" t="n">
        <v>2</v>
      </c>
      <c r="D6762" t="inlineStr">
        <is>
          <t>Hub C</t>
        </is>
      </c>
      <c r="E6762" t="n">
        <v>65</v>
      </c>
      <c r="F6762" t="n">
        <v>13</v>
      </c>
    </row>
    <row r="6763">
      <c r="A6763" t="inlineStr">
        <is>
          <t>ORD06762</t>
        </is>
      </c>
      <c r="B6763" t="inlineStr">
        <is>
          <t>C1762</t>
        </is>
      </c>
      <c r="C6763" t="n">
        <v>3</v>
      </c>
      <c r="D6763" t="inlineStr">
        <is>
          <t>Hub C</t>
        </is>
      </c>
      <c r="E6763" t="n">
        <v>72</v>
      </c>
      <c r="F6763" t="n">
        <v>13</v>
      </c>
    </row>
    <row r="6764">
      <c r="A6764" t="inlineStr">
        <is>
          <t>ORD06763</t>
        </is>
      </c>
      <c r="B6764" t="inlineStr">
        <is>
          <t>C1763</t>
        </is>
      </c>
      <c r="C6764" t="n">
        <v>1</v>
      </c>
      <c r="D6764" t="inlineStr">
        <is>
          <t>Hub C</t>
        </is>
      </c>
      <c r="E6764" t="n">
        <v>19</v>
      </c>
      <c r="F6764" t="n">
        <v>13</v>
      </c>
    </row>
    <row r="6765">
      <c r="A6765" t="inlineStr">
        <is>
          <t>ORD06764</t>
        </is>
      </c>
      <c r="B6765" t="inlineStr">
        <is>
          <t>C1764</t>
        </is>
      </c>
      <c r="C6765" t="n">
        <v>2</v>
      </c>
      <c r="D6765" t="inlineStr">
        <is>
          <t>Hub C</t>
        </is>
      </c>
      <c r="E6765" t="n">
        <v>26</v>
      </c>
      <c r="F6765" t="n">
        <v>13</v>
      </c>
    </row>
    <row r="6766">
      <c r="A6766" t="inlineStr">
        <is>
          <t>ORD06765</t>
        </is>
      </c>
      <c r="B6766" t="inlineStr">
        <is>
          <t>C1765</t>
        </is>
      </c>
      <c r="C6766" t="n">
        <v>3</v>
      </c>
      <c r="D6766" t="inlineStr">
        <is>
          <t>Hub C</t>
        </is>
      </c>
      <c r="E6766" t="n">
        <v>33</v>
      </c>
      <c r="F6766" t="n">
        <v>13</v>
      </c>
    </row>
    <row r="6767">
      <c r="A6767" t="inlineStr">
        <is>
          <t>ORD06766</t>
        </is>
      </c>
      <c r="B6767" t="inlineStr">
        <is>
          <t>C1766</t>
        </is>
      </c>
      <c r="C6767" t="n">
        <v>1</v>
      </c>
      <c r="D6767" t="inlineStr">
        <is>
          <t>Hub C</t>
        </is>
      </c>
      <c r="E6767" t="n">
        <v>40</v>
      </c>
      <c r="F6767" t="n">
        <v>13</v>
      </c>
    </row>
    <row r="6768">
      <c r="A6768" t="inlineStr">
        <is>
          <t>ORD06767</t>
        </is>
      </c>
      <c r="B6768" t="inlineStr">
        <is>
          <t>C1767</t>
        </is>
      </c>
      <c r="C6768" t="n">
        <v>2</v>
      </c>
      <c r="D6768" t="inlineStr">
        <is>
          <t>Hub C</t>
        </is>
      </c>
      <c r="E6768" t="n">
        <v>47</v>
      </c>
      <c r="F6768" t="n">
        <v>13</v>
      </c>
    </row>
    <row r="6769">
      <c r="A6769" t="inlineStr">
        <is>
          <t>ORD06768</t>
        </is>
      </c>
      <c r="B6769" t="inlineStr">
        <is>
          <t>C1768</t>
        </is>
      </c>
      <c r="C6769" t="n">
        <v>3</v>
      </c>
      <c r="D6769" t="inlineStr">
        <is>
          <t>Hub C</t>
        </is>
      </c>
      <c r="E6769" t="n">
        <v>54</v>
      </c>
      <c r="F6769" t="n">
        <v>13</v>
      </c>
    </row>
    <row r="6770">
      <c r="A6770" t="inlineStr">
        <is>
          <t>ORD06769</t>
        </is>
      </c>
      <c r="B6770" t="inlineStr">
        <is>
          <t>C1769</t>
        </is>
      </c>
      <c r="C6770" t="n">
        <v>1</v>
      </c>
      <c r="D6770" t="inlineStr">
        <is>
          <t>Hub C</t>
        </is>
      </c>
      <c r="E6770" t="n">
        <v>61</v>
      </c>
      <c r="F6770" t="n">
        <v>13</v>
      </c>
    </row>
    <row r="6771">
      <c r="A6771" t="inlineStr">
        <is>
          <t>ORD06770</t>
        </is>
      </c>
      <c r="B6771" t="inlineStr">
        <is>
          <t>C1770</t>
        </is>
      </c>
      <c r="C6771" t="n">
        <v>2</v>
      </c>
      <c r="D6771" t="inlineStr">
        <is>
          <t>Hub C</t>
        </is>
      </c>
      <c r="E6771" t="n">
        <v>68</v>
      </c>
      <c r="F6771" t="n">
        <v>13</v>
      </c>
    </row>
    <row r="6772">
      <c r="A6772" t="inlineStr">
        <is>
          <t>ORD06771</t>
        </is>
      </c>
      <c r="B6772" t="inlineStr">
        <is>
          <t>C1771</t>
        </is>
      </c>
      <c r="C6772" t="n">
        <v>3</v>
      </c>
      <c r="D6772" t="inlineStr">
        <is>
          <t>Hub C</t>
        </is>
      </c>
      <c r="E6772" t="n">
        <v>75</v>
      </c>
      <c r="F6772" t="n">
        <v>13</v>
      </c>
    </row>
    <row r="6773">
      <c r="A6773" t="inlineStr">
        <is>
          <t>ORD06772</t>
        </is>
      </c>
      <c r="B6773" t="inlineStr">
        <is>
          <t>C1772</t>
        </is>
      </c>
      <c r="C6773" t="n">
        <v>1</v>
      </c>
      <c r="D6773" t="inlineStr">
        <is>
          <t>Hub C</t>
        </is>
      </c>
      <c r="E6773" t="n">
        <v>22</v>
      </c>
      <c r="F6773" t="n">
        <v>13</v>
      </c>
    </row>
    <row r="6774">
      <c r="A6774" t="inlineStr">
        <is>
          <t>ORD06773</t>
        </is>
      </c>
      <c r="B6774" t="inlineStr">
        <is>
          <t>C1773</t>
        </is>
      </c>
      <c r="C6774" t="n">
        <v>2</v>
      </c>
      <c r="D6774" t="inlineStr">
        <is>
          <t>Hub C</t>
        </is>
      </c>
      <c r="E6774" t="n">
        <v>29</v>
      </c>
      <c r="F6774" t="n">
        <v>13</v>
      </c>
    </row>
    <row r="6775">
      <c r="A6775" t="inlineStr">
        <is>
          <t>ORD06774</t>
        </is>
      </c>
      <c r="B6775" t="inlineStr">
        <is>
          <t>C1774</t>
        </is>
      </c>
      <c r="C6775" t="n">
        <v>3</v>
      </c>
      <c r="D6775" t="inlineStr">
        <is>
          <t>Hub C</t>
        </is>
      </c>
      <c r="E6775" t="n">
        <v>36</v>
      </c>
      <c r="F6775" t="n">
        <v>13</v>
      </c>
    </row>
    <row r="6776">
      <c r="A6776" t="inlineStr">
        <is>
          <t>ORD06775</t>
        </is>
      </c>
      <c r="B6776" t="inlineStr">
        <is>
          <t>C1775</t>
        </is>
      </c>
      <c r="C6776" t="n">
        <v>1</v>
      </c>
      <c r="D6776" t="inlineStr">
        <is>
          <t>Hub C</t>
        </is>
      </c>
      <c r="E6776" t="n">
        <v>43</v>
      </c>
      <c r="F6776" t="n">
        <v>13</v>
      </c>
    </row>
    <row r="6777">
      <c r="A6777" t="inlineStr">
        <is>
          <t>ORD06776</t>
        </is>
      </c>
      <c r="B6777" t="inlineStr">
        <is>
          <t>C1776</t>
        </is>
      </c>
      <c r="C6777" t="n">
        <v>2</v>
      </c>
      <c r="D6777" t="inlineStr">
        <is>
          <t>Hub C</t>
        </is>
      </c>
      <c r="E6777" t="n">
        <v>50</v>
      </c>
      <c r="F6777" t="n">
        <v>13</v>
      </c>
    </row>
    <row r="6778">
      <c r="A6778" t="inlineStr">
        <is>
          <t>ORD06777</t>
        </is>
      </c>
      <c r="B6778" t="inlineStr">
        <is>
          <t>C1777</t>
        </is>
      </c>
      <c r="C6778" t="n">
        <v>3</v>
      </c>
      <c r="D6778" t="inlineStr">
        <is>
          <t>Hub C</t>
        </is>
      </c>
      <c r="E6778" t="n">
        <v>57</v>
      </c>
      <c r="F6778" t="n">
        <v>13</v>
      </c>
    </row>
    <row r="6779">
      <c r="A6779" t="inlineStr">
        <is>
          <t>ORD06778</t>
        </is>
      </c>
      <c r="B6779" t="inlineStr">
        <is>
          <t>C1778</t>
        </is>
      </c>
      <c r="C6779" t="n">
        <v>1</v>
      </c>
      <c r="D6779" t="inlineStr">
        <is>
          <t>Hub C</t>
        </is>
      </c>
      <c r="E6779" t="n">
        <v>64</v>
      </c>
      <c r="F6779" t="n">
        <v>13</v>
      </c>
    </row>
    <row r="6780">
      <c r="A6780" t="inlineStr">
        <is>
          <t>ORD06779</t>
        </is>
      </c>
      <c r="B6780" t="inlineStr">
        <is>
          <t>C1779</t>
        </is>
      </c>
      <c r="C6780" t="n">
        <v>2</v>
      </c>
      <c r="D6780" t="inlineStr">
        <is>
          <t>Hub C</t>
        </is>
      </c>
      <c r="E6780" t="n">
        <v>71</v>
      </c>
      <c r="F6780" t="n">
        <v>13</v>
      </c>
    </row>
    <row r="6781">
      <c r="A6781" t="inlineStr">
        <is>
          <t>ORD06780</t>
        </is>
      </c>
      <c r="B6781" t="inlineStr">
        <is>
          <t>C1780</t>
        </is>
      </c>
      <c r="C6781" t="n">
        <v>3</v>
      </c>
      <c r="D6781" t="inlineStr">
        <is>
          <t>Hub C</t>
        </is>
      </c>
      <c r="E6781" t="n">
        <v>18</v>
      </c>
      <c r="F6781" t="n">
        <v>13</v>
      </c>
    </row>
    <row r="6782">
      <c r="A6782" t="inlineStr">
        <is>
          <t>ORD06781</t>
        </is>
      </c>
      <c r="B6782" t="inlineStr">
        <is>
          <t>C1781</t>
        </is>
      </c>
      <c r="C6782" t="n">
        <v>1</v>
      </c>
      <c r="D6782" t="inlineStr">
        <is>
          <t>Hub C</t>
        </is>
      </c>
      <c r="E6782" t="n">
        <v>25</v>
      </c>
      <c r="F6782" t="n">
        <v>13</v>
      </c>
    </row>
    <row r="6783">
      <c r="A6783" t="inlineStr">
        <is>
          <t>ORD06782</t>
        </is>
      </c>
      <c r="B6783" t="inlineStr">
        <is>
          <t>C1782</t>
        </is>
      </c>
      <c r="C6783" t="n">
        <v>2</v>
      </c>
      <c r="D6783" t="inlineStr">
        <is>
          <t>Hub C</t>
        </is>
      </c>
      <c r="E6783" t="n">
        <v>32</v>
      </c>
      <c r="F6783" t="n">
        <v>13</v>
      </c>
    </row>
    <row r="6784">
      <c r="A6784" t="inlineStr">
        <is>
          <t>ORD06783</t>
        </is>
      </c>
      <c r="B6784" t="inlineStr">
        <is>
          <t>C1783</t>
        </is>
      </c>
      <c r="C6784" t="n">
        <v>3</v>
      </c>
      <c r="D6784" t="inlineStr">
        <is>
          <t>Hub C</t>
        </is>
      </c>
      <c r="E6784" t="n">
        <v>39</v>
      </c>
      <c r="F6784" t="n">
        <v>13</v>
      </c>
    </row>
    <row r="6785">
      <c r="A6785" t="inlineStr">
        <is>
          <t>ORD06784</t>
        </is>
      </c>
      <c r="B6785" t="inlineStr">
        <is>
          <t>C1784</t>
        </is>
      </c>
      <c r="C6785" t="n">
        <v>1</v>
      </c>
      <c r="D6785" t="inlineStr">
        <is>
          <t>Hub C</t>
        </is>
      </c>
      <c r="E6785" t="n">
        <v>46</v>
      </c>
      <c r="F6785" t="n">
        <v>13</v>
      </c>
    </row>
    <row r="6786">
      <c r="A6786" t="inlineStr">
        <is>
          <t>ORD06785</t>
        </is>
      </c>
      <c r="B6786" t="inlineStr">
        <is>
          <t>C1785</t>
        </is>
      </c>
      <c r="C6786" t="n">
        <v>2</v>
      </c>
      <c r="D6786" t="inlineStr">
        <is>
          <t>Hub C</t>
        </is>
      </c>
      <c r="E6786" t="n">
        <v>53</v>
      </c>
      <c r="F6786" t="n">
        <v>13</v>
      </c>
    </row>
    <row r="6787">
      <c r="A6787" t="inlineStr">
        <is>
          <t>ORD06786</t>
        </is>
      </c>
      <c r="B6787" t="inlineStr">
        <is>
          <t>C1786</t>
        </is>
      </c>
      <c r="C6787" t="n">
        <v>3</v>
      </c>
      <c r="D6787" t="inlineStr">
        <is>
          <t>Hub C</t>
        </is>
      </c>
      <c r="E6787" t="n">
        <v>60</v>
      </c>
      <c r="F6787" t="n">
        <v>13</v>
      </c>
    </row>
    <row r="6788">
      <c r="A6788" t="inlineStr">
        <is>
          <t>ORD06787</t>
        </is>
      </c>
      <c r="B6788" t="inlineStr">
        <is>
          <t>C1787</t>
        </is>
      </c>
      <c r="C6788" t="n">
        <v>1</v>
      </c>
      <c r="D6788" t="inlineStr">
        <is>
          <t>Hub C</t>
        </is>
      </c>
      <c r="E6788" t="n">
        <v>67</v>
      </c>
      <c r="F6788" t="n">
        <v>13</v>
      </c>
    </row>
    <row r="6789">
      <c r="A6789" t="inlineStr">
        <is>
          <t>ORD06788</t>
        </is>
      </c>
      <c r="B6789" t="inlineStr">
        <is>
          <t>C1788</t>
        </is>
      </c>
      <c r="C6789" t="n">
        <v>2</v>
      </c>
      <c r="D6789" t="inlineStr">
        <is>
          <t>Hub C</t>
        </is>
      </c>
      <c r="E6789" t="n">
        <v>74</v>
      </c>
      <c r="F6789" t="n">
        <v>13</v>
      </c>
    </row>
    <row r="6790">
      <c r="A6790" t="inlineStr">
        <is>
          <t>ORD06789</t>
        </is>
      </c>
      <c r="B6790" t="inlineStr">
        <is>
          <t>C1789</t>
        </is>
      </c>
      <c r="C6790" t="n">
        <v>3</v>
      </c>
      <c r="D6790" t="inlineStr">
        <is>
          <t>Hub C</t>
        </is>
      </c>
      <c r="E6790" t="n">
        <v>21</v>
      </c>
      <c r="F6790" t="n">
        <v>13</v>
      </c>
    </row>
    <row r="6791">
      <c r="A6791" t="inlineStr">
        <is>
          <t>ORD06790</t>
        </is>
      </c>
      <c r="B6791" t="inlineStr">
        <is>
          <t>C1790</t>
        </is>
      </c>
      <c r="C6791" t="n">
        <v>1</v>
      </c>
      <c r="D6791" t="inlineStr">
        <is>
          <t>Hub C</t>
        </is>
      </c>
      <c r="E6791" t="n">
        <v>28</v>
      </c>
      <c r="F6791" t="n">
        <v>13</v>
      </c>
    </row>
    <row r="6792">
      <c r="A6792" t="inlineStr">
        <is>
          <t>ORD06791</t>
        </is>
      </c>
      <c r="B6792" t="inlineStr">
        <is>
          <t>C1791</t>
        </is>
      </c>
      <c r="C6792" t="n">
        <v>2</v>
      </c>
      <c r="D6792" t="inlineStr">
        <is>
          <t>Hub C</t>
        </is>
      </c>
      <c r="E6792" t="n">
        <v>35</v>
      </c>
      <c r="F6792" t="n">
        <v>13</v>
      </c>
    </row>
    <row r="6793">
      <c r="A6793" t="inlineStr">
        <is>
          <t>ORD06792</t>
        </is>
      </c>
      <c r="B6793" t="inlineStr">
        <is>
          <t>C1792</t>
        </is>
      </c>
      <c r="C6793" t="n">
        <v>3</v>
      </c>
      <c r="D6793" t="inlineStr">
        <is>
          <t>Hub C</t>
        </is>
      </c>
      <c r="E6793" t="n">
        <v>42</v>
      </c>
      <c r="F6793" t="n">
        <v>13</v>
      </c>
    </row>
    <row r="6794">
      <c r="A6794" t="inlineStr">
        <is>
          <t>ORD06793</t>
        </is>
      </c>
      <c r="B6794" t="inlineStr">
        <is>
          <t>C1793</t>
        </is>
      </c>
      <c r="C6794" t="n">
        <v>1</v>
      </c>
      <c r="D6794" t="inlineStr">
        <is>
          <t>Hub C</t>
        </is>
      </c>
      <c r="E6794" t="n">
        <v>49</v>
      </c>
      <c r="F6794" t="n">
        <v>13</v>
      </c>
    </row>
    <row r="6795">
      <c r="A6795" t="inlineStr">
        <is>
          <t>ORD06794</t>
        </is>
      </c>
      <c r="B6795" t="inlineStr">
        <is>
          <t>C1794</t>
        </is>
      </c>
      <c r="C6795" t="n">
        <v>2</v>
      </c>
      <c r="D6795" t="inlineStr">
        <is>
          <t>Hub C</t>
        </is>
      </c>
      <c r="E6795" t="n">
        <v>56</v>
      </c>
      <c r="F6795" t="n">
        <v>13</v>
      </c>
    </row>
    <row r="6796">
      <c r="A6796" t="inlineStr">
        <is>
          <t>ORD06795</t>
        </is>
      </c>
      <c r="B6796" t="inlineStr">
        <is>
          <t>C1795</t>
        </is>
      </c>
      <c r="C6796" t="n">
        <v>3</v>
      </c>
      <c r="D6796" t="inlineStr">
        <is>
          <t>Hub C</t>
        </is>
      </c>
      <c r="E6796" t="n">
        <v>63</v>
      </c>
      <c r="F6796" t="n">
        <v>13</v>
      </c>
    </row>
    <row r="6797">
      <c r="A6797" t="inlineStr">
        <is>
          <t>ORD06796</t>
        </is>
      </c>
      <c r="B6797" t="inlineStr">
        <is>
          <t>C1796</t>
        </is>
      </c>
      <c r="C6797" t="n">
        <v>1</v>
      </c>
      <c r="D6797" t="inlineStr">
        <is>
          <t>Hub C</t>
        </is>
      </c>
      <c r="E6797" t="n">
        <v>70</v>
      </c>
      <c r="F6797" t="n">
        <v>13</v>
      </c>
    </row>
    <row r="6798">
      <c r="A6798" t="inlineStr">
        <is>
          <t>ORD06797</t>
        </is>
      </c>
      <c r="B6798" t="inlineStr">
        <is>
          <t>C1797</t>
        </is>
      </c>
      <c r="C6798" t="n">
        <v>2</v>
      </c>
      <c r="D6798" t="inlineStr">
        <is>
          <t>Hub C</t>
        </is>
      </c>
      <c r="E6798" t="n">
        <v>77</v>
      </c>
      <c r="F6798" t="n">
        <v>13</v>
      </c>
    </row>
    <row r="6799">
      <c r="A6799" t="inlineStr">
        <is>
          <t>ORD06798</t>
        </is>
      </c>
      <c r="B6799" t="inlineStr">
        <is>
          <t>C1798</t>
        </is>
      </c>
      <c r="C6799" t="n">
        <v>3</v>
      </c>
      <c r="D6799" t="inlineStr">
        <is>
          <t>Hub C</t>
        </is>
      </c>
      <c r="E6799" t="n">
        <v>24</v>
      </c>
      <c r="F6799" t="n">
        <v>13</v>
      </c>
    </row>
    <row r="6800">
      <c r="A6800" t="inlineStr">
        <is>
          <t>ORD06799</t>
        </is>
      </c>
      <c r="B6800" t="inlineStr">
        <is>
          <t>C1799</t>
        </is>
      </c>
      <c r="C6800" t="n">
        <v>1</v>
      </c>
      <c r="D6800" t="inlineStr">
        <is>
          <t>Hub C</t>
        </is>
      </c>
      <c r="E6800" t="n">
        <v>31</v>
      </c>
      <c r="F6800" t="n">
        <v>13</v>
      </c>
    </row>
    <row r="6801">
      <c r="A6801" t="inlineStr">
        <is>
          <t>ORD06800</t>
        </is>
      </c>
      <c r="B6801" t="inlineStr">
        <is>
          <t>C1800</t>
        </is>
      </c>
      <c r="C6801" t="n">
        <v>2</v>
      </c>
      <c r="D6801" t="inlineStr">
        <is>
          <t>Hub C</t>
        </is>
      </c>
      <c r="E6801" t="n">
        <v>38</v>
      </c>
      <c r="F6801" t="n">
        <v>13</v>
      </c>
    </row>
    <row r="6802">
      <c r="A6802" t="inlineStr">
        <is>
          <t>ORD06801</t>
        </is>
      </c>
      <c r="B6802" t="inlineStr">
        <is>
          <t>C1801</t>
        </is>
      </c>
      <c r="C6802" t="n">
        <v>3</v>
      </c>
      <c r="D6802" t="inlineStr">
        <is>
          <t>Hub C</t>
        </is>
      </c>
      <c r="E6802" t="n">
        <v>45</v>
      </c>
      <c r="F6802" t="n">
        <v>13</v>
      </c>
    </row>
    <row r="6803">
      <c r="A6803" t="inlineStr">
        <is>
          <t>ORD06802</t>
        </is>
      </c>
      <c r="B6803" t="inlineStr">
        <is>
          <t>C1802</t>
        </is>
      </c>
      <c r="C6803" t="n">
        <v>1</v>
      </c>
      <c r="D6803" t="inlineStr">
        <is>
          <t>Hub C</t>
        </is>
      </c>
      <c r="E6803" t="n">
        <v>52</v>
      </c>
      <c r="F6803" t="n">
        <v>13</v>
      </c>
    </row>
    <row r="6804">
      <c r="A6804" t="inlineStr">
        <is>
          <t>ORD06803</t>
        </is>
      </c>
      <c r="B6804" t="inlineStr">
        <is>
          <t>C1803</t>
        </is>
      </c>
      <c r="C6804" t="n">
        <v>2</v>
      </c>
      <c r="D6804" t="inlineStr">
        <is>
          <t>Hub C</t>
        </is>
      </c>
      <c r="E6804" t="n">
        <v>59</v>
      </c>
      <c r="F6804" t="n">
        <v>13</v>
      </c>
    </row>
    <row r="6805">
      <c r="A6805" t="inlineStr">
        <is>
          <t>ORD06804</t>
        </is>
      </c>
      <c r="B6805" t="inlineStr">
        <is>
          <t>C1804</t>
        </is>
      </c>
      <c r="C6805" t="n">
        <v>3</v>
      </c>
      <c r="D6805" t="inlineStr">
        <is>
          <t>Hub C</t>
        </is>
      </c>
      <c r="E6805" t="n">
        <v>66</v>
      </c>
      <c r="F6805" t="n">
        <v>13</v>
      </c>
    </row>
    <row r="6806">
      <c r="A6806" t="inlineStr">
        <is>
          <t>ORD06805</t>
        </is>
      </c>
      <c r="B6806" t="inlineStr">
        <is>
          <t>C1805</t>
        </is>
      </c>
      <c r="C6806" t="n">
        <v>1</v>
      </c>
      <c r="D6806" t="inlineStr">
        <is>
          <t>Hub C</t>
        </is>
      </c>
      <c r="E6806" t="n">
        <v>73</v>
      </c>
      <c r="F6806" t="n">
        <v>13</v>
      </c>
    </row>
    <row r="6807">
      <c r="A6807" t="inlineStr">
        <is>
          <t>ORD06806</t>
        </is>
      </c>
      <c r="B6807" t="inlineStr">
        <is>
          <t>C1806</t>
        </is>
      </c>
      <c r="C6807" t="n">
        <v>2</v>
      </c>
      <c r="D6807" t="inlineStr">
        <is>
          <t>Hub C</t>
        </is>
      </c>
      <c r="E6807" t="n">
        <v>20</v>
      </c>
      <c r="F6807" t="n">
        <v>13</v>
      </c>
    </row>
    <row r="6808">
      <c r="A6808" t="inlineStr">
        <is>
          <t>ORD06807</t>
        </is>
      </c>
      <c r="B6808" t="inlineStr">
        <is>
          <t>C1807</t>
        </is>
      </c>
      <c r="C6808" t="n">
        <v>3</v>
      </c>
      <c r="D6808" t="inlineStr">
        <is>
          <t>Hub C</t>
        </is>
      </c>
      <c r="E6808" t="n">
        <v>27</v>
      </c>
      <c r="F6808" t="n">
        <v>13</v>
      </c>
    </row>
    <row r="6809">
      <c r="A6809" t="inlineStr">
        <is>
          <t>ORD06808</t>
        </is>
      </c>
      <c r="B6809" t="inlineStr">
        <is>
          <t>C1808</t>
        </is>
      </c>
      <c r="C6809" t="n">
        <v>1</v>
      </c>
      <c r="D6809" t="inlineStr">
        <is>
          <t>Hub C</t>
        </is>
      </c>
      <c r="E6809" t="n">
        <v>34</v>
      </c>
      <c r="F6809" t="n">
        <v>13</v>
      </c>
    </row>
    <row r="6810">
      <c r="A6810" t="inlineStr">
        <is>
          <t>ORD06809</t>
        </is>
      </c>
      <c r="B6810" t="inlineStr">
        <is>
          <t>C1809</t>
        </is>
      </c>
      <c r="C6810" t="n">
        <v>2</v>
      </c>
      <c r="D6810" t="inlineStr">
        <is>
          <t>Hub C</t>
        </is>
      </c>
      <c r="E6810" t="n">
        <v>41</v>
      </c>
      <c r="F6810" t="n">
        <v>13</v>
      </c>
    </row>
    <row r="6811">
      <c r="A6811" t="inlineStr">
        <is>
          <t>ORD06810</t>
        </is>
      </c>
      <c r="B6811" t="inlineStr">
        <is>
          <t>C1810</t>
        </is>
      </c>
      <c r="C6811" t="n">
        <v>3</v>
      </c>
      <c r="D6811" t="inlineStr">
        <is>
          <t>Hub C</t>
        </is>
      </c>
      <c r="E6811" t="n">
        <v>48</v>
      </c>
      <c r="F6811" t="n">
        <v>13</v>
      </c>
    </row>
    <row r="6812">
      <c r="A6812" t="inlineStr">
        <is>
          <t>ORD06811</t>
        </is>
      </c>
      <c r="B6812" t="inlineStr">
        <is>
          <t>C1811</t>
        </is>
      </c>
      <c r="C6812" t="n">
        <v>1</v>
      </c>
      <c r="D6812" t="inlineStr">
        <is>
          <t>Hub C</t>
        </is>
      </c>
      <c r="E6812" t="n">
        <v>55</v>
      </c>
      <c r="F6812" t="n">
        <v>13</v>
      </c>
    </row>
    <row r="6813">
      <c r="A6813" t="inlineStr">
        <is>
          <t>ORD06812</t>
        </is>
      </c>
      <c r="B6813" t="inlineStr">
        <is>
          <t>C1812</t>
        </is>
      </c>
      <c r="C6813" t="n">
        <v>2</v>
      </c>
      <c r="D6813" t="inlineStr">
        <is>
          <t>Hub C</t>
        </is>
      </c>
      <c r="E6813" t="n">
        <v>62</v>
      </c>
      <c r="F6813" t="n">
        <v>13</v>
      </c>
    </row>
    <row r="6814">
      <c r="A6814" t="inlineStr">
        <is>
          <t>ORD06813</t>
        </is>
      </c>
      <c r="B6814" t="inlineStr">
        <is>
          <t>C1813</t>
        </is>
      </c>
      <c r="C6814" t="n">
        <v>3</v>
      </c>
      <c r="D6814" t="inlineStr">
        <is>
          <t>Hub C</t>
        </is>
      </c>
      <c r="E6814" t="n">
        <v>69</v>
      </c>
      <c r="F6814" t="n">
        <v>13</v>
      </c>
    </row>
    <row r="6815">
      <c r="A6815" t="inlineStr">
        <is>
          <t>ORD06814</t>
        </is>
      </c>
      <c r="B6815" t="inlineStr">
        <is>
          <t>C1814</t>
        </is>
      </c>
      <c r="C6815" t="n">
        <v>1</v>
      </c>
      <c r="D6815" t="inlineStr">
        <is>
          <t>Hub C</t>
        </is>
      </c>
      <c r="E6815" t="n">
        <v>76</v>
      </c>
      <c r="F6815" t="n">
        <v>13</v>
      </c>
    </row>
    <row r="6816">
      <c r="A6816" t="inlineStr">
        <is>
          <t>ORD06815</t>
        </is>
      </c>
      <c r="B6816" t="inlineStr">
        <is>
          <t>C1815</t>
        </is>
      </c>
      <c r="C6816" t="n">
        <v>2</v>
      </c>
      <c r="D6816" t="inlineStr">
        <is>
          <t>Hub C</t>
        </is>
      </c>
      <c r="E6816" t="n">
        <v>23</v>
      </c>
      <c r="F6816" t="n">
        <v>13</v>
      </c>
    </row>
    <row r="6817">
      <c r="A6817" t="inlineStr">
        <is>
          <t>ORD06816</t>
        </is>
      </c>
      <c r="B6817" t="inlineStr">
        <is>
          <t>C1816</t>
        </is>
      </c>
      <c r="C6817" t="n">
        <v>3</v>
      </c>
      <c r="D6817" t="inlineStr">
        <is>
          <t>Hub C</t>
        </is>
      </c>
      <c r="E6817" t="n">
        <v>30</v>
      </c>
      <c r="F6817" t="n">
        <v>13</v>
      </c>
    </row>
    <row r="6818">
      <c r="A6818" t="inlineStr">
        <is>
          <t>ORD06817</t>
        </is>
      </c>
      <c r="B6818" t="inlineStr">
        <is>
          <t>C1817</t>
        </is>
      </c>
      <c r="C6818" t="n">
        <v>1</v>
      </c>
      <c r="D6818" t="inlineStr">
        <is>
          <t>Hub C</t>
        </is>
      </c>
      <c r="E6818" t="n">
        <v>37</v>
      </c>
      <c r="F6818" t="n">
        <v>13</v>
      </c>
    </row>
    <row r="6819">
      <c r="A6819" t="inlineStr">
        <is>
          <t>ORD06818</t>
        </is>
      </c>
      <c r="B6819" t="inlineStr">
        <is>
          <t>C1818</t>
        </is>
      </c>
      <c r="C6819" t="n">
        <v>2</v>
      </c>
      <c r="D6819" t="inlineStr">
        <is>
          <t>Hub C</t>
        </is>
      </c>
      <c r="E6819" t="n">
        <v>44</v>
      </c>
      <c r="F6819" t="n">
        <v>13</v>
      </c>
    </row>
    <row r="6820">
      <c r="A6820" t="inlineStr">
        <is>
          <t>ORD06819</t>
        </is>
      </c>
      <c r="B6820" t="inlineStr">
        <is>
          <t>C1819</t>
        </is>
      </c>
      <c r="C6820" t="n">
        <v>3</v>
      </c>
      <c r="D6820" t="inlineStr">
        <is>
          <t>Hub C</t>
        </is>
      </c>
      <c r="E6820" t="n">
        <v>51</v>
      </c>
      <c r="F6820" t="n">
        <v>13</v>
      </c>
    </row>
    <row r="6821">
      <c r="A6821" t="inlineStr">
        <is>
          <t>ORD06820</t>
        </is>
      </c>
      <c r="B6821" t="inlineStr">
        <is>
          <t>C1820</t>
        </is>
      </c>
      <c r="C6821" t="n">
        <v>1</v>
      </c>
      <c r="D6821" t="inlineStr">
        <is>
          <t>Hub C</t>
        </is>
      </c>
      <c r="E6821" t="n">
        <v>58</v>
      </c>
      <c r="F6821" t="n">
        <v>13</v>
      </c>
    </row>
    <row r="6822">
      <c r="A6822" t="inlineStr">
        <is>
          <t>ORD06821</t>
        </is>
      </c>
      <c r="B6822" t="inlineStr">
        <is>
          <t>C1821</t>
        </is>
      </c>
      <c r="C6822" t="n">
        <v>2</v>
      </c>
      <c r="D6822" t="inlineStr">
        <is>
          <t>Hub C</t>
        </is>
      </c>
      <c r="E6822" t="n">
        <v>65</v>
      </c>
      <c r="F6822" t="n">
        <v>13</v>
      </c>
    </row>
    <row r="6823">
      <c r="A6823" t="inlineStr">
        <is>
          <t>ORD06822</t>
        </is>
      </c>
      <c r="B6823" t="inlineStr">
        <is>
          <t>C1822</t>
        </is>
      </c>
      <c r="C6823" t="n">
        <v>3</v>
      </c>
      <c r="D6823" t="inlineStr">
        <is>
          <t>Hub C</t>
        </is>
      </c>
      <c r="E6823" t="n">
        <v>72</v>
      </c>
      <c r="F6823" t="n">
        <v>13</v>
      </c>
    </row>
    <row r="6824">
      <c r="A6824" t="inlineStr">
        <is>
          <t>ORD06823</t>
        </is>
      </c>
      <c r="B6824" t="inlineStr">
        <is>
          <t>C1823</t>
        </is>
      </c>
      <c r="C6824" t="n">
        <v>1</v>
      </c>
      <c r="D6824" t="inlineStr">
        <is>
          <t>Hub C</t>
        </is>
      </c>
      <c r="E6824" t="n">
        <v>19</v>
      </c>
      <c r="F6824" t="n">
        <v>13</v>
      </c>
    </row>
    <row r="6825">
      <c r="A6825" t="inlineStr">
        <is>
          <t>ORD06824</t>
        </is>
      </c>
      <c r="B6825" t="inlineStr">
        <is>
          <t>C1824</t>
        </is>
      </c>
      <c r="C6825" t="n">
        <v>2</v>
      </c>
      <c r="D6825" t="inlineStr">
        <is>
          <t>Hub C</t>
        </is>
      </c>
      <c r="E6825" t="n">
        <v>26</v>
      </c>
      <c r="F6825" t="n">
        <v>13</v>
      </c>
    </row>
    <row r="6826">
      <c r="A6826" t="inlineStr">
        <is>
          <t>ORD06825</t>
        </is>
      </c>
      <c r="B6826" t="inlineStr">
        <is>
          <t>C1825</t>
        </is>
      </c>
      <c r="C6826" t="n">
        <v>3</v>
      </c>
      <c r="D6826" t="inlineStr">
        <is>
          <t>Hub C</t>
        </is>
      </c>
      <c r="E6826" t="n">
        <v>33</v>
      </c>
      <c r="F6826" t="n">
        <v>13</v>
      </c>
    </row>
    <row r="6827">
      <c r="A6827" t="inlineStr">
        <is>
          <t>ORD06826</t>
        </is>
      </c>
      <c r="B6827" t="inlineStr">
        <is>
          <t>C1826</t>
        </is>
      </c>
      <c r="C6827" t="n">
        <v>1</v>
      </c>
      <c r="D6827" t="inlineStr">
        <is>
          <t>Hub C</t>
        </is>
      </c>
      <c r="E6827" t="n">
        <v>40</v>
      </c>
      <c r="F6827" t="n">
        <v>13</v>
      </c>
    </row>
    <row r="6828">
      <c r="A6828" t="inlineStr">
        <is>
          <t>ORD06827</t>
        </is>
      </c>
      <c r="B6828" t="inlineStr">
        <is>
          <t>C1827</t>
        </is>
      </c>
      <c r="C6828" t="n">
        <v>2</v>
      </c>
      <c r="D6828" t="inlineStr">
        <is>
          <t>Hub C</t>
        </is>
      </c>
      <c r="E6828" t="n">
        <v>47</v>
      </c>
      <c r="F6828" t="n">
        <v>13</v>
      </c>
    </row>
    <row r="6829">
      <c r="A6829" t="inlineStr">
        <is>
          <t>ORD06828</t>
        </is>
      </c>
      <c r="B6829" t="inlineStr">
        <is>
          <t>C1828</t>
        </is>
      </c>
      <c r="C6829" t="n">
        <v>3</v>
      </c>
      <c r="D6829" t="inlineStr">
        <is>
          <t>Hub C</t>
        </is>
      </c>
      <c r="E6829" t="n">
        <v>54</v>
      </c>
      <c r="F6829" t="n">
        <v>13</v>
      </c>
    </row>
    <row r="6830">
      <c r="A6830" t="inlineStr">
        <is>
          <t>ORD06829</t>
        </is>
      </c>
      <c r="B6830" t="inlineStr">
        <is>
          <t>C1829</t>
        </is>
      </c>
      <c r="C6830" t="n">
        <v>1</v>
      </c>
      <c r="D6830" t="inlineStr">
        <is>
          <t>Hub C</t>
        </is>
      </c>
      <c r="E6830" t="n">
        <v>61</v>
      </c>
      <c r="F6830" t="n">
        <v>13</v>
      </c>
    </row>
    <row r="6831">
      <c r="A6831" t="inlineStr">
        <is>
          <t>ORD06830</t>
        </is>
      </c>
      <c r="B6831" t="inlineStr">
        <is>
          <t>C1830</t>
        </is>
      </c>
      <c r="C6831" t="n">
        <v>2</v>
      </c>
      <c r="D6831" t="inlineStr">
        <is>
          <t>Hub C</t>
        </is>
      </c>
      <c r="E6831" t="n">
        <v>68</v>
      </c>
      <c r="F6831" t="n">
        <v>13</v>
      </c>
    </row>
    <row r="6832">
      <c r="A6832" t="inlineStr">
        <is>
          <t>ORD06831</t>
        </is>
      </c>
      <c r="B6832" t="inlineStr">
        <is>
          <t>C1831</t>
        </is>
      </c>
      <c r="C6832" t="n">
        <v>3</v>
      </c>
      <c r="D6832" t="inlineStr">
        <is>
          <t>Hub C</t>
        </is>
      </c>
      <c r="E6832" t="n">
        <v>75</v>
      </c>
      <c r="F6832" t="n">
        <v>13</v>
      </c>
    </row>
    <row r="6833">
      <c r="A6833" t="inlineStr">
        <is>
          <t>ORD06832</t>
        </is>
      </c>
      <c r="B6833" t="inlineStr">
        <is>
          <t>C1832</t>
        </is>
      </c>
      <c r="C6833" t="n">
        <v>1</v>
      </c>
      <c r="D6833" t="inlineStr">
        <is>
          <t>Hub C</t>
        </is>
      </c>
      <c r="E6833" t="n">
        <v>22</v>
      </c>
      <c r="F6833" t="n">
        <v>13</v>
      </c>
    </row>
    <row r="6834">
      <c r="A6834" t="inlineStr">
        <is>
          <t>ORD06833</t>
        </is>
      </c>
      <c r="B6834" t="inlineStr">
        <is>
          <t>C1833</t>
        </is>
      </c>
      <c r="C6834" t="n">
        <v>2</v>
      </c>
      <c r="D6834" t="inlineStr">
        <is>
          <t>Hub C</t>
        </is>
      </c>
      <c r="E6834" t="n">
        <v>29</v>
      </c>
      <c r="F6834" t="n">
        <v>13</v>
      </c>
    </row>
    <row r="6835">
      <c r="A6835" t="inlineStr">
        <is>
          <t>ORD06834</t>
        </is>
      </c>
      <c r="B6835" t="inlineStr">
        <is>
          <t>C1834</t>
        </is>
      </c>
      <c r="C6835" t="n">
        <v>3</v>
      </c>
      <c r="D6835" t="inlineStr">
        <is>
          <t>Hub C</t>
        </is>
      </c>
      <c r="E6835" t="n">
        <v>36</v>
      </c>
      <c r="F6835" t="n">
        <v>13</v>
      </c>
    </row>
    <row r="6836">
      <c r="A6836" t="inlineStr">
        <is>
          <t>ORD06835</t>
        </is>
      </c>
      <c r="B6836" t="inlineStr">
        <is>
          <t>C1835</t>
        </is>
      </c>
      <c r="C6836" t="n">
        <v>1</v>
      </c>
      <c r="D6836" t="inlineStr">
        <is>
          <t>Hub C</t>
        </is>
      </c>
      <c r="E6836" t="n">
        <v>43</v>
      </c>
      <c r="F6836" t="n">
        <v>13</v>
      </c>
    </row>
    <row r="6837">
      <c r="A6837" t="inlineStr">
        <is>
          <t>ORD06836</t>
        </is>
      </c>
      <c r="B6837" t="inlineStr">
        <is>
          <t>C1836</t>
        </is>
      </c>
      <c r="C6837" t="n">
        <v>2</v>
      </c>
      <c r="D6837" t="inlineStr">
        <is>
          <t>Hub C</t>
        </is>
      </c>
      <c r="E6837" t="n">
        <v>50</v>
      </c>
      <c r="F6837" t="n">
        <v>13</v>
      </c>
    </row>
    <row r="6838">
      <c r="A6838" t="inlineStr">
        <is>
          <t>ORD06837</t>
        </is>
      </c>
      <c r="B6838" t="inlineStr">
        <is>
          <t>C1837</t>
        </is>
      </c>
      <c r="C6838" t="n">
        <v>3</v>
      </c>
      <c r="D6838" t="inlineStr">
        <is>
          <t>Hub C</t>
        </is>
      </c>
      <c r="E6838" t="n">
        <v>57</v>
      </c>
      <c r="F6838" t="n">
        <v>13</v>
      </c>
    </row>
    <row r="6839">
      <c r="A6839" t="inlineStr">
        <is>
          <t>ORD06838</t>
        </is>
      </c>
      <c r="B6839" t="inlineStr">
        <is>
          <t>C1838</t>
        </is>
      </c>
      <c r="C6839" t="n">
        <v>1</v>
      </c>
      <c r="D6839" t="inlineStr">
        <is>
          <t>Hub C</t>
        </is>
      </c>
      <c r="E6839" t="n">
        <v>64</v>
      </c>
      <c r="F6839" t="n">
        <v>13</v>
      </c>
    </row>
    <row r="6840">
      <c r="A6840" t="inlineStr">
        <is>
          <t>ORD06839</t>
        </is>
      </c>
      <c r="B6840" t="inlineStr">
        <is>
          <t>C1839</t>
        </is>
      </c>
      <c r="C6840" t="n">
        <v>2</v>
      </c>
      <c r="D6840" t="inlineStr">
        <is>
          <t>Hub C</t>
        </is>
      </c>
      <c r="E6840" t="n">
        <v>71</v>
      </c>
      <c r="F6840" t="n">
        <v>13</v>
      </c>
    </row>
    <row r="6841">
      <c r="A6841" t="inlineStr">
        <is>
          <t>ORD06840</t>
        </is>
      </c>
      <c r="B6841" t="inlineStr">
        <is>
          <t>C1840</t>
        </is>
      </c>
      <c r="C6841" t="n">
        <v>3</v>
      </c>
      <c r="D6841" t="inlineStr">
        <is>
          <t>Hub C</t>
        </is>
      </c>
      <c r="E6841" t="n">
        <v>18</v>
      </c>
      <c r="F6841" t="n">
        <v>13</v>
      </c>
    </row>
    <row r="6842">
      <c r="A6842" t="inlineStr">
        <is>
          <t>ORD06841</t>
        </is>
      </c>
      <c r="B6842" t="inlineStr">
        <is>
          <t>C1841</t>
        </is>
      </c>
      <c r="C6842" t="n">
        <v>1</v>
      </c>
      <c r="D6842" t="inlineStr">
        <is>
          <t>Hub C</t>
        </is>
      </c>
      <c r="E6842" t="n">
        <v>25</v>
      </c>
      <c r="F6842" t="n">
        <v>13</v>
      </c>
    </row>
    <row r="6843">
      <c r="A6843" t="inlineStr">
        <is>
          <t>ORD06842</t>
        </is>
      </c>
      <c r="B6843" t="inlineStr">
        <is>
          <t>C1842</t>
        </is>
      </c>
      <c r="C6843" t="n">
        <v>2</v>
      </c>
      <c r="D6843" t="inlineStr">
        <is>
          <t>Hub C</t>
        </is>
      </c>
      <c r="E6843" t="n">
        <v>32</v>
      </c>
      <c r="F6843" t="n">
        <v>13</v>
      </c>
    </row>
    <row r="6844">
      <c r="A6844" t="inlineStr">
        <is>
          <t>ORD06843</t>
        </is>
      </c>
      <c r="B6844" t="inlineStr">
        <is>
          <t>C1843</t>
        </is>
      </c>
      <c r="C6844" t="n">
        <v>3</v>
      </c>
      <c r="D6844" t="inlineStr">
        <is>
          <t>Hub C</t>
        </is>
      </c>
      <c r="E6844" t="n">
        <v>39</v>
      </c>
      <c r="F6844" t="n">
        <v>13</v>
      </c>
    </row>
    <row r="6845">
      <c r="A6845" t="inlineStr">
        <is>
          <t>ORD06844</t>
        </is>
      </c>
      <c r="B6845" t="inlineStr">
        <is>
          <t>C1844</t>
        </is>
      </c>
      <c r="C6845" t="n">
        <v>1</v>
      </c>
      <c r="D6845" t="inlineStr">
        <is>
          <t>Hub C</t>
        </is>
      </c>
      <c r="E6845" t="n">
        <v>46</v>
      </c>
      <c r="F6845" t="n">
        <v>13</v>
      </c>
    </row>
    <row r="6846">
      <c r="A6846" t="inlineStr">
        <is>
          <t>ORD06845</t>
        </is>
      </c>
      <c r="B6846" t="inlineStr">
        <is>
          <t>C1845</t>
        </is>
      </c>
      <c r="C6846" t="n">
        <v>2</v>
      </c>
      <c r="D6846" t="inlineStr">
        <is>
          <t>Hub C</t>
        </is>
      </c>
      <c r="E6846" t="n">
        <v>53</v>
      </c>
      <c r="F6846" t="n">
        <v>13</v>
      </c>
    </row>
    <row r="6847">
      <c r="A6847" t="inlineStr">
        <is>
          <t>ORD06846</t>
        </is>
      </c>
      <c r="B6847" t="inlineStr">
        <is>
          <t>C1846</t>
        </is>
      </c>
      <c r="C6847" t="n">
        <v>3</v>
      </c>
      <c r="D6847" t="inlineStr">
        <is>
          <t>Hub C</t>
        </is>
      </c>
      <c r="E6847" t="n">
        <v>60</v>
      </c>
      <c r="F6847" t="n">
        <v>13</v>
      </c>
    </row>
    <row r="6848">
      <c r="A6848" t="inlineStr">
        <is>
          <t>ORD06847</t>
        </is>
      </c>
      <c r="B6848" t="inlineStr">
        <is>
          <t>C1847</t>
        </is>
      </c>
      <c r="C6848" t="n">
        <v>1</v>
      </c>
      <c r="D6848" t="inlineStr">
        <is>
          <t>Hub C</t>
        </is>
      </c>
      <c r="E6848" t="n">
        <v>67</v>
      </c>
      <c r="F6848" t="n">
        <v>13</v>
      </c>
    </row>
    <row r="6849">
      <c r="A6849" t="inlineStr">
        <is>
          <t>ORD06848</t>
        </is>
      </c>
      <c r="B6849" t="inlineStr">
        <is>
          <t>C1848</t>
        </is>
      </c>
      <c r="C6849" t="n">
        <v>2</v>
      </c>
      <c r="D6849" t="inlineStr">
        <is>
          <t>Hub C</t>
        </is>
      </c>
      <c r="E6849" t="n">
        <v>74</v>
      </c>
      <c r="F6849" t="n">
        <v>13</v>
      </c>
    </row>
    <row r="6850">
      <c r="A6850" t="inlineStr">
        <is>
          <t>ORD06849</t>
        </is>
      </c>
      <c r="B6850" t="inlineStr">
        <is>
          <t>C1849</t>
        </is>
      </c>
      <c r="C6850" t="n">
        <v>3</v>
      </c>
      <c r="D6850" t="inlineStr">
        <is>
          <t>Hub C</t>
        </is>
      </c>
      <c r="E6850" t="n">
        <v>21</v>
      </c>
      <c r="F6850" t="n">
        <v>13</v>
      </c>
    </row>
    <row r="6851">
      <c r="A6851" t="inlineStr">
        <is>
          <t>ORD06850</t>
        </is>
      </c>
      <c r="B6851" t="inlineStr">
        <is>
          <t>C1850</t>
        </is>
      </c>
      <c r="C6851" t="n">
        <v>1</v>
      </c>
      <c r="D6851" t="inlineStr">
        <is>
          <t>Hub C</t>
        </is>
      </c>
      <c r="E6851" t="n">
        <v>28</v>
      </c>
      <c r="F6851" t="n">
        <v>13</v>
      </c>
    </row>
    <row r="6852">
      <c r="A6852" t="inlineStr">
        <is>
          <t>ORD06851</t>
        </is>
      </c>
      <c r="B6852" t="inlineStr">
        <is>
          <t>C1851</t>
        </is>
      </c>
      <c r="C6852" t="n">
        <v>2</v>
      </c>
      <c r="D6852" t="inlineStr">
        <is>
          <t>Hub C</t>
        </is>
      </c>
      <c r="E6852" t="n">
        <v>35</v>
      </c>
      <c r="F6852" t="n">
        <v>13</v>
      </c>
    </row>
    <row r="6853">
      <c r="A6853" t="inlineStr">
        <is>
          <t>ORD06852</t>
        </is>
      </c>
      <c r="B6853" t="inlineStr">
        <is>
          <t>C1852</t>
        </is>
      </c>
      <c r="C6853" t="n">
        <v>3</v>
      </c>
      <c r="D6853" t="inlineStr">
        <is>
          <t>Hub C</t>
        </is>
      </c>
      <c r="E6853" t="n">
        <v>42</v>
      </c>
      <c r="F6853" t="n">
        <v>13</v>
      </c>
    </row>
    <row r="6854">
      <c r="A6854" t="inlineStr">
        <is>
          <t>ORD06853</t>
        </is>
      </c>
      <c r="B6854" t="inlineStr">
        <is>
          <t>C1853</t>
        </is>
      </c>
      <c r="C6854" t="n">
        <v>1</v>
      </c>
      <c r="D6854" t="inlineStr">
        <is>
          <t>Hub C</t>
        </is>
      </c>
      <c r="E6854" t="n">
        <v>49</v>
      </c>
      <c r="F6854" t="n">
        <v>13</v>
      </c>
    </row>
    <row r="6855">
      <c r="A6855" t="inlineStr">
        <is>
          <t>ORD06854</t>
        </is>
      </c>
      <c r="B6855" t="inlineStr">
        <is>
          <t>C1854</t>
        </is>
      </c>
      <c r="C6855" t="n">
        <v>2</v>
      </c>
      <c r="D6855" t="inlineStr">
        <is>
          <t>Hub C</t>
        </is>
      </c>
      <c r="E6855" t="n">
        <v>56</v>
      </c>
      <c r="F6855" t="n">
        <v>13</v>
      </c>
    </row>
    <row r="6856">
      <c r="A6856" t="inlineStr">
        <is>
          <t>ORD06855</t>
        </is>
      </c>
      <c r="B6856" t="inlineStr">
        <is>
          <t>C1855</t>
        </is>
      </c>
      <c r="C6856" t="n">
        <v>3</v>
      </c>
      <c r="D6856" t="inlineStr">
        <is>
          <t>Hub C</t>
        </is>
      </c>
      <c r="E6856" t="n">
        <v>63</v>
      </c>
      <c r="F6856" t="n">
        <v>13</v>
      </c>
    </row>
    <row r="6857">
      <c r="A6857" t="inlineStr">
        <is>
          <t>ORD06856</t>
        </is>
      </c>
      <c r="B6857" t="inlineStr">
        <is>
          <t>C1856</t>
        </is>
      </c>
      <c r="C6857" t="n">
        <v>1</v>
      </c>
      <c r="D6857" t="inlineStr">
        <is>
          <t>Hub C</t>
        </is>
      </c>
      <c r="E6857" t="n">
        <v>70</v>
      </c>
      <c r="F6857" t="n">
        <v>13</v>
      </c>
    </row>
    <row r="6858">
      <c r="A6858" t="inlineStr">
        <is>
          <t>ORD06857</t>
        </is>
      </c>
      <c r="B6858" t="inlineStr">
        <is>
          <t>C1857</t>
        </is>
      </c>
      <c r="C6858" t="n">
        <v>2</v>
      </c>
      <c r="D6858" t="inlineStr">
        <is>
          <t>Hub C</t>
        </is>
      </c>
      <c r="E6858" t="n">
        <v>77</v>
      </c>
      <c r="F6858" t="n">
        <v>13</v>
      </c>
    </row>
    <row r="6859">
      <c r="A6859" t="inlineStr">
        <is>
          <t>ORD06858</t>
        </is>
      </c>
      <c r="B6859" t="inlineStr">
        <is>
          <t>C1858</t>
        </is>
      </c>
      <c r="C6859" t="n">
        <v>3</v>
      </c>
      <c r="D6859" t="inlineStr">
        <is>
          <t>Hub C</t>
        </is>
      </c>
      <c r="E6859" t="n">
        <v>24</v>
      </c>
      <c r="F6859" t="n">
        <v>13</v>
      </c>
    </row>
    <row r="6860">
      <c r="A6860" t="inlineStr">
        <is>
          <t>ORD06859</t>
        </is>
      </c>
      <c r="B6860" t="inlineStr">
        <is>
          <t>C1859</t>
        </is>
      </c>
      <c r="C6860" t="n">
        <v>1</v>
      </c>
      <c r="D6860" t="inlineStr">
        <is>
          <t>Hub C</t>
        </is>
      </c>
      <c r="E6860" t="n">
        <v>31</v>
      </c>
      <c r="F6860" t="n">
        <v>13</v>
      </c>
    </row>
    <row r="6861">
      <c r="A6861" t="inlineStr">
        <is>
          <t>ORD06860</t>
        </is>
      </c>
      <c r="B6861" t="inlineStr">
        <is>
          <t>C1860</t>
        </is>
      </c>
      <c r="C6861" t="n">
        <v>2</v>
      </c>
      <c r="D6861" t="inlineStr">
        <is>
          <t>Hub C</t>
        </is>
      </c>
      <c r="E6861" t="n">
        <v>38</v>
      </c>
      <c r="F6861" t="n">
        <v>13</v>
      </c>
    </row>
    <row r="6862">
      <c r="A6862" t="inlineStr">
        <is>
          <t>ORD06861</t>
        </is>
      </c>
      <c r="B6862" t="inlineStr">
        <is>
          <t>C1861</t>
        </is>
      </c>
      <c r="C6862" t="n">
        <v>3</v>
      </c>
      <c r="D6862" t="inlineStr">
        <is>
          <t>Hub C</t>
        </is>
      </c>
      <c r="E6862" t="n">
        <v>45</v>
      </c>
      <c r="F6862" t="n">
        <v>13</v>
      </c>
    </row>
    <row r="6863">
      <c r="A6863" t="inlineStr">
        <is>
          <t>ORD06862</t>
        </is>
      </c>
      <c r="B6863" t="inlineStr">
        <is>
          <t>C1862</t>
        </is>
      </c>
      <c r="C6863" t="n">
        <v>1</v>
      </c>
      <c r="D6863" t="inlineStr">
        <is>
          <t>Hub C</t>
        </is>
      </c>
      <c r="E6863" t="n">
        <v>52</v>
      </c>
      <c r="F6863" t="n">
        <v>13</v>
      </c>
    </row>
    <row r="6864">
      <c r="A6864" t="inlineStr">
        <is>
          <t>ORD06863</t>
        </is>
      </c>
      <c r="B6864" t="inlineStr">
        <is>
          <t>C1863</t>
        </is>
      </c>
      <c r="C6864" t="n">
        <v>2</v>
      </c>
      <c r="D6864" t="inlineStr">
        <is>
          <t>Hub C</t>
        </is>
      </c>
      <c r="E6864" t="n">
        <v>59</v>
      </c>
      <c r="F6864" t="n">
        <v>13</v>
      </c>
    </row>
    <row r="6865">
      <c r="A6865" t="inlineStr">
        <is>
          <t>ORD06864</t>
        </is>
      </c>
      <c r="B6865" t="inlineStr">
        <is>
          <t>C1864</t>
        </is>
      </c>
      <c r="C6865" t="n">
        <v>3</v>
      </c>
      <c r="D6865" t="inlineStr">
        <is>
          <t>Hub C</t>
        </is>
      </c>
      <c r="E6865" t="n">
        <v>66</v>
      </c>
      <c r="F6865" t="n">
        <v>13</v>
      </c>
    </row>
    <row r="6866">
      <c r="A6866" t="inlineStr">
        <is>
          <t>ORD06865</t>
        </is>
      </c>
      <c r="B6866" t="inlineStr">
        <is>
          <t>C1865</t>
        </is>
      </c>
      <c r="C6866" t="n">
        <v>1</v>
      </c>
      <c r="D6866" t="inlineStr">
        <is>
          <t>Hub C</t>
        </is>
      </c>
      <c r="E6866" t="n">
        <v>73</v>
      </c>
      <c r="F6866" t="n">
        <v>13</v>
      </c>
    </row>
    <row r="6867">
      <c r="A6867" t="inlineStr">
        <is>
          <t>ORD06866</t>
        </is>
      </c>
      <c r="B6867" t="inlineStr">
        <is>
          <t>C1866</t>
        </is>
      </c>
      <c r="C6867" t="n">
        <v>2</v>
      </c>
      <c r="D6867" t="inlineStr">
        <is>
          <t>Hub C</t>
        </is>
      </c>
      <c r="E6867" t="n">
        <v>20</v>
      </c>
      <c r="F6867" t="n">
        <v>13</v>
      </c>
    </row>
    <row r="6868">
      <c r="A6868" t="inlineStr">
        <is>
          <t>ORD06867</t>
        </is>
      </c>
      <c r="B6868" t="inlineStr">
        <is>
          <t>C1867</t>
        </is>
      </c>
      <c r="C6868" t="n">
        <v>3</v>
      </c>
      <c r="D6868" t="inlineStr">
        <is>
          <t>Hub C</t>
        </is>
      </c>
      <c r="E6868" t="n">
        <v>27</v>
      </c>
      <c r="F6868" t="n">
        <v>13</v>
      </c>
    </row>
    <row r="6869">
      <c r="A6869" t="inlineStr">
        <is>
          <t>ORD06868</t>
        </is>
      </c>
      <c r="B6869" t="inlineStr">
        <is>
          <t>C1868</t>
        </is>
      </c>
      <c r="C6869" t="n">
        <v>1</v>
      </c>
      <c r="D6869" t="inlineStr">
        <is>
          <t>Hub C</t>
        </is>
      </c>
      <c r="E6869" t="n">
        <v>34</v>
      </c>
      <c r="F6869" t="n">
        <v>13</v>
      </c>
    </row>
    <row r="6870">
      <c r="A6870" t="inlineStr">
        <is>
          <t>ORD06869</t>
        </is>
      </c>
      <c r="B6870" t="inlineStr">
        <is>
          <t>C1869</t>
        </is>
      </c>
      <c r="C6870" t="n">
        <v>2</v>
      </c>
      <c r="D6870" t="inlineStr">
        <is>
          <t>Hub C</t>
        </is>
      </c>
      <c r="E6870" t="n">
        <v>41</v>
      </c>
      <c r="F6870" t="n">
        <v>13</v>
      </c>
    </row>
    <row r="6871">
      <c r="A6871" t="inlineStr">
        <is>
          <t>ORD06870</t>
        </is>
      </c>
      <c r="B6871" t="inlineStr">
        <is>
          <t>C1870</t>
        </is>
      </c>
      <c r="C6871" t="n">
        <v>3</v>
      </c>
      <c r="D6871" t="inlineStr">
        <is>
          <t>Hub C</t>
        </is>
      </c>
      <c r="E6871" t="n">
        <v>48</v>
      </c>
      <c r="F6871" t="n">
        <v>13</v>
      </c>
    </row>
    <row r="6872">
      <c r="A6872" t="inlineStr">
        <is>
          <t>ORD06871</t>
        </is>
      </c>
      <c r="B6872" t="inlineStr">
        <is>
          <t>C1871</t>
        </is>
      </c>
      <c r="C6872" t="n">
        <v>1</v>
      </c>
      <c r="D6872" t="inlineStr">
        <is>
          <t>Hub C</t>
        </is>
      </c>
      <c r="E6872" t="n">
        <v>55</v>
      </c>
      <c r="F6872" t="n">
        <v>13</v>
      </c>
    </row>
    <row r="6873">
      <c r="A6873" t="inlineStr">
        <is>
          <t>ORD06872</t>
        </is>
      </c>
      <c r="B6873" t="inlineStr">
        <is>
          <t>C1872</t>
        </is>
      </c>
      <c r="C6873" t="n">
        <v>2</v>
      </c>
      <c r="D6873" t="inlineStr">
        <is>
          <t>Hub C</t>
        </is>
      </c>
      <c r="E6873" t="n">
        <v>62</v>
      </c>
      <c r="F6873" t="n">
        <v>13</v>
      </c>
    </row>
    <row r="6874">
      <c r="A6874" t="inlineStr">
        <is>
          <t>ORD06873</t>
        </is>
      </c>
      <c r="B6874" t="inlineStr">
        <is>
          <t>C1873</t>
        </is>
      </c>
      <c r="C6874" t="n">
        <v>3</v>
      </c>
      <c r="D6874" t="inlineStr">
        <is>
          <t>Hub C</t>
        </is>
      </c>
      <c r="E6874" t="n">
        <v>69</v>
      </c>
      <c r="F6874" t="n">
        <v>13</v>
      </c>
    </row>
    <row r="6875">
      <c r="A6875" t="inlineStr">
        <is>
          <t>ORD06874</t>
        </is>
      </c>
      <c r="B6875" t="inlineStr">
        <is>
          <t>C1874</t>
        </is>
      </c>
      <c r="C6875" t="n">
        <v>1</v>
      </c>
      <c r="D6875" t="inlineStr">
        <is>
          <t>Hub C</t>
        </is>
      </c>
      <c r="E6875" t="n">
        <v>76</v>
      </c>
      <c r="F6875" t="n">
        <v>13</v>
      </c>
    </row>
    <row r="6876">
      <c r="A6876" t="inlineStr">
        <is>
          <t>ORD06875</t>
        </is>
      </c>
      <c r="B6876" t="inlineStr">
        <is>
          <t>C1875</t>
        </is>
      </c>
      <c r="C6876" t="n">
        <v>2</v>
      </c>
      <c r="D6876" t="inlineStr">
        <is>
          <t>Hub C</t>
        </is>
      </c>
      <c r="E6876" t="n">
        <v>23</v>
      </c>
      <c r="F6876" t="n">
        <v>13</v>
      </c>
    </row>
    <row r="6877">
      <c r="A6877" t="inlineStr">
        <is>
          <t>ORD06876</t>
        </is>
      </c>
      <c r="B6877" t="inlineStr">
        <is>
          <t>C1876</t>
        </is>
      </c>
      <c r="C6877" t="n">
        <v>3</v>
      </c>
      <c r="D6877" t="inlineStr">
        <is>
          <t>Hub C</t>
        </is>
      </c>
      <c r="E6877" t="n">
        <v>30</v>
      </c>
      <c r="F6877" t="n">
        <v>13</v>
      </c>
    </row>
    <row r="6878">
      <c r="A6878" t="inlineStr">
        <is>
          <t>ORD06877</t>
        </is>
      </c>
      <c r="B6878" t="inlineStr">
        <is>
          <t>C1877</t>
        </is>
      </c>
      <c r="C6878" t="n">
        <v>1</v>
      </c>
      <c r="D6878" t="inlineStr">
        <is>
          <t>Hub C</t>
        </is>
      </c>
      <c r="E6878" t="n">
        <v>37</v>
      </c>
      <c r="F6878" t="n">
        <v>13</v>
      </c>
    </row>
    <row r="6879">
      <c r="A6879" t="inlineStr">
        <is>
          <t>ORD06878</t>
        </is>
      </c>
      <c r="B6879" t="inlineStr">
        <is>
          <t>C1878</t>
        </is>
      </c>
      <c r="C6879" t="n">
        <v>2</v>
      </c>
      <c r="D6879" t="inlineStr">
        <is>
          <t>Hub C</t>
        </is>
      </c>
      <c r="E6879" t="n">
        <v>44</v>
      </c>
      <c r="F6879" t="n">
        <v>13</v>
      </c>
    </row>
    <row r="6880">
      <c r="A6880" t="inlineStr">
        <is>
          <t>ORD06879</t>
        </is>
      </c>
      <c r="B6880" t="inlineStr">
        <is>
          <t>C1879</t>
        </is>
      </c>
      <c r="C6880" t="n">
        <v>3</v>
      </c>
      <c r="D6880" t="inlineStr">
        <is>
          <t>Hub C</t>
        </is>
      </c>
      <c r="E6880" t="n">
        <v>51</v>
      </c>
      <c r="F6880" t="n">
        <v>13</v>
      </c>
    </row>
    <row r="6881">
      <c r="A6881" t="inlineStr">
        <is>
          <t>ORD06880</t>
        </is>
      </c>
      <c r="B6881" t="inlineStr">
        <is>
          <t>C1880</t>
        </is>
      </c>
      <c r="C6881" t="n">
        <v>1</v>
      </c>
      <c r="D6881" t="inlineStr">
        <is>
          <t>Hub C</t>
        </is>
      </c>
      <c r="E6881" t="n">
        <v>58</v>
      </c>
      <c r="F6881" t="n">
        <v>13</v>
      </c>
    </row>
    <row r="6882">
      <c r="A6882" t="inlineStr">
        <is>
          <t>ORD06881</t>
        </is>
      </c>
      <c r="B6882" t="inlineStr">
        <is>
          <t>C1881</t>
        </is>
      </c>
      <c r="C6882" t="n">
        <v>2</v>
      </c>
      <c r="D6882" t="inlineStr">
        <is>
          <t>Hub C</t>
        </is>
      </c>
      <c r="E6882" t="n">
        <v>65</v>
      </c>
      <c r="F6882" t="n">
        <v>13</v>
      </c>
    </row>
    <row r="6883">
      <c r="A6883" t="inlineStr">
        <is>
          <t>ORD06882</t>
        </is>
      </c>
      <c r="B6883" t="inlineStr">
        <is>
          <t>C1882</t>
        </is>
      </c>
      <c r="C6883" t="n">
        <v>3</v>
      </c>
      <c r="D6883" t="inlineStr">
        <is>
          <t>Hub C</t>
        </is>
      </c>
      <c r="E6883" t="n">
        <v>72</v>
      </c>
      <c r="F6883" t="n">
        <v>13</v>
      </c>
    </row>
    <row r="6884">
      <c r="A6884" t="inlineStr">
        <is>
          <t>ORD06883</t>
        </is>
      </c>
      <c r="B6884" t="inlineStr">
        <is>
          <t>C1883</t>
        </is>
      </c>
      <c r="C6884" t="n">
        <v>1</v>
      </c>
      <c r="D6884" t="inlineStr">
        <is>
          <t>Hub C</t>
        </is>
      </c>
      <c r="E6884" t="n">
        <v>19</v>
      </c>
      <c r="F6884" t="n">
        <v>13</v>
      </c>
    </row>
    <row r="6885">
      <c r="A6885" t="inlineStr">
        <is>
          <t>ORD06884</t>
        </is>
      </c>
      <c r="B6885" t="inlineStr">
        <is>
          <t>C1884</t>
        </is>
      </c>
      <c r="C6885" t="n">
        <v>2</v>
      </c>
      <c r="D6885" t="inlineStr">
        <is>
          <t>Hub C</t>
        </is>
      </c>
      <c r="E6885" t="n">
        <v>26</v>
      </c>
      <c r="F6885" t="n">
        <v>13</v>
      </c>
    </row>
    <row r="6886">
      <c r="A6886" t="inlineStr">
        <is>
          <t>ORD06885</t>
        </is>
      </c>
      <c r="B6886" t="inlineStr">
        <is>
          <t>C1885</t>
        </is>
      </c>
      <c r="C6886" t="n">
        <v>3</v>
      </c>
      <c r="D6886" t="inlineStr">
        <is>
          <t>Hub C</t>
        </is>
      </c>
      <c r="E6886" t="n">
        <v>33</v>
      </c>
      <c r="F6886" t="n">
        <v>13</v>
      </c>
    </row>
    <row r="6887">
      <c r="A6887" t="inlineStr">
        <is>
          <t>ORD06886</t>
        </is>
      </c>
      <c r="B6887" t="inlineStr">
        <is>
          <t>C1886</t>
        </is>
      </c>
      <c r="C6887" t="n">
        <v>1</v>
      </c>
      <c r="D6887" t="inlineStr">
        <is>
          <t>Hub C</t>
        </is>
      </c>
      <c r="E6887" t="n">
        <v>40</v>
      </c>
      <c r="F6887" t="n">
        <v>13</v>
      </c>
    </row>
    <row r="6888">
      <c r="A6888" t="inlineStr">
        <is>
          <t>ORD06887</t>
        </is>
      </c>
      <c r="B6888" t="inlineStr">
        <is>
          <t>C1887</t>
        </is>
      </c>
      <c r="C6888" t="n">
        <v>2</v>
      </c>
      <c r="D6888" t="inlineStr">
        <is>
          <t>Hub C</t>
        </is>
      </c>
      <c r="E6888" t="n">
        <v>47</v>
      </c>
      <c r="F6888" t="n">
        <v>13</v>
      </c>
    </row>
    <row r="6889">
      <c r="A6889" t="inlineStr">
        <is>
          <t>ORD06888</t>
        </is>
      </c>
      <c r="B6889" t="inlineStr">
        <is>
          <t>C1888</t>
        </is>
      </c>
      <c r="C6889" t="n">
        <v>3</v>
      </c>
      <c r="D6889" t="inlineStr">
        <is>
          <t>Hub C</t>
        </is>
      </c>
      <c r="E6889" t="n">
        <v>54</v>
      </c>
      <c r="F6889" t="n">
        <v>13</v>
      </c>
    </row>
    <row r="6890">
      <c r="A6890" t="inlineStr">
        <is>
          <t>ORD06889</t>
        </is>
      </c>
      <c r="B6890" t="inlineStr">
        <is>
          <t>C1889</t>
        </is>
      </c>
      <c r="C6890" t="n">
        <v>1</v>
      </c>
      <c r="D6890" t="inlineStr">
        <is>
          <t>Hub C</t>
        </is>
      </c>
      <c r="E6890" t="n">
        <v>61</v>
      </c>
      <c r="F6890" t="n">
        <v>13</v>
      </c>
    </row>
    <row r="6891">
      <c r="A6891" t="inlineStr">
        <is>
          <t>ORD06890</t>
        </is>
      </c>
      <c r="B6891" t="inlineStr">
        <is>
          <t>C1890</t>
        </is>
      </c>
      <c r="C6891" t="n">
        <v>2</v>
      </c>
      <c r="D6891" t="inlineStr">
        <is>
          <t>Hub C</t>
        </is>
      </c>
      <c r="E6891" t="n">
        <v>68</v>
      </c>
      <c r="F6891" t="n">
        <v>13</v>
      </c>
    </row>
    <row r="6892">
      <c r="A6892" t="inlineStr">
        <is>
          <t>ORD06891</t>
        </is>
      </c>
      <c r="B6892" t="inlineStr">
        <is>
          <t>C1891</t>
        </is>
      </c>
      <c r="C6892" t="n">
        <v>3</v>
      </c>
      <c r="D6892" t="inlineStr">
        <is>
          <t>Hub C</t>
        </is>
      </c>
      <c r="E6892" t="n">
        <v>75</v>
      </c>
      <c r="F6892" t="n">
        <v>13</v>
      </c>
    </row>
    <row r="6893">
      <c r="A6893" t="inlineStr">
        <is>
          <t>ORD06892</t>
        </is>
      </c>
      <c r="B6893" t="inlineStr">
        <is>
          <t>C1892</t>
        </is>
      </c>
      <c r="C6893" t="n">
        <v>1</v>
      </c>
      <c r="D6893" t="inlineStr">
        <is>
          <t>Hub C</t>
        </is>
      </c>
      <c r="E6893" t="n">
        <v>22</v>
      </c>
      <c r="F6893" t="n">
        <v>13</v>
      </c>
    </row>
    <row r="6894">
      <c r="A6894" t="inlineStr">
        <is>
          <t>ORD06893</t>
        </is>
      </c>
      <c r="B6894" t="inlineStr">
        <is>
          <t>C1893</t>
        </is>
      </c>
      <c r="C6894" t="n">
        <v>2</v>
      </c>
      <c r="D6894" t="inlineStr">
        <is>
          <t>Hub C</t>
        </is>
      </c>
      <c r="E6894" t="n">
        <v>29</v>
      </c>
      <c r="F6894" t="n">
        <v>13</v>
      </c>
    </row>
    <row r="6895">
      <c r="A6895" t="inlineStr">
        <is>
          <t>ORD06894</t>
        </is>
      </c>
      <c r="B6895" t="inlineStr">
        <is>
          <t>C1894</t>
        </is>
      </c>
      <c r="C6895" t="n">
        <v>3</v>
      </c>
      <c r="D6895" t="inlineStr">
        <is>
          <t>Hub C</t>
        </is>
      </c>
      <c r="E6895" t="n">
        <v>36</v>
      </c>
      <c r="F6895" t="n">
        <v>13</v>
      </c>
    </row>
    <row r="6896">
      <c r="A6896" t="inlineStr">
        <is>
          <t>ORD06895</t>
        </is>
      </c>
      <c r="B6896" t="inlineStr">
        <is>
          <t>C1895</t>
        </is>
      </c>
      <c r="C6896" t="n">
        <v>1</v>
      </c>
      <c r="D6896" t="inlineStr">
        <is>
          <t>Hub C</t>
        </is>
      </c>
      <c r="E6896" t="n">
        <v>43</v>
      </c>
      <c r="F6896" t="n">
        <v>13</v>
      </c>
    </row>
    <row r="6897">
      <c r="A6897" t="inlineStr">
        <is>
          <t>ORD06896</t>
        </is>
      </c>
      <c r="B6897" t="inlineStr">
        <is>
          <t>C1896</t>
        </is>
      </c>
      <c r="C6897" t="n">
        <v>2</v>
      </c>
      <c r="D6897" t="inlineStr">
        <is>
          <t>Hub C</t>
        </is>
      </c>
      <c r="E6897" t="n">
        <v>50</v>
      </c>
      <c r="F6897" t="n">
        <v>13</v>
      </c>
    </row>
    <row r="6898">
      <c r="A6898" t="inlineStr">
        <is>
          <t>ORD06897</t>
        </is>
      </c>
      <c r="B6898" t="inlineStr">
        <is>
          <t>C1897</t>
        </is>
      </c>
      <c r="C6898" t="n">
        <v>3</v>
      </c>
      <c r="D6898" t="inlineStr">
        <is>
          <t>Hub C</t>
        </is>
      </c>
      <c r="E6898" t="n">
        <v>57</v>
      </c>
      <c r="F6898" t="n">
        <v>13</v>
      </c>
    </row>
    <row r="6899">
      <c r="A6899" t="inlineStr">
        <is>
          <t>ORD06898</t>
        </is>
      </c>
      <c r="B6899" t="inlineStr">
        <is>
          <t>C1898</t>
        </is>
      </c>
      <c r="C6899" t="n">
        <v>1</v>
      </c>
      <c r="D6899" t="inlineStr">
        <is>
          <t>Hub C</t>
        </is>
      </c>
      <c r="E6899" t="n">
        <v>64</v>
      </c>
      <c r="F6899" t="n">
        <v>13</v>
      </c>
    </row>
    <row r="6900">
      <c r="A6900" t="inlineStr">
        <is>
          <t>ORD06899</t>
        </is>
      </c>
      <c r="B6900" t="inlineStr">
        <is>
          <t>C1899</t>
        </is>
      </c>
      <c r="C6900" t="n">
        <v>2</v>
      </c>
      <c r="D6900" t="inlineStr">
        <is>
          <t>Hub C</t>
        </is>
      </c>
      <c r="E6900" t="n">
        <v>71</v>
      </c>
      <c r="F6900" t="n">
        <v>13</v>
      </c>
    </row>
    <row r="6901">
      <c r="A6901" t="inlineStr">
        <is>
          <t>ORD06900</t>
        </is>
      </c>
      <c r="B6901" t="inlineStr">
        <is>
          <t>C1900</t>
        </is>
      </c>
      <c r="C6901" t="n">
        <v>3</v>
      </c>
      <c r="D6901" t="inlineStr">
        <is>
          <t>Hub C</t>
        </is>
      </c>
      <c r="E6901" t="n">
        <v>18</v>
      </c>
      <c r="F6901" t="n">
        <v>13</v>
      </c>
    </row>
    <row r="6902">
      <c r="A6902" t="inlineStr">
        <is>
          <t>ORD06901</t>
        </is>
      </c>
      <c r="B6902" t="inlineStr">
        <is>
          <t>C1901</t>
        </is>
      </c>
      <c r="C6902" t="n">
        <v>1</v>
      </c>
      <c r="D6902" t="inlineStr">
        <is>
          <t>Hub C</t>
        </is>
      </c>
      <c r="E6902" t="n">
        <v>25</v>
      </c>
      <c r="F6902" t="n">
        <v>13</v>
      </c>
    </row>
    <row r="6903">
      <c r="A6903" t="inlineStr">
        <is>
          <t>ORD06902</t>
        </is>
      </c>
      <c r="B6903" t="inlineStr">
        <is>
          <t>C1902</t>
        </is>
      </c>
      <c r="C6903" t="n">
        <v>2</v>
      </c>
      <c r="D6903" t="inlineStr">
        <is>
          <t>Hub C</t>
        </is>
      </c>
      <c r="E6903" t="n">
        <v>32</v>
      </c>
      <c r="F6903" t="n">
        <v>13</v>
      </c>
    </row>
    <row r="6904">
      <c r="A6904" t="inlineStr">
        <is>
          <t>ORD06903</t>
        </is>
      </c>
      <c r="B6904" t="inlineStr">
        <is>
          <t>C1903</t>
        </is>
      </c>
      <c r="C6904" t="n">
        <v>3</v>
      </c>
      <c r="D6904" t="inlineStr">
        <is>
          <t>Hub C</t>
        </is>
      </c>
      <c r="E6904" t="n">
        <v>39</v>
      </c>
      <c r="F6904" t="n">
        <v>13</v>
      </c>
    </row>
    <row r="6905">
      <c r="A6905" t="inlineStr">
        <is>
          <t>ORD06904</t>
        </is>
      </c>
      <c r="B6905" t="inlineStr">
        <is>
          <t>C1904</t>
        </is>
      </c>
      <c r="C6905" t="n">
        <v>1</v>
      </c>
      <c r="D6905" t="inlineStr">
        <is>
          <t>Hub C</t>
        </is>
      </c>
      <c r="E6905" t="n">
        <v>46</v>
      </c>
      <c r="F6905" t="n">
        <v>13</v>
      </c>
    </row>
    <row r="6906">
      <c r="A6906" t="inlineStr">
        <is>
          <t>ORD06905</t>
        </is>
      </c>
      <c r="B6906" t="inlineStr">
        <is>
          <t>C1905</t>
        </is>
      </c>
      <c r="C6906" t="n">
        <v>2</v>
      </c>
      <c r="D6906" t="inlineStr">
        <is>
          <t>Hub C</t>
        </is>
      </c>
      <c r="E6906" t="n">
        <v>53</v>
      </c>
      <c r="F6906" t="n">
        <v>13</v>
      </c>
    </row>
    <row r="6907">
      <c r="A6907" t="inlineStr">
        <is>
          <t>ORD06906</t>
        </is>
      </c>
      <c r="B6907" t="inlineStr">
        <is>
          <t>C1906</t>
        </is>
      </c>
      <c r="C6907" t="n">
        <v>3</v>
      </c>
      <c r="D6907" t="inlineStr">
        <is>
          <t>Hub C</t>
        </is>
      </c>
      <c r="E6907" t="n">
        <v>60</v>
      </c>
      <c r="F6907" t="n">
        <v>13</v>
      </c>
    </row>
    <row r="6908">
      <c r="A6908" t="inlineStr">
        <is>
          <t>ORD06907</t>
        </is>
      </c>
      <c r="B6908" t="inlineStr">
        <is>
          <t>C1907</t>
        </is>
      </c>
      <c r="C6908" t="n">
        <v>1</v>
      </c>
      <c r="D6908" t="inlineStr">
        <is>
          <t>Hub C</t>
        </is>
      </c>
      <c r="E6908" t="n">
        <v>67</v>
      </c>
      <c r="F6908" t="n">
        <v>13</v>
      </c>
    </row>
    <row r="6909">
      <c r="A6909" t="inlineStr">
        <is>
          <t>ORD06908</t>
        </is>
      </c>
      <c r="B6909" t="inlineStr">
        <is>
          <t>C1908</t>
        </is>
      </c>
      <c r="C6909" t="n">
        <v>2</v>
      </c>
      <c r="D6909" t="inlineStr">
        <is>
          <t>Hub C</t>
        </is>
      </c>
      <c r="E6909" t="n">
        <v>74</v>
      </c>
      <c r="F6909" t="n">
        <v>13</v>
      </c>
    </row>
    <row r="6910">
      <c r="A6910" t="inlineStr">
        <is>
          <t>ORD06909</t>
        </is>
      </c>
      <c r="B6910" t="inlineStr">
        <is>
          <t>C1909</t>
        </is>
      </c>
      <c r="C6910" t="n">
        <v>3</v>
      </c>
      <c r="D6910" t="inlineStr">
        <is>
          <t>Hub C</t>
        </is>
      </c>
      <c r="E6910" t="n">
        <v>21</v>
      </c>
      <c r="F6910" t="n">
        <v>13</v>
      </c>
    </row>
    <row r="6911">
      <c r="A6911" t="inlineStr">
        <is>
          <t>ORD06910</t>
        </is>
      </c>
      <c r="B6911" t="inlineStr">
        <is>
          <t>C1910</t>
        </is>
      </c>
      <c r="C6911" t="n">
        <v>1</v>
      </c>
      <c r="D6911" t="inlineStr">
        <is>
          <t>Hub C</t>
        </is>
      </c>
      <c r="E6911" t="n">
        <v>28</v>
      </c>
      <c r="F6911" t="n">
        <v>13</v>
      </c>
    </row>
    <row r="6912">
      <c r="A6912" t="inlineStr">
        <is>
          <t>ORD06911</t>
        </is>
      </c>
      <c r="B6912" t="inlineStr">
        <is>
          <t>C1911</t>
        </is>
      </c>
      <c r="C6912" t="n">
        <v>2</v>
      </c>
      <c r="D6912" t="inlineStr">
        <is>
          <t>Hub C</t>
        </is>
      </c>
      <c r="E6912" t="n">
        <v>35</v>
      </c>
      <c r="F6912" t="n">
        <v>13</v>
      </c>
    </row>
    <row r="6913">
      <c r="A6913" t="inlineStr">
        <is>
          <t>ORD06912</t>
        </is>
      </c>
      <c r="B6913" t="inlineStr">
        <is>
          <t>C1912</t>
        </is>
      </c>
      <c r="C6913" t="n">
        <v>3</v>
      </c>
      <c r="D6913" t="inlineStr">
        <is>
          <t>Hub C</t>
        </is>
      </c>
      <c r="E6913" t="n">
        <v>42</v>
      </c>
      <c r="F6913" t="n">
        <v>13</v>
      </c>
    </row>
    <row r="6914">
      <c r="A6914" t="inlineStr">
        <is>
          <t>ORD06913</t>
        </is>
      </c>
      <c r="B6914" t="inlineStr">
        <is>
          <t>C1913</t>
        </is>
      </c>
      <c r="C6914" t="n">
        <v>1</v>
      </c>
      <c r="D6914" t="inlineStr">
        <is>
          <t>Hub C</t>
        </is>
      </c>
      <c r="E6914" t="n">
        <v>49</v>
      </c>
      <c r="F6914" t="n">
        <v>13</v>
      </c>
    </row>
    <row r="6915">
      <c r="A6915" t="inlineStr">
        <is>
          <t>ORD06914</t>
        </is>
      </c>
      <c r="B6915" t="inlineStr">
        <is>
          <t>C1914</t>
        </is>
      </c>
      <c r="C6915" t="n">
        <v>2</v>
      </c>
      <c r="D6915" t="inlineStr">
        <is>
          <t>Hub C</t>
        </is>
      </c>
      <c r="E6915" t="n">
        <v>56</v>
      </c>
      <c r="F6915" t="n">
        <v>13</v>
      </c>
    </row>
    <row r="6916">
      <c r="A6916" t="inlineStr">
        <is>
          <t>ORD06915</t>
        </is>
      </c>
      <c r="B6916" t="inlineStr">
        <is>
          <t>C1915</t>
        </is>
      </c>
      <c r="C6916" t="n">
        <v>3</v>
      </c>
      <c r="D6916" t="inlineStr">
        <is>
          <t>Hub C</t>
        </is>
      </c>
      <c r="E6916" t="n">
        <v>63</v>
      </c>
      <c r="F6916" t="n">
        <v>13</v>
      </c>
    </row>
    <row r="6917">
      <c r="A6917" t="inlineStr">
        <is>
          <t>ORD06916</t>
        </is>
      </c>
      <c r="B6917" t="inlineStr">
        <is>
          <t>C1916</t>
        </is>
      </c>
      <c r="C6917" t="n">
        <v>1</v>
      </c>
      <c r="D6917" t="inlineStr">
        <is>
          <t>Hub C</t>
        </is>
      </c>
      <c r="E6917" t="n">
        <v>70</v>
      </c>
      <c r="F6917" t="n">
        <v>13</v>
      </c>
    </row>
    <row r="6918">
      <c r="A6918" t="inlineStr">
        <is>
          <t>ORD06917</t>
        </is>
      </c>
      <c r="B6918" t="inlineStr">
        <is>
          <t>C1917</t>
        </is>
      </c>
      <c r="C6918" t="n">
        <v>2</v>
      </c>
      <c r="D6918" t="inlineStr">
        <is>
          <t>Hub C</t>
        </is>
      </c>
      <c r="E6918" t="n">
        <v>77</v>
      </c>
      <c r="F6918" t="n">
        <v>13</v>
      </c>
    </row>
    <row r="6919">
      <c r="A6919" t="inlineStr">
        <is>
          <t>ORD06918</t>
        </is>
      </c>
      <c r="B6919" t="inlineStr">
        <is>
          <t>C1918</t>
        </is>
      </c>
      <c r="C6919" t="n">
        <v>3</v>
      </c>
      <c r="D6919" t="inlineStr">
        <is>
          <t>Hub C</t>
        </is>
      </c>
      <c r="E6919" t="n">
        <v>24</v>
      </c>
      <c r="F6919" t="n">
        <v>13</v>
      </c>
    </row>
    <row r="6920">
      <c r="A6920" t="inlineStr">
        <is>
          <t>ORD06919</t>
        </is>
      </c>
      <c r="B6920" t="inlineStr">
        <is>
          <t>C1919</t>
        </is>
      </c>
      <c r="C6920" t="n">
        <v>1</v>
      </c>
      <c r="D6920" t="inlineStr">
        <is>
          <t>Hub C</t>
        </is>
      </c>
      <c r="E6920" t="n">
        <v>31</v>
      </c>
      <c r="F6920" t="n">
        <v>13</v>
      </c>
    </row>
    <row r="6921">
      <c r="A6921" t="inlineStr">
        <is>
          <t>ORD06920</t>
        </is>
      </c>
      <c r="B6921" t="inlineStr">
        <is>
          <t>C1920</t>
        </is>
      </c>
      <c r="C6921" t="n">
        <v>2</v>
      </c>
      <c r="D6921" t="inlineStr">
        <is>
          <t>Hub C</t>
        </is>
      </c>
      <c r="E6921" t="n">
        <v>38</v>
      </c>
      <c r="F6921" t="n">
        <v>13</v>
      </c>
    </row>
    <row r="6922">
      <c r="A6922" t="inlineStr">
        <is>
          <t>ORD06921</t>
        </is>
      </c>
      <c r="B6922" t="inlineStr">
        <is>
          <t>C1921</t>
        </is>
      </c>
      <c r="C6922" t="n">
        <v>3</v>
      </c>
      <c r="D6922" t="inlineStr">
        <is>
          <t>Hub C</t>
        </is>
      </c>
      <c r="E6922" t="n">
        <v>45</v>
      </c>
      <c r="F6922" t="n">
        <v>13</v>
      </c>
    </row>
    <row r="6923">
      <c r="A6923" t="inlineStr">
        <is>
          <t>ORD06922</t>
        </is>
      </c>
      <c r="B6923" t="inlineStr">
        <is>
          <t>C1922</t>
        </is>
      </c>
      <c r="C6923" t="n">
        <v>1</v>
      </c>
      <c r="D6923" t="inlineStr">
        <is>
          <t>Hub C</t>
        </is>
      </c>
      <c r="E6923" t="n">
        <v>52</v>
      </c>
      <c r="F6923" t="n">
        <v>13</v>
      </c>
    </row>
    <row r="6924">
      <c r="A6924" t="inlineStr">
        <is>
          <t>ORD06923</t>
        </is>
      </c>
      <c r="B6924" t="inlineStr">
        <is>
          <t>C1923</t>
        </is>
      </c>
      <c r="C6924" t="n">
        <v>2</v>
      </c>
      <c r="D6924" t="inlineStr">
        <is>
          <t>Hub C</t>
        </is>
      </c>
      <c r="E6924" t="n">
        <v>59</v>
      </c>
      <c r="F6924" t="n">
        <v>13</v>
      </c>
    </row>
    <row r="6925">
      <c r="A6925" t="inlineStr">
        <is>
          <t>ORD06924</t>
        </is>
      </c>
      <c r="B6925" t="inlineStr">
        <is>
          <t>C1924</t>
        </is>
      </c>
      <c r="C6925" t="n">
        <v>3</v>
      </c>
      <c r="D6925" t="inlineStr">
        <is>
          <t>Hub C</t>
        </is>
      </c>
      <c r="E6925" t="n">
        <v>66</v>
      </c>
      <c r="F6925" t="n">
        <v>13</v>
      </c>
    </row>
    <row r="6926">
      <c r="A6926" t="inlineStr">
        <is>
          <t>ORD06925</t>
        </is>
      </c>
      <c r="B6926" t="inlineStr">
        <is>
          <t>C1925</t>
        </is>
      </c>
      <c r="C6926" t="n">
        <v>1</v>
      </c>
      <c r="D6926" t="inlineStr">
        <is>
          <t>Hub C</t>
        </is>
      </c>
      <c r="E6926" t="n">
        <v>73</v>
      </c>
      <c r="F6926" t="n">
        <v>13</v>
      </c>
    </row>
    <row r="6927">
      <c r="A6927" t="inlineStr">
        <is>
          <t>ORD06926</t>
        </is>
      </c>
      <c r="B6927" t="inlineStr">
        <is>
          <t>C1926</t>
        </is>
      </c>
      <c r="C6927" t="n">
        <v>2</v>
      </c>
      <c r="D6927" t="inlineStr">
        <is>
          <t>Hub C</t>
        </is>
      </c>
      <c r="E6927" t="n">
        <v>20</v>
      </c>
      <c r="F6927" t="n">
        <v>13</v>
      </c>
    </row>
    <row r="6928">
      <c r="A6928" t="inlineStr">
        <is>
          <t>ORD06927</t>
        </is>
      </c>
      <c r="B6928" t="inlineStr">
        <is>
          <t>C1927</t>
        </is>
      </c>
      <c r="C6928" t="n">
        <v>3</v>
      </c>
      <c r="D6928" t="inlineStr">
        <is>
          <t>Hub C</t>
        </is>
      </c>
      <c r="E6928" t="n">
        <v>27</v>
      </c>
      <c r="F6928" t="n">
        <v>13</v>
      </c>
    </row>
    <row r="6929">
      <c r="A6929" t="inlineStr">
        <is>
          <t>ORD06928</t>
        </is>
      </c>
      <c r="B6929" t="inlineStr">
        <is>
          <t>C1928</t>
        </is>
      </c>
      <c r="C6929" t="n">
        <v>1</v>
      </c>
      <c r="D6929" t="inlineStr">
        <is>
          <t>Hub C</t>
        </is>
      </c>
      <c r="E6929" t="n">
        <v>34</v>
      </c>
      <c r="F6929" t="n">
        <v>13</v>
      </c>
    </row>
    <row r="6930">
      <c r="A6930" t="inlineStr">
        <is>
          <t>ORD06929</t>
        </is>
      </c>
      <c r="B6930" t="inlineStr">
        <is>
          <t>C1929</t>
        </is>
      </c>
      <c r="C6930" t="n">
        <v>2</v>
      </c>
      <c r="D6930" t="inlineStr">
        <is>
          <t>Hub C</t>
        </is>
      </c>
      <c r="E6930" t="n">
        <v>41</v>
      </c>
      <c r="F6930" t="n">
        <v>13</v>
      </c>
    </row>
    <row r="6931">
      <c r="A6931" t="inlineStr">
        <is>
          <t>ORD06930</t>
        </is>
      </c>
      <c r="B6931" t="inlineStr">
        <is>
          <t>C1930</t>
        </is>
      </c>
      <c r="C6931" t="n">
        <v>3</v>
      </c>
      <c r="D6931" t="inlineStr">
        <is>
          <t>Hub C</t>
        </is>
      </c>
      <c r="E6931" t="n">
        <v>48</v>
      </c>
      <c r="F6931" t="n">
        <v>13</v>
      </c>
    </row>
    <row r="6932">
      <c r="A6932" t="inlineStr">
        <is>
          <t>ORD06931</t>
        </is>
      </c>
      <c r="B6932" t="inlineStr">
        <is>
          <t>C1931</t>
        </is>
      </c>
      <c r="C6932" t="n">
        <v>1</v>
      </c>
      <c r="D6932" t="inlineStr">
        <is>
          <t>Hub C</t>
        </is>
      </c>
      <c r="E6932" t="n">
        <v>55</v>
      </c>
      <c r="F6932" t="n">
        <v>13</v>
      </c>
    </row>
    <row r="6933">
      <c r="A6933" t="inlineStr">
        <is>
          <t>ORD06932</t>
        </is>
      </c>
      <c r="B6933" t="inlineStr">
        <is>
          <t>C1932</t>
        </is>
      </c>
      <c r="C6933" t="n">
        <v>2</v>
      </c>
      <c r="D6933" t="inlineStr">
        <is>
          <t>Hub C</t>
        </is>
      </c>
      <c r="E6933" t="n">
        <v>62</v>
      </c>
      <c r="F6933" t="n">
        <v>13</v>
      </c>
    </row>
    <row r="6934">
      <c r="A6934" t="inlineStr">
        <is>
          <t>ORD06933</t>
        </is>
      </c>
      <c r="B6934" t="inlineStr">
        <is>
          <t>C1933</t>
        </is>
      </c>
      <c r="C6934" t="n">
        <v>3</v>
      </c>
      <c r="D6934" t="inlineStr">
        <is>
          <t>Hub C</t>
        </is>
      </c>
      <c r="E6934" t="n">
        <v>69</v>
      </c>
      <c r="F6934" t="n">
        <v>13</v>
      </c>
    </row>
    <row r="6935">
      <c r="A6935" t="inlineStr">
        <is>
          <t>ORD06934</t>
        </is>
      </c>
      <c r="B6935" t="inlineStr">
        <is>
          <t>C1934</t>
        </is>
      </c>
      <c r="C6935" t="n">
        <v>1</v>
      </c>
      <c r="D6935" t="inlineStr">
        <is>
          <t>Hub C</t>
        </is>
      </c>
      <c r="E6935" t="n">
        <v>76</v>
      </c>
      <c r="F6935" t="n">
        <v>13</v>
      </c>
    </row>
    <row r="6936">
      <c r="A6936" t="inlineStr">
        <is>
          <t>ORD06935</t>
        </is>
      </c>
      <c r="B6936" t="inlineStr">
        <is>
          <t>C1935</t>
        </is>
      </c>
      <c r="C6936" t="n">
        <v>2</v>
      </c>
      <c r="D6936" t="inlineStr">
        <is>
          <t>Hub C</t>
        </is>
      </c>
      <c r="E6936" t="n">
        <v>23</v>
      </c>
      <c r="F6936" t="n">
        <v>13</v>
      </c>
    </row>
    <row r="6937">
      <c r="A6937" t="inlineStr">
        <is>
          <t>ORD06936</t>
        </is>
      </c>
      <c r="B6937" t="inlineStr">
        <is>
          <t>C1936</t>
        </is>
      </c>
      <c r="C6937" t="n">
        <v>3</v>
      </c>
      <c r="D6937" t="inlineStr">
        <is>
          <t>Hub C</t>
        </is>
      </c>
      <c r="E6937" t="n">
        <v>30</v>
      </c>
      <c r="F6937" t="n">
        <v>13</v>
      </c>
    </row>
    <row r="6938">
      <c r="A6938" t="inlineStr">
        <is>
          <t>ORD06937</t>
        </is>
      </c>
      <c r="B6938" t="inlineStr">
        <is>
          <t>C1937</t>
        </is>
      </c>
      <c r="C6938" t="n">
        <v>1</v>
      </c>
      <c r="D6938" t="inlineStr">
        <is>
          <t>Hub C</t>
        </is>
      </c>
      <c r="E6938" t="n">
        <v>37</v>
      </c>
      <c r="F6938" t="n">
        <v>13</v>
      </c>
    </row>
    <row r="6939">
      <c r="A6939" t="inlineStr">
        <is>
          <t>ORD06938</t>
        </is>
      </c>
      <c r="B6939" t="inlineStr">
        <is>
          <t>C1938</t>
        </is>
      </c>
      <c r="C6939" t="n">
        <v>2</v>
      </c>
      <c r="D6939" t="inlineStr">
        <is>
          <t>Hub C</t>
        </is>
      </c>
      <c r="E6939" t="n">
        <v>44</v>
      </c>
      <c r="F6939" t="n">
        <v>13</v>
      </c>
    </row>
    <row r="6940">
      <c r="A6940" t="inlineStr">
        <is>
          <t>ORD06939</t>
        </is>
      </c>
      <c r="B6940" t="inlineStr">
        <is>
          <t>C1939</t>
        </is>
      </c>
      <c r="C6940" t="n">
        <v>3</v>
      </c>
      <c r="D6940" t="inlineStr">
        <is>
          <t>Hub C</t>
        </is>
      </c>
      <c r="E6940" t="n">
        <v>51</v>
      </c>
      <c r="F6940" t="n">
        <v>13</v>
      </c>
    </row>
    <row r="6941">
      <c r="A6941" t="inlineStr">
        <is>
          <t>ORD06940</t>
        </is>
      </c>
      <c r="B6941" t="inlineStr">
        <is>
          <t>C1940</t>
        </is>
      </c>
      <c r="C6941" t="n">
        <v>1</v>
      </c>
      <c r="D6941" t="inlineStr">
        <is>
          <t>Hub C</t>
        </is>
      </c>
      <c r="E6941" t="n">
        <v>58</v>
      </c>
      <c r="F6941" t="n">
        <v>13</v>
      </c>
    </row>
    <row r="6942">
      <c r="A6942" t="inlineStr">
        <is>
          <t>ORD06941</t>
        </is>
      </c>
      <c r="B6942" t="inlineStr">
        <is>
          <t>C1941</t>
        </is>
      </c>
      <c r="C6942" t="n">
        <v>2</v>
      </c>
      <c r="D6942" t="inlineStr">
        <is>
          <t>Hub C</t>
        </is>
      </c>
      <c r="E6942" t="n">
        <v>65</v>
      </c>
      <c r="F6942" t="n">
        <v>13</v>
      </c>
    </row>
    <row r="6943">
      <c r="A6943" t="inlineStr">
        <is>
          <t>ORD06942</t>
        </is>
      </c>
      <c r="B6943" t="inlineStr">
        <is>
          <t>C1942</t>
        </is>
      </c>
      <c r="C6943" t="n">
        <v>3</v>
      </c>
      <c r="D6943" t="inlineStr">
        <is>
          <t>Hub C</t>
        </is>
      </c>
      <c r="E6943" t="n">
        <v>72</v>
      </c>
      <c r="F6943" t="n">
        <v>13</v>
      </c>
    </row>
    <row r="6944">
      <c r="A6944" t="inlineStr">
        <is>
          <t>ORD06943</t>
        </is>
      </c>
      <c r="B6944" t="inlineStr">
        <is>
          <t>C1943</t>
        </is>
      </c>
      <c r="C6944" t="n">
        <v>1</v>
      </c>
      <c r="D6944" t="inlineStr">
        <is>
          <t>Hub C</t>
        </is>
      </c>
      <c r="E6944" t="n">
        <v>19</v>
      </c>
      <c r="F6944" t="n">
        <v>13</v>
      </c>
    </row>
    <row r="6945">
      <c r="A6945" t="inlineStr">
        <is>
          <t>ORD06944</t>
        </is>
      </c>
      <c r="B6945" t="inlineStr">
        <is>
          <t>C1944</t>
        </is>
      </c>
      <c r="C6945" t="n">
        <v>2</v>
      </c>
      <c r="D6945" t="inlineStr">
        <is>
          <t>Hub C</t>
        </is>
      </c>
      <c r="E6945" t="n">
        <v>26</v>
      </c>
      <c r="F6945" t="n">
        <v>13</v>
      </c>
    </row>
    <row r="6946">
      <c r="A6946" t="inlineStr">
        <is>
          <t>ORD06945</t>
        </is>
      </c>
      <c r="B6946" t="inlineStr">
        <is>
          <t>C1945</t>
        </is>
      </c>
      <c r="C6946" t="n">
        <v>3</v>
      </c>
      <c r="D6946" t="inlineStr">
        <is>
          <t>Hub C</t>
        </is>
      </c>
      <c r="E6946" t="n">
        <v>33</v>
      </c>
      <c r="F6946" t="n">
        <v>13</v>
      </c>
    </row>
    <row r="6947">
      <c r="A6947" t="inlineStr">
        <is>
          <t>ORD06946</t>
        </is>
      </c>
      <c r="B6947" t="inlineStr">
        <is>
          <t>C1946</t>
        </is>
      </c>
      <c r="C6947" t="n">
        <v>1</v>
      </c>
      <c r="D6947" t="inlineStr">
        <is>
          <t>Hub C</t>
        </is>
      </c>
      <c r="E6947" t="n">
        <v>40</v>
      </c>
      <c r="F6947" t="n">
        <v>13</v>
      </c>
    </row>
    <row r="6948">
      <c r="A6948" t="inlineStr">
        <is>
          <t>ORD06947</t>
        </is>
      </c>
      <c r="B6948" t="inlineStr">
        <is>
          <t>C1947</t>
        </is>
      </c>
      <c r="C6948" t="n">
        <v>2</v>
      </c>
      <c r="D6948" t="inlineStr">
        <is>
          <t>Hub C</t>
        </is>
      </c>
      <c r="E6948" t="n">
        <v>47</v>
      </c>
      <c r="F6948" t="n">
        <v>13</v>
      </c>
    </row>
    <row r="6949">
      <c r="A6949" t="inlineStr">
        <is>
          <t>ORD06948</t>
        </is>
      </c>
      <c r="B6949" t="inlineStr">
        <is>
          <t>C1948</t>
        </is>
      </c>
      <c r="C6949" t="n">
        <v>3</v>
      </c>
      <c r="D6949" t="inlineStr">
        <is>
          <t>Hub C</t>
        </is>
      </c>
      <c r="E6949" t="n">
        <v>54</v>
      </c>
      <c r="F6949" t="n">
        <v>13</v>
      </c>
    </row>
    <row r="6950">
      <c r="A6950" t="inlineStr">
        <is>
          <t>ORD06949</t>
        </is>
      </c>
      <c r="B6950" t="inlineStr">
        <is>
          <t>C1949</t>
        </is>
      </c>
      <c r="C6950" t="n">
        <v>1</v>
      </c>
      <c r="D6950" t="inlineStr">
        <is>
          <t>Hub C</t>
        </is>
      </c>
      <c r="E6950" t="n">
        <v>61</v>
      </c>
      <c r="F6950" t="n">
        <v>13</v>
      </c>
    </row>
    <row r="6951">
      <c r="A6951" t="inlineStr">
        <is>
          <t>ORD06950</t>
        </is>
      </c>
      <c r="B6951" t="inlineStr">
        <is>
          <t>C1950</t>
        </is>
      </c>
      <c r="C6951" t="n">
        <v>2</v>
      </c>
      <c r="D6951" t="inlineStr">
        <is>
          <t>Hub C</t>
        </is>
      </c>
      <c r="E6951" t="n">
        <v>68</v>
      </c>
      <c r="F6951" t="n">
        <v>13</v>
      </c>
    </row>
    <row r="6952">
      <c r="A6952" t="inlineStr">
        <is>
          <t>ORD06951</t>
        </is>
      </c>
      <c r="B6952" t="inlineStr">
        <is>
          <t>C1951</t>
        </is>
      </c>
      <c r="C6952" t="n">
        <v>3</v>
      </c>
      <c r="D6952" t="inlineStr">
        <is>
          <t>Hub C</t>
        </is>
      </c>
      <c r="E6952" t="n">
        <v>75</v>
      </c>
      <c r="F6952" t="n">
        <v>13</v>
      </c>
    </row>
    <row r="6953">
      <c r="A6953" t="inlineStr">
        <is>
          <t>ORD06952</t>
        </is>
      </c>
      <c r="B6953" t="inlineStr">
        <is>
          <t>C1952</t>
        </is>
      </c>
      <c r="C6953" t="n">
        <v>1</v>
      </c>
      <c r="D6953" t="inlineStr">
        <is>
          <t>Hub C</t>
        </is>
      </c>
      <c r="E6953" t="n">
        <v>22</v>
      </c>
      <c r="F6953" t="n">
        <v>13</v>
      </c>
    </row>
    <row r="6954">
      <c r="A6954" t="inlineStr">
        <is>
          <t>ORD06953</t>
        </is>
      </c>
      <c r="B6954" t="inlineStr">
        <is>
          <t>C1953</t>
        </is>
      </c>
      <c r="C6954" t="n">
        <v>2</v>
      </c>
      <c r="D6954" t="inlineStr">
        <is>
          <t>Hub C</t>
        </is>
      </c>
      <c r="E6954" t="n">
        <v>29</v>
      </c>
      <c r="F6954" t="n">
        <v>13</v>
      </c>
    </row>
    <row r="6955">
      <c r="A6955" t="inlineStr">
        <is>
          <t>ORD06954</t>
        </is>
      </c>
      <c r="B6955" t="inlineStr">
        <is>
          <t>C1954</t>
        </is>
      </c>
      <c r="C6955" t="n">
        <v>3</v>
      </c>
      <c r="D6955" t="inlineStr">
        <is>
          <t>Hub C</t>
        </is>
      </c>
      <c r="E6955" t="n">
        <v>36</v>
      </c>
      <c r="F6955" t="n">
        <v>13</v>
      </c>
    </row>
    <row r="6956">
      <c r="A6956" t="inlineStr">
        <is>
          <t>ORD06955</t>
        </is>
      </c>
      <c r="B6956" t="inlineStr">
        <is>
          <t>C1955</t>
        </is>
      </c>
      <c r="C6956" t="n">
        <v>1</v>
      </c>
      <c r="D6956" t="inlineStr">
        <is>
          <t>Hub C</t>
        </is>
      </c>
      <c r="E6956" t="n">
        <v>43</v>
      </c>
      <c r="F6956" t="n">
        <v>13</v>
      </c>
    </row>
    <row r="6957">
      <c r="A6957" t="inlineStr">
        <is>
          <t>ORD06956</t>
        </is>
      </c>
      <c r="B6957" t="inlineStr">
        <is>
          <t>C1956</t>
        </is>
      </c>
      <c r="C6957" t="n">
        <v>2</v>
      </c>
      <c r="D6957" t="inlineStr">
        <is>
          <t>Hub C</t>
        </is>
      </c>
      <c r="E6957" t="n">
        <v>50</v>
      </c>
      <c r="F6957" t="n">
        <v>13</v>
      </c>
    </row>
    <row r="6958">
      <c r="A6958" t="inlineStr">
        <is>
          <t>ORD06957</t>
        </is>
      </c>
      <c r="B6958" t="inlineStr">
        <is>
          <t>C1957</t>
        </is>
      </c>
      <c r="C6958" t="n">
        <v>3</v>
      </c>
      <c r="D6958" t="inlineStr">
        <is>
          <t>Hub C</t>
        </is>
      </c>
      <c r="E6958" t="n">
        <v>57</v>
      </c>
      <c r="F6958" t="n">
        <v>13</v>
      </c>
    </row>
    <row r="6959">
      <c r="A6959" t="inlineStr">
        <is>
          <t>ORD06958</t>
        </is>
      </c>
      <c r="B6959" t="inlineStr">
        <is>
          <t>C1958</t>
        </is>
      </c>
      <c r="C6959" t="n">
        <v>1</v>
      </c>
      <c r="D6959" t="inlineStr">
        <is>
          <t>Hub C</t>
        </is>
      </c>
      <c r="E6959" t="n">
        <v>64</v>
      </c>
      <c r="F6959" t="n">
        <v>13</v>
      </c>
    </row>
    <row r="6960">
      <c r="A6960" t="inlineStr">
        <is>
          <t>ORD06959</t>
        </is>
      </c>
      <c r="B6960" t="inlineStr">
        <is>
          <t>C1959</t>
        </is>
      </c>
      <c r="C6960" t="n">
        <v>2</v>
      </c>
      <c r="D6960" t="inlineStr">
        <is>
          <t>Hub C</t>
        </is>
      </c>
      <c r="E6960" t="n">
        <v>71</v>
      </c>
      <c r="F6960" t="n">
        <v>13</v>
      </c>
    </row>
    <row r="6961">
      <c r="A6961" t="inlineStr">
        <is>
          <t>ORD06960</t>
        </is>
      </c>
      <c r="B6961" t="inlineStr">
        <is>
          <t>C1960</t>
        </is>
      </c>
      <c r="C6961" t="n">
        <v>3</v>
      </c>
      <c r="D6961" t="inlineStr">
        <is>
          <t>Hub C</t>
        </is>
      </c>
      <c r="E6961" t="n">
        <v>18</v>
      </c>
      <c r="F6961" t="n">
        <v>13</v>
      </c>
    </row>
    <row r="6962">
      <c r="A6962" t="inlineStr">
        <is>
          <t>ORD06961</t>
        </is>
      </c>
      <c r="B6962" t="inlineStr">
        <is>
          <t>C1961</t>
        </is>
      </c>
      <c r="C6962" t="n">
        <v>1</v>
      </c>
      <c r="D6962" t="inlineStr">
        <is>
          <t>Hub C</t>
        </is>
      </c>
      <c r="E6962" t="n">
        <v>25</v>
      </c>
      <c r="F6962" t="n">
        <v>13</v>
      </c>
    </row>
    <row r="6963">
      <c r="A6963" t="inlineStr">
        <is>
          <t>ORD06962</t>
        </is>
      </c>
      <c r="B6963" t="inlineStr">
        <is>
          <t>C1962</t>
        </is>
      </c>
      <c r="C6963" t="n">
        <v>2</v>
      </c>
      <c r="D6963" t="inlineStr">
        <is>
          <t>Hub C</t>
        </is>
      </c>
      <c r="E6963" t="n">
        <v>32</v>
      </c>
      <c r="F6963" t="n">
        <v>13</v>
      </c>
    </row>
    <row r="6964">
      <c r="A6964" t="inlineStr">
        <is>
          <t>ORD06963</t>
        </is>
      </c>
      <c r="B6964" t="inlineStr">
        <is>
          <t>C1963</t>
        </is>
      </c>
      <c r="C6964" t="n">
        <v>3</v>
      </c>
      <c r="D6964" t="inlineStr">
        <is>
          <t>Hub C</t>
        </is>
      </c>
      <c r="E6964" t="n">
        <v>39</v>
      </c>
      <c r="F6964" t="n">
        <v>13</v>
      </c>
    </row>
    <row r="6965">
      <c r="A6965" t="inlineStr">
        <is>
          <t>ORD06964</t>
        </is>
      </c>
      <c r="B6965" t="inlineStr">
        <is>
          <t>C1964</t>
        </is>
      </c>
      <c r="C6965" t="n">
        <v>1</v>
      </c>
      <c r="D6965" t="inlineStr">
        <is>
          <t>Hub C</t>
        </is>
      </c>
      <c r="E6965" t="n">
        <v>46</v>
      </c>
      <c r="F6965" t="n">
        <v>13</v>
      </c>
    </row>
    <row r="6966">
      <c r="A6966" t="inlineStr">
        <is>
          <t>ORD06965</t>
        </is>
      </c>
      <c r="B6966" t="inlineStr">
        <is>
          <t>C1965</t>
        </is>
      </c>
      <c r="C6966" t="n">
        <v>2</v>
      </c>
      <c r="D6966" t="inlineStr">
        <is>
          <t>Hub C</t>
        </is>
      </c>
      <c r="E6966" t="n">
        <v>53</v>
      </c>
      <c r="F6966" t="n">
        <v>13</v>
      </c>
    </row>
    <row r="6967">
      <c r="A6967" t="inlineStr">
        <is>
          <t>ORD06966</t>
        </is>
      </c>
      <c r="B6967" t="inlineStr">
        <is>
          <t>C1966</t>
        </is>
      </c>
      <c r="C6967" t="n">
        <v>3</v>
      </c>
      <c r="D6967" t="inlineStr">
        <is>
          <t>Hub C</t>
        </is>
      </c>
      <c r="E6967" t="n">
        <v>60</v>
      </c>
      <c r="F6967" t="n">
        <v>13</v>
      </c>
    </row>
    <row r="6968">
      <c r="A6968" t="inlineStr">
        <is>
          <t>ORD06967</t>
        </is>
      </c>
      <c r="B6968" t="inlineStr">
        <is>
          <t>C1967</t>
        </is>
      </c>
      <c r="C6968" t="n">
        <v>1</v>
      </c>
      <c r="D6968" t="inlineStr">
        <is>
          <t>Hub C</t>
        </is>
      </c>
      <c r="E6968" t="n">
        <v>67</v>
      </c>
      <c r="F6968" t="n">
        <v>13</v>
      </c>
    </row>
    <row r="6969">
      <c r="A6969" t="inlineStr">
        <is>
          <t>ORD06968</t>
        </is>
      </c>
      <c r="B6969" t="inlineStr">
        <is>
          <t>C1968</t>
        </is>
      </c>
      <c r="C6969" t="n">
        <v>2</v>
      </c>
      <c r="D6969" t="inlineStr">
        <is>
          <t>Hub C</t>
        </is>
      </c>
      <c r="E6969" t="n">
        <v>74</v>
      </c>
      <c r="F6969" t="n">
        <v>13</v>
      </c>
    </row>
    <row r="6970">
      <c r="A6970" t="inlineStr">
        <is>
          <t>ORD06969</t>
        </is>
      </c>
      <c r="B6970" t="inlineStr">
        <is>
          <t>C1969</t>
        </is>
      </c>
      <c r="C6970" t="n">
        <v>3</v>
      </c>
      <c r="D6970" t="inlineStr">
        <is>
          <t>Hub C</t>
        </is>
      </c>
      <c r="E6970" t="n">
        <v>21</v>
      </c>
      <c r="F6970" t="n">
        <v>13</v>
      </c>
    </row>
    <row r="6971">
      <c r="A6971" t="inlineStr">
        <is>
          <t>ORD06970</t>
        </is>
      </c>
      <c r="B6971" t="inlineStr">
        <is>
          <t>C1970</t>
        </is>
      </c>
      <c r="C6971" t="n">
        <v>1</v>
      </c>
      <c r="D6971" t="inlineStr">
        <is>
          <t>Hub C</t>
        </is>
      </c>
      <c r="E6971" t="n">
        <v>28</v>
      </c>
      <c r="F6971" t="n">
        <v>13</v>
      </c>
    </row>
    <row r="6972">
      <c r="A6972" t="inlineStr">
        <is>
          <t>ORD06971</t>
        </is>
      </c>
      <c r="B6972" t="inlineStr">
        <is>
          <t>C1971</t>
        </is>
      </c>
      <c r="C6972" t="n">
        <v>2</v>
      </c>
      <c r="D6972" t="inlineStr">
        <is>
          <t>Hub C</t>
        </is>
      </c>
      <c r="E6972" t="n">
        <v>35</v>
      </c>
      <c r="F6972" t="n">
        <v>13</v>
      </c>
    </row>
    <row r="6973">
      <c r="A6973" t="inlineStr">
        <is>
          <t>ORD06972</t>
        </is>
      </c>
      <c r="B6973" t="inlineStr">
        <is>
          <t>C1972</t>
        </is>
      </c>
      <c r="C6973" t="n">
        <v>3</v>
      </c>
      <c r="D6973" t="inlineStr">
        <is>
          <t>Hub C</t>
        </is>
      </c>
      <c r="E6973" t="n">
        <v>42</v>
      </c>
      <c r="F6973" t="n">
        <v>13</v>
      </c>
    </row>
    <row r="6974">
      <c r="A6974" t="inlineStr">
        <is>
          <t>ORD06973</t>
        </is>
      </c>
      <c r="B6974" t="inlineStr">
        <is>
          <t>C1973</t>
        </is>
      </c>
      <c r="C6974" t="n">
        <v>1</v>
      </c>
      <c r="D6974" t="inlineStr">
        <is>
          <t>Hub C</t>
        </is>
      </c>
      <c r="E6974" t="n">
        <v>49</v>
      </c>
      <c r="F6974" t="n">
        <v>13</v>
      </c>
    </row>
    <row r="6975">
      <c r="A6975" t="inlineStr">
        <is>
          <t>ORD06974</t>
        </is>
      </c>
      <c r="B6975" t="inlineStr">
        <is>
          <t>C1974</t>
        </is>
      </c>
      <c r="C6975" t="n">
        <v>2</v>
      </c>
      <c r="D6975" t="inlineStr">
        <is>
          <t>Hub C</t>
        </is>
      </c>
      <c r="E6975" t="n">
        <v>56</v>
      </c>
      <c r="F6975" t="n">
        <v>13</v>
      </c>
    </row>
    <row r="6976">
      <c r="A6976" t="inlineStr">
        <is>
          <t>ORD06975</t>
        </is>
      </c>
      <c r="B6976" t="inlineStr">
        <is>
          <t>C1975</t>
        </is>
      </c>
      <c r="C6976" t="n">
        <v>3</v>
      </c>
      <c r="D6976" t="inlineStr">
        <is>
          <t>Hub C</t>
        </is>
      </c>
      <c r="E6976" t="n">
        <v>63</v>
      </c>
      <c r="F6976" t="n">
        <v>13</v>
      </c>
    </row>
    <row r="6977">
      <c r="A6977" t="inlineStr">
        <is>
          <t>ORD06976</t>
        </is>
      </c>
      <c r="B6977" t="inlineStr">
        <is>
          <t>C1976</t>
        </is>
      </c>
      <c r="C6977" t="n">
        <v>1</v>
      </c>
      <c r="D6977" t="inlineStr">
        <is>
          <t>Hub C</t>
        </is>
      </c>
      <c r="E6977" t="n">
        <v>70</v>
      </c>
      <c r="F6977" t="n">
        <v>13</v>
      </c>
    </row>
    <row r="6978">
      <c r="A6978" t="inlineStr">
        <is>
          <t>ORD06977</t>
        </is>
      </c>
      <c r="B6978" t="inlineStr">
        <is>
          <t>C1977</t>
        </is>
      </c>
      <c r="C6978" t="n">
        <v>2</v>
      </c>
      <c r="D6978" t="inlineStr">
        <is>
          <t>Hub C</t>
        </is>
      </c>
      <c r="E6978" t="n">
        <v>77</v>
      </c>
      <c r="F6978" t="n">
        <v>13</v>
      </c>
    </row>
    <row r="6979">
      <c r="A6979" t="inlineStr">
        <is>
          <t>ORD06978</t>
        </is>
      </c>
      <c r="B6979" t="inlineStr">
        <is>
          <t>C1978</t>
        </is>
      </c>
      <c r="C6979" t="n">
        <v>3</v>
      </c>
      <c r="D6979" t="inlineStr">
        <is>
          <t>Hub C</t>
        </is>
      </c>
      <c r="E6979" t="n">
        <v>24</v>
      </c>
      <c r="F6979" t="n">
        <v>13</v>
      </c>
    </row>
    <row r="6980">
      <c r="A6980" t="inlineStr">
        <is>
          <t>ORD06979</t>
        </is>
      </c>
      <c r="B6980" t="inlineStr">
        <is>
          <t>C1979</t>
        </is>
      </c>
      <c r="C6980" t="n">
        <v>1</v>
      </c>
      <c r="D6980" t="inlineStr">
        <is>
          <t>Hub C</t>
        </is>
      </c>
      <c r="E6980" t="n">
        <v>31</v>
      </c>
      <c r="F6980" t="n">
        <v>13</v>
      </c>
    </row>
    <row r="6981">
      <c r="A6981" t="inlineStr">
        <is>
          <t>ORD06980</t>
        </is>
      </c>
      <c r="B6981" t="inlineStr">
        <is>
          <t>C1980</t>
        </is>
      </c>
      <c r="C6981" t="n">
        <v>2</v>
      </c>
      <c r="D6981" t="inlineStr">
        <is>
          <t>Hub C</t>
        </is>
      </c>
      <c r="E6981" t="n">
        <v>38</v>
      </c>
      <c r="F6981" t="n">
        <v>13</v>
      </c>
    </row>
    <row r="6982">
      <c r="A6982" t="inlineStr">
        <is>
          <t>ORD06981</t>
        </is>
      </c>
      <c r="B6982" t="inlineStr">
        <is>
          <t>C1981</t>
        </is>
      </c>
      <c r="C6982" t="n">
        <v>3</v>
      </c>
      <c r="D6982" t="inlineStr">
        <is>
          <t>Hub C</t>
        </is>
      </c>
      <c r="E6982" t="n">
        <v>45</v>
      </c>
      <c r="F6982" t="n">
        <v>13</v>
      </c>
    </row>
    <row r="6983">
      <c r="A6983" t="inlineStr">
        <is>
          <t>ORD06982</t>
        </is>
      </c>
      <c r="B6983" t="inlineStr">
        <is>
          <t>C1982</t>
        </is>
      </c>
      <c r="C6983" t="n">
        <v>1</v>
      </c>
      <c r="D6983" t="inlineStr">
        <is>
          <t>Hub C</t>
        </is>
      </c>
      <c r="E6983" t="n">
        <v>52</v>
      </c>
      <c r="F6983" t="n">
        <v>13</v>
      </c>
    </row>
    <row r="6984">
      <c r="A6984" t="inlineStr">
        <is>
          <t>ORD06983</t>
        </is>
      </c>
      <c r="B6984" t="inlineStr">
        <is>
          <t>C1983</t>
        </is>
      </c>
      <c r="C6984" t="n">
        <v>2</v>
      </c>
      <c r="D6984" t="inlineStr">
        <is>
          <t>Hub C</t>
        </is>
      </c>
      <c r="E6984" t="n">
        <v>59</v>
      </c>
      <c r="F6984" t="n">
        <v>13</v>
      </c>
    </row>
    <row r="6985">
      <c r="A6985" t="inlineStr">
        <is>
          <t>ORD06984</t>
        </is>
      </c>
      <c r="B6985" t="inlineStr">
        <is>
          <t>C1984</t>
        </is>
      </c>
      <c r="C6985" t="n">
        <v>3</v>
      </c>
      <c r="D6985" t="inlineStr">
        <is>
          <t>Hub C</t>
        </is>
      </c>
      <c r="E6985" t="n">
        <v>66</v>
      </c>
      <c r="F6985" t="n">
        <v>13</v>
      </c>
    </row>
    <row r="6986">
      <c r="A6986" t="inlineStr">
        <is>
          <t>ORD06985</t>
        </is>
      </c>
      <c r="B6986" t="inlineStr">
        <is>
          <t>C1985</t>
        </is>
      </c>
      <c r="C6986" t="n">
        <v>1</v>
      </c>
      <c r="D6986" t="inlineStr">
        <is>
          <t>Hub C</t>
        </is>
      </c>
      <c r="E6986" t="n">
        <v>73</v>
      </c>
      <c r="F6986" t="n">
        <v>13</v>
      </c>
    </row>
    <row r="6987">
      <c r="A6987" t="inlineStr">
        <is>
          <t>ORD06986</t>
        </is>
      </c>
      <c r="B6987" t="inlineStr">
        <is>
          <t>C1986</t>
        </is>
      </c>
      <c r="C6987" t="n">
        <v>2</v>
      </c>
      <c r="D6987" t="inlineStr">
        <is>
          <t>Hub C</t>
        </is>
      </c>
      <c r="E6987" t="n">
        <v>20</v>
      </c>
      <c r="F6987" t="n">
        <v>13</v>
      </c>
    </row>
    <row r="6988">
      <c r="A6988" t="inlineStr">
        <is>
          <t>ORD06987</t>
        </is>
      </c>
      <c r="B6988" t="inlineStr">
        <is>
          <t>C1987</t>
        </is>
      </c>
      <c r="C6988" t="n">
        <v>3</v>
      </c>
      <c r="D6988" t="inlineStr">
        <is>
          <t>Hub C</t>
        </is>
      </c>
      <c r="E6988" t="n">
        <v>27</v>
      </c>
      <c r="F6988" t="n">
        <v>13</v>
      </c>
    </row>
    <row r="6989">
      <c r="A6989" t="inlineStr">
        <is>
          <t>ORD06988</t>
        </is>
      </c>
      <c r="B6989" t="inlineStr">
        <is>
          <t>C1988</t>
        </is>
      </c>
      <c r="C6989" t="n">
        <v>1</v>
      </c>
      <c r="D6989" t="inlineStr">
        <is>
          <t>Hub C</t>
        </is>
      </c>
      <c r="E6989" t="n">
        <v>34</v>
      </c>
      <c r="F6989" t="n">
        <v>13</v>
      </c>
    </row>
    <row r="6990">
      <c r="A6990" t="inlineStr">
        <is>
          <t>ORD06989</t>
        </is>
      </c>
      <c r="B6990" t="inlineStr">
        <is>
          <t>C1989</t>
        </is>
      </c>
      <c r="C6990" t="n">
        <v>2</v>
      </c>
      <c r="D6990" t="inlineStr">
        <is>
          <t>Hub C</t>
        </is>
      </c>
      <c r="E6990" t="n">
        <v>41</v>
      </c>
      <c r="F6990" t="n">
        <v>13</v>
      </c>
    </row>
    <row r="6991">
      <c r="A6991" t="inlineStr">
        <is>
          <t>ORD06990</t>
        </is>
      </c>
      <c r="B6991" t="inlineStr">
        <is>
          <t>C1990</t>
        </is>
      </c>
      <c r="C6991" t="n">
        <v>3</v>
      </c>
      <c r="D6991" t="inlineStr">
        <is>
          <t>Hub C</t>
        </is>
      </c>
      <c r="E6991" t="n">
        <v>48</v>
      </c>
      <c r="F6991" t="n">
        <v>13</v>
      </c>
    </row>
    <row r="6992">
      <c r="A6992" t="inlineStr">
        <is>
          <t>ORD06991</t>
        </is>
      </c>
      <c r="B6992" t="inlineStr">
        <is>
          <t>C1991</t>
        </is>
      </c>
      <c r="C6992" t="n">
        <v>1</v>
      </c>
      <c r="D6992" t="inlineStr">
        <is>
          <t>Hub C</t>
        </is>
      </c>
      <c r="E6992" t="n">
        <v>55</v>
      </c>
      <c r="F6992" t="n">
        <v>13</v>
      </c>
    </row>
    <row r="6993">
      <c r="A6993" t="inlineStr">
        <is>
          <t>ORD06992</t>
        </is>
      </c>
      <c r="B6993" t="inlineStr">
        <is>
          <t>C1992</t>
        </is>
      </c>
      <c r="C6993" t="n">
        <v>2</v>
      </c>
      <c r="D6993" t="inlineStr">
        <is>
          <t>Hub C</t>
        </is>
      </c>
      <c r="E6993" t="n">
        <v>62</v>
      </c>
      <c r="F6993" t="n">
        <v>13</v>
      </c>
    </row>
    <row r="6994">
      <c r="A6994" t="inlineStr">
        <is>
          <t>ORD06993</t>
        </is>
      </c>
      <c r="B6994" t="inlineStr">
        <is>
          <t>C1993</t>
        </is>
      </c>
      <c r="C6994" t="n">
        <v>3</v>
      </c>
      <c r="D6994" t="inlineStr">
        <is>
          <t>Hub C</t>
        </is>
      </c>
      <c r="E6994" t="n">
        <v>69</v>
      </c>
      <c r="F6994" t="n">
        <v>13</v>
      </c>
    </row>
    <row r="6995">
      <c r="A6995" t="inlineStr">
        <is>
          <t>ORD06994</t>
        </is>
      </c>
      <c r="B6995" t="inlineStr">
        <is>
          <t>C1994</t>
        </is>
      </c>
      <c r="C6995" t="n">
        <v>1</v>
      </c>
      <c r="D6995" t="inlineStr">
        <is>
          <t>Hub C</t>
        </is>
      </c>
      <c r="E6995" t="n">
        <v>76</v>
      </c>
      <c r="F6995" t="n">
        <v>13</v>
      </c>
    </row>
    <row r="6996">
      <c r="A6996" t="inlineStr">
        <is>
          <t>ORD06995</t>
        </is>
      </c>
      <c r="B6996" t="inlineStr">
        <is>
          <t>C1995</t>
        </is>
      </c>
      <c r="C6996" t="n">
        <v>2</v>
      </c>
      <c r="D6996" t="inlineStr">
        <is>
          <t>Hub C</t>
        </is>
      </c>
      <c r="E6996" t="n">
        <v>23</v>
      </c>
      <c r="F6996" t="n">
        <v>13</v>
      </c>
    </row>
    <row r="6997">
      <c r="A6997" t="inlineStr">
        <is>
          <t>ORD06996</t>
        </is>
      </c>
      <c r="B6997" t="inlineStr">
        <is>
          <t>C1996</t>
        </is>
      </c>
      <c r="C6997" t="n">
        <v>3</v>
      </c>
      <c r="D6997" t="inlineStr">
        <is>
          <t>Hub C</t>
        </is>
      </c>
      <c r="E6997" t="n">
        <v>30</v>
      </c>
      <c r="F6997" t="n">
        <v>13</v>
      </c>
    </row>
    <row r="6998">
      <c r="A6998" t="inlineStr">
        <is>
          <t>ORD06997</t>
        </is>
      </c>
      <c r="B6998" t="inlineStr">
        <is>
          <t>C1997</t>
        </is>
      </c>
      <c r="C6998" t="n">
        <v>1</v>
      </c>
      <c r="D6998" t="inlineStr">
        <is>
          <t>Hub C</t>
        </is>
      </c>
      <c r="E6998" t="n">
        <v>37</v>
      </c>
      <c r="F6998" t="n">
        <v>13</v>
      </c>
    </row>
    <row r="6999">
      <c r="A6999" t="inlineStr">
        <is>
          <t>ORD06998</t>
        </is>
      </c>
      <c r="B6999" t="inlineStr">
        <is>
          <t>C1998</t>
        </is>
      </c>
      <c r="C6999" t="n">
        <v>2</v>
      </c>
      <c r="D6999" t="inlineStr">
        <is>
          <t>Hub C</t>
        </is>
      </c>
      <c r="E6999" t="n">
        <v>44</v>
      </c>
      <c r="F6999" t="n">
        <v>13</v>
      </c>
    </row>
    <row r="7000">
      <c r="A7000" t="inlineStr">
        <is>
          <t>ORD06999</t>
        </is>
      </c>
      <c r="B7000" t="inlineStr">
        <is>
          <t>C1999</t>
        </is>
      </c>
      <c r="C7000" t="n">
        <v>3</v>
      </c>
      <c r="D7000" t="inlineStr">
        <is>
          <t>Hub C</t>
        </is>
      </c>
      <c r="E7000" t="n">
        <v>51</v>
      </c>
      <c r="F7000" t="n">
        <v>13</v>
      </c>
    </row>
    <row r="7001">
      <c r="A7001" t="inlineStr">
        <is>
          <t>ORD07000</t>
        </is>
      </c>
      <c r="B7001" t="inlineStr">
        <is>
          <t>C2000</t>
        </is>
      </c>
      <c r="C7001" t="n">
        <v>1</v>
      </c>
      <c r="D7001" t="inlineStr">
        <is>
          <t>Hub C</t>
        </is>
      </c>
      <c r="E7001" t="n">
        <v>58</v>
      </c>
      <c r="F7001" t="n">
        <v>13</v>
      </c>
    </row>
    <row r="7002">
      <c r="A7002" t="inlineStr">
        <is>
          <t>ORD07001</t>
        </is>
      </c>
      <c r="B7002" t="inlineStr">
        <is>
          <t>C2001</t>
        </is>
      </c>
      <c r="C7002" t="n">
        <v>2</v>
      </c>
      <c r="D7002" t="inlineStr">
        <is>
          <t>Hub C</t>
        </is>
      </c>
      <c r="E7002" t="n">
        <v>65</v>
      </c>
      <c r="F7002" t="n">
        <v>13</v>
      </c>
    </row>
    <row r="7003">
      <c r="A7003" t="inlineStr">
        <is>
          <t>ORD07002</t>
        </is>
      </c>
      <c r="B7003" t="inlineStr">
        <is>
          <t>C2002</t>
        </is>
      </c>
      <c r="C7003" t="n">
        <v>3</v>
      </c>
      <c r="D7003" t="inlineStr">
        <is>
          <t>Hub C</t>
        </is>
      </c>
      <c r="E7003" t="n">
        <v>72</v>
      </c>
      <c r="F7003" t="n">
        <v>13</v>
      </c>
    </row>
    <row r="7004">
      <c r="A7004" t="inlineStr">
        <is>
          <t>ORD07003</t>
        </is>
      </c>
      <c r="B7004" t="inlineStr">
        <is>
          <t>C2003</t>
        </is>
      </c>
      <c r="C7004" t="n">
        <v>1</v>
      </c>
      <c r="D7004" t="inlineStr">
        <is>
          <t>Hub C</t>
        </is>
      </c>
      <c r="E7004" t="n">
        <v>19</v>
      </c>
      <c r="F7004" t="n">
        <v>13</v>
      </c>
    </row>
    <row r="7005">
      <c r="A7005" t="inlineStr">
        <is>
          <t>ORD07004</t>
        </is>
      </c>
      <c r="B7005" t="inlineStr">
        <is>
          <t>C2004</t>
        </is>
      </c>
      <c r="C7005" t="n">
        <v>2</v>
      </c>
      <c r="D7005" t="inlineStr">
        <is>
          <t>Hub C</t>
        </is>
      </c>
      <c r="E7005" t="n">
        <v>26</v>
      </c>
      <c r="F7005" t="n">
        <v>13</v>
      </c>
    </row>
    <row r="7006">
      <c r="A7006" t="inlineStr">
        <is>
          <t>ORD07005</t>
        </is>
      </c>
      <c r="B7006" t="inlineStr">
        <is>
          <t>C2005</t>
        </is>
      </c>
      <c r="C7006" t="n">
        <v>3</v>
      </c>
      <c r="D7006" t="inlineStr">
        <is>
          <t>Hub C</t>
        </is>
      </c>
      <c r="E7006" t="n">
        <v>33</v>
      </c>
      <c r="F7006" t="n">
        <v>13</v>
      </c>
    </row>
    <row r="7007">
      <c r="A7007" t="inlineStr">
        <is>
          <t>ORD07006</t>
        </is>
      </c>
      <c r="B7007" t="inlineStr">
        <is>
          <t>C2006</t>
        </is>
      </c>
      <c r="C7007" t="n">
        <v>1</v>
      </c>
      <c r="D7007" t="inlineStr">
        <is>
          <t>Hub C</t>
        </is>
      </c>
      <c r="E7007" t="n">
        <v>40</v>
      </c>
      <c r="F7007" t="n">
        <v>13</v>
      </c>
    </row>
    <row r="7008">
      <c r="A7008" t="inlineStr">
        <is>
          <t>ORD07007</t>
        </is>
      </c>
      <c r="B7008" t="inlineStr">
        <is>
          <t>C2007</t>
        </is>
      </c>
      <c r="C7008" t="n">
        <v>2</v>
      </c>
      <c r="D7008" t="inlineStr">
        <is>
          <t>Hub C</t>
        </is>
      </c>
      <c r="E7008" t="n">
        <v>47</v>
      </c>
      <c r="F7008" t="n">
        <v>13</v>
      </c>
    </row>
    <row r="7009">
      <c r="A7009" t="inlineStr">
        <is>
          <t>ORD07008</t>
        </is>
      </c>
      <c r="B7009" t="inlineStr">
        <is>
          <t>C2008</t>
        </is>
      </c>
      <c r="C7009" t="n">
        <v>3</v>
      </c>
      <c r="D7009" t="inlineStr">
        <is>
          <t>Hub C</t>
        </is>
      </c>
      <c r="E7009" t="n">
        <v>54</v>
      </c>
      <c r="F7009" t="n">
        <v>13</v>
      </c>
    </row>
    <row r="7010">
      <c r="A7010" t="inlineStr">
        <is>
          <t>ORD07009</t>
        </is>
      </c>
      <c r="B7010" t="inlineStr">
        <is>
          <t>C2009</t>
        </is>
      </c>
      <c r="C7010" t="n">
        <v>1</v>
      </c>
      <c r="D7010" t="inlineStr">
        <is>
          <t>Hub C</t>
        </is>
      </c>
      <c r="E7010" t="n">
        <v>61</v>
      </c>
      <c r="F7010" t="n">
        <v>13</v>
      </c>
    </row>
    <row r="7011">
      <c r="A7011" t="inlineStr">
        <is>
          <t>ORD07010</t>
        </is>
      </c>
      <c r="B7011" t="inlineStr">
        <is>
          <t>C2010</t>
        </is>
      </c>
      <c r="C7011" t="n">
        <v>2</v>
      </c>
      <c r="D7011" t="inlineStr">
        <is>
          <t>Hub C</t>
        </is>
      </c>
      <c r="E7011" t="n">
        <v>68</v>
      </c>
      <c r="F7011" t="n">
        <v>13</v>
      </c>
    </row>
    <row r="7012">
      <c r="A7012" t="inlineStr">
        <is>
          <t>ORD07011</t>
        </is>
      </c>
      <c r="B7012" t="inlineStr">
        <is>
          <t>C2011</t>
        </is>
      </c>
      <c r="C7012" t="n">
        <v>3</v>
      </c>
      <c r="D7012" t="inlineStr">
        <is>
          <t>Hub C</t>
        </is>
      </c>
      <c r="E7012" t="n">
        <v>75</v>
      </c>
      <c r="F7012" t="n">
        <v>13</v>
      </c>
    </row>
    <row r="7013">
      <c r="A7013" t="inlineStr">
        <is>
          <t>ORD07012</t>
        </is>
      </c>
      <c r="B7013" t="inlineStr">
        <is>
          <t>C2012</t>
        </is>
      </c>
      <c r="C7013" t="n">
        <v>1</v>
      </c>
      <c r="D7013" t="inlineStr">
        <is>
          <t>Hub C</t>
        </is>
      </c>
      <c r="E7013" t="n">
        <v>22</v>
      </c>
      <c r="F7013" t="n">
        <v>13</v>
      </c>
    </row>
    <row r="7014">
      <c r="A7014" t="inlineStr">
        <is>
          <t>ORD07013</t>
        </is>
      </c>
      <c r="B7014" t="inlineStr">
        <is>
          <t>C2013</t>
        </is>
      </c>
      <c r="C7014" t="n">
        <v>2</v>
      </c>
      <c r="D7014" t="inlineStr">
        <is>
          <t>Hub C</t>
        </is>
      </c>
      <c r="E7014" t="n">
        <v>29</v>
      </c>
      <c r="F7014" t="n">
        <v>13</v>
      </c>
    </row>
    <row r="7015">
      <c r="A7015" t="inlineStr">
        <is>
          <t>ORD07014</t>
        </is>
      </c>
      <c r="B7015" t="inlineStr">
        <is>
          <t>C2014</t>
        </is>
      </c>
      <c r="C7015" t="n">
        <v>3</v>
      </c>
      <c r="D7015" t="inlineStr">
        <is>
          <t>Hub C</t>
        </is>
      </c>
      <c r="E7015" t="n">
        <v>36</v>
      </c>
      <c r="F7015" t="n">
        <v>13</v>
      </c>
    </row>
    <row r="7016">
      <c r="A7016" t="inlineStr">
        <is>
          <t>ORD07015</t>
        </is>
      </c>
      <c r="B7016" t="inlineStr">
        <is>
          <t>C2015</t>
        </is>
      </c>
      <c r="C7016" t="n">
        <v>1</v>
      </c>
      <c r="D7016" t="inlineStr">
        <is>
          <t>Hub C</t>
        </is>
      </c>
      <c r="E7016" t="n">
        <v>43</v>
      </c>
      <c r="F7016" t="n">
        <v>13</v>
      </c>
    </row>
    <row r="7017">
      <c r="A7017" t="inlineStr">
        <is>
          <t>ORD07016</t>
        </is>
      </c>
      <c r="B7017" t="inlineStr">
        <is>
          <t>C2016</t>
        </is>
      </c>
      <c r="C7017" t="n">
        <v>2</v>
      </c>
      <c r="D7017" t="inlineStr">
        <is>
          <t>Hub C</t>
        </is>
      </c>
      <c r="E7017" t="n">
        <v>50</v>
      </c>
      <c r="F7017" t="n">
        <v>13</v>
      </c>
    </row>
    <row r="7018">
      <c r="A7018" t="inlineStr">
        <is>
          <t>ORD07017</t>
        </is>
      </c>
      <c r="B7018" t="inlineStr">
        <is>
          <t>C2017</t>
        </is>
      </c>
      <c r="C7018" t="n">
        <v>3</v>
      </c>
      <c r="D7018" t="inlineStr">
        <is>
          <t>Hub C</t>
        </is>
      </c>
      <c r="E7018" t="n">
        <v>57</v>
      </c>
      <c r="F7018" t="n">
        <v>13</v>
      </c>
    </row>
    <row r="7019">
      <c r="A7019" t="inlineStr">
        <is>
          <t>ORD07018</t>
        </is>
      </c>
      <c r="B7019" t="inlineStr">
        <is>
          <t>C2018</t>
        </is>
      </c>
      <c r="C7019" t="n">
        <v>1</v>
      </c>
      <c r="D7019" t="inlineStr">
        <is>
          <t>Hub C</t>
        </is>
      </c>
      <c r="E7019" t="n">
        <v>64</v>
      </c>
      <c r="F7019" t="n">
        <v>13</v>
      </c>
    </row>
    <row r="7020">
      <c r="A7020" t="inlineStr">
        <is>
          <t>ORD07019</t>
        </is>
      </c>
      <c r="B7020" t="inlineStr">
        <is>
          <t>C2019</t>
        </is>
      </c>
      <c r="C7020" t="n">
        <v>2</v>
      </c>
      <c r="D7020" t="inlineStr">
        <is>
          <t>Hub C</t>
        </is>
      </c>
      <c r="E7020" t="n">
        <v>71</v>
      </c>
      <c r="F7020" t="n">
        <v>13</v>
      </c>
    </row>
    <row r="7021">
      <c r="A7021" t="inlineStr">
        <is>
          <t>ORD07020</t>
        </is>
      </c>
      <c r="B7021" t="inlineStr">
        <is>
          <t>C2020</t>
        </is>
      </c>
      <c r="C7021" t="n">
        <v>3</v>
      </c>
      <c r="D7021" t="inlineStr">
        <is>
          <t>Hub C</t>
        </is>
      </c>
      <c r="E7021" t="n">
        <v>18</v>
      </c>
      <c r="F7021" t="n">
        <v>13</v>
      </c>
    </row>
    <row r="7022">
      <c r="A7022" t="inlineStr">
        <is>
          <t>ORD07021</t>
        </is>
      </c>
      <c r="B7022" t="inlineStr">
        <is>
          <t>C2021</t>
        </is>
      </c>
      <c r="C7022" t="n">
        <v>1</v>
      </c>
      <c r="D7022" t="inlineStr">
        <is>
          <t>Hub C</t>
        </is>
      </c>
      <c r="E7022" t="n">
        <v>25</v>
      </c>
      <c r="F7022" t="n">
        <v>13</v>
      </c>
    </row>
    <row r="7023">
      <c r="A7023" t="inlineStr">
        <is>
          <t>ORD07022</t>
        </is>
      </c>
      <c r="B7023" t="inlineStr">
        <is>
          <t>C2022</t>
        </is>
      </c>
      <c r="C7023" t="n">
        <v>2</v>
      </c>
      <c r="D7023" t="inlineStr">
        <is>
          <t>Hub C</t>
        </is>
      </c>
      <c r="E7023" t="n">
        <v>32</v>
      </c>
      <c r="F7023" t="n">
        <v>13</v>
      </c>
    </row>
    <row r="7024">
      <c r="A7024" t="inlineStr">
        <is>
          <t>ORD07023</t>
        </is>
      </c>
      <c r="B7024" t="inlineStr">
        <is>
          <t>C2023</t>
        </is>
      </c>
      <c r="C7024" t="n">
        <v>3</v>
      </c>
      <c r="D7024" t="inlineStr">
        <is>
          <t>Hub C</t>
        </is>
      </c>
      <c r="E7024" t="n">
        <v>39</v>
      </c>
      <c r="F7024" t="n">
        <v>13</v>
      </c>
    </row>
    <row r="7025">
      <c r="A7025" t="inlineStr">
        <is>
          <t>ORD07024</t>
        </is>
      </c>
      <c r="B7025" t="inlineStr">
        <is>
          <t>C2024</t>
        </is>
      </c>
      <c r="C7025" t="n">
        <v>1</v>
      </c>
      <c r="D7025" t="inlineStr">
        <is>
          <t>Hub C</t>
        </is>
      </c>
      <c r="E7025" t="n">
        <v>46</v>
      </c>
      <c r="F7025" t="n">
        <v>13</v>
      </c>
    </row>
    <row r="7026">
      <c r="A7026" t="inlineStr">
        <is>
          <t>ORD07025</t>
        </is>
      </c>
      <c r="B7026" t="inlineStr">
        <is>
          <t>C2025</t>
        </is>
      </c>
      <c r="C7026" t="n">
        <v>2</v>
      </c>
      <c r="D7026" t="inlineStr">
        <is>
          <t>Hub C</t>
        </is>
      </c>
      <c r="E7026" t="n">
        <v>53</v>
      </c>
      <c r="F7026" t="n">
        <v>13</v>
      </c>
    </row>
    <row r="7027">
      <c r="A7027" t="inlineStr">
        <is>
          <t>ORD07026</t>
        </is>
      </c>
      <c r="B7027" t="inlineStr">
        <is>
          <t>C2026</t>
        </is>
      </c>
      <c r="C7027" t="n">
        <v>3</v>
      </c>
      <c r="D7027" t="inlineStr">
        <is>
          <t>Hub C</t>
        </is>
      </c>
      <c r="E7027" t="n">
        <v>60</v>
      </c>
      <c r="F7027" t="n">
        <v>13</v>
      </c>
    </row>
    <row r="7028">
      <c r="A7028" t="inlineStr">
        <is>
          <t>ORD07027</t>
        </is>
      </c>
      <c r="B7028" t="inlineStr">
        <is>
          <t>C2027</t>
        </is>
      </c>
      <c r="C7028" t="n">
        <v>1</v>
      </c>
      <c r="D7028" t="inlineStr">
        <is>
          <t>Hub C</t>
        </is>
      </c>
      <c r="E7028" t="n">
        <v>67</v>
      </c>
      <c r="F7028" t="n">
        <v>13</v>
      </c>
    </row>
    <row r="7029">
      <c r="A7029" t="inlineStr">
        <is>
          <t>ORD07028</t>
        </is>
      </c>
      <c r="B7029" t="inlineStr">
        <is>
          <t>C2028</t>
        </is>
      </c>
      <c r="C7029" t="n">
        <v>2</v>
      </c>
      <c r="D7029" t="inlineStr">
        <is>
          <t>Hub C</t>
        </is>
      </c>
      <c r="E7029" t="n">
        <v>74</v>
      </c>
      <c r="F7029" t="n">
        <v>13</v>
      </c>
    </row>
    <row r="7030">
      <c r="A7030" t="inlineStr">
        <is>
          <t>ORD07029</t>
        </is>
      </c>
      <c r="B7030" t="inlineStr">
        <is>
          <t>C2029</t>
        </is>
      </c>
      <c r="C7030" t="n">
        <v>3</v>
      </c>
      <c r="D7030" t="inlineStr">
        <is>
          <t>Hub C</t>
        </is>
      </c>
      <c r="E7030" t="n">
        <v>21</v>
      </c>
      <c r="F7030" t="n">
        <v>13</v>
      </c>
    </row>
    <row r="7031">
      <c r="A7031" t="inlineStr">
        <is>
          <t>ORD07030</t>
        </is>
      </c>
      <c r="B7031" t="inlineStr">
        <is>
          <t>C2030</t>
        </is>
      </c>
      <c r="C7031" t="n">
        <v>1</v>
      </c>
      <c r="D7031" t="inlineStr">
        <is>
          <t>Hub C</t>
        </is>
      </c>
      <c r="E7031" t="n">
        <v>28</v>
      </c>
      <c r="F7031" t="n">
        <v>13</v>
      </c>
    </row>
    <row r="7032">
      <c r="A7032" t="inlineStr">
        <is>
          <t>ORD07031</t>
        </is>
      </c>
      <c r="B7032" t="inlineStr">
        <is>
          <t>C2031</t>
        </is>
      </c>
      <c r="C7032" t="n">
        <v>2</v>
      </c>
      <c r="D7032" t="inlineStr">
        <is>
          <t>Hub C</t>
        </is>
      </c>
      <c r="E7032" t="n">
        <v>35</v>
      </c>
      <c r="F7032" t="n">
        <v>13</v>
      </c>
    </row>
    <row r="7033">
      <c r="A7033" t="inlineStr">
        <is>
          <t>ORD07032</t>
        </is>
      </c>
      <c r="B7033" t="inlineStr">
        <is>
          <t>C2032</t>
        </is>
      </c>
      <c r="C7033" t="n">
        <v>3</v>
      </c>
      <c r="D7033" t="inlineStr">
        <is>
          <t>Hub C</t>
        </is>
      </c>
      <c r="E7033" t="n">
        <v>42</v>
      </c>
      <c r="F7033" t="n">
        <v>13</v>
      </c>
    </row>
    <row r="7034">
      <c r="A7034" t="inlineStr">
        <is>
          <t>ORD07033</t>
        </is>
      </c>
      <c r="B7034" t="inlineStr">
        <is>
          <t>C2033</t>
        </is>
      </c>
      <c r="C7034" t="n">
        <v>1</v>
      </c>
      <c r="D7034" t="inlineStr">
        <is>
          <t>Hub C</t>
        </is>
      </c>
      <c r="E7034" t="n">
        <v>49</v>
      </c>
      <c r="F7034" t="n">
        <v>13</v>
      </c>
    </row>
    <row r="7035">
      <c r="A7035" t="inlineStr">
        <is>
          <t>ORD07034</t>
        </is>
      </c>
      <c r="B7035" t="inlineStr">
        <is>
          <t>C2034</t>
        </is>
      </c>
      <c r="C7035" t="n">
        <v>2</v>
      </c>
      <c r="D7035" t="inlineStr">
        <is>
          <t>Hub C</t>
        </is>
      </c>
      <c r="E7035" t="n">
        <v>56</v>
      </c>
      <c r="F7035" t="n">
        <v>13</v>
      </c>
    </row>
    <row r="7036">
      <c r="A7036" t="inlineStr">
        <is>
          <t>ORD07035</t>
        </is>
      </c>
      <c r="B7036" t="inlineStr">
        <is>
          <t>C2035</t>
        </is>
      </c>
      <c r="C7036" t="n">
        <v>3</v>
      </c>
      <c r="D7036" t="inlineStr">
        <is>
          <t>Hub C</t>
        </is>
      </c>
      <c r="E7036" t="n">
        <v>63</v>
      </c>
      <c r="F7036" t="n">
        <v>13</v>
      </c>
    </row>
    <row r="7037">
      <c r="A7037" t="inlineStr">
        <is>
          <t>ORD07036</t>
        </is>
      </c>
      <c r="B7037" t="inlineStr">
        <is>
          <t>C2036</t>
        </is>
      </c>
      <c r="C7037" t="n">
        <v>1</v>
      </c>
      <c r="D7037" t="inlineStr">
        <is>
          <t>Hub C</t>
        </is>
      </c>
      <c r="E7037" t="n">
        <v>70</v>
      </c>
      <c r="F7037" t="n">
        <v>13</v>
      </c>
    </row>
    <row r="7038">
      <c r="A7038" t="inlineStr">
        <is>
          <t>ORD07037</t>
        </is>
      </c>
      <c r="B7038" t="inlineStr">
        <is>
          <t>C2037</t>
        </is>
      </c>
      <c r="C7038" t="n">
        <v>2</v>
      </c>
      <c r="D7038" t="inlineStr">
        <is>
          <t>Hub C</t>
        </is>
      </c>
      <c r="E7038" t="n">
        <v>77</v>
      </c>
      <c r="F7038" t="n">
        <v>13</v>
      </c>
    </row>
    <row r="7039">
      <c r="A7039" t="inlineStr">
        <is>
          <t>ORD07038</t>
        </is>
      </c>
      <c r="B7039" t="inlineStr">
        <is>
          <t>C2038</t>
        </is>
      </c>
      <c r="C7039" t="n">
        <v>3</v>
      </c>
      <c r="D7039" t="inlineStr">
        <is>
          <t>Hub C</t>
        </is>
      </c>
      <c r="E7039" t="n">
        <v>24</v>
      </c>
      <c r="F7039" t="n">
        <v>13</v>
      </c>
    </row>
    <row r="7040">
      <c r="A7040" t="inlineStr">
        <is>
          <t>ORD07039</t>
        </is>
      </c>
      <c r="B7040" t="inlineStr">
        <is>
          <t>C2039</t>
        </is>
      </c>
      <c r="C7040" t="n">
        <v>1</v>
      </c>
      <c r="D7040" t="inlineStr">
        <is>
          <t>Hub C</t>
        </is>
      </c>
      <c r="E7040" t="n">
        <v>31</v>
      </c>
      <c r="F7040" t="n">
        <v>13</v>
      </c>
    </row>
    <row r="7041">
      <c r="A7041" t="inlineStr">
        <is>
          <t>ORD07040</t>
        </is>
      </c>
      <c r="B7041" t="inlineStr">
        <is>
          <t>C2040</t>
        </is>
      </c>
      <c r="C7041" t="n">
        <v>2</v>
      </c>
      <c r="D7041" t="inlineStr">
        <is>
          <t>Hub C</t>
        </is>
      </c>
      <c r="E7041" t="n">
        <v>38</v>
      </c>
      <c r="F7041" t="n">
        <v>13</v>
      </c>
    </row>
    <row r="7042">
      <c r="A7042" t="inlineStr">
        <is>
          <t>ORD07041</t>
        </is>
      </c>
      <c r="B7042" t="inlineStr">
        <is>
          <t>C2041</t>
        </is>
      </c>
      <c r="C7042" t="n">
        <v>3</v>
      </c>
      <c r="D7042" t="inlineStr">
        <is>
          <t>Hub C</t>
        </is>
      </c>
      <c r="E7042" t="n">
        <v>45</v>
      </c>
      <c r="F7042" t="n">
        <v>13</v>
      </c>
    </row>
    <row r="7043">
      <c r="A7043" t="inlineStr">
        <is>
          <t>ORD07042</t>
        </is>
      </c>
      <c r="B7043" t="inlineStr">
        <is>
          <t>C2042</t>
        </is>
      </c>
      <c r="C7043" t="n">
        <v>1</v>
      </c>
      <c r="D7043" t="inlineStr">
        <is>
          <t>Hub C</t>
        </is>
      </c>
      <c r="E7043" t="n">
        <v>52</v>
      </c>
      <c r="F7043" t="n">
        <v>13</v>
      </c>
    </row>
    <row r="7044">
      <c r="A7044" t="inlineStr">
        <is>
          <t>ORD07043</t>
        </is>
      </c>
      <c r="B7044" t="inlineStr">
        <is>
          <t>C2043</t>
        </is>
      </c>
      <c r="C7044" t="n">
        <v>2</v>
      </c>
      <c r="D7044" t="inlineStr">
        <is>
          <t>Hub C</t>
        </is>
      </c>
      <c r="E7044" t="n">
        <v>59</v>
      </c>
      <c r="F7044" t="n">
        <v>13</v>
      </c>
    </row>
    <row r="7045">
      <c r="A7045" t="inlineStr">
        <is>
          <t>ORD07044</t>
        </is>
      </c>
      <c r="B7045" t="inlineStr">
        <is>
          <t>C2044</t>
        </is>
      </c>
      <c r="C7045" t="n">
        <v>3</v>
      </c>
      <c r="D7045" t="inlineStr">
        <is>
          <t>Hub C</t>
        </is>
      </c>
      <c r="E7045" t="n">
        <v>66</v>
      </c>
      <c r="F7045" t="n">
        <v>13</v>
      </c>
    </row>
    <row r="7046">
      <c r="A7046" t="inlineStr">
        <is>
          <t>ORD07045</t>
        </is>
      </c>
      <c r="B7046" t="inlineStr">
        <is>
          <t>C2045</t>
        </is>
      </c>
      <c r="C7046" t="n">
        <v>1</v>
      </c>
      <c r="D7046" t="inlineStr">
        <is>
          <t>Hub C</t>
        </is>
      </c>
      <c r="E7046" t="n">
        <v>73</v>
      </c>
      <c r="F7046" t="n">
        <v>13</v>
      </c>
    </row>
    <row r="7047">
      <c r="A7047" t="inlineStr">
        <is>
          <t>ORD07046</t>
        </is>
      </c>
      <c r="B7047" t="inlineStr">
        <is>
          <t>C2046</t>
        </is>
      </c>
      <c r="C7047" t="n">
        <v>2</v>
      </c>
      <c r="D7047" t="inlineStr">
        <is>
          <t>Hub C</t>
        </is>
      </c>
      <c r="E7047" t="n">
        <v>20</v>
      </c>
      <c r="F7047" t="n">
        <v>13</v>
      </c>
    </row>
    <row r="7048">
      <c r="A7048" t="inlineStr">
        <is>
          <t>ORD07047</t>
        </is>
      </c>
      <c r="B7048" t="inlineStr">
        <is>
          <t>C2047</t>
        </is>
      </c>
      <c r="C7048" t="n">
        <v>3</v>
      </c>
      <c r="D7048" t="inlineStr">
        <is>
          <t>Hub C</t>
        </is>
      </c>
      <c r="E7048" t="n">
        <v>27</v>
      </c>
      <c r="F7048" t="n">
        <v>13</v>
      </c>
    </row>
    <row r="7049">
      <c r="A7049" t="inlineStr">
        <is>
          <t>ORD07048</t>
        </is>
      </c>
      <c r="B7049" t="inlineStr">
        <is>
          <t>C2048</t>
        </is>
      </c>
      <c r="C7049" t="n">
        <v>1</v>
      </c>
      <c r="D7049" t="inlineStr">
        <is>
          <t>Hub C</t>
        </is>
      </c>
      <c r="E7049" t="n">
        <v>34</v>
      </c>
      <c r="F7049" t="n">
        <v>13</v>
      </c>
    </row>
    <row r="7050">
      <c r="A7050" t="inlineStr">
        <is>
          <t>ORD07049</t>
        </is>
      </c>
      <c r="B7050" t="inlineStr">
        <is>
          <t>C2049</t>
        </is>
      </c>
      <c r="C7050" t="n">
        <v>2</v>
      </c>
      <c r="D7050" t="inlineStr">
        <is>
          <t>Hub C</t>
        </is>
      </c>
      <c r="E7050" t="n">
        <v>41</v>
      </c>
      <c r="F7050" t="n">
        <v>13</v>
      </c>
    </row>
    <row r="7051">
      <c r="A7051" t="inlineStr">
        <is>
          <t>ORD07050</t>
        </is>
      </c>
      <c r="B7051" t="inlineStr">
        <is>
          <t>C2050</t>
        </is>
      </c>
      <c r="C7051" t="n">
        <v>3</v>
      </c>
      <c r="D7051" t="inlineStr">
        <is>
          <t>Hub C</t>
        </is>
      </c>
      <c r="E7051" t="n">
        <v>48</v>
      </c>
      <c r="F7051" t="n">
        <v>13</v>
      </c>
    </row>
    <row r="7052">
      <c r="A7052" t="inlineStr">
        <is>
          <t>ORD07051</t>
        </is>
      </c>
      <c r="B7052" t="inlineStr">
        <is>
          <t>C2051</t>
        </is>
      </c>
      <c r="C7052" t="n">
        <v>1</v>
      </c>
      <c r="D7052" t="inlineStr">
        <is>
          <t>Hub C</t>
        </is>
      </c>
      <c r="E7052" t="n">
        <v>55</v>
      </c>
      <c r="F7052" t="n">
        <v>13</v>
      </c>
    </row>
    <row r="7053">
      <c r="A7053" t="inlineStr">
        <is>
          <t>ORD07052</t>
        </is>
      </c>
      <c r="B7053" t="inlineStr">
        <is>
          <t>C2052</t>
        </is>
      </c>
      <c r="C7053" t="n">
        <v>2</v>
      </c>
      <c r="D7053" t="inlineStr">
        <is>
          <t>Hub C</t>
        </is>
      </c>
      <c r="E7053" t="n">
        <v>62</v>
      </c>
      <c r="F7053" t="n">
        <v>13</v>
      </c>
    </row>
    <row r="7054">
      <c r="A7054" t="inlineStr">
        <is>
          <t>ORD07053</t>
        </is>
      </c>
      <c r="B7054" t="inlineStr">
        <is>
          <t>C2053</t>
        </is>
      </c>
      <c r="C7054" t="n">
        <v>3</v>
      </c>
      <c r="D7054" t="inlineStr">
        <is>
          <t>Hub C</t>
        </is>
      </c>
      <c r="E7054" t="n">
        <v>69</v>
      </c>
      <c r="F7054" t="n">
        <v>13</v>
      </c>
    </row>
    <row r="7055">
      <c r="A7055" t="inlineStr">
        <is>
          <t>ORD07054</t>
        </is>
      </c>
      <c r="B7055" t="inlineStr">
        <is>
          <t>C2054</t>
        </is>
      </c>
      <c r="C7055" t="n">
        <v>1</v>
      </c>
      <c r="D7055" t="inlineStr">
        <is>
          <t>Hub C</t>
        </is>
      </c>
      <c r="E7055" t="n">
        <v>76</v>
      </c>
      <c r="F7055" t="n">
        <v>13</v>
      </c>
    </row>
    <row r="7056">
      <c r="A7056" t="inlineStr">
        <is>
          <t>ORD07055</t>
        </is>
      </c>
      <c r="B7056" t="inlineStr">
        <is>
          <t>C2055</t>
        </is>
      </c>
      <c r="C7056" t="n">
        <v>2</v>
      </c>
      <c r="D7056" t="inlineStr">
        <is>
          <t>Hub C</t>
        </is>
      </c>
      <c r="E7056" t="n">
        <v>23</v>
      </c>
      <c r="F7056" t="n">
        <v>13</v>
      </c>
    </row>
    <row r="7057">
      <c r="A7057" t="inlineStr">
        <is>
          <t>ORD07056</t>
        </is>
      </c>
      <c r="B7057" t="inlineStr">
        <is>
          <t>C2056</t>
        </is>
      </c>
      <c r="C7057" t="n">
        <v>3</v>
      </c>
      <c r="D7057" t="inlineStr">
        <is>
          <t>Hub C</t>
        </is>
      </c>
      <c r="E7057" t="n">
        <v>30</v>
      </c>
      <c r="F7057" t="n">
        <v>13</v>
      </c>
    </row>
    <row r="7058">
      <c r="A7058" t="inlineStr">
        <is>
          <t>ORD07057</t>
        </is>
      </c>
      <c r="B7058" t="inlineStr">
        <is>
          <t>C2057</t>
        </is>
      </c>
      <c r="C7058" t="n">
        <v>1</v>
      </c>
      <c r="D7058" t="inlineStr">
        <is>
          <t>Hub C</t>
        </is>
      </c>
      <c r="E7058" t="n">
        <v>37</v>
      </c>
      <c r="F7058" t="n">
        <v>13</v>
      </c>
    </row>
    <row r="7059">
      <c r="A7059" t="inlineStr">
        <is>
          <t>ORD07058</t>
        </is>
      </c>
      <c r="B7059" t="inlineStr">
        <is>
          <t>C2058</t>
        </is>
      </c>
      <c r="C7059" t="n">
        <v>2</v>
      </c>
      <c r="D7059" t="inlineStr">
        <is>
          <t>Hub C</t>
        </is>
      </c>
      <c r="E7059" t="n">
        <v>44</v>
      </c>
      <c r="F7059" t="n">
        <v>13</v>
      </c>
    </row>
    <row r="7060">
      <c r="A7060" t="inlineStr">
        <is>
          <t>ORD07059</t>
        </is>
      </c>
      <c r="B7060" t="inlineStr">
        <is>
          <t>C2059</t>
        </is>
      </c>
      <c r="C7060" t="n">
        <v>3</v>
      </c>
      <c r="D7060" t="inlineStr">
        <is>
          <t>Hub C</t>
        </is>
      </c>
      <c r="E7060" t="n">
        <v>51</v>
      </c>
      <c r="F7060" t="n">
        <v>13</v>
      </c>
    </row>
    <row r="7061">
      <c r="A7061" t="inlineStr">
        <is>
          <t>ORD07060</t>
        </is>
      </c>
      <c r="B7061" t="inlineStr">
        <is>
          <t>C2060</t>
        </is>
      </c>
      <c r="C7061" t="n">
        <v>1</v>
      </c>
      <c r="D7061" t="inlineStr">
        <is>
          <t>Hub C</t>
        </is>
      </c>
      <c r="E7061" t="n">
        <v>58</v>
      </c>
      <c r="F7061" t="n">
        <v>13</v>
      </c>
    </row>
    <row r="7062">
      <c r="A7062" t="inlineStr">
        <is>
          <t>ORD07061</t>
        </is>
      </c>
      <c r="B7062" t="inlineStr">
        <is>
          <t>C2061</t>
        </is>
      </c>
      <c r="C7062" t="n">
        <v>2</v>
      </c>
      <c r="D7062" t="inlineStr">
        <is>
          <t>Hub C</t>
        </is>
      </c>
      <c r="E7062" t="n">
        <v>65</v>
      </c>
      <c r="F7062" t="n">
        <v>13</v>
      </c>
    </row>
    <row r="7063">
      <c r="A7063" t="inlineStr">
        <is>
          <t>ORD07062</t>
        </is>
      </c>
      <c r="B7063" t="inlineStr">
        <is>
          <t>C2062</t>
        </is>
      </c>
      <c r="C7063" t="n">
        <v>3</v>
      </c>
      <c r="D7063" t="inlineStr">
        <is>
          <t>Hub C</t>
        </is>
      </c>
      <c r="E7063" t="n">
        <v>72</v>
      </c>
      <c r="F7063" t="n">
        <v>13</v>
      </c>
    </row>
    <row r="7064">
      <c r="A7064" t="inlineStr">
        <is>
          <t>ORD07063</t>
        </is>
      </c>
      <c r="B7064" t="inlineStr">
        <is>
          <t>C2063</t>
        </is>
      </c>
      <c r="C7064" t="n">
        <v>1</v>
      </c>
      <c r="D7064" t="inlineStr">
        <is>
          <t>Hub C</t>
        </is>
      </c>
      <c r="E7064" t="n">
        <v>19</v>
      </c>
      <c r="F7064" t="n">
        <v>13</v>
      </c>
    </row>
    <row r="7065">
      <c r="A7065" t="inlineStr">
        <is>
          <t>ORD07064</t>
        </is>
      </c>
      <c r="B7065" t="inlineStr">
        <is>
          <t>C2064</t>
        </is>
      </c>
      <c r="C7065" t="n">
        <v>2</v>
      </c>
      <c r="D7065" t="inlineStr">
        <is>
          <t>Hub C</t>
        </is>
      </c>
      <c r="E7065" t="n">
        <v>26</v>
      </c>
      <c r="F7065" t="n">
        <v>13</v>
      </c>
    </row>
    <row r="7066">
      <c r="A7066" t="inlineStr">
        <is>
          <t>ORD07065</t>
        </is>
      </c>
      <c r="B7066" t="inlineStr">
        <is>
          <t>C2065</t>
        </is>
      </c>
      <c r="C7066" t="n">
        <v>3</v>
      </c>
      <c r="D7066" t="inlineStr">
        <is>
          <t>Hub C</t>
        </is>
      </c>
      <c r="E7066" t="n">
        <v>33</v>
      </c>
      <c r="F7066" t="n">
        <v>13</v>
      </c>
    </row>
    <row r="7067">
      <c r="A7067" t="inlineStr">
        <is>
          <t>ORD07066</t>
        </is>
      </c>
      <c r="B7067" t="inlineStr">
        <is>
          <t>C2066</t>
        </is>
      </c>
      <c r="C7067" t="n">
        <v>1</v>
      </c>
      <c r="D7067" t="inlineStr">
        <is>
          <t>Hub C</t>
        </is>
      </c>
      <c r="E7067" t="n">
        <v>40</v>
      </c>
      <c r="F7067" t="n">
        <v>13</v>
      </c>
    </row>
    <row r="7068">
      <c r="A7068" t="inlineStr">
        <is>
          <t>ORD07067</t>
        </is>
      </c>
      <c r="B7068" t="inlineStr">
        <is>
          <t>C2067</t>
        </is>
      </c>
      <c r="C7068" t="n">
        <v>2</v>
      </c>
      <c r="D7068" t="inlineStr">
        <is>
          <t>Hub C</t>
        </is>
      </c>
      <c r="E7068" t="n">
        <v>47</v>
      </c>
      <c r="F7068" t="n">
        <v>13</v>
      </c>
    </row>
    <row r="7069">
      <c r="A7069" t="inlineStr">
        <is>
          <t>ORD07068</t>
        </is>
      </c>
      <c r="B7069" t="inlineStr">
        <is>
          <t>C2068</t>
        </is>
      </c>
      <c r="C7069" t="n">
        <v>3</v>
      </c>
      <c r="D7069" t="inlineStr">
        <is>
          <t>Hub C</t>
        </is>
      </c>
      <c r="E7069" t="n">
        <v>54</v>
      </c>
      <c r="F7069" t="n">
        <v>13</v>
      </c>
    </row>
    <row r="7070">
      <c r="A7070" t="inlineStr">
        <is>
          <t>ORD07069</t>
        </is>
      </c>
      <c r="B7070" t="inlineStr">
        <is>
          <t>C2069</t>
        </is>
      </c>
      <c r="C7070" t="n">
        <v>1</v>
      </c>
      <c r="D7070" t="inlineStr">
        <is>
          <t>Hub C</t>
        </is>
      </c>
      <c r="E7070" t="n">
        <v>61</v>
      </c>
      <c r="F7070" t="n">
        <v>13</v>
      </c>
    </row>
    <row r="7071">
      <c r="A7071" t="inlineStr">
        <is>
          <t>ORD07070</t>
        </is>
      </c>
      <c r="B7071" t="inlineStr">
        <is>
          <t>C2070</t>
        </is>
      </c>
      <c r="C7071" t="n">
        <v>2</v>
      </c>
      <c r="D7071" t="inlineStr">
        <is>
          <t>Hub C</t>
        </is>
      </c>
      <c r="E7071" t="n">
        <v>68</v>
      </c>
      <c r="F7071" t="n">
        <v>13</v>
      </c>
    </row>
    <row r="7072">
      <c r="A7072" t="inlineStr">
        <is>
          <t>ORD07071</t>
        </is>
      </c>
      <c r="B7072" t="inlineStr">
        <is>
          <t>C2071</t>
        </is>
      </c>
      <c r="C7072" t="n">
        <v>3</v>
      </c>
      <c r="D7072" t="inlineStr">
        <is>
          <t>Hub C</t>
        </is>
      </c>
      <c r="E7072" t="n">
        <v>75</v>
      </c>
      <c r="F7072" t="n">
        <v>13</v>
      </c>
    </row>
    <row r="7073">
      <c r="A7073" t="inlineStr">
        <is>
          <t>ORD07072</t>
        </is>
      </c>
      <c r="B7073" t="inlineStr">
        <is>
          <t>C2072</t>
        </is>
      </c>
      <c r="C7073" t="n">
        <v>1</v>
      </c>
      <c r="D7073" t="inlineStr">
        <is>
          <t>Hub C</t>
        </is>
      </c>
      <c r="E7073" t="n">
        <v>22</v>
      </c>
      <c r="F7073" t="n">
        <v>13</v>
      </c>
    </row>
    <row r="7074">
      <c r="A7074" t="inlineStr">
        <is>
          <t>ORD07073</t>
        </is>
      </c>
      <c r="B7074" t="inlineStr">
        <is>
          <t>C2073</t>
        </is>
      </c>
      <c r="C7074" t="n">
        <v>2</v>
      </c>
      <c r="D7074" t="inlineStr">
        <is>
          <t>Hub C</t>
        </is>
      </c>
      <c r="E7074" t="n">
        <v>29</v>
      </c>
      <c r="F7074" t="n">
        <v>13</v>
      </c>
    </row>
    <row r="7075">
      <c r="A7075" t="inlineStr">
        <is>
          <t>ORD07074</t>
        </is>
      </c>
      <c r="B7075" t="inlineStr">
        <is>
          <t>C2074</t>
        </is>
      </c>
      <c r="C7075" t="n">
        <v>3</v>
      </c>
      <c r="D7075" t="inlineStr">
        <is>
          <t>Hub C</t>
        </is>
      </c>
      <c r="E7075" t="n">
        <v>36</v>
      </c>
      <c r="F7075" t="n">
        <v>13</v>
      </c>
    </row>
    <row r="7076">
      <c r="A7076" t="inlineStr">
        <is>
          <t>ORD07075</t>
        </is>
      </c>
      <c r="B7076" t="inlineStr">
        <is>
          <t>C2075</t>
        </is>
      </c>
      <c r="C7076" t="n">
        <v>1</v>
      </c>
      <c r="D7076" t="inlineStr">
        <is>
          <t>Hub C</t>
        </is>
      </c>
      <c r="E7076" t="n">
        <v>43</v>
      </c>
      <c r="F7076" t="n">
        <v>13</v>
      </c>
    </row>
    <row r="7077">
      <c r="A7077" t="inlineStr">
        <is>
          <t>ORD07076</t>
        </is>
      </c>
      <c r="B7077" t="inlineStr">
        <is>
          <t>C2076</t>
        </is>
      </c>
      <c r="C7077" t="n">
        <v>2</v>
      </c>
      <c r="D7077" t="inlineStr">
        <is>
          <t>Hub C</t>
        </is>
      </c>
      <c r="E7077" t="n">
        <v>50</v>
      </c>
      <c r="F7077" t="n">
        <v>13</v>
      </c>
    </row>
    <row r="7078">
      <c r="A7078" t="inlineStr">
        <is>
          <t>ORD07077</t>
        </is>
      </c>
      <c r="B7078" t="inlineStr">
        <is>
          <t>C2077</t>
        </is>
      </c>
      <c r="C7078" t="n">
        <v>3</v>
      </c>
      <c r="D7078" t="inlineStr">
        <is>
          <t>Hub C</t>
        </is>
      </c>
      <c r="E7078" t="n">
        <v>57</v>
      </c>
      <c r="F7078" t="n">
        <v>13</v>
      </c>
    </row>
    <row r="7079">
      <c r="A7079" t="inlineStr">
        <is>
          <t>ORD07078</t>
        </is>
      </c>
      <c r="B7079" t="inlineStr">
        <is>
          <t>C2078</t>
        </is>
      </c>
      <c r="C7079" t="n">
        <v>1</v>
      </c>
      <c r="D7079" t="inlineStr">
        <is>
          <t>Hub C</t>
        </is>
      </c>
      <c r="E7079" t="n">
        <v>64</v>
      </c>
      <c r="F7079" t="n">
        <v>13</v>
      </c>
    </row>
    <row r="7080">
      <c r="A7080" t="inlineStr">
        <is>
          <t>ORD07079</t>
        </is>
      </c>
      <c r="B7080" t="inlineStr">
        <is>
          <t>C2079</t>
        </is>
      </c>
      <c r="C7080" t="n">
        <v>2</v>
      </c>
      <c r="D7080" t="inlineStr">
        <is>
          <t>Hub C</t>
        </is>
      </c>
      <c r="E7080" t="n">
        <v>71</v>
      </c>
      <c r="F7080" t="n">
        <v>13</v>
      </c>
    </row>
    <row r="7081">
      <c r="A7081" t="inlineStr">
        <is>
          <t>ORD07080</t>
        </is>
      </c>
      <c r="B7081" t="inlineStr">
        <is>
          <t>C2080</t>
        </is>
      </c>
      <c r="C7081" t="n">
        <v>3</v>
      </c>
      <c r="D7081" t="inlineStr">
        <is>
          <t>Hub C</t>
        </is>
      </c>
      <c r="E7081" t="n">
        <v>18</v>
      </c>
      <c r="F7081" t="n">
        <v>13</v>
      </c>
    </row>
    <row r="7082">
      <c r="A7082" t="inlineStr">
        <is>
          <t>ORD07081</t>
        </is>
      </c>
      <c r="B7082" t="inlineStr">
        <is>
          <t>C2081</t>
        </is>
      </c>
      <c r="C7082" t="n">
        <v>1</v>
      </c>
      <c r="D7082" t="inlineStr">
        <is>
          <t>Hub C</t>
        </is>
      </c>
      <c r="E7082" t="n">
        <v>25</v>
      </c>
      <c r="F7082" t="n">
        <v>13</v>
      </c>
    </row>
    <row r="7083">
      <c r="A7083" t="inlineStr">
        <is>
          <t>ORD07082</t>
        </is>
      </c>
      <c r="B7083" t="inlineStr">
        <is>
          <t>C2082</t>
        </is>
      </c>
      <c r="C7083" t="n">
        <v>2</v>
      </c>
      <c r="D7083" t="inlineStr">
        <is>
          <t>Hub C</t>
        </is>
      </c>
      <c r="E7083" t="n">
        <v>32</v>
      </c>
      <c r="F7083" t="n">
        <v>13</v>
      </c>
    </row>
    <row r="7084">
      <c r="A7084" t="inlineStr">
        <is>
          <t>ORD07083</t>
        </is>
      </c>
      <c r="B7084" t="inlineStr">
        <is>
          <t>C2083</t>
        </is>
      </c>
      <c r="C7084" t="n">
        <v>3</v>
      </c>
      <c r="D7084" t="inlineStr">
        <is>
          <t>Hub C</t>
        </is>
      </c>
      <c r="E7084" t="n">
        <v>39</v>
      </c>
      <c r="F7084" t="n">
        <v>13</v>
      </c>
    </row>
    <row r="7085">
      <c r="A7085" t="inlineStr">
        <is>
          <t>ORD07084</t>
        </is>
      </c>
      <c r="B7085" t="inlineStr">
        <is>
          <t>C2084</t>
        </is>
      </c>
      <c r="C7085" t="n">
        <v>1</v>
      </c>
      <c r="D7085" t="inlineStr">
        <is>
          <t>Hub C</t>
        </is>
      </c>
      <c r="E7085" t="n">
        <v>46</v>
      </c>
      <c r="F7085" t="n">
        <v>13</v>
      </c>
    </row>
    <row r="7086">
      <c r="A7086" t="inlineStr">
        <is>
          <t>ORD07085</t>
        </is>
      </c>
      <c r="B7086" t="inlineStr">
        <is>
          <t>C2085</t>
        </is>
      </c>
      <c r="C7086" t="n">
        <v>2</v>
      </c>
      <c r="D7086" t="inlineStr">
        <is>
          <t>Hub C</t>
        </is>
      </c>
      <c r="E7086" t="n">
        <v>53</v>
      </c>
      <c r="F7086" t="n">
        <v>13</v>
      </c>
    </row>
    <row r="7087">
      <c r="A7087" t="inlineStr">
        <is>
          <t>ORD07086</t>
        </is>
      </c>
      <c r="B7087" t="inlineStr">
        <is>
          <t>C2086</t>
        </is>
      </c>
      <c r="C7087" t="n">
        <v>3</v>
      </c>
      <c r="D7087" t="inlineStr">
        <is>
          <t>Hub C</t>
        </is>
      </c>
      <c r="E7087" t="n">
        <v>60</v>
      </c>
      <c r="F7087" t="n">
        <v>13</v>
      </c>
    </row>
    <row r="7088">
      <c r="A7088" t="inlineStr">
        <is>
          <t>ORD07087</t>
        </is>
      </c>
      <c r="B7088" t="inlineStr">
        <is>
          <t>C2087</t>
        </is>
      </c>
      <c r="C7088" t="n">
        <v>1</v>
      </c>
      <c r="D7088" t="inlineStr">
        <is>
          <t>Hub C</t>
        </is>
      </c>
      <c r="E7088" t="n">
        <v>67</v>
      </c>
      <c r="F7088" t="n">
        <v>13</v>
      </c>
    </row>
    <row r="7089">
      <c r="A7089" t="inlineStr">
        <is>
          <t>ORD07088</t>
        </is>
      </c>
      <c r="B7089" t="inlineStr">
        <is>
          <t>C2088</t>
        </is>
      </c>
      <c r="C7089" t="n">
        <v>2</v>
      </c>
      <c r="D7089" t="inlineStr">
        <is>
          <t>Hub C</t>
        </is>
      </c>
      <c r="E7089" t="n">
        <v>74</v>
      </c>
      <c r="F7089" t="n">
        <v>13</v>
      </c>
    </row>
    <row r="7090">
      <c r="A7090" t="inlineStr">
        <is>
          <t>ORD07089</t>
        </is>
      </c>
      <c r="B7090" t="inlineStr">
        <is>
          <t>C2089</t>
        </is>
      </c>
      <c r="C7090" t="n">
        <v>3</v>
      </c>
      <c r="D7090" t="inlineStr">
        <is>
          <t>Hub C</t>
        </is>
      </c>
      <c r="E7090" t="n">
        <v>21</v>
      </c>
      <c r="F7090" t="n">
        <v>13</v>
      </c>
    </row>
    <row r="7091">
      <c r="A7091" t="inlineStr">
        <is>
          <t>ORD07090</t>
        </is>
      </c>
      <c r="B7091" t="inlineStr">
        <is>
          <t>C2090</t>
        </is>
      </c>
      <c r="C7091" t="n">
        <v>1</v>
      </c>
      <c r="D7091" t="inlineStr">
        <is>
          <t>Hub C</t>
        </is>
      </c>
      <c r="E7091" t="n">
        <v>28</v>
      </c>
      <c r="F7091" t="n">
        <v>13</v>
      </c>
    </row>
    <row r="7092">
      <c r="A7092" t="inlineStr">
        <is>
          <t>ORD07091</t>
        </is>
      </c>
      <c r="B7092" t="inlineStr">
        <is>
          <t>C2091</t>
        </is>
      </c>
      <c r="C7092" t="n">
        <v>2</v>
      </c>
      <c r="D7092" t="inlineStr">
        <is>
          <t>Hub C</t>
        </is>
      </c>
      <c r="E7092" t="n">
        <v>35</v>
      </c>
      <c r="F7092" t="n">
        <v>13</v>
      </c>
    </row>
    <row r="7093">
      <c r="A7093" t="inlineStr">
        <is>
          <t>ORD07092</t>
        </is>
      </c>
      <c r="B7093" t="inlineStr">
        <is>
          <t>C2092</t>
        </is>
      </c>
      <c r="C7093" t="n">
        <v>3</v>
      </c>
      <c r="D7093" t="inlineStr">
        <is>
          <t>Hub C</t>
        </is>
      </c>
      <c r="E7093" t="n">
        <v>42</v>
      </c>
      <c r="F7093" t="n">
        <v>13</v>
      </c>
    </row>
    <row r="7094">
      <c r="A7094" t="inlineStr">
        <is>
          <t>ORD07093</t>
        </is>
      </c>
      <c r="B7094" t="inlineStr">
        <is>
          <t>C2093</t>
        </is>
      </c>
      <c r="C7094" t="n">
        <v>1</v>
      </c>
      <c r="D7094" t="inlineStr">
        <is>
          <t>Hub C</t>
        </is>
      </c>
      <c r="E7094" t="n">
        <v>49</v>
      </c>
      <c r="F7094" t="n">
        <v>13</v>
      </c>
    </row>
    <row r="7095">
      <c r="A7095" t="inlineStr">
        <is>
          <t>ORD07094</t>
        </is>
      </c>
      <c r="B7095" t="inlineStr">
        <is>
          <t>C2094</t>
        </is>
      </c>
      <c r="C7095" t="n">
        <v>2</v>
      </c>
      <c r="D7095" t="inlineStr">
        <is>
          <t>Hub C</t>
        </is>
      </c>
      <c r="E7095" t="n">
        <v>56</v>
      </c>
      <c r="F7095" t="n">
        <v>13</v>
      </c>
    </row>
    <row r="7096">
      <c r="A7096" t="inlineStr">
        <is>
          <t>ORD07095</t>
        </is>
      </c>
      <c r="B7096" t="inlineStr">
        <is>
          <t>C2095</t>
        </is>
      </c>
      <c r="C7096" t="n">
        <v>3</v>
      </c>
      <c r="D7096" t="inlineStr">
        <is>
          <t>Hub C</t>
        </is>
      </c>
      <c r="E7096" t="n">
        <v>63</v>
      </c>
      <c r="F7096" t="n">
        <v>13</v>
      </c>
    </row>
    <row r="7097">
      <c r="A7097" t="inlineStr">
        <is>
          <t>ORD07096</t>
        </is>
      </c>
      <c r="B7097" t="inlineStr">
        <is>
          <t>C2096</t>
        </is>
      </c>
      <c r="C7097" t="n">
        <v>1</v>
      </c>
      <c r="D7097" t="inlineStr">
        <is>
          <t>Hub C</t>
        </is>
      </c>
      <c r="E7097" t="n">
        <v>70</v>
      </c>
      <c r="F7097" t="n">
        <v>13</v>
      </c>
    </row>
    <row r="7098">
      <c r="A7098" t="inlineStr">
        <is>
          <t>ORD07097</t>
        </is>
      </c>
      <c r="B7098" t="inlineStr">
        <is>
          <t>C2097</t>
        </is>
      </c>
      <c r="C7098" t="n">
        <v>2</v>
      </c>
      <c r="D7098" t="inlineStr">
        <is>
          <t>Hub C</t>
        </is>
      </c>
      <c r="E7098" t="n">
        <v>77</v>
      </c>
      <c r="F7098" t="n">
        <v>13</v>
      </c>
    </row>
    <row r="7099">
      <c r="A7099" t="inlineStr">
        <is>
          <t>ORD07098</t>
        </is>
      </c>
      <c r="B7099" t="inlineStr">
        <is>
          <t>C2098</t>
        </is>
      </c>
      <c r="C7099" t="n">
        <v>3</v>
      </c>
      <c r="D7099" t="inlineStr">
        <is>
          <t>Hub C</t>
        </is>
      </c>
      <c r="E7099" t="n">
        <v>24</v>
      </c>
      <c r="F7099" t="n">
        <v>13</v>
      </c>
    </row>
    <row r="7100">
      <c r="A7100" t="inlineStr">
        <is>
          <t>ORD07099</t>
        </is>
      </c>
      <c r="B7100" t="inlineStr">
        <is>
          <t>C2099</t>
        </is>
      </c>
      <c r="C7100" t="n">
        <v>1</v>
      </c>
      <c r="D7100" t="inlineStr">
        <is>
          <t>Hub C</t>
        </is>
      </c>
      <c r="E7100" t="n">
        <v>31</v>
      </c>
      <c r="F7100" t="n">
        <v>13</v>
      </c>
    </row>
    <row r="7101">
      <c r="A7101" t="inlineStr">
        <is>
          <t>ORD07100</t>
        </is>
      </c>
      <c r="B7101" t="inlineStr">
        <is>
          <t>C2100</t>
        </is>
      </c>
      <c r="C7101" t="n">
        <v>2</v>
      </c>
      <c r="D7101" t="inlineStr">
        <is>
          <t>Hub C</t>
        </is>
      </c>
      <c r="E7101" t="n">
        <v>38</v>
      </c>
      <c r="F7101" t="n">
        <v>13</v>
      </c>
    </row>
    <row r="7102">
      <c r="A7102" t="inlineStr">
        <is>
          <t>ORD07101</t>
        </is>
      </c>
      <c r="B7102" t="inlineStr">
        <is>
          <t>C2101</t>
        </is>
      </c>
      <c r="C7102" t="n">
        <v>3</v>
      </c>
      <c r="D7102" t="inlineStr">
        <is>
          <t>Hub C</t>
        </is>
      </c>
      <c r="E7102" t="n">
        <v>45</v>
      </c>
      <c r="F7102" t="n">
        <v>13</v>
      </c>
    </row>
    <row r="7103">
      <c r="A7103" t="inlineStr">
        <is>
          <t>ORD07102</t>
        </is>
      </c>
      <c r="B7103" t="inlineStr">
        <is>
          <t>C2102</t>
        </is>
      </c>
      <c r="C7103" t="n">
        <v>1</v>
      </c>
      <c r="D7103" t="inlineStr">
        <is>
          <t>Hub C</t>
        </is>
      </c>
      <c r="E7103" t="n">
        <v>52</v>
      </c>
      <c r="F7103" t="n">
        <v>13</v>
      </c>
    </row>
    <row r="7104">
      <c r="A7104" t="inlineStr">
        <is>
          <t>ORD07103</t>
        </is>
      </c>
      <c r="B7104" t="inlineStr">
        <is>
          <t>C2103</t>
        </is>
      </c>
      <c r="C7104" t="n">
        <v>2</v>
      </c>
      <c r="D7104" t="inlineStr">
        <is>
          <t>Hub C</t>
        </is>
      </c>
      <c r="E7104" t="n">
        <v>59</v>
      </c>
      <c r="F7104" t="n">
        <v>13</v>
      </c>
    </row>
    <row r="7105">
      <c r="A7105" t="inlineStr">
        <is>
          <t>ORD07104</t>
        </is>
      </c>
      <c r="B7105" t="inlineStr">
        <is>
          <t>C2104</t>
        </is>
      </c>
      <c r="C7105" t="n">
        <v>3</v>
      </c>
      <c r="D7105" t="inlineStr">
        <is>
          <t>Hub C</t>
        </is>
      </c>
      <c r="E7105" t="n">
        <v>66</v>
      </c>
      <c r="F7105" t="n">
        <v>13</v>
      </c>
    </row>
    <row r="7106">
      <c r="A7106" t="inlineStr">
        <is>
          <t>ORD07105</t>
        </is>
      </c>
      <c r="B7106" t="inlineStr">
        <is>
          <t>C2105</t>
        </is>
      </c>
      <c r="C7106" t="n">
        <v>1</v>
      </c>
      <c r="D7106" t="inlineStr">
        <is>
          <t>Hub C</t>
        </is>
      </c>
      <c r="E7106" t="n">
        <v>73</v>
      </c>
      <c r="F7106" t="n">
        <v>13</v>
      </c>
    </row>
    <row r="7107">
      <c r="A7107" t="inlineStr">
        <is>
          <t>ORD07106</t>
        </is>
      </c>
      <c r="B7107" t="inlineStr">
        <is>
          <t>C2106</t>
        </is>
      </c>
      <c r="C7107" t="n">
        <v>2</v>
      </c>
      <c r="D7107" t="inlineStr">
        <is>
          <t>Hub C</t>
        </is>
      </c>
      <c r="E7107" t="n">
        <v>20</v>
      </c>
      <c r="F7107" t="n">
        <v>13</v>
      </c>
    </row>
    <row r="7108">
      <c r="A7108" t="inlineStr">
        <is>
          <t>ORD07107</t>
        </is>
      </c>
      <c r="B7108" t="inlineStr">
        <is>
          <t>C2107</t>
        </is>
      </c>
      <c r="C7108" t="n">
        <v>3</v>
      </c>
      <c r="D7108" t="inlineStr">
        <is>
          <t>Hub C</t>
        </is>
      </c>
      <c r="E7108" t="n">
        <v>27</v>
      </c>
      <c r="F7108" t="n">
        <v>13</v>
      </c>
    </row>
    <row r="7109">
      <c r="A7109" t="inlineStr">
        <is>
          <t>ORD07108</t>
        </is>
      </c>
      <c r="B7109" t="inlineStr">
        <is>
          <t>C2108</t>
        </is>
      </c>
      <c r="C7109" t="n">
        <v>1</v>
      </c>
      <c r="D7109" t="inlineStr">
        <is>
          <t>Hub C</t>
        </is>
      </c>
      <c r="E7109" t="n">
        <v>34</v>
      </c>
      <c r="F7109" t="n">
        <v>13</v>
      </c>
    </row>
    <row r="7110">
      <c r="A7110" t="inlineStr">
        <is>
          <t>ORD07109</t>
        </is>
      </c>
      <c r="B7110" t="inlineStr">
        <is>
          <t>C2109</t>
        </is>
      </c>
      <c r="C7110" t="n">
        <v>2</v>
      </c>
      <c r="D7110" t="inlineStr">
        <is>
          <t>Hub C</t>
        </is>
      </c>
      <c r="E7110" t="n">
        <v>41</v>
      </c>
      <c r="F7110" t="n">
        <v>13</v>
      </c>
    </row>
    <row r="7111">
      <c r="A7111" t="inlineStr">
        <is>
          <t>ORD07110</t>
        </is>
      </c>
      <c r="B7111" t="inlineStr">
        <is>
          <t>C2110</t>
        </is>
      </c>
      <c r="C7111" t="n">
        <v>3</v>
      </c>
      <c r="D7111" t="inlineStr">
        <is>
          <t>Hub C</t>
        </is>
      </c>
      <c r="E7111" t="n">
        <v>48</v>
      </c>
      <c r="F7111" t="n">
        <v>13</v>
      </c>
    </row>
    <row r="7112">
      <c r="A7112" t="inlineStr">
        <is>
          <t>ORD07111</t>
        </is>
      </c>
      <c r="B7112" t="inlineStr">
        <is>
          <t>C2111</t>
        </is>
      </c>
      <c r="C7112" t="n">
        <v>1</v>
      </c>
      <c r="D7112" t="inlineStr">
        <is>
          <t>Hub C</t>
        </is>
      </c>
      <c r="E7112" t="n">
        <v>55</v>
      </c>
      <c r="F7112" t="n">
        <v>13</v>
      </c>
    </row>
    <row r="7113">
      <c r="A7113" t="inlineStr">
        <is>
          <t>ORD07112</t>
        </is>
      </c>
      <c r="B7113" t="inlineStr">
        <is>
          <t>C2112</t>
        </is>
      </c>
      <c r="C7113" t="n">
        <v>2</v>
      </c>
      <c r="D7113" t="inlineStr">
        <is>
          <t>Hub C</t>
        </is>
      </c>
      <c r="E7113" t="n">
        <v>62</v>
      </c>
      <c r="F7113" t="n">
        <v>13</v>
      </c>
    </row>
    <row r="7114">
      <c r="A7114" t="inlineStr">
        <is>
          <t>ORD07113</t>
        </is>
      </c>
      <c r="B7114" t="inlineStr">
        <is>
          <t>C2113</t>
        </is>
      </c>
      <c r="C7114" t="n">
        <v>3</v>
      </c>
      <c r="D7114" t="inlineStr">
        <is>
          <t>Hub C</t>
        </is>
      </c>
      <c r="E7114" t="n">
        <v>69</v>
      </c>
      <c r="F7114" t="n">
        <v>13</v>
      </c>
    </row>
    <row r="7115">
      <c r="A7115" t="inlineStr">
        <is>
          <t>ORD07114</t>
        </is>
      </c>
      <c r="B7115" t="inlineStr">
        <is>
          <t>C2114</t>
        </is>
      </c>
      <c r="C7115" t="n">
        <v>1</v>
      </c>
      <c r="D7115" t="inlineStr">
        <is>
          <t>Hub C</t>
        </is>
      </c>
      <c r="E7115" t="n">
        <v>76</v>
      </c>
      <c r="F7115" t="n">
        <v>13</v>
      </c>
    </row>
    <row r="7116">
      <c r="A7116" t="inlineStr">
        <is>
          <t>ORD07115</t>
        </is>
      </c>
      <c r="B7116" t="inlineStr">
        <is>
          <t>C2115</t>
        </is>
      </c>
      <c r="C7116" t="n">
        <v>2</v>
      </c>
      <c r="D7116" t="inlineStr">
        <is>
          <t>Hub C</t>
        </is>
      </c>
      <c r="E7116" t="n">
        <v>23</v>
      </c>
      <c r="F7116" t="n">
        <v>13</v>
      </c>
    </row>
    <row r="7117">
      <c r="A7117" t="inlineStr">
        <is>
          <t>ORD07116</t>
        </is>
      </c>
      <c r="B7117" t="inlineStr">
        <is>
          <t>C2116</t>
        </is>
      </c>
      <c r="C7117" t="n">
        <v>3</v>
      </c>
      <c r="D7117" t="inlineStr">
        <is>
          <t>Hub C</t>
        </is>
      </c>
      <c r="E7117" t="n">
        <v>30</v>
      </c>
      <c r="F7117" t="n">
        <v>13</v>
      </c>
    </row>
    <row r="7118">
      <c r="A7118" t="inlineStr">
        <is>
          <t>ORD07117</t>
        </is>
      </c>
      <c r="B7118" t="inlineStr">
        <is>
          <t>C2117</t>
        </is>
      </c>
      <c r="C7118" t="n">
        <v>1</v>
      </c>
      <c r="D7118" t="inlineStr">
        <is>
          <t>Hub C</t>
        </is>
      </c>
      <c r="E7118" t="n">
        <v>37</v>
      </c>
      <c r="F7118" t="n">
        <v>13</v>
      </c>
    </row>
    <row r="7119">
      <c r="A7119" t="inlineStr">
        <is>
          <t>ORD07118</t>
        </is>
      </c>
      <c r="B7119" t="inlineStr">
        <is>
          <t>C2118</t>
        </is>
      </c>
      <c r="C7119" t="n">
        <v>2</v>
      </c>
      <c r="D7119" t="inlineStr">
        <is>
          <t>Hub C</t>
        </is>
      </c>
      <c r="E7119" t="n">
        <v>44</v>
      </c>
      <c r="F7119" t="n">
        <v>13</v>
      </c>
    </row>
    <row r="7120">
      <c r="A7120" t="inlineStr">
        <is>
          <t>ORD07119</t>
        </is>
      </c>
      <c r="B7120" t="inlineStr">
        <is>
          <t>C2119</t>
        </is>
      </c>
      <c r="C7120" t="n">
        <v>3</v>
      </c>
      <c r="D7120" t="inlineStr">
        <is>
          <t>Hub C</t>
        </is>
      </c>
      <c r="E7120" t="n">
        <v>51</v>
      </c>
      <c r="F7120" t="n">
        <v>13</v>
      </c>
    </row>
    <row r="7121">
      <c r="A7121" t="inlineStr">
        <is>
          <t>ORD07120</t>
        </is>
      </c>
      <c r="B7121" t="inlineStr">
        <is>
          <t>C2120</t>
        </is>
      </c>
      <c r="C7121" t="n">
        <v>1</v>
      </c>
      <c r="D7121" t="inlineStr">
        <is>
          <t>Hub C</t>
        </is>
      </c>
      <c r="E7121" t="n">
        <v>58</v>
      </c>
      <c r="F7121" t="n">
        <v>13</v>
      </c>
    </row>
    <row r="7122">
      <c r="A7122" t="inlineStr">
        <is>
          <t>ORD07121</t>
        </is>
      </c>
      <c r="B7122" t="inlineStr">
        <is>
          <t>C2121</t>
        </is>
      </c>
      <c r="C7122" t="n">
        <v>2</v>
      </c>
      <c r="D7122" t="inlineStr">
        <is>
          <t>Hub C</t>
        </is>
      </c>
      <c r="E7122" t="n">
        <v>65</v>
      </c>
      <c r="F7122" t="n">
        <v>13</v>
      </c>
    </row>
    <row r="7123">
      <c r="A7123" t="inlineStr">
        <is>
          <t>ORD07122</t>
        </is>
      </c>
      <c r="B7123" t="inlineStr">
        <is>
          <t>C2122</t>
        </is>
      </c>
      <c r="C7123" t="n">
        <v>3</v>
      </c>
      <c r="D7123" t="inlineStr">
        <is>
          <t>Hub C</t>
        </is>
      </c>
      <c r="E7123" t="n">
        <v>72</v>
      </c>
      <c r="F7123" t="n">
        <v>13</v>
      </c>
    </row>
    <row r="7124">
      <c r="A7124" t="inlineStr">
        <is>
          <t>ORD07123</t>
        </is>
      </c>
      <c r="B7124" t="inlineStr">
        <is>
          <t>C2123</t>
        </is>
      </c>
      <c r="C7124" t="n">
        <v>1</v>
      </c>
      <c r="D7124" t="inlineStr">
        <is>
          <t>Hub C</t>
        </is>
      </c>
      <c r="E7124" t="n">
        <v>19</v>
      </c>
      <c r="F7124" t="n">
        <v>13</v>
      </c>
    </row>
    <row r="7125">
      <c r="A7125" t="inlineStr">
        <is>
          <t>ORD07124</t>
        </is>
      </c>
      <c r="B7125" t="inlineStr">
        <is>
          <t>C2124</t>
        </is>
      </c>
      <c r="C7125" t="n">
        <v>2</v>
      </c>
      <c r="D7125" t="inlineStr">
        <is>
          <t>Hub C</t>
        </is>
      </c>
      <c r="E7125" t="n">
        <v>26</v>
      </c>
      <c r="F7125" t="n">
        <v>13</v>
      </c>
    </row>
    <row r="7126">
      <c r="A7126" t="inlineStr">
        <is>
          <t>ORD07125</t>
        </is>
      </c>
      <c r="B7126" t="inlineStr">
        <is>
          <t>C2125</t>
        </is>
      </c>
      <c r="C7126" t="n">
        <v>3</v>
      </c>
      <c r="D7126" t="inlineStr">
        <is>
          <t>Hub C</t>
        </is>
      </c>
      <c r="E7126" t="n">
        <v>33</v>
      </c>
      <c r="F7126" t="n">
        <v>13</v>
      </c>
    </row>
    <row r="7127">
      <c r="A7127" t="inlineStr">
        <is>
          <t>ORD07126</t>
        </is>
      </c>
      <c r="B7127" t="inlineStr">
        <is>
          <t>C2126</t>
        </is>
      </c>
      <c r="C7127" t="n">
        <v>1</v>
      </c>
      <c r="D7127" t="inlineStr">
        <is>
          <t>Hub C</t>
        </is>
      </c>
      <c r="E7127" t="n">
        <v>40</v>
      </c>
      <c r="F7127" t="n">
        <v>13</v>
      </c>
    </row>
    <row r="7128">
      <c r="A7128" t="inlineStr">
        <is>
          <t>ORD07127</t>
        </is>
      </c>
      <c r="B7128" t="inlineStr">
        <is>
          <t>C2127</t>
        </is>
      </c>
      <c r="C7128" t="n">
        <v>2</v>
      </c>
      <c r="D7128" t="inlineStr">
        <is>
          <t>Hub C</t>
        </is>
      </c>
      <c r="E7128" t="n">
        <v>47</v>
      </c>
      <c r="F7128" t="n">
        <v>13</v>
      </c>
    </row>
    <row r="7129">
      <c r="A7129" t="inlineStr">
        <is>
          <t>ORD07128</t>
        </is>
      </c>
      <c r="B7129" t="inlineStr">
        <is>
          <t>C2128</t>
        </is>
      </c>
      <c r="C7129" t="n">
        <v>3</v>
      </c>
      <c r="D7129" t="inlineStr">
        <is>
          <t>Hub C</t>
        </is>
      </c>
      <c r="E7129" t="n">
        <v>54</v>
      </c>
      <c r="F7129" t="n">
        <v>13</v>
      </c>
    </row>
    <row r="7130">
      <c r="A7130" t="inlineStr">
        <is>
          <t>ORD07129</t>
        </is>
      </c>
      <c r="B7130" t="inlineStr">
        <is>
          <t>C2129</t>
        </is>
      </c>
      <c r="C7130" t="n">
        <v>1</v>
      </c>
      <c r="D7130" t="inlineStr">
        <is>
          <t>Hub C</t>
        </is>
      </c>
      <c r="E7130" t="n">
        <v>61</v>
      </c>
      <c r="F7130" t="n">
        <v>13</v>
      </c>
    </row>
    <row r="7131">
      <c r="A7131" t="inlineStr">
        <is>
          <t>ORD07130</t>
        </is>
      </c>
      <c r="B7131" t="inlineStr">
        <is>
          <t>C2130</t>
        </is>
      </c>
      <c r="C7131" t="n">
        <v>2</v>
      </c>
      <c r="D7131" t="inlineStr">
        <is>
          <t>Hub C</t>
        </is>
      </c>
      <c r="E7131" t="n">
        <v>68</v>
      </c>
      <c r="F7131" t="n">
        <v>13</v>
      </c>
    </row>
    <row r="7132">
      <c r="A7132" t="inlineStr">
        <is>
          <t>ORD07131</t>
        </is>
      </c>
      <c r="B7132" t="inlineStr">
        <is>
          <t>C2131</t>
        </is>
      </c>
      <c r="C7132" t="n">
        <v>3</v>
      </c>
      <c r="D7132" t="inlineStr">
        <is>
          <t>Hub C</t>
        </is>
      </c>
      <c r="E7132" t="n">
        <v>75</v>
      </c>
      <c r="F7132" t="n">
        <v>13</v>
      </c>
    </row>
    <row r="7133">
      <c r="A7133" t="inlineStr">
        <is>
          <t>ORD07132</t>
        </is>
      </c>
      <c r="B7133" t="inlineStr">
        <is>
          <t>C2132</t>
        </is>
      </c>
      <c r="C7133" t="n">
        <v>1</v>
      </c>
      <c r="D7133" t="inlineStr">
        <is>
          <t>Hub C</t>
        </is>
      </c>
      <c r="E7133" t="n">
        <v>22</v>
      </c>
      <c r="F7133" t="n">
        <v>13</v>
      </c>
    </row>
    <row r="7134">
      <c r="A7134" t="inlineStr">
        <is>
          <t>ORD07133</t>
        </is>
      </c>
      <c r="B7134" t="inlineStr">
        <is>
          <t>C2133</t>
        </is>
      </c>
      <c r="C7134" t="n">
        <v>2</v>
      </c>
      <c r="D7134" t="inlineStr">
        <is>
          <t>Hub C</t>
        </is>
      </c>
      <c r="E7134" t="n">
        <v>29</v>
      </c>
      <c r="F7134" t="n">
        <v>13</v>
      </c>
    </row>
    <row r="7135">
      <c r="A7135" t="inlineStr">
        <is>
          <t>ORD07134</t>
        </is>
      </c>
      <c r="B7135" t="inlineStr">
        <is>
          <t>C2134</t>
        </is>
      </c>
      <c r="C7135" t="n">
        <v>3</v>
      </c>
      <c r="D7135" t="inlineStr">
        <is>
          <t>Hub C</t>
        </is>
      </c>
      <c r="E7135" t="n">
        <v>36</v>
      </c>
      <c r="F7135" t="n">
        <v>13</v>
      </c>
    </row>
    <row r="7136">
      <c r="A7136" t="inlineStr">
        <is>
          <t>ORD07135</t>
        </is>
      </c>
      <c r="B7136" t="inlineStr">
        <is>
          <t>C2135</t>
        </is>
      </c>
      <c r="C7136" t="n">
        <v>1</v>
      </c>
      <c r="D7136" t="inlineStr">
        <is>
          <t>Hub C</t>
        </is>
      </c>
      <c r="E7136" t="n">
        <v>43</v>
      </c>
      <c r="F7136" t="n">
        <v>13</v>
      </c>
    </row>
    <row r="7137">
      <c r="A7137" t="inlineStr">
        <is>
          <t>ORD07136</t>
        </is>
      </c>
      <c r="B7137" t="inlineStr">
        <is>
          <t>C2136</t>
        </is>
      </c>
      <c r="C7137" t="n">
        <v>2</v>
      </c>
      <c r="D7137" t="inlineStr">
        <is>
          <t>Hub C</t>
        </is>
      </c>
      <c r="E7137" t="n">
        <v>50</v>
      </c>
      <c r="F7137" t="n">
        <v>13</v>
      </c>
    </row>
    <row r="7138">
      <c r="A7138" t="inlineStr">
        <is>
          <t>ORD07137</t>
        </is>
      </c>
      <c r="B7138" t="inlineStr">
        <is>
          <t>C2137</t>
        </is>
      </c>
      <c r="C7138" t="n">
        <v>3</v>
      </c>
      <c r="D7138" t="inlineStr">
        <is>
          <t>Hub C</t>
        </is>
      </c>
      <c r="E7138" t="n">
        <v>57</v>
      </c>
      <c r="F7138" t="n">
        <v>13</v>
      </c>
    </row>
    <row r="7139">
      <c r="A7139" t="inlineStr">
        <is>
          <t>ORD07138</t>
        </is>
      </c>
      <c r="B7139" t="inlineStr">
        <is>
          <t>C2138</t>
        </is>
      </c>
      <c r="C7139" t="n">
        <v>1</v>
      </c>
      <c r="D7139" t="inlineStr">
        <is>
          <t>Hub C</t>
        </is>
      </c>
      <c r="E7139" t="n">
        <v>64</v>
      </c>
      <c r="F7139" t="n">
        <v>13</v>
      </c>
    </row>
    <row r="7140">
      <c r="A7140" t="inlineStr">
        <is>
          <t>ORD07139</t>
        </is>
      </c>
      <c r="B7140" t="inlineStr">
        <is>
          <t>C2139</t>
        </is>
      </c>
      <c r="C7140" t="n">
        <v>2</v>
      </c>
      <c r="D7140" t="inlineStr">
        <is>
          <t>Hub C</t>
        </is>
      </c>
      <c r="E7140" t="n">
        <v>71</v>
      </c>
      <c r="F7140" t="n">
        <v>13</v>
      </c>
    </row>
    <row r="7141">
      <c r="A7141" t="inlineStr">
        <is>
          <t>ORD07140</t>
        </is>
      </c>
      <c r="B7141" t="inlineStr">
        <is>
          <t>C2140</t>
        </is>
      </c>
      <c r="C7141" t="n">
        <v>3</v>
      </c>
      <c r="D7141" t="inlineStr">
        <is>
          <t>Hub C</t>
        </is>
      </c>
      <c r="E7141" t="n">
        <v>18</v>
      </c>
      <c r="F7141" t="n">
        <v>13</v>
      </c>
    </row>
    <row r="7142">
      <c r="A7142" t="inlineStr">
        <is>
          <t>ORD07141</t>
        </is>
      </c>
      <c r="B7142" t="inlineStr">
        <is>
          <t>C2141</t>
        </is>
      </c>
      <c r="C7142" t="n">
        <v>1</v>
      </c>
      <c r="D7142" t="inlineStr">
        <is>
          <t>Hub C</t>
        </is>
      </c>
      <c r="E7142" t="n">
        <v>25</v>
      </c>
      <c r="F7142" t="n">
        <v>13</v>
      </c>
    </row>
    <row r="7143">
      <c r="A7143" t="inlineStr">
        <is>
          <t>ORD07142</t>
        </is>
      </c>
      <c r="B7143" t="inlineStr">
        <is>
          <t>C2142</t>
        </is>
      </c>
      <c r="C7143" t="n">
        <v>2</v>
      </c>
      <c r="D7143" t="inlineStr">
        <is>
          <t>Hub C</t>
        </is>
      </c>
      <c r="E7143" t="n">
        <v>32</v>
      </c>
      <c r="F7143" t="n">
        <v>13</v>
      </c>
    </row>
    <row r="7144">
      <c r="A7144" t="inlineStr">
        <is>
          <t>ORD07143</t>
        </is>
      </c>
      <c r="B7144" t="inlineStr">
        <is>
          <t>C2143</t>
        </is>
      </c>
      <c r="C7144" t="n">
        <v>3</v>
      </c>
      <c r="D7144" t="inlineStr">
        <is>
          <t>Hub C</t>
        </is>
      </c>
      <c r="E7144" t="n">
        <v>39</v>
      </c>
      <c r="F7144" t="n">
        <v>13</v>
      </c>
    </row>
    <row r="7145">
      <c r="A7145" t="inlineStr">
        <is>
          <t>ORD07144</t>
        </is>
      </c>
      <c r="B7145" t="inlineStr">
        <is>
          <t>C2144</t>
        </is>
      </c>
      <c r="C7145" t="n">
        <v>1</v>
      </c>
      <c r="D7145" t="inlineStr">
        <is>
          <t>Hub C</t>
        </is>
      </c>
      <c r="E7145" t="n">
        <v>46</v>
      </c>
      <c r="F7145" t="n">
        <v>13</v>
      </c>
    </row>
    <row r="7146">
      <c r="A7146" t="inlineStr">
        <is>
          <t>ORD07145</t>
        </is>
      </c>
      <c r="B7146" t="inlineStr">
        <is>
          <t>C2145</t>
        </is>
      </c>
      <c r="C7146" t="n">
        <v>2</v>
      </c>
      <c r="D7146" t="inlineStr">
        <is>
          <t>Hub C</t>
        </is>
      </c>
      <c r="E7146" t="n">
        <v>53</v>
      </c>
      <c r="F7146" t="n">
        <v>13</v>
      </c>
    </row>
    <row r="7147">
      <c r="A7147" t="inlineStr">
        <is>
          <t>ORD07146</t>
        </is>
      </c>
      <c r="B7147" t="inlineStr">
        <is>
          <t>C2146</t>
        </is>
      </c>
      <c r="C7147" t="n">
        <v>3</v>
      </c>
      <c r="D7147" t="inlineStr">
        <is>
          <t>Hub C</t>
        </is>
      </c>
      <c r="E7147" t="n">
        <v>60</v>
      </c>
      <c r="F7147" t="n">
        <v>13</v>
      </c>
    </row>
    <row r="7148">
      <c r="A7148" t="inlineStr">
        <is>
          <t>ORD07147</t>
        </is>
      </c>
      <c r="B7148" t="inlineStr">
        <is>
          <t>C2147</t>
        </is>
      </c>
      <c r="C7148" t="n">
        <v>1</v>
      </c>
      <c r="D7148" t="inlineStr">
        <is>
          <t>Hub C</t>
        </is>
      </c>
      <c r="E7148" t="n">
        <v>67</v>
      </c>
      <c r="F7148" t="n">
        <v>13</v>
      </c>
    </row>
    <row r="7149">
      <c r="A7149" t="inlineStr">
        <is>
          <t>ORD07148</t>
        </is>
      </c>
      <c r="B7149" t="inlineStr">
        <is>
          <t>C2148</t>
        </is>
      </c>
      <c r="C7149" t="n">
        <v>2</v>
      </c>
      <c r="D7149" t="inlineStr">
        <is>
          <t>Hub C</t>
        </is>
      </c>
      <c r="E7149" t="n">
        <v>74</v>
      </c>
      <c r="F7149" t="n">
        <v>13</v>
      </c>
    </row>
    <row r="7150">
      <c r="A7150" t="inlineStr">
        <is>
          <t>ORD07149</t>
        </is>
      </c>
      <c r="B7150" t="inlineStr">
        <is>
          <t>C2149</t>
        </is>
      </c>
      <c r="C7150" t="n">
        <v>3</v>
      </c>
      <c r="D7150" t="inlineStr">
        <is>
          <t>Hub C</t>
        </is>
      </c>
      <c r="E7150" t="n">
        <v>21</v>
      </c>
      <c r="F7150" t="n">
        <v>13</v>
      </c>
    </row>
    <row r="7151">
      <c r="A7151" t="inlineStr">
        <is>
          <t>ORD07150</t>
        </is>
      </c>
      <c r="B7151" t="inlineStr">
        <is>
          <t>C2150</t>
        </is>
      </c>
      <c r="C7151" t="n">
        <v>1</v>
      </c>
      <c r="D7151" t="inlineStr">
        <is>
          <t>Hub C</t>
        </is>
      </c>
      <c r="E7151" t="n">
        <v>28</v>
      </c>
      <c r="F7151" t="n">
        <v>13</v>
      </c>
    </row>
    <row r="7152">
      <c r="A7152" t="inlineStr">
        <is>
          <t>ORD07151</t>
        </is>
      </c>
      <c r="B7152" t="inlineStr">
        <is>
          <t>C2151</t>
        </is>
      </c>
      <c r="C7152" t="n">
        <v>2</v>
      </c>
      <c r="D7152" t="inlineStr">
        <is>
          <t>Hub C</t>
        </is>
      </c>
      <c r="E7152" t="n">
        <v>35</v>
      </c>
      <c r="F7152" t="n">
        <v>13</v>
      </c>
    </row>
    <row r="7153">
      <c r="A7153" t="inlineStr">
        <is>
          <t>ORD07152</t>
        </is>
      </c>
      <c r="B7153" t="inlineStr">
        <is>
          <t>C2152</t>
        </is>
      </c>
      <c r="C7153" t="n">
        <v>3</v>
      </c>
      <c r="D7153" t="inlineStr">
        <is>
          <t>Hub C</t>
        </is>
      </c>
      <c r="E7153" t="n">
        <v>42</v>
      </c>
      <c r="F7153" t="n">
        <v>13</v>
      </c>
    </row>
    <row r="7154">
      <c r="A7154" t="inlineStr">
        <is>
          <t>ORD07153</t>
        </is>
      </c>
      <c r="B7154" t="inlineStr">
        <is>
          <t>C2153</t>
        </is>
      </c>
      <c r="C7154" t="n">
        <v>1</v>
      </c>
      <c r="D7154" t="inlineStr">
        <is>
          <t>Hub C</t>
        </is>
      </c>
      <c r="E7154" t="n">
        <v>49</v>
      </c>
      <c r="F7154" t="n">
        <v>13</v>
      </c>
    </row>
    <row r="7155">
      <c r="A7155" t="inlineStr">
        <is>
          <t>ORD07154</t>
        </is>
      </c>
      <c r="B7155" t="inlineStr">
        <is>
          <t>C2154</t>
        </is>
      </c>
      <c r="C7155" t="n">
        <v>2</v>
      </c>
      <c r="D7155" t="inlineStr">
        <is>
          <t>Hub C</t>
        </is>
      </c>
      <c r="E7155" t="n">
        <v>56</v>
      </c>
      <c r="F7155" t="n">
        <v>13</v>
      </c>
    </row>
    <row r="7156">
      <c r="A7156" t="inlineStr">
        <is>
          <t>ORD07155</t>
        </is>
      </c>
      <c r="B7156" t="inlineStr">
        <is>
          <t>C2155</t>
        </is>
      </c>
      <c r="C7156" t="n">
        <v>3</v>
      </c>
      <c r="D7156" t="inlineStr">
        <is>
          <t>Hub C</t>
        </is>
      </c>
      <c r="E7156" t="n">
        <v>63</v>
      </c>
      <c r="F7156" t="n">
        <v>13</v>
      </c>
    </row>
    <row r="7157">
      <c r="A7157" t="inlineStr">
        <is>
          <t>ORD07156</t>
        </is>
      </c>
      <c r="B7157" t="inlineStr">
        <is>
          <t>C2156</t>
        </is>
      </c>
      <c r="C7157" t="n">
        <v>1</v>
      </c>
      <c r="D7157" t="inlineStr">
        <is>
          <t>Hub C</t>
        </is>
      </c>
      <c r="E7157" t="n">
        <v>70</v>
      </c>
      <c r="F7157" t="n">
        <v>13</v>
      </c>
    </row>
    <row r="7158">
      <c r="A7158" t="inlineStr">
        <is>
          <t>ORD07157</t>
        </is>
      </c>
      <c r="B7158" t="inlineStr">
        <is>
          <t>C2157</t>
        </is>
      </c>
      <c r="C7158" t="n">
        <v>2</v>
      </c>
      <c r="D7158" t="inlineStr">
        <is>
          <t>Hub C</t>
        </is>
      </c>
      <c r="E7158" t="n">
        <v>77</v>
      </c>
      <c r="F7158" t="n">
        <v>13</v>
      </c>
    </row>
    <row r="7159">
      <c r="A7159" t="inlineStr">
        <is>
          <t>ORD07158</t>
        </is>
      </c>
      <c r="B7159" t="inlineStr">
        <is>
          <t>C2158</t>
        </is>
      </c>
      <c r="C7159" t="n">
        <v>3</v>
      </c>
      <c r="D7159" t="inlineStr">
        <is>
          <t>Hub C</t>
        </is>
      </c>
      <c r="E7159" t="n">
        <v>24</v>
      </c>
      <c r="F7159" t="n">
        <v>13</v>
      </c>
    </row>
    <row r="7160">
      <c r="A7160" t="inlineStr">
        <is>
          <t>ORD07159</t>
        </is>
      </c>
      <c r="B7160" t="inlineStr">
        <is>
          <t>C2159</t>
        </is>
      </c>
      <c r="C7160" t="n">
        <v>1</v>
      </c>
      <c r="D7160" t="inlineStr">
        <is>
          <t>Hub C</t>
        </is>
      </c>
      <c r="E7160" t="n">
        <v>31</v>
      </c>
      <c r="F7160" t="n">
        <v>13</v>
      </c>
    </row>
    <row r="7161">
      <c r="A7161" t="inlineStr">
        <is>
          <t>ORD07160</t>
        </is>
      </c>
      <c r="B7161" t="inlineStr">
        <is>
          <t>C2160</t>
        </is>
      </c>
      <c r="C7161" t="n">
        <v>2</v>
      </c>
      <c r="D7161" t="inlineStr">
        <is>
          <t>Hub C</t>
        </is>
      </c>
      <c r="E7161" t="n">
        <v>38</v>
      </c>
      <c r="F7161" t="n">
        <v>13</v>
      </c>
    </row>
    <row r="7162">
      <c r="A7162" t="inlineStr">
        <is>
          <t>ORD07161</t>
        </is>
      </c>
      <c r="B7162" t="inlineStr">
        <is>
          <t>C2161</t>
        </is>
      </c>
      <c r="C7162" t="n">
        <v>3</v>
      </c>
      <c r="D7162" t="inlineStr">
        <is>
          <t>Hub C</t>
        </is>
      </c>
      <c r="E7162" t="n">
        <v>45</v>
      </c>
      <c r="F7162" t="n">
        <v>13</v>
      </c>
    </row>
    <row r="7163">
      <c r="A7163" t="inlineStr">
        <is>
          <t>ORD07162</t>
        </is>
      </c>
      <c r="B7163" t="inlineStr">
        <is>
          <t>C2162</t>
        </is>
      </c>
      <c r="C7163" t="n">
        <v>1</v>
      </c>
      <c r="D7163" t="inlineStr">
        <is>
          <t>Hub C</t>
        </is>
      </c>
      <c r="E7163" t="n">
        <v>52</v>
      </c>
      <c r="F7163" t="n">
        <v>13</v>
      </c>
    </row>
    <row r="7164">
      <c r="A7164" t="inlineStr">
        <is>
          <t>ORD07163</t>
        </is>
      </c>
      <c r="B7164" t="inlineStr">
        <is>
          <t>C2163</t>
        </is>
      </c>
      <c r="C7164" t="n">
        <v>2</v>
      </c>
      <c r="D7164" t="inlineStr">
        <is>
          <t>Hub C</t>
        </is>
      </c>
      <c r="E7164" t="n">
        <v>59</v>
      </c>
      <c r="F7164" t="n">
        <v>13</v>
      </c>
    </row>
    <row r="7165">
      <c r="A7165" t="inlineStr">
        <is>
          <t>ORD07164</t>
        </is>
      </c>
      <c r="B7165" t="inlineStr">
        <is>
          <t>C2164</t>
        </is>
      </c>
      <c r="C7165" t="n">
        <v>3</v>
      </c>
      <c r="D7165" t="inlineStr">
        <is>
          <t>Hub C</t>
        </is>
      </c>
      <c r="E7165" t="n">
        <v>66</v>
      </c>
      <c r="F7165" t="n">
        <v>13</v>
      </c>
    </row>
    <row r="7166">
      <c r="A7166" t="inlineStr">
        <is>
          <t>ORD07165</t>
        </is>
      </c>
      <c r="B7166" t="inlineStr">
        <is>
          <t>C2165</t>
        </is>
      </c>
      <c r="C7166" t="n">
        <v>1</v>
      </c>
      <c r="D7166" t="inlineStr">
        <is>
          <t>Hub C</t>
        </is>
      </c>
      <c r="E7166" t="n">
        <v>73</v>
      </c>
      <c r="F7166" t="n">
        <v>13</v>
      </c>
    </row>
    <row r="7167">
      <c r="A7167" t="inlineStr">
        <is>
          <t>ORD07166</t>
        </is>
      </c>
      <c r="B7167" t="inlineStr">
        <is>
          <t>C2166</t>
        </is>
      </c>
      <c r="C7167" t="n">
        <v>2</v>
      </c>
      <c r="D7167" t="inlineStr">
        <is>
          <t>Hub C</t>
        </is>
      </c>
      <c r="E7167" t="n">
        <v>20</v>
      </c>
      <c r="F7167" t="n">
        <v>13</v>
      </c>
    </row>
    <row r="7168">
      <c r="A7168" t="inlineStr">
        <is>
          <t>ORD07167</t>
        </is>
      </c>
      <c r="B7168" t="inlineStr">
        <is>
          <t>C2167</t>
        </is>
      </c>
      <c r="C7168" t="n">
        <v>3</v>
      </c>
      <c r="D7168" t="inlineStr">
        <is>
          <t>Hub C</t>
        </is>
      </c>
      <c r="E7168" t="n">
        <v>27</v>
      </c>
      <c r="F7168" t="n">
        <v>13</v>
      </c>
    </row>
    <row r="7169">
      <c r="A7169" t="inlineStr">
        <is>
          <t>ORD07168</t>
        </is>
      </c>
      <c r="B7169" t="inlineStr">
        <is>
          <t>C2168</t>
        </is>
      </c>
      <c r="C7169" t="n">
        <v>1</v>
      </c>
      <c r="D7169" t="inlineStr">
        <is>
          <t>Hub C</t>
        </is>
      </c>
      <c r="E7169" t="n">
        <v>34</v>
      </c>
      <c r="F7169" t="n">
        <v>13</v>
      </c>
    </row>
    <row r="7170">
      <c r="A7170" t="inlineStr">
        <is>
          <t>ORD07169</t>
        </is>
      </c>
      <c r="B7170" t="inlineStr">
        <is>
          <t>C2169</t>
        </is>
      </c>
      <c r="C7170" t="n">
        <v>2</v>
      </c>
      <c r="D7170" t="inlineStr">
        <is>
          <t>Hub C</t>
        </is>
      </c>
      <c r="E7170" t="n">
        <v>41</v>
      </c>
      <c r="F7170" t="n">
        <v>13</v>
      </c>
    </row>
    <row r="7171">
      <c r="A7171" t="inlineStr">
        <is>
          <t>ORD07170</t>
        </is>
      </c>
      <c r="B7171" t="inlineStr">
        <is>
          <t>C2170</t>
        </is>
      </c>
      <c r="C7171" t="n">
        <v>3</v>
      </c>
      <c r="D7171" t="inlineStr">
        <is>
          <t>Hub C</t>
        </is>
      </c>
      <c r="E7171" t="n">
        <v>48</v>
      </c>
      <c r="F7171" t="n">
        <v>13</v>
      </c>
    </row>
    <row r="7172">
      <c r="A7172" t="inlineStr">
        <is>
          <t>ORD07171</t>
        </is>
      </c>
      <c r="B7172" t="inlineStr">
        <is>
          <t>C2171</t>
        </is>
      </c>
      <c r="C7172" t="n">
        <v>1</v>
      </c>
      <c r="D7172" t="inlineStr">
        <is>
          <t>Hub C</t>
        </is>
      </c>
      <c r="E7172" t="n">
        <v>55</v>
      </c>
      <c r="F7172" t="n">
        <v>13</v>
      </c>
    </row>
    <row r="7173">
      <c r="A7173" t="inlineStr">
        <is>
          <t>ORD07172</t>
        </is>
      </c>
      <c r="B7173" t="inlineStr">
        <is>
          <t>C2172</t>
        </is>
      </c>
      <c r="C7173" t="n">
        <v>2</v>
      </c>
      <c r="D7173" t="inlineStr">
        <is>
          <t>Hub C</t>
        </is>
      </c>
      <c r="E7173" t="n">
        <v>62</v>
      </c>
      <c r="F7173" t="n">
        <v>13</v>
      </c>
    </row>
    <row r="7174">
      <c r="A7174" t="inlineStr">
        <is>
          <t>ORD07173</t>
        </is>
      </c>
      <c r="B7174" t="inlineStr">
        <is>
          <t>C2173</t>
        </is>
      </c>
      <c r="C7174" t="n">
        <v>3</v>
      </c>
      <c r="D7174" t="inlineStr">
        <is>
          <t>Hub C</t>
        </is>
      </c>
      <c r="E7174" t="n">
        <v>69</v>
      </c>
      <c r="F7174" t="n">
        <v>13</v>
      </c>
    </row>
    <row r="7175">
      <c r="A7175" t="inlineStr">
        <is>
          <t>ORD07174</t>
        </is>
      </c>
      <c r="B7175" t="inlineStr">
        <is>
          <t>C2174</t>
        </is>
      </c>
      <c r="C7175" t="n">
        <v>1</v>
      </c>
      <c r="D7175" t="inlineStr">
        <is>
          <t>Hub C</t>
        </is>
      </c>
      <c r="E7175" t="n">
        <v>76</v>
      </c>
      <c r="F7175" t="n">
        <v>13</v>
      </c>
    </row>
    <row r="7176">
      <c r="A7176" t="inlineStr">
        <is>
          <t>ORD07175</t>
        </is>
      </c>
      <c r="B7176" t="inlineStr">
        <is>
          <t>C2175</t>
        </is>
      </c>
      <c r="C7176" t="n">
        <v>2</v>
      </c>
      <c r="D7176" t="inlineStr">
        <is>
          <t>Hub C</t>
        </is>
      </c>
      <c r="E7176" t="n">
        <v>23</v>
      </c>
      <c r="F7176" t="n">
        <v>13</v>
      </c>
    </row>
    <row r="7177">
      <c r="A7177" t="inlineStr">
        <is>
          <t>ORD07176</t>
        </is>
      </c>
      <c r="B7177" t="inlineStr">
        <is>
          <t>C2176</t>
        </is>
      </c>
      <c r="C7177" t="n">
        <v>3</v>
      </c>
      <c r="D7177" t="inlineStr">
        <is>
          <t>Hub C</t>
        </is>
      </c>
      <c r="E7177" t="n">
        <v>30</v>
      </c>
      <c r="F7177" t="n">
        <v>13</v>
      </c>
    </row>
    <row r="7178">
      <c r="A7178" t="inlineStr">
        <is>
          <t>ORD07177</t>
        </is>
      </c>
      <c r="B7178" t="inlineStr">
        <is>
          <t>C2177</t>
        </is>
      </c>
      <c r="C7178" t="n">
        <v>1</v>
      </c>
      <c r="D7178" t="inlineStr">
        <is>
          <t>Hub C</t>
        </is>
      </c>
      <c r="E7178" t="n">
        <v>37</v>
      </c>
      <c r="F7178" t="n">
        <v>13</v>
      </c>
    </row>
    <row r="7179">
      <c r="A7179" t="inlineStr">
        <is>
          <t>ORD07178</t>
        </is>
      </c>
      <c r="B7179" t="inlineStr">
        <is>
          <t>C2178</t>
        </is>
      </c>
      <c r="C7179" t="n">
        <v>2</v>
      </c>
      <c r="D7179" t="inlineStr">
        <is>
          <t>Hub C</t>
        </is>
      </c>
      <c r="E7179" t="n">
        <v>44</v>
      </c>
      <c r="F7179" t="n">
        <v>13</v>
      </c>
    </row>
    <row r="7180">
      <c r="A7180" t="inlineStr">
        <is>
          <t>ORD07179</t>
        </is>
      </c>
      <c r="B7180" t="inlineStr">
        <is>
          <t>C2179</t>
        </is>
      </c>
      <c r="C7180" t="n">
        <v>3</v>
      </c>
      <c r="D7180" t="inlineStr">
        <is>
          <t>Hub C</t>
        </is>
      </c>
      <c r="E7180" t="n">
        <v>51</v>
      </c>
      <c r="F7180" t="n">
        <v>13</v>
      </c>
    </row>
    <row r="7181">
      <c r="A7181" t="inlineStr">
        <is>
          <t>ORD07180</t>
        </is>
      </c>
      <c r="B7181" t="inlineStr">
        <is>
          <t>C2180</t>
        </is>
      </c>
      <c r="C7181" t="n">
        <v>1</v>
      </c>
      <c r="D7181" t="inlineStr">
        <is>
          <t>Hub C</t>
        </is>
      </c>
      <c r="E7181" t="n">
        <v>58</v>
      </c>
      <c r="F7181" t="n">
        <v>13</v>
      </c>
    </row>
    <row r="7182">
      <c r="A7182" t="inlineStr">
        <is>
          <t>ORD07181</t>
        </is>
      </c>
      <c r="B7182" t="inlineStr">
        <is>
          <t>C2181</t>
        </is>
      </c>
      <c r="C7182" t="n">
        <v>2</v>
      </c>
      <c r="D7182" t="inlineStr">
        <is>
          <t>Hub C</t>
        </is>
      </c>
      <c r="E7182" t="n">
        <v>65</v>
      </c>
      <c r="F7182" t="n">
        <v>13</v>
      </c>
    </row>
    <row r="7183">
      <c r="A7183" t="inlineStr">
        <is>
          <t>ORD07182</t>
        </is>
      </c>
      <c r="B7183" t="inlineStr">
        <is>
          <t>C2182</t>
        </is>
      </c>
      <c r="C7183" t="n">
        <v>3</v>
      </c>
      <c r="D7183" t="inlineStr">
        <is>
          <t>Hub C</t>
        </is>
      </c>
      <c r="E7183" t="n">
        <v>72</v>
      </c>
      <c r="F7183" t="n">
        <v>13</v>
      </c>
    </row>
    <row r="7184">
      <c r="A7184" t="inlineStr">
        <is>
          <t>ORD07183</t>
        </is>
      </c>
      <c r="B7184" t="inlineStr">
        <is>
          <t>C2183</t>
        </is>
      </c>
      <c r="C7184" t="n">
        <v>1</v>
      </c>
      <c r="D7184" t="inlineStr">
        <is>
          <t>Hub C</t>
        </is>
      </c>
      <c r="E7184" t="n">
        <v>19</v>
      </c>
      <c r="F7184" t="n">
        <v>13</v>
      </c>
    </row>
    <row r="7185">
      <c r="A7185" t="inlineStr">
        <is>
          <t>ORD07184</t>
        </is>
      </c>
      <c r="B7185" t="inlineStr">
        <is>
          <t>C2184</t>
        </is>
      </c>
      <c r="C7185" t="n">
        <v>2</v>
      </c>
      <c r="D7185" t="inlineStr">
        <is>
          <t>Hub C</t>
        </is>
      </c>
      <c r="E7185" t="n">
        <v>26</v>
      </c>
      <c r="F7185" t="n">
        <v>13</v>
      </c>
    </row>
    <row r="7186">
      <c r="A7186" t="inlineStr">
        <is>
          <t>ORD07185</t>
        </is>
      </c>
      <c r="B7186" t="inlineStr">
        <is>
          <t>C2185</t>
        </is>
      </c>
      <c r="C7186" t="n">
        <v>3</v>
      </c>
      <c r="D7186" t="inlineStr">
        <is>
          <t>Hub C</t>
        </is>
      </c>
      <c r="E7186" t="n">
        <v>33</v>
      </c>
      <c r="F7186" t="n">
        <v>13</v>
      </c>
    </row>
    <row r="7187">
      <c r="A7187" t="inlineStr">
        <is>
          <t>ORD07186</t>
        </is>
      </c>
      <c r="B7187" t="inlineStr">
        <is>
          <t>C2186</t>
        </is>
      </c>
      <c r="C7187" t="n">
        <v>1</v>
      </c>
      <c r="D7187" t="inlineStr">
        <is>
          <t>Hub C</t>
        </is>
      </c>
      <c r="E7187" t="n">
        <v>40</v>
      </c>
      <c r="F7187" t="n">
        <v>13</v>
      </c>
    </row>
    <row r="7188">
      <c r="A7188" t="inlineStr">
        <is>
          <t>ORD07187</t>
        </is>
      </c>
      <c r="B7188" t="inlineStr">
        <is>
          <t>C2187</t>
        </is>
      </c>
      <c r="C7188" t="n">
        <v>2</v>
      </c>
      <c r="D7188" t="inlineStr">
        <is>
          <t>Hub C</t>
        </is>
      </c>
      <c r="E7188" t="n">
        <v>47</v>
      </c>
      <c r="F7188" t="n">
        <v>13</v>
      </c>
    </row>
    <row r="7189">
      <c r="A7189" t="inlineStr">
        <is>
          <t>ORD07188</t>
        </is>
      </c>
      <c r="B7189" t="inlineStr">
        <is>
          <t>C2188</t>
        </is>
      </c>
      <c r="C7189" t="n">
        <v>3</v>
      </c>
      <c r="D7189" t="inlineStr">
        <is>
          <t>Hub C</t>
        </is>
      </c>
      <c r="E7189" t="n">
        <v>54</v>
      </c>
      <c r="F7189" t="n">
        <v>13</v>
      </c>
    </row>
    <row r="7190">
      <c r="A7190" t="inlineStr">
        <is>
          <t>ORD07189</t>
        </is>
      </c>
      <c r="B7190" t="inlineStr">
        <is>
          <t>C2189</t>
        </is>
      </c>
      <c r="C7190" t="n">
        <v>1</v>
      </c>
      <c r="D7190" t="inlineStr">
        <is>
          <t>Hub C</t>
        </is>
      </c>
      <c r="E7190" t="n">
        <v>61</v>
      </c>
      <c r="F7190" t="n">
        <v>13</v>
      </c>
    </row>
    <row r="7191">
      <c r="A7191" t="inlineStr">
        <is>
          <t>ORD07190</t>
        </is>
      </c>
      <c r="B7191" t="inlineStr">
        <is>
          <t>C2190</t>
        </is>
      </c>
      <c r="C7191" t="n">
        <v>2</v>
      </c>
      <c r="D7191" t="inlineStr">
        <is>
          <t>Hub C</t>
        </is>
      </c>
      <c r="E7191" t="n">
        <v>68</v>
      </c>
      <c r="F7191" t="n">
        <v>13</v>
      </c>
    </row>
    <row r="7192">
      <c r="A7192" t="inlineStr">
        <is>
          <t>ORD07191</t>
        </is>
      </c>
      <c r="B7192" t="inlineStr">
        <is>
          <t>C2191</t>
        </is>
      </c>
      <c r="C7192" t="n">
        <v>3</v>
      </c>
      <c r="D7192" t="inlineStr">
        <is>
          <t>Hub C</t>
        </is>
      </c>
      <c r="E7192" t="n">
        <v>75</v>
      </c>
      <c r="F7192" t="n">
        <v>13</v>
      </c>
    </row>
    <row r="7193">
      <c r="A7193" t="inlineStr">
        <is>
          <t>ORD07192</t>
        </is>
      </c>
      <c r="B7193" t="inlineStr">
        <is>
          <t>C2192</t>
        </is>
      </c>
      <c r="C7193" t="n">
        <v>1</v>
      </c>
      <c r="D7193" t="inlineStr">
        <is>
          <t>Hub C</t>
        </is>
      </c>
      <c r="E7193" t="n">
        <v>22</v>
      </c>
      <c r="F7193" t="n">
        <v>13</v>
      </c>
    </row>
    <row r="7194">
      <c r="A7194" t="inlineStr">
        <is>
          <t>ORD07193</t>
        </is>
      </c>
      <c r="B7194" t="inlineStr">
        <is>
          <t>C2193</t>
        </is>
      </c>
      <c r="C7194" t="n">
        <v>2</v>
      </c>
      <c r="D7194" t="inlineStr">
        <is>
          <t>Hub C</t>
        </is>
      </c>
      <c r="E7194" t="n">
        <v>29</v>
      </c>
      <c r="F7194" t="n">
        <v>13</v>
      </c>
    </row>
    <row r="7195">
      <c r="A7195" t="inlineStr">
        <is>
          <t>ORD07194</t>
        </is>
      </c>
      <c r="B7195" t="inlineStr">
        <is>
          <t>C2194</t>
        </is>
      </c>
      <c r="C7195" t="n">
        <v>3</v>
      </c>
      <c r="D7195" t="inlineStr">
        <is>
          <t>Hub C</t>
        </is>
      </c>
      <c r="E7195" t="n">
        <v>36</v>
      </c>
      <c r="F7195" t="n">
        <v>13</v>
      </c>
    </row>
    <row r="7196">
      <c r="A7196" t="inlineStr">
        <is>
          <t>ORD07195</t>
        </is>
      </c>
      <c r="B7196" t="inlineStr">
        <is>
          <t>C2195</t>
        </is>
      </c>
      <c r="C7196" t="n">
        <v>1</v>
      </c>
      <c r="D7196" t="inlineStr">
        <is>
          <t>Hub C</t>
        </is>
      </c>
      <c r="E7196" t="n">
        <v>43</v>
      </c>
      <c r="F7196" t="n">
        <v>13</v>
      </c>
    </row>
    <row r="7197">
      <c r="A7197" t="inlineStr">
        <is>
          <t>ORD07196</t>
        </is>
      </c>
      <c r="B7197" t="inlineStr">
        <is>
          <t>C2196</t>
        </is>
      </c>
      <c r="C7197" t="n">
        <v>2</v>
      </c>
      <c r="D7197" t="inlineStr">
        <is>
          <t>Hub C</t>
        </is>
      </c>
      <c r="E7197" t="n">
        <v>50</v>
      </c>
      <c r="F7197" t="n">
        <v>13</v>
      </c>
    </row>
    <row r="7198">
      <c r="A7198" t="inlineStr">
        <is>
          <t>ORD07197</t>
        </is>
      </c>
      <c r="B7198" t="inlineStr">
        <is>
          <t>C2197</t>
        </is>
      </c>
      <c r="C7198" t="n">
        <v>3</v>
      </c>
      <c r="D7198" t="inlineStr">
        <is>
          <t>Hub C</t>
        </is>
      </c>
      <c r="E7198" t="n">
        <v>57</v>
      </c>
      <c r="F7198" t="n">
        <v>13</v>
      </c>
    </row>
    <row r="7199">
      <c r="A7199" t="inlineStr">
        <is>
          <t>ORD07198</t>
        </is>
      </c>
      <c r="B7199" t="inlineStr">
        <is>
          <t>C2198</t>
        </is>
      </c>
      <c r="C7199" t="n">
        <v>1</v>
      </c>
      <c r="D7199" t="inlineStr">
        <is>
          <t>Hub C</t>
        </is>
      </c>
      <c r="E7199" t="n">
        <v>64</v>
      </c>
      <c r="F7199" t="n">
        <v>13</v>
      </c>
    </row>
    <row r="7200">
      <c r="A7200" t="inlineStr">
        <is>
          <t>ORD07199</t>
        </is>
      </c>
      <c r="B7200" t="inlineStr">
        <is>
          <t>C2199</t>
        </is>
      </c>
      <c r="C7200" t="n">
        <v>2</v>
      </c>
      <c r="D7200" t="inlineStr">
        <is>
          <t>Hub C</t>
        </is>
      </c>
      <c r="E7200" t="n">
        <v>71</v>
      </c>
      <c r="F7200" t="n">
        <v>13</v>
      </c>
    </row>
    <row r="7201">
      <c r="A7201" t="inlineStr">
        <is>
          <t>ORD07200</t>
        </is>
      </c>
      <c r="B7201" t="inlineStr">
        <is>
          <t>C2200</t>
        </is>
      </c>
      <c r="C7201" t="n">
        <v>3</v>
      </c>
      <c r="D7201" t="inlineStr">
        <is>
          <t>Hub C</t>
        </is>
      </c>
      <c r="E7201" t="n">
        <v>18</v>
      </c>
      <c r="F7201" t="n">
        <v>13</v>
      </c>
    </row>
    <row r="7202">
      <c r="A7202" t="inlineStr">
        <is>
          <t>ORD07201</t>
        </is>
      </c>
      <c r="B7202" t="inlineStr">
        <is>
          <t>C2201</t>
        </is>
      </c>
      <c r="C7202" t="n">
        <v>1</v>
      </c>
      <c r="D7202" t="inlineStr">
        <is>
          <t>Hub C</t>
        </is>
      </c>
      <c r="E7202" t="n">
        <v>25</v>
      </c>
      <c r="F7202" t="n">
        <v>13</v>
      </c>
    </row>
    <row r="7203">
      <c r="A7203" t="inlineStr">
        <is>
          <t>ORD07202</t>
        </is>
      </c>
      <c r="B7203" t="inlineStr">
        <is>
          <t>C2202</t>
        </is>
      </c>
      <c r="C7203" t="n">
        <v>2</v>
      </c>
      <c r="D7203" t="inlineStr">
        <is>
          <t>Hub C</t>
        </is>
      </c>
      <c r="E7203" t="n">
        <v>32</v>
      </c>
      <c r="F7203" t="n">
        <v>13</v>
      </c>
    </row>
    <row r="7204">
      <c r="A7204" t="inlineStr">
        <is>
          <t>ORD07203</t>
        </is>
      </c>
      <c r="B7204" t="inlineStr">
        <is>
          <t>C2203</t>
        </is>
      </c>
      <c r="C7204" t="n">
        <v>3</v>
      </c>
      <c r="D7204" t="inlineStr">
        <is>
          <t>Hub C</t>
        </is>
      </c>
      <c r="E7204" t="n">
        <v>39</v>
      </c>
      <c r="F7204" t="n">
        <v>13</v>
      </c>
    </row>
    <row r="7205">
      <c r="A7205" t="inlineStr">
        <is>
          <t>ORD07204</t>
        </is>
      </c>
      <c r="B7205" t="inlineStr">
        <is>
          <t>C2204</t>
        </is>
      </c>
      <c r="C7205" t="n">
        <v>1</v>
      </c>
      <c r="D7205" t="inlineStr">
        <is>
          <t>Hub C</t>
        </is>
      </c>
      <c r="E7205" t="n">
        <v>46</v>
      </c>
      <c r="F7205" t="n">
        <v>13</v>
      </c>
    </row>
    <row r="7206">
      <c r="A7206" t="inlineStr">
        <is>
          <t>ORD07205</t>
        </is>
      </c>
      <c r="B7206" t="inlineStr">
        <is>
          <t>C2205</t>
        </is>
      </c>
      <c r="C7206" t="n">
        <v>2</v>
      </c>
      <c r="D7206" t="inlineStr">
        <is>
          <t>Hub C</t>
        </is>
      </c>
      <c r="E7206" t="n">
        <v>53</v>
      </c>
      <c r="F7206" t="n">
        <v>13</v>
      </c>
    </row>
    <row r="7207">
      <c r="A7207" t="inlineStr">
        <is>
          <t>ORD07206</t>
        </is>
      </c>
      <c r="B7207" t="inlineStr">
        <is>
          <t>C2206</t>
        </is>
      </c>
      <c r="C7207" t="n">
        <v>3</v>
      </c>
      <c r="D7207" t="inlineStr">
        <is>
          <t>Hub C</t>
        </is>
      </c>
      <c r="E7207" t="n">
        <v>60</v>
      </c>
      <c r="F7207" t="n">
        <v>13</v>
      </c>
    </row>
    <row r="7208">
      <c r="A7208" t="inlineStr">
        <is>
          <t>ORD07207</t>
        </is>
      </c>
      <c r="B7208" t="inlineStr">
        <is>
          <t>C2207</t>
        </is>
      </c>
      <c r="C7208" t="n">
        <v>1</v>
      </c>
      <c r="D7208" t="inlineStr">
        <is>
          <t>Hub C</t>
        </is>
      </c>
      <c r="E7208" t="n">
        <v>67</v>
      </c>
      <c r="F7208" t="n">
        <v>13</v>
      </c>
    </row>
    <row r="7209">
      <c r="A7209" t="inlineStr">
        <is>
          <t>ORD07208</t>
        </is>
      </c>
      <c r="B7209" t="inlineStr">
        <is>
          <t>C2208</t>
        </is>
      </c>
      <c r="C7209" t="n">
        <v>2</v>
      </c>
      <c r="D7209" t="inlineStr">
        <is>
          <t>Hub C</t>
        </is>
      </c>
      <c r="E7209" t="n">
        <v>74</v>
      </c>
      <c r="F7209" t="n">
        <v>13</v>
      </c>
    </row>
    <row r="7210">
      <c r="A7210" t="inlineStr">
        <is>
          <t>ORD07209</t>
        </is>
      </c>
      <c r="B7210" t="inlineStr">
        <is>
          <t>C2209</t>
        </is>
      </c>
      <c r="C7210" t="n">
        <v>3</v>
      </c>
      <c r="D7210" t="inlineStr">
        <is>
          <t>Hub C</t>
        </is>
      </c>
      <c r="E7210" t="n">
        <v>21</v>
      </c>
      <c r="F7210" t="n">
        <v>13</v>
      </c>
    </row>
    <row r="7211">
      <c r="A7211" t="inlineStr">
        <is>
          <t>ORD07210</t>
        </is>
      </c>
      <c r="B7211" t="inlineStr">
        <is>
          <t>C2210</t>
        </is>
      </c>
      <c r="C7211" t="n">
        <v>1</v>
      </c>
      <c r="D7211" t="inlineStr">
        <is>
          <t>Hub C</t>
        </is>
      </c>
      <c r="E7211" t="n">
        <v>28</v>
      </c>
      <c r="F7211" t="n">
        <v>13</v>
      </c>
    </row>
    <row r="7212">
      <c r="A7212" t="inlineStr">
        <is>
          <t>ORD07211</t>
        </is>
      </c>
      <c r="B7212" t="inlineStr">
        <is>
          <t>C2211</t>
        </is>
      </c>
      <c r="C7212" t="n">
        <v>2</v>
      </c>
      <c r="D7212" t="inlineStr">
        <is>
          <t>Hub C</t>
        </is>
      </c>
      <c r="E7212" t="n">
        <v>35</v>
      </c>
      <c r="F7212" t="n">
        <v>13</v>
      </c>
    </row>
    <row r="7213">
      <c r="A7213" t="inlineStr">
        <is>
          <t>ORD07212</t>
        </is>
      </c>
      <c r="B7213" t="inlineStr">
        <is>
          <t>C2212</t>
        </is>
      </c>
      <c r="C7213" t="n">
        <v>3</v>
      </c>
      <c r="D7213" t="inlineStr">
        <is>
          <t>Hub C</t>
        </is>
      </c>
      <c r="E7213" t="n">
        <v>42</v>
      </c>
      <c r="F7213" t="n">
        <v>13</v>
      </c>
    </row>
    <row r="7214">
      <c r="A7214" t="inlineStr">
        <is>
          <t>ORD07213</t>
        </is>
      </c>
      <c r="B7214" t="inlineStr">
        <is>
          <t>C2213</t>
        </is>
      </c>
      <c r="C7214" t="n">
        <v>1</v>
      </c>
      <c r="D7214" t="inlineStr">
        <is>
          <t>Hub C</t>
        </is>
      </c>
      <c r="E7214" t="n">
        <v>49</v>
      </c>
      <c r="F7214" t="n">
        <v>13</v>
      </c>
    </row>
    <row r="7215">
      <c r="A7215" t="inlineStr">
        <is>
          <t>ORD07214</t>
        </is>
      </c>
      <c r="B7215" t="inlineStr">
        <is>
          <t>C2214</t>
        </is>
      </c>
      <c r="C7215" t="n">
        <v>2</v>
      </c>
      <c r="D7215" t="inlineStr">
        <is>
          <t>Hub C</t>
        </is>
      </c>
      <c r="E7215" t="n">
        <v>56</v>
      </c>
      <c r="F7215" t="n">
        <v>13</v>
      </c>
    </row>
    <row r="7216">
      <c r="A7216" t="inlineStr">
        <is>
          <t>ORD07215</t>
        </is>
      </c>
      <c r="B7216" t="inlineStr">
        <is>
          <t>C2215</t>
        </is>
      </c>
      <c r="C7216" t="n">
        <v>3</v>
      </c>
      <c r="D7216" t="inlineStr">
        <is>
          <t>Hub C</t>
        </is>
      </c>
      <c r="E7216" t="n">
        <v>63</v>
      </c>
      <c r="F7216" t="n">
        <v>13</v>
      </c>
    </row>
    <row r="7217">
      <c r="A7217" t="inlineStr">
        <is>
          <t>ORD07216</t>
        </is>
      </c>
      <c r="B7217" t="inlineStr">
        <is>
          <t>C2216</t>
        </is>
      </c>
      <c r="C7217" t="n">
        <v>1</v>
      </c>
      <c r="D7217" t="inlineStr">
        <is>
          <t>Hub C</t>
        </is>
      </c>
      <c r="E7217" t="n">
        <v>70</v>
      </c>
      <c r="F7217" t="n">
        <v>13</v>
      </c>
    </row>
    <row r="7218">
      <c r="A7218" t="inlineStr">
        <is>
          <t>ORD07217</t>
        </is>
      </c>
      <c r="B7218" t="inlineStr">
        <is>
          <t>C2217</t>
        </is>
      </c>
      <c r="C7218" t="n">
        <v>2</v>
      </c>
      <c r="D7218" t="inlineStr">
        <is>
          <t>Hub C</t>
        </is>
      </c>
      <c r="E7218" t="n">
        <v>77</v>
      </c>
      <c r="F7218" t="n">
        <v>13</v>
      </c>
    </row>
    <row r="7219">
      <c r="A7219" t="inlineStr">
        <is>
          <t>ORD07218</t>
        </is>
      </c>
      <c r="B7219" t="inlineStr">
        <is>
          <t>C2218</t>
        </is>
      </c>
      <c r="C7219" t="n">
        <v>3</v>
      </c>
      <c r="D7219" t="inlineStr">
        <is>
          <t>Hub C</t>
        </is>
      </c>
      <c r="E7219" t="n">
        <v>24</v>
      </c>
      <c r="F7219" t="n">
        <v>13</v>
      </c>
    </row>
    <row r="7220">
      <c r="A7220" t="inlineStr">
        <is>
          <t>ORD07219</t>
        </is>
      </c>
      <c r="B7220" t="inlineStr">
        <is>
          <t>C2219</t>
        </is>
      </c>
      <c r="C7220" t="n">
        <v>1</v>
      </c>
      <c r="D7220" t="inlineStr">
        <is>
          <t>Hub C</t>
        </is>
      </c>
      <c r="E7220" t="n">
        <v>31</v>
      </c>
      <c r="F7220" t="n">
        <v>13</v>
      </c>
    </row>
    <row r="7221">
      <c r="A7221" t="inlineStr">
        <is>
          <t>ORD07220</t>
        </is>
      </c>
      <c r="B7221" t="inlineStr">
        <is>
          <t>C2220</t>
        </is>
      </c>
      <c r="C7221" t="n">
        <v>2</v>
      </c>
      <c r="D7221" t="inlineStr">
        <is>
          <t>Hub C</t>
        </is>
      </c>
      <c r="E7221" t="n">
        <v>38</v>
      </c>
      <c r="F7221" t="n">
        <v>13</v>
      </c>
    </row>
    <row r="7222">
      <c r="A7222" t="inlineStr">
        <is>
          <t>ORD07221</t>
        </is>
      </c>
      <c r="B7222" t="inlineStr">
        <is>
          <t>C2221</t>
        </is>
      </c>
      <c r="C7222" t="n">
        <v>3</v>
      </c>
      <c r="D7222" t="inlineStr">
        <is>
          <t>Hub C</t>
        </is>
      </c>
      <c r="E7222" t="n">
        <v>45</v>
      </c>
      <c r="F7222" t="n">
        <v>13</v>
      </c>
    </row>
    <row r="7223">
      <c r="A7223" t="inlineStr">
        <is>
          <t>ORD07222</t>
        </is>
      </c>
      <c r="B7223" t="inlineStr">
        <is>
          <t>C2222</t>
        </is>
      </c>
      <c r="C7223" t="n">
        <v>1</v>
      </c>
      <c r="D7223" t="inlineStr">
        <is>
          <t>Hub C</t>
        </is>
      </c>
      <c r="E7223" t="n">
        <v>52</v>
      </c>
      <c r="F7223" t="n">
        <v>13</v>
      </c>
    </row>
    <row r="7224">
      <c r="A7224" t="inlineStr">
        <is>
          <t>ORD07223</t>
        </is>
      </c>
      <c r="B7224" t="inlineStr">
        <is>
          <t>C2223</t>
        </is>
      </c>
      <c r="C7224" t="n">
        <v>2</v>
      </c>
      <c r="D7224" t="inlineStr">
        <is>
          <t>Hub C</t>
        </is>
      </c>
      <c r="E7224" t="n">
        <v>59</v>
      </c>
      <c r="F7224" t="n">
        <v>13</v>
      </c>
    </row>
    <row r="7225">
      <c r="A7225" t="inlineStr">
        <is>
          <t>ORD07224</t>
        </is>
      </c>
      <c r="B7225" t="inlineStr">
        <is>
          <t>C2224</t>
        </is>
      </c>
      <c r="C7225" t="n">
        <v>3</v>
      </c>
      <c r="D7225" t="inlineStr">
        <is>
          <t>Hub C</t>
        </is>
      </c>
      <c r="E7225" t="n">
        <v>66</v>
      </c>
      <c r="F7225" t="n">
        <v>13</v>
      </c>
    </row>
    <row r="7226">
      <c r="A7226" t="inlineStr">
        <is>
          <t>ORD07225</t>
        </is>
      </c>
      <c r="B7226" t="inlineStr">
        <is>
          <t>C2225</t>
        </is>
      </c>
      <c r="C7226" t="n">
        <v>1</v>
      </c>
      <c r="D7226" t="inlineStr">
        <is>
          <t>Hub C</t>
        </is>
      </c>
      <c r="E7226" t="n">
        <v>73</v>
      </c>
      <c r="F7226" t="n">
        <v>13</v>
      </c>
    </row>
    <row r="7227">
      <c r="A7227" t="inlineStr">
        <is>
          <t>ORD07226</t>
        </is>
      </c>
      <c r="B7227" t="inlineStr">
        <is>
          <t>C2226</t>
        </is>
      </c>
      <c r="C7227" t="n">
        <v>2</v>
      </c>
      <c r="D7227" t="inlineStr">
        <is>
          <t>Hub C</t>
        </is>
      </c>
      <c r="E7227" t="n">
        <v>20</v>
      </c>
      <c r="F7227" t="n">
        <v>13</v>
      </c>
    </row>
    <row r="7228">
      <c r="A7228" t="inlineStr">
        <is>
          <t>ORD07227</t>
        </is>
      </c>
      <c r="B7228" t="inlineStr">
        <is>
          <t>C2227</t>
        </is>
      </c>
      <c r="C7228" t="n">
        <v>3</v>
      </c>
      <c r="D7228" t="inlineStr">
        <is>
          <t>Hub C</t>
        </is>
      </c>
      <c r="E7228" t="n">
        <v>27</v>
      </c>
      <c r="F7228" t="n">
        <v>13</v>
      </c>
    </row>
    <row r="7229">
      <c r="A7229" t="inlineStr">
        <is>
          <t>ORD07228</t>
        </is>
      </c>
      <c r="B7229" t="inlineStr">
        <is>
          <t>C2228</t>
        </is>
      </c>
      <c r="C7229" t="n">
        <v>1</v>
      </c>
      <c r="D7229" t="inlineStr">
        <is>
          <t>Hub C</t>
        </is>
      </c>
      <c r="E7229" t="n">
        <v>34</v>
      </c>
      <c r="F7229" t="n">
        <v>13</v>
      </c>
    </row>
    <row r="7230">
      <c r="A7230" t="inlineStr">
        <is>
          <t>ORD07229</t>
        </is>
      </c>
      <c r="B7230" t="inlineStr">
        <is>
          <t>C2229</t>
        </is>
      </c>
      <c r="C7230" t="n">
        <v>2</v>
      </c>
      <c r="D7230" t="inlineStr">
        <is>
          <t>Hub C</t>
        </is>
      </c>
      <c r="E7230" t="n">
        <v>41</v>
      </c>
      <c r="F7230" t="n">
        <v>13</v>
      </c>
    </row>
    <row r="7231">
      <c r="A7231" t="inlineStr">
        <is>
          <t>ORD07230</t>
        </is>
      </c>
      <c r="B7231" t="inlineStr">
        <is>
          <t>C2230</t>
        </is>
      </c>
      <c r="C7231" t="n">
        <v>3</v>
      </c>
      <c r="D7231" t="inlineStr">
        <is>
          <t>Hub C</t>
        </is>
      </c>
      <c r="E7231" t="n">
        <v>48</v>
      </c>
      <c r="F7231" t="n">
        <v>13</v>
      </c>
    </row>
    <row r="7232">
      <c r="A7232" t="inlineStr">
        <is>
          <t>ORD07231</t>
        </is>
      </c>
      <c r="B7232" t="inlineStr">
        <is>
          <t>C2231</t>
        </is>
      </c>
      <c r="C7232" t="n">
        <v>1</v>
      </c>
      <c r="D7232" t="inlineStr">
        <is>
          <t>Hub C</t>
        </is>
      </c>
      <c r="E7232" t="n">
        <v>55</v>
      </c>
      <c r="F7232" t="n">
        <v>13</v>
      </c>
    </row>
    <row r="7233">
      <c r="A7233" t="inlineStr">
        <is>
          <t>ORD07232</t>
        </is>
      </c>
      <c r="B7233" t="inlineStr">
        <is>
          <t>C2232</t>
        </is>
      </c>
      <c r="C7233" t="n">
        <v>2</v>
      </c>
      <c r="D7233" t="inlineStr">
        <is>
          <t>Hub C</t>
        </is>
      </c>
      <c r="E7233" t="n">
        <v>62</v>
      </c>
      <c r="F7233" t="n">
        <v>13</v>
      </c>
    </row>
    <row r="7234">
      <c r="A7234" t="inlineStr">
        <is>
          <t>ORD07233</t>
        </is>
      </c>
      <c r="B7234" t="inlineStr">
        <is>
          <t>C2233</t>
        </is>
      </c>
      <c r="C7234" t="n">
        <v>3</v>
      </c>
      <c r="D7234" t="inlineStr">
        <is>
          <t>Hub C</t>
        </is>
      </c>
      <c r="E7234" t="n">
        <v>69</v>
      </c>
      <c r="F7234" t="n">
        <v>13</v>
      </c>
    </row>
    <row r="7235">
      <c r="A7235" t="inlineStr">
        <is>
          <t>ORD07234</t>
        </is>
      </c>
      <c r="B7235" t="inlineStr">
        <is>
          <t>C2234</t>
        </is>
      </c>
      <c r="C7235" t="n">
        <v>1</v>
      </c>
      <c r="D7235" t="inlineStr">
        <is>
          <t>Hub C</t>
        </is>
      </c>
      <c r="E7235" t="n">
        <v>76</v>
      </c>
      <c r="F7235" t="n">
        <v>13</v>
      </c>
    </row>
    <row r="7236">
      <c r="A7236" t="inlineStr">
        <is>
          <t>ORD07235</t>
        </is>
      </c>
      <c r="B7236" t="inlineStr">
        <is>
          <t>C2235</t>
        </is>
      </c>
      <c r="C7236" t="n">
        <v>2</v>
      </c>
      <c r="D7236" t="inlineStr">
        <is>
          <t>Hub C</t>
        </is>
      </c>
      <c r="E7236" t="n">
        <v>23</v>
      </c>
      <c r="F7236" t="n">
        <v>13</v>
      </c>
    </row>
    <row r="7237">
      <c r="A7237" t="inlineStr">
        <is>
          <t>ORD07236</t>
        </is>
      </c>
      <c r="B7237" t="inlineStr">
        <is>
          <t>C2236</t>
        </is>
      </c>
      <c r="C7237" t="n">
        <v>3</v>
      </c>
      <c r="D7237" t="inlineStr">
        <is>
          <t>Hub C</t>
        </is>
      </c>
      <c r="E7237" t="n">
        <v>30</v>
      </c>
      <c r="F7237" t="n">
        <v>13</v>
      </c>
    </row>
    <row r="7238">
      <c r="A7238" t="inlineStr">
        <is>
          <t>ORD07237</t>
        </is>
      </c>
      <c r="B7238" t="inlineStr">
        <is>
          <t>C2237</t>
        </is>
      </c>
      <c r="C7238" t="n">
        <v>1</v>
      </c>
      <c r="D7238" t="inlineStr">
        <is>
          <t>Hub C</t>
        </is>
      </c>
      <c r="E7238" t="n">
        <v>37</v>
      </c>
      <c r="F7238" t="n">
        <v>13</v>
      </c>
    </row>
    <row r="7239">
      <c r="A7239" t="inlineStr">
        <is>
          <t>ORD07238</t>
        </is>
      </c>
      <c r="B7239" t="inlineStr">
        <is>
          <t>C2238</t>
        </is>
      </c>
      <c r="C7239" t="n">
        <v>2</v>
      </c>
      <c r="D7239" t="inlineStr">
        <is>
          <t>Hub C</t>
        </is>
      </c>
      <c r="E7239" t="n">
        <v>44</v>
      </c>
      <c r="F7239" t="n">
        <v>13</v>
      </c>
    </row>
    <row r="7240">
      <c r="A7240" t="inlineStr">
        <is>
          <t>ORD07239</t>
        </is>
      </c>
      <c r="B7240" t="inlineStr">
        <is>
          <t>C2239</t>
        </is>
      </c>
      <c r="C7240" t="n">
        <v>3</v>
      </c>
      <c r="D7240" t="inlineStr">
        <is>
          <t>Hub C</t>
        </is>
      </c>
      <c r="E7240" t="n">
        <v>51</v>
      </c>
      <c r="F7240" t="n">
        <v>13</v>
      </c>
    </row>
    <row r="7241">
      <c r="A7241" t="inlineStr">
        <is>
          <t>ORD07240</t>
        </is>
      </c>
      <c r="B7241" t="inlineStr">
        <is>
          <t>C2240</t>
        </is>
      </c>
      <c r="C7241" t="n">
        <v>1</v>
      </c>
      <c r="D7241" t="inlineStr">
        <is>
          <t>Hub C</t>
        </is>
      </c>
      <c r="E7241" t="n">
        <v>58</v>
      </c>
      <c r="F7241" t="n">
        <v>13</v>
      </c>
    </row>
    <row r="7242">
      <c r="A7242" t="inlineStr">
        <is>
          <t>ORD07241</t>
        </is>
      </c>
      <c r="B7242" t="inlineStr">
        <is>
          <t>C2241</t>
        </is>
      </c>
      <c r="C7242" t="n">
        <v>2</v>
      </c>
      <c r="D7242" t="inlineStr">
        <is>
          <t>Hub C</t>
        </is>
      </c>
      <c r="E7242" t="n">
        <v>65</v>
      </c>
      <c r="F7242" t="n">
        <v>13</v>
      </c>
    </row>
    <row r="7243">
      <c r="A7243" t="inlineStr">
        <is>
          <t>ORD07242</t>
        </is>
      </c>
      <c r="B7243" t="inlineStr">
        <is>
          <t>C2242</t>
        </is>
      </c>
      <c r="C7243" t="n">
        <v>3</v>
      </c>
      <c r="D7243" t="inlineStr">
        <is>
          <t>Hub C</t>
        </is>
      </c>
      <c r="E7243" t="n">
        <v>72</v>
      </c>
      <c r="F7243" t="n">
        <v>13</v>
      </c>
    </row>
    <row r="7244">
      <c r="A7244" t="inlineStr">
        <is>
          <t>ORD07243</t>
        </is>
      </c>
      <c r="B7244" t="inlineStr">
        <is>
          <t>C2243</t>
        </is>
      </c>
      <c r="C7244" t="n">
        <v>1</v>
      </c>
      <c r="D7244" t="inlineStr">
        <is>
          <t>Hub C</t>
        </is>
      </c>
      <c r="E7244" t="n">
        <v>19</v>
      </c>
      <c r="F7244" t="n">
        <v>13</v>
      </c>
    </row>
    <row r="7245">
      <c r="A7245" t="inlineStr">
        <is>
          <t>ORD07244</t>
        </is>
      </c>
      <c r="B7245" t="inlineStr">
        <is>
          <t>C2244</t>
        </is>
      </c>
      <c r="C7245" t="n">
        <v>2</v>
      </c>
      <c r="D7245" t="inlineStr">
        <is>
          <t>Hub C</t>
        </is>
      </c>
      <c r="E7245" t="n">
        <v>26</v>
      </c>
      <c r="F7245" t="n">
        <v>13</v>
      </c>
    </row>
    <row r="7246">
      <c r="A7246" t="inlineStr">
        <is>
          <t>ORD07245</t>
        </is>
      </c>
      <c r="B7246" t="inlineStr">
        <is>
          <t>C2245</t>
        </is>
      </c>
      <c r="C7246" t="n">
        <v>3</v>
      </c>
      <c r="D7246" t="inlineStr">
        <is>
          <t>Hub C</t>
        </is>
      </c>
      <c r="E7246" t="n">
        <v>33</v>
      </c>
      <c r="F7246" t="n">
        <v>13</v>
      </c>
    </row>
    <row r="7247">
      <c r="A7247" t="inlineStr">
        <is>
          <t>ORD07246</t>
        </is>
      </c>
      <c r="B7247" t="inlineStr">
        <is>
          <t>C2246</t>
        </is>
      </c>
      <c r="C7247" t="n">
        <v>1</v>
      </c>
      <c r="D7247" t="inlineStr">
        <is>
          <t>Hub C</t>
        </is>
      </c>
      <c r="E7247" t="n">
        <v>40</v>
      </c>
      <c r="F7247" t="n">
        <v>13</v>
      </c>
    </row>
    <row r="7248">
      <c r="A7248" t="inlineStr">
        <is>
          <t>ORD07247</t>
        </is>
      </c>
      <c r="B7248" t="inlineStr">
        <is>
          <t>C2247</t>
        </is>
      </c>
      <c r="C7248" t="n">
        <v>2</v>
      </c>
      <c r="D7248" t="inlineStr">
        <is>
          <t>Hub C</t>
        </is>
      </c>
      <c r="E7248" t="n">
        <v>47</v>
      </c>
      <c r="F7248" t="n">
        <v>13</v>
      </c>
    </row>
    <row r="7249">
      <c r="A7249" t="inlineStr">
        <is>
          <t>ORD07248</t>
        </is>
      </c>
      <c r="B7249" t="inlineStr">
        <is>
          <t>C2248</t>
        </is>
      </c>
      <c r="C7249" t="n">
        <v>3</v>
      </c>
      <c r="D7249" t="inlineStr">
        <is>
          <t>Hub C</t>
        </is>
      </c>
      <c r="E7249" t="n">
        <v>54</v>
      </c>
      <c r="F7249" t="n">
        <v>13</v>
      </c>
    </row>
    <row r="7250">
      <c r="A7250" t="inlineStr">
        <is>
          <t>ORD07249</t>
        </is>
      </c>
      <c r="B7250" t="inlineStr">
        <is>
          <t>C2249</t>
        </is>
      </c>
      <c r="C7250" t="n">
        <v>1</v>
      </c>
      <c r="D7250" t="inlineStr">
        <is>
          <t>Hub C</t>
        </is>
      </c>
      <c r="E7250" t="n">
        <v>61</v>
      </c>
      <c r="F7250" t="n">
        <v>13</v>
      </c>
    </row>
    <row r="7251">
      <c r="A7251" t="inlineStr">
        <is>
          <t>ORD07250</t>
        </is>
      </c>
      <c r="B7251" t="inlineStr">
        <is>
          <t>C2250</t>
        </is>
      </c>
      <c r="C7251" t="n">
        <v>2</v>
      </c>
      <c r="D7251" t="inlineStr">
        <is>
          <t>Hub C</t>
        </is>
      </c>
      <c r="E7251" t="n">
        <v>68</v>
      </c>
      <c r="F7251" t="n">
        <v>13</v>
      </c>
    </row>
    <row r="7252">
      <c r="A7252" t="inlineStr">
        <is>
          <t>ORD07251</t>
        </is>
      </c>
      <c r="B7252" t="inlineStr">
        <is>
          <t>C2251</t>
        </is>
      </c>
      <c r="C7252" t="n">
        <v>3</v>
      </c>
      <c r="D7252" t="inlineStr">
        <is>
          <t>Hub C</t>
        </is>
      </c>
      <c r="E7252" t="n">
        <v>75</v>
      </c>
      <c r="F7252" t="n">
        <v>13</v>
      </c>
    </row>
    <row r="7253">
      <c r="A7253" t="inlineStr">
        <is>
          <t>ORD07252</t>
        </is>
      </c>
      <c r="B7253" t="inlineStr">
        <is>
          <t>C2252</t>
        </is>
      </c>
      <c r="C7253" t="n">
        <v>1</v>
      </c>
      <c r="D7253" t="inlineStr">
        <is>
          <t>Hub C</t>
        </is>
      </c>
      <c r="E7253" t="n">
        <v>22</v>
      </c>
      <c r="F7253" t="n">
        <v>13</v>
      </c>
    </row>
    <row r="7254">
      <c r="A7254" t="inlineStr">
        <is>
          <t>ORD07253</t>
        </is>
      </c>
      <c r="B7254" t="inlineStr">
        <is>
          <t>C2253</t>
        </is>
      </c>
      <c r="C7254" t="n">
        <v>2</v>
      </c>
      <c r="D7254" t="inlineStr">
        <is>
          <t>Hub C</t>
        </is>
      </c>
      <c r="E7254" t="n">
        <v>29</v>
      </c>
      <c r="F7254" t="n">
        <v>13</v>
      </c>
    </row>
    <row r="7255">
      <c r="A7255" t="inlineStr">
        <is>
          <t>ORD07254</t>
        </is>
      </c>
      <c r="B7255" t="inlineStr">
        <is>
          <t>C2254</t>
        </is>
      </c>
      <c r="C7255" t="n">
        <v>3</v>
      </c>
      <c r="D7255" t="inlineStr">
        <is>
          <t>Hub C</t>
        </is>
      </c>
      <c r="E7255" t="n">
        <v>36</v>
      </c>
      <c r="F7255" t="n">
        <v>13</v>
      </c>
    </row>
    <row r="7256">
      <c r="A7256" t="inlineStr">
        <is>
          <t>ORD07255</t>
        </is>
      </c>
      <c r="B7256" t="inlineStr">
        <is>
          <t>C2255</t>
        </is>
      </c>
      <c r="C7256" t="n">
        <v>1</v>
      </c>
      <c r="D7256" t="inlineStr">
        <is>
          <t>Hub C</t>
        </is>
      </c>
      <c r="E7256" t="n">
        <v>43</v>
      </c>
      <c r="F7256" t="n">
        <v>13</v>
      </c>
    </row>
    <row r="7257">
      <c r="A7257" t="inlineStr">
        <is>
          <t>ORD07256</t>
        </is>
      </c>
      <c r="B7257" t="inlineStr">
        <is>
          <t>C2256</t>
        </is>
      </c>
      <c r="C7257" t="n">
        <v>2</v>
      </c>
      <c r="D7257" t="inlineStr">
        <is>
          <t>Hub C</t>
        </is>
      </c>
      <c r="E7257" t="n">
        <v>50</v>
      </c>
      <c r="F7257" t="n">
        <v>13</v>
      </c>
    </row>
    <row r="7258">
      <c r="A7258" t="inlineStr">
        <is>
          <t>ORD07257</t>
        </is>
      </c>
      <c r="B7258" t="inlineStr">
        <is>
          <t>C2257</t>
        </is>
      </c>
      <c r="C7258" t="n">
        <v>3</v>
      </c>
      <c r="D7258" t="inlineStr">
        <is>
          <t>Hub C</t>
        </is>
      </c>
      <c r="E7258" t="n">
        <v>57</v>
      </c>
      <c r="F7258" t="n">
        <v>13</v>
      </c>
    </row>
    <row r="7259">
      <c r="A7259" t="inlineStr">
        <is>
          <t>ORD07258</t>
        </is>
      </c>
      <c r="B7259" t="inlineStr">
        <is>
          <t>C2258</t>
        </is>
      </c>
      <c r="C7259" t="n">
        <v>1</v>
      </c>
      <c r="D7259" t="inlineStr">
        <is>
          <t>Hub C</t>
        </is>
      </c>
      <c r="E7259" t="n">
        <v>64</v>
      </c>
      <c r="F7259" t="n">
        <v>13</v>
      </c>
    </row>
    <row r="7260">
      <c r="A7260" t="inlineStr">
        <is>
          <t>ORD07259</t>
        </is>
      </c>
      <c r="B7260" t="inlineStr">
        <is>
          <t>C2259</t>
        </is>
      </c>
      <c r="C7260" t="n">
        <v>2</v>
      </c>
      <c r="D7260" t="inlineStr">
        <is>
          <t>Hub C</t>
        </is>
      </c>
      <c r="E7260" t="n">
        <v>71</v>
      </c>
      <c r="F7260" t="n">
        <v>13</v>
      </c>
    </row>
    <row r="7261">
      <c r="A7261" t="inlineStr">
        <is>
          <t>ORD07260</t>
        </is>
      </c>
      <c r="B7261" t="inlineStr">
        <is>
          <t>C2260</t>
        </is>
      </c>
      <c r="C7261" t="n">
        <v>3</v>
      </c>
      <c r="D7261" t="inlineStr">
        <is>
          <t>Hub C</t>
        </is>
      </c>
      <c r="E7261" t="n">
        <v>18</v>
      </c>
      <c r="F7261" t="n">
        <v>13</v>
      </c>
    </row>
    <row r="7262">
      <c r="A7262" t="inlineStr">
        <is>
          <t>ORD07261</t>
        </is>
      </c>
      <c r="B7262" t="inlineStr">
        <is>
          <t>C2261</t>
        </is>
      </c>
      <c r="C7262" t="n">
        <v>1</v>
      </c>
      <c r="D7262" t="inlineStr">
        <is>
          <t>Hub C</t>
        </is>
      </c>
      <c r="E7262" t="n">
        <v>25</v>
      </c>
      <c r="F7262" t="n">
        <v>13</v>
      </c>
    </row>
    <row r="7263">
      <c r="A7263" t="inlineStr">
        <is>
          <t>ORD07262</t>
        </is>
      </c>
      <c r="B7263" t="inlineStr">
        <is>
          <t>C2262</t>
        </is>
      </c>
      <c r="C7263" t="n">
        <v>2</v>
      </c>
      <c r="D7263" t="inlineStr">
        <is>
          <t>Hub C</t>
        </is>
      </c>
      <c r="E7263" t="n">
        <v>32</v>
      </c>
      <c r="F7263" t="n">
        <v>13</v>
      </c>
    </row>
    <row r="7264">
      <c r="A7264" t="inlineStr">
        <is>
          <t>ORD07263</t>
        </is>
      </c>
      <c r="B7264" t="inlineStr">
        <is>
          <t>C2263</t>
        </is>
      </c>
      <c r="C7264" t="n">
        <v>3</v>
      </c>
      <c r="D7264" t="inlineStr">
        <is>
          <t>Hub C</t>
        </is>
      </c>
      <c r="E7264" t="n">
        <v>39</v>
      </c>
      <c r="F7264" t="n">
        <v>13</v>
      </c>
    </row>
    <row r="7265">
      <c r="A7265" t="inlineStr">
        <is>
          <t>ORD07264</t>
        </is>
      </c>
      <c r="B7265" t="inlineStr">
        <is>
          <t>C2264</t>
        </is>
      </c>
      <c r="C7265" t="n">
        <v>1</v>
      </c>
      <c r="D7265" t="inlineStr">
        <is>
          <t>Hub C</t>
        </is>
      </c>
      <c r="E7265" t="n">
        <v>46</v>
      </c>
      <c r="F7265" t="n">
        <v>13</v>
      </c>
    </row>
    <row r="7266">
      <c r="A7266" t="inlineStr">
        <is>
          <t>ORD07265</t>
        </is>
      </c>
      <c r="B7266" t="inlineStr">
        <is>
          <t>C2265</t>
        </is>
      </c>
      <c r="C7266" t="n">
        <v>2</v>
      </c>
      <c r="D7266" t="inlineStr">
        <is>
          <t>Hub C</t>
        </is>
      </c>
      <c r="E7266" t="n">
        <v>53</v>
      </c>
      <c r="F7266" t="n">
        <v>13</v>
      </c>
    </row>
    <row r="7267">
      <c r="A7267" t="inlineStr">
        <is>
          <t>ORD07266</t>
        </is>
      </c>
      <c r="B7267" t="inlineStr">
        <is>
          <t>C2266</t>
        </is>
      </c>
      <c r="C7267" t="n">
        <v>3</v>
      </c>
      <c r="D7267" t="inlineStr">
        <is>
          <t>Hub C</t>
        </is>
      </c>
      <c r="E7267" t="n">
        <v>60</v>
      </c>
      <c r="F7267" t="n">
        <v>13</v>
      </c>
    </row>
    <row r="7268">
      <c r="A7268" t="inlineStr">
        <is>
          <t>ORD07267</t>
        </is>
      </c>
      <c r="B7268" t="inlineStr">
        <is>
          <t>C2267</t>
        </is>
      </c>
      <c r="C7268" t="n">
        <v>1</v>
      </c>
      <c r="D7268" t="inlineStr">
        <is>
          <t>Hub C</t>
        </is>
      </c>
      <c r="E7268" t="n">
        <v>67</v>
      </c>
      <c r="F7268" t="n">
        <v>13</v>
      </c>
    </row>
    <row r="7269">
      <c r="A7269" t="inlineStr">
        <is>
          <t>ORD07268</t>
        </is>
      </c>
      <c r="B7269" t="inlineStr">
        <is>
          <t>C2268</t>
        </is>
      </c>
      <c r="C7269" t="n">
        <v>2</v>
      </c>
      <c r="D7269" t="inlineStr">
        <is>
          <t>Hub C</t>
        </is>
      </c>
      <c r="E7269" t="n">
        <v>74</v>
      </c>
      <c r="F7269" t="n">
        <v>13</v>
      </c>
    </row>
    <row r="7270">
      <c r="A7270" t="inlineStr">
        <is>
          <t>ORD07269</t>
        </is>
      </c>
      <c r="B7270" t="inlineStr">
        <is>
          <t>C2269</t>
        </is>
      </c>
      <c r="C7270" t="n">
        <v>3</v>
      </c>
      <c r="D7270" t="inlineStr">
        <is>
          <t>Hub C</t>
        </is>
      </c>
      <c r="E7270" t="n">
        <v>21</v>
      </c>
      <c r="F7270" t="n">
        <v>13</v>
      </c>
    </row>
    <row r="7271">
      <c r="A7271" t="inlineStr">
        <is>
          <t>ORD07270</t>
        </is>
      </c>
      <c r="B7271" t="inlineStr">
        <is>
          <t>C2270</t>
        </is>
      </c>
      <c r="C7271" t="n">
        <v>1</v>
      </c>
      <c r="D7271" t="inlineStr">
        <is>
          <t>Hub C</t>
        </is>
      </c>
      <c r="E7271" t="n">
        <v>28</v>
      </c>
      <c r="F7271" t="n">
        <v>13</v>
      </c>
    </row>
    <row r="7272">
      <c r="A7272" t="inlineStr">
        <is>
          <t>ORD07271</t>
        </is>
      </c>
      <c r="B7272" t="inlineStr">
        <is>
          <t>C2271</t>
        </is>
      </c>
      <c r="C7272" t="n">
        <v>2</v>
      </c>
      <c r="D7272" t="inlineStr">
        <is>
          <t>Hub C</t>
        </is>
      </c>
      <c r="E7272" t="n">
        <v>35</v>
      </c>
      <c r="F7272" t="n">
        <v>13</v>
      </c>
    </row>
    <row r="7273">
      <c r="A7273" t="inlineStr">
        <is>
          <t>ORD07272</t>
        </is>
      </c>
      <c r="B7273" t="inlineStr">
        <is>
          <t>C2272</t>
        </is>
      </c>
      <c r="C7273" t="n">
        <v>3</v>
      </c>
      <c r="D7273" t="inlineStr">
        <is>
          <t>Hub C</t>
        </is>
      </c>
      <c r="E7273" t="n">
        <v>42</v>
      </c>
      <c r="F7273" t="n">
        <v>13</v>
      </c>
    </row>
    <row r="7274">
      <c r="A7274" t="inlineStr">
        <is>
          <t>ORD07273</t>
        </is>
      </c>
      <c r="B7274" t="inlineStr">
        <is>
          <t>C2273</t>
        </is>
      </c>
      <c r="C7274" t="n">
        <v>1</v>
      </c>
      <c r="D7274" t="inlineStr">
        <is>
          <t>Hub C</t>
        </is>
      </c>
      <c r="E7274" t="n">
        <v>49</v>
      </c>
      <c r="F7274" t="n">
        <v>13</v>
      </c>
    </row>
    <row r="7275">
      <c r="A7275" t="inlineStr">
        <is>
          <t>ORD07274</t>
        </is>
      </c>
      <c r="B7275" t="inlineStr">
        <is>
          <t>C2274</t>
        </is>
      </c>
      <c r="C7275" t="n">
        <v>2</v>
      </c>
      <c r="D7275" t="inlineStr">
        <is>
          <t>Hub C</t>
        </is>
      </c>
      <c r="E7275" t="n">
        <v>56</v>
      </c>
      <c r="F7275" t="n">
        <v>13</v>
      </c>
    </row>
    <row r="7276">
      <c r="A7276" t="inlineStr">
        <is>
          <t>ORD07275</t>
        </is>
      </c>
      <c r="B7276" t="inlineStr">
        <is>
          <t>C2275</t>
        </is>
      </c>
      <c r="C7276" t="n">
        <v>3</v>
      </c>
      <c r="D7276" t="inlineStr">
        <is>
          <t>Hub C</t>
        </is>
      </c>
      <c r="E7276" t="n">
        <v>63</v>
      </c>
      <c r="F7276" t="n">
        <v>13</v>
      </c>
    </row>
    <row r="7277">
      <c r="A7277" t="inlineStr">
        <is>
          <t>ORD07276</t>
        </is>
      </c>
      <c r="B7277" t="inlineStr">
        <is>
          <t>C2276</t>
        </is>
      </c>
      <c r="C7277" t="n">
        <v>1</v>
      </c>
      <c r="D7277" t="inlineStr">
        <is>
          <t>Hub C</t>
        </is>
      </c>
      <c r="E7277" t="n">
        <v>70</v>
      </c>
      <c r="F7277" t="n">
        <v>13</v>
      </c>
    </row>
    <row r="7278">
      <c r="A7278" t="inlineStr">
        <is>
          <t>ORD07277</t>
        </is>
      </c>
      <c r="B7278" t="inlineStr">
        <is>
          <t>C2277</t>
        </is>
      </c>
      <c r="C7278" t="n">
        <v>2</v>
      </c>
      <c r="D7278" t="inlineStr">
        <is>
          <t>Hub C</t>
        </is>
      </c>
      <c r="E7278" t="n">
        <v>77</v>
      </c>
      <c r="F7278" t="n">
        <v>13</v>
      </c>
    </row>
    <row r="7279">
      <c r="A7279" t="inlineStr">
        <is>
          <t>ORD07278</t>
        </is>
      </c>
      <c r="B7279" t="inlineStr">
        <is>
          <t>C2278</t>
        </is>
      </c>
      <c r="C7279" t="n">
        <v>3</v>
      </c>
      <c r="D7279" t="inlineStr">
        <is>
          <t>Hub C</t>
        </is>
      </c>
      <c r="E7279" t="n">
        <v>24</v>
      </c>
      <c r="F7279" t="n">
        <v>13</v>
      </c>
    </row>
    <row r="7280">
      <c r="A7280" t="inlineStr">
        <is>
          <t>ORD07279</t>
        </is>
      </c>
      <c r="B7280" t="inlineStr">
        <is>
          <t>C2279</t>
        </is>
      </c>
      <c r="C7280" t="n">
        <v>1</v>
      </c>
      <c r="D7280" t="inlineStr">
        <is>
          <t>Hub C</t>
        </is>
      </c>
      <c r="E7280" t="n">
        <v>31</v>
      </c>
      <c r="F7280" t="n">
        <v>13</v>
      </c>
    </row>
    <row r="7281">
      <c r="A7281" t="inlineStr">
        <is>
          <t>ORD07280</t>
        </is>
      </c>
      <c r="B7281" t="inlineStr">
        <is>
          <t>C2280</t>
        </is>
      </c>
      <c r="C7281" t="n">
        <v>2</v>
      </c>
      <c r="D7281" t="inlineStr">
        <is>
          <t>Hub C</t>
        </is>
      </c>
      <c r="E7281" t="n">
        <v>38</v>
      </c>
      <c r="F7281" t="n">
        <v>13</v>
      </c>
    </row>
    <row r="7282">
      <c r="A7282" t="inlineStr">
        <is>
          <t>ORD07281</t>
        </is>
      </c>
      <c r="B7282" t="inlineStr">
        <is>
          <t>C2281</t>
        </is>
      </c>
      <c r="C7282" t="n">
        <v>3</v>
      </c>
      <c r="D7282" t="inlineStr">
        <is>
          <t>Hub C</t>
        </is>
      </c>
      <c r="E7282" t="n">
        <v>45</v>
      </c>
      <c r="F7282" t="n">
        <v>13</v>
      </c>
    </row>
    <row r="7283">
      <c r="A7283" t="inlineStr">
        <is>
          <t>ORD07282</t>
        </is>
      </c>
      <c r="B7283" t="inlineStr">
        <is>
          <t>C2282</t>
        </is>
      </c>
      <c r="C7283" t="n">
        <v>1</v>
      </c>
      <c r="D7283" t="inlineStr">
        <is>
          <t>Hub C</t>
        </is>
      </c>
      <c r="E7283" t="n">
        <v>52</v>
      </c>
      <c r="F7283" t="n">
        <v>13</v>
      </c>
    </row>
    <row r="7284">
      <c r="A7284" t="inlineStr">
        <is>
          <t>ORD07283</t>
        </is>
      </c>
      <c r="B7284" t="inlineStr">
        <is>
          <t>C2283</t>
        </is>
      </c>
      <c r="C7284" t="n">
        <v>2</v>
      </c>
      <c r="D7284" t="inlineStr">
        <is>
          <t>Hub C</t>
        </is>
      </c>
      <c r="E7284" t="n">
        <v>59</v>
      </c>
      <c r="F7284" t="n">
        <v>13</v>
      </c>
    </row>
    <row r="7285">
      <c r="A7285" t="inlineStr">
        <is>
          <t>ORD07284</t>
        </is>
      </c>
      <c r="B7285" t="inlineStr">
        <is>
          <t>C2284</t>
        </is>
      </c>
      <c r="C7285" t="n">
        <v>3</v>
      </c>
      <c r="D7285" t="inlineStr">
        <is>
          <t>Hub C</t>
        </is>
      </c>
      <c r="E7285" t="n">
        <v>66</v>
      </c>
      <c r="F7285" t="n">
        <v>13</v>
      </c>
    </row>
    <row r="7286">
      <c r="A7286" t="inlineStr">
        <is>
          <t>ORD07285</t>
        </is>
      </c>
      <c r="B7286" t="inlineStr">
        <is>
          <t>C2285</t>
        </is>
      </c>
      <c r="C7286" t="n">
        <v>1</v>
      </c>
      <c r="D7286" t="inlineStr">
        <is>
          <t>Hub C</t>
        </is>
      </c>
      <c r="E7286" t="n">
        <v>73</v>
      </c>
      <c r="F7286" t="n">
        <v>13</v>
      </c>
    </row>
    <row r="7287">
      <c r="A7287" t="inlineStr">
        <is>
          <t>ORD07286</t>
        </is>
      </c>
      <c r="B7287" t="inlineStr">
        <is>
          <t>C2286</t>
        </is>
      </c>
      <c r="C7287" t="n">
        <v>2</v>
      </c>
      <c r="D7287" t="inlineStr">
        <is>
          <t>Hub C</t>
        </is>
      </c>
      <c r="E7287" t="n">
        <v>20</v>
      </c>
      <c r="F7287" t="n">
        <v>13</v>
      </c>
    </row>
    <row r="7288">
      <c r="A7288" t="inlineStr">
        <is>
          <t>ORD07287</t>
        </is>
      </c>
      <c r="B7288" t="inlineStr">
        <is>
          <t>C2287</t>
        </is>
      </c>
      <c r="C7288" t="n">
        <v>3</v>
      </c>
      <c r="D7288" t="inlineStr">
        <is>
          <t>Hub C</t>
        </is>
      </c>
      <c r="E7288" t="n">
        <v>27</v>
      </c>
      <c r="F7288" t="n">
        <v>13</v>
      </c>
    </row>
    <row r="7289">
      <c r="A7289" t="inlineStr">
        <is>
          <t>ORD07288</t>
        </is>
      </c>
      <c r="B7289" t="inlineStr">
        <is>
          <t>C2288</t>
        </is>
      </c>
      <c r="C7289" t="n">
        <v>1</v>
      </c>
      <c r="D7289" t="inlineStr">
        <is>
          <t>Hub C</t>
        </is>
      </c>
      <c r="E7289" t="n">
        <v>34</v>
      </c>
      <c r="F7289" t="n">
        <v>13</v>
      </c>
    </row>
    <row r="7290">
      <c r="A7290" t="inlineStr">
        <is>
          <t>ORD07289</t>
        </is>
      </c>
      <c r="B7290" t="inlineStr">
        <is>
          <t>C2289</t>
        </is>
      </c>
      <c r="C7290" t="n">
        <v>2</v>
      </c>
      <c r="D7290" t="inlineStr">
        <is>
          <t>Hub C</t>
        </is>
      </c>
      <c r="E7290" t="n">
        <v>41</v>
      </c>
      <c r="F7290" t="n">
        <v>13</v>
      </c>
    </row>
    <row r="7291">
      <c r="A7291" t="inlineStr">
        <is>
          <t>ORD07290</t>
        </is>
      </c>
      <c r="B7291" t="inlineStr">
        <is>
          <t>C2290</t>
        </is>
      </c>
      <c r="C7291" t="n">
        <v>3</v>
      </c>
      <c r="D7291" t="inlineStr">
        <is>
          <t>Hub C</t>
        </is>
      </c>
      <c r="E7291" t="n">
        <v>48</v>
      </c>
      <c r="F7291" t="n">
        <v>13</v>
      </c>
    </row>
    <row r="7292">
      <c r="A7292" t="inlineStr">
        <is>
          <t>ORD07291</t>
        </is>
      </c>
      <c r="B7292" t="inlineStr">
        <is>
          <t>C2291</t>
        </is>
      </c>
      <c r="C7292" t="n">
        <v>1</v>
      </c>
      <c r="D7292" t="inlineStr">
        <is>
          <t>Hub C</t>
        </is>
      </c>
      <c r="E7292" t="n">
        <v>55</v>
      </c>
      <c r="F7292" t="n">
        <v>13</v>
      </c>
    </row>
    <row r="7293">
      <c r="A7293" t="inlineStr">
        <is>
          <t>ORD07292</t>
        </is>
      </c>
      <c r="B7293" t="inlineStr">
        <is>
          <t>C2292</t>
        </is>
      </c>
      <c r="C7293" t="n">
        <v>2</v>
      </c>
      <c r="D7293" t="inlineStr">
        <is>
          <t>Hub C</t>
        </is>
      </c>
      <c r="E7293" t="n">
        <v>62</v>
      </c>
      <c r="F7293" t="n">
        <v>13</v>
      </c>
    </row>
    <row r="7294">
      <c r="A7294" t="inlineStr">
        <is>
          <t>ORD07293</t>
        </is>
      </c>
      <c r="B7294" t="inlineStr">
        <is>
          <t>C2293</t>
        </is>
      </c>
      <c r="C7294" t="n">
        <v>3</v>
      </c>
      <c r="D7294" t="inlineStr">
        <is>
          <t>Hub C</t>
        </is>
      </c>
      <c r="E7294" t="n">
        <v>69</v>
      </c>
      <c r="F7294" t="n">
        <v>13</v>
      </c>
    </row>
    <row r="7295">
      <c r="A7295" t="inlineStr">
        <is>
          <t>ORD07294</t>
        </is>
      </c>
      <c r="B7295" t="inlineStr">
        <is>
          <t>C2294</t>
        </is>
      </c>
      <c r="C7295" t="n">
        <v>1</v>
      </c>
      <c r="D7295" t="inlineStr">
        <is>
          <t>Hub C</t>
        </is>
      </c>
      <c r="E7295" t="n">
        <v>76</v>
      </c>
      <c r="F7295" t="n">
        <v>13</v>
      </c>
    </row>
    <row r="7296">
      <c r="A7296" t="inlineStr">
        <is>
          <t>ORD07295</t>
        </is>
      </c>
      <c r="B7296" t="inlineStr">
        <is>
          <t>C2295</t>
        </is>
      </c>
      <c r="C7296" t="n">
        <v>2</v>
      </c>
      <c r="D7296" t="inlineStr">
        <is>
          <t>Hub C</t>
        </is>
      </c>
      <c r="E7296" t="n">
        <v>23</v>
      </c>
      <c r="F7296" t="n">
        <v>13</v>
      </c>
    </row>
    <row r="7297">
      <c r="A7297" t="inlineStr">
        <is>
          <t>ORD07296</t>
        </is>
      </c>
      <c r="B7297" t="inlineStr">
        <is>
          <t>C2296</t>
        </is>
      </c>
      <c r="C7297" t="n">
        <v>3</v>
      </c>
      <c r="D7297" t="inlineStr">
        <is>
          <t>Hub C</t>
        </is>
      </c>
      <c r="E7297" t="n">
        <v>30</v>
      </c>
      <c r="F7297" t="n">
        <v>13</v>
      </c>
    </row>
    <row r="7298">
      <c r="A7298" t="inlineStr">
        <is>
          <t>ORD07297</t>
        </is>
      </c>
      <c r="B7298" t="inlineStr">
        <is>
          <t>C2297</t>
        </is>
      </c>
      <c r="C7298" t="n">
        <v>1</v>
      </c>
      <c r="D7298" t="inlineStr">
        <is>
          <t>Hub C</t>
        </is>
      </c>
      <c r="E7298" t="n">
        <v>37</v>
      </c>
      <c r="F7298" t="n">
        <v>13</v>
      </c>
    </row>
    <row r="7299">
      <c r="A7299" t="inlineStr">
        <is>
          <t>ORD07298</t>
        </is>
      </c>
      <c r="B7299" t="inlineStr">
        <is>
          <t>C2298</t>
        </is>
      </c>
      <c r="C7299" t="n">
        <v>2</v>
      </c>
      <c r="D7299" t="inlineStr">
        <is>
          <t>Hub C</t>
        </is>
      </c>
      <c r="E7299" t="n">
        <v>44</v>
      </c>
      <c r="F7299" t="n">
        <v>13</v>
      </c>
    </row>
    <row r="7300">
      <c r="A7300" t="inlineStr">
        <is>
          <t>ORD07299</t>
        </is>
      </c>
      <c r="B7300" t="inlineStr">
        <is>
          <t>C2299</t>
        </is>
      </c>
      <c r="C7300" t="n">
        <v>3</v>
      </c>
      <c r="D7300" t="inlineStr">
        <is>
          <t>Hub C</t>
        </is>
      </c>
      <c r="E7300" t="n">
        <v>51</v>
      </c>
      <c r="F7300" t="n">
        <v>13</v>
      </c>
    </row>
    <row r="7301">
      <c r="A7301" t="inlineStr">
        <is>
          <t>ORD07300</t>
        </is>
      </c>
      <c r="B7301" t="inlineStr">
        <is>
          <t>C2300</t>
        </is>
      </c>
      <c r="C7301" t="n">
        <v>1</v>
      </c>
      <c r="D7301" t="inlineStr">
        <is>
          <t>Hub C</t>
        </is>
      </c>
      <c r="E7301" t="n">
        <v>58</v>
      </c>
      <c r="F7301" t="n">
        <v>13</v>
      </c>
    </row>
    <row r="7302">
      <c r="A7302" t="inlineStr">
        <is>
          <t>ORD07301</t>
        </is>
      </c>
      <c r="B7302" t="inlineStr">
        <is>
          <t>C2301</t>
        </is>
      </c>
      <c r="C7302" t="n">
        <v>2</v>
      </c>
      <c r="D7302" t="inlineStr">
        <is>
          <t>Hub C</t>
        </is>
      </c>
      <c r="E7302" t="n">
        <v>65</v>
      </c>
      <c r="F7302" t="n">
        <v>13</v>
      </c>
    </row>
    <row r="7303">
      <c r="A7303" t="inlineStr">
        <is>
          <t>ORD07302</t>
        </is>
      </c>
      <c r="B7303" t="inlineStr">
        <is>
          <t>C2302</t>
        </is>
      </c>
      <c r="C7303" t="n">
        <v>3</v>
      </c>
      <c r="D7303" t="inlineStr">
        <is>
          <t>Hub C</t>
        </is>
      </c>
      <c r="E7303" t="n">
        <v>72</v>
      </c>
      <c r="F7303" t="n">
        <v>13</v>
      </c>
    </row>
    <row r="7304">
      <c r="A7304" t="inlineStr">
        <is>
          <t>ORD07303</t>
        </is>
      </c>
      <c r="B7304" t="inlineStr">
        <is>
          <t>C2303</t>
        </is>
      </c>
      <c r="C7304" t="n">
        <v>1</v>
      </c>
      <c r="D7304" t="inlineStr">
        <is>
          <t>Hub C</t>
        </is>
      </c>
      <c r="E7304" t="n">
        <v>19</v>
      </c>
      <c r="F7304" t="n">
        <v>13</v>
      </c>
    </row>
    <row r="7305">
      <c r="A7305" t="inlineStr">
        <is>
          <t>ORD07304</t>
        </is>
      </c>
      <c r="B7305" t="inlineStr">
        <is>
          <t>C2304</t>
        </is>
      </c>
      <c r="C7305" t="n">
        <v>2</v>
      </c>
      <c r="D7305" t="inlineStr">
        <is>
          <t>Hub C</t>
        </is>
      </c>
      <c r="E7305" t="n">
        <v>26</v>
      </c>
      <c r="F7305" t="n">
        <v>13</v>
      </c>
    </row>
    <row r="7306">
      <c r="A7306" t="inlineStr">
        <is>
          <t>ORD07305</t>
        </is>
      </c>
      <c r="B7306" t="inlineStr">
        <is>
          <t>C2305</t>
        </is>
      </c>
      <c r="C7306" t="n">
        <v>3</v>
      </c>
      <c r="D7306" t="inlineStr">
        <is>
          <t>Hub C</t>
        </is>
      </c>
      <c r="E7306" t="n">
        <v>33</v>
      </c>
      <c r="F7306" t="n">
        <v>13</v>
      </c>
    </row>
    <row r="7307">
      <c r="A7307" t="inlineStr">
        <is>
          <t>ORD07306</t>
        </is>
      </c>
      <c r="B7307" t="inlineStr">
        <is>
          <t>C2306</t>
        </is>
      </c>
      <c r="C7307" t="n">
        <v>1</v>
      </c>
      <c r="D7307" t="inlineStr">
        <is>
          <t>Hub C</t>
        </is>
      </c>
      <c r="E7307" t="n">
        <v>40</v>
      </c>
      <c r="F7307" t="n">
        <v>13</v>
      </c>
    </row>
    <row r="7308">
      <c r="A7308" t="inlineStr">
        <is>
          <t>ORD07307</t>
        </is>
      </c>
      <c r="B7308" t="inlineStr">
        <is>
          <t>C2307</t>
        </is>
      </c>
      <c r="C7308" t="n">
        <v>2</v>
      </c>
      <c r="D7308" t="inlineStr">
        <is>
          <t>Hub C</t>
        </is>
      </c>
      <c r="E7308" t="n">
        <v>47</v>
      </c>
      <c r="F7308" t="n">
        <v>13</v>
      </c>
    </row>
    <row r="7309">
      <c r="A7309" t="inlineStr">
        <is>
          <t>ORD07308</t>
        </is>
      </c>
      <c r="B7309" t="inlineStr">
        <is>
          <t>C2308</t>
        </is>
      </c>
      <c r="C7309" t="n">
        <v>3</v>
      </c>
      <c r="D7309" t="inlineStr">
        <is>
          <t>Hub C</t>
        </is>
      </c>
      <c r="E7309" t="n">
        <v>54</v>
      </c>
      <c r="F7309" t="n">
        <v>13</v>
      </c>
    </row>
    <row r="7310">
      <c r="A7310" t="inlineStr">
        <is>
          <t>ORD07309</t>
        </is>
      </c>
      <c r="B7310" t="inlineStr">
        <is>
          <t>C2309</t>
        </is>
      </c>
      <c r="C7310" t="n">
        <v>1</v>
      </c>
      <c r="D7310" t="inlineStr">
        <is>
          <t>Hub C</t>
        </is>
      </c>
      <c r="E7310" t="n">
        <v>61</v>
      </c>
      <c r="F7310" t="n">
        <v>13</v>
      </c>
    </row>
    <row r="7311">
      <c r="A7311" t="inlineStr">
        <is>
          <t>ORD07310</t>
        </is>
      </c>
      <c r="B7311" t="inlineStr">
        <is>
          <t>C2310</t>
        </is>
      </c>
      <c r="C7311" t="n">
        <v>2</v>
      </c>
      <c r="D7311" t="inlineStr">
        <is>
          <t>Hub C</t>
        </is>
      </c>
      <c r="E7311" t="n">
        <v>68</v>
      </c>
      <c r="F7311" t="n">
        <v>13</v>
      </c>
    </row>
    <row r="7312">
      <c r="A7312" t="inlineStr">
        <is>
          <t>ORD07311</t>
        </is>
      </c>
      <c r="B7312" t="inlineStr">
        <is>
          <t>C2311</t>
        </is>
      </c>
      <c r="C7312" t="n">
        <v>3</v>
      </c>
      <c r="D7312" t="inlineStr">
        <is>
          <t>Hub C</t>
        </is>
      </c>
      <c r="E7312" t="n">
        <v>75</v>
      </c>
      <c r="F7312" t="n">
        <v>13</v>
      </c>
    </row>
    <row r="7313">
      <c r="A7313" t="inlineStr">
        <is>
          <t>ORD07312</t>
        </is>
      </c>
      <c r="B7313" t="inlineStr">
        <is>
          <t>C2312</t>
        </is>
      </c>
      <c r="C7313" t="n">
        <v>1</v>
      </c>
      <c r="D7313" t="inlineStr">
        <is>
          <t>Hub C</t>
        </is>
      </c>
      <c r="E7313" t="n">
        <v>22</v>
      </c>
      <c r="F7313" t="n">
        <v>13</v>
      </c>
    </row>
    <row r="7314">
      <c r="A7314" t="inlineStr">
        <is>
          <t>ORD07313</t>
        </is>
      </c>
      <c r="B7314" t="inlineStr">
        <is>
          <t>C2313</t>
        </is>
      </c>
      <c r="C7314" t="n">
        <v>2</v>
      </c>
      <c r="D7314" t="inlineStr">
        <is>
          <t>Hub C</t>
        </is>
      </c>
      <c r="E7314" t="n">
        <v>29</v>
      </c>
      <c r="F7314" t="n">
        <v>13</v>
      </c>
    </row>
    <row r="7315">
      <c r="A7315" t="inlineStr">
        <is>
          <t>ORD07314</t>
        </is>
      </c>
      <c r="B7315" t="inlineStr">
        <is>
          <t>C2314</t>
        </is>
      </c>
      <c r="C7315" t="n">
        <v>3</v>
      </c>
      <c r="D7315" t="inlineStr">
        <is>
          <t>Hub C</t>
        </is>
      </c>
      <c r="E7315" t="n">
        <v>36</v>
      </c>
      <c r="F7315" t="n">
        <v>13</v>
      </c>
    </row>
    <row r="7316">
      <c r="A7316" t="inlineStr">
        <is>
          <t>ORD07315</t>
        </is>
      </c>
      <c r="B7316" t="inlineStr">
        <is>
          <t>C2315</t>
        </is>
      </c>
      <c r="C7316" t="n">
        <v>1</v>
      </c>
      <c r="D7316" t="inlineStr">
        <is>
          <t>Hub C</t>
        </is>
      </c>
      <c r="E7316" t="n">
        <v>43</v>
      </c>
      <c r="F7316" t="n">
        <v>13</v>
      </c>
    </row>
    <row r="7317">
      <c r="A7317" t="inlineStr">
        <is>
          <t>ORD07316</t>
        </is>
      </c>
      <c r="B7317" t="inlineStr">
        <is>
          <t>C2316</t>
        </is>
      </c>
      <c r="C7317" t="n">
        <v>2</v>
      </c>
      <c r="D7317" t="inlineStr">
        <is>
          <t>Hub C</t>
        </is>
      </c>
      <c r="E7317" t="n">
        <v>50</v>
      </c>
      <c r="F7317" t="n">
        <v>13</v>
      </c>
    </row>
    <row r="7318">
      <c r="A7318" t="inlineStr">
        <is>
          <t>ORD07317</t>
        </is>
      </c>
      <c r="B7318" t="inlineStr">
        <is>
          <t>C2317</t>
        </is>
      </c>
      <c r="C7318" t="n">
        <v>3</v>
      </c>
      <c r="D7318" t="inlineStr">
        <is>
          <t>Hub C</t>
        </is>
      </c>
      <c r="E7318" t="n">
        <v>57</v>
      </c>
      <c r="F7318" t="n">
        <v>13</v>
      </c>
    </row>
    <row r="7319">
      <c r="A7319" t="inlineStr">
        <is>
          <t>ORD07318</t>
        </is>
      </c>
      <c r="B7319" t="inlineStr">
        <is>
          <t>C2318</t>
        </is>
      </c>
      <c r="C7319" t="n">
        <v>1</v>
      </c>
      <c r="D7319" t="inlineStr">
        <is>
          <t>Hub C</t>
        </is>
      </c>
      <c r="E7319" t="n">
        <v>64</v>
      </c>
      <c r="F7319" t="n">
        <v>13</v>
      </c>
    </row>
    <row r="7320">
      <c r="A7320" t="inlineStr">
        <is>
          <t>ORD07319</t>
        </is>
      </c>
      <c r="B7320" t="inlineStr">
        <is>
          <t>C2319</t>
        </is>
      </c>
      <c r="C7320" t="n">
        <v>2</v>
      </c>
      <c r="D7320" t="inlineStr">
        <is>
          <t>Hub C</t>
        </is>
      </c>
      <c r="E7320" t="n">
        <v>71</v>
      </c>
      <c r="F7320" t="n">
        <v>13</v>
      </c>
    </row>
    <row r="7321">
      <c r="A7321" t="inlineStr">
        <is>
          <t>ORD07320</t>
        </is>
      </c>
      <c r="B7321" t="inlineStr">
        <is>
          <t>C2320</t>
        </is>
      </c>
      <c r="C7321" t="n">
        <v>3</v>
      </c>
      <c r="D7321" t="inlineStr">
        <is>
          <t>Hub C</t>
        </is>
      </c>
      <c r="E7321" t="n">
        <v>18</v>
      </c>
      <c r="F7321" t="n">
        <v>13</v>
      </c>
    </row>
    <row r="7322">
      <c r="A7322" t="inlineStr">
        <is>
          <t>ORD07321</t>
        </is>
      </c>
      <c r="B7322" t="inlineStr">
        <is>
          <t>C2321</t>
        </is>
      </c>
      <c r="C7322" t="n">
        <v>1</v>
      </c>
      <c r="D7322" t="inlineStr">
        <is>
          <t>Hub C</t>
        </is>
      </c>
      <c r="E7322" t="n">
        <v>25</v>
      </c>
      <c r="F7322" t="n">
        <v>13</v>
      </c>
    </row>
    <row r="7323">
      <c r="A7323" t="inlineStr">
        <is>
          <t>ORD07322</t>
        </is>
      </c>
      <c r="B7323" t="inlineStr">
        <is>
          <t>C2322</t>
        </is>
      </c>
      <c r="C7323" t="n">
        <v>2</v>
      </c>
      <c r="D7323" t="inlineStr">
        <is>
          <t>Hub C</t>
        </is>
      </c>
      <c r="E7323" t="n">
        <v>32</v>
      </c>
      <c r="F7323" t="n">
        <v>13</v>
      </c>
    </row>
    <row r="7324">
      <c r="A7324" t="inlineStr">
        <is>
          <t>ORD07323</t>
        </is>
      </c>
      <c r="B7324" t="inlineStr">
        <is>
          <t>C2323</t>
        </is>
      </c>
      <c r="C7324" t="n">
        <v>3</v>
      </c>
      <c r="D7324" t="inlineStr">
        <is>
          <t>Hub C</t>
        </is>
      </c>
      <c r="E7324" t="n">
        <v>39</v>
      </c>
      <c r="F7324" t="n">
        <v>13</v>
      </c>
    </row>
    <row r="7325">
      <c r="A7325" t="inlineStr">
        <is>
          <t>ORD07324</t>
        </is>
      </c>
      <c r="B7325" t="inlineStr">
        <is>
          <t>C2324</t>
        </is>
      </c>
      <c r="C7325" t="n">
        <v>1</v>
      </c>
      <c r="D7325" t="inlineStr">
        <is>
          <t>Hub C</t>
        </is>
      </c>
      <c r="E7325" t="n">
        <v>46</v>
      </c>
      <c r="F7325" t="n">
        <v>13</v>
      </c>
    </row>
    <row r="7326">
      <c r="A7326" t="inlineStr">
        <is>
          <t>ORD07325</t>
        </is>
      </c>
      <c r="B7326" t="inlineStr">
        <is>
          <t>C2325</t>
        </is>
      </c>
      <c r="C7326" t="n">
        <v>2</v>
      </c>
      <c r="D7326" t="inlineStr">
        <is>
          <t>Hub C</t>
        </is>
      </c>
      <c r="E7326" t="n">
        <v>53</v>
      </c>
      <c r="F7326" t="n">
        <v>13</v>
      </c>
    </row>
    <row r="7327">
      <c r="A7327" t="inlineStr">
        <is>
          <t>ORD07326</t>
        </is>
      </c>
      <c r="B7327" t="inlineStr">
        <is>
          <t>C2326</t>
        </is>
      </c>
      <c r="C7327" t="n">
        <v>3</v>
      </c>
      <c r="D7327" t="inlineStr">
        <is>
          <t>Hub C</t>
        </is>
      </c>
      <c r="E7327" t="n">
        <v>60</v>
      </c>
      <c r="F7327" t="n">
        <v>13</v>
      </c>
    </row>
    <row r="7328">
      <c r="A7328" t="inlineStr">
        <is>
          <t>ORD07327</t>
        </is>
      </c>
      <c r="B7328" t="inlineStr">
        <is>
          <t>C2327</t>
        </is>
      </c>
      <c r="C7328" t="n">
        <v>1</v>
      </c>
      <c r="D7328" t="inlineStr">
        <is>
          <t>Hub C</t>
        </is>
      </c>
      <c r="E7328" t="n">
        <v>67</v>
      </c>
      <c r="F7328" t="n">
        <v>13</v>
      </c>
    </row>
    <row r="7329">
      <c r="A7329" t="inlineStr">
        <is>
          <t>ORD07328</t>
        </is>
      </c>
      <c r="B7329" t="inlineStr">
        <is>
          <t>C2328</t>
        </is>
      </c>
      <c r="C7329" t="n">
        <v>2</v>
      </c>
      <c r="D7329" t="inlineStr">
        <is>
          <t>Hub C</t>
        </is>
      </c>
      <c r="E7329" t="n">
        <v>74</v>
      </c>
      <c r="F7329" t="n">
        <v>13</v>
      </c>
    </row>
    <row r="7330">
      <c r="A7330" t="inlineStr">
        <is>
          <t>ORD07329</t>
        </is>
      </c>
      <c r="B7330" t="inlineStr">
        <is>
          <t>C2329</t>
        </is>
      </c>
      <c r="C7330" t="n">
        <v>3</v>
      </c>
      <c r="D7330" t="inlineStr">
        <is>
          <t>Hub C</t>
        </is>
      </c>
      <c r="E7330" t="n">
        <v>21</v>
      </c>
      <c r="F7330" t="n">
        <v>13</v>
      </c>
    </row>
    <row r="7331">
      <c r="A7331" t="inlineStr">
        <is>
          <t>ORD07330</t>
        </is>
      </c>
      <c r="B7331" t="inlineStr">
        <is>
          <t>C2330</t>
        </is>
      </c>
      <c r="C7331" t="n">
        <v>1</v>
      </c>
      <c r="D7331" t="inlineStr">
        <is>
          <t>Hub C</t>
        </is>
      </c>
      <c r="E7331" t="n">
        <v>28</v>
      </c>
      <c r="F7331" t="n">
        <v>13</v>
      </c>
    </row>
    <row r="7332">
      <c r="A7332" t="inlineStr">
        <is>
          <t>ORD07331</t>
        </is>
      </c>
      <c r="B7332" t="inlineStr">
        <is>
          <t>C2331</t>
        </is>
      </c>
      <c r="C7332" t="n">
        <v>2</v>
      </c>
      <c r="D7332" t="inlineStr">
        <is>
          <t>Hub C</t>
        </is>
      </c>
      <c r="E7332" t="n">
        <v>35</v>
      </c>
      <c r="F7332" t="n">
        <v>13</v>
      </c>
    </row>
    <row r="7333">
      <c r="A7333" t="inlineStr">
        <is>
          <t>ORD07332</t>
        </is>
      </c>
      <c r="B7333" t="inlineStr">
        <is>
          <t>C2332</t>
        </is>
      </c>
      <c r="C7333" t="n">
        <v>3</v>
      </c>
      <c r="D7333" t="inlineStr">
        <is>
          <t>Hub C</t>
        </is>
      </c>
      <c r="E7333" t="n">
        <v>42</v>
      </c>
      <c r="F7333" t="n">
        <v>13</v>
      </c>
    </row>
    <row r="7334">
      <c r="A7334" t="inlineStr">
        <is>
          <t>ORD07333</t>
        </is>
      </c>
      <c r="B7334" t="inlineStr">
        <is>
          <t>C2333</t>
        </is>
      </c>
      <c r="C7334" t="n">
        <v>1</v>
      </c>
      <c r="D7334" t="inlineStr">
        <is>
          <t>Hub C</t>
        </is>
      </c>
      <c r="E7334" t="n">
        <v>49</v>
      </c>
      <c r="F7334" t="n">
        <v>13</v>
      </c>
    </row>
    <row r="7335">
      <c r="A7335" t="inlineStr">
        <is>
          <t>ORD07334</t>
        </is>
      </c>
      <c r="B7335" t="inlineStr">
        <is>
          <t>C2334</t>
        </is>
      </c>
      <c r="C7335" t="n">
        <v>2</v>
      </c>
      <c r="D7335" t="inlineStr">
        <is>
          <t>Hub C</t>
        </is>
      </c>
      <c r="E7335" t="n">
        <v>56</v>
      </c>
      <c r="F7335" t="n">
        <v>13</v>
      </c>
    </row>
    <row r="7336">
      <c r="A7336" t="inlineStr">
        <is>
          <t>ORD07335</t>
        </is>
      </c>
      <c r="B7336" t="inlineStr">
        <is>
          <t>C2335</t>
        </is>
      </c>
      <c r="C7336" t="n">
        <v>3</v>
      </c>
      <c r="D7336" t="inlineStr">
        <is>
          <t>Hub C</t>
        </is>
      </c>
      <c r="E7336" t="n">
        <v>63</v>
      </c>
      <c r="F7336" t="n">
        <v>13</v>
      </c>
    </row>
    <row r="7337">
      <c r="A7337" t="inlineStr">
        <is>
          <t>ORD07336</t>
        </is>
      </c>
      <c r="B7337" t="inlineStr">
        <is>
          <t>C2336</t>
        </is>
      </c>
      <c r="C7337" t="n">
        <v>1</v>
      </c>
      <c r="D7337" t="inlineStr">
        <is>
          <t>Hub C</t>
        </is>
      </c>
      <c r="E7337" t="n">
        <v>70</v>
      </c>
      <c r="F7337" t="n">
        <v>13</v>
      </c>
    </row>
    <row r="7338">
      <c r="A7338" t="inlineStr">
        <is>
          <t>ORD07337</t>
        </is>
      </c>
      <c r="B7338" t="inlineStr">
        <is>
          <t>C2337</t>
        </is>
      </c>
      <c r="C7338" t="n">
        <v>2</v>
      </c>
      <c r="D7338" t="inlineStr">
        <is>
          <t>Hub C</t>
        </is>
      </c>
      <c r="E7338" t="n">
        <v>77</v>
      </c>
      <c r="F7338" t="n">
        <v>13</v>
      </c>
    </row>
    <row r="7339">
      <c r="A7339" t="inlineStr">
        <is>
          <t>ORD07338</t>
        </is>
      </c>
      <c r="B7339" t="inlineStr">
        <is>
          <t>C2338</t>
        </is>
      </c>
      <c r="C7339" t="n">
        <v>3</v>
      </c>
      <c r="D7339" t="inlineStr">
        <is>
          <t>Hub C</t>
        </is>
      </c>
      <c r="E7339" t="n">
        <v>24</v>
      </c>
      <c r="F7339" t="n">
        <v>13</v>
      </c>
    </row>
    <row r="7340">
      <c r="A7340" t="inlineStr">
        <is>
          <t>ORD07339</t>
        </is>
      </c>
      <c r="B7340" t="inlineStr">
        <is>
          <t>C2339</t>
        </is>
      </c>
      <c r="C7340" t="n">
        <v>1</v>
      </c>
      <c r="D7340" t="inlineStr">
        <is>
          <t>Hub C</t>
        </is>
      </c>
      <c r="E7340" t="n">
        <v>31</v>
      </c>
      <c r="F7340" t="n">
        <v>13</v>
      </c>
    </row>
    <row r="7341">
      <c r="A7341" t="inlineStr">
        <is>
          <t>ORD07340</t>
        </is>
      </c>
      <c r="B7341" t="inlineStr">
        <is>
          <t>C2340</t>
        </is>
      </c>
      <c r="C7341" t="n">
        <v>2</v>
      </c>
      <c r="D7341" t="inlineStr">
        <is>
          <t>Hub C</t>
        </is>
      </c>
      <c r="E7341" t="n">
        <v>38</v>
      </c>
      <c r="F7341" t="n">
        <v>13</v>
      </c>
    </row>
    <row r="7342">
      <c r="A7342" t="inlineStr">
        <is>
          <t>ORD07341</t>
        </is>
      </c>
      <c r="B7342" t="inlineStr">
        <is>
          <t>C2341</t>
        </is>
      </c>
      <c r="C7342" t="n">
        <v>3</v>
      </c>
      <c r="D7342" t="inlineStr">
        <is>
          <t>Hub C</t>
        </is>
      </c>
      <c r="E7342" t="n">
        <v>45</v>
      </c>
      <c r="F7342" t="n">
        <v>13</v>
      </c>
    </row>
    <row r="7343">
      <c r="A7343" t="inlineStr">
        <is>
          <t>ORD07342</t>
        </is>
      </c>
      <c r="B7343" t="inlineStr">
        <is>
          <t>C2342</t>
        </is>
      </c>
      <c r="C7343" t="n">
        <v>1</v>
      </c>
      <c r="D7343" t="inlineStr">
        <is>
          <t>Hub C</t>
        </is>
      </c>
      <c r="E7343" t="n">
        <v>52</v>
      </c>
      <c r="F7343" t="n">
        <v>13</v>
      </c>
    </row>
    <row r="7344">
      <c r="A7344" t="inlineStr">
        <is>
          <t>ORD07343</t>
        </is>
      </c>
      <c r="B7344" t="inlineStr">
        <is>
          <t>C2343</t>
        </is>
      </c>
      <c r="C7344" t="n">
        <v>2</v>
      </c>
      <c r="D7344" t="inlineStr">
        <is>
          <t>Hub C</t>
        </is>
      </c>
      <c r="E7344" t="n">
        <v>59</v>
      </c>
      <c r="F7344" t="n">
        <v>13</v>
      </c>
    </row>
    <row r="7345">
      <c r="A7345" t="inlineStr">
        <is>
          <t>ORD07344</t>
        </is>
      </c>
      <c r="B7345" t="inlineStr">
        <is>
          <t>C2344</t>
        </is>
      </c>
      <c r="C7345" t="n">
        <v>3</v>
      </c>
      <c r="D7345" t="inlineStr">
        <is>
          <t>Hub C</t>
        </is>
      </c>
      <c r="E7345" t="n">
        <v>66</v>
      </c>
      <c r="F7345" t="n">
        <v>13</v>
      </c>
    </row>
    <row r="7346">
      <c r="A7346" t="inlineStr">
        <is>
          <t>ORD07345</t>
        </is>
      </c>
      <c r="B7346" t="inlineStr">
        <is>
          <t>C2345</t>
        </is>
      </c>
      <c r="C7346" t="n">
        <v>1</v>
      </c>
      <c r="D7346" t="inlineStr">
        <is>
          <t>Hub C</t>
        </is>
      </c>
      <c r="E7346" t="n">
        <v>73</v>
      </c>
      <c r="F7346" t="n">
        <v>13</v>
      </c>
    </row>
    <row r="7347">
      <c r="A7347" t="inlineStr">
        <is>
          <t>ORD07346</t>
        </is>
      </c>
      <c r="B7347" t="inlineStr">
        <is>
          <t>C2346</t>
        </is>
      </c>
      <c r="C7347" t="n">
        <v>2</v>
      </c>
      <c r="D7347" t="inlineStr">
        <is>
          <t>Hub C</t>
        </is>
      </c>
      <c r="E7347" t="n">
        <v>20</v>
      </c>
      <c r="F7347" t="n">
        <v>13</v>
      </c>
    </row>
    <row r="7348">
      <c r="A7348" t="inlineStr">
        <is>
          <t>ORD07347</t>
        </is>
      </c>
      <c r="B7348" t="inlineStr">
        <is>
          <t>C2347</t>
        </is>
      </c>
      <c r="C7348" t="n">
        <v>3</v>
      </c>
      <c r="D7348" t="inlineStr">
        <is>
          <t>Hub C</t>
        </is>
      </c>
      <c r="E7348" t="n">
        <v>27</v>
      </c>
      <c r="F7348" t="n">
        <v>13</v>
      </c>
    </row>
    <row r="7349">
      <c r="A7349" t="inlineStr">
        <is>
          <t>ORD07348</t>
        </is>
      </c>
      <c r="B7349" t="inlineStr">
        <is>
          <t>C2348</t>
        </is>
      </c>
      <c r="C7349" t="n">
        <v>1</v>
      </c>
      <c r="D7349" t="inlineStr">
        <is>
          <t>Hub C</t>
        </is>
      </c>
      <c r="E7349" t="n">
        <v>34</v>
      </c>
      <c r="F7349" t="n">
        <v>13</v>
      </c>
    </row>
    <row r="7350">
      <c r="A7350" t="inlineStr">
        <is>
          <t>ORD07349</t>
        </is>
      </c>
      <c r="B7350" t="inlineStr">
        <is>
          <t>C2349</t>
        </is>
      </c>
      <c r="C7350" t="n">
        <v>2</v>
      </c>
      <c r="D7350" t="inlineStr">
        <is>
          <t>Hub C</t>
        </is>
      </c>
      <c r="E7350" t="n">
        <v>41</v>
      </c>
      <c r="F7350" t="n">
        <v>13</v>
      </c>
    </row>
    <row r="7351">
      <c r="A7351" t="inlineStr">
        <is>
          <t>ORD07350</t>
        </is>
      </c>
      <c r="B7351" t="inlineStr">
        <is>
          <t>C2350</t>
        </is>
      </c>
      <c r="C7351" t="n">
        <v>3</v>
      </c>
      <c r="D7351" t="inlineStr">
        <is>
          <t>Hub C</t>
        </is>
      </c>
      <c r="E7351" t="n">
        <v>48</v>
      </c>
      <c r="F7351" t="n">
        <v>13</v>
      </c>
    </row>
    <row r="7352">
      <c r="A7352" t="inlineStr">
        <is>
          <t>ORD07351</t>
        </is>
      </c>
      <c r="B7352" t="inlineStr">
        <is>
          <t>C2351</t>
        </is>
      </c>
      <c r="C7352" t="n">
        <v>1</v>
      </c>
      <c r="D7352" t="inlineStr">
        <is>
          <t>Hub C</t>
        </is>
      </c>
      <c r="E7352" t="n">
        <v>55</v>
      </c>
      <c r="F7352" t="n">
        <v>13</v>
      </c>
    </row>
    <row r="7353">
      <c r="A7353" t="inlineStr">
        <is>
          <t>ORD07352</t>
        </is>
      </c>
      <c r="B7353" t="inlineStr">
        <is>
          <t>C2352</t>
        </is>
      </c>
      <c r="C7353" t="n">
        <v>2</v>
      </c>
      <c r="D7353" t="inlineStr">
        <is>
          <t>Hub C</t>
        </is>
      </c>
      <c r="E7353" t="n">
        <v>62</v>
      </c>
      <c r="F7353" t="n">
        <v>13</v>
      </c>
    </row>
    <row r="7354">
      <c r="A7354" t="inlineStr">
        <is>
          <t>ORD07353</t>
        </is>
      </c>
      <c r="B7354" t="inlineStr">
        <is>
          <t>C2353</t>
        </is>
      </c>
      <c r="C7354" t="n">
        <v>3</v>
      </c>
      <c r="D7354" t="inlineStr">
        <is>
          <t>Hub C</t>
        </is>
      </c>
      <c r="E7354" t="n">
        <v>69</v>
      </c>
      <c r="F7354" t="n">
        <v>13</v>
      </c>
    </row>
    <row r="7355">
      <c r="A7355" t="inlineStr">
        <is>
          <t>ORD07354</t>
        </is>
      </c>
      <c r="B7355" t="inlineStr">
        <is>
          <t>C2354</t>
        </is>
      </c>
      <c r="C7355" t="n">
        <v>1</v>
      </c>
      <c r="D7355" t="inlineStr">
        <is>
          <t>Hub C</t>
        </is>
      </c>
      <c r="E7355" t="n">
        <v>76</v>
      </c>
      <c r="F7355" t="n">
        <v>13</v>
      </c>
    </row>
    <row r="7356">
      <c r="A7356" t="inlineStr">
        <is>
          <t>ORD07355</t>
        </is>
      </c>
      <c r="B7356" t="inlineStr">
        <is>
          <t>C2355</t>
        </is>
      </c>
      <c r="C7356" t="n">
        <v>2</v>
      </c>
      <c r="D7356" t="inlineStr">
        <is>
          <t>Hub C</t>
        </is>
      </c>
      <c r="E7356" t="n">
        <v>23</v>
      </c>
      <c r="F7356" t="n">
        <v>13</v>
      </c>
    </row>
    <row r="7357">
      <c r="A7357" t="inlineStr">
        <is>
          <t>ORD07356</t>
        </is>
      </c>
      <c r="B7357" t="inlineStr">
        <is>
          <t>C2356</t>
        </is>
      </c>
      <c r="C7357" t="n">
        <v>3</v>
      </c>
      <c r="D7357" t="inlineStr">
        <is>
          <t>Hub C</t>
        </is>
      </c>
      <c r="E7357" t="n">
        <v>30</v>
      </c>
      <c r="F7357" t="n">
        <v>13</v>
      </c>
    </row>
    <row r="7358">
      <c r="A7358" t="inlineStr">
        <is>
          <t>ORD07357</t>
        </is>
      </c>
      <c r="B7358" t="inlineStr">
        <is>
          <t>C2357</t>
        </is>
      </c>
      <c r="C7358" t="n">
        <v>1</v>
      </c>
      <c r="D7358" t="inlineStr">
        <is>
          <t>Hub C</t>
        </is>
      </c>
      <c r="E7358" t="n">
        <v>37</v>
      </c>
      <c r="F7358" t="n">
        <v>13</v>
      </c>
    </row>
    <row r="7359">
      <c r="A7359" t="inlineStr">
        <is>
          <t>ORD07358</t>
        </is>
      </c>
      <c r="B7359" t="inlineStr">
        <is>
          <t>C2358</t>
        </is>
      </c>
      <c r="C7359" t="n">
        <v>2</v>
      </c>
      <c r="D7359" t="inlineStr">
        <is>
          <t>Hub C</t>
        </is>
      </c>
      <c r="E7359" t="n">
        <v>44</v>
      </c>
      <c r="F7359" t="n">
        <v>13</v>
      </c>
    </row>
    <row r="7360">
      <c r="A7360" t="inlineStr">
        <is>
          <t>ORD07359</t>
        </is>
      </c>
      <c r="B7360" t="inlineStr">
        <is>
          <t>C2359</t>
        </is>
      </c>
      <c r="C7360" t="n">
        <v>3</v>
      </c>
      <c r="D7360" t="inlineStr">
        <is>
          <t>Hub C</t>
        </is>
      </c>
      <c r="E7360" t="n">
        <v>51</v>
      </c>
      <c r="F7360" t="n">
        <v>13</v>
      </c>
    </row>
    <row r="7361">
      <c r="A7361" t="inlineStr">
        <is>
          <t>ORD07360</t>
        </is>
      </c>
      <c r="B7361" t="inlineStr">
        <is>
          <t>C2360</t>
        </is>
      </c>
      <c r="C7361" t="n">
        <v>1</v>
      </c>
      <c r="D7361" t="inlineStr">
        <is>
          <t>Hub C</t>
        </is>
      </c>
      <c r="E7361" t="n">
        <v>58</v>
      </c>
      <c r="F7361" t="n">
        <v>13</v>
      </c>
    </row>
    <row r="7362">
      <c r="A7362" t="inlineStr">
        <is>
          <t>ORD07361</t>
        </is>
      </c>
      <c r="B7362" t="inlineStr">
        <is>
          <t>C2361</t>
        </is>
      </c>
      <c r="C7362" t="n">
        <v>2</v>
      </c>
      <c r="D7362" t="inlineStr">
        <is>
          <t>Hub C</t>
        </is>
      </c>
      <c r="E7362" t="n">
        <v>65</v>
      </c>
      <c r="F7362" t="n">
        <v>13</v>
      </c>
    </row>
    <row r="7363">
      <c r="A7363" t="inlineStr">
        <is>
          <t>ORD07362</t>
        </is>
      </c>
      <c r="B7363" t="inlineStr">
        <is>
          <t>C2362</t>
        </is>
      </c>
      <c r="C7363" t="n">
        <v>3</v>
      </c>
      <c r="D7363" t="inlineStr">
        <is>
          <t>Hub C</t>
        </is>
      </c>
      <c r="E7363" t="n">
        <v>72</v>
      </c>
      <c r="F7363" t="n">
        <v>13</v>
      </c>
    </row>
    <row r="7364">
      <c r="A7364" t="inlineStr">
        <is>
          <t>ORD07363</t>
        </is>
      </c>
      <c r="B7364" t="inlineStr">
        <is>
          <t>C2363</t>
        </is>
      </c>
      <c r="C7364" t="n">
        <v>1</v>
      </c>
      <c r="D7364" t="inlineStr">
        <is>
          <t>Hub C</t>
        </is>
      </c>
      <c r="E7364" t="n">
        <v>19</v>
      </c>
      <c r="F7364" t="n">
        <v>13</v>
      </c>
    </row>
    <row r="7365">
      <c r="A7365" t="inlineStr">
        <is>
          <t>ORD07364</t>
        </is>
      </c>
      <c r="B7365" t="inlineStr">
        <is>
          <t>C2364</t>
        </is>
      </c>
      <c r="C7365" t="n">
        <v>2</v>
      </c>
      <c r="D7365" t="inlineStr">
        <is>
          <t>Hub C</t>
        </is>
      </c>
      <c r="E7365" t="n">
        <v>26</v>
      </c>
      <c r="F7365" t="n">
        <v>13</v>
      </c>
    </row>
    <row r="7366">
      <c r="A7366" t="inlineStr">
        <is>
          <t>ORD07365</t>
        </is>
      </c>
      <c r="B7366" t="inlineStr">
        <is>
          <t>C2365</t>
        </is>
      </c>
      <c r="C7366" t="n">
        <v>3</v>
      </c>
      <c r="D7366" t="inlineStr">
        <is>
          <t>Hub C</t>
        </is>
      </c>
      <c r="E7366" t="n">
        <v>33</v>
      </c>
      <c r="F7366" t="n">
        <v>13</v>
      </c>
    </row>
    <row r="7367">
      <c r="A7367" t="inlineStr">
        <is>
          <t>ORD07366</t>
        </is>
      </c>
      <c r="B7367" t="inlineStr">
        <is>
          <t>C2366</t>
        </is>
      </c>
      <c r="C7367" t="n">
        <v>1</v>
      </c>
      <c r="D7367" t="inlineStr">
        <is>
          <t>Hub C</t>
        </is>
      </c>
      <c r="E7367" t="n">
        <v>40</v>
      </c>
      <c r="F7367" t="n">
        <v>13</v>
      </c>
    </row>
    <row r="7368">
      <c r="A7368" t="inlineStr">
        <is>
          <t>ORD07367</t>
        </is>
      </c>
      <c r="B7368" t="inlineStr">
        <is>
          <t>C2367</t>
        </is>
      </c>
      <c r="C7368" t="n">
        <v>2</v>
      </c>
      <c r="D7368" t="inlineStr">
        <is>
          <t>Hub C</t>
        </is>
      </c>
      <c r="E7368" t="n">
        <v>47</v>
      </c>
      <c r="F7368" t="n">
        <v>13</v>
      </c>
    </row>
    <row r="7369">
      <c r="A7369" t="inlineStr">
        <is>
          <t>ORD07368</t>
        </is>
      </c>
      <c r="B7369" t="inlineStr">
        <is>
          <t>C2368</t>
        </is>
      </c>
      <c r="C7369" t="n">
        <v>3</v>
      </c>
      <c r="D7369" t="inlineStr">
        <is>
          <t>Hub C</t>
        </is>
      </c>
      <c r="E7369" t="n">
        <v>54</v>
      </c>
      <c r="F7369" t="n">
        <v>13</v>
      </c>
    </row>
    <row r="7370">
      <c r="A7370" t="inlineStr">
        <is>
          <t>ORD07369</t>
        </is>
      </c>
      <c r="B7370" t="inlineStr">
        <is>
          <t>C2369</t>
        </is>
      </c>
      <c r="C7370" t="n">
        <v>1</v>
      </c>
      <c r="D7370" t="inlineStr">
        <is>
          <t>Hub C</t>
        </is>
      </c>
      <c r="E7370" t="n">
        <v>61</v>
      </c>
      <c r="F7370" t="n">
        <v>13</v>
      </c>
    </row>
    <row r="7371">
      <c r="A7371" t="inlineStr">
        <is>
          <t>ORD07370</t>
        </is>
      </c>
      <c r="B7371" t="inlineStr">
        <is>
          <t>C2370</t>
        </is>
      </c>
      <c r="C7371" t="n">
        <v>2</v>
      </c>
      <c r="D7371" t="inlineStr">
        <is>
          <t>Hub C</t>
        </is>
      </c>
      <c r="E7371" t="n">
        <v>68</v>
      </c>
      <c r="F7371" t="n">
        <v>13</v>
      </c>
    </row>
    <row r="7372">
      <c r="A7372" t="inlineStr">
        <is>
          <t>ORD07371</t>
        </is>
      </c>
      <c r="B7372" t="inlineStr">
        <is>
          <t>C2371</t>
        </is>
      </c>
      <c r="C7372" t="n">
        <v>3</v>
      </c>
      <c r="D7372" t="inlineStr">
        <is>
          <t>Hub C</t>
        </is>
      </c>
      <c r="E7372" t="n">
        <v>75</v>
      </c>
      <c r="F7372" t="n">
        <v>13</v>
      </c>
    </row>
    <row r="7373">
      <c r="A7373" t="inlineStr">
        <is>
          <t>ORD07372</t>
        </is>
      </c>
      <c r="B7373" t="inlineStr">
        <is>
          <t>C2372</t>
        </is>
      </c>
      <c r="C7373" t="n">
        <v>1</v>
      </c>
      <c r="D7373" t="inlineStr">
        <is>
          <t>Hub C</t>
        </is>
      </c>
      <c r="E7373" t="n">
        <v>22</v>
      </c>
      <c r="F7373" t="n">
        <v>13</v>
      </c>
    </row>
    <row r="7374">
      <c r="A7374" t="inlineStr">
        <is>
          <t>ORD07373</t>
        </is>
      </c>
      <c r="B7374" t="inlineStr">
        <is>
          <t>C2373</t>
        </is>
      </c>
      <c r="C7374" t="n">
        <v>2</v>
      </c>
      <c r="D7374" t="inlineStr">
        <is>
          <t>Hub C</t>
        </is>
      </c>
      <c r="E7374" t="n">
        <v>29</v>
      </c>
      <c r="F7374" t="n">
        <v>13</v>
      </c>
    </row>
    <row r="7375">
      <c r="A7375" t="inlineStr">
        <is>
          <t>ORD07374</t>
        </is>
      </c>
      <c r="B7375" t="inlineStr">
        <is>
          <t>C2374</t>
        </is>
      </c>
      <c r="C7375" t="n">
        <v>3</v>
      </c>
      <c r="D7375" t="inlineStr">
        <is>
          <t>Hub C</t>
        </is>
      </c>
      <c r="E7375" t="n">
        <v>36</v>
      </c>
      <c r="F7375" t="n">
        <v>13</v>
      </c>
    </row>
    <row r="7376">
      <c r="A7376" t="inlineStr">
        <is>
          <t>ORD07375</t>
        </is>
      </c>
      <c r="B7376" t="inlineStr">
        <is>
          <t>C2375</t>
        </is>
      </c>
      <c r="C7376" t="n">
        <v>1</v>
      </c>
      <c r="D7376" t="inlineStr">
        <is>
          <t>Hub C</t>
        </is>
      </c>
      <c r="E7376" t="n">
        <v>43</v>
      </c>
      <c r="F7376" t="n">
        <v>13</v>
      </c>
    </row>
    <row r="7377">
      <c r="A7377" t="inlineStr">
        <is>
          <t>ORD07376</t>
        </is>
      </c>
      <c r="B7377" t="inlineStr">
        <is>
          <t>C2376</t>
        </is>
      </c>
      <c r="C7377" t="n">
        <v>2</v>
      </c>
      <c r="D7377" t="inlineStr">
        <is>
          <t>Hub C</t>
        </is>
      </c>
      <c r="E7377" t="n">
        <v>50</v>
      </c>
      <c r="F7377" t="n">
        <v>13</v>
      </c>
    </row>
    <row r="7378">
      <c r="A7378" t="inlineStr">
        <is>
          <t>ORD07377</t>
        </is>
      </c>
      <c r="B7378" t="inlineStr">
        <is>
          <t>C2377</t>
        </is>
      </c>
      <c r="C7378" t="n">
        <v>3</v>
      </c>
      <c r="D7378" t="inlineStr">
        <is>
          <t>Hub C</t>
        </is>
      </c>
      <c r="E7378" t="n">
        <v>57</v>
      </c>
      <c r="F7378" t="n">
        <v>13</v>
      </c>
    </row>
    <row r="7379">
      <c r="A7379" t="inlineStr">
        <is>
          <t>ORD07378</t>
        </is>
      </c>
      <c r="B7379" t="inlineStr">
        <is>
          <t>C2378</t>
        </is>
      </c>
      <c r="C7379" t="n">
        <v>1</v>
      </c>
      <c r="D7379" t="inlineStr">
        <is>
          <t>Hub C</t>
        </is>
      </c>
      <c r="E7379" t="n">
        <v>64</v>
      </c>
      <c r="F7379" t="n">
        <v>13</v>
      </c>
    </row>
    <row r="7380">
      <c r="A7380" t="inlineStr">
        <is>
          <t>ORD07379</t>
        </is>
      </c>
      <c r="B7380" t="inlineStr">
        <is>
          <t>C2379</t>
        </is>
      </c>
      <c r="C7380" t="n">
        <v>2</v>
      </c>
      <c r="D7380" t="inlineStr">
        <is>
          <t>Hub C</t>
        </is>
      </c>
      <c r="E7380" t="n">
        <v>71</v>
      </c>
      <c r="F7380" t="n">
        <v>13</v>
      </c>
    </row>
    <row r="7381">
      <c r="A7381" t="inlineStr">
        <is>
          <t>ORD07380</t>
        </is>
      </c>
      <c r="B7381" t="inlineStr">
        <is>
          <t>C2380</t>
        </is>
      </c>
      <c r="C7381" t="n">
        <v>3</v>
      </c>
      <c r="D7381" t="inlineStr">
        <is>
          <t>Hub C</t>
        </is>
      </c>
      <c r="E7381" t="n">
        <v>18</v>
      </c>
      <c r="F7381" t="n">
        <v>13</v>
      </c>
    </row>
    <row r="7382">
      <c r="A7382" t="inlineStr">
        <is>
          <t>ORD07381</t>
        </is>
      </c>
      <c r="B7382" t="inlineStr">
        <is>
          <t>C2381</t>
        </is>
      </c>
      <c r="C7382" t="n">
        <v>1</v>
      </c>
      <c r="D7382" t="inlineStr">
        <is>
          <t>Hub C</t>
        </is>
      </c>
      <c r="E7382" t="n">
        <v>25</v>
      </c>
      <c r="F7382" t="n">
        <v>13</v>
      </c>
    </row>
    <row r="7383">
      <c r="A7383" t="inlineStr">
        <is>
          <t>ORD07382</t>
        </is>
      </c>
      <c r="B7383" t="inlineStr">
        <is>
          <t>C2382</t>
        </is>
      </c>
      <c r="C7383" t="n">
        <v>2</v>
      </c>
      <c r="D7383" t="inlineStr">
        <is>
          <t>Hub C</t>
        </is>
      </c>
      <c r="E7383" t="n">
        <v>32</v>
      </c>
      <c r="F7383" t="n">
        <v>13</v>
      </c>
    </row>
    <row r="7384">
      <c r="A7384" t="inlineStr">
        <is>
          <t>ORD07383</t>
        </is>
      </c>
      <c r="B7384" t="inlineStr">
        <is>
          <t>C2383</t>
        </is>
      </c>
      <c r="C7384" t="n">
        <v>3</v>
      </c>
      <c r="D7384" t="inlineStr">
        <is>
          <t>Hub C</t>
        </is>
      </c>
      <c r="E7384" t="n">
        <v>39</v>
      </c>
      <c r="F7384" t="n">
        <v>13</v>
      </c>
    </row>
    <row r="7385">
      <c r="A7385" t="inlineStr">
        <is>
          <t>ORD07384</t>
        </is>
      </c>
      <c r="B7385" t="inlineStr">
        <is>
          <t>C2384</t>
        </is>
      </c>
      <c r="C7385" t="n">
        <v>1</v>
      </c>
      <c r="D7385" t="inlineStr">
        <is>
          <t>Hub C</t>
        </is>
      </c>
      <c r="E7385" t="n">
        <v>46</v>
      </c>
      <c r="F7385" t="n">
        <v>13</v>
      </c>
    </row>
    <row r="7386">
      <c r="A7386" t="inlineStr">
        <is>
          <t>ORD07385</t>
        </is>
      </c>
      <c r="B7386" t="inlineStr">
        <is>
          <t>C2385</t>
        </is>
      </c>
      <c r="C7386" t="n">
        <v>2</v>
      </c>
      <c r="D7386" t="inlineStr">
        <is>
          <t>Hub C</t>
        </is>
      </c>
      <c r="E7386" t="n">
        <v>53</v>
      </c>
      <c r="F7386" t="n">
        <v>13</v>
      </c>
    </row>
    <row r="7387">
      <c r="A7387" t="inlineStr">
        <is>
          <t>ORD07386</t>
        </is>
      </c>
      <c r="B7387" t="inlineStr">
        <is>
          <t>C2386</t>
        </is>
      </c>
      <c r="C7387" t="n">
        <v>3</v>
      </c>
      <c r="D7387" t="inlineStr">
        <is>
          <t>Hub C</t>
        </is>
      </c>
      <c r="E7387" t="n">
        <v>60</v>
      </c>
      <c r="F7387" t="n">
        <v>13</v>
      </c>
    </row>
    <row r="7388">
      <c r="A7388" t="inlineStr">
        <is>
          <t>ORD07387</t>
        </is>
      </c>
      <c r="B7388" t="inlineStr">
        <is>
          <t>C2387</t>
        </is>
      </c>
      <c r="C7388" t="n">
        <v>1</v>
      </c>
      <c r="D7388" t="inlineStr">
        <is>
          <t>Hub C</t>
        </is>
      </c>
      <c r="E7388" t="n">
        <v>67</v>
      </c>
      <c r="F7388" t="n">
        <v>13</v>
      </c>
    </row>
    <row r="7389">
      <c r="A7389" t="inlineStr">
        <is>
          <t>ORD07388</t>
        </is>
      </c>
      <c r="B7389" t="inlineStr">
        <is>
          <t>C2388</t>
        </is>
      </c>
      <c r="C7389" t="n">
        <v>2</v>
      </c>
      <c r="D7389" t="inlineStr">
        <is>
          <t>Hub C</t>
        </is>
      </c>
      <c r="E7389" t="n">
        <v>74</v>
      </c>
      <c r="F7389" t="n">
        <v>13</v>
      </c>
    </row>
    <row r="7390">
      <c r="A7390" t="inlineStr">
        <is>
          <t>ORD07389</t>
        </is>
      </c>
      <c r="B7390" t="inlineStr">
        <is>
          <t>C2389</t>
        </is>
      </c>
      <c r="C7390" t="n">
        <v>3</v>
      </c>
      <c r="D7390" t="inlineStr">
        <is>
          <t>Hub C</t>
        </is>
      </c>
      <c r="E7390" t="n">
        <v>21</v>
      </c>
      <c r="F7390" t="n">
        <v>13</v>
      </c>
    </row>
    <row r="7391">
      <c r="A7391" t="inlineStr">
        <is>
          <t>ORD07390</t>
        </is>
      </c>
      <c r="B7391" t="inlineStr">
        <is>
          <t>C2390</t>
        </is>
      </c>
      <c r="C7391" t="n">
        <v>1</v>
      </c>
      <c r="D7391" t="inlineStr">
        <is>
          <t>Hub C</t>
        </is>
      </c>
      <c r="E7391" t="n">
        <v>28</v>
      </c>
      <c r="F7391" t="n">
        <v>13</v>
      </c>
    </row>
    <row r="7392">
      <c r="A7392" t="inlineStr">
        <is>
          <t>ORD07391</t>
        </is>
      </c>
      <c r="B7392" t="inlineStr">
        <is>
          <t>C2391</t>
        </is>
      </c>
      <c r="C7392" t="n">
        <v>2</v>
      </c>
      <c r="D7392" t="inlineStr">
        <is>
          <t>Hub C</t>
        </is>
      </c>
      <c r="E7392" t="n">
        <v>35</v>
      </c>
      <c r="F7392" t="n">
        <v>13</v>
      </c>
    </row>
    <row r="7393">
      <c r="A7393" t="inlineStr">
        <is>
          <t>ORD07392</t>
        </is>
      </c>
      <c r="B7393" t="inlineStr">
        <is>
          <t>C2392</t>
        </is>
      </c>
      <c r="C7393" t="n">
        <v>3</v>
      </c>
      <c r="D7393" t="inlineStr">
        <is>
          <t>Hub C</t>
        </is>
      </c>
      <c r="E7393" t="n">
        <v>42</v>
      </c>
      <c r="F7393" t="n">
        <v>13</v>
      </c>
    </row>
    <row r="7394">
      <c r="A7394" t="inlineStr">
        <is>
          <t>ORD07393</t>
        </is>
      </c>
      <c r="B7394" t="inlineStr">
        <is>
          <t>C2393</t>
        </is>
      </c>
      <c r="C7394" t="n">
        <v>1</v>
      </c>
      <c r="D7394" t="inlineStr">
        <is>
          <t>Hub C</t>
        </is>
      </c>
      <c r="E7394" t="n">
        <v>49</v>
      </c>
      <c r="F7394" t="n">
        <v>13</v>
      </c>
    </row>
    <row r="7395">
      <c r="A7395" t="inlineStr">
        <is>
          <t>ORD07394</t>
        </is>
      </c>
      <c r="B7395" t="inlineStr">
        <is>
          <t>C2394</t>
        </is>
      </c>
      <c r="C7395" t="n">
        <v>2</v>
      </c>
      <c r="D7395" t="inlineStr">
        <is>
          <t>Hub C</t>
        </is>
      </c>
      <c r="E7395" t="n">
        <v>56</v>
      </c>
      <c r="F7395" t="n">
        <v>13</v>
      </c>
    </row>
    <row r="7396">
      <c r="A7396" t="inlineStr">
        <is>
          <t>ORD07395</t>
        </is>
      </c>
      <c r="B7396" t="inlineStr">
        <is>
          <t>C2395</t>
        </is>
      </c>
      <c r="C7396" t="n">
        <v>3</v>
      </c>
      <c r="D7396" t="inlineStr">
        <is>
          <t>Hub C</t>
        </is>
      </c>
      <c r="E7396" t="n">
        <v>63</v>
      </c>
      <c r="F7396" t="n">
        <v>13</v>
      </c>
    </row>
    <row r="7397">
      <c r="A7397" t="inlineStr">
        <is>
          <t>ORD07396</t>
        </is>
      </c>
      <c r="B7397" t="inlineStr">
        <is>
          <t>C2396</t>
        </is>
      </c>
      <c r="C7397" t="n">
        <v>1</v>
      </c>
      <c r="D7397" t="inlineStr">
        <is>
          <t>Hub C</t>
        </is>
      </c>
      <c r="E7397" t="n">
        <v>70</v>
      </c>
      <c r="F7397" t="n">
        <v>13</v>
      </c>
    </row>
    <row r="7398">
      <c r="A7398" t="inlineStr">
        <is>
          <t>ORD07397</t>
        </is>
      </c>
      <c r="B7398" t="inlineStr">
        <is>
          <t>C2397</t>
        </is>
      </c>
      <c r="C7398" t="n">
        <v>2</v>
      </c>
      <c r="D7398" t="inlineStr">
        <is>
          <t>Hub C</t>
        </is>
      </c>
      <c r="E7398" t="n">
        <v>77</v>
      </c>
      <c r="F7398" t="n">
        <v>13</v>
      </c>
    </row>
    <row r="7399">
      <c r="A7399" t="inlineStr">
        <is>
          <t>ORD07398</t>
        </is>
      </c>
      <c r="B7399" t="inlineStr">
        <is>
          <t>C2398</t>
        </is>
      </c>
      <c r="C7399" t="n">
        <v>3</v>
      </c>
      <c r="D7399" t="inlineStr">
        <is>
          <t>Hub C</t>
        </is>
      </c>
      <c r="E7399" t="n">
        <v>24</v>
      </c>
      <c r="F7399" t="n">
        <v>13</v>
      </c>
    </row>
    <row r="7400">
      <c r="A7400" t="inlineStr">
        <is>
          <t>ORD07399</t>
        </is>
      </c>
      <c r="B7400" t="inlineStr">
        <is>
          <t>C2399</t>
        </is>
      </c>
      <c r="C7400" t="n">
        <v>1</v>
      </c>
      <c r="D7400" t="inlineStr">
        <is>
          <t>Hub C</t>
        </is>
      </c>
      <c r="E7400" t="n">
        <v>31</v>
      </c>
      <c r="F7400" t="n">
        <v>13</v>
      </c>
    </row>
    <row r="7401">
      <c r="A7401" t="inlineStr">
        <is>
          <t>ORD07400</t>
        </is>
      </c>
      <c r="B7401" t="inlineStr">
        <is>
          <t>C2400</t>
        </is>
      </c>
      <c r="C7401" t="n">
        <v>2</v>
      </c>
      <c r="D7401" t="inlineStr">
        <is>
          <t>Hub C</t>
        </is>
      </c>
      <c r="E7401" t="n">
        <v>38</v>
      </c>
      <c r="F7401" t="n">
        <v>13</v>
      </c>
    </row>
    <row r="7402">
      <c r="A7402" t="inlineStr">
        <is>
          <t>ORD07401</t>
        </is>
      </c>
      <c r="B7402" t="inlineStr">
        <is>
          <t>C2401</t>
        </is>
      </c>
      <c r="C7402" t="n">
        <v>3</v>
      </c>
      <c r="D7402" t="inlineStr">
        <is>
          <t>Hub C</t>
        </is>
      </c>
      <c r="E7402" t="n">
        <v>45</v>
      </c>
      <c r="F7402" t="n">
        <v>13</v>
      </c>
    </row>
    <row r="7403">
      <c r="A7403" t="inlineStr">
        <is>
          <t>ORD07402</t>
        </is>
      </c>
      <c r="B7403" t="inlineStr">
        <is>
          <t>C2402</t>
        </is>
      </c>
      <c r="C7403" t="n">
        <v>1</v>
      </c>
      <c r="D7403" t="inlineStr">
        <is>
          <t>Hub C</t>
        </is>
      </c>
      <c r="E7403" t="n">
        <v>52</v>
      </c>
      <c r="F7403" t="n">
        <v>13</v>
      </c>
    </row>
    <row r="7404">
      <c r="A7404" t="inlineStr">
        <is>
          <t>ORD07403</t>
        </is>
      </c>
      <c r="B7404" t="inlineStr">
        <is>
          <t>C2403</t>
        </is>
      </c>
      <c r="C7404" t="n">
        <v>2</v>
      </c>
      <c r="D7404" t="inlineStr">
        <is>
          <t>Hub C</t>
        </is>
      </c>
      <c r="E7404" t="n">
        <v>59</v>
      </c>
      <c r="F7404" t="n">
        <v>13</v>
      </c>
    </row>
    <row r="7405">
      <c r="A7405" t="inlineStr">
        <is>
          <t>ORD07404</t>
        </is>
      </c>
      <c r="B7405" t="inlineStr">
        <is>
          <t>C2404</t>
        </is>
      </c>
      <c r="C7405" t="n">
        <v>3</v>
      </c>
      <c r="D7405" t="inlineStr">
        <is>
          <t>Hub C</t>
        </is>
      </c>
      <c r="E7405" t="n">
        <v>66</v>
      </c>
      <c r="F7405" t="n">
        <v>13</v>
      </c>
    </row>
    <row r="7406">
      <c r="A7406" t="inlineStr">
        <is>
          <t>ORD07405</t>
        </is>
      </c>
      <c r="B7406" t="inlineStr">
        <is>
          <t>C2405</t>
        </is>
      </c>
      <c r="C7406" t="n">
        <v>1</v>
      </c>
      <c r="D7406" t="inlineStr">
        <is>
          <t>Hub C</t>
        </is>
      </c>
      <c r="E7406" t="n">
        <v>73</v>
      </c>
      <c r="F7406" t="n">
        <v>13</v>
      </c>
    </row>
    <row r="7407">
      <c r="A7407" t="inlineStr">
        <is>
          <t>ORD07406</t>
        </is>
      </c>
      <c r="B7407" t="inlineStr">
        <is>
          <t>C2406</t>
        </is>
      </c>
      <c r="C7407" t="n">
        <v>2</v>
      </c>
      <c r="D7407" t="inlineStr">
        <is>
          <t>Hub C</t>
        </is>
      </c>
      <c r="E7407" t="n">
        <v>20</v>
      </c>
      <c r="F7407" t="n">
        <v>13</v>
      </c>
    </row>
    <row r="7408">
      <c r="A7408" t="inlineStr">
        <is>
          <t>ORD07407</t>
        </is>
      </c>
      <c r="B7408" t="inlineStr">
        <is>
          <t>C2407</t>
        </is>
      </c>
      <c r="C7408" t="n">
        <v>3</v>
      </c>
      <c r="D7408" t="inlineStr">
        <is>
          <t>Hub C</t>
        </is>
      </c>
      <c r="E7408" t="n">
        <v>27</v>
      </c>
      <c r="F7408" t="n">
        <v>13</v>
      </c>
    </row>
    <row r="7409">
      <c r="A7409" t="inlineStr">
        <is>
          <t>ORD07408</t>
        </is>
      </c>
      <c r="B7409" t="inlineStr">
        <is>
          <t>C2408</t>
        </is>
      </c>
      <c r="C7409" t="n">
        <v>1</v>
      </c>
      <c r="D7409" t="inlineStr">
        <is>
          <t>Hub C</t>
        </is>
      </c>
      <c r="E7409" t="n">
        <v>34</v>
      </c>
      <c r="F7409" t="n">
        <v>13</v>
      </c>
    </row>
    <row r="7410">
      <c r="A7410" t="inlineStr">
        <is>
          <t>ORD07409</t>
        </is>
      </c>
      <c r="B7410" t="inlineStr">
        <is>
          <t>C2409</t>
        </is>
      </c>
      <c r="C7410" t="n">
        <v>2</v>
      </c>
      <c r="D7410" t="inlineStr">
        <is>
          <t>Hub C</t>
        </is>
      </c>
      <c r="E7410" t="n">
        <v>41</v>
      </c>
      <c r="F7410" t="n">
        <v>13</v>
      </c>
    </row>
    <row r="7411">
      <c r="A7411" t="inlineStr">
        <is>
          <t>ORD07410</t>
        </is>
      </c>
      <c r="B7411" t="inlineStr">
        <is>
          <t>C2410</t>
        </is>
      </c>
      <c r="C7411" t="n">
        <v>3</v>
      </c>
      <c r="D7411" t="inlineStr">
        <is>
          <t>Hub C</t>
        </is>
      </c>
      <c r="E7411" t="n">
        <v>48</v>
      </c>
      <c r="F7411" t="n">
        <v>13</v>
      </c>
    </row>
    <row r="7412">
      <c r="A7412" t="inlineStr">
        <is>
          <t>ORD07411</t>
        </is>
      </c>
      <c r="B7412" t="inlineStr">
        <is>
          <t>C2411</t>
        </is>
      </c>
      <c r="C7412" t="n">
        <v>1</v>
      </c>
      <c r="D7412" t="inlineStr">
        <is>
          <t>Hub C</t>
        </is>
      </c>
      <c r="E7412" t="n">
        <v>55</v>
      </c>
      <c r="F7412" t="n">
        <v>13</v>
      </c>
    </row>
    <row r="7413">
      <c r="A7413" t="inlineStr">
        <is>
          <t>ORD07412</t>
        </is>
      </c>
      <c r="B7413" t="inlineStr">
        <is>
          <t>C2412</t>
        </is>
      </c>
      <c r="C7413" t="n">
        <v>2</v>
      </c>
      <c r="D7413" t="inlineStr">
        <is>
          <t>Hub C</t>
        </is>
      </c>
      <c r="E7413" t="n">
        <v>62</v>
      </c>
      <c r="F7413" t="n">
        <v>13</v>
      </c>
    </row>
    <row r="7414">
      <c r="A7414" t="inlineStr">
        <is>
          <t>ORD07413</t>
        </is>
      </c>
      <c r="B7414" t="inlineStr">
        <is>
          <t>C2413</t>
        </is>
      </c>
      <c r="C7414" t="n">
        <v>3</v>
      </c>
      <c r="D7414" t="inlineStr">
        <is>
          <t>Hub C</t>
        </is>
      </c>
      <c r="E7414" t="n">
        <v>69</v>
      </c>
      <c r="F7414" t="n">
        <v>13</v>
      </c>
    </row>
    <row r="7415">
      <c r="A7415" t="inlineStr">
        <is>
          <t>ORD07414</t>
        </is>
      </c>
      <c r="B7415" t="inlineStr">
        <is>
          <t>C2414</t>
        </is>
      </c>
      <c r="C7415" t="n">
        <v>1</v>
      </c>
      <c r="D7415" t="inlineStr">
        <is>
          <t>Hub C</t>
        </is>
      </c>
      <c r="E7415" t="n">
        <v>76</v>
      </c>
      <c r="F7415" t="n">
        <v>13</v>
      </c>
    </row>
    <row r="7416">
      <c r="A7416" t="inlineStr">
        <is>
          <t>ORD07415</t>
        </is>
      </c>
      <c r="B7416" t="inlineStr">
        <is>
          <t>C2415</t>
        </is>
      </c>
      <c r="C7416" t="n">
        <v>2</v>
      </c>
      <c r="D7416" t="inlineStr">
        <is>
          <t>Hub C</t>
        </is>
      </c>
      <c r="E7416" t="n">
        <v>23</v>
      </c>
      <c r="F7416" t="n">
        <v>13</v>
      </c>
    </row>
    <row r="7417">
      <c r="A7417" t="inlineStr">
        <is>
          <t>ORD07416</t>
        </is>
      </c>
      <c r="B7417" t="inlineStr">
        <is>
          <t>C2416</t>
        </is>
      </c>
      <c r="C7417" t="n">
        <v>3</v>
      </c>
      <c r="D7417" t="inlineStr">
        <is>
          <t>Hub C</t>
        </is>
      </c>
      <c r="E7417" t="n">
        <v>30</v>
      </c>
      <c r="F7417" t="n">
        <v>13</v>
      </c>
    </row>
    <row r="7418">
      <c r="A7418" t="inlineStr">
        <is>
          <t>ORD07417</t>
        </is>
      </c>
      <c r="B7418" t="inlineStr">
        <is>
          <t>C2417</t>
        </is>
      </c>
      <c r="C7418" t="n">
        <v>1</v>
      </c>
      <c r="D7418" t="inlineStr">
        <is>
          <t>Hub C</t>
        </is>
      </c>
      <c r="E7418" t="n">
        <v>37</v>
      </c>
      <c r="F7418" t="n">
        <v>13</v>
      </c>
    </row>
    <row r="7419">
      <c r="A7419" t="inlineStr">
        <is>
          <t>ORD07418</t>
        </is>
      </c>
      <c r="B7419" t="inlineStr">
        <is>
          <t>C2418</t>
        </is>
      </c>
      <c r="C7419" t="n">
        <v>2</v>
      </c>
      <c r="D7419" t="inlineStr">
        <is>
          <t>Hub C</t>
        </is>
      </c>
      <c r="E7419" t="n">
        <v>44</v>
      </c>
      <c r="F7419" t="n">
        <v>13</v>
      </c>
    </row>
    <row r="7420">
      <c r="A7420" t="inlineStr">
        <is>
          <t>ORD07419</t>
        </is>
      </c>
      <c r="B7420" t="inlineStr">
        <is>
          <t>C2419</t>
        </is>
      </c>
      <c r="C7420" t="n">
        <v>3</v>
      </c>
      <c r="D7420" t="inlineStr">
        <is>
          <t>Hub C</t>
        </is>
      </c>
      <c r="E7420" t="n">
        <v>51</v>
      </c>
      <c r="F7420" t="n">
        <v>13</v>
      </c>
    </row>
    <row r="7421">
      <c r="A7421" t="inlineStr">
        <is>
          <t>ORD07420</t>
        </is>
      </c>
      <c r="B7421" t="inlineStr">
        <is>
          <t>C2420</t>
        </is>
      </c>
      <c r="C7421" t="n">
        <v>1</v>
      </c>
      <c r="D7421" t="inlineStr">
        <is>
          <t>Hub C</t>
        </is>
      </c>
      <c r="E7421" t="n">
        <v>58</v>
      </c>
      <c r="F7421" t="n">
        <v>13</v>
      </c>
    </row>
    <row r="7422">
      <c r="A7422" t="inlineStr">
        <is>
          <t>ORD07421</t>
        </is>
      </c>
      <c r="B7422" t="inlineStr">
        <is>
          <t>C2421</t>
        </is>
      </c>
      <c r="C7422" t="n">
        <v>2</v>
      </c>
      <c r="D7422" t="inlineStr">
        <is>
          <t>Hub C</t>
        </is>
      </c>
      <c r="E7422" t="n">
        <v>65</v>
      </c>
      <c r="F7422" t="n">
        <v>13</v>
      </c>
    </row>
    <row r="7423">
      <c r="A7423" t="inlineStr">
        <is>
          <t>ORD07422</t>
        </is>
      </c>
      <c r="B7423" t="inlineStr">
        <is>
          <t>C2422</t>
        </is>
      </c>
      <c r="C7423" t="n">
        <v>3</v>
      </c>
      <c r="D7423" t="inlineStr">
        <is>
          <t>Hub C</t>
        </is>
      </c>
      <c r="E7423" t="n">
        <v>72</v>
      </c>
      <c r="F7423" t="n">
        <v>13</v>
      </c>
    </row>
    <row r="7424">
      <c r="A7424" t="inlineStr">
        <is>
          <t>ORD07423</t>
        </is>
      </c>
      <c r="B7424" t="inlineStr">
        <is>
          <t>C2423</t>
        </is>
      </c>
      <c r="C7424" t="n">
        <v>1</v>
      </c>
      <c r="D7424" t="inlineStr">
        <is>
          <t>Hub C</t>
        </is>
      </c>
      <c r="E7424" t="n">
        <v>19</v>
      </c>
      <c r="F7424" t="n">
        <v>13</v>
      </c>
    </row>
    <row r="7425">
      <c r="A7425" t="inlineStr">
        <is>
          <t>ORD07424</t>
        </is>
      </c>
      <c r="B7425" t="inlineStr">
        <is>
          <t>C2424</t>
        </is>
      </c>
      <c r="C7425" t="n">
        <v>2</v>
      </c>
      <c r="D7425" t="inlineStr">
        <is>
          <t>Hub C</t>
        </is>
      </c>
      <c r="E7425" t="n">
        <v>26</v>
      </c>
      <c r="F7425" t="n">
        <v>13</v>
      </c>
    </row>
    <row r="7426">
      <c r="A7426" t="inlineStr">
        <is>
          <t>ORD07425</t>
        </is>
      </c>
      <c r="B7426" t="inlineStr">
        <is>
          <t>C2425</t>
        </is>
      </c>
      <c r="C7426" t="n">
        <v>3</v>
      </c>
      <c r="D7426" t="inlineStr">
        <is>
          <t>Hub C</t>
        </is>
      </c>
      <c r="E7426" t="n">
        <v>33</v>
      </c>
      <c r="F7426" t="n">
        <v>13</v>
      </c>
    </row>
    <row r="7427">
      <c r="A7427" t="inlineStr">
        <is>
          <t>ORD07426</t>
        </is>
      </c>
      <c r="B7427" t="inlineStr">
        <is>
          <t>C2426</t>
        </is>
      </c>
      <c r="C7427" t="n">
        <v>1</v>
      </c>
      <c r="D7427" t="inlineStr">
        <is>
          <t>Hub C</t>
        </is>
      </c>
      <c r="E7427" t="n">
        <v>40</v>
      </c>
      <c r="F7427" t="n">
        <v>13</v>
      </c>
    </row>
    <row r="7428">
      <c r="A7428" t="inlineStr">
        <is>
          <t>ORD07427</t>
        </is>
      </c>
      <c r="B7428" t="inlineStr">
        <is>
          <t>C2427</t>
        </is>
      </c>
      <c r="C7428" t="n">
        <v>2</v>
      </c>
      <c r="D7428" t="inlineStr">
        <is>
          <t>Hub C</t>
        </is>
      </c>
      <c r="E7428" t="n">
        <v>47</v>
      </c>
      <c r="F7428" t="n">
        <v>13</v>
      </c>
    </row>
    <row r="7429">
      <c r="A7429" t="inlineStr">
        <is>
          <t>ORD07428</t>
        </is>
      </c>
      <c r="B7429" t="inlineStr">
        <is>
          <t>C2428</t>
        </is>
      </c>
      <c r="C7429" t="n">
        <v>3</v>
      </c>
      <c r="D7429" t="inlineStr">
        <is>
          <t>Hub C</t>
        </is>
      </c>
      <c r="E7429" t="n">
        <v>54</v>
      </c>
      <c r="F7429" t="n">
        <v>13</v>
      </c>
    </row>
    <row r="7430">
      <c r="A7430" t="inlineStr">
        <is>
          <t>ORD07429</t>
        </is>
      </c>
      <c r="B7430" t="inlineStr">
        <is>
          <t>C2429</t>
        </is>
      </c>
      <c r="C7430" t="n">
        <v>1</v>
      </c>
      <c r="D7430" t="inlineStr">
        <is>
          <t>Hub C</t>
        </is>
      </c>
      <c r="E7430" t="n">
        <v>61</v>
      </c>
      <c r="F7430" t="n">
        <v>13</v>
      </c>
    </row>
    <row r="7431">
      <c r="A7431" t="inlineStr">
        <is>
          <t>ORD07430</t>
        </is>
      </c>
      <c r="B7431" t="inlineStr">
        <is>
          <t>C2430</t>
        </is>
      </c>
      <c r="C7431" t="n">
        <v>2</v>
      </c>
      <c r="D7431" t="inlineStr">
        <is>
          <t>Hub C</t>
        </is>
      </c>
      <c r="E7431" t="n">
        <v>68</v>
      </c>
      <c r="F7431" t="n">
        <v>13</v>
      </c>
    </row>
    <row r="7432">
      <c r="A7432" t="inlineStr">
        <is>
          <t>ORD07431</t>
        </is>
      </c>
      <c r="B7432" t="inlineStr">
        <is>
          <t>C2431</t>
        </is>
      </c>
      <c r="C7432" t="n">
        <v>3</v>
      </c>
      <c r="D7432" t="inlineStr">
        <is>
          <t>Hub C</t>
        </is>
      </c>
      <c r="E7432" t="n">
        <v>75</v>
      </c>
      <c r="F7432" t="n">
        <v>13</v>
      </c>
    </row>
    <row r="7433">
      <c r="A7433" t="inlineStr">
        <is>
          <t>ORD07432</t>
        </is>
      </c>
      <c r="B7433" t="inlineStr">
        <is>
          <t>C2432</t>
        </is>
      </c>
      <c r="C7433" t="n">
        <v>1</v>
      </c>
      <c r="D7433" t="inlineStr">
        <is>
          <t>Hub C</t>
        </is>
      </c>
      <c r="E7433" t="n">
        <v>22</v>
      </c>
      <c r="F7433" t="n">
        <v>13</v>
      </c>
    </row>
    <row r="7434">
      <c r="A7434" t="inlineStr">
        <is>
          <t>ORD07433</t>
        </is>
      </c>
      <c r="B7434" t="inlineStr">
        <is>
          <t>C2433</t>
        </is>
      </c>
      <c r="C7434" t="n">
        <v>2</v>
      </c>
      <c r="D7434" t="inlineStr">
        <is>
          <t>Hub C</t>
        </is>
      </c>
      <c r="E7434" t="n">
        <v>29</v>
      </c>
      <c r="F7434" t="n">
        <v>13</v>
      </c>
    </row>
    <row r="7435">
      <c r="A7435" t="inlineStr">
        <is>
          <t>ORD07434</t>
        </is>
      </c>
      <c r="B7435" t="inlineStr">
        <is>
          <t>C2434</t>
        </is>
      </c>
      <c r="C7435" t="n">
        <v>3</v>
      </c>
      <c r="D7435" t="inlineStr">
        <is>
          <t>Hub C</t>
        </is>
      </c>
      <c r="E7435" t="n">
        <v>36</v>
      </c>
      <c r="F7435" t="n">
        <v>13</v>
      </c>
    </row>
    <row r="7436">
      <c r="A7436" t="inlineStr">
        <is>
          <t>ORD07435</t>
        </is>
      </c>
      <c r="B7436" t="inlineStr">
        <is>
          <t>C2435</t>
        </is>
      </c>
      <c r="C7436" t="n">
        <v>1</v>
      </c>
      <c r="D7436" t="inlineStr">
        <is>
          <t>Hub C</t>
        </is>
      </c>
      <c r="E7436" t="n">
        <v>43</v>
      </c>
      <c r="F7436" t="n">
        <v>13</v>
      </c>
    </row>
    <row r="7437">
      <c r="A7437" t="inlineStr">
        <is>
          <t>ORD07436</t>
        </is>
      </c>
      <c r="B7437" t="inlineStr">
        <is>
          <t>C2436</t>
        </is>
      </c>
      <c r="C7437" t="n">
        <v>2</v>
      </c>
      <c r="D7437" t="inlineStr">
        <is>
          <t>Hub C</t>
        </is>
      </c>
      <c r="E7437" t="n">
        <v>50</v>
      </c>
      <c r="F7437" t="n">
        <v>13</v>
      </c>
    </row>
    <row r="7438">
      <c r="A7438" t="inlineStr">
        <is>
          <t>ORD07437</t>
        </is>
      </c>
      <c r="B7438" t="inlineStr">
        <is>
          <t>C2437</t>
        </is>
      </c>
      <c r="C7438" t="n">
        <v>3</v>
      </c>
      <c r="D7438" t="inlineStr">
        <is>
          <t>Hub C</t>
        </is>
      </c>
      <c r="E7438" t="n">
        <v>57</v>
      </c>
      <c r="F7438" t="n">
        <v>13</v>
      </c>
    </row>
    <row r="7439">
      <c r="A7439" t="inlineStr">
        <is>
          <t>ORD07438</t>
        </is>
      </c>
      <c r="B7439" t="inlineStr">
        <is>
          <t>C2438</t>
        </is>
      </c>
      <c r="C7439" t="n">
        <v>1</v>
      </c>
      <c r="D7439" t="inlineStr">
        <is>
          <t>Hub C</t>
        </is>
      </c>
      <c r="E7439" t="n">
        <v>64</v>
      </c>
      <c r="F7439" t="n">
        <v>13</v>
      </c>
    </row>
    <row r="7440">
      <c r="A7440" t="inlineStr">
        <is>
          <t>ORD07439</t>
        </is>
      </c>
      <c r="B7440" t="inlineStr">
        <is>
          <t>C2439</t>
        </is>
      </c>
      <c r="C7440" t="n">
        <v>2</v>
      </c>
      <c r="D7440" t="inlineStr">
        <is>
          <t>Hub C</t>
        </is>
      </c>
      <c r="E7440" t="n">
        <v>71</v>
      </c>
      <c r="F7440" t="n">
        <v>13</v>
      </c>
    </row>
    <row r="7441">
      <c r="A7441" t="inlineStr">
        <is>
          <t>ORD07440</t>
        </is>
      </c>
      <c r="B7441" t="inlineStr">
        <is>
          <t>C2440</t>
        </is>
      </c>
      <c r="C7441" t="n">
        <v>3</v>
      </c>
      <c r="D7441" t="inlineStr">
        <is>
          <t>Hub C</t>
        </is>
      </c>
      <c r="E7441" t="n">
        <v>18</v>
      </c>
      <c r="F7441" t="n">
        <v>13</v>
      </c>
    </row>
    <row r="7442">
      <c r="A7442" t="inlineStr">
        <is>
          <t>ORD07441</t>
        </is>
      </c>
      <c r="B7442" t="inlineStr">
        <is>
          <t>C2441</t>
        </is>
      </c>
      <c r="C7442" t="n">
        <v>1</v>
      </c>
      <c r="D7442" t="inlineStr">
        <is>
          <t>Hub C</t>
        </is>
      </c>
      <c r="E7442" t="n">
        <v>25</v>
      </c>
      <c r="F7442" t="n">
        <v>13</v>
      </c>
    </row>
    <row r="7443">
      <c r="A7443" t="inlineStr">
        <is>
          <t>ORD07442</t>
        </is>
      </c>
      <c r="B7443" t="inlineStr">
        <is>
          <t>C2442</t>
        </is>
      </c>
      <c r="C7443" t="n">
        <v>2</v>
      </c>
      <c r="D7443" t="inlineStr">
        <is>
          <t>Hub C</t>
        </is>
      </c>
      <c r="E7443" t="n">
        <v>32</v>
      </c>
      <c r="F7443" t="n">
        <v>13</v>
      </c>
    </row>
    <row r="7444">
      <c r="A7444" t="inlineStr">
        <is>
          <t>ORD07443</t>
        </is>
      </c>
      <c r="B7444" t="inlineStr">
        <is>
          <t>C2443</t>
        </is>
      </c>
      <c r="C7444" t="n">
        <v>3</v>
      </c>
      <c r="D7444" t="inlineStr">
        <is>
          <t>Hub C</t>
        </is>
      </c>
      <c r="E7444" t="n">
        <v>39</v>
      </c>
      <c r="F7444" t="n">
        <v>13</v>
      </c>
    </row>
    <row r="7445">
      <c r="A7445" t="inlineStr">
        <is>
          <t>ORD07444</t>
        </is>
      </c>
      <c r="B7445" t="inlineStr">
        <is>
          <t>C2444</t>
        </is>
      </c>
      <c r="C7445" t="n">
        <v>1</v>
      </c>
      <c r="D7445" t="inlineStr">
        <is>
          <t>Hub C</t>
        </is>
      </c>
      <c r="E7445" t="n">
        <v>46</v>
      </c>
      <c r="F7445" t="n">
        <v>13</v>
      </c>
    </row>
    <row r="7446">
      <c r="A7446" t="inlineStr">
        <is>
          <t>ORD07445</t>
        </is>
      </c>
      <c r="B7446" t="inlineStr">
        <is>
          <t>C2445</t>
        </is>
      </c>
      <c r="C7446" t="n">
        <v>2</v>
      </c>
      <c r="D7446" t="inlineStr">
        <is>
          <t>Hub C</t>
        </is>
      </c>
      <c r="E7446" t="n">
        <v>53</v>
      </c>
      <c r="F7446" t="n">
        <v>13</v>
      </c>
    </row>
    <row r="7447">
      <c r="A7447" t="inlineStr">
        <is>
          <t>ORD07446</t>
        </is>
      </c>
      <c r="B7447" t="inlineStr">
        <is>
          <t>C2446</t>
        </is>
      </c>
      <c r="C7447" t="n">
        <v>3</v>
      </c>
      <c r="D7447" t="inlineStr">
        <is>
          <t>Hub C</t>
        </is>
      </c>
      <c r="E7447" t="n">
        <v>60</v>
      </c>
      <c r="F7447" t="n">
        <v>13</v>
      </c>
    </row>
    <row r="7448">
      <c r="A7448" t="inlineStr">
        <is>
          <t>ORD07447</t>
        </is>
      </c>
      <c r="B7448" t="inlineStr">
        <is>
          <t>C2447</t>
        </is>
      </c>
      <c r="C7448" t="n">
        <v>1</v>
      </c>
      <c r="D7448" t="inlineStr">
        <is>
          <t>Hub C</t>
        </is>
      </c>
      <c r="E7448" t="n">
        <v>67</v>
      </c>
      <c r="F7448" t="n">
        <v>13</v>
      </c>
    </row>
    <row r="7449">
      <c r="A7449" t="inlineStr">
        <is>
          <t>ORD07448</t>
        </is>
      </c>
      <c r="B7449" t="inlineStr">
        <is>
          <t>C2448</t>
        </is>
      </c>
      <c r="C7449" t="n">
        <v>2</v>
      </c>
      <c r="D7449" t="inlineStr">
        <is>
          <t>Hub C</t>
        </is>
      </c>
      <c r="E7449" t="n">
        <v>74</v>
      </c>
      <c r="F7449" t="n">
        <v>13</v>
      </c>
    </row>
    <row r="7450">
      <c r="A7450" t="inlineStr">
        <is>
          <t>ORD07449</t>
        </is>
      </c>
      <c r="B7450" t="inlineStr">
        <is>
          <t>C2449</t>
        </is>
      </c>
      <c r="C7450" t="n">
        <v>3</v>
      </c>
      <c r="D7450" t="inlineStr">
        <is>
          <t>Hub C</t>
        </is>
      </c>
      <c r="E7450" t="n">
        <v>21</v>
      </c>
      <c r="F7450" t="n">
        <v>13</v>
      </c>
    </row>
    <row r="7451">
      <c r="A7451" t="inlineStr">
        <is>
          <t>ORD07450</t>
        </is>
      </c>
      <c r="B7451" t="inlineStr">
        <is>
          <t>C2450</t>
        </is>
      </c>
      <c r="C7451" t="n">
        <v>1</v>
      </c>
      <c r="D7451" t="inlineStr">
        <is>
          <t>Hub C</t>
        </is>
      </c>
      <c r="E7451" t="n">
        <v>28</v>
      </c>
      <c r="F7451" t="n">
        <v>13</v>
      </c>
    </row>
    <row r="7452">
      <c r="A7452" t="inlineStr">
        <is>
          <t>ORD07451</t>
        </is>
      </c>
      <c r="B7452" t="inlineStr">
        <is>
          <t>C2451</t>
        </is>
      </c>
      <c r="C7452" t="n">
        <v>2</v>
      </c>
      <c r="D7452" t="inlineStr">
        <is>
          <t>Hub C</t>
        </is>
      </c>
      <c r="E7452" t="n">
        <v>35</v>
      </c>
      <c r="F7452" t="n">
        <v>13</v>
      </c>
    </row>
    <row r="7453">
      <c r="A7453" t="inlineStr">
        <is>
          <t>ORD07452</t>
        </is>
      </c>
      <c r="B7453" t="inlineStr">
        <is>
          <t>C2452</t>
        </is>
      </c>
      <c r="C7453" t="n">
        <v>3</v>
      </c>
      <c r="D7453" t="inlineStr">
        <is>
          <t>Hub C</t>
        </is>
      </c>
      <c r="E7453" t="n">
        <v>42</v>
      </c>
      <c r="F7453" t="n">
        <v>13</v>
      </c>
    </row>
    <row r="7454">
      <c r="A7454" t="inlineStr">
        <is>
          <t>ORD07453</t>
        </is>
      </c>
      <c r="B7454" t="inlineStr">
        <is>
          <t>C2453</t>
        </is>
      </c>
      <c r="C7454" t="n">
        <v>1</v>
      </c>
      <c r="D7454" t="inlineStr">
        <is>
          <t>Hub C</t>
        </is>
      </c>
      <c r="E7454" t="n">
        <v>49</v>
      </c>
      <c r="F7454" t="n">
        <v>13</v>
      </c>
    </row>
    <row r="7455">
      <c r="A7455" t="inlineStr">
        <is>
          <t>ORD07454</t>
        </is>
      </c>
      <c r="B7455" t="inlineStr">
        <is>
          <t>C2454</t>
        </is>
      </c>
      <c r="C7455" t="n">
        <v>2</v>
      </c>
      <c r="D7455" t="inlineStr">
        <is>
          <t>Hub C</t>
        </is>
      </c>
      <c r="E7455" t="n">
        <v>56</v>
      </c>
      <c r="F7455" t="n">
        <v>13</v>
      </c>
    </row>
    <row r="7456">
      <c r="A7456" t="inlineStr">
        <is>
          <t>ORD07455</t>
        </is>
      </c>
      <c r="B7456" t="inlineStr">
        <is>
          <t>C2455</t>
        </is>
      </c>
      <c r="C7456" t="n">
        <v>3</v>
      </c>
      <c r="D7456" t="inlineStr">
        <is>
          <t>Hub C</t>
        </is>
      </c>
      <c r="E7456" t="n">
        <v>63</v>
      </c>
      <c r="F7456" t="n">
        <v>13</v>
      </c>
    </row>
    <row r="7457">
      <c r="A7457" t="inlineStr">
        <is>
          <t>ORD07456</t>
        </is>
      </c>
      <c r="B7457" t="inlineStr">
        <is>
          <t>C2456</t>
        </is>
      </c>
      <c r="C7457" t="n">
        <v>1</v>
      </c>
      <c r="D7457" t="inlineStr">
        <is>
          <t>Hub C</t>
        </is>
      </c>
      <c r="E7457" t="n">
        <v>70</v>
      </c>
      <c r="F7457" t="n">
        <v>13</v>
      </c>
    </row>
    <row r="7458">
      <c r="A7458" t="inlineStr">
        <is>
          <t>ORD07457</t>
        </is>
      </c>
      <c r="B7458" t="inlineStr">
        <is>
          <t>C2457</t>
        </is>
      </c>
      <c r="C7458" t="n">
        <v>2</v>
      </c>
      <c r="D7458" t="inlineStr">
        <is>
          <t>Hub C</t>
        </is>
      </c>
      <c r="E7458" t="n">
        <v>77</v>
      </c>
      <c r="F7458" t="n">
        <v>13</v>
      </c>
    </row>
    <row r="7459">
      <c r="A7459" t="inlineStr">
        <is>
          <t>ORD07458</t>
        </is>
      </c>
      <c r="B7459" t="inlineStr">
        <is>
          <t>C2458</t>
        </is>
      </c>
      <c r="C7459" t="n">
        <v>3</v>
      </c>
      <c r="D7459" t="inlineStr">
        <is>
          <t>Hub C</t>
        </is>
      </c>
      <c r="E7459" t="n">
        <v>24</v>
      </c>
      <c r="F7459" t="n">
        <v>13</v>
      </c>
    </row>
    <row r="7460">
      <c r="A7460" t="inlineStr">
        <is>
          <t>ORD07459</t>
        </is>
      </c>
      <c r="B7460" t="inlineStr">
        <is>
          <t>C2459</t>
        </is>
      </c>
      <c r="C7460" t="n">
        <v>1</v>
      </c>
      <c r="D7460" t="inlineStr">
        <is>
          <t>Hub C</t>
        </is>
      </c>
      <c r="E7460" t="n">
        <v>31</v>
      </c>
      <c r="F7460" t="n">
        <v>13</v>
      </c>
    </row>
    <row r="7461">
      <c r="A7461" t="inlineStr">
        <is>
          <t>ORD07460</t>
        </is>
      </c>
      <c r="B7461" t="inlineStr">
        <is>
          <t>C2460</t>
        </is>
      </c>
      <c r="C7461" t="n">
        <v>2</v>
      </c>
      <c r="D7461" t="inlineStr">
        <is>
          <t>Hub C</t>
        </is>
      </c>
      <c r="E7461" t="n">
        <v>38</v>
      </c>
      <c r="F7461" t="n">
        <v>13</v>
      </c>
    </row>
    <row r="7462">
      <c r="A7462" t="inlineStr">
        <is>
          <t>ORD07461</t>
        </is>
      </c>
      <c r="B7462" t="inlineStr">
        <is>
          <t>C2461</t>
        </is>
      </c>
      <c r="C7462" t="n">
        <v>3</v>
      </c>
      <c r="D7462" t="inlineStr">
        <is>
          <t>Hub C</t>
        </is>
      </c>
      <c r="E7462" t="n">
        <v>45</v>
      </c>
      <c r="F7462" t="n">
        <v>13</v>
      </c>
    </row>
    <row r="7463">
      <c r="A7463" t="inlineStr">
        <is>
          <t>ORD07462</t>
        </is>
      </c>
      <c r="B7463" t="inlineStr">
        <is>
          <t>C2462</t>
        </is>
      </c>
      <c r="C7463" t="n">
        <v>1</v>
      </c>
      <c r="D7463" t="inlineStr">
        <is>
          <t>Hub C</t>
        </is>
      </c>
      <c r="E7463" t="n">
        <v>52</v>
      </c>
      <c r="F7463" t="n">
        <v>13</v>
      </c>
    </row>
    <row r="7464">
      <c r="A7464" t="inlineStr">
        <is>
          <t>ORD07463</t>
        </is>
      </c>
      <c r="B7464" t="inlineStr">
        <is>
          <t>C2463</t>
        </is>
      </c>
      <c r="C7464" t="n">
        <v>2</v>
      </c>
      <c r="D7464" t="inlineStr">
        <is>
          <t>Hub C</t>
        </is>
      </c>
      <c r="E7464" t="n">
        <v>59</v>
      </c>
      <c r="F7464" t="n">
        <v>13</v>
      </c>
    </row>
    <row r="7465">
      <c r="A7465" t="inlineStr">
        <is>
          <t>ORD07464</t>
        </is>
      </c>
      <c r="B7465" t="inlineStr">
        <is>
          <t>C2464</t>
        </is>
      </c>
      <c r="C7465" t="n">
        <v>3</v>
      </c>
      <c r="D7465" t="inlineStr">
        <is>
          <t>Hub C</t>
        </is>
      </c>
      <c r="E7465" t="n">
        <v>66</v>
      </c>
      <c r="F7465" t="n">
        <v>13</v>
      </c>
    </row>
    <row r="7466">
      <c r="A7466" t="inlineStr">
        <is>
          <t>ORD07465</t>
        </is>
      </c>
      <c r="B7466" t="inlineStr">
        <is>
          <t>C2465</t>
        </is>
      </c>
      <c r="C7466" t="n">
        <v>1</v>
      </c>
      <c r="D7466" t="inlineStr">
        <is>
          <t>Hub C</t>
        </is>
      </c>
      <c r="E7466" t="n">
        <v>73</v>
      </c>
      <c r="F7466" t="n">
        <v>13</v>
      </c>
    </row>
    <row r="7467">
      <c r="A7467" t="inlineStr">
        <is>
          <t>ORD07466</t>
        </is>
      </c>
      <c r="B7467" t="inlineStr">
        <is>
          <t>C2466</t>
        </is>
      </c>
      <c r="C7467" t="n">
        <v>2</v>
      </c>
      <c r="D7467" t="inlineStr">
        <is>
          <t>Hub C</t>
        </is>
      </c>
      <c r="E7467" t="n">
        <v>20</v>
      </c>
      <c r="F7467" t="n">
        <v>13</v>
      </c>
    </row>
    <row r="7468">
      <c r="A7468" t="inlineStr">
        <is>
          <t>ORD07467</t>
        </is>
      </c>
      <c r="B7468" t="inlineStr">
        <is>
          <t>C2467</t>
        </is>
      </c>
      <c r="C7468" t="n">
        <v>3</v>
      </c>
      <c r="D7468" t="inlineStr">
        <is>
          <t>Hub C</t>
        </is>
      </c>
      <c r="E7468" t="n">
        <v>27</v>
      </c>
      <c r="F7468" t="n">
        <v>13</v>
      </c>
    </row>
    <row r="7469">
      <c r="A7469" t="inlineStr">
        <is>
          <t>ORD07468</t>
        </is>
      </c>
      <c r="B7469" t="inlineStr">
        <is>
          <t>C2468</t>
        </is>
      </c>
      <c r="C7469" t="n">
        <v>1</v>
      </c>
      <c r="D7469" t="inlineStr">
        <is>
          <t>Hub C</t>
        </is>
      </c>
      <c r="E7469" t="n">
        <v>34</v>
      </c>
      <c r="F7469" t="n">
        <v>14</v>
      </c>
    </row>
    <row r="7470">
      <c r="A7470" t="inlineStr">
        <is>
          <t>ORD07469</t>
        </is>
      </c>
      <c r="B7470" t="inlineStr">
        <is>
          <t>C2469</t>
        </is>
      </c>
      <c r="C7470" t="n">
        <v>2</v>
      </c>
      <c r="D7470" t="inlineStr">
        <is>
          <t>Hub C</t>
        </is>
      </c>
      <c r="E7470" t="n">
        <v>41</v>
      </c>
      <c r="F7470" t="n">
        <v>14</v>
      </c>
    </row>
    <row r="7471">
      <c r="A7471" t="inlineStr">
        <is>
          <t>ORD07470</t>
        </is>
      </c>
      <c r="B7471" t="inlineStr">
        <is>
          <t>C2470</t>
        </is>
      </c>
      <c r="C7471" t="n">
        <v>3</v>
      </c>
      <c r="D7471" t="inlineStr">
        <is>
          <t>Hub C</t>
        </is>
      </c>
      <c r="E7471" t="n">
        <v>48</v>
      </c>
      <c r="F7471" t="n">
        <v>22</v>
      </c>
    </row>
    <row r="7472">
      <c r="A7472" t="inlineStr">
        <is>
          <t>ORD07471</t>
        </is>
      </c>
      <c r="B7472" t="inlineStr">
        <is>
          <t>C2471</t>
        </is>
      </c>
      <c r="C7472" t="n">
        <v>1</v>
      </c>
      <c r="D7472" t="inlineStr">
        <is>
          <t>Hub C</t>
        </is>
      </c>
      <c r="E7472" t="n">
        <v>55</v>
      </c>
      <c r="F7472" t="n">
        <v>22</v>
      </c>
    </row>
    <row r="7473">
      <c r="A7473" t="inlineStr">
        <is>
          <t>ORD07472</t>
        </is>
      </c>
      <c r="B7473" t="inlineStr">
        <is>
          <t>C2472</t>
        </is>
      </c>
      <c r="C7473" t="n">
        <v>2</v>
      </c>
      <c r="D7473" t="inlineStr">
        <is>
          <t>Hub C</t>
        </is>
      </c>
      <c r="E7473" t="n">
        <v>62</v>
      </c>
      <c r="F7473" t="n">
        <v>22</v>
      </c>
    </row>
    <row r="7474">
      <c r="A7474" t="inlineStr">
        <is>
          <t>ORD07473</t>
        </is>
      </c>
      <c r="B7474" t="inlineStr">
        <is>
          <t>C2473</t>
        </is>
      </c>
      <c r="C7474" t="n">
        <v>3</v>
      </c>
      <c r="D7474" t="inlineStr">
        <is>
          <t>Hub C</t>
        </is>
      </c>
      <c r="E7474" t="n">
        <v>69</v>
      </c>
      <c r="F7474" t="n">
        <v>22</v>
      </c>
    </row>
    <row r="7475">
      <c r="A7475" t="inlineStr">
        <is>
          <t>ORD07474</t>
        </is>
      </c>
      <c r="B7475" t="inlineStr">
        <is>
          <t>C2474</t>
        </is>
      </c>
      <c r="C7475" t="n">
        <v>1</v>
      </c>
      <c r="D7475" t="inlineStr">
        <is>
          <t>Hub C</t>
        </is>
      </c>
      <c r="E7475" t="n">
        <v>76</v>
      </c>
      <c r="F7475" t="n">
        <v>22</v>
      </c>
    </row>
    <row r="7476">
      <c r="A7476" t="inlineStr">
        <is>
          <t>ORD07475</t>
        </is>
      </c>
      <c r="B7476" t="inlineStr">
        <is>
          <t>C2475</t>
        </is>
      </c>
      <c r="C7476" t="n">
        <v>2</v>
      </c>
      <c r="D7476" t="inlineStr">
        <is>
          <t>Hub C</t>
        </is>
      </c>
      <c r="E7476" t="n">
        <v>23</v>
      </c>
      <c r="F7476" t="n">
        <v>22</v>
      </c>
    </row>
    <row r="7477">
      <c r="A7477" t="inlineStr">
        <is>
          <t>ORD07476</t>
        </is>
      </c>
      <c r="B7477" t="inlineStr">
        <is>
          <t>C2476</t>
        </is>
      </c>
      <c r="C7477" t="n">
        <v>3</v>
      </c>
      <c r="D7477" t="inlineStr">
        <is>
          <t>Hub C</t>
        </is>
      </c>
      <c r="E7477" t="n">
        <v>30</v>
      </c>
      <c r="F7477" t="n">
        <v>22</v>
      </c>
    </row>
    <row r="7478">
      <c r="A7478" t="inlineStr">
        <is>
          <t>ORD07477</t>
        </is>
      </c>
      <c r="B7478" t="inlineStr">
        <is>
          <t>C2477</t>
        </is>
      </c>
      <c r="C7478" t="n">
        <v>1</v>
      </c>
      <c r="D7478" t="inlineStr">
        <is>
          <t>Hub C</t>
        </is>
      </c>
      <c r="E7478" t="n">
        <v>37</v>
      </c>
      <c r="F7478" t="n">
        <v>22</v>
      </c>
    </row>
    <row r="7479">
      <c r="A7479" t="inlineStr">
        <is>
          <t>ORD07478</t>
        </is>
      </c>
      <c r="B7479" t="inlineStr">
        <is>
          <t>C2478</t>
        </is>
      </c>
      <c r="C7479" t="n">
        <v>2</v>
      </c>
      <c r="D7479" t="inlineStr">
        <is>
          <t>Hub C</t>
        </is>
      </c>
      <c r="E7479" t="n">
        <v>44</v>
      </c>
      <c r="F7479" t="n">
        <v>22</v>
      </c>
    </row>
    <row r="7480">
      <c r="A7480" t="inlineStr">
        <is>
          <t>ORD07479</t>
        </is>
      </c>
      <c r="B7480" t="inlineStr">
        <is>
          <t>C2479</t>
        </is>
      </c>
      <c r="C7480" t="n">
        <v>3</v>
      </c>
      <c r="D7480" t="inlineStr">
        <is>
          <t>Hub C</t>
        </is>
      </c>
      <c r="E7480" t="n">
        <v>51</v>
      </c>
      <c r="F7480" t="n">
        <v>22</v>
      </c>
    </row>
    <row r="7481">
      <c r="A7481" t="inlineStr">
        <is>
          <t>ORD07480</t>
        </is>
      </c>
      <c r="B7481" t="inlineStr">
        <is>
          <t>C2480</t>
        </is>
      </c>
      <c r="C7481" t="n">
        <v>1</v>
      </c>
      <c r="D7481" t="inlineStr">
        <is>
          <t>Hub C</t>
        </is>
      </c>
      <c r="E7481" t="n">
        <v>58</v>
      </c>
      <c r="F7481" t="n">
        <v>22</v>
      </c>
    </row>
    <row r="7482">
      <c r="A7482" t="inlineStr">
        <is>
          <t>ORD07481</t>
        </is>
      </c>
      <c r="B7482" t="inlineStr">
        <is>
          <t>C2481</t>
        </is>
      </c>
      <c r="C7482" t="n">
        <v>2</v>
      </c>
      <c r="D7482" t="inlineStr">
        <is>
          <t>Hub C</t>
        </is>
      </c>
      <c r="E7482" t="n">
        <v>65</v>
      </c>
      <c r="F7482" t="n">
        <v>22</v>
      </c>
    </row>
    <row r="7483">
      <c r="A7483" t="inlineStr">
        <is>
          <t>ORD07482</t>
        </is>
      </c>
      <c r="B7483" t="inlineStr">
        <is>
          <t>C2482</t>
        </is>
      </c>
      <c r="C7483" t="n">
        <v>3</v>
      </c>
      <c r="D7483" t="inlineStr">
        <is>
          <t>Hub C</t>
        </is>
      </c>
      <c r="E7483" t="n">
        <v>72</v>
      </c>
      <c r="F7483" t="n">
        <v>22</v>
      </c>
    </row>
    <row r="7484">
      <c r="A7484" t="inlineStr">
        <is>
          <t>ORD07483</t>
        </is>
      </c>
      <c r="B7484" t="inlineStr">
        <is>
          <t>C2483</t>
        </is>
      </c>
      <c r="C7484" t="n">
        <v>1</v>
      </c>
      <c r="D7484" t="inlineStr">
        <is>
          <t>Hub C</t>
        </is>
      </c>
      <c r="E7484" t="n">
        <v>19</v>
      </c>
      <c r="F7484" t="n">
        <v>22</v>
      </c>
    </row>
    <row r="7485">
      <c r="A7485" t="inlineStr">
        <is>
          <t>ORD07484</t>
        </is>
      </c>
      <c r="B7485" t="inlineStr">
        <is>
          <t>C2484</t>
        </is>
      </c>
      <c r="C7485" t="n">
        <v>2</v>
      </c>
      <c r="D7485" t="inlineStr">
        <is>
          <t>Hub C</t>
        </is>
      </c>
      <c r="E7485" t="n">
        <v>26</v>
      </c>
      <c r="F7485" t="n">
        <v>22</v>
      </c>
    </row>
    <row r="7486">
      <c r="A7486" t="inlineStr">
        <is>
          <t>ORD07485</t>
        </is>
      </c>
      <c r="B7486" t="inlineStr">
        <is>
          <t>C2485</t>
        </is>
      </c>
      <c r="C7486" t="n">
        <v>3</v>
      </c>
      <c r="D7486" t="inlineStr">
        <is>
          <t>Hub C</t>
        </is>
      </c>
      <c r="E7486" t="n">
        <v>33</v>
      </c>
      <c r="F7486" t="n">
        <v>22</v>
      </c>
    </row>
    <row r="7487">
      <c r="A7487" t="inlineStr">
        <is>
          <t>ORD07486</t>
        </is>
      </c>
      <c r="B7487" t="inlineStr">
        <is>
          <t>C2486</t>
        </is>
      </c>
      <c r="C7487" t="n">
        <v>1</v>
      </c>
      <c r="D7487" t="inlineStr">
        <is>
          <t>Hub C</t>
        </is>
      </c>
      <c r="E7487" t="n">
        <v>40</v>
      </c>
      <c r="F7487" t="n">
        <v>22</v>
      </c>
    </row>
    <row r="7488">
      <c r="A7488" t="inlineStr">
        <is>
          <t>ORD07487</t>
        </is>
      </c>
      <c r="B7488" t="inlineStr">
        <is>
          <t>C2487</t>
        </is>
      </c>
      <c r="C7488" t="n">
        <v>2</v>
      </c>
      <c r="D7488" t="inlineStr">
        <is>
          <t>Hub C</t>
        </is>
      </c>
      <c r="E7488" t="n">
        <v>47</v>
      </c>
      <c r="F7488" t="n">
        <v>22</v>
      </c>
    </row>
    <row r="7489">
      <c r="A7489" t="inlineStr">
        <is>
          <t>ORD07488</t>
        </is>
      </c>
      <c r="B7489" t="inlineStr">
        <is>
          <t>C2488</t>
        </is>
      </c>
      <c r="C7489" t="n">
        <v>3</v>
      </c>
      <c r="D7489" t="inlineStr">
        <is>
          <t>Hub C</t>
        </is>
      </c>
      <c r="E7489" t="n">
        <v>54</v>
      </c>
      <c r="F7489" t="n">
        <v>22</v>
      </c>
    </row>
    <row r="7490">
      <c r="A7490" t="inlineStr">
        <is>
          <t>ORD07489</t>
        </is>
      </c>
      <c r="B7490" t="inlineStr">
        <is>
          <t>C2489</t>
        </is>
      </c>
      <c r="C7490" t="n">
        <v>1</v>
      </c>
      <c r="D7490" t="inlineStr">
        <is>
          <t>Hub C</t>
        </is>
      </c>
      <c r="E7490" t="n">
        <v>61</v>
      </c>
      <c r="F7490" t="n">
        <v>22</v>
      </c>
    </row>
    <row r="7491">
      <c r="A7491" t="inlineStr">
        <is>
          <t>ORD07490</t>
        </is>
      </c>
      <c r="B7491" t="inlineStr">
        <is>
          <t>C2490</t>
        </is>
      </c>
      <c r="C7491" t="n">
        <v>2</v>
      </c>
      <c r="D7491" t="inlineStr">
        <is>
          <t>Hub C</t>
        </is>
      </c>
      <c r="E7491" t="n">
        <v>68</v>
      </c>
      <c r="F7491" t="n">
        <v>22</v>
      </c>
    </row>
    <row r="7492">
      <c r="A7492" t="inlineStr">
        <is>
          <t>ORD07491</t>
        </is>
      </c>
      <c r="B7492" t="inlineStr">
        <is>
          <t>C2491</t>
        </is>
      </c>
      <c r="C7492" t="n">
        <v>3</v>
      </c>
      <c r="D7492" t="inlineStr">
        <is>
          <t>Hub C</t>
        </is>
      </c>
      <c r="E7492" t="n">
        <v>75</v>
      </c>
      <c r="F7492" t="n">
        <v>22</v>
      </c>
    </row>
    <row r="7493">
      <c r="A7493" t="inlineStr">
        <is>
          <t>ORD07492</t>
        </is>
      </c>
      <c r="B7493" t="inlineStr">
        <is>
          <t>C2492</t>
        </is>
      </c>
      <c r="C7493" t="n">
        <v>1</v>
      </c>
      <c r="D7493" t="inlineStr">
        <is>
          <t>Hub C</t>
        </is>
      </c>
      <c r="E7493" t="n">
        <v>22</v>
      </c>
      <c r="F7493" t="n">
        <v>22</v>
      </c>
    </row>
    <row r="7494">
      <c r="A7494" t="inlineStr">
        <is>
          <t>ORD07493</t>
        </is>
      </c>
      <c r="B7494" t="inlineStr">
        <is>
          <t>C2493</t>
        </is>
      </c>
      <c r="C7494" t="n">
        <v>2</v>
      </c>
      <c r="D7494" t="inlineStr">
        <is>
          <t>Hub C</t>
        </is>
      </c>
      <c r="E7494" t="n">
        <v>29</v>
      </c>
      <c r="F7494" t="n">
        <v>22</v>
      </c>
    </row>
    <row r="7495">
      <c r="A7495" t="inlineStr">
        <is>
          <t>ORD07494</t>
        </is>
      </c>
      <c r="B7495" t="inlineStr">
        <is>
          <t>C2494</t>
        </is>
      </c>
      <c r="C7495" t="n">
        <v>3</v>
      </c>
      <c r="D7495" t="inlineStr">
        <is>
          <t>Hub C</t>
        </is>
      </c>
      <c r="E7495" t="n">
        <v>36</v>
      </c>
      <c r="F7495" t="n">
        <v>22</v>
      </c>
    </row>
    <row r="7496">
      <c r="A7496" t="inlineStr">
        <is>
          <t>ORD07495</t>
        </is>
      </c>
      <c r="B7496" t="inlineStr">
        <is>
          <t>C2495</t>
        </is>
      </c>
      <c r="C7496" t="n">
        <v>1</v>
      </c>
      <c r="D7496" t="inlineStr">
        <is>
          <t>Hub C</t>
        </is>
      </c>
      <c r="E7496" t="n">
        <v>43</v>
      </c>
      <c r="F7496" t="n">
        <v>22</v>
      </c>
    </row>
    <row r="7497">
      <c r="A7497" t="inlineStr">
        <is>
          <t>ORD07496</t>
        </is>
      </c>
      <c r="B7497" t="inlineStr">
        <is>
          <t>C2496</t>
        </is>
      </c>
      <c r="C7497" t="n">
        <v>2</v>
      </c>
      <c r="D7497" t="inlineStr">
        <is>
          <t>Hub C</t>
        </is>
      </c>
      <c r="E7497" t="n">
        <v>50</v>
      </c>
      <c r="F7497" t="n">
        <v>22</v>
      </c>
    </row>
    <row r="7498">
      <c r="A7498" t="inlineStr">
        <is>
          <t>ORD07497</t>
        </is>
      </c>
      <c r="B7498" t="inlineStr">
        <is>
          <t>C2497</t>
        </is>
      </c>
      <c r="C7498" t="n">
        <v>3</v>
      </c>
      <c r="D7498" t="inlineStr">
        <is>
          <t>Hub C</t>
        </is>
      </c>
      <c r="E7498" t="n">
        <v>57</v>
      </c>
      <c r="F7498" t="n">
        <v>22</v>
      </c>
    </row>
    <row r="7499">
      <c r="A7499" t="inlineStr">
        <is>
          <t>ORD07498</t>
        </is>
      </c>
      <c r="B7499" t="inlineStr">
        <is>
          <t>C2498</t>
        </is>
      </c>
      <c r="C7499" t="n">
        <v>1</v>
      </c>
      <c r="D7499" t="inlineStr">
        <is>
          <t>Hub C</t>
        </is>
      </c>
      <c r="E7499" t="n">
        <v>64</v>
      </c>
      <c r="F7499" t="n">
        <v>22</v>
      </c>
    </row>
    <row r="7500">
      <c r="A7500" t="inlineStr">
        <is>
          <t>ORD07499</t>
        </is>
      </c>
      <c r="B7500" t="inlineStr">
        <is>
          <t>C2499</t>
        </is>
      </c>
      <c r="C7500" t="n">
        <v>2</v>
      </c>
      <c r="D7500" t="inlineStr">
        <is>
          <t>Hub C</t>
        </is>
      </c>
      <c r="E7500" t="n">
        <v>71</v>
      </c>
      <c r="F7500" t="n">
        <v>22</v>
      </c>
    </row>
    <row r="7501">
      <c r="A7501" t="inlineStr">
        <is>
          <t>ORD07500</t>
        </is>
      </c>
      <c r="B7501" t="inlineStr">
        <is>
          <t>C2500</t>
        </is>
      </c>
      <c r="C7501" t="n">
        <v>3</v>
      </c>
      <c r="D7501" t="inlineStr">
        <is>
          <t>Hub C</t>
        </is>
      </c>
      <c r="E7501" t="n">
        <v>18</v>
      </c>
      <c r="F7501" t="n">
        <v>22</v>
      </c>
    </row>
    <row r="7502">
      <c r="A7502" t="inlineStr">
        <is>
          <t>ORD07501</t>
        </is>
      </c>
      <c r="B7502" t="inlineStr">
        <is>
          <t>C0001</t>
        </is>
      </c>
      <c r="C7502" t="n">
        <v>1</v>
      </c>
      <c r="D7502" t="inlineStr">
        <is>
          <t>Hub C</t>
        </is>
      </c>
      <c r="E7502" t="n">
        <v>25</v>
      </c>
      <c r="F7502" t="n">
        <v>22</v>
      </c>
    </row>
    <row r="7503">
      <c r="A7503" t="inlineStr">
        <is>
          <t>ORD07502</t>
        </is>
      </c>
      <c r="B7503" t="inlineStr">
        <is>
          <t>C0002</t>
        </is>
      </c>
      <c r="C7503" t="n">
        <v>2</v>
      </c>
      <c r="D7503" t="inlineStr">
        <is>
          <t>Hub C</t>
        </is>
      </c>
      <c r="E7503" t="n">
        <v>32</v>
      </c>
      <c r="F7503" t="n">
        <v>22</v>
      </c>
    </row>
    <row r="7504">
      <c r="A7504" t="inlineStr">
        <is>
          <t>ORD07503</t>
        </is>
      </c>
      <c r="B7504" t="inlineStr">
        <is>
          <t>C0003</t>
        </is>
      </c>
      <c r="C7504" t="n">
        <v>3</v>
      </c>
      <c r="D7504" t="inlineStr">
        <is>
          <t>Hub C</t>
        </is>
      </c>
      <c r="E7504" t="n">
        <v>39</v>
      </c>
      <c r="F7504" t="n">
        <v>22</v>
      </c>
    </row>
    <row r="7505">
      <c r="A7505" t="inlineStr">
        <is>
          <t>ORD07504</t>
        </is>
      </c>
      <c r="B7505" t="inlineStr">
        <is>
          <t>C0004</t>
        </is>
      </c>
      <c r="C7505" t="n">
        <v>1</v>
      </c>
      <c r="D7505" t="inlineStr">
        <is>
          <t>Hub C</t>
        </is>
      </c>
      <c r="E7505" t="n">
        <v>46</v>
      </c>
      <c r="F7505" t="n">
        <v>22</v>
      </c>
    </row>
    <row r="7506">
      <c r="A7506" t="inlineStr">
        <is>
          <t>ORD07505</t>
        </is>
      </c>
      <c r="B7506" t="inlineStr">
        <is>
          <t>C0005</t>
        </is>
      </c>
      <c r="C7506" t="n">
        <v>2</v>
      </c>
      <c r="D7506" t="inlineStr">
        <is>
          <t>Hub C</t>
        </is>
      </c>
      <c r="E7506" t="n">
        <v>53</v>
      </c>
      <c r="F7506" t="n">
        <v>22</v>
      </c>
    </row>
    <row r="7507">
      <c r="A7507" t="inlineStr">
        <is>
          <t>ORD07506</t>
        </is>
      </c>
      <c r="B7507" t="inlineStr">
        <is>
          <t>C0006</t>
        </is>
      </c>
      <c r="C7507" t="n">
        <v>3</v>
      </c>
      <c r="D7507" t="inlineStr">
        <is>
          <t>Hub C</t>
        </is>
      </c>
      <c r="E7507" t="n">
        <v>60</v>
      </c>
      <c r="F7507" t="n">
        <v>22</v>
      </c>
    </row>
    <row r="7508">
      <c r="A7508" t="inlineStr">
        <is>
          <t>ORD07507</t>
        </is>
      </c>
      <c r="B7508" t="inlineStr">
        <is>
          <t>C0007</t>
        </is>
      </c>
      <c r="C7508" t="n">
        <v>1</v>
      </c>
      <c r="D7508" t="inlineStr">
        <is>
          <t>Hub C</t>
        </is>
      </c>
      <c r="E7508" t="n">
        <v>67</v>
      </c>
      <c r="F7508" t="n">
        <v>22</v>
      </c>
    </row>
    <row r="7509">
      <c r="A7509" t="inlineStr">
        <is>
          <t>ORD07508</t>
        </is>
      </c>
      <c r="B7509" t="inlineStr">
        <is>
          <t>C0008</t>
        </is>
      </c>
      <c r="C7509" t="n">
        <v>2</v>
      </c>
      <c r="D7509" t="inlineStr">
        <is>
          <t>Hub C</t>
        </is>
      </c>
      <c r="E7509" t="n">
        <v>74</v>
      </c>
      <c r="F7509" t="n">
        <v>22</v>
      </c>
    </row>
    <row r="7510">
      <c r="A7510" t="inlineStr">
        <is>
          <t>ORD07509</t>
        </is>
      </c>
      <c r="B7510" t="inlineStr">
        <is>
          <t>C0009</t>
        </is>
      </c>
      <c r="C7510" t="n">
        <v>3</v>
      </c>
      <c r="D7510" t="inlineStr">
        <is>
          <t>Hub C</t>
        </is>
      </c>
      <c r="E7510" t="n">
        <v>21</v>
      </c>
      <c r="F7510" t="n">
        <v>22</v>
      </c>
    </row>
    <row r="7511">
      <c r="A7511" t="inlineStr">
        <is>
          <t>ORD07510</t>
        </is>
      </c>
      <c r="B7511" t="inlineStr">
        <is>
          <t>C0010</t>
        </is>
      </c>
      <c r="C7511" t="n">
        <v>1</v>
      </c>
      <c r="D7511" t="inlineStr">
        <is>
          <t>Hub C</t>
        </is>
      </c>
      <c r="E7511" t="n">
        <v>28</v>
      </c>
      <c r="F7511" t="n">
        <v>22</v>
      </c>
    </row>
    <row r="7512">
      <c r="A7512" t="inlineStr">
        <is>
          <t>ORD07511</t>
        </is>
      </c>
      <c r="B7512" t="inlineStr">
        <is>
          <t>C0011</t>
        </is>
      </c>
      <c r="C7512" t="n">
        <v>2</v>
      </c>
      <c r="D7512" t="inlineStr">
        <is>
          <t>Hub C</t>
        </is>
      </c>
      <c r="E7512" t="n">
        <v>35</v>
      </c>
      <c r="F7512" t="n">
        <v>22</v>
      </c>
    </row>
    <row r="7513">
      <c r="A7513" t="inlineStr">
        <is>
          <t>ORD07512</t>
        </is>
      </c>
      <c r="B7513" t="inlineStr">
        <is>
          <t>C0012</t>
        </is>
      </c>
      <c r="C7513" t="n">
        <v>3</v>
      </c>
      <c r="D7513" t="inlineStr">
        <is>
          <t>Hub C</t>
        </is>
      </c>
      <c r="E7513" t="n">
        <v>42</v>
      </c>
      <c r="F7513" t="n">
        <v>22</v>
      </c>
    </row>
    <row r="7514">
      <c r="A7514" t="inlineStr">
        <is>
          <t>ORD07513</t>
        </is>
      </c>
      <c r="B7514" t="inlineStr">
        <is>
          <t>C0013</t>
        </is>
      </c>
      <c r="C7514" t="n">
        <v>1</v>
      </c>
      <c r="D7514" t="inlineStr">
        <is>
          <t>Hub C</t>
        </is>
      </c>
      <c r="E7514" t="n">
        <v>49</v>
      </c>
      <c r="F7514" t="n">
        <v>22</v>
      </c>
    </row>
    <row r="7515">
      <c r="A7515" t="inlineStr">
        <is>
          <t>ORD07514</t>
        </is>
      </c>
      <c r="B7515" t="inlineStr">
        <is>
          <t>C0014</t>
        </is>
      </c>
      <c r="C7515" t="n">
        <v>2</v>
      </c>
      <c r="D7515" t="inlineStr">
        <is>
          <t>Hub C</t>
        </is>
      </c>
      <c r="E7515" t="n">
        <v>56</v>
      </c>
      <c r="F7515" t="n">
        <v>22</v>
      </c>
    </row>
    <row r="7516">
      <c r="A7516" t="inlineStr">
        <is>
          <t>ORD07515</t>
        </is>
      </c>
      <c r="B7516" t="inlineStr">
        <is>
          <t>C0015</t>
        </is>
      </c>
      <c r="C7516" t="n">
        <v>3</v>
      </c>
      <c r="D7516" t="inlineStr">
        <is>
          <t>Hub C</t>
        </is>
      </c>
      <c r="E7516" t="n">
        <v>63</v>
      </c>
      <c r="F7516" t="n">
        <v>22</v>
      </c>
    </row>
    <row r="7517">
      <c r="A7517" t="inlineStr">
        <is>
          <t>ORD07516</t>
        </is>
      </c>
      <c r="B7517" t="inlineStr">
        <is>
          <t>C0016</t>
        </is>
      </c>
      <c r="C7517" t="n">
        <v>1</v>
      </c>
      <c r="D7517" t="inlineStr">
        <is>
          <t>Hub C</t>
        </is>
      </c>
      <c r="E7517" t="n">
        <v>70</v>
      </c>
      <c r="F7517" t="n">
        <v>22</v>
      </c>
    </row>
    <row r="7518">
      <c r="A7518" t="inlineStr">
        <is>
          <t>ORD07517</t>
        </is>
      </c>
      <c r="B7518" t="inlineStr">
        <is>
          <t>C0017</t>
        </is>
      </c>
      <c r="C7518" t="n">
        <v>2</v>
      </c>
      <c r="D7518" t="inlineStr">
        <is>
          <t>Hub C</t>
        </is>
      </c>
      <c r="E7518" t="n">
        <v>77</v>
      </c>
      <c r="F7518" t="n">
        <v>22</v>
      </c>
    </row>
    <row r="7519">
      <c r="A7519" t="inlineStr">
        <is>
          <t>ORD07518</t>
        </is>
      </c>
      <c r="B7519" t="inlineStr">
        <is>
          <t>C0018</t>
        </is>
      </c>
      <c r="C7519" t="n">
        <v>3</v>
      </c>
      <c r="D7519" t="inlineStr">
        <is>
          <t>Hub C</t>
        </is>
      </c>
      <c r="E7519" t="n">
        <v>24</v>
      </c>
      <c r="F7519" t="n">
        <v>22</v>
      </c>
    </row>
    <row r="7520">
      <c r="A7520" t="inlineStr">
        <is>
          <t>ORD07519</t>
        </is>
      </c>
      <c r="B7520" t="inlineStr">
        <is>
          <t>C0019</t>
        </is>
      </c>
      <c r="C7520" t="n">
        <v>1</v>
      </c>
      <c r="D7520" t="inlineStr">
        <is>
          <t>Hub C</t>
        </is>
      </c>
      <c r="E7520" t="n">
        <v>31</v>
      </c>
      <c r="F7520" t="n">
        <v>22</v>
      </c>
    </row>
    <row r="7521">
      <c r="A7521" t="inlineStr">
        <is>
          <t>ORD07520</t>
        </is>
      </c>
      <c r="B7521" t="inlineStr">
        <is>
          <t>C0020</t>
        </is>
      </c>
      <c r="C7521" t="n">
        <v>2</v>
      </c>
      <c r="D7521" t="inlineStr">
        <is>
          <t>Hub C</t>
        </is>
      </c>
      <c r="E7521" t="n">
        <v>38</v>
      </c>
      <c r="F7521" t="n">
        <v>22</v>
      </c>
    </row>
    <row r="7522">
      <c r="A7522" t="inlineStr">
        <is>
          <t>ORD07521</t>
        </is>
      </c>
      <c r="B7522" t="inlineStr">
        <is>
          <t>C0021</t>
        </is>
      </c>
      <c r="C7522" t="n">
        <v>3</v>
      </c>
      <c r="D7522" t="inlineStr">
        <is>
          <t>Hub C</t>
        </is>
      </c>
      <c r="E7522" t="n">
        <v>45</v>
      </c>
      <c r="F7522" t="n">
        <v>22</v>
      </c>
    </row>
    <row r="7523">
      <c r="A7523" t="inlineStr">
        <is>
          <t>ORD07522</t>
        </is>
      </c>
      <c r="B7523" t="inlineStr">
        <is>
          <t>C0022</t>
        </is>
      </c>
      <c r="C7523" t="n">
        <v>1</v>
      </c>
      <c r="D7523" t="inlineStr">
        <is>
          <t>Hub C</t>
        </is>
      </c>
      <c r="E7523" t="n">
        <v>52</v>
      </c>
      <c r="F7523" t="n">
        <v>22</v>
      </c>
    </row>
    <row r="7524">
      <c r="A7524" t="inlineStr">
        <is>
          <t>ORD07523</t>
        </is>
      </c>
      <c r="B7524" t="inlineStr">
        <is>
          <t>C0023</t>
        </is>
      </c>
      <c r="C7524" t="n">
        <v>2</v>
      </c>
      <c r="D7524" t="inlineStr">
        <is>
          <t>Hub C</t>
        </is>
      </c>
      <c r="E7524" t="n">
        <v>59</v>
      </c>
      <c r="F7524" t="n">
        <v>22</v>
      </c>
    </row>
    <row r="7525">
      <c r="A7525" t="inlineStr">
        <is>
          <t>ORD07524</t>
        </is>
      </c>
      <c r="B7525" t="inlineStr">
        <is>
          <t>C0024</t>
        </is>
      </c>
      <c r="C7525" t="n">
        <v>3</v>
      </c>
      <c r="D7525" t="inlineStr">
        <is>
          <t>Hub C</t>
        </is>
      </c>
      <c r="E7525" t="n">
        <v>66</v>
      </c>
      <c r="F7525" t="n">
        <v>22</v>
      </c>
    </row>
    <row r="7526">
      <c r="A7526" t="inlineStr">
        <is>
          <t>ORD07525</t>
        </is>
      </c>
      <c r="B7526" t="inlineStr">
        <is>
          <t>C0025</t>
        </is>
      </c>
      <c r="C7526" t="n">
        <v>1</v>
      </c>
      <c r="D7526" t="inlineStr">
        <is>
          <t>Hub C</t>
        </is>
      </c>
      <c r="E7526" t="n">
        <v>73</v>
      </c>
      <c r="F7526" t="n">
        <v>22</v>
      </c>
    </row>
    <row r="7527">
      <c r="A7527" t="inlineStr">
        <is>
          <t>ORD07526</t>
        </is>
      </c>
      <c r="B7527" t="inlineStr">
        <is>
          <t>C0026</t>
        </is>
      </c>
      <c r="C7527" t="n">
        <v>2</v>
      </c>
      <c r="D7527" t="inlineStr">
        <is>
          <t>Hub C</t>
        </is>
      </c>
      <c r="E7527" t="n">
        <v>20</v>
      </c>
      <c r="F7527" t="n">
        <v>22</v>
      </c>
    </row>
    <row r="7528">
      <c r="A7528" t="inlineStr">
        <is>
          <t>ORD07527</t>
        </is>
      </c>
      <c r="B7528" t="inlineStr">
        <is>
          <t>C0027</t>
        </is>
      </c>
      <c r="C7528" t="n">
        <v>3</v>
      </c>
      <c r="D7528" t="inlineStr">
        <is>
          <t>Hub C</t>
        </is>
      </c>
      <c r="E7528" t="n">
        <v>27</v>
      </c>
      <c r="F7528" t="n">
        <v>22</v>
      </c>
    </row>
    <row r="7529">
      <c r="A7529" t="inlineStr">
        <is>
          <t>ORD07528</t>
        </is>
      </c>
      <c r="B7529" t="inlineStr">
        <is>
          <t>C0028</t>
        </is>
      </c>
      <c r="C7529" t="n">
        <v>1</v>
      </c>
      <c r="D7529" t="inlineStr">
        <is>
          <t>Hub C</t>
        </is>
      </c>
      <c r="E7529" t="n">
        <v>34</v>
      </c>
      <c r="F7529" t="n">
        <v>22</v>
      </c>
    </row>
    <row r="7530">
      <c r="A7530" t="inlineStr">
        <is>
          <t>ORD07529</t>
        </is>
      </c>
      <c r="B7530" t="inlineStr">
        <is>
          <t>C0029</t>
        </is>
      </c>
      <c r="C7530" t="n">
        <v>2</v>
      </c>
      <c r="D7530" t="inlineStr">
        <is>
          <t>Hub C</t>
        </is>
      </c>
      <c r="E7530" t="n">
        <v>41</v>
      </c>
      <c r="F7530" t="n">
        <v>22</v>
      </c>
    </row>
    <row r="7531">
      <c r="A7531" t="inlineStr">
        <is>
          <t>ORD07530</t>
        </is>
      </c>
      <c r="B7531" t="inlineStr">
        <is>
          <t>C0030</t>
        </is>
      </c>
      <c r="C7531" t="n">
        <v>3</v>
      </c>
      <c r="D7531" t="inlineStr">
        <is>
          <t>Hub C</t>
        </is>
      </c>
      <c r="E7531" t="n">
        <v>48</v>
      </c>
      <c r="F7531" t="n">
        <v>22</v>
      </c>
    </row>
    <row r="7532">
      <c r="A7532" t="inlineStr">
        <is>
          <t>ORD07531</t>
        </is>
      </c>
      <c r="B7532" t="inlineStr">
        <is>
          <t>C0031</t>
        </is>
      </c>
      <c r="C7532" t="n">
        <v>1</v>
      </c>
      <c r="D7532" t="inlineStr">
        <is>
          <t>Hub C</t>
        </is>
      </c>
      <c r="E7532" t="n">
        <v>55</v>
      </c>
      <c r="F7532" t="n">
        <v>22</v>
      </c>
    </row>
    <row r="7533">
      <c r="A7533" t="inlineStr">
        <is>
          <t>ORD07532</t>
        </is>
      </c>
      <c r="B7533" t="inlineStr">
        <is>
          <t>C0032</t>
        </is>
      </c>
      <c r="C7533" t="n">
        <v>2</v>
      </c>
      <c r="D7533" t="inlineStr">
        <is>
          <t>Hub C</t>
        </is>
      </c>
      <c r="E7533" t="n">
        <v>62</v>
      </c>
      <c r="F7533" t="n">
        <v>22</v>
      </c>
    </row>
    <row r="7534">
      <c r="A7534" t="inlineStr">
        <is>
          <t>ORD07533</t>
        </is>
      </c>
      <c r="B7534" t="inlineStr">
        <is>
          <t>C0033</t>
        </is>
      </c>
      <c r="C7534" t="n">
        <v>3</v>
      </c>
      <c r="D7534" t="inlineStr">
        <is>
          <t>Hub C</t>
        </is>
      </c>
      <c r="E7534" t="n">
        <v>69</v>
      </c>
      <c r="F7534" t="n">
        <v>22</v>
      </c>
    </row>
    <row r="7535">
      <c r="A7535" t="inlineStr">
        <is>
          <t>ORD07534</t>
        </is>
      </c>
      <c r="B7535" t="inlineStr">
        <is>
          <t>C0034</t>
        </is>
      </c>
      <c r="C7535" t="n">
        <v>1</v>
      </c>
      <c r="D7535" t="inlineStr">
        <is>
          <t>Hub C</t>
        </is>
      </c>
      <c r="E7535" t="n">
        <v>76</v>
      </c>
      <c r="F7535" t="n">
        <v>22</v>
      </c>
    </row>
    <row r="7536">
      <c r="A7536" t="inlineStr">
        <is>
          <t>ORD07535</t>
        </is>
      </c>
      <c r="B7536" t="inlineStr">
        <is>
          <t>C0035</t>
        </is>
      </c>
      <c r="C7536" t="n">
        <v>2</v>
      </c>
      <c r="D7536" t="inlineStr">
        <is>
          <t>Hub C</t>
        </is>
      </c>
      <c r="E7536" t="n">
        <v>23</v>
      </c>
      <c r="F7536" t="n">
        <v>22</v>
      </c>
    </row>
    <row r="7537">
      <c r="A7537" t="inlineStr">
        <is>
          <t>ORD07536</t>
        </is>
      </c>
      <c r="B7537" t="inlineStr">
        <is>
          <t>C0036</t>
        </is>
      </c>
      <c r="C7537" t="n">
        <v>3</v>
      </c>
      <c r="D7537" t="inlineStr">
        <is>
          <t>Hub C</t>
        </is>
      </c>
      <c r="E7537" t="n">
        <v>30</v>
      </c>
      <c r="F7537" t="n">
        <v>22</v>
      </c>
    </row>
    <row r="7538">
      <c r="A7538" t="inlineStr">
        <is>
          <t>ORD07537</t>
        </is>
      </c>
      <c r="B7538" t="inlineStr">
        <is>
          <t>C0037</t>
        </is>
      </c>
      <c r="C7538" t="n">
        <v>1</v>
      </c>
      <c r="D7538" t="inlineStr">
        <is>
          <t>Hub C</t>
        </is>
      </c>
      <c r="E7538" t="n">
        <v>37</v>
      </c>
      <c r="F7538" t="n">
        <v>22</v>
      </c>
    </row>
    <row r="7539">
      <c r="A7539" t="inlineStr">
        <is>
          <t>ORD07538</t>
        </is>
      </c>
      <c r="B7539" t="inlineStr">
        <is>
          <t>C0038</t>
        </is>
      </c>
      <c r="C7539" t="n">
        <v>2</v>
      </c>
      <c r="D7539" t="inlineStr">
        <is>
          <t>Hub C</t>
        </is>
      </c>
      <c r="E7539" t="n">
        <v>44</v>
      </c>
      <c r="F7539" t="n">
        <v>22</v>
      </c>
    </row>
    <row r="7540">
      <c r="A7540" t="inlineStr">
        <is>
          <t>ORD07539</t>
        </is>
      </c>
      <c r="B7540" t="inlineStr">
        <is>
          <t>C0039</t>
        </is>
      </c>
      <c r="C7540" t="n">
        <v>3</v>
      </c>
      <c r="D7540" t="inlineStr">
        <is>
          <t>Hub C</t>
        </is>
      </c>
      <c r="E7540" t="n">
        <v>51</v>
      </c>
      <c r="F7540" t="n">
        <v>22</v>
      </c>
    </row>
    <row r="7541">
      <c r="A7541" t="inlineStr">
        <is>
          <t>ORD07540</t>
        </is>
      </c>
      <c r="B7541" t="inlineStr">
        <is>
          <t>C0040</t>
        </is>
      </c>
      <c r="C7541" t="n">
        <v>1</v>
      </c>
      <c r="D7541" t="inlineStr">
        <is>
          <t>Hub C</t>
        </is>
      </c>
      <c r="E7541" t="n">
        <v>58</v>
      </c>
      <c r="F7541" t="n">
        <v>22</v>
      </c>
    </row>
    <row r="7542">
      <c r="A7542" t="inlineStr">
        <is>
          <t>ORD07541</t>
        </is>
      </c>
      <c r="B7542" t="inlineStr">
        <is>
          <t>C0041</t>
        </is>
      </c>
      <c r="C7542" t="n">
        <v>2</v>
      </c>
      <c r="D7542" t="inlineStr">
        <is>
          <t>Hub C</t>
        </is>
      </c>
      <c r="E7542" t="n">
        <v>65</v>
      </c>
      <c r="F7542" t="n">
        <v>22</v>
      </c>
    </row>
    <row r="7543">
      <c r="A7543" t="inlineStr">
        <is>
          <t>ORD07542</t>
        </is>
      </c>
      <c r="B7543" t="inlineStr">
        <is>
          <t>C0042</t>
        </is>
      </c>
      <c r="C7543" t="n">
        <v>3</v>
      </c>
      <c r="D7543" t="inlineStr">
        <is>
          <t>Hub C</t>
        </is>
      </c>
      <c r="E7543" t="n">
        <v>72</v>
      </c>
      <c r="F7543" t="n">
        <v>22</v>
      </c>
    </row>
    <row r="7544">
      <c r="A7544" t="inlineStr">
        <is>
          <t>ORD07543</t>
        </is>
      </c>
      <c r="B7544" t="inlineStr">
        <is>
          <t>C0043</t>
        </is>
      </c>
      <c r="C7544" t="n">
        <v>1</v>
      </c>
      <c r="D7544" t="inlineStr">
        <is>
          <t>Hub C</t>
        </is>
      </c>
      <c r="E7544" t="n">
        <v>19</v>
      </c>
      <c r="F7544" t="n">
        <v>22</v>
      </c>
    </row>
    <row r="7545">
      <c r="A7545" t="inlineStr">
        <is>
          <t>ORD07544</t>
        </is>
      </c>
      <c r="B7545" t="inlineStr">
        <is>
          <t>C0044</t>
        </is>
      </c>
      <c r="C7545" t="n">
        <v>2</v>
      </c>
      <c r="D7545" t="inlineStr">
        <is>
          <t>Hub C</t>
        </is>
      </c>
      <c r="E7545" t="n">
        <v>26</v>
      </c>
      <c r="F7545" t="n">
        <v>22</v>
      </c>
    </row>
    <row r="7546">
      <c r="A7546" t="inlineStr">
        <is>
          <t>ORD07545</t>
        </is>
      </c>
      <c r="B7546" t="inlineStr">
        <is>
          <t>C0045</t>
        </is>
      </c>
      <c r="C7546" t="n">
        <v>3</v>
      </c>
      <c r="D7546" t="inlineStr">
        <is>
          <t>Hub C</t>
        </is>
      </c>
      <c r="E7546" t="n">
        <v>33</v>
      </c>
      <c r="F7546" t="n">
        <v>22</v>
      </c>
    </row>
    <row r="7547">
      <c r="A7547" t="inlineStr">
        <is>
          <t>ORD07546</t>
        </is>
      </c>
      <c r="B7547" t="inlineStr">
        <is>
          <t>C0046</t>
        </is>
      </c>
      <c r="C7547" t="n">
        <v>1</v>
      </c>
      <c r="D7547" t="inlineStr">
        <is>
          <t>Hub C</t>
        </is>
      </c>
      <c r="E7547" t="n">
        <v>40</v>
      </c>
      <c r="F7547" t="n">
        <v>22</v>
      </c>
    </row>
    <row r="7548">
      <c r="A7548" t="inlineStr">
        <is>
          <t>ORD07547</t>
        </is>
      </c>
      <c r="B7548" t="inlineStr">
        <is>
          <t>C0047</t>
        </is>
      </c>
      <c r="C7548" t="n">
        <v>2</v>
      </c>
      <c r="D7548" t="inlineStr">
        <is>
          <t>Hub C</t>
        </is>
      </c>
      <c r="E7548" t="n">
        <v>47</v>
      </c>
      <c r="F7548" t="n">
        <v>22</v>
      </c>
    </row>
    <row r="7549">
      <c r="A7549" t="inlineStr">
        <is>
          <t>ORD07548</t>
        </is>
      </c>
      <c r="B7549" t="inlineStr">
        <is>
          <t>C0048</t>
        </is>
      </c>
      <c r="C7549" t="n">
        <v>3</v>
      </c>
      <c r="D7549" t="inlineStr">
        <is>
          <t>Hub C</t>
        </is>
      </c>
      <c r="E7549" t="n">
        <v>54</v>
      </c>
      <c r="F7549" t="n">
        <v>22</v>
      </c>
    </row>
    <row r="7550">
      <c r="A7550" t="inlineStr">
        <is>
          <t>ORD07549</t>
        </is>
      </c>
      <c r="B7550" t="inlineStr">
        <is>
          <t>C0049</t>
        </is>
      </c>
      <c r="C7550" t="n">
        <v>1</v>
      </c>
      <c r="D7550" t="inlineStr">
        <is>
          <t>Hub C</t>
        </is>
      </c>
      <c r="E7550" t="n">
        <v>61</v>
      </c>
      <c r="F7550" t="n">
        <v>22</v>
      </c>
    </row>
    <row r="7551">
      <c r="A7551" t="inlineStr">
        <is>
          <t>ORD07550</t>
        </is>
      </c>
      <c r="B7551" t="inlineStr">
        <is>
          <t>C0050</t>
        </is>
      </c>
      <c r="C7551" t="n">
        <v>2</v>
      </c>
      <c r="D7551" t="inlineStr">
        <is>
          <t>Hub C</t>
        </is>
      </c>
      <c r="E7551" t="n">
        <v>68</v>
      </c>
      <c r="F7551" t="n">
        <v>22</v>
      </c>
    </row>
    <row r="7552">
      <c r="A7552" t="inlineStr">
        <is>
          <t>ORD07551</t>
        </is>
      </c>
      <c r="B7552" t="inlineStr">
        <is>
          <t>C0051</t>
        </is>
      </c>
      <c r="C7552" t="n">
        <v>3</v>
      </c>
      <c r="D7552" t="inlineStr">
        <is>
          <t>Hub C</t>
        </is>
      </c>
      <c r="E7552" t="n">
        <v>75</v>
      </c>
      <c r="F7552" t="n">
        <v>22</v>
      </c>
    </row>
    <row r="7553">
      <c r="A7553" t="inlineStr">
        <is>
          <t>ORD07552</t>
        </is>
      </c>
      <c r="B7553" t="inlineStr">
        <is>
          <t>C0052</t>
        </is>
      </c>
      <c r="C7553" t="n">
        <v>1</v>
      </c>
      <c r="D7553" t="inlineStr">
        <is>
          <t>Hub C</t>
        </is>
      </c>
      <c r="E7553" t="n">
        <v>22</v>
      </c>
      <c r="F7553" t="n">
        <v>22</v>
      </c>
    </row>
    <row r="7554">
      <c r="A7554" t="inlineStr">
        <is>
          <t>ORD07553</t>
        </is>
      </c>
      <c r="B7554" t="inlineStr">
        <is>
          <t>C0053</t>
        </is>
      </c>
      <c r="C7554" t="n">
        <v>2</v>
      </c>
      <c r="D7554" t="inlineStr">
        <is>
          <t>Hub C</t>
        </is>
      </c>
      <c r="E7554" t="n">
        <v>29</v>
      </c>
      <c r="F7554" t="n">
        <v>22</v>
      </c>
    </row>
    <row r="7555">
      <c r="A7555" t="inlineStr">
        <is>
          <t>ORD07554</t>
        </is>
      </c>
      <c r="B7555" t="inlineStr">
        <is>
          <t>C0054</t>
        </is>
      </c>
      <c r="C7555" t="n">
        <v>3</v>
      </c>
      <c r="D7555" t="inlineStr">
        <is>
          <t>Hub C</t>
        </is>
      </c>
      <c r="E7555" t="n">
        <v>36</v>
      </c>
      <c r="F7555" t="n">
        <v>22</v>
      </c>
    </row>
    <row r="7556">
      <c r="A7556" t="inlineStr">
        <is>
          <t>ORD07555</t>
        </is>
      </c>
      <c r="B7556" t="inlineStr">
        <is>
          <t>C0055</t>
        </is>
      </c>
      <c r="C7556" t="n">
        <v>1</v>
      </c>
      <c r="D7556" t="inlineStr">
        <is>
          <t>Hub C</t>
        </is>
      </c>
      <c r="E7556" t="n">
        <v>43</v>
      </c>
      <c r="F7556" t="n">
        <v>22</v>
      </c>
    </row>
    <row r="7557">
      <c r="A7557" t="inlineStr">
        <is>
          <t>ORD07556</t>
        </is>
      </c>
      <c r="B7557" t="inlineStr">
        <is>
          <t>C0056</t>
        </is>
      </c>
      <c r="C7557" t="n">
        <v>2</v>
      </c>
      <c r="D7557" t="inlineStr">
        <is>
          <t>Hub C</t>
        </is>
      </c>
      <c r="E7557" t="n">
        <v>50</v>
      </c>
      <c r="F7557" t="n">
        <v>22</v>
      </c>
    </row>
    <row r="7558">
      <c r="A7558" t="inlineStr">
        <is>
          <t>ORD07557</t>
        </is>
      </c>
      <c r="B7558" t="inlineStr">
        <is>
          <t>C0057</t>
        </is>
      </c>
      <c r="C7558" t="n">
        <v>3</v>
      </c>
      <c r="D7558" t="inlineStr">
        <is>
          <t>Hub C</t>
        </is>
      </c>
      <c r="E7558" t="n">
        <v>57</v>
      </c>
      <c r="F7558" t="n">
        <v>22</v>
      </c>
    </row>
    <row r="7559">
      <c r="A7559" t="inlineStr">
        <is>
          <t>ORD07558</t>
        </is>
      </c>
      <c r="B7559" t="inlineStr">
        <is>
          <t>C0058</t>
        </is>
      </c>
      <c r="C7559" t="n">
        <v>1</v>
      </c>
      <c r="D7559" t="inlineStr">
        <is>
          <t>Hub C</t>
        </is>
      </c>
      <c r="E7559" t="n">
        <v>64</v>
      </c>
      <c r="F7559" t="n">
        <v>22</v>
      </c>
    </row>
    <row r="7560">
      <c r="A7560" t="inlineStr">
        <is>
          <t>ORD07559</t>
        </is>
      </c>
      <c r="B7560" t="inlineStr">
        <is>
          <t>C0059</t>
        </is>
      </c>
      <c r="C7560" t="n">
        <v>2</v>
      </c>
      <c r="D7560" t="inlineStr">
        <is>
          <t>Hub C</t>
        </is>
      </c>
      <c r="E7560" t="n">
        <v>71</v>
      </c>
      <c r="F7560" t="n">
        <v>22</v>
      </c>
    </row>
    <row r="7561">
      <c r="A7561" t="inlineStr">
        <is>
          <t>ORD07560</t>
        </is>
      </c>
      <c r="B7561" t="inlineStr">
        <is>
          <t>C0060</t>
        </is>
      </c>
      <c r="C7561" t="n">
        <v>3</v>
      </c>
      <c r="D7561" t="inlineStr">
        <is>
          <t>Hub C</t>
        </is>
      </c>
      <c r="E7561" t="n">
        <v>18</v>
      </c>
      <c r="F7561" t="n">
        <v>22</v>
      </c>
    </row>
    <row r="7562">
      <c r="A7562" t="inlineStr">
        <is>
          <t>ORD07561</t>
        </is>
      </c>
      <c r="B7562" t="inlineStr">
        <is>
          <t>C0061</t>
        </is>
      </c>
      <c r="C7562" t="n">
        <v>1</v>
      </c>
      <c r="D7562" t="inlineStr">
        <is>
          <t>Hub C</t>
        </is>
      </c>
      <c r="E7562" t="n">
        <v>25</v>
      </c>
      <c r="F7562" t="n">
        <v>22</v>
      </c>
    </row>
    <row r="7563">
      <c r="A7563" t="inlineStr">
        <is>
          <t>ORD07562</t>
        </is>
      </c>
      <c r="B7563" t="inlineStr">
        <is>
          <t>C0062</t>
        </is>
      </c>
      <c r="C7563" t="n">
        <v>2</v>
      </c>
      <c r="D7563" t="inlineStr">
        <is>
          <t>Hub C</t>
        </is>
      </c>
      <c r="E7563" t="n">
        <v>32</v>
      </c>
      <c r="F7563" t="n">
        <v>22</v>
      </c>
    </row>
    <row r="7564">
      <c r="A7564" t="inlineStr">
        <is>
          <t>ORD07563</t>
        </is>
      </c>
      <c r="B7564" t="inlineStr">
        <is>
          <t>C0063</t>
        </is>
      </c>
      <c r="C7564" t="n">
        <v>3</v>
      </c>
      <c r="D7564" t="inlineStr">
        <is>
          <t>Hub C</t>
        </is>
      </c>
      <c r="E7564" t="n">
        <v>39</v>
      </c>
      <c r="F7564" t="n">
        <v>22</v>
      </c>
    </row>
    <row r="7565">
      <c r="A7565" t="inlineStr">
        <is>
          <t>ORD07564</t>
        </is>
      </c>
      <c r="B7565" t="inlineStr">
        <is>
          <t>C0064</t>
        </is>
      </c>
      <c r="C7565" t="n">
        <v>1</v>
      </c>
      <c r="D7565" t="inlineStr">
        <is>
          <t>Hub C</t>
        </is>
      </c>
      <c r="E7565" t="n">
        <v>46</v>
      </c>
      <c r="F7565" t="n">
        <v>22</v>
      </c>
    </row>
    <row r="7566">
      <c r="A7566" t="inlineStr">
        <is>
          <t>ORD07565</t>
        </is>
      </c>
      <c r="B7566" t="inlineStr">
        <is>
          <t>C0065</t>
        </is>
      </c>
      <c r="C7566" t="n">
        <v>2</v>
      </c>
      <c r="D7566" t="inlineStr">
        <is>
          <t>Hub C</t>
        </is>
      </c>
      <c r="E7566" t="n">
        <v>53</v>
      </c>
      <c r="F7566" t="n">
        <v>22</v>
      </c>
    </row>
    <row r="7567">
      <c r="A7567" t="inlineStr">
        <is>
          <t>ORD07566</t>
        </is>
      </c>
      <c r="B7567" t="inlineStr">
        <is>
          <t>C0066</t>
        </is>
      </c>
      <c r="C7567" t="n">
        <v>3</v>
      </c>
      <c r="D7567" t="inlineStr">
        <is>
          <t>Hub C</t>
        </is>
      </c>
      <c r="E7567" t="n">
        <v>60</v>
      </c>
      <c r="F7567" t="n">
        <v>22</v>
      </c>
    </row>
    <row r="7568">
      <c r="A7568" t="inlineStr">
        <is>
          <t>ORD07567</t>
        </is>
      </c>
      <c r="B7568" t="inlineStr">
        <is>
          <t>C0067</t>
        </is>
      </c>
      <c r="C7568" t="n">
        <v>1</v>
      </c>
      <c r="D7568" t="inlineStr">
        <is>
          <t>Hub C</t>
        </is>
      </c>
      <c r="E7568" t="n">
        <v>67</v>
      </c>
      <c r="F7568" t="n">
        <v>22</v>
      </c>
    </row>
    <row r="7569">
      <c r="A7569" t="inlineStr">
        <is>
          <t>ORD07568</t>
        </is>
      </c>
      <c r="B7569" t="inlineStr">
        <is>
          <t>C0068</t>
        </is>
      </c>
      <c r="C7569" t="n">
        <v>2</v>
      </c>
      <c r="D7569" t="inlineStr">
        <is>
          <t>Hub C</t>
        </is>
      </c>
      <c r="E7569" t="n">
        <v>74</v>
      </c>
      <c r="F7569" t="n">
        <v>22</v>
      </c>
    </row>
    <row r="7570">
      <c r="A7570" t="inlineStr">
        <is>
          <t>ORD07569</t>
        </is>
      </c>
      <c r="B7570" t="inlineStr">
        <is>
          <t>C0069</t>
        </is>
      </c>
      <c r="C7570" t="n">
        <v>3</v>
      </c>
      <c r="D7570" t="inlineStr">
        <is>
          <t>Hub C</t>
        </is>
      </c>
      <c r="E7570" t="n">
        <v>21</v>
      </c>
      <c r="F7570" t="n">
        <v>22</v>
      </c>
    </row>
    <row r="7571">
      <c r="A7571" t="inlineStr">
        <is>
          <t>ORD07570</t>
        </is>
      </c>
      <c r="B7571" t="inlineStr">
        <is>
          <t>C0070</t>
        </is>
      </c>
      <c r="C7571" t="n">
        <v>1</v>
      </c>
      <c r="D7571" t="inlineStr">
        <is>
          <t>Hub C</t>
        </is>
      </c>
      <c r="E7571" t="n">
        <v>28</v>
      </c>
      <c r="F7571" t="n">
        <v>22</v>
      </c>
    </row>
    <row r="7572">
      <c r="A7572" t="inlineStr">
        <is>
          <t>ORD07571</t>
        </is>
      </c>
      <c r="B7572" t="inlineStr">
        <is>
          <t>C0071</t>
        </is>
      </c>
      <c r="C7572" t="n">
        <v>2</v>
      </c>
      <c r="D7572" t="inlineStr">
        <is>
          <t>Hub C</t>
        </is>
      </c>
      <c r="E7572" t="n">
        <v>35</v>
      </c>
      <c r="F7572" t="n">
        <v>22</v>
      </c>
    </row>
    <row r="7573">
      <c r="A7573" t="inlineStr">
        <is>
          <t>ORD07572</t>
        </is>
      </c>
      <c r="B7573" t="inlineStr">
        <is>
          <t>C0072</t>
        </is>
      </c>
      <c r="C7573" t="n">
        <v>3</v>
      </c>
      <c r="D7573" t="inlineStr">
        <is>
          <t>Hub C</t>
        </is>
      </c>
      <c r="E7573" t="n">
        <v>42</v>
      </c>
      <c r="F7573" t="n">
        <v>22</v>
      </c>
    </row>
    <row r="7574">
      <c r="A7574" t="inlineStr">
        <is>
          <t>ORD07573</t>
        </is>
      </c>
      <c r="B7574" t="inlineStr">
        <is>
          <t>C0073</t>
        </is>
      </c>
      <c r="C7574" t="n">
        <v>1</v>
      </c>
      <c r="D7574" t="inlineStr">
        <is>
          <t>Hub C</t>
        </is>
      </c>
      <c r="E7574" t="n">
        <v>49</v>
      </c>
      <c r="F7574" t="n">
        <v>22</v>
      </c>
    </row>
    <row r="7575">
      <c r="A7575" t="inlineStr">
        <is>
          <t>ORD07574</t>
        </is>
      </c>
      <c r="B7575" t="inlineStr">
        <is>
          <t>C0074</t>
        </is>
      </c>
      <c r="C7575" t="n">
        <v>2</v>
      </c>
      <c r="D7575" t="inlineStr">
        <is>
          <t>Hub C</t>
        </is>
      </c>
      <c r="E7575" t="n">
        <v>56</v>
      </c>
      <c r="F7575" t="n">
        <v>22</v>
      </c>
    </row>
    <row r="7576">
      <c r="A7576" t="inlineStr">
        <is>
          <t>ORD07575</t>
        </is>
      </c>
      <c r="B7576" t="inlineStr">
        <is>
          <t>C0075</t>
        </is>
      </c>
      <c r="C7576" t="n">
        <v>3</v>
      </c>
      <c r="D7576" t="inlineStr">
        <is>
          <t>Hub C</t>
        </is>
      </c>
      <c r="E7576" t="n">
        <v>63</v>
      </c>
      <c r="F7576" t="n">
        <v>22</v>
      </c>
    </row>
    <row r="7577">
      <c r="A7577" t="inlineStr">
        <is>
          <t>ORD07576</t>
        </is>
      </c>
      <c r="B7577" t="inlineStr">
        <is>
          <t>C0076</t>
        </is>
      </c>
      <c r="C7577" t="n">
        <v>1</v>
      </c>
      <c r="D7577" t="inlineStr">
        <is>
          <t>Hub C</t>
        </is>
      </c>
      <c r="E7577" t="n">
        <v>70</v>
      </c>
      <c r="F7577" t="n">
        <v>22</v>
      </c>
    </row>
    <row r="7578">
      <c r="A7578" t="inlineStr">
        <is>
          <t>ORD07577</t>
        </is>
      </c>
      <c r="B7578" t="inlineStr">
        <is>
          <t>C0077</t>
        </is>
      </c>
      <c r="C7578" t="n">
        <v>2</v>
      </c>
      <c r="D7578" t="inlineStr">
        <is>
          <t>Hub C</t>
        </is>
      </c>
      <c r="E7578" t="n">
        <v>77</v>
      </c>
      <c r="F7578" t="n">
        <v>22</v>
      </c>
    </row>
    <row r="7579">
      <c r="A7579" t="inlineStr">
        <is>
          <t>ORD07578</t>
        </is>
      </c>
      <c r="B7579" t="inlineStr">
        <is>
          <t>C0078</t>
        </is>
      </c>
      <c r="C7579" t="n">
        <v>3</v>
      </c>
      <c r="D7579" t="inlineStr">
        <is>
          <t>Hub C</t>
        </is>
      </c>
      <c r="E7579" t="n">
        <v>24</v>
      </c>
      <c r="F7579" t="n">
        <v>22</v>
      </c>
    </row>
    <row r="7580">
      <c r="A7580" t="inlineStr">
        <is>
          <t>ORD07579</t>
        </is>
      </c>
      <c r="B7580" t="inlineStr">
        <is>
          <t>C0079</t>
        </is>
      </c>
      <c r="C7580" t="n">
        <v>1</v>
      </c>
      <c r="D7580" t="inlineStr">
        <is>
          <t>Hub C</t>
        </is>
      </c>
      <c r="E7580" t="n">
        <v>31</v>
      </c>
      <c r="F7580" t="n">
        <v>22</v>
      </c>
    </row>
    <row r="7581">
      <c r="A7581" t="inlineStr">
        <is>
          <t>ORD07580</t>
        </is>
      </c>
      <c r="B7581" t="inlineStr">
        <is>
          <t>C0080</t>
        </is>
      </c>
      <c r="C7581" t="n">
        <v>2</v>
      </c>
      <c r="D7581" t="inlineStr">
        <is>
          <t>Hub C</t>
        </is>
      </c>
      <c r="E7581" t="n">
        <v>38</v>
      </c>
      <c r="F7581" t="n">
        <v>22</v>
      </c>
    </row>
    <row r="7582">
      <c r="A7582" t="inlineStr">
        <is>
          <t>ORD07581</t>
        </is>
      </c>
      <c r="B7582" t="inlineStr">
        <is>
          <t>C0081</t>
        </is>
      </c>
      <c r="C7582" t="n">
        <v>3</v>
      </c>
      <c r="D7582" t="inlineStr">
        <is>
          <t>Hub C</t>
        </is>
      </c>
      <c r="E7582" t="n">
        <v>45</v>
      </c>
      <c r="F7582" t="n">
        <v>22</v>
      </c>
    </row>
    <row r="7583">
      <c r="A7583" t="inlineStr">
        <is>
          <t>ORD07582</t>
        </is>
      </c>
      <c r="B7583" t="inlineStr">
        <is>
          <t>C0082</t>
        </is>
      </c>
      <c r="C7583" t="n">
        <v>1</v>
      </c>
      <c r="D7583" t="inlineStr">
        <is>
          <t>Hub C</t>
        </is>
      </c>
      <c r="E7583" t="n">
        <v>52</v>
      </c>
      <c r="F7583" t="n">
        <v>22</v>
      </c>
    </row>
    <row r="7584">
      <c r="A7584" t="inlineStr">
        <is>
          <t>ORD07583</t>
        </is>
      </c>
      <c r="B7584" t="inlineStr">
        <is>
          <t>C0083</t>
        </is>
      </c>
      <c r="C7584" t="n">
        <v>2</v>
      </c>
      <c r="D7584" t="inlineStr">
        <is>
          <t>Hub C</t>
        </is>
      </c>
      <c r="E7584" t="n">
        <v>59</v>
      </c>
      <c r="F7584" t="n">
        <v>22</v>
      </c>
    </row>
    <row r="7585">
      <c r="A7585" t="inlineStr">
        <is>
          <t>ORD07584</t>
        </is>
      </c>
      <c r="B7585" t="inlineStr">
        <is>
          <t>C0084</t>
        </is>
      </c>
      <c r="C7585" t="n">
        <v>3</v>
      </c>
      <c r="D7585" t="inlineStr">
        <is>
          <t>Hub C</t>
        </is>
      </c>
      <c r="E7585" t="n">
        <v>66</v>
      </c>
      <c r="F7585" t="n">
        <v>22</v>
      </c>
    </row>
    <row r="7586">
      <c r="A7586" t="inlineStr">
        <is>
          <t>ORD07585</t>
        </is>
      </c>
      <c r="B7586" t="inlineStr">
        <is>
          <t>C0085</t>
        </is>
      </c>
      <c r="C7586" t="n">
        <v>1</v>
      </c>
      <c r="D7586" t="inlineStr">
        <is>
          <t>Hub C</t>
        </is>
      </c>
      <c r="E7586" t="n">
        <v>73</v>
      </c>
      <c r="F7586" t="n">
        <v>22</v>
      </c>
    </row>
    <row r="7587">
      <c r="A7587" t="inlineStr">
        <is>
          <t>ORD07586</t>
        </is>
      </c>
      <c r="B7587" t="inlineStr">
        <is>
          <t>C0086</t>
        </is>
      </c>
      <c r="C7587" t="n">
        <v>2</v>
      </c>
      <c r="D7587" t="inlineStr">
        <is>
          <t>Hub C</t>
        </is>
      </c>
      <c r="E7587" t="n">
        <v>20</v>
      </c>
      <c r="F7587" t="n">
        <v>22</v>
      </c>
    </row>
    <row r="7588">
      <c r="A7588" t="inlineStr">
        <is>
          <t>ORD07587</t>
        </is>
      </c>
      <c r="B7588" t="inlineStr">
        <is>
          <t>C0087</t>
        </is>
      </c>
      <c r="C7588" t="n">
        <v>3</v>
      </c>
      <c r="D7588" t="inlineStr">
        <is>
          <t>Hub C</t>
        </is>
      </c>
      <c r="E7588" t="n">
        <v>27</v>
      </c>
      <c r="F7588" t="n">
        <v>22</v>
      </c>
    </row>
    <row r="7589">
      <c r="A7589" t="inlineStr">
        <is>
          <t>ORD07588</t>
        </is>
      </c>
      <c r="B7589" t="inlineStr">
        <is>
          <t>C0088</t>
        </is>
      </c>
      <c r="C7589" t="n">
        <v>1</v>
      </c>
      <c r="D7589" t="inlineStr">
        <is>
          <t>Hub C</t>
        </is>
      </c>
      <c r="E7589" t="n">
        <v>34</v>
      </c>
      <c r="F7589" t="n">
        <v>22</v>
      </c>
    </row>
    <row r="7590">
      <c r="A7590" t="inlineStr">
        <is>
          <t>ORD07589</t>
        </is>
      </c>
      <c r="B7590" t="inlineStr">
        <is>
          <t>C0089</t>
        </is>
      </c>
      <c r="C7590" t="n">
        <v>2</v>
      </c>
      <c r="D7590" t="inlineStr">
        <is>
          <t>Hub C</t>
        </is>
      </c>
      <c r="E7590" t="n">
        <v>41</v>
      </c>
      <c r="F7590" t="n">
        <v>22</v>
      </c>
    </row>
    <row r="7591">
      <c r="A7591" t="inlineStr">
        <is>
          <t>ORD07590</t>
        </is>
      </c>
      <c r="B7591" t="inlineStr">
        <is>
          <t>C0090</t>
        </is>
      </c>
      <c r="C7591" t="n">
        <v>3</v>
      </c>
      <c r="D7591" t="inlineStr">
        <is>
          <t>Hub C</t>
        </is>
      </c>
      <c r="E7591" t="n">
        <v>48</v>
      </c>
      <c r="F7591" t="n">
        <v>22</v>
      </c>
    </row>
    <row r="7592">
      <c r="A7592" t="inlineStr">
        <is>
          <t>ORD07591</t>
        </is>
      </c>
      <c r="B7592" t="inlineStr">
        <is>
          <t>C0091</t>
        </is>
      </c>
      <c r="C7592" t="n">
        <v>1</v>
      </c>
      <c r="D7592" t="inlineStr">
        <is>
          <t>Hub C</t>
        </is>
      </c>
      <c r="E7592" t="n">
        <v>55</v>
      </c>
      <c r="F7592" t="n">
        <v>22</v>
      </c>
    </row>
    <row r="7593">
      <c r="A7593" t="inlineStr">
        <is>
          <t>ORD07592</t>
        </is>
      </c>
      <c r="B7593" t="inlineStr">
        <is>
          <t>C0092</t>
        </is>
      </c>
      <c r="C7593" t="n">
        <v>2</v>
      </c>
      <c r="D7593" t="inlineStr">
        <is>
          <t>Hub C</t>
        </is>
      </c>
      <c r="E7593" t="n">
        <v>62</v>
      </c>
      <c r="F7593" t="n">
        <v>22</v>
      </c>
    </row>
    <row r="7594">
      <c r="A7594" t="inlineStr">
        <is>
          <t>ORD07593</t>
        </is>
      </c>
      <c r="B7594" t="inlineStr">
        <is>
          <t>C0093</t>
        </is>
      </c>
      <c r="C7594" t="n">
        <v>3</v>
      </c>
      <c r="D7594" t="inlineStr">
        <is>
          <t>Hub C</t>
        </is>
      </c>
      <c r="E7594" t="n">
        <v>69</v>
      </c>
      <c r="F7594" t="n">
        <v>22</v>
      </c>
    </row>
    <row r="7595">
      <c r="A7595" t="inlineStr">
        <is>
          <t>ORD07594</t>
        </is>
      </c>
      <c r="B7595" t="inlineStr">
        <is>
          <t>C0094</t>
        </is>
      </c>
      <c r="C7595" t="n">
        <v>1</v>
      </c>
      <c r="D7595" t="inlineStr">
        <is>
          <t>Hub C</t>
        </is>
      </c>
      <c r="E7595" t="n">
        <v>76</v>
      </c>
      <c r="F7595" t="n">
        <v>22</v>
      </c>
    </row>
    <row r="7596">
      <c r="A7596" t="inlineStr">
        <is>
          <t>ORD07595</t>
        </is>
      </c>
      <c r="B7596" t="inlineStr">
        <is>
          <t>C0095</t>
        </is>
      </c>
      <c r="C7596" t="n">
        <v>2</v>
      </c>
      <c r="D7596" t="inlineStr">
        <is>
          <t>Hub C</t>
        </is>
      </c>
      <c r="E7596" t="n">
        <v>23</v>
      </c>
      <c r="F7596" t="n">
        <v>22</v>
      </c>
    </row>
    <row r="7597">
      <c r="A7597" t="inlineStr">
        <is>
          <t>ORD07596</t>
        </is>
      </c>
      <c r="B7597" t="inlineStr">
        <is>
          <t>C0096</t>
        </is>
      </c>
      <c r="C7597" t="n">
        <v>3</v>
      </c>
      <c r="D7597" t="inlineStr">
        <is>
          <t>Hub C</t>
        </is>
      </c>
      <c r="E7597" t="n">
        <v>30</v>
      </c>
      <c r="F7597" t="n">
        <v>22</v>
      </c>
    </row>
    <row r="7598">
      <c r="A7598" t="inlineStr">
        <is>
          <t>ORD07597</t>
        </is>
      </c>
      <c r="B7598" t="inlineStr">
        <is>
          <t>C0097</t>
        </is>
      </c>
      <c r="C7598" t="n">
        <v>1</v>
      </c>
      <c r="D7598" t="inlineStr">
        <is>
          <t>Hub C</t>
        </is>
      </c>
      <c r="E7598" t="n">
        <v>37</v>
      </c>
      <c r="F7598" t="n">
        <v>22</v>
      </c>
    </row>
    <row r="7599">
      <c r="A7599" t="inlineStr">
        <is>
          <t>ORD07598</t>
        </is>
      </c>
      <c r="B7599" t="inlineStr">
        <is>
          <t>C0098</t>
        </is>
      </c>
      <c r="C7599" t="n">
        <v>2</v>
      </c>
      <c r="D7599" t="inlineStr">
        <is>
          <t>Hub C</t>
        </is>
      </c>
      <c r="E7599" t="n">
        <v>44</v>
      </c>
      <c r="F7599" t="n">
        <v>22</v>
      </c>
    </row>
    <row r="7600">
      <c r="A7600" t="inlineStr">
        <is>
          <t>ORD07599</t>
        </is>
      </c>
      <c r="B7600" t="inlineStr">
        <is>
          <t>C0099</t>
        </is>
      </c>
      <c r="C7600" t="n">
        <v>3</v>
      </c>
      <c r="D7600" t="inlineStr">
        <is>
          <t>Hub C</t>
        </is>
      </c>
      <c r="E7600" t="n">
        <v>51</v>
      </c>
      <c r="F7600" t="n">
        <v>22</v>
      </c>
    </row>
    <row r="7601">
      <c r="A7601" t="inlineStr">
        <is>
          <t>ORD07600</t>
        </is>
      </c>
      <c r="B7601" t="inlineStr">
        <is>
          <t>C0100</t>
        </is>
      </c>
      <c r="C7601" t="n">
        <v>1</v>
      </c>
      <c r="D7601" t="inlineStr">
        <is>
          <t>Hub C</t>
        </is>
      </c>
      <c r="E7601" t="n">
        <v>58</v>
      </c>
      <c r="F7601" t="n">
        <v>22</v>
      </c>
    </row>
    <row r="7602">
      <c r="A7602" t="inlineStr">
        <is>
          <t>ORD07601</t>
        </is>
      </c>
      <c r="B7602" t="inlineStr">
        <is>
          <t>C0101</t>
        </is>
      </c>
      <c r="C7602" t="n">
        <v>2</v>
      </c>
      <c r="D7602" t="inlineStr">
        <is>
          <t>Hub C</t>
        </is>
      </c>
      <c r="E7602" t="n">
        <v>65</v>
      </c>
      <c r="F7602" t="n">
        <v>22</v>
      </c>
    </row>
    <row r="7603">
      <c r="A7603" t="inlineStr">
        <is>
          <t>ORD07602</t>
        </is>
      </c>
      <c r="B7603" t="inlineStr">
        <is>
          <t>C0102</t>
        </is>
      </c>
      <c r="C7603" t="n">
        <v>3</v>
      </c>
      <c r="D7603" t="inlineStr">
        <is>
          <t>Hub C</t>
        </is>
      </c>
      <c r="E7603" t="n">
        <v>72</v>
      </c>
      <c r="F7603" t="n">
        <v>22</v>
      </c>
    </row>
    <row r="7604">
      <c r="A7604" t="inlineStr">
        <is>
          <t>ORD07603</t>
        </is>
      </c>
      <c r="B7604" t="inlineStr">
        <is>
          <t>C0103</t>
        </is>
      </c>
      <c r="C7604" t="n">
        <v>1</v>
      </c>
      <c r="D7604" t="inlineStr">
        <is>
          <t>Hub C</t>
        </is>
      </c>
      <c r="E7604" t="n">
        <v>19</v>
      </c>
      <c r="F7604" t="n">
        <v>22</v>
      </c>
    </row>
    <row r="7605">
      <c r="A7605" t="inlineStr">
        <is>
          <t>ORD07604</t>
        </is>
      </c>
      <c r="B7605" t="inlineStr">
        <is>
          <t>C0104</t>
        </is>
      </c>
      <c r="C7605" t="n">
        <v>2</v>
      </c>
      <c r="D7605" t="inlineStr">
        <is>
          <t>Hub C</t>
        </is>
      </c>
      <c r="E7605" t="n">
        <v>26</v>
      </c>
      <c r="F7605" t="n">
        <v>22</v>
      </c>
    </row>
    <row r="7606">
      <c r="A7606" t="inlineStr">
        <is>
          <t>ORD07605</t>
        </is>
      </c>
      <c r="B7606" t="inlineStr">
        <is>
          <t>C0105</t>
        </is>
      </c>
      <c r="C7606" t="n">
        <v>3</v>
      </c>
      <c r="D7606" t="inlineStr">
        <is>
          <t>Hub C</t>
        </is>
      </c>
      <c r="E7606" t="n">
        <v>33</v>
      </c>
      <c r="F7606" t="n">
        <v>22</v>
      </c>
    </row>
    <row r="7607">
      <c r="A7607" t="inlineStr">
        <is>
          <t>ORD07606</t>
        </is>
      </c>
      <c r="B7607" t="inlineStr">
        <is>
          <t>C0106</t>
        </is>
      </c>
      <c r="C7607" t="n">
        <v>1</v>
      </c>
      <c r="D7607" t="inlineStr">
        <is>
          <t>Hub C</t>
        </is>
      </c>
      <c r="E7607" t="n">
        <v>40</v>
      </c>
      <c r="F7607" t="n">
        <v>22</v>
      </c>
    </row>
    <row r="7608">
      <c r="A7608" t="inlineStr">
        <is>
          <t>ORD07607</t>
        </is>
      </c>
      <c r="B7608" t="inlineStr">
        <is>
          <t>C0107</t>
        </is>
      </c>
      <c r="C7608" t="n">
        <v>2</v>
      </c>
      <c r="D7608" t="inlineStr">
        <is>
          <t>Hub C</t>
        </is>
      </c>
      <c r="E7608" t="n">
        <v>47</v>
      </c>
      <c r="F7608" t="n">
        <v>22</v>
      </c>
    </row>
    <row r="7609">
      <c r="A7609" t="inlineStr">
        <is>
          <t>ORD07608</t>
        </is>
      </c>
      <c r="B7609" t="inlineStr">
        <is>
          <t>C0108</t>
        </is>
      </c>
      <c r="C7609" t="n">
        <v>3</v>
      </c>
      <c r="D7609" t="inlineStr">
        <is>
          <t>Hub C</t>
        </is>
      </c>
      <c r="E7609" t="n">
        <v>54</v>
      </c>
      <c r="F7609" t="n">
        <v>22</v>
      </c>
    </row>
    <row r="7610">
      <c r="A7610" t="inlineStr">
        <is>
          <t>ORD07609</t>
        </is>
      </c>
      <c r="B7610" t="inlineStr">
        <is>
          <t>C0109</t>
        </is>
      </c>
      <c r="C7610" t="n">
        <v>1</v>
      </c>
      <c r="D7610" t="inlineStr">
        <is>
          <t>Hub C</t>
        </is>
      </c>
      <c r="E7610" t="n">
        <v>61</v>
      </c>
      <c r="F7610" t="n">
        <v>22</v>
      </c>
    </row>
    <row r="7611">
      <c r="A7611" t="inlineStr">
        <is>
          <t>ORD07610</t>
        </is>
      </c>
      <c r="B7611" t="inlineStr">
        <is>
          <t>C0110</t>
        </is>
      </c>
      <c r="C7611" t="n">
        <v>2</v>
      </c>
      <c r="D7611" t="inlineStr">
        <is>
          <t>Hub C</t>
        </is>
      </c>
      <c r="E7611" t="n">
        <v>68</v>
      </c>
      <c r="F7611" t="n">
        <v>22</v>
      </c>
    </row>
    <row r="7612">
      <c r="A7612" t="inlineStr">
        <is>
          <t>ORD07611</t>
        </is>
      </c>
      <c r="B7612" t="inlineStr">
        <is>
          <t>C0111</t>
        </is>
      </c>
      <c r="C7612" t="n">
        <v>3</v>
      </c>
      <c r="D7612" t="inlineStr">
        <is>
          <t>Hub C</t>
        </is>
      </c>
      <c r="E7612" t="n">
        <v>75</v>
      </c>
      <c r="F7612" t="n">
        <v>22</v>
      </c>
    </row>
    <row r="7613">
      <c r="A7613" t="inlineStr">
        <is>
          <t>ORD07612</t>
        </is>
      </c>
      <c r="B7613" t="inlineStr">
        <is>
          <t>C0112</t>
        </is>
      </c>
      <c r="C7613" t="n">
        <v>1</v>
      </c>
      <c r="D7613" t="inlineStr">
        <is>
          <t>Hub C</t>
        </is>
      </c>
      <c r="E7613" t="n">
        <v>22</v>
      </c>
      <c r="F7613" t="n">
        <v>22</v>
      </c>
    </row>
    <row r="7614">
      <c r="A7614" t="inlineStr">
        <is>
          <t>ORD07613</t>
        </is>
      </c>
      <c r="B7614" t="inlineStr">
        <is>
          <t>C0113</t>
        </is>
      </c>
      <c r="C7614" t="n">
        <v>2</v>
      </c>
      <c r="D7614" t="inlineStr">
        <is>
          <t>Hub C</t>
        </is>
      </c>
      <c r="E7614" t="n">
        <v>29</v>
      </c>
      <c r="F7614" t="n">
        <v>22</v>
      </c>
    </row>
    <row r="7615">
      <c r="A7615" t="inlineStr">
        <is>
          <t>ORD07614</t>
        </is>
      </c>
      <c r="B7615" t="inlineStr">
        <is>
          <t>C0114</t>
        </is>
      </c>
      <c r="C7615" t="n">
        <v>3</v>
      </c>
      <c r="D7615" t="inlineStr">
        <is>
          <t>Hub C</t>
        </is>
      </c>
      <c r="E7615" t="n">
        <v>36</v>
      </c>
      <c r="F7615" t="n">
        <v>22</v>
      </c>
    </row>
    <row r="7616">
      <c r="A7616" t="inlineStr">
        <is>
          <t>ORD07615</t>
        </is>
      </c>
      <c r="B7616" t="inlineStr">
        <is>
          <t>C0115</t>
        </is>
      </c>
      <c r="C7616" t="n">
        <v>1</v>
      </c>
      <c r="D7616" t="inlineStr">
        <is>
          <t>Hub C</t>
        </is>
      </c>
      <c r="E7616" t="n">
        <v>43</v>
      </c>
      <c r="F7616" t="n">
        <v>22</v>
      </c>
    </row>
    <row r="7617">
      <c r="A7617" t="inlineStr">
        <is>
          <t>ORD07616</t>
        </is>
      </c>
      <c r="B7617" t="inlineStr">
        <is>
          <t>C0116</t>
        </is>
      </c>
      <c r="C7617" t="n">
        <v>2</v>
      </c>
      <c r="D7617" t="inlineStr">
        <is>
          <t>Hub C</t>
        </is>
      </c>
      <c r="E7617" t="n">
        <v>50</v>
      </c>
      <c r="F7617" t="n">
        <v>22</v>
      </c>
    </row>
    <row r="7618">
      <c r="A7618" t="inlineStr">
        <is>
          <t>ORD07617</t>
        </is>
      </c>
      <c r="B7618" t="inlineStr">
        <is>
          <t>C0117</t>
        </is>
      </c>
      <c r="C7618" t="n">
        <v>3</v>
      </c>
      <c r="D7618" t="inlineStr">
        <is>
          <t>Hub C</t>
        </is>
      </c>
      <c r="E7618" t="n">
        <v>57</v>
      </c>
      <c r="F7618" t="n">
        <v>22</v>
      </c>
    </row>
    <row r="7619">
      <c r="A7619" t="inlineStr">
        <is>
          <t>ORD07618</t>
        </is>
      </c>
      <c r="B7619" t="inlineStr">
        <is>
          <t>C0118</t>
        </is>
      </c>
      <c r="C7619" t="n">
        <v>1</v>
      </c>
      <c r="D7619" t="inlineStr">
        <is>
          <t>Hub C</t>
        </is>
      </c>
      <c r="E7619" t="n">
        <v>64</v>
      </c>
      <c r="F7619" t="n">
        <v>22</v>
      </c>
    </row>
    <row r="7620">
      <c r="A7620" t="inlineStr">
        <is>
          <t>ORD07619</t>
        </is>
      </c>
      <c r="B7620" t="inlineStr">
        <is>
          <t>C0119</t>
        </is>
      </c>
      <c r="C7620" t="n">
        <v>2</v>
      </c>
      <c r="D7620" t="inlineStr">
        <is>
          <t>Hub C</t>
        </is>
      </c>
      <c r="E7620" t="n">
        <v>71</v>
      </c>
      <c r="F7620" t="n">
        <v>22</v>
      </c>
    </row>
    <row r="7621">
      <c r="A7621" t="inlineStr">
        <is>
          <t>ORD07620</t>
        </is>
      </c>
      <c r="B7621" t="inlineStr">
        <is>
          <t>C0120</t>
        </is>
      </c>
      <c r="C7621" t="n">
        <v>3</v>
      </c>
      <c r="D7621" t="inlineStr">
        <is>
          <t>Hub C</t>
        </is>
      </c>
      <c r="E7621" t="n">
        <v>18</v>
      </c>
      <c r="F7621" t="n">
        <v>22</v>
      </c>
    </row>
    <row r="7622">
      <c r="A7622" t="inlineStr">
        <is>
          <t>ORD07621</t>
        </is>
      </c>
      <c r="B7622" t="inlineStr">
        <is>
          <t>C0121</t>
        </is>
      </c>
      <c r="C7622" t="n">
        <v>1</v>
      </c>
      <c r="D7622" t="inlineStr">
        <is>
          <t>Hub C</t>
        </is>
      </c>
      <c r="E7622" t="n">
        <v>25</v>
      </c>
      <c r="F7622" t="n">
        <v>22</v>
      </c>
    </row>
    <row r="7623">
      <c r="A7623" t="inlineStr">
        <is>
          <t>ORD07622</t>
        </is>
      </c>
      <c r="B7623" t="inlineStr">
        <is>
          <t>C0122</t>
        </is>
      </c>
      <c r="C7623" t="n">
        <v>2</v>
      </c>
      <c r="D7623" t="inlineStr">
        <is>
          <t>Hub C</t>
        </is>
      </c>
      <c r="E7623" t="n">
        <v>32</v>
      </c>
      <c r="F7623" t="n">
        <v>22</v>
      </c>
    </row>
    <row r="7624">
      <c r="A7624" t="inlineStr">
        <is>
          <t>ORD07623</t>
        </is>
      </c>
      <c r="B7624" t="inlineStr">
        <is>
          <t>C0123</t>
        </is>
      </c>
      <c r="C7624" t="n">
        <v>3</v>
      </c>
      <c r="D7624" t="inlineStr">
        <is>
          <t>Hub C</t>
        </is>
      </c>
      <c r="E7624" t="n">
        <v>39</v>
      </c>
      <c r="F7624" t="n">
        <v>22</v>
      </c>
    </row>
    <row r="7625">
      <c r="A7625" t="inlineStr">
        <is>
          <t>ORD07624</t>
        </is>
      </c>
      <c r="B7625" t="inlineStr">
        <is>
          <t>C0124</t>
        </is>
      </c>
      <c r="C7625" t="n">
        <v>1</v>
      </c>
      <c r="D7625" t="inlineStr">
        <is>
          <t>Hub C</t>
        </is>
      </c>
      <c r="E7625" t="n">
        <v>46</v>
      </c>
      <c r="F7625" t="n">
        <v>22</v>
      </c>
    </row>
    <row r="7626">
      <c r="A7626" t="inlineStr">
        <is>
          <t>ORD07625</t>
        </is>
      </c>
      <c r="B7626" t="inlineStr">
        <is>
          <t>C0125</t>
        </is>
      </c>
      <c r="C7626" t="n">
        <v>2</v>
      </c>
      <c r="D7626" t="inlineStr">
        <is>
          <t>Hub C</t>
        </is>
      </c>
      <c r="E7626" t="n">
        <v>53</v>
      </c>
      <c r="F7626" t="n">
        <v>22</v>
      </c>
    </row>
    <row r="7627">
      <c r="A7627" t="inlineStr">
        <is>
          <t>ORD07626</t>
        </is>
      </c>
      <c r="B7627" t="inlineStr">
        <is>
          <t>C0126</t>
        </is>
      </c>
      <c r="C7627" t="n">
        <v>3</v>
      </c>
      <c r="D7627" t="inlineStr">
        <is>
          <t>Hub C</t>
        </is>
      </c>
      <c r="E7627" t="n">
        <v>60</v>
      </c>
      <c r="F7627" t="n">
        <v>22</v>
      </c>
    </row>
    <row r="7628">
      <c r="A7628" t="inlineStr">
        <is>
          <t>ORD07627</t>
        </is>
      </c>
      <c r="B7628" t="inlineStr">
        <is>
          <t>C0127</t>
        </is>
      </c>
      <c r="C7628" t="n">
        <v>1</v>
      </c>
      <c r="D7628" t="inlineStr">
        <is>
          <t>Hub C</t>
        </is>
      </c>
      <c r="E7628" t="n">
        <v>67</v>
      </c>
      <c r="F7628" t="n">
        <v>22</v>
      </c>
    </row>
    <row r="7629">
      <c r="A7629" t="inlineStr">
        <is>
          <t>ORD07628</t>
        </is>
      </c>
      <c r="B7629" t="inlineStr">
        <is>
          <t>C0128</t>
        </is>
      </c>
      <c r="C7629" t="n">
        <v>2</v>
      </c>
      <c r="D7629" t="inlineStr">
        <is>
          <t>Hub C</t>
        </is>
      </c>
      <c r="E7629" t="n">
        <v>74</v>
      </c>
      <c r="F7629" t="n">
        <v>22</v>
      </c>
    </row>
    <row r="7630">
      <c r="A7630" t="inlineStr">
        <is>
          <t>ORD07629</t>
        </is>
      </c>
      <c r="B7630" t="inlineStr">
        <is>
          <t>C0129</t>
        </is>
      </c>
      <c r="C7630" t="n">
        <v>3</v>
      </c>
      <c r="D7630" t="inlineStr">
        <is>
          <t>Hub C</t>
        </is>
      </c>
      <c r="E7630" t="n">
        <v>21</v>
      </c>
      <c r="F7630" t="n">
        <v>22</v>
      </c>
    </row>
    <row r="7631">
      <c r="A7631" t="inlineStr">
        <is>
          <t>ORD07630</t>
        </is>
      </c>
      <c r="B7631" t="inlineStr">
        <is>
          <t>C0130</t>
        </is>
      </c>
      <c r="C7631" t="n">
        <v>1</v>
      </c>
      <c r="D7631" t="inlineStr">
        <is>
          <t>Hub C</t>
        </is>
      </c>
      <c r="E7631" t="n">
        <v>28</v>
      </c>
      <c r="F7631" t="n">
        <v>22</v>
      </c>
    </row>
    <row r="7632">
      <c r="A7632" t="inlineStr">
        <is>
          <t>ORD07631</t>
        </is>
      </c>
      <c r="B7632" t="inlineStr">
        <is>
          <t>C0131</t>
        </is>
      </c>
      <c r="C7632" t="n">
        <v>2</v>
      </c>
      <c r="D7632" t="inlineStr">
        <is>
          <t>Hub C</t>
        </is>
      </c>
      <c r="E7632" t="n">
        <v>35</v>
      </c>
      <c r="F7632" t="n">
        <v>22</v>
      </c>
    </row>
    <row r="7633">
      <c r="A7633" t="inlineStr">
        <is>
          <t>ORD07632</t>
        </is>
      </c>
      <c r="B7633" t="inlineStr">
        <is>
          <t>C0132</t>
        </is>
      </c>
      <c r="C7633" t="n">
        <v>3</v>
      </c>
      <c r="D7633" t="inlineStr">
        <is>
          <t>Hub C</t>
        </is>
      </c>
      <c r="E7633" t="n">
        <v>42</v>
      </c>
      <c r="F7633" t="n">
        <v>22</v>
      </c>
    </row>
    <row r="7634">
      <c r="A7634" t="inlineStr">
        <is>
          <t>ORD07633</t>
        </is>
      </c>
      <c r="B7634" t="inlineStr">
        <is>
          <t>C0133</t>
        </is>
      </c>
      <c r="C7634" t="n">
        <v>1</v>
      </c>
      <c r="D7634" t="inlineStr">
        <is>
          <t>Hub C</t>
        </is>
      </c>
      <c r="E7634" t="n">
        <v>49</v>
      </c>
      <c r="F7634" t="n">
        <v>22</v>
      </c>
    </row>
    <row r="7635">
      <c r="A7635" t="inlineStr">
        <is>
          <t>ORD07634</t>
        </is>
      </c>
      <c r="B7635" t="inlineStr">
        <is>
          <t>C0134</t>
        </is>
      </c>
      <c r="C7635" t="n">
        <v>2</v>
      </c>
      <c r="D7635" t="inlineStr">
        <is>
          <t>Hub C</t>
        </is>
      </c>
      <c r="E7635" t="n">
        <v>56</v>
      </c>
      <c r="F7635" t="n">
        <v>22</v>
      </c>
    </row>
    <row r="7636">
      <c r="A7636" t="inlineStr">
        <is>
          <t>ORD07635</t>
        </is>
      </c>
      <c r="B7636" t="inlineStr">
        <is>
          <t>C0135</t>
        </is>
      </c>
      <c r="C7636" t="n">
        <v>3</v>
      </c>
      <c r="D7636" t="inlineStr">
        <is>
          <t>Hub C</t>
        </is>
      </c>
      <c r="E7636" t="n">
        <v>63</v>
      </c>
      <c r="F7636" t="n">
        <v>22</v>
      </c>
    </row>
    <row r="7637">
      <c r="A7637" t="inlineStr">
        <is>
          <t>ORD07636</t>
        </is>
      </c>
      <c r="B7637" t="inlineStr">
        <is>
          <t>C0136</t>
        </is>
      </c>
      <c r="C7637" t="n">
        <v>1</v>
      </c>
      <c r="D7637" t="inlineStr">
        <is>
          <t>Hub C</t>
        </is>
      </c>
      <c r="E7637" t="n">
        <v>70</v>
      </c>
      <c r="F7637" t="n">
        <v>22</v>
      </c>
    </row>
    <row r="7638">
      <c r="A7638" t="inlineStr">
        <is>
          <t>ORD07637</t>
        </is>
      </c>
      <c r="B7638" t="inlineStr">
        <is>
          <t>C0137</t>
        </is>
      </c>
      <c r="C7638" t="n">
        <v>2</v>
      </c>
      <c r="D7638" t="inlineStr">
        <is>
          <t>Hub C</t>
        </is>
      </c>
      <c r="E7638" t="n">
        <v>77</v>
      </c>
      <c r="F7638" t="n">
        <v>22</v>
      </c>
    </row>
    <row r="7639">
      <c r="A7639" t="inlineStr">
        <is>
          <t>ORD07638</t>
        </is>
      </c>
      <c r="B7639" t="inlineStr">
        <is>
          <t>C0138</t>
        </is>
      </c>
      <c r="C7639" t="n">
        <v>3</v>
      </c>
      <c r="D7639" t="inlineStr">
        <is>
          <t>Hub C</t>
        </is>
      </c>
      <c r="E7639" t="n">
        <v>24</v>
      </c>
      <c r="F7639" t="n">
        <v>22</v>
      </c>
    </row>
    <row r="7640">
      <c r="A7640" t="inlineStr">
        <is>
          <t>ORD07639</t>
        </is>
      </c>
      <c r="B7640" t="inlineStr">
        <is>
          <t>C0139</t>
        </is>
      </c>
      <c r="C7640" t="n">
        <v>1</v>
      </c>
      <c r="D7640" t="inlineStr">
        <is>
          <t>Hub C</t>
        </is>
      </c>
      <c r="E7640" t="n">
        <v>31</v>
      </c>
      <c r="F7640" t="n">
        <v>22</v>
      </c>
    </row>
    <row r="7641">
      <c r="A7641" t="inlineStr">
        <is>
          <t>ORD07640</t>
        </is>
      </c>
      <c r="B7641" t="inlineStr">
        <is>
          <t>C0140</t>
        </is>
      </c>
      <c r="C7641" t="n">
        <v>2</v>
      </c>
      <c r="D7641" t="inlineStr">
        <is>
          <t>Hub C</t>
        </is>
      </c>
      <c r="E7641" t="n">
        <v>38</v>
      </c>
      <c r="F7641" t="n">
        <v>22</v>
      </c>
    </row>
    <row r="7642">
      <c r="A7642" t="inlineStr">
        <is>
          <t>ORD07641</t>
        </is>
      </c>
      <c r="B7642" t="inlineStr">
        <is>
          <t>C0141</t>
        </is>
      </c>
      <c r="C7642" t="n">
        <v>3</v>
      </c>
      <c r="D7642" t="inlineStr">
        <is>
          <t>Hub C</t>
        </is>
      </c>
      <c r="E7642" t="n">
        <v>45</v>
      </c>
      <c r="F7642" t="n">
        <v>22</v>
      </c>
    </row>
    <row r="7643">
      <c r="A7643" t="inlineStr">
        <is>
          <t>ORD07642</t>
        </is>
      </c>
      <c r="B7643" t="inlineStr">
        <is>
          <t>C0142</t>
        </is>
      </c>
      <c r="C7643" t="n">
        <v>1</v>
      </c>
      <c r="D7643" t="inlineStr">
        <is>
          <t>Hub C</t>
        </is>
      </c>
      <c r="E7643" t="n">
        <v>52</v>
      </c>
      <c r="F7643" t="n">
        <v>22</v>
      </c>
    </row>
    <row r="7644">
      <c r="A7644" t="inlineStr">
        <is>
          <t>ORD07643</t>
        </is>
      </c>
      <c r="B7644" t="inlineStr">
        <is>
          <t>C0143</t>
        </is>
      </c>
      <c r="C7644" t="n">
        <v>2</v>
      </c>
      <c r="D7644" t="inlineStr">
        <is>
          <t>Hub C</t>
        </is>
      </c>
      <c r="E7644" t="n">
        <v>59</v>
      </c>
      <c r="F7644" t="n">
        <v>22</v>
      </c>
    </row>
    <row r="7645">
      <c r="A7645" t="inlineStr">
        <is>
          <t>ORD07644</t>
        </is>
      </c>
      <c r="B7645" t="inlineStr">
        <is>
          <t>C0144</t>
        </is>
      </c>
      <c r="C7645" t="n">
        <v>3</v>
      </c>
      <c r="D7645" t="inlineStr">
        <is>
          <t>Hub C</t>
        </is>
      </c>
      <c r="E7645" t="n">
        <v>66</v>
      </c>
      <c r="F7645" t="n">
        <v>22</v>
      </c>
    </row>
    <row r="7646">
      <c r="A7646" t="inlineStr">
        <is>
          <t>ORD07645</t>
        </is>
      </c>
      <c r="B7646" t="inlineStr">
        <is>
          <t>C0145</t>
        </is>
      </c>
      <c r="C7646" t="n">
        <v>1</v>
      </c>
      <c r="D7646" t="inlineStr">
        <is>
          <t>Hub C</t>
        </is>
      </c>
      <c r="E7646" t="n">
        <v>73</v>
      </c>
      <c r="F7646" t="n">
        <v>22</v>
      </c>
    </row>
    <row r="7647">
      <c r="A7647" t="inlineStr">
        <is>
          <t>ORD07646</t>
        </is>
      </c>
      <c r="B7647" t="inlineStr">
        <is>
          <t>C0146</t>
        </is>
      </c>
      <c r="C7647" t="n">
        <v>2</v>
      </c>
      <c r="D7647" t="inlineStr">
        <is>
          <t>Hub C</t>
        </is>
      </c>
      <c r="E7647" t="n">
        <v>20</v>
      </c>
      <c r="F7647" t="n">
        <v>22</v>
      </c>
    </row>
    <row r="7648">
      <c r="A7648" t="inlineStr">
        <is>
          <t>ORD07647</t>
        </is>
      </c>
      <c r="B7648" t="inlineStr">
        <is>
          <t>C0147</t>
        </is>
      </c>
      <c r="C7648" t="n">
        <v>3</v>
      </c>
      <c r="D7648" t="inlineStr">
        <is>
          <t>Hub C</t>
        </is>
      </c>
      <c r="E7648" t="n">
        <v>27</v>
      </c>
      <c r="F7648" t="n">
        <v>22</v>
      </c>
    </row>
    <row r="7649">
      <c r="A7649" t="inlineStr">
        <is>
          <t>ORD07648</t>
        </is>
      </c>
      <c r="B7649" t="inlineStr">
        <is>
          <t>C0148</t>
        </is>
      </c>
      <c r="C7649" t="n">
        <v>1</v>
      </c>
      <c r="D7649" t="inlineStr">
        <is>
          <t>Hub C</t>
        </is>
      </c>
      <c r="E7649" t="n">
        <v>34</v>
      </c>
      <c r="F7649" t="n">
        <v>22</v>
      </c>
    </row>
    <row r="7650">
      <c r="A7650" t="inlineStr">
        <is>
          <t>ORD07649</t>
        </is>
      </c>
      <c r="B7650" t="inlineStr">
        <is>
          <t>C0149</t>
        </is>
      </c>
      <c r="C7650" t="n">
        <v>2</v>
      </c>
      <c r="D7650" t="inlineStr">
        <is>
          <t>Hub C</t>
        </is>
      </c>
      <c r="E7650" t="n">
        <v>41</v>
      </c>
      <c r="F7650" t="n">
        <v>22</v>
      </c>
    </row>
    <row r="7651">
      <c r="A7651" t="inlineStr">
        <is>
          <t>ORD07650</t>
        </is>
      </c>
      <c r="B7651" t="inlineStr">
        <is>
          <t>C0150</t>
        </is>
      </c>
      <c r="C7651" t="n">
        <v>3</v>
      </c>
      <c r="D7651" t="inlineStr">
        <is>
          <t>Hub C</t>
        </is>
      </c>
      <c r="E7651" t="n">
        <v>48</v>
      </c>
      <c r="F7651" t="n">
        <v>22</v>
      </c>
    </row>
    <row r="7652">
      <c r="A7652" t="inlineStr">
        <is>
          <t>ORD07651</t>
        </is>
      </c>
      <c r="B7652" t="inlineStr">
        <is>
          <t>C0151</t>
        </is>
      </c>
      <c r="C7652" t="n">
        <v>1</v>
      </c>
      <c r="D7652" t="inlineStr">
        <is>
          <t>Hub C</t>
        </is>
      </c>
      <c r="E7652" t="n">
        <v>55</v>
      </c>
      <c r="F7652" t="n">
        <v>22</v>
      </c>
    </row>
    <row r="7653">
      <c r="A7653" t="inlineStr">
        <is>
          <t>ORD07652</t>
        </is>
      </c>
      <c r="B7653" t="inlineStr">
        <is>
          <t>C0152</t>
        </is>
      </c>
      <c r="C7653" t="n">
        <v>2</v>
      </c>
      <c r="D7653" t="inlineStr">
        <is>
          <t>Hub C</t>
        </is>
      </c>
      <c r="E7653" t="n">
        <v>62</v>
      </c>
      <c r="F7653" t="n">
        <v>22</v>
      </c>
    </row>
    <row r="7654">
      <c r="A7654" t="inlineStr">
        <is>
          <t>ORD07653</t>
        </is>
      </c>
      <c r="B7654" t="inlineStr">
        <is>
          <t>C0153</t>
        </is>
      </c>
      <c r="C7654" t="n">
        <v>3</v>
      </c>
      <c r="D7654" t="inlineStr">
        <is>
          <t>Hub C</t>
        </is>
      </c>
      <c r="E7654" t="n">
        <v>69</v>
      </c>
      <c r="F7654" t="n">
        <v>22</v>
      </c>
    </row>
    <row r="7655">
      <c r="A7655" t="inlineStr">
        <is>
          <t>ORD07654</t>
        </is>
      </c>
      <c r="B7655" t="inlineStr">
        <is>
          <t>C0154</t>
        </is>
      </c>
      <c r="C7655" t="n">
        <v>1</v>
      </c>
      <c r="D7655" t="inlineStr">
        <is>
          <t>Hub C</t>
        </is>
      </c>
      <c r="E7655" t="n">
        <v>76</v>
      </c>
      <c r="F7655" t="n">
        <v>22</v>
      </c>
    </row>
    <row r="7656">
      <c r="A7656" t="inlineStr">
        <is>
          <t>ORD07655</t>
        </is>
      </c>
      <c r="B7656" t="inlineStr">
        <is>
          <t>C0155</t>
        </is>
      </c>
      <c r="C7656" t="n">
        <v>2</v>
      </c>
      <c r="D7656" t="inlineStr">
        <is>
          <t>Hub C</t>
        </is>
      </c>
      <c r="E7656" t="n">
        <v>23</v>
      </c>
      <c r="F7656" t="n">
        <v>22</v>
      </c>
    </row>
    <row r="7657">
      <c r="A7657" t="inlineStr">
        <is>
          <t>ORD07656</t>
        </is>
      </c>
      <c r="B7657" t="inlineStr">
        <is>
          <t>C0156</t>
        </is>
      </c>
      <c r="C7657" t="n">
        <v>3</v>
      </c>
      <c r="D7657" t="inlineStr">
        <is>
          <t>Hub C</t>
        </is>
      </c>
      <c r="E7657" t="n">
        <v>30</v>
      </c>
      <c r="F7657" t="n">
        <v>22</v>
      </c>
    </row>
    <row r="7658">
      <c r="A7658" t="inlineStr">
        <is>
          <t>ORD07657</t>
        </is>
      </c>
      <c r="B7658" t="inlineStr">
        <is>
          <t>C0157</t>
        </is>
      </c>
      <c r="C7658" t="n">
        <v>1</v>
      </c>
      <c r="D7658" t="inlineStr">
        <is>
          <t>Hub C</t>
        </is>
      </c>
      <c r="E7658" t="n">
        <v>37</v>
      </c>
      <c r="F7658" t="n">
        <v>22</v>
      </c>
    </row>
    <row r="7659">
      <c r="A7659" t="inlineStr">
        <is>
          <t>ORD07658</t>
        </is>
      </c>
      <c r="B7659" t="inlineStr">
        <is>
          <t>C0158</t>
        </is>
      </c>
      <c r="C7659" t="n">
        <v>2</v>
      </c>
      <c r="D7659" t="inlineStr">
        <is>
          <t>Hub C</t>
        </is>
      </c>
      <c r="E7659" t="n">
        <v>44</v>
      </c>
      <c r="F7659" t="n">
        <v>22</v>
      </c>
    </row>
    <row r="7660">
      <c r="A7660" t="inlineStr">
        <is>
          <t>ORD07659</t>
        </is>
      </c>
      <c r="B7660" t="inlineStr">
        <is>
          <t>C0159</t>
        </is>
      </c>
      <c r="C7660" t="n">
        <v>3</v>
      </c>
      <c r="D7660" t="inlineStr">
        <is>
          <t>Hub C</t>
        </is>
      </c>
      <c r="E7660" t="n">
        <v>51</v>
      </c>
      <c r="F7660" t="n">
        <v>22</v>
      </c>
    </row>
    <row r="7661">
      <c r="A7661" t="inlineStr">
        <is>
          <t>ORD07660</t>
        </is>
      </c>
      <c r="B7661" t="inlineStr">
        <is>
          <t>C0160</t>
        </is>
      </c>
      <c r="C7661" t="n">
        <v>1</v>
      </c>
      <c r="D7661" t="inlineStr">
        <is>
          <t>Hub C</t>
        </is>
      </c>
      <c r="E7661" t="n">
        <v>58</v>
      </c>
      <c r="F7661" t="n">
        <v>22</v>
      </c>
    </row>
    <row r="7662">
      <c r="A7662" t="inlineStr">
        <is>
          <t>ORD07661</t>
        </is>
      </c>
      <c r="B7662" t="inlineStr">
        <is>
          <t>C0161</t>
        </is>
      </c>
      <c r="C7662" t="n">
        <v>2</v>
      </c>
      <c r="D7662" t="inlineStr">
        <is>
          <t>Hub C</t>
        </is>
      </c>
      <c r="E7662" t="n">
        <v>65</v>
      </c>
      <c r="F7662" t="n">
        <v>22</v>
      </c>
    </row>
    <row r="7663">
      <c r="A7663" t="inlineStr">
        <is>
          <t>ORD07662</t>
        </is>
      </c>
      <c r="B7663" t="inlineStr">
        <is>
          <t>C0162</t>
        </is>
      </c>
      <c r="C7663" t="n">
        <v>3</v>
      </c>
      <c r="D7663" t="inlineStr">
        <is>
          <t>Hub C</t>
        </is>
      </c>
      <c r="E7663" t="n">
        <v>72</v>
      </c>
      <c r="F7663" t="n">
        <v>22</v>
      </c>
    </row>
    <row r="7664">
      <c r="A7664" t="inlineStr">
        <is>
          <t>ORD07663</t>
        </is>
      </c>
      <c r="B7664" t="inlineStr">
        <is>
          <t>C0163</t>
        </is>
      </c>
      <c r="C7664" t="n">
        <v>1</v>
      </c>
      <c r="D7664" t="inlineStr">
        <is>
          <t>Hub C</t>
        </is>
      </c>
      <c r="E7664" t="n">
        <v>19</v>
      </c>
      <c r="F7664" t="n">
        <v>22</v>
      </c>
    </row>
    <row r="7665">
      <c r="A7665" t="inlineStr">
        <is>
          <t>ORD07664</t>
        </is>
      </c>
      <c r="B7665" t="inlineStr">
        <is>
          <t>C0164</t>
        </is>
      </c>
      <c r="C7665" t="n">
        <v>2</v>
      </c>
      <c r="D7665" t="inlineStr">
        <is>
          <t>Hub C</t>
        </is>
      </c>
      <c r="E7665" t="n">
        <v>26</v>
      </c>
      <c r="F7665" t="n">
        <v>22</v>
      </c>
    </row>
    <row r="7666">
      <c r="A7666" t="inlineStr">
        <is>
          <t>ORD07665</t>
        </is>
      </c>
      <c r="B7666" t="inlineStr">
        <is>
          <t>C0165</t>
        </is>
      </c>
      <c r="C7666" t="n">
        <v>3</v>
      </c>
      <c r="D7666" t="inlineStr">
        <is>
          <t>Hub C</t>
        </is>
      </c>
      <c r="E7666" t="n">
        <v>33</v>
      </c>
      <c r="F7666" t="n">
        <v>22</v>
      </c>
    </row>
    <row r="7667">
      <c r="A7667" t="inlineStr">
        <is>
          <t>ORD07666</t>
        </is>
      </c>
      <c r="B7667" t="inlineStr">
        <is>
          <t>C0166</t>
        </is>
      </c>
      <c r="C7667" t="n">
        <v>1</v>
      </c>
      <c r="D7667" t="inlineStr">
        <is>
          <t>Hub C</t>
        </is>
      </c>
      <c r="E7667" t="n">
        <v>40</v>
      </c>
      <c r="F7667" t="n">
        <v>22</v>
      </c>
    </row>
    <row r="7668">
      <c r="A7668" t="inlineStr">
        <is>
          <t>ORD07667</t>
        </is>
      </c>
      <c r="B7668" t="inlineStr">
        <is>
          <t>C0167</t>
        </is>
      </c>
      <c r="C7668" t="n">
        <v>2</v>
      </c>
      <c r="D7668" t="inlineStr">
        <is>
          <t>Hub C</t>
        </is>
      </c>
      <c r="E7668" t="n">
        <v>47</v>
      </c>
      <c r="F7668" t="n">
        <v>22</v>
      </c>
    </row>
    <row r="7669">
      <c r="A7669" t="inlineStr">
        <is>
          <t>ORD07668</t>
        </is>
      </c>
      <c r="B7669" t="inlineStr">
        <is>
          <t>C0168</t>
        </is>
      </c>
      <c r="C7669" t="n">
        <v>3</v>
      </c>
      <c r="D7669" t="inlineStr">
        <is>
          <t>Hub C</t>
        </is>
      </c>
      <c r="E7669" t="n">
        <v>54</v>
      </c>
      <c r="F7669" t="n">
        <v>22</v>
      </c>
    </row>
    <row r="7670">
      <c r="A7670" t="inlineStr">
        <is>
          <t>ORD07669</t>
        </is>
      </c>
      <c r="B7670" t="inlineStr">
        <is>
          <t>C0169</t>
        </is>
      </c>
      <c r="C7670" t="n">
        <v>1</v>
      </c>
      <c r="D7670" t="inlineStr">
        <is>
          <t>Hub C</t>
        </is>
      </c>
      <c r="E7670" t="n">
        <v>61</v>
      </c>
      <c r="F7670" t="n">
        <v>22</v>
      </c>
    </row>
    <row r="7671">
      <c r="A7671" t="inlineStr">
        <is>
          <t>ORD07670</t>
        </is>
      </c>
      <c r="B7671" t="inlineStr">
        <is>
          <t>C0170</t>
        </is>
      </c>
      <c r="C7671" t="n">
        <v>2</v>
      </c>
      <c r="D7671" t="inlineStr">
        <is>
          <t>Hub C</t>
        </is>
      </c>
      <c r="E7671" t="n">
        <v>68</v>
      </c>
      <c r="F7671" t="n">
        <v>22</v>
      </c>
    </row>
    <row r="7672">
      <c r="A7672" t="inlineStr">
        <is>
          <t>ORD07671</t>
        </is>
      </c>
      <c r="B7672" t="inlineStr">
        <is>
          <t>C0171</t>
        </is>
      </c>
      <c r="C7672" t="n">
        <v>3</v>
      </c>
      <c r="D7672" t="inlineStr">
        <is>
          <t>Hub C</t>
        </is>
      </c>
      <c r="E7672" t="n">
        <v>75</v>
      </c>
      <c r="F7672" t="n">
        <v>22</v>
      </c>
    </row>
    <row r="7673">
      <c r="A7673" t="inlineStr">
        <is>
          <t>ORD07672</t>
        </is>
      </c>
      <c r="B7673" t="inlineStr">
        <is>
          <t>C0172</t>
        </is>
      </c>
      <c r="C7673" t="n">
        <v>1</v>
      </c>
      <c r="D7673" t="inlineStr">
        <is>
          <t>Hub C</t>
        </is>
      </c>
      <c r="E7673" t="n">
        <v>22</v>
      </c>
      <c r="F7673" t="n">
        <v>22</v>
      </c>
    </row>
    <row r="7674">
      <c r="A7674" t="inlineStr">
        <is>
          <t>ORD07673</t>
        </is>
      </c>
      <c r="B7674" t="inlineStr">
        <is>
          <t>C0173</t>
        </is>
      </c>
      <c r="C7674" t="n">
        <v>2</v>
      </c>
      <c r="D7674" t="inlineStr">
        <is>
          <t>Hub C</t>
        </is>
      </c>
      <c r="E7674" t="n">
        <v>29</v>
      </c>
      <c r="F7674" t="n">
        <v>22</v>
      </c>
    </row>
    <row r="7675">
      <c r="A7675" t="inlineStr">
        <is>
          <t>ORD07674</t>
        </is>
      </c>
      <c r="B7675" t="inlineStr">
        <is>
          <t>C0174</t>
        </is>
      </c>
      <c r="C7675" t="n">
        <v>3</v>
      </c>
      <c r="D7675" t="inlineStr">
        <is>
          <t>Hub C</t>
        </is>
      </c>
      <c r="E7675" t="n">
        <v>36</v>
      </c>
      <c r="F7675" t="n">
        <v>22</v>
      </c>
    </row>
    <row r="7676">
      <c r="A7676" t="inlineStr">
        <is>
          <t>ORD07675</t>
        </is>
      </c>
      <c r="B7676" t="inlineStr">
        <is>
          <t>C0175</t>
        </is>
      </c>
      <c r="C7676" t="n">
        <v>1</v>
      </c>
      <c r="D7676" t="inlineStr">
        <is>
          <t>Hub C</t>
        </is>
      </c>
      <c r="E7676" t="n">
        <v>43</v>
      </c>
      <c r="F7676" t="n">
        <v>22</v>
      </c>
    </row>
    <row r="7677">
      <c r="A7677" t="inlineStr">
        <is>
          <t>ORD07676</t>
        </is>
      </c>
      <c r="B7677" t="inlineStr">
        <is>
          <t>C0176</t>
        </is>
      </c>
      <c r="C7677" t="n">
        <v>2</v>
      </c>
      <c r="D7677" t="inlineStr">
        <is>
          <t>Hub C</t>
        </is>
      </c>
      <c r="E7677" t="n">
        <v>50</v>
      </c>
      <c r="F7677" t="n">
        <v>22</v>
      </c>
    </row>
    <row r="7678">
      <c r="A7678" t="inlineStr">
        <is>
          <t>ORD07677</t>
        </is>
      </c>
      <c r="B7678" t="inlineStr">
        <is>
          <t>C0177</t>
        </is>
      </c>
      <c r="C7678" t="n">
        <v>3</v>
      </c>
      <c r="D7678" t="inlineStr">
        <is>
          <t>Hub C</t>
        </is>
      </c>
      <c r="E7678" t="n">
        <v>57</v>
      </c>
      <c r="F7678" t="n">
        <v>22</v>
      </c>
    </row>
    <row r="7679">
      <c r="A7679" t="inlineStr">
        <is>
          <t>ORD07678</t>
        </is>
      </c>
      <c r="B7679" t="inlineStr">
        <is>
          <t>C0178</t>
        </is>
      </c>
      <c r="C7679" t="n">
        <v>1</v>
      </c>
      <c r="D7679" t="inlineStr">
        <is>
          <t>Hub C</t>
        </is>
      </c>
      <c r="E7679" t="n">
        <v>64</v>
      </c>
      <c r="F7679" t="n">
        <v>22</v>
      </c>
    </row>
    <row r="7680">
      <c r="A7680" t="inlineStr">
        <is>
          <t>ORD07679</t>
        </is>
      </c>
      <c r="B7680" t="inlineStr">
        <is>
          <t>C0179</t>
        </is>
      </c>
      <c r="C7680" t="n">
        <v>2</v>
      </c>
      <c r="D7680" t="inlineStr">
        <is>
          <t>Hub C</t>
        </is>
      </c>
      <c r="E7680" t="n">
        <v>71</v>
      </c>
      <c r="F7680" t="n">
        <v>22</v>
      </c>
    </row>
    <row r="7681">
      <c r="A7681" t="inlineStr">
        <is>
          <t>ORD07680</t>
        </is>
      </c>
      <c r="B7681" t="inlineStr">
        <is>
          <t>C0180</t>
        </is>
      </c>
      <c r="C7681" t="n">
        <v>3</v>
      </c>
      <c r="D7681" t="inlineStr">
        <is>
          <t>Hub C</t>
        </is>
      </c>
      <c r="E7681" t="n">
        <v>18</v>
      </c>
      <c r="F7681" t="n">
        <v>22</v>
      </c>
    </row>
    <row r="7682">
      <c r="A7682" t="inlineStr">
        <is>
          <t>ORD07681</t>
        </is>
      </c>
      <c r="B7682" t="inlineStr">
        <is>
          <t>C0181</t>
        </is>
      </c>
      <c r="C7682" t="n">
        <v>1</v>
      </c>
      <c r="D7682" t="inlineStr">
        <is>
          <t>Hub C</t>
        </is>
      </c>
      <c r="E7682" t="n">
        <v>25</v>
      </c>
      <c r="F7682" t="n">
        <v>22</v>
      </c>
    </row>
    <row r="7683">
      <c r="A7683" t="inlineStr">
        <is>
          <t>ORD07682</t>
        </is>
      </c>
      <c r="B7683" t="inlineStr">
        <is>
          <t>C0182</t>
        </is>
      </c>
      <c r="C7683" t="n">
        <v>2</v>
      </c>
      <c r="D7683" t="inlineStr">
        <is>
          <t>Hub C</t>
        </is>
      </c>
      <c r="E7683" t="n">
        <v>32</v>
      </c>
      <c r="F7683" t="n">
        <v>22</v>
      </c>
    </row>
    <row r="7684">
      <c r="A7684" t="inlineStr">
        <is>
          <t>ORD07683</t>
        </is>
      </c>
      <c r="B7684" t="inlineStr">
        <is>
          <t>C0183</t>
        </is>
      </c>
      <c r="C7684" t="n">
        <v>3</v>
      </c>
      <c r="D7684" t="inlineStr">
        <is>
          <t>Hub C</t>
        </is>
      </c>
      <c r="E7684" t="n">
        <v>39</v>
      </c>
      <c r="F7684" t="n">
        <v>22</v>
      </c>
    </row>
    <row r="7685">
      <c r="A7685" t="inlineStr">
        <is>
          <t>ORD07684</t>
        </is>
      </c>
      <c r="B7685" t="inlineStr">
        <is>
          <t>C0184</t>
        </is>
      </c>
      <c r="C7685" t="n">
        <v>1</v>
      </c>
      <c r="D7685" t="inlineStr">
        <is>
          <t>Hub C</t>
        </is>
      </c>
      <c r="E7685" t="n">
        <v>46</v>
      </c>
      <c r="F7685" t="n">
        <v>22</v>
      </c>
    </row>
    <row r="7686">
      <c r="A7686" t="inlineStr">
        <is>
          <t>ORD07685</t>
        </is>
      </c>
      <c r="B7686" t="inlineStr">
        <is>
          <t>C0185</t>
        </is>
      </c>
      <c r="C7686" t="n">
        <v>2</v>
      </c>
      <c r="D7686" t="inlineStr">
        <is>
          <t>Hub C</t>
        </is>
      </c>
      <c r="E7686" t="n">
        <v>53</v>
      </c>
      <c r="F7686" t="n">
        <v>22</v>
      </c>
    </row>
    <row r="7687">
      <c r="A7687" t="inlineStr">
        <is>
          <t>ORD07686</t>
        </is>
      </c>
      <c r="B7687" t="inlineStr">
        <is>
          <t>C0186</t>
        </is>
      </c>
      <c r="C7687" t="n">
        <v>3</v>
      </c>
      <c r="D7687" t="inlineStr">
        <is>
          <t>Hub C</t>
        </is>
      </c>
      <c r="E7687" t="n">
        <v>60</v>
      </c>
      <c r="F7687" t="n">
        <v>22</v>
      </c>
    </row>
    <row r="7688">
      <c r="A7688" t="inlineStr">
        <is>
          <t>ORD07687</t>
        </is>
      </c>
      <c r="B7688" t="inlineStr">
        <is>
          <t>C0187</t>
        </is>
      </c>
      <c r="C7688" t="n">
        <v>1</v>
      </c>
      <c r="D7688" t="inlineStr">
        <is>
          <t>Hub C</t>
        </is>
      </c>
      <c r="E7688" t="n">
        <v>67</v>
      </c>
      <c r="F7688" t="n">
        <v>22</v>
      </c>
    </row>
    <row r="7689">
      <c r="A7689" t="inlineStr">
        <is>
          <t>ORD07688</t>
        </is>
      </c>
      <c r="B7689" t="inlineStr">
        <is>
          <t>C0188</t>
        </is>
      </c>
      <c r="C7689" t="n">
        <v>2</v>
      </c>
      <c r="D7689" t="inlineStr">
        <is>
          <t>Hub C</t>
        </is>
      </c>
      <c r="E7689" t="n">
        <v>74</v>
      </c>
      <c r="F7689" t="n">
        <v>22</v>
      </c>
    </row>
    <row r="7690">
      <c r="A7690" t="inlineStr">
        <is>
          <t>ORD07689</t>
        </is>
      </c>
      <c r="B7690" t="inlineStr">
        <is>
          <t>C0189</t>
        </is>
      </c>
      <c r="C7690" t="n">
        <v>3</v>
      </c>
      <c r="D7690" t="inlineStr">
        <is>
          <t>Hub C</t>
        </is>
      </c>
      <c r="E7690" t="n">
        <v>21</v>
      </c>
      <c r="F7690" t="n">
        <v>22</v>
      </c>
    </row>
    <row r="7691">
      <c r="A7691" t="inlineStr">
        <is>
          <t>ORD07690</t>
        </is>
      </c>
      <c r="B7691" t="inlineStr">
        <is>
          <t>C0190</t>
        </is>
      </c>
      <c r="C7691" t="n">
        <v>1</v>
      </c>
      <c r="D7691" t="inlineStr">
        <is>
          <t>Hub C</t>
        </is>
      </c>
      <c r="E7691" t="n">
        <v>28</v>
      </c>
      <c r="F7691" t="n">
        <v>22</v>
      </c>
    </row>
    <row r="7692">
      <c r="A7692" t="inlineStr">
        <is>
          <t>ORD07691</t>
        </is>
      </c>
      <c r="B7692" t="inlineStr">
        <is>
          <t>C0191</t>
        </is>
      </c>
      <c r="C7692" t="n">
        <v>2</v>
      </c>
      <c r="D7692" t="inlineStr">
        <is>
          <t>Hub C</t>
        </is>
      </c>
      <c r="E7692" t="n">
        <v>35</v>
      </c>
      <c r="F7692" t="n">
        <v>22</v>
      </c>
    </row>
    <row r="7693">
      <c r="A7693" t="inlineStr">
        <is>
          <t>ORD07692</t>
        </is>
      </c>
      <c r="B7693" t="inlineStr">
        <is>
          <t>C0192</t>
        </is>
      </c>
      <c r="C7693" t="n">
        <v>3</v>
      </c>
      <c r="D7693" t="inlineStr">
        <is>
          <t>Hub C</t>
        </is>
      </c>
      <c r="E7693" t="n">
        <v>42</v>
      </c>
      <c r="F7693" t="n">
        <v>22</v>
      </c>
    </row>
    <row r="7694">
      <c r="A7694" t="inlineStr">
        <is>
          <t>ORD07693</t>
        </is>
      </c>
      <c r="B7694" t="inlineStr">
        <is>
          <t>C0193</t>
        </is>
      </c>
      <c r="C7694" t="n">
        <v>1</v>
      </c>
      <c r="D7694" t="inlineStr">
        <is>
          <t>Hub C</t>
        </is>
      </c>
      <c r="E7694" t="n">
        <v>49</v>
      </c>
      <c r="F7694" t="n">
        <v>22</v>
      </c>
    </row>
    <row r="7695">
      <c r="A7695" t="inlineStr">
        <is>
          <t>ORD07694</t>
        </is>
      </c>
      <c r="B7695" t="inlineStr">
        <is>
          <t>C0194</t>
        </is>
      </c>
      <c r="C7695" t="n">
        <v>2</v>
      </c>
      <c r="D7695" t="inlineStr">
        <is>
          <t>Hub C</t>
        </is>
      </c>
      <c r="E7695" t="n">
        <v>56</v>
      </c>
      <c r="F7695" t="n">
        <v>22</v>
      </c>
    </row>
    <row r="7696">
      <c r="A7696" t="inlineStr">
        <is>
          <t>ORD07695</t>
        </is>
      </c>
      <c r="B7696" t="inlineStr">
        <is>
          <t>C0195</t>
        </is>
      </c>
      <c r="C7696" t="n">
        <v>3</v>
      </c>
      <c r="D7696" t="inlineStr">
        <is>
          <t>Hub C</t>
        </is>
      </c>
      <c r="E7696" t="n">
        <v>63</v>
      </c>
      <c r="F7696" t="n">
        <v>22</v>
      </c>
    </row>
    <row r="7697">
      <c r="A7697" t="inlineStr">
        <is>
          <t>ORD07696</t>
        </is>
      </c>
      <c r="B7697" t="inlineStr">
        <is>
          <t>C0196</t>
        </is>
      </c>
      <c r="C7697" t="n">
        <v>1</v>
      </c>
      <c r="D7697" t="inlineStr">
        <is>
          <t>Hub C</t>
        </is>
      </c>
      <c r="E7697" t="n">
        <v>70</v>
      </c>
      <c r="F7697" t="n">
        <v>22</v>
      </c>
    </row>
    <row r="7698">
      <c r="A7698" t="inlineStr">
        <is>
          <t>ORD07697</t>
        </is>
      </c>
      <c r="B7698" t="inlineStr">
        <is>
          <t>C0197</t>
        </is>
      </c>
      <c r="C7698" t="n">
        <v>2</v>
      </c>
      <c r="D7698" t="inlineStr">
        <is>
          <t>Hub C</t>
        </is>
      </c>
      <c r="E7698" t="n">
        <v>77</v>
      </c>
      <c r="F7698" t="n">
        <v>22</v>
      </c>
    </row>
    <row r="7699">
      <c r="A7699" t="inlineStr">
        <is>
          <t>ORD07698</t>
        </is>
      </c>
      <c r="B7699" t="inlineStr">
        <is>
          <t>C0198</t>
        </is>
      </c>
      <c r="C7699" t="n">
        <v>3</v>
      </c>
      <c r="D7699" t="inlineStr">
        <is>
          <t>Hub C</t>
        </is>
      </c>
      <c r="E7699" t="n">
        <v>24</v>
      </c>
      <c r="F7699" t="n">
        <v>22</v>
      </c>
    </row>
    <row r="7700">
      <c r="A7700" t="inlineStr">
        <is>
          <t>ORD07699</t>
        </is>
      </c>
      <c r="B7700" t="inlineStr">
        <is>
          <t>C0199</t>
        </is>
      </c>
      <c r="C7700" t="n">
        <v>1</v>
      </c>
      <c r="D7700" t="inlineStr">
        <is>
          <t>Hub C</t>
        </is>
      </c>
      <c r="E7700" t="n">
        <v>31</v>
      </c>
      <c r="F7700" t="n">
        <v>22</v>
      </c>
    </row>
    <row r="7701">
      <c r="A7701" t="inlineStr">
        <is>
          <t>ORD07700</t>
        </is>
      </c>
      <c r="B7701" t="inlineStr">
        <is>
          <t>C0200</t>
        </is>
      </c>
      <c r="C7701" t="n">
        <v>2</v>
      </c>
      <c r="D7701" t="inlineStr">
        <is>
          <t>Hub C</t>
        </is>
      </c>
      <c r="E7701" t="n">
        <v>38</v>
      </c>
      <c r="F7701" t="n">
        <v>22</v>
      </c>
    </row>
    <row r="7702">
      <c r="A7702" t="inlineStr">
        <is>
          <t>ORD07701</t>
        </is>
      </c>
      <c r="B7702" t="inlineStr">
        <is>
          <t>C0201</t>
        </is>
      </c>
      <c r="C7702" t="n">
        <v>3</v>
      </c>
      <c r="D7702" t="inlineStr">
        <is>
          <t>Hub C</t>
        </is>
      </c>
      <c r="E7702" t="n">
        <v>45</v>
      </c>
      <c r="F7702" t="n">
        <v>22</v>
      </c>
    </row>
    <row r="7703">
      <c r="A7703" t="inlineStr">
        <is>
          <t>ORD07702</t>
        </is>
      </c>
      <c r="B7703" t="inlineStr">
        <is>
          <t>C0202</t>
        </is>
      </c>
      <c r="C7703" t="n">
        <v>1</v>
      </c>
      <c r="D7703" t="inlineStr">
        <is>
          <t>Hub C</t>
        </is>
      </c>
      <c r="E7703" t="n">
        <v>52</v>
      </c>
      <c r="F7703" t="n">
        <v>22</v>
      </c>
    </row>
    <row r="7704">
      <c r="A7704" t="inlineStr">
        <is>
          <t>ORD07703</t>
        </is>
      </c>
      <c r="B7704" t="inlineStr">
        <is>
          <t>C0203</t>
        </is>
      </c>
      <c r="C7704" t="n">
        <v>2</v>
      </c>
      <c r="D7704" t="inlineStr">
        <is>
          <t>Hub C</t>
        </is>
      </c>
      <c r="E7704" t="n">
        <v>59</v>
      </c>
      <c r="F7704" t="n">
        <v>22</v>
      </c>
    </row>
    <row r="7705">
      <c r="A7705" t="inlineStr">
        <is>
          <t>ORD07704</t>
        </is>
      </c>
      <c r="B7705" t="inlineStr">
        <is>
          <t>C0204</t>
        </is>
      </c>
      <c r="C7705" t="n">
        <v>3</v>
      </c>
      <c r="D7705" t="inlineStr">
        <is>
          <t>Hub C</t>
        </is>
      </c>
      <c r="E7705" t="n">
        <v>66</v>
      </c>
      <c r="F7705" t="n">
        <v>22</v>
      </c>
    </row>
    <row r="7706">
      <c r="A7706" t="inlineStr">
        <is>
          <t>ORD07705</t>
        </is>
      </c>
      <c r="B7706" t="inlineStr">
        <is>
          <t>C0205</t>
        </is>
      </c>
      <c r="C7706" t="n">
        <v>1</v>
      </c>
      <c r="D7706" t="inlineStr">
        <is>
          <t>Hub C</t>
        </is>
      </c>
      <c r="E7706" t="n">
        <v>73</v>
      </c>
      <c r="F7706" t="n">
        <v>22</v>
      </c>
    </row>
    <row r="7707">
      <c r="A7707" t="inlineStr">
        <is>
          <t>ORD07706</t>
        </is>
      </c>
      <c r="B7707" t="inlineStr">
        <is>
          <t>C0206</t>
        </is>
      </c>
      <c r="C7707" t="n">
        <v>2</v>
      </c>
      <c r="D7707" t="inlineStr">
        <is>
          <t>Hub C</t>
        </is>
      </c>
      <c r="E7707" t="n">
        <v>20</v>
      </c>
      <c r="F7707" t="n">
        <v>22</v>
      </c>
    </row>
    <row r="7708">
      <c r="A7708" t="inlineStr">
        <is>
          <t>ORD07707</t>
        </is>
      </c>
      <c r="B7708" t="inlineStr">
        <is>
          <t>C0207</t>
        </is>
      </c>
      <c r="C7708" t="n">
        <v>3</v>
      </c>
      <c r="D7708" t="inlineStr">
        <is>
          <t>Hub C</t>
        </is>
      </c>
      <c r="E7708" t="n">
        <v>27</v>
      </c>
      <c r="F7708" t="n">
        <v>22</v>
      </c>
    </row>
    <row r="7709">
      <c r="A7709" t="inlineStr">
        <is>
          <t>ORD07708</t>
        </is>
      </c>
      <c r="B7709" t="inlineStr">
        <is>
          <t>C0208</t>
        </is>
      </c>
      <c r="C7709" t="n">
        <v>1</v>
      </c>
      <c r="D7709" t="inlineStr">
        <is>
          <t>Hub C</t>
        </is>
      </c>
      <c r="E7709" t="n">
        <v>34</v>
      </c>
      <c r="F7709" t="n">
        <v>22</v>
      </c>
    </row>
    <row r="7710">
      <c r="A7710" t="inlineStr">
        <is>
          <t>ORD07709</t>
        </is>
      </c>
      <c r="B7710" t="inlineStr">
        <is>
          <t>C0209</t>
        </is>
      </c>
      <c r="C7710" t="n">
        <v>2</v>
      </c>
      <c r="D7710" t="inlineStr">
        <is>
          <t>Hub C</t>
        </is>
      </c>
      <c r="E7710" t="n">
        <v>41</v>
      </c>
      <c r="F7710" t="n">
        <v>22</v>
      </c>
    </row>
    <row r="7711">
      <c r="A7711" t="inlineStr">
        <is>
          <t>ORD07710</t>
        </is>
      </c>
      <c r="B7711" t="inlineStr">
        <is>
          <t>C0210</t>
        </is>
      </c>
      <c r="C7711" t="n">
        <v>3</v>
      </c>
      <c r="D7711" t="inlineStr">
        <is>
          <t>Hub C</t>
        </is>
      </c>
      <c r="E7711" t="n">
        <v>48</v>
      </c>
      <c r="F7711" t="n">
        <v>22</v>
      </c>
    </row>
    <row r="7712">
      <c r="A7712" t="inlineStr">
        <is>
          <t>ORD07711</t>
        </is>
      </c>
      <c r="B7712" t="inlineStr">
        <is>
          <t>C0211</t>
        </is>
      </c>
      <c r="C7712" t="n">
        <v>1</v>
      </c>
      <c r="D7712" t="inlineStr">
        <is>
          <t>Hub C</t>
        </is>
      </c>
      <c r="E7712" t="n">
        <v>55</v>
      </c>
      <c r="F7712" t="n">
        <v>22</v>
      </c>
    </row>
    <row r="7713">
      <c r="A7713" t="inlineStr">
        <is>
          <t>ORD07712</t>
        </is>
      </c>
      <c r="B7713" t="inlineStr">
        <is>
          <t>C0212</t>
        </is>
      </c>
      <c r="C7713" t="n">
        <v>2</v>
      </c>
      <c r="D7713" t="inlineStr">
        <is>
          <t>Hub C</t>
        </is>
      </c>
      <c r="E7713" t="n">
        <v>62</v>
      </c>
      <c r="F7713" t="n">
        <v>22</v>
      </c>
    </row>
    <row r="7714">
      <c r="A7714" t="inlineStr">
        <is>
          <t>ORD07713</t>
        </is>
      </c>
      <c r="B7714" t="inlineStr">
        <is>
          <t>C0213</t>
        </is>
      </c>
      <c r="C7714" t="n">
        <v>3</v>
      </c>
      <c r="D7714" t="inlineStr">
        <is>
          <t>Hub C</t>
        </is>
      </c>
      <c r="E7714" t="n">
        <v>69</v>
      </c>
      <c r="F7714" t="n">
        <v>22</v>
      </c>
    </row>
    <row r="7715">
      <c r="A7715" t="inlineStr">
        <is>
          <t>ORD07714</t>
        </is>
      </c>
      <c r="B7715" t="inlineStr">
        <is>
          <t>C0214</t>
        </is>
      </c>
      <c r="C7715" t="n">
        <v>1</v>
      </c>
      <c r="D7715" t="inlineStr">
        <is>
          <t>Hub C</t>
        </is>
      </c>
      <c r="E7715" t="n">
        <v>76</v>
      </c>
      <c r="F7715" t="n">
        <v>22</v>
      </c>
    </row>
    <row r="7716">
      <c r="A7716" t="inlineStr">
        <is>
          <t>ORD07715</t>
        </is>
      </c>
      <c r="B7716" t="inlineStr">
        <is>
          <t>C0215</t>
        </is>
      </c>
      <c r="C7716" t="n">
        <v>2</v>
      </c>
      <c r="D7716" t="inlineStr">
        <is>
          <t>Hub C</t>
        </is>
      </c>
      <c r="E7716" t="n">
        <v>23</v>
      </c>
      <c r="F7716" t="n">
        <v>22</v>
      </c>
    </row>
    <row r="7717">
      <c r="A7717" t="inlineStr">
        <is>
          <t>ORD07716</t>
        </is>
      </c>
      <c r="B7717" t="inlineStr">
        <is>
          <t>C0216</t>
        </is>
      </c>
      <c r="C7717" t="n">
        <v>3</v>
      </c>
      <c r="D7717" t="inlineStr">
        <is>
          <t>Hub C</t>
        </is>
      </c>
      <c r="E7717" t="n">
        <v>30</v>
      </c>
      <c r="F7717" t="n">
        <v>22</v>
      </c>
    </row>
    <row r="7718">
      <c r="A7718" t="inlineStr">
        <is>
          <t>ORD07717</t>
        </is>
      </c>
      <c r="B7718" t="inlineStr">
        <is>
          <t>C0217</t>
        </is>
      </c>
      <c r="C7718" t="n">
        <v>1</v>
      </c>
      <c r="D7718" t="inlineStr">
        <is>
          <t>Hub C</t>
        </is>
      </c>
      <c r="E7718" t="n">
        <v>37</v>
      </c>
      <c r="F7718" t="n">
        <v>22</v>
      </c>
    </row>
    <row r="7719">
      <c r="A7719" t="inlineStr">
        <is>
          <t>ORD07718</t>
        </is>
      </c>
      <c r="B7719" t="inlineStr">
        <is>
          <t>C0218</t>
        </is>
      </c>
      <c r="C7719" t="n">
        <v>2</v>
      </c>
      <c r="D7719" t="inlineStr">
        <is>
          <t>Hub C</t>
        </is>
      </c>
      <c r="E7719" t="n">
        <v>44</v>
      </c>
      <c r="F7719" t="n">
        <v>22</v>
      </c>
    </row>
    <row r="7720">
      <c r="A7720" t="inlineStr">
        <is>
          <t>ORD07719</t>
        </is>
      </c>
      <c r="B7720" t="inlineStr">
        <is>
          <t>C0219</t>
        </is>
      </c>
      <c r="C7720" t="n">
        <v>3</v>
      </c>
      <c r="D7720" t="inlineStr">
        <is>
          <t>Hub C</t>
        </is>
      </c>
      <c r="E7720" t="n">
        <v>51</v>
      </c>
      <c r="F7720" t="n">
        <v>22</v>
      </c>
    </row>
    <row r="7721">
      <c r="A7721" t="inlineStr">
        <is>
          <t>ORD07720</t>
        </is>
      </c>
      <c r="B7721" t="inlineStr">
        <is>
          <t>C0220</t>
        </is>
      </c>
      <c r="C7721" t="n">
        <v>1</v>
      </c>
      <c r="D7721" t="inlineStr">
        <is>
          <t>Hub C</t>
        </is>
      </c>
      <c r="E7721" t="n">
        <v>58</v>
      </c>
      <c r="F7721" t="n">
        <v>22</v>
      </c>
    </row>
    <row r="7722">
      <c r="A7722" t="inlineStr">
        <is>
          <t>ORD07721</t>
        </is>
      </c>
      <c r="B7722" t="inlineStr">
        <is>
          <t>C0221</t>
        </is>
      </c>
      <c r="C7722" t="n">
        <v>2</v>
      </c>
      <c r="D7722" t="inlineStr">
        <is>
          <t>Hub C</t>
        </is>
      </c>
      <c r="E7722" t="n">
        <v>65</v>
      </c>
      <c r="F7722" t="n">
        <v>22</v>
      </c>
    </row>
    <row r="7723">
      <c r="A7723" t="inlineStr">
        <is>
          <t>ORD07722</t>
        </is>
      </c>
      <c r="B7723" t="inlineStr">
        <is>
          <t>C0222</t>
        </is>
      </c>
      <c r="C7723" t="n">
        <v>3</v>
      </c>
      <c r="D7723" t="inlineStr">
        <is>
          <t>Hub C</t>
        </is>
      </c>
      <c r="E7723" t="n">
        <v>72</v>
      </c>
      <c r="F7723" t="n">
        <v>22</v>
      </c>
    </row>
    <row r="7724">
      <c r="A7724" t="inlineStr">
        <is>
          <t>ORD07723</t>
        </is>
      </c>
      <c r="B7724" t="inlineStr">
        <is>
          <t>C0223</t>
        </is>
      </c>
      <c r="C7724" t="n">
        <v>1</v>
      </c>
      <c r="D7724" t="inlineStr">
        <is>
          <t>Hub C</t>
        </is>
      </c>
      <c r="E7724" t="n">
        <v>19</v>
      </c>
      <c r="F7724" t="n">
        <v>22</v>
      </c>
    </row>
    <row r="7725">
      <c r="A7725" t="inlineStr">
        <is>
          <t>ORD07724</t>
        </is>
      </c>
      <c r="B7725" t="inlineStr">
        <is>
          <t>C0224</t>
        </is>
      </c>
      <c r="C7725" t="n">
        <v>2</v>
      </c>
      <c r="D7725" t="inlineStr">
        <is>
          <t>Hub C</t>
        </is>
      </c>
      <c r="E7725" t="n">
        <v>26</v>
      </c>
      <c r="F7725" t="n">
        <v>22</v>
      </c>
    </row>
    <row r="7726">
      <c r="A7726" t="inlineStr">
        <is>
          <t>ORD07725</t>
        </is>
      </c>
      <c r="B7726" t="inlineStr">
        <is>
          <t>C0225</t>
        </is>
      </c>
      <c r="C7726" t="n">
        <v>3</v>
      </c>
      <c r="D7726" t="inlineStr">
        <is>
          <t>Hub C</t>
        </is>
      </c>
      <c r="E7726" t="n">
        <v>33</v>
      </c>
      <c r="F7726" t="n">
        <v>22</v>
      </c>
    </row>
    <row r="7727">
      <c r="A7727" t="inlineStr">
        <is>
          <t>ORD07726</t>
        </is>
      </c>
      <c r="B7727" t="inlineStr">
        <is>
          <t>C0226</t>
        </is>
      </c>
      <c r="C7727" t="n">
        <v>1</v>
      </c>
      <c r="D7727" t="inlineStr">
        <is>
          <t>Hub C</t>
        </is>
      </c>
      <c r="E7727" t="n">
        <v>40</v>
      </c>
      <c r="F7727" t="n">
        <v>22</v>
      </c>
    </row>
    <row r="7728">
      <c r="A7728" t="inlineStr">
        <is>
          <t>ORD07727</t>
        </is>
      </c>
      <c r="B7728" t="inlineStr">
        <is>
          <t>C0227</t>
        </is>
      </c>
      <c r="C7728" t="n">
        <v>2</v>
      </c>
      <c r="D7728" t="inlineStr">
        <is>
          <t>Hub C</t>
        </is>
      </c>
      <c r="E7728" t="n">
        <v>47</v>
      </c>
      <c r="F7728" t="n">
        <v>22</v>
      </c>
    </row>
    <row r="7729">
      <c r="A7729" t="inlineStr">
        <is>
          <t>ORD07728</t>
        </is>
      </c>
      <c r="B7729" t="inlineStr">
        <is>
          <t>C0228</t>
        </is>
      </c>
      <c r="C7729" t="n">
        <v>3</v>
      </c>
      <c r="D7729" t="inlineStr">
        <is>
          <t>Hub C</t>
        </is>
      </c>
      <c r="E7729" t="n">
        <v>54</v>
      </c>
      <c r="F7729" t="n">
        <v>22</v>
      </c>
    </row>
    <row r="7730">
      <c r="A7730" t="inlineStr">
        <is>
          <t>ORD07729</t>
        </is>
      </c>
      <c r="B7730" t="inlineStr">
        <is>
          <t>C0229</t>
        </is>
      </c>
      <c r="C7730" t="n">
        <v>1</v>
      </c>
      <c r="D7730" t="inlineStr">
        <is>
          <t>Hub C</t>
        </is>
      </c>
      <c r="E7730" t="n">
        <v>61</v>
      </c>
      <c r="F7730" t="n">
        <v>22</v>
      </c>
    </row>
    <row r="7731">
      <c r="A7731" t="inlineStr">
        <is>
          <t>ORD07730</t>
        </is>
      </c>
      <c r="B7731" t="inlineStr">
        <is>
          <t>C0230</t>
        </is>
      </c>
      <c r="C7731" t="n">
        <v>2</v>
      </c>
      <c r="D7731" t="inlineStr">
        <is>
          <t>Hub C</t>
        </is>
      </c>
      <c r="E7731" t="n">
        <v>68</v>
      </c>
      <c r="F7731" t="n">
        <v>22</v>
      </c>
    </row>
    <row r="7732">
      <c r="A7732" t="inlineStr">
        <is>
          <t>ORD07731</t>
        </is>
      </c>
      <c r="B7732" t="inlineStr">
        <is>
          <t>C0231</t>
        </is>
      </c>
      <c r="C7732" t="n">
        <v>3</v>
      </c>
      <c r="D7732" t="inlineStr">
        <is>
          <t>Hub C</t>
        </is>
      </c>
      <c r="E7732" t="n">
        <v>75</v>
      </c>
      <c r="F7732" t="n">
        <v>22</v>
      </c>
    </row>
    <row r="7733">
      <c r="A7733" t="inlineStr">
        <is>
          <t>ORD07732</t>
        </is>
      </c>
      <c r="B7733" t="inlineStr">
        <is>
          <t>C0232</t>
        </is>
      </c>
      <c r="C7733" t="n">
        <v>1</v>
      </c>
      <c r="D7733" t="inlineStr">
        <is>
          <t>Hub C</t>
        </is>
      </c>
      <c r="E7733" t="n">
        <v>22</v>
      </c>
      <c r="F7733" t="n">
        <v>22</v>
      </c>
    </row>
    <row r="7734">
      <c r="A7734" t="inlineStr">
        <is>
          <t>ORD07733</t>
        </is>
      </c>
      <c r="B7734" t="inlineStr">
        <is>
          <t>C0233</t>
        </is>
      </c>
      <c r="C7734" t="n">
        <v>2</v>
      </c>
      <c r="D7734" t="inlineStr">
        <is>
          <t>Hub C</t>
        </is>
      </c>
      <c r="E7734" t="n">
        <v>29</v>
      </c>
      <c r="F7734" t="n">
        <v>22</v>
      </c>
    </row>
    <row r="7735">
      <c r="A7735" t="inlineStr">
        <is>
          <t>ORD07734</t>
        </is>
      </c>
      <c r="B7735" t="inlineStr">
        <is>
          <t>C0234</t>
        </is>
      </c>
      <c r="C7735" t="n">
        <v>3</v>
      </c>
      <c r="D7735" t="inlineStr">
        <is>
          <t>Hub C</t>
        </is>
      </c>
      <c r="E7735" t="n">
        <v>36</v>
      </c>
      <c r="F7735" t="n">
        <v>22</v>
      </c>
    </row>
    <row r="7736">
      <c r="A7736" t="inlineStr">
        <is>
          <t>ORD07735</t>
        </is>
      </c>
      <c r="B7736" t="inlineStr">
        <is>
          <t>C0235</t>
        </is>
      </c>
      <c r="C7736" t="n">
        <v>1</v>
      </c>
      <c r="D7736" t="inlineStr">
        <is>
          <t>Hub C</t>
        </is>
      </c>
      <c r="E7736" t="n">
        <v>43</v>
      </c>
      <c r="F7736" t="n">
        <v>22</v>
      </c>
    </row>
    <row r="7737">
      <c r="A7737" t="inlineStr">
        <is>
          <t>ORD07736</t>
        </is>
      </c>
      <c r="B7737" t="inlineStr">
        <is>
          <t>C0236</t>
        </is>
      </c>
      <c r="C7737" t="n">
        <v>2</v>
      </c>
      <c r="D7737" t="inlineStr">
        <is>
          <t>Hub C</t>
        </is>
      </c>
      <c r="E7737" t="n">
        <v>50</v>
      </c>
      <c r="F7737" t="n">
        <v>22</v>
      </c>
    </row>
    <row r="7738">
      <c r="A7738" t="inlineStr">
        <is>
          <t>ORD07737</t>
        </is>
      </c>
      <c r="B7738" t="inlineStr">
        <is>
          <t>C0237</t>
        </is>
      </c>
      <c r="C7738" t="n">
        <v>3</v>
      </c>
      <c r="D7738" t="inlineStr">
        <is>
          <t>Hub C</t>
        </is>
      </c>
      <c r="E7738" t="n">
        <v>57</v>
      </c>
      <c r="F7738" t="n">
        <v>22</v>
      </c>
    </row>
    <row r="7739">
      <c r="A7739" t="inlineStr">
        <is>
          <t>ORD07738</t>
        </is>
      </c>
      <c r="B7739" t="inlineStr">
        <is>
          <t>C0238</t>
        </is>
      </c>
      <c r="C7739" t="n">
        <v>1</v>
      </c>
      <c r="D7739" t="inlineStr">
        <is>
          <t>Hub C</t>
        </is>
      </c>
      <c r="E7739" t="n">
        <v>64</v>
      </c>
      <c r="F7739" t="n">
        <v>22</v>
      </c>
    </row>
    <row r="7740">
      <c r="A7740" t="inlineStr">
        <is>
          <t>ORD07739</t>
        </is>
      </c>
      <c r="B7740" t="inlineStr">
        <is>
          <t>C0239</t>
        </is>
      </c>
      <c r="C7740" t="n">
        <v>2</v>
      </c>
      <c r="D7740" t="inlineStr">
        <is>
          <t>Hub C</t>
        </is>
      </c>
      <c r="E7740" t="n">
        <v>71</v>
      </c>
      <c r="F7740" t="n">
        <v>22</v>
      </c>
    </row>
    <row r="7741">
      <c r="A7741" t="inlineStr">
        <is>
          <t>ORD07740</t>
        </is>
      </c>
      <c r="B7741" t="inlineStr">
        <is>
          <t>C0240</t>
        </is>
      </c>
      <c r="C7741" t="n">
        <v>3</v>
      </c>
      <c r="D7741" t="inlineStr">
        <is>
          <t>Hub C</t>
        </is>
      </c>
      <c r="E7741" t="n">
        <v>18</v>
      </c>
      <c r="F7741" t="n">
        <v>22</v>
      </c>
    </row>
    <row r="7742">
      <c r="A7742" t="inlineStr">
        <is>
          <t>ORD07741</t>
        </is>
      </c>
      <c r="B7742" t="inlineStr">
        <is>
          <t>C0241</t>
        </is>
      </c>
      <c r="C7742" t="n">
        <v>1</v>
      </c>
      <c r="D7742" t="inlineStr">
        <is>
          <t>Hub C</t>
        </is>
      </c>
      <c r="E7742" t="n">
        <v>25</v>
      </c>
      <c r="F7742" t="n">
        <v>22</v>
      </c>
    </row>
    <row r="7743">
      <c r="A7743" t="inlineStr">
        <is>
          <t>ORD07742</t>
        </is>
      </c>
      <c r="B7743" t="inlineStr">
        <is>
          <t>C0242</t>
        </is>
      </c>
      <c r="C7743" t="n">
        <v>2</v>
      </c>
      <c r="D7743" t="inlineStr">
        <is>
          <t>Hub C</t>
        </is>
      </c>
      <c r="E7743" t="n">
        <v>32</v>
      </c>
      <c r="F7743" t="n">
        <v>22</v>
      </c>
    </row>
    <row r="7744">
      <c r="A7744" t="inlineStr">
        <is>
          <t>ORD07743</t>
        </is>
      </c>
      <c r="B7744" t="inlineStr">
        <is>
          <t>C0243</t>
        </is>
      </c>
      <c r="C7744" t="n">
        <v>3</v>
      </c>
      <c r="D7744" t="inlineStr">
        <is>
          <t>Hub C</t>
        </is>
      </c>
      <c r="E7744" t="n">
        <v>39</v>
      </c>
      <c r="F7744" t="n">
        <v>22</v>
      </c>
    </row>
    <row r="7745">
      <c r="A7745" t="inlineStr">
        <is>
          <t>ORD07744</t>
        </is>
      </c>
      <c r="B7745" t="inlineStr">
        <is>
          <t>C0244</t>
        </is>
      </c>
      <c r="C7745" t="n">
        <v>1</v>
      </c>
      <c r="D7745" t="inlineStr">
        <is>
          <t>Hub C</t>
        </is>
      </c>
      <c r="E7745" t="n">
        <v>46</v>
      </c>
      <c r="F7745" t="n">
        <v>22</v>
      </c>
    </row>
    <row r="7746">
      <c r="A7746" t="inlineStr">
        <is>
          <t>ORD07745</t>
        </is>
      </c>
      <c r="B7746" t="inlineStr">
        <is>
          <t>C0245</t>
        </is>
      </c>
      <c r="C7746" t="n">
        <v>2</v>
      </c>
      <c r="D7746" t="inlineStr">
        <is>
          <t>Hub C</t>
        </is>
      </c>
      <c r="E7746" t="n">
        <v>53</v>
      </c>
      <c r="F7746" t="n">
        <v>22</v>
      </c>
    </row>
    <row r="7747">
      <c r="A7747" t="inlineStr">
        <is>
          <t>ORD07746</t>
        </is>
      </c>
      <c r="B7747" t="inlineStr">
        <is>
          <t>C0246</t>
        </is>
      </c>
      <c r="C7747" t="n">
        <v>3</v>
      </c>
      <c r="D7747" t="inlineStr">
        <is>
          <t>Hub C</t>
        </is>
      </c>
      <c r="E7747" t="n">
        <v>60</v>
      </c>
      <c r="F7747" t="n">
        <v>22</v>
      </c>
    </row>
    <row r="7748">
      <c r="A7748" t="inlineStr">
        <is>
          <t>ORD07747</t>
        </is>
      </c>
      <c r="B7748" t="inlineStr">
        <is>
          <t>C0247</t>
        </is>
      </c>
      <c r="C7748" t="n">
        <v>1</v>
      </c>
      <c r="D7748" t="inlineStr">
        <is>
          <t>Hub C</t>
        </is>
      </c>
      <c r="E7748" t="n">
        <v>67</v>
      </c>
      <c r="F7748" t="n">
        <v>22</v>
      </c>
    </row>
    <row r="7749">
      <c r="A7749" t="inlineStr">
        <is>
          <t>ORD07748</t>
        </is>
      </c>
      <c r="B7749" t="inlineStr">
        <is>
          <t>C0248</t>
        </is>
      </c>
      <c r="C7749" t="n">
        <v>2</v>
      </c>
      <c r="D7749" t="inlineStr">
        <is>
          <t>Hub C</t>
        </is>
      </c>
      <c r="E7749" t="n">
        <v>74</v>
      </c>
      <c r="F7749" t="n">
        <v>22</v>
      </c>
    </row>
    <row r="7750">
      <c r="A7750" t="inlineStr">
        <is>
          <t>ORD07749</t>
        </is>
      </c>
      <c r="B7750" t="inlineStr">
        <is>
          <t>C0249</t>
        </is>
      </c>
      <c r="C7750" t="n">
        <v>3</v>
      </c>
      <c r="D7750" t="inlineStr">
        <is>
          <t>Hub C</t>
        </is>
      </c>
      <c r="E7750" t="n">
        <v>21</v>
      </c>
      <c r="F7750" t="n">
        <v>22</v>
      </c>
    </row>
    <row r="7751">
      <c r="A7751" t="inlineStr">
        <is>
          <t>ORD07750</t>
        </is>
      </c>
      <c r="B7751" t="inlineStr">
        <is>
          <t>C0250</t>
        </is>
      </c>
      <c r="C7751" t="n">
        <v>1</v>
      </c>
      <c r="D7751" t="inlineStr">
        <is>
          <t>Hub C</t>
        </is>
      </c>
      <c r="E7751" t="n">
        <v>28</v>
      </c>
      <c r="F7751" t="n">
        <v>22</v>
      </c>
    </row>
    <row r="7752">
      <c r="A7752" t="inlineStr">
        <is>
          <t>ORD07751</t>
        </is>
      </c>
      <c r="B7752" t="inlineStr">
        <is>
          <t>C0251</t>
        </is>
      </c>
      <c r="C7752" t="n">
        <v>2</v>
      </c>
      <c r="D7752" t="inlineStr">
        <is>
          <t>Hub C</t>
        </is>
      </c>
      <c r="E7752" t="n">
        <v>35</v>
      </c>
      <c r="F7752" t="n">
        <v>22</v>
      </c>
    </row>
    <row r="7753">
      <c r="A7753" t="inlineStr">
        <is>
          <t>ORD07752</t>
        </is>
      </c>
      <c r="B7753" t="inlineStr">
        <is>
          <t>C0252</t>
        </is>
      </c>
      <c r="C7753" t="n">
        <v>3</v>
      </c>
      <c r="D7753" t="inlineStr">
        <is>
          <t>Hub C</t>
        </is>
      </c>
      <c r="E7753" t="n">
        <v>42</v>
      </c>
      <c r="F7753" t="n">
        <v>22</v>
      </c>
    </row>
    <row r="7754">
      <c r="A7754" t="inlineStr">
        <is>
          <t>ORD07753</t>
        </is>
      </c>
      <c r="B7754" t="inlineStr">
        <is>
          <t>C0253</t>
        </is>
      </c>
      <c r="C7754" t="n">
        <v>1</v>
      </c>
      <c r="D7754" t="inlineStr">
        <is>
          <t>Hub C</t>
        </is>
      </c>
      <c r="E7754" t="n">
        <v>49</v>
      </c>
      <c r="F7754" t="n">
        <v>22</v>
      </c>
    </row>
    <row r="7755">
      <c r="A7755" t="inlineStr">
        <is>
          <t>ORD07754</t>
        </is>
      </c>
      <c r="B7755" t="inlineStr">
        <is>
          <t>C0254</t>
        </is>
      </c>
      <c r="C7755" t="n">
        <v>2</v>
      </c>
      <c r="D7755" t="inlineStr">
        <is>
          <t>Hub C</t>
        </is>
      </c>
      <c r="E7755" t="n">
        <v>56</v>
      </c>
      <c r="F7755" t="n">
        <v>22</v>
      </c>
    </row>
    <row r="7756">
      <c r="A7756" t="inlineStr">
        <is>
          <t>ORD07755</t>
        </is>
      </c>
      <c r="B7756" t="inlineStr">
        <is>
          <t>C0255</t>
        </is>
      </c>
      <c r="C7756" t="n">
        <v>3</v>
      </c>
      <c r="D7756" t="inlineStr">
        <is>
          <t>Hub C</t>
        </is>
      </c>
      <c r="E7756" t="n">
        <v>63</v>
      </c>
      <c r="F7756" t="n">
        <v>22</v>
      </c>
    </row>
    <row r="7757">
      <c r="A7757" t="inlineStr">
        <is>
          <t>ORD07756</t>
        </is>
      </c>
      <c r="B7757" t="inlineStr">
        <is>
          <t>C0256</t>
        </is>
      </c>
      <c r="C7757" t="n">
        <v>1</v>
      </c>
      <c r="D7757" t="inlineStr">
        <is>
          <t>Hub C</t>
        </is>
      </c>
      <c r="E7757" t="n">
        <v>70</v>
      </c>
      <c r="F7757" t="n">
        <v>22</v>
      </c>
    </row>
    <row r="7758">
      <c r="A7758" t="inlineStr">
        <is>
          <t>ORD07757</t>
        </is>
      </c>
      <c r="B7758" t="inlineStr">
        <is>
          <t>C0257</t>
        </is>
      </c>
      <c r="C7758" t="n">
        <v>2</v>
      </c>
      <c r="D7758" t="inlineStr">
        <is>
          <t>Hub C</t>
        </is>
      </c>
      <c r="E7758" t="n">
        <v>77</v>
      </c>
      <c r="F7758" t="n">
        <v>22</v>
      </c>
    </row>
    <row r="7759">
      <c r="A7759" t="inlineStr">
        <is>
          <t>ORD07758</t>
        </is>
      </c>
      <c r="B7759" t="inlineStr">
        <is>
          <t>C0258</t>
        </is>
      </c>
      <c r="C7759" t="n">
        <v>3</v>
      </c>
      <c r="D7759" t="inlineStr">
        <is>
          <t>Hub C</t>
        </is>
      </c>
      <c r="E7759" t="n">
        <v>24</v>
      </c>
      <c r="F7759" t="n">
        <v>22</v>
      </c>
    </row>
    <row r="7760">
      <c r="A7760" t="inlineStr">
        <is>
          <t>ORD07759</t>
        </is>
      </c>
      <c r="B7760" t="inlineStr">
        <is>
          <t>C0259</t>
        </is>
      </c>
      <c r="C7760" t="n">
        <v>1</v>
      </c>
      <c r="D7760" t="inlineStr">
        <is>
          <t>Hub C</t>
        </is>
      </c>
      <c r="E7760" t="n">
        <v>31</v>
      </c>
      <c r="F7760" t="n">
        <v>22</v>
      </c>
    </row>
    <row r="7761">
      <c r="A7761" t="inlineStr">
        <is>
          <t>ORD07760</t>
        </is>
      </c>
      <c r="B7761" t="inlineStr">
        <is>
          <t>C0260</t>
        </is>
      </c>
      <c r="C7761" t="n">
        <v>2</v>
      </c>
      <c r="D7761" t="inlineStr">
        <is>
          <t>Hub C</t>
        </is>
      </c>
      <c r="E7761" t="n">
        <v>38</v>
      </c>
      <c r="F7761" t="n">
        <v>22</v>
      </c>
    </row>
    <row r="7762">
      <c r="A7762" t="inlineStr">
        <is>
          <t>ORD07761</t>
        </is>
      </c>
      <c r="B7762" t="inlineStr">
        <is>
          <t>C0261</t>
        </is>
      </c>
      <c r="C7762" t="n">
        <v>3</v>
      </c>
      <c r="D7762" t="inlineStr">
        <is>
          <t>Hub C</t>
        </is>
      </c>
      <c r="E7762" t="n">
        <v>45</v>
      </c>
      <c r="F7762" t="n">
        <v>22</v>
      </c>
    </row>
    <row r="7763">
      <c r="A7763" t="inlineStr">
        <is>
          <t>ORD07762</t>
        </is>
      </c>
      <c r="B7763" t="inlineStr">
        <is>
          <t>C0262</t>
        </is>
      </c>
      <c r="C7763" t="n">
        <v>1</v>
      </c>
      <c r="D7763" t="inlineStr">
        <is>
          <t>Hub C</t>
        </is>
      </c>
      <c r="E7763" t="n">
        <v>52</v>
      </c>
      <c r="F7763" t="n">
        <v>22</v>
      </c>
    </row>
    <row r="7764">
      <c r="A7764" t="inlineStr">
        <is>
          <t>ORD07763</t>
        </is>
      </c>
      <c r="B7764" t="inlineStr">
        <is>
          <t>C0263</t>
        </is>
      </c>
      <c r="C7764" t="n">
        <v>2</v>
      </c>
      <c r="D7764" t="inlineStr">
        <is>
          <t>Hub C</t>
        </is>
      </c>
      <c r="E7764" t="n">
        <v>59</v>
      </c>
      <c r="F7764" t="n">
        <v>22</v>
      </c>
    </row>
    <row r="7765">
      <c r="A7765" t="inlineStr">
        <is>
          <t>ORD07764</t>
        </is>
      </c>
      <c r="B7765" t="inlineStr">
        <is>
          <t>C0264</t>
        </is>
      </c>
      <c r="C7765" t="n">
        <v>3</v>
      </c>
      <c r="D7765" t="inlineStr">
        <is>
          <t>Hub C</t>
        </is>
      </c>
      <c r="E7765" t="n">
        <v>66</v>
      </c>
      <c r="F7765" t="n">
        <v>22</v>
      </c>
    </row>
    <row r="7766">
      <c r="A7766" t="inlineStr">
        <is>
          <t>ORD07765</t>
        </is>
      </c>
      <c r="B7766" t="inlineStr">
        <is>
          <t>C0265</t>
        </is>
      </c>
      <c r="C7766" t="n">
        <v>1</v>
      </c>
      <c r="D7766" t="inlineStr">
        <is>
          <t>Hub C</t>
        </is>
      </c>
      <c r="E7766" t="n">
        <v>73</v>
      </c>
      <c r="F7766" t="n">
        <v>22</v>
      </c>
    </row>
    <row r="7767">
      <c r="A7767" t="inlineStr">
        <is>
          <t>ORD07766</t>
        </is>
      </c>
      <c r="B7767" t="inlineStr">
        <is>
          <t>C0266</t>
        </is>
      </c>
      <c r="C7767" t="n">
        <v>2</v>
      </c>
      <c r="D7767" t="inlineStr">
        <is>
          <t>Hub C</t>
        </is>
      </c>
      <c r="E7767" t="n">
        <v>20</v>
      </c>
      <c r="F7767" t="n">
        <v>22</v>
      </c>
    </row>
    <row r="7768">
      <c r="A7768" t="inlineStr">
        <is>
          <t>ORD07767</t>
        </is>
      </c>
      <c r="B7768" t="inlineStr">
        <is>
          <t>C0267</t>
        </is>
      </c>
      <c r="C7768" t="n">
        <v>3</v>
      </c>
      <c r="D7768" t="inlineStr">
        <is>
          <t>Hub C</t>
        </is>
      </c>
      <c r="E7768" t="n">
        <v>27</v>
      </c>
      <c r="F7768" t="n">
        <v>22</v>
      </c>
    </row>
    <row r="7769">
      <c r="A7769" t="inlineStr">
        <is>
          <t>ORD07768</t>
        </is>
      </c>
      <c r="B7769" t="inlineStr">
        <is>
          <t>C0268</t>
        </is>
      </c>
      <c r="C7769" t="n">
        <v>1</v>
      </c>
      <c r="D7769" t="inlineStr">
        <is>
          <t>Hub C</t>
        </is>
      </c>
      <c r="E7769" t="n">
        <v>34</v>
      </c>
      <c r="F7769" t="n">
        <v>22</v>
      </c>
    </row>
    <row r="7770">
      <c r="A7770" t="inlineStr">
        <is>
          <t>ORD07769</t>
        </is>
      </c>
      <c r="B7770" t="inlineStr">
        <is>
          <t>C0269</t>
        </is>
      </c>
      <c r="C7770" t="n">
        <v>2</v>
      </c>
      <c r="D7770" t="inlineStr">
        <is>
          <t>Hub C</t>
        </is>
      </c>
      <c r="E7770" t="n">
        <v>41</v>
      </c>
      <c r="F7770" t="n">
        <v>22</v>
      </c>
    </row>
    <row r="7771">
      <c r="A7771" t="inlineStr">
        <is>
          <t>ORD07770</t>
        </is>
      </c>
      <c r="B7771" t="inlineStr">
        <is>
          <t>C0270</t>
        </is>
      </c>
      <c r="C7771" t="n">
        <v>3</v>
      </c>
      <c r="D7771" t="inlineStr">
        <is>
          <t>Hub C</t>
        </is>
      </c>
      <c r="E7771" t="n">
        <v>48</v>
      </c>
      <c r="F7771" t="n">
        <v>22</v>
      </c>
    </row>
    <row r="7772">
      <c r="A7772" t="inlineStr">
        <is>
          <t>ORD07771</t>
        </is>
      </c>
      <c r="B7772" t="inlineStr">
        <is>
          <t>C0271</t>
        </is>
      </c>
      <c r="C7772" t="n">
        <v>1</v>
      </c>
      <c r="D7772" t="inlineStr">
        <is>
          <t>Hub C</t>
        </is>
      </c>
      <c r="E7772" t="n">
        <v>55</v>
      </c>
      <c r="F7772" t="n">
        <v>22</v>
      </c>
    </row>
    <row r="7773">
      <c r="A7773" t="inlineStr">
        <is>
          <t>ORD07772</t>
        </is>
      </c>
      <c r="B7773" t="inlineStr">
        <is>
          <t>C0272</t>
        </is>
      </c>
      <c r="C7773" t="n">
        <v>2</v>
      </c>
      <c r="D7773" t="inlineStr">
        <is>
          <t>Hub C</t>
        </is>
      </c>
      <c r="E7773" t="n">
        <v>62</v>
      </c>
      <c r="F7773" t="n">
        <v>22</v>
      </c>
    </row>
    <row r="7774">
      <c r="A7774" t="inlineStr">
        <is>
          <t>ORD07773</t>
        </is>
      </c>
      <c r="B7774" t="inlineStr">
        <is>
          <t>C0273</t>
        </is>
      </c>
      <c r="C7774" t="n">
        <v>3</v>
      </c>
      <c r="D7774" t="inlineStr">
        <is>
          <t>Hub C</t>
        </is>
      </c>
      <c r="E7774" t="n">
        <v>69</v>
      </c>
      <c r="F7774" t="n">
        <v>22</v>
      </c>
    </row>
    <row r="7775">
      <c r="A7775" t="inlineStr">
        <is>
          <t>ORD07774</t>
        </is>
      </c>
      <c r="B7775" t="inlineStr">
        <is>
          <t>C0274</t>
        </is>
      </c>
      <c r="C7775" t="n">
        <v>1</v>
      </c>
      <c r="D7775" t="inlineStr">
        <is>
          <t>Hub C</t>
        </is>
      </c>
      <c r="E7775" t="n">
        <v>76</v>
      </c>
      <c r="F7775" t="n">
        <v>22</v>
      </c>
    </row>
    <row r="7776">
      <c r="A7776" t="inlineStr">
        <is>
          <t>ORD07775</t>
        </is>
      </c>
      <c r="B7776" t="inlineStr">
        <is>
          <t>C0275</t>
        </is>
      </c>
      <c r="C7776" t="n">
        <v>2</v>
      </c>
      <c r="D7776" t="inlineStr">
        <is>
          <t>Hub C</t>
        </is>
      </c>
      <c r="E7776" t="n">
        <v>23</v>
      </c>
      <c r="F7776" t="n">
        <v>22</v>
      </c>
    </row>
    <row r="7777">
      <c r="A7777" t="inlineStr">
        <is>
          <t>ORD07776</t>
        </is>
      </c>
      <c r="B7777" t="inlineStr">
        <is>
          <t>C0276</t>
        </is>
      </c>
      <c r="C7777" t="n">
        <v>3</v>
      </c>
      <c r="D7777" t="inlineStr">
        <is>
          <t>Hub C</t>
        </is>
      </c>
      <c r="E7777" t="n">
        <v>30</v>
      </c>
      <c r="F7777" t="n">
        <v>22</v>
      </c>
    </row>
    <row r="7778">
      <c r="A7778" t="inlineStr">
        <is>
          <t>ORD07777</t>
        </is>
      </c>
      <c r="B7778" t="inlineStr">
        <is>
          <t>C0277</t>
        </is>
      </c>
      <c r="C7778" t="n">
        <v>1</v>
      </c>
      <c r="D7778" t="inlineStr">
        <is>
          <t>Hub C</t>
        </is>
      </c>
      <c r="E7778" t="n">
        <v>37</v>
      </c>
      <c r="F7778" t="n">
        <v>22</v>
      </c>
    </row>
    <row r="7779">
      <c r="A7779" t="inlineStr">
        <is>
          <t>ORD07778</t>
        </is>
      </c>
      <c r="B7779" t="inlineStr">
        <is>
          <t>C0278</t>
        </is>
      </c>
      <c r="C7779" t="n">
        <v>2</v>
      </c>
      <c r="D7779" t="inlineStr">
        <is>
          <t>Hub C</t>
        </is>
      </c>
      <c r="E7779" t="n">
        <v>44</v>
      </c>
      <c r="F7779" t="n">
        <v>22</v>
      </c>
    </row>
    <row r="7780">
      <c r="A7780" t="inlineStr">
        <is>
          <t>ORD07779</t>
        </is>
      </c>
      <c r="B7780" t="inlineStr">
        <is>
          <t>C0279</t>
        </is>
      </c>
      <c r="C7780" t="n">
        <v>3</v>
      </c>
      <c r="D7780" t="inlineStr">
        <is>
          <t>Hub C</t>
        </is>
      </c>
      <c r="E7780" t="n">
        <v>51</v>
      </c>
      <c r="F7780" t="n">
        <v>22</v>
      </c>
    </row>
    <row r="7781">
      <c r="A7781" t="inlineStr">
        <is>
          <t>ORD07780</t>
        </is>
      </c>
      <c r="B7781" t="inlineStr">
        <is>
          <t>C0280</t>
        </is>
      </c>
      <c r="C7781" t="n">
        <v>1</v>
      </c>
      <c r="D7781" t="inlineStr">
        <is>
          <t>Hub C</t>
        </is>
      </c>
      <c r="E7781" t="n">
        <v>58</v>
      </c>
      <c r="F7781" t="n">
        <v>22</v>
      </c>
    </row>
    <row r="7782">
      <c r="A7782" t="inlineStr">
        <is>
          <t>ORD07781</t>
        </is>
      </c>
      <c r="B7782" t="inlineStr">
        <is>
          <t>C0281</t>
        </is>
      </c>
      <c r="C7782" t="n">
        <v>2</v>
      </c>
      <c r="D7782" t="inlineStr">
        <is>
          <t>Hub C</t>
        </is>
      </c>
      <c r="E7782" t="n">
        <v>65</v>
      </c>
      <c r="F7782" t="n">
        <v>22</v>
      </c>
    </row>
    <row r="7783">
      <c r="A7783" t="inlineStr">
        <is>
          <t>ORD07782</t>
        </is>
      </c>
      <c r="B7783" t="inlineStr">
        <is>
          <t>C0282</t>
        </is>
      </c>
      <c r="C7783" t="n">
        <v>3</v>
      </c>
      <c r="D7783" t="inlineStr">
        <is>
          <t>Hub C</t>
        </is>
      </c>
      <c r="E7783" t="n">
        <v>72</v>
      </c>
      <c r="F7783" t="n">
        <v>22</v>
      </c>
    </row>
    <row r="7784">
      <c r="A7784" t="inlineStr">
        <is>
          <t>ORD07783</t>
        </is>
      </c>
      <c r="B7784" t="inlineStr">
        <is>
          <t>C0283</t>
        </is>
      </c>
      <c r="C7784" t="n">
        <v>1</v>
      </c>
      <c r="D7784" t="inlineStr">
        <is>
          <t>Hub C</t>
        </is>
      </c>
      <c r="E7784" t="n">
        <v>19</v>
      </c>
      <c r="F7784" t="n">
        <v>22</v>
      </c>
    </row>
    <row r="7785">
      <c r="A7785" t="inlineStr">
        <is>
          <t>ORD07784</t>
        </is>
      </c>
      <c r="B7785" t="inlineStr">
        <is>
          <t>C0284</t>
        </is>
      </c>
      <c r="C7785" t="n">
        <v>2</v>
      </c>
      <c r="D7785" t="inlineStr">
        <is>
          <t>Hub C</t>
        </is>
      </c>
      <c r="E7785" t="n">
        <v>26</v>
      </c>
      <c r="F7785" t="n">
        <v>22</v>
      </c>
    </row>
    <row r="7786">
      <c r="A7786" t="inlineStr">
        <is>
          <t>ORD07785</t>
        </is>
      </c>
      <c r="B7786" t="inlineStr">
        <is>
          <t>C0285</t>
        </is>
      </c>
      <c r="C7786" t="n">
        <v>3</v>
      </c>
      <c r="D7786" t="inlineStr">
        <is>
          <t>Hub C</t>
        </is>
      </c>
      <c r="E7786" t="n">
        <v>33</v>
      </c>
      <c r="F7786" t="n">
        <v>22</v>
      </c>
    </row>
    <row r="7787">
      <c r="A7787" t="inlineStr">
        <is>
          <t>ORD07786</t>
        </is>
      </c>
      <c r="B7787" t="inlineStr">
        <is>
          <t>C0286</t>
        </is>
      </c>
      <c r="C7787" t="n">
        <v>1</v>
      </c>
      <c r="D7787" t="inlineStr">
        <is>
          <t>Hub C</t>
        </is>
      </c>
      <c r="E7787" t="n">
        <v>40</v>
      </c>
      <c r="F7787" t="n">
        <v>22</v>
      </c>
    </row>
    <row r="7788">
      <c r="A7788" t="inlineStr">
        <is>
          <t>ORD07787</t>
        </is>
      </c>
      <c r="B7788" t="inlineStr">
        <is>
          <t>C0287</t>
        </is>
      </c>
      <c r="C7788" t="n">
        <v>2</v>
      </c>
      <c r="D7788" t="inlineStr">
        <is>
          <t>Hub C</t>
        </is>
      </c>
      <c r="E7788" t="n">
        <v>47</v>
      </c>
      <c r="F7788" t="n">
        <v>22</v>
      </c>
    </row>
    <row r="7789">
      <c r="A7789" t="inlineStr">
        <is>
          <t>ORD07788</t>
        </is>
      </c>
      <c r="B7789" t="inlineStr">
        <is>
          <t>C0288</t>
        </is>
      </c>
      <c r="C7789" t="n">
        <v>3</v>
      </c>
      <c r="D7789" t="inlineStr">
        <is>
          <t>Hub C</t>
        </is>
      </c>
      <c r="E7789" t="n">
        <v>54</v>
      </c>
      <c r="F7789" t="n">
        <v>22</v>
      </c>
    </row>
    <row r="7790">
      <c r="A7790" t="inlineStr">
        <is>
          <t>ORD07789</t>
        </is>
      </c>
      <c r="B7790" t="inlineStr">
        <is>
          <t>C0289</t>
        </is>
      </c>
      <c r="C7790" t="n">
        <v>1</v>
      </c>
      <c r="D7790" t="inlineStr">
        <is>
          <t>Hub C</t>
        </is>
      </c>
      <c r="E7790" t="n">
        <v>61</v>
      </c>
      <c r="F7790" t="n">
        <v>22</v>
      </c>
    </row>
    <row r="7791">
      <c r="A7791" t="inlineStr">
        <is>
          <t>ORD07790</t>
        </is>
      </c>
      <c r="B7791" t="inlineStr">
        <is>
          <t>C0290</t>
        </is>
      </c>
      <c r="C7791" t="n">
        <v>2</v>
      </c>
      <c r="D7791" t="inlineStr">
        <is>
          <t>Hub C</t>
        </is>
      </c>
      <c r="E7791" t="n">
        <v>68</v>
      </c>
      <c r="F7791" t="n">
        <v>22</v>
      </c>
    </row>
    <row r="7792">
      <c r="A7792" t="inlineStr">
        <is>
          <t>ORD07791</t>
        </is>
      </c>
      <c r="B7792" t="inlineStr">
        <is>
          <t>C0291</t>
        </is>
      </c>
      <c r="C7792" t="n">
        <v>3</v>
      </c>
      <c r="D7792" t="inlineStr">
        <is>
          <t>Hub C</t>
        </is>
      </c>
      <c r="E7792" t="n">
        <v>75</v>
      </c>
      <c r="F7792" t="n">
        <v>22</v>
      </c>
    </row>
    <row r="7793">
      <c r="A7793" t="inlineStr">
        <is>
          <t>ORD07792</t>
        </is>
      </c>
      <c r="B7793" t="inlineStr">
        <is>
          <t>C0292</t>
        </is>
      </c>
      <c r="C7793" t="n">
        <v>1</v>
      </c>
      <c r="D7793" t="inlineStr">
        <is>
          <t>Hub C</t>
        </is>
      </c>
      <c r="E7793" t="n">
        <v>22</v>
      </c>
      <c r="F7793" t="n">
        <v>22</v>
      </c>
    </row>
    <row r="7794">
      <c r="A7794" t="inlineStr">
        <is>
          <t>ORD07793</t>
        </is>
      </c>
      <c r="B7794" t="inlineStr">
        <is>
          <t>C0293</t>
        </is>
      </c>
      <c r="C7794" t="n">
        <v>2</v>
      </c>
      <c r="D7794" t="inlineStr">
        <is>
          <t>Hub C</t>
        </is>
      </c>
      <c r="E7794" t="n">
        <v>29</v>
      </c>
      <c r="F7794" t="n">
        <v>22</v>
      </c>
    </row>
    <row r="7795">
      <c r="A7795" t="inlineStr">
        <is>
          <t>ORD07794</t>
        </is>
      </c>
      <c r="B7795" t="inlineStr">
        <is>
          <t>C0294</t>
        </is>
      </c>
      <c r="C7795" t="n">
        <v>3</v>
      </c>
      <c r="D7795" t="inlineStr">
        <is>
          <t>Hub C</t>
        </is>
      </c>
      <c r="E7795" t="n">
        <v>36</v>
      </c>
      <c r="F7795" t="n">
        <v>22</v>
      </c>
    </row>
    <row r="7796">
      <c r="A7796" t="inlineStr">
        <is>
          <t>ORD07795</t>
        </is>
      </c>
      <c r="B7796" t="inlineStr">
        <is>
          <t>C0295</t>
        </is>
      </c>
      <c r="C7796" t="n">
        <v>1</v>
      </c>
      <c r="D7796" t="inlineStr">
        <is>
          <t>Hub C</t>
        </is>
      </c>
      <c r="E7796" t="n">
        <v>43</v>
      </c>
      <c r="F7796" t="n">
        <v>22</v>
      </c>
    </row>
    <row r="7797">
      <c r="A7797" t="inlineStr">
        <is>
          <t>ORD07796</t>
        </is>
      </c>
      <c r="B7797" t="inlineStr">
        <is>
          <t>C0296</t>
        </is>
      </c>
      <c r="C7797" t="n">
        <v>2</v>
      </c>
      <c r="D7797" t="inlineStr">
        <is>
          <t>Hub C</t>
        </is>
      </c>
      <c r="E7797" t="n">
        <v>50</v>
      </c>
      <c r="F7797" t="n">
        <v>22</v>
      </c>
    </row>
    <row r="7798">
      <c r="A7798" t="inlineStr">
        <is>
          <t>ORD07797</t>
        </is>
      </c>
      <c r="B7798" t="inlineStr">
        <is>
          <t>C0297</t>
        </is>
      </c>
      <c r="C7798" t="n">
        <v>3</v>
      </c>
      <c r="D7798" t="inlineStr">
        <is>
          <t>Hub C</t>
        </is>
      </c>
      <c r="E7798" t="n">
        <v>57</v>
      </c>
      <c r="F7798" t="n">
        <v>22</v>
      </c>
    </row>
    <row r="7799">
      <c r="A7799" t="inlineStr">
        <is>
          <t>ORD07798</t>
        </is>
      </c>
      <c r="B7799" t="inlineStr">
        <is>
          <t>C0298</t>
        </is>
      </c>
      <c r="C7799" t="n">
        <v>1</v>
      </c>
      <c r="D7799" t="inlineStr">
        <is>
          <t>Hub C</t>
        </is>
      </c>
      <c r="E7799" t="n">
        <v>64</v>
      </c>
      <c r="F7799" t="n">
        <v>22</v>
      </c>
    </row>
    <row r="7800">
      <c r="A7800" t="inlineStr">
        <is>
          <t>ORD07799</t>
        </is>
      </c>
      <c r="B7800" t="inlineStr">
        <is>
          <t>C0299</t>
        </is>
      </c>
      <c r="C7800" t="n">
        <v>2</v>
      </c>
      <c r="D7800" t="inlineStr">
        <is>
          <t>Hub C</t>
        </is>
      </c>
      <c r="E7800" t="n">
        <v>71</v>
      </c>
      <c r="F7800" t="n">
        <v>22</v>
      </c>
    </row>
    <row r="7801">
      <c r="A7801" t="inlineStr">
        <is>
          <t>ORD07800</t>
        </is>
      </c>
      <c r="B7801" t="inlineStr">
        <is>
          <t>C0300</t>
        </is>
      </c>
      <c r="C7801" t="n">
        <v>3</v>
      </c>
      <c r="D7801" t="inlineStr">
        <is>
          <t>Hub C</t>
        </is>
      </c>
      <c r="E7801" t="n">
        <v>18</v>
      </c>
      <c r="F7801" t="n">
        <v>22</v>
      </c>
    </row>
    <row r="7802">
      <c r="A7802" t="inlineStr">
        <is>
          <t>ORD07801</t>
        </is>
      </c>
      <c r="B7802" t="inlineStr">
        <is>
          <t>C0301</t>
        </is>
      </c>
      <c r="C7802" t="n">
        <v>1</v>
      </c>
      <c r="D7802" t="inlineStr">
        <is>
          <t>Hub C</t>
        </is>
      </c>
      <c r="E7802" t="n">
        <v>25</v>
      </c>
      <c r="F7802" t="n">
        <v>22</v>
      </c>
    </row>
    <row r="7803">
      <c r="A7803" t="inlineStr">
        <is>
          <t>ORD07802</t>
        </is>
      </c>
      <c r="B7803" t="inlineStr">
        <is>
          <t>C0302</t>
        </is>
      </c>
      <c r="C7803" t="n">
        <v>2</v>
      </c>
      <c r="D7803" t="inlineStr">
        <is>
          <t>Hub C</t>
        </is>
      </c>
      <c r="E7803" t="n">
        <v>32</v>
      </c>
      <c r="F7803" t="n">
        <v>22</v>
      </c>
    </row>
    <row r="7804">
      <c r="A7804" t="inlineStr">
        <is>
          <t>ORD07803</t>
        </is>
      </c>
      <c r="B7804" t="inlineStr">
        <is>
          <t>C0303</t>
        </is>
      </c>
      <c r="C7804" t="n">
        <v>3</v>
      </c>
      <c r="D7804" t="inlineStr">
        <is>
          <t>Hub C</t>
        </is>
      </c>
      <c r="E7804" t="n">
        <v>39</v>
      </c>
      <c r="F7804" t="n">
        <v>22</v>
      </c>
    </row>
    <row r="7805">
      <c r="A7805" t="inlineStr">
        <is>
          <t>ORD07804</t>
        </is>
      </c>
      <c r="B7805" t="inlineStr">
        <is>
          <t>C0304</t>
        </is>
      </c>
      <c r="C7805" t="n">
        <v>1</v>
      </c>
      <c r="D7805" t="inlineStr">
        <is>
          <t>Hub C</t>
        </is>
      </c>
      <c r="E7805" t="n">
        <v>46</v>
      </c>
      <c r="F7805" t="n">
        <v>22</v>
      </c>
    </row>
    <row r="7806">
      <c r="A7806" t="inlineStr">
        <is>
          <t>ORD07805</t>
        </is>
      </c>
      <c r="B7806" t="inlineStr">
        <is>
          <t>C0305</t>
        </is>
      </c>
      <c r="C7806" t="n">
        <v>2</v>
      </c>
      <c r="D7806" t="inlineStr">
        <is>
          <t>Hub C</t>
        </is>
      </c>
      <c r="E7806" t="n">
        <v>53</v>
      </c>
      <c r="F7806" t="n">
        <v>22</v>
      </c>
    </row>
    <row r="7807">
      <c r="A7807" t="inlineStr">
        <is>
          <t>ORD07806</t>
        </is>
      </c>
      <c r="B7807" t="inlineStr">
        <is>
          <t>C0306</t>
        </is>
      </c>
      <c r="C7807" t="n">
        <v>3</v>
      </c>
      <c r="D7807" t="inlineStr">
        <is>
          <t>Hub C</t>
        </is>
      </c>
      <c r="E7807" t="n">
        <v>60</v>
      </c>
      <c r="F7807" t="n">
        <v>22</v>
      </c>
    </row>
    <row r="7808">
      <c r="A7808" t="inlineStr">
        <is>
          <t>ORD07807</t>
        </is>
      </c>
      <c r="B7808" t="inlineStr">
        <is>
          <t>C0307</t>
        </is>
      </c>
      <c r="C7808" t="n">
        <v>1</v>
      </c>
      <c r="D7808" t="inlineStr">
        <is>
          <t>Hub C</t>
        </is>
      </c>
      <c r="E7808" t="n">
        <v>67</v>
      </c>
      <c r="F7808" t="n">
        <v>22</v>
      </c>
    </row>
    <row r="7809">
      <c r="A7809" t="inlineStr">
        <is>
          <t>ORD07808</t>
        </is>
      </c>
      <c r="B7809" t="inlineStr">
        <is>
          <t>C0308</t>
        </is>
      </c>
      <c r="C7809" t="n">
        <v>2</v>
      </c>
      <c r="D7809" t="inlineStr">
        <is>
          <t>Hub C</t>
        </is>
      </c>
      <c r="E7809" t="n">
        <v>74</v>
      </c>
      <c r="F7809" t="n">
        <v>22</v>
      </c>
    </row>
    <row r="7810">
      <c r="A7810" t="inlineStr">
        <is>
          <t>ORD07809</t>
        </is>
      </c>
      <c r="B7810" t="inlineStr">
        <is>
          <t>C0309</t>
        </is>
      </c>
      <c r="C7810" t="n">
        <v>3</v>
      </c>
      <c r="D7810" t="inlineStr">
        <is>
          <t>Hub C</t>
        </is>
      </c>
      <c r="E7810" t="n">
        <v>21</v>
      </c>
      <c r="F7810" t="n">
        <v>22</v>
      </c>
    </row>
    <row r="7811">
      <c r="A7811" t="inlineStr">
        <is>
          <t>ORD07810</t>
        </is>
      </c>
      <c r="B7811" t="inlineStr">
        <is>
          <t>C0310</t>
        </is>
      </c>
      <c r="C7811" t="n">
        <v>1</v>
      </c>
      <c r="D7811" t="inlineStr">
        <is>
          <t>Hub C</t>
        </is>
      </c>
      <c r="E7811" t="n">
        <v>28</v>
      </c>
      <c r="F7811" t="n">
        <v>22</v>
      </c>
    </row>
    <row r="7812">
      <c r="A7812" t="inlineStr">
        <is>
          <t>ORD07811</t>
        </is>
      </c>
      <c r="B7812" t="inlineStr">
        <is>
          <t>C0311</t>
        </is>
      </c>
      <c r="C7812" t="n">
        <v>2</v>
      </c>
      <c r="D7812" t="inlineStr">
        <is>
          <t>Hub C</t>
        </is>
      </c>
      <c r="E7812" t="n">
        <v>35</v>
      </c>
      <c r="F7812" t="n">
        <v>22</v>
      </c>
    </row>
    <row r="7813">
      <c r="A7813" t="inlineStr">
        <is>
          <t>ORD07812</t>
        </is>
      </c>
      <c r="B7813" t="inlineStr">
        <is>
          <t>C0312</t>
        </is>
      </c>
      <c r="C7813" t="n">
        <v>3</v>
      </c>
      <c r="D7813" t="inlineStr">
        <is>
          <t>Hub C</t>
        </is>
      </c>
      <c r="E7813" t="n">
        <v>42</v>
      </c>
      <c r="F7813" t="n">
        <v>22</v>
      </c>
    </row>
    <row r="7814">
      <c r="A7814" t="inlineStr">
        <is>
          <t>ORD07813</t>
        </is>
      </c>
      <c r="B7814" t="inlineStr">
        <is>
          <t>C0313</t>
        </is>
      </c>
      <c r="C7814" t="n">
        <v>1</v>
      </c>
      <c r="D7814" t="inlineStr">
        <is>
          <t>Hub C</t>
        </is>
      </c>
      <c r="E7814" t="n">
        <v>49</v>
      </c>
      <c r="F7814" t="n">
        <v>22</v>
      </c>
    </row>
    <row r="7815">
      <c r="A7815" t="inlineStr">
        <is>
          <t>ORD07814</t>
        </is>
      </c>
      <c r="B7815" t="inlineStr">
        <is>
          <t>C0314</t>
        </is>
      </c>
      <c r="C7815" t="n">
        <v>2</v>
      </c>
      <c r="D7815" t="inlineStr">
        <is>
          <t>Hub C</t>
        </is>
      </c>
      <c r="E7815" t="n">
        <v>56</v>
      </c>
      <c r="F7815" t="n">
        <v>22</v>
      </c>
    </row>
    <row r="7816">
      <c r="A7816" t="inlineStr">
        <is>
          <t>ORD07815</t>
        </is>
      </c>
      <c r="B7816" t="inlineStr">
        <is>
          <t>C0315</t>
        </is>
      </c>
      <c r="C7816" t="n">
        <v>3</v>
      </c>
      <c r="D7816" t="inlineStr">
        <is>
          <t>Hub C</t>
        </is>
      </c>
      <c r="E7816" t="n">
        <v>63</v>
      </c>
      <c r="F7816" t="n">
        <v>22</v>
      </c>
    </row>
    <row r="7817">
      <c r="A7817" t="inlineStr">
        <is>
          <t>ORD07816</t>
        </is>
      </c>
      <c r="B7817" t="inlineStr">
        <is>
          <t>C0316</t>
        </is>
      </c>
      <c r="C7817" t="n">
        <v>1</v>
      </c>
      <c r="D7817" t="inlineStr">
        <is>
          <t>Hub C</t>
        </is>
      </c>
      <c r="E7817" t="n">
        <v>70</v>
      </c>
      <c r="F7817" t="n">
        <v>22</v>
      </c>
    </row>
    <row r="7818">
      <c r="A7818" t="inlineStr">
        <is>
          <t>ORD07817</t>
        </is>
      </c>
      <c r="B7818" t="inlineStr">
        <is>
          <t>C0317</t>
        </is>
      </c>
      <c r="C7818" t="n">
        <v>2</v>
      </c>
      <c r="D7818" t="inlineStr">
        <is>
          <t>Hub C</t>
        </is>
      </c>
      <c r="E7818" t="n">
        <v>77</v>
      </c>
      <c r="F7818" t="n">
        <v>22</v>
      </c>
    </row>
    <row r="7819">
      <c r="A7819" t="inlineStr">
        <is>
          <t>ORD07818</t>
        </is>
      </c>
      <c r="B7819" t="inlineStr">
        <is>
          <t>C0318</t>
        </is>
      </c>
      <c r="C7819" t="n">
        <v>3</v>
      </c>
      <c r="D7819" t="inlineStr">
        <is>
          <t>Hub C</t>
        </is>
      </c>
      <c r="E7819" t="n">
        <v>24</v>
      </c>
      <c r="F7819" t="n">
        <v>22</v>
      </c>
    </row>
    <row r="7820">
      <c r="A7820" t="inlineStr">
        <is>
          <t>ORD07819</t>
        </is>
      </c>
      <c r="B7820" t="inlineStr">
        <is>
          <t>C0319</t>
        </is>
      </c>
      <c r="C7820" t="n">
        <v>1</v>
      </c>
      <c r="D7820" t="inlineStr">
        <is>
          <t>Hub C</t>
        </is>
      </c>
      <c r="E7820" t="n">
        <v>31</v>
      </c>
      <c r="F7820" t="n">
        <v>22</v>
      </c>
    </row>
    <row r="7821">
      <c r="A7821" t="inlineStr">
        <is>
          <t>ORD07820</t>
        </is>
      </c>
      <c r="B7821" t="inlineStr">
        <is>
          <t>C0320</t>
        </is>
      </c>
      <c r="C7821" t="n">
        <v>2</v>
      </c>
      <c r="D7821" t="inlineStr">
        <is>
          <t>Hub C</t>
        </is>
      </c>
      <c r="E7821" t="n">
        <v>38</v>
      </c>
      <c r="F7821" t="n">
        <v>22</v>
      </c>
    </row>
    <row r="7822">
      <c r="A7822" t="inlineStr">
        <is>
          <t>ORD07821</t>
        </is>
      </c>
      <c r="B7822" t="inlineStr">
        <is>
          <t>C0321</t>
        </is>
      </c>
      <c r="C7822" t="n">
        <v>3</v>
      </c>
      <c r="D7822" t="inlineStr">
        <is>
          <t>Hub C</t>
        </is>
      </c>
      <c r="E7822" t="n">
        <v>45</v>
      </c>
      <c r="F7822" t="n">
        <v>22</v>
      </c>
    </row>
    <row r="7823">
      <c r="A7823" t="inlineStr">
        <is>
          <t>ORD07822</t>
        </is>
      </c>
      <c r="B7823" t="inlineStr">
        <is>
          <t>C0322</t>
        </is>
      </c>
      <c r="C7823" t="n">
        <v>1</v>
      </c>
      <c r="D7823" t="inlineStr">
        <is>
          <t>Hub C</t>
        </is>
      </c>
      <c r="E7823" t="n">
        <v>52</v>
      </c>
      <c r="F7823" t="n">
        <v>22</v>
      </c>
    </row>
    <row r="7824">
      <c r="A7824" t="inlineStr">
        <is>
          <t>ORD07823</t>
        </is>
      </c>
      <c r="B7824" t="inlineStr">
        <is>
          <t>C0323</t>
        </is>
      </c>
      <c r="C7824" t="n">
        <v>2</v>
      </c>
      <c r="D7824" t="inlineStr">
        <is>
          <t>Hub C</t>
        </is>
      </c>
      <c r="E7824" t="n">
        <v>59</v>
      </c>
      <c r="F7824" t="n">
        <v>22</v>
      </c>
    </row>
    <row r="7825">
      <c r="A7825" t="inlineStr">
        <is>
          <t>ORD07824</t>
        </is>
      </c>
      <c r="B7825" t="inlineStr">
        <is>
          <t>C0324</t>
        </is>
      </c>
      <c r="C7825" t="n">
        <v>3</v>
      </c>
      <c r="D7825" t="inlineStr">
        <is>
          <t>Hub C</t>
        </is>
      </c>
      <c r="E7825" t="n">
        <v>66</v>
      </c>
      <c r="F7825" t="n">
        <v>22</v>
      </c>
    </row>
    <row r="7826">
      <c r="A7826" t="inlineStr">
        <is>
          <t>ORD07825</t>
        </is>
      </c>
      <c r="B7826" t="inlineStr">
        <is>
          <t>C0325</t>
        </is>
      </c>
      <c r="C7826" t="n">
        <v>1</v>
      </c>
      <c r="D7826" t="inlineStr">
        <is>
          <t>Hub C</t>
        </is>
      </c>
      <c r="E7826" t="n">
        <v>73</v>
      </c>
      <c r="F7826" t="n">
        <v>22</v>
      </c>
    </row>
    <row r="7827">
      <c r="A7827" t="inlineStr">
        <is>
          <t>ORD07826</t>
        </is>
      </c>
      <c r="B7827" t="inlineStr">
        <is>
          <t>C0326</t>
        </is>
      </c>
      <c r="C7827" t="n">
        <v>2</v>
      </c>
      <c r="D7827" t="inlineStr">
        <is>
          <t>Hub C</t>
        </is>
      </c>
      <c r="E7827" t="n">
        <v>20</v>
      </c>
      <c r="F7827" t="n">
        <v>22</v>
      </c>
    </row>
    <row r="7828">
      <c r="A7828" t="inlineStr">
        <is>
          <t>ORD07827</t>
        </is>
      </c>
      <c r="B7828" t="inlineStr">
        <is>
          <t>C0327</t>
        </is>
      </c>
      <c r="C7828" t="n">
        <v>3</v>
      </c>
      <c r="D7828" t="inlineStr">
        <is>
          <t>Hub C</t>
        </is>
      </c>
      <c r="E7828" t="n">
        <v>27</v>
      </c>
      <c r="F7828" t="n">
        <v>22</v>
      </c>
    </row>
    <row r="7829">
      <c r="A7829" t="inlineStr">
        <is>
          <t>ORD07828</t>
        </is>
      </c>
      <c r="B7829" t="inlineStr">
        <is>
          <t>C0328</t>
        </is>
      </c>
      <c r="C7829" t="n">
        <v>1</v>
      </c>
      <c r="D7829" t="inlineStr">
        <is>
          <t>Hub C</t>
        </is>
      </c>
      <c r="E7829" t="n">
        <v>34</v>
      </c>
      <c r="F7829" t="n">
        <v>22</v>
      </c>
    </row>
    <row r="7830">
      <c r="A7830" t="inlineStr">
        <is>
          <t>ORD07829</t>
        </is>
      </c>
      <c r="B7830" t="inlineStr">
        <is>
          <t>C0329</t>
        </is>
      </c>
      <c r="C7830" t="n">
        <v>2</v>
      </c>
      <c r="D7830" t="inlineStr">
        <is>
          <t>Hub C</t>
        </is>
      </c>
      <c r="E7830" t="n">
        <v>41</v>
      </c>
      <c r="F7830" t="n">
        <v>22</v>
      </c>
    </row>
    <row r="7831">
      <c r="A7831" t="inlineStr">
        <is>
          <t>ORD07830</t>
        </is>
      </c>
      <c r="B7831" t="inlineStr">
        <is>
          <t>C0330</t>
        </is>
      </c>
      <c r="C7831" t="n">
        <v>3</v>
      </c>
      <c r="D7831" t="inlineStr">
        <is>
          <t>Hub C</t>
        </is>
      </c>
      <c r="E7831" t="n">
        <v>48</v>
      </c>
      <c r="F7831" t="n">
        <v>22</v>
      </c>
    </row>
    <row r="7832">
      <c r="A7832" t="inlineStr">
        <is>
          <t>ORD07831</t>
        </is>
      </c>
      <c r="B7832" t="inlineStr">
        <is>
          <t>C0331</t>
        </is>
      </c>
      <c r="C7832" t="n">
        <v>1</v>
      </c>
      <c r="D7832" t="inlineStr">
        <is>
          <t>Hub C</t>
        </is>
      </c>
      <c r="E7832" t="n">
        <v>55</v>
      </c>
      <c r="F7832" t="n">
        <v>22</v>
      </c>
    </row>
    <row r="7833">
      <c r="A7833" t="inlineStr">
        <is>
          <t>ORD07832</t>
        </is>
      </c>
      <c r="B7833" t="inlineStr">
        <is>
          <t>C0332</t>
        </is>
      </c>
      <c r="C7833" t="n">
        <v>2</v>
      </c>
      <c r="D7833" t="inlineStr">
        <is>
          <t>Hub C</t>
        </is>
      </c>
      <c r="E7833" t="n">
        <v>62</v>
      </c>
      <c r="F7833" t="n">
        <v>22</v>
      </c>
    </row>
    <row r="7834">
      <c r="A7834" t="inlineStr">
        <is>
          <t>ORD07833</t>
        </is>
      </c>
      <c r="B7834" t="inlineStr">
        <is>
          <t>C0333</t>
        </is>
      </c>
      <c r="C7834" t="n">
        <v>3</v>
      </c>
      <c r="D7834" t="inlineStr">
        <is>
          <t>Hub C</t>
        </is>
      </c>
      <c r="E7834" t="n">
        <v>69</v>
      </c>
      <c r="F7834" t="n">
        <v>22</v>
      </c>
    </row>
    <row r="7835">
      <c r="A7835" t="inlineStr">
        <is>
          <t>ORD07834</t>
        </is>
      </c>
      <c r="B7835" t="inlineStr">
        <is>
          <t>C0334</t>
        </is>
      </c>
      <c r="C7835" t="n">
        <v>1</v>
      </c>
      <c r="D7835" t="inlineStr">
        <is>
          <t>Hub C</t>
        </is>
      </c>
      <c r="E7835" t="n">
        <v>76</v>
      </c>
      <c r="F7835" t="n">
        <v>22</v>
      </c>
    </row>
    <row r="7836">
      <c r="A7836" t="inlineStr">
        <is>
          <t>ORD07835</t>
        </is>
      </c>
      <c r="B7836" t="inlineStr">
        <is>
          <t>C0335</t>
        </is>
      </c>
      <c r="C7836" t="n">
        <v>2</v>
      </c>
      <c r="D7836" t="inlineStr">
        <is>
          <t>Hub C</t>
        </is>
      </c>
      <c r="E7836" t="n">
        <v>23</v>
      </c>
      <c r="F7836" t="n">
        <v>22</v>
      </c>
    </row>
    <row r="7837">
      <c r="A7837" t="inlineStr">
        <is>
          <t>ORD07836</t>
        </is>
      </c>
      <c r="B7837" t="inlineStr">
        <is>
          <t>C0336</t>
        </is>
      </c>
      <c r="C7837" t="n">
        <v>3</v>
      </c>
      <c r="D7837" t="inlineStr">
        <is>
          <t>Hub C</t>
        </is>
      </c>
      <c r="E7837" t="n">
        <v>30</v>
      </c>
      <c r="F7837" t="n">
        <v>22</v>
      </c>
    </row>
    <row r="7838">
      <c r="A7838" t="inlineStr">
        <is>
          <t>ORD07837</t>
        </is>
      </c>
      <c r="B7838" t="inlineStr">
        <is>
          <t>C0337</t>
        </is>
      </c>
      <c r="C7838" t="n">
        <v>1</v>
      </c>
      <c r="D7838" t="inlineStr">
        <is>
          <t>Hub C</t>
        </is>
      </c>
      <c r="E7838" t="n">
        <v>37</v>
      </c>
      <c r="F7838" t="n">
        <v>22</v>
      </c>
    </row>
    <row r="7839">
      <c r="A7839" t="inlineStr">
        <is>
          <t>ORD07838</t>
        </is>
      </c>
      <c r="B7839" t="inlineStr">
        <is>
          <t>C0338</t>
        </is>
      </c>
      <c r="C7839" t="n">
        <v>2</v>
      </c>
      <c r="D7839" t="inlineStr">
        <is>
          <t>Hub C</t>
        </is>
      </c>
      <c r="E7839" t="n">
        <v>44</v>
      </c>
      <c r="F7839" t="n">
        <v>22</v>
      </c>
    </row>
    <row r="7840">
      <c r="A7840" t="inlineStr">
        <is>
          <t>ORD07839</t>
        </is>
      </c>
      <c r="B7840" t="inlineStr">
        <is>
          <t>C0339</t>
        </is>
      </c>
      <c r="C7840" t="n">
        <v>3</v>
      </c>
      <c r="D7840" t="inlineStr">
        <is>
          <t>Hub C</t>
        </is>
      </c>
      <c r="E7840" t="n">
        <v>51</v>
      </c>
      <c r="F7840" t="n">
        <v>22</v>
      </c>
    </row>
    <row r="7841">
      <c r="A7841" t="inlineStr">
        <is>
          <t>ORD07840</t>
        </is>
      </c>
      <c r="B7841" t="inlineStr">
        <is>
          <t>C0340</t>
        </is>
      </c>
      <c r="C7841" t="n">
        <v>1</v>
      </c>
      <c r="D7841" t="inlineStr">
        <is>
          <t>Hub C</t>
        </is>
      </c>
      <c r="E7841" t="n">
        <v>58</v>
      </c>
      <c r="F7841" t="n">
        <v>22</v>
      </c>
    </row>
    <row r="7842">
      <c r="A7842" t="inlineStr">
        <is>
          <t>ORD07841</t>
        </is>
      </c>
      <c r="B7842" t="inlineStr">
        <is>
          <t>C0341</t>
        </is>
      </c>
      <c r="C7842" t="n">
        <v>2</v>
      </c>
      <c r="D7842" t="inlineStr">
        <is>
          <t>Hub C</t>
        </is>
      </c>
      <c r="E7842" t="n">
        <v>65</v>
      </c>
      <c r="F7842" t="n">
        <v>22</v>
      </c>
    </row>
    <row r="7843">
      <c r="A7843" t="inlineStr">
        <is>
          <t>ORD07842</t>
        </is>
      </c>
      <c r="B7843" t="inlineStr">
        <is>
          <t>C0342</t>
        </is>
      </c>
      <c r="C7843" t="n">
        <v>3</v>
      </c>
      <c r="D7843" t="inlineStr">
        <is>
          <t>Hub C</t>
        </is>
      </c>
      <c r="E7843" t="n">
        <v>72</v>
      </c>
      <c r="F7843" t="n">
        <v>22</v>
      </c>
    </row>
    <row r="7844">
      <c r="A7844" t="inlineStr">
        <is>
          <t>ORD07843</t>
        </is>
      </c>
      <c r="B7844" t="inlineStr">
        <is>
          <t>C0343</t>
        </is>
      </c>
      <c r="C7844" t="n">
        <v>1</v>
      </c>
      <c r="D7844" t="inlineStr">
        <is>
          <t>Hub C</t>
        </is>
      </c>
      <c r="E7844" t="n">
        <v>19</v>
      </c>
      <c r="F7844" t="n">
        <v>22</v>
      </c>
    </row>
    <row r="7845">
      <c r="A7845" t="inlineStr">
        <is>
          <t>ORD07844</t>
        </is>
      </c>
      <c r="B7845" t="inlineStr">
        <is>
          <t>C0344</t>
        </is>
      </c>
      <c r="C7845" t="n">
        <v>2</v>
      </c>
      <c r="D7845" t="inlineStr">
        <is>
          <t>Hub C</t>
        </is>
      </c>
      <c r="E7845" t="n">
        <v>26</v>
      </c>
      <c r="F7845" t="n">
        <v>22</v>
      </c>
    </row>
    <row r="7846">
      <c r="A7846" t="inlineStr">
        <is>
          <t>ORD07845</t>
        </is>
      </c>
      <c r="B7846" t="inlineStr">
        <is>
          <t>C0345</t>
        </is>
      </c>
      <c r="C7846" t="n">
        <v>3</v>
      </c>
      <c r="D7846" t="inlineStr">
        <is>
          <t>Hub C</t>
        </is>
      </c>
      <c r="E7846" t="n">
        <v>33</v>
      </c>
      <c r="F7846" t="n">
        <v>22</v>
      </c>
    </row>
    <row r="7847">
      <c r="A7847" t="inlineStr">
        <is>
          <t>ORD07846</t>
        </is>
      </c>
      <c r="B7847" t="inlineStr">
        <is>
          <t>C0346</t>
        </is>
      </c>
      <c r="C7847" t="n">
        <v>1</v>
      </c>
      <c r="D7847" t="inlineStr">
        <is>
          <t>Hub C</t>
        </is>
      </c>
      <c r="E7847" t="n">
        <v>40</v>
      </c>
      <c r="F7847" t="n">
        <v>22</v>
      </c>
    </row>
    <row r="7848">
      <c r="A7848" t="inlineStr">
        <is>
          <t>ORD07847</t>
        </is>
      </c>
      <c r="B7848" t="inlineStr">
        <is>
          <t>C0347</t>
        </is>
      </c>
      <c r="C7848" t="n">
        <v>2</v>
      </c>
      <c r="D7848" t="inlineStr">
        <is>
          <t>Hub C</t>
        </is>
      </c>
      <c r="E7848" t="n">
        <v>47</v>
      </c>
      <c r="F7848" t="n">
        <v>22</v>
      </c>
    </row>
    <row r="7849">
      <c r="A7849" t="inlineStr">
        <is>
          <t>ORD07848</t>
        </is>
      </c>
      <c r="B7849" t="inlineStr">
        <is>
          <t>C0348</t>
        </is>
      </c>
      <c r="C7849" t="n">
        <v>3</v>
      </c>
      <c r="D7849" t="inlineStr">
        <is>
          <t>Hub C</t>
        </is>
      </c>
      <c r="E7849" t="n">
        <v>54</v>
      </c>
      <c r="F7849" t="n">
        <v>22</v>
      </c>
    </row>
    <row r="7850">
      <c r="A7850" t="inlineStr">
        <is>
          <t>ORD07849</t>
        </is>
      </c>
      <c r="B7850" t="inlineStr">
        <is>
          <t>C0349</t>
        </is>
      </c>
      <c r="C7850" t="n">
        <v>1</v>
      </c>
      <c r="D7850" t="inlineStr">
        <is>
          <t>Hub C</t>
        </is>
      </c>
      <c r="E7850" t="n">
        <v>61</v>
      </c>
      <c r="F7850" t="n">
        <v>22</v>
      </c>
    </row>
    <row r="7851">
      <c r="A7851" t="inlineStr">
        <is>
          <t>ORD07850</t>
        </is>
      </c>
      <c r="B7851" t="inlineStr">
        <is>
          <t>C0350</t>
        </is>
      </c>
      <c r="C7851" t="n">
        <v>2</v>
      </c>
      <c r="D7851" t="inlineStr">
        <is>
          <t>Hub C</t>
        </is>
      </c>
      <c r="E7851" t="n">
        <v>68</v>
      </c>
      <c r="F7851" t="n">
        <v>22</v>
      </c>
    </row>
    <row r="7852">
      <c r="A7852" t="inlineStr">
        <is>
          <t>ORD07851</t>
        </is>
      </c>
      <c r="B7852" t="inlineStr">
        <is>
          <t>C0351</t>
        </is>
      </c>
      <c r="C7852" t="n">
        <v>3</v>
      </c>
      <c r="D7852" t="inlineStr">
        <is>
          <t>Hub C</t>
        </is>
      </c>
      <c r="E7852" t="n">
        <v>75</v>
      </c>
      <c r="F7852" t="n">
        <v>22</v>
      </c>
    </row>
    <row r="7853">
      <c r="A7853" t="inlineStr">
        <is>
          <t>ORD07852</t>
        </is>
      </c>
      <c r="B7853" t="inlineStr">
        <is>
          <t>C0352</t>
        </is>
      </c>
      <c r="C7853" t="n">
        <v>1</v>
      </c>
      <c r="D7853" t="inlineStr">
        <is>
          <t>Hub C</t>
        </is>
      </c>
      <c r="E7853" t="n">
        <v>22</v>
      </c>
      <c r="F7853" t="n">
        <v>22</v>
      </c>
    </row>
    <row r="7854">
      <c r="A7854" t="inlineStr">
        <is>
          <t>ORD07853</t>
        </is>
      </c>
      <c r="B7854" t="inlineStr">
        <is>
          <t>C0353</t>
        </is>
      </c>
      <c r="C7854" t="n">
        <v>2</v>
      </c>
      <c r="D7854" t="inlineStr">
        <is>
          <t>Hub C</t>
        </is>
      </c>
      <c r="E7854" t="n">
        <v>29</v>
      </c>
      <c r="F7854" t="n">
        <v>22</v>
      </c>
    </row>
    <row r="7855">
      <c r="A7855" t="inlineStr">
        <is>
          <t>ORD07854</t>
        </is>
      </c>
      <c r="B7855" t="inlineStr">
        <is>
          <t>C0354</t>
        </is>
      </c>
      <c r="C7855" t="n">
        <v>3</v>
      </c>
      <c r="D7855" t="inlineStr">
        <is>
          <t>Hub C</t>
        </is>
      </c>
      <c r="E7855" t="n">
        <v>36</v>
      </c>
      <c r="F7855" t="n">
        <v>22</v>
      </c>
    </row>
    <row r="7856">
      <c r="A7856" t="inlineStr">
        <is>
          <t>ORD07855</t>
        </is>
      </c>
      <c r="B7856" t="inlineStr">
        <is>
          <t>C0355</t>
        </is>
      </c>
      <c r="C7856" t="n">
        <v>1</v>
      </c>
      <c r="D7856" t="inlineStr">
        <is>
          <t>Hub C</t>
        </is>
      </c>
      <c r="E7856" t="n">
        <v>43</v>
      </c>
      <c r="F7856" t="n">
        <v>22</v>
      </c>
    </row>
    <row r="7857">
      <c r="A7857" t="inlineStr">
        <is>
          <t>ORD07856</t>
        </is>
      </c>
      <c r="B7857" t="inlineStr">
        <is>
          <t>C0356</t>
        </is>
      </c>
      <c r="C7857" t="n">
        <v>2</v>
      </c>
      <c r="D7857" t="inlineStr">
        <is>
          <t>Hub C</t>
        </is>
      </c>
      <c r="E7857" t="n">
        <v>50</v>
      </c>
      <c r="F7857" t="n">
        <v>22</v>
      </c>
    </row>
    <row r="7858">
      <c r="A7858" t="inlineStr">
        <is>
          <t>ORD07857</t>
        </is>
      </c>
      <c r="B7858" t="inlineStr">
        <is>
          <t>C0357</t>
        </is>
      </c>
      <c r="C7858" t="n">
        <v>3</v>
      </c>
      <c r="D7858" t="inlineStr">
        <is>
          <t>Hub C</t>
        </is>
      </c>
      <c r="E7858" t="n">
        <v>57</v>
      </c>
      <c r="F7858" t="n">
        <v>22</v>
      </c>
    </row>
    <row r="7859">
      <c r="A7859" t="inlineStr">
        <is>
          <t>ORD07858</t>
        </is>
      </c>
      <c r="B7859" t="inlineStr">
        <is>
          <t>C0358</t>
        </is>
      </c>
      <c r="C7859" t="n">
        <v>1</v>
      </c>
      <c r="D7859" t="inlineStr">
        <is>
          <t>Hub C</t>
        </is>
      </c>
      <c r="E7859" t="n">
        <v>64</v>
      </c>
      <c r="F7859" t="n">
        <v>22</v>
      </c>
    </row>
    <row r="7860">
      <c r="A7860" t="inlineStr">
        <is>
          <t>ORD07859</t>
        </is>
      </c>
      <c r="B7860" t="inlineStr">
        <is>
          <t>C0359</t>
        </is>
      </c>
      <c r="C7860" t="n">
        <v>2</v>
      </c>
      <c r="D7860" t="inlineStr">
        <is>
          <t>Hub C</t>
        </is>
      </c>
      <c r="E7860" t="n">
        <v>71</v>
      </c>
      <c r="F7860" t="n">
        <v>22</v>
      </c>
    </row>
    <row r="7861">
      <c r="A7861" t="inlineStr">
        <is>
          <t>ORD07860</t>
        </is>
      </c>
      <c r="B7861" t="inlineStr">
        <is>
          <t>C0360</t>
        </is>
      </c>
      <c r="C7861" t="n">
        <v>3</v>
      </c>
      <c r="D7861" t="inlineStr">
        <is>
          <t>Hub C</t>
        </is>
      </c>
      <c r="E7861" t="n">
        <v>18</v>
      </c>
      <c r="F7861" t="n">
        <v>22</v>
      </c>
    </row>
    <row r="7862">
      <c r="A7862" t="inlineStr">
        <is>
          <t>ORD07861</t>
        </is>
      </c>
      <c r="B7862" t="inlineStr">
        <is>
          <t>C0361</t>
        </is>
      </c>
      <c r="C7862" t="n">
        <v>1</v>
      </c>
      <c r="D7862" t="inlineStr">
        <is>
          <t>Hub C</t>
        </is>
      </c>
      <c r="E7862" t="n">
        <v>25</v>
      </c>
      <c r="F7862" t="n">
        <v>22</v>
      </c>
    </row>
    <row r="7863">
      <c r="A7863" t="inlineStr">
        <is>
          <t>ORD07862</t>
        </is>
      </c>
      <c r="B7863" t="inlineStr">
        <is>
          <t>C0362</t>
        </is>
      </c>
      <c r="C7863" t="n">
        <v>2</v>
      </c>
      <c r="D7863" t="inlineStr">
        <is>
          <t>Hub C</t>
        </is>
      </c>
      <c r="E7863" t="n">
        <v>32</v>
      </c>
      <c r="F7863" t="n">
        <v>22</v>
      </c>
    </row>
    <row r="7864">
      <c r="A7864" t="inlineStr">
        <is>
          <t>ORD07863</t>
        </is>
      </c>
      <c r="B7864" t="inlineStr">
        <is>
          <t>C0363</t>
        </is>
      </c>
      <c r="C7864" t="n">
        <v>3</v>
      </c>
      <c r="D7864" t="inlineStr">
        <is>
          <t>Hub C</t>
        </is>
      </c>
      <c r="E7864" t="n">
        <v>39</v>
      </c>
      <c r="F7864" t="n">
        <v>22</v>
      </c>
    </row>
    <row r="7865">
      <c r="A7865" t="inlineStr">
        <is>
          <t>ORD07864</t>
        </is>
      </c>
      <c r="B7865" t="inlineStr">
        <is>
          <t>C0364</t>
        </is>
      </c>
      <c r="C7865" t="n">
        <v>1</v>
      </c>
      <c r="D7865" t="inlineStr">
        <is>
          <t>Hub C</t>
        </is>
      </c>
      <c r="E7865" t="n">
        <v>46</v>
      </c>
      <c r="F7865" t="n">
        <v>22</v>
      </c>
    </row>
    <row r="7866">
      <c r="A7866" t="inlineStr">
        <is>
          <t>ORD07865</t>
        </is>
      </c>
      <c r="B7866" t="inlineStr">
        <is>
          <t>C0365</t>
        </is>
      </c>
      <c r="C7866" t="n">
        <v>2</v>
      </c>
      <c r="D7866" t="inlineStr">
        <is>
          <t>Hub C</t>
        </is>
      </c>
      <c r="E7866" t="n">
        <v>53</v>
      </c>
      <c r="F7866" t="n">
        <v>22</v>
      </c>
    </row>
    <row r="7867">
      <c r="A7867" t="inlineStr">
        <is>
          <t>ORD07866</t>
        </is>
      </c>
      <c r="B7867" t="inlineStr">
        <is>
          <t>C0366</t>
        </is>
      </c>
      <c r="C7867" t="n">
        <v>3</v>
      </c>
      <c r="D7867" t="inlineStr">
        <is>
          <t>Hub C</t>
        </is>
      </c>
      <c r="E7867" t="n">
        <v>60</v>
      </c>
      <c r="F7867" t="n">
        <v>22</v>
      </c>
    </row>
    <row r="7868">
      <c r="A7868" t="inlineStr">
        <is>
          <t>ORD07867</t>
        </is>
      </c>
      <c r="B7868" t="inlineStr">
        <is>
          <t>C0367</t>
        </is>
      </c>
      <c r="C7868" t="n">
        <v>1</v>
      </c>
      <c r="D7868" t="inlineStr">
        <is>
          <t>Hub C</t>
        </is>
      </c>
      <c r="E7868" t="n">
        <v>67</v>
      </c>
      <c r="F7868" t="n">
        <v>22</v>
      </c>
    </row>
    <row r="7869">
      <c r="A7869" t="inlineStr">
        <is>
          <t>ORD07868</t>
        </is>
      </c>
      <c r="B7869" t="inlineStr">
        <is>
          <t>C0368</t>
        </is>
      </c>
      <c r="C7869" t="n">
        <v>2</v>
      </c>
      <c r="D7869" t="inlineStr">
        <is>
          <t>Hub C</t>
        </is>
      </c>
      <c r="E7869" t="n">
        <v>74</v>
      </c>
      <c r="F7869" t="n">
        <v>22</v>
      </c>
    </row>
    <row r="7870">
      <c r="A7870" t="inlineStr">
        <is>
          <t>ORD07869</t>
        </is>
      </c>
      <c r="B7870" t="inlineStr">
        <is>
          <t>C0369</t>
        </is>
      </c>
      <c r="C7870" t="n">
        <v>3</v>
      </c>
      <c r="D7870" t="inlineStr">
        <is>
          <t>Hub C</t>
        </is>
      </c>
      <c r="E7870" t="n">
        <v>21</v>
      </c>
      <c r="F7870" t="n">
        <v>22</v>
      </c>
    </row>
    <row r="7871">
      <c r="A7871" t="inlineStr">
        <is>
          <t>ORD07870</t>
        </is>
      </c>
      <c r="B7871" t="inlineStr">
        <is>
          <t>C0370</t>
        </is>
      </c>
      <c r="C7871" t="n">
        <v>1</v>
      </c>
      <c r="D7871" t="inlineStr">
        <is>
          <t>Hub C</t>
        </is>
      </c>
      <c r="E7871" t="n">
        <v>28</v>
      </c>
      <c r="F7871" t="n">
        <v>22</v>
      </c>
    </row>
    <row r="7872">
      <c r="A7872" t="inlineStr">
        <is>
          <t>ORD07871</t>
        </is>
      </c>
      <c r="B7872" t="inlineStr">
        <is>
          <t>C0371</t>
        </is>
      </c>
      <c r="C7872" t="n">
        <v>2</v>
      </c>
      <c r="D7872" t="inlineStr">
        <is>
          <t>Hub C</t>
        </is>
      </c>
      <c r="E7872" t="n">
        <v>35</v>
      </c>
      <c r="F7872" t="n">
        <v>22</v>
      </c>
    </row>
    <row r="7873">
      <c r="A7873" t="inlineStr">
        <is>
          <t>ORD07872</t>
        </is>
      </c>
      <c r="B7873" t="inlineStr">
        <is>
          <t>C0372</t>
        </is>
      </c>
      <c r="C7873" t="n">
        <v>3</v>
      </c>
      <c r="D7873" t="inlineStr">
        <is>
          <t>Hub C</t>
        </is>
      </c>
      <c r="E7873" t="n">
        <v>42</v>
      </c>
      <c r="F7873" t="n">
        <v>22</v>
      </c>
    </row>
    <row r="7874">
      <c r="A7874" t="inlineStr">
        <is>
          <t>ORD07873</t>
        </is>
      </c>
      <c r="B7874" t="inlineStr">
        <is>
          <t>C0373</t>
        </is>
      </c>
      <c r="C7874" t="n">
        <v>1</v>
      </c>
      <c r="D7874" t="inlineStr">
        <is>
          <t>Hub C</t>
        </is>
      </c>
      <c r="E7874" t="n">
        <v>49</v>
      </c>
      <c r="F7874" t="n">
        <v>22</v>
      </c>
    </row>
    <row r="7875">
      <c r="A7875" t="inlineStr">
        <is>
          <t>ORD07874</t>
        </is>
      </c>
      <c r="B7875" t="inlineStr">
        <is>
          <t>C0374</t>
        </is>
      </c>
      <c r="C7875" t="n">
        <v>2</v>
      </c>
      <c r="D7875" t="inlineStr">
        <is>
          <t>Hub C</t>
        </is>
      </c>
      <c r="E7875" t="n">
        <v>56</v>
      </c>
      <c r="F7875" t="n">
        <v>22</v>
      </c>
    </row>
    <row r="7876">
      <c r="A7876" t="inlineStr">
        <is>
          <t>ORD07875</t>
        </is>
      </c>
      <c r="B7876" t="inlineStr">
        <is>
          <t>C0375</t>
        </is>
      </c>
      <c r="C7876" t="n">
        <v>3</v>
      </c>
      <c r="D7876" t="inlineStr">
        <is>
          <t>Hub C</t>
        </is>
      </c>
      <c r="E7876" t="n">
        <v>63</v>
      </c>
      <c r="F7876" t="n">
        <v>22</v>
      </c>
    </row>
    <row r="7877">
      <c r="A7877" t="inlineStr">
        <is>
          <t>ORD07876</t>
        </is>
      </c>
      <c r="B7877" t="inlineStr">
        <is>
          <t>C0376</t>
        </is>
      </c>
      <c r="C7877" t="n">
        <v>1</v>
      </c>
      <c r="D7877" t="inlineStr">
        <is>
          <t>Hub C</t>
        </is>
      </c>
      <c r="E7877" t="n">
        <v>70</v>
      </c>
      <c r="F7877" t="n">
        <v>22</v>
      </c>
    </row>
    <row r="7878">
      <c r="A7878" t="inlineStr">
        <is>
          <t>ORD07877</t>
        </is>
      </c>
      <c r="B7878" t="inlineStr">
        <is>
          <t>C0377</t>
        </is>
      </c>
      <c r="C7878" t="n">
        <v>2</v>
      </c>
      <c r="D7878" t="inlineStr">
        <is>
          <t>Hub C</t>
        </is>
      </c>
      <c r="E7878" t="n">
        <v>77</v>
      </c>
      <c r="F7878" t="n">
        <v>22</v>
      </c>
    </row>
    <row r="7879">
      <c r="A7879" t="inlineStr">
        <is>
          <t>ORD07878</t>
        </is>
      </c>
      <c r="B7879" t="inlineStr">
        <is>
          <t>C0378</t>
        </is>
      </c>
      <c r="C7879" t="n">
        <v>3</v>
      </c>
      <c r="D7879" t="inlineStr">
        <is>
          <t>Hub C</t>
        </is>
      </c>
      <c r="E7879" t="n">
        <v>24</v>
      </c>
      <c r="F7879" t="n">
        <v>22</v>
      </c>
    </row>
    <row r="7880">
      <c r="A7880" t="inlineStr">
        <is>
          <t>ORD07879</t>
        </is>
      </c>
      <c r="B7880" t="inlineStr">
        <is>
          <t>C0379</t>
        </is>
      </c>
      <c r="C7880" t="n">
        <v>1</v>
      </c>
      <c r="D7880" t="inlineStr">
        <is>
          <t>Hub C</t>
        </is>
      </c>
      <c r="E7880" t="n">
        <v>31</v>
      </c>
      <c r="F7880" t="n">
        <v>22</v>
      </c>
    </row>
    <row r="7881">
      <c r="A7881" t="inlineStr">
        <is>
          <t>ORD07880</t>
        </is>
      </c>
      <c r="B7881" t="inlineStr">
        <is>
          <t>C0380</t>
        </is>
      </c>
      <c r="C7881" t="n">
        <v>2</v>
      </c>
      <c r="D7881" t="inlineStr">
        <is>
          <t>Hub C</t>
        </is>
      </c>
      <c r="E7881" t="n">
        <v>38</v>
      </c>
      <c r="F7881" t="n">
        <v>22</v>
      </c>
    </row>
    <row r="7882">
      <c r="A7882" t="inlineStr">
        <is>
          <t>ORD07881</t>
        </is>
      </c>
      <c r="B7882" t="inlineStr">
        <is>
          <t>C0381</t>
        </is>
      </c>
      <c r="C7882" t="n">
        <v>3</v>
      </c>
      <c r="D7882" t="inlineStr">
        <is>
          <t>Hub C</t>
        </is>
      </c>
      <c r="E7882" t="n">
        <v>45</v>
      </c>
      <c r="F7882" t="n">
        <v>22</v>
      </c>
    </row>
    <row r="7883">
      <c r="A7883" t="inlineStr">
        <is>
          <t>ORD07882</t>
        </is>
      </c>
      <c r="B7883" t="inlineStr">
        <is>
          <t>C0382</t>
        </is>
      </c>
      <c r="C7883" t="n">
        <v>1</v>
      </c>
      <c r="D7883" t="inlineStr">
        <is>
          <t>Hub C</t>
        </is>
      </c>
      <c r="E7883" t="n">
        <v>52</v>
      </c>
      <c r="F7883" t="n">
        <v>22</v>
      </c>
    </row>
    <row r="7884">
      <c r="A7884" t="inlineStr">
        <is>
          <t>ORD07883</t>
        </is>
      </c>
      <c r="B7884" t="inlineStr">
        <is>
          <t>C0383</t>
        </is>
      </c>
      <c r="C7884" t="n">
        <v>2</v>
      </c>
      <c r="D7884" t="inlineStr">
        <is>
          <t>Hub C</t>
        </is>
      </c>
      <c r="E7884" t="n">
        <v>59</v>
      </c>
      <c r="F7884" t="n">
        <v>22</v>
      </c>
    </row>
    <row r="7885">
      <c r="A7885" t="inlineStr">
        <is>
          <t>ORD07884</t>
        </is>
      </c>
      <c r="B7885" t="inlineStr">
        <is>
          <t>C0384</t>
        </is>
      </c>
      <c r="C7885" t="n">
        <v>3</v>
      </c>
      <c r="D7885" t="inlineStr">
        <is>
          <t>Hub C</t>
        </is>
      </c>
      <c r="E7885" t="n">
        <v>66</v>
      </c>
      <c r="F7885" t="n">
        <v>22</v>
      </c>
    </row>
    <row r="7886">
      <c r="A7886" t="inlineStr">
        <is>
          <t>ORD07885</t>
        </is>
      </c>
      <c r="B7886" t="inlineStr">
        <is>
          <t>C0385</t>
        </is>
      </c>
      <c r="C7886" t="n">
        <v>1</v>
      </c>
      <c r="D7886" t="inlineStr">
        <is>
          <t>Hub C</t>
        </is>
      </c>
      <c r="E7886" t="n">
        <v>73</v>
      </c>
      <c r="F7886" t="n">
        <v>22</v>
      </c>
    </row>
    <row r="7887">
      <c r="A7887" t="inlineStr">
        <is>
          <t>ORD07886</t>
        </is>
      </c>
      <c r="B7887" t="inlineStr">
        <is>
          <t>C0386</t>
        </is>
      </c>
      <c r="C7887" t="n">
        <v>2</v>
      </c>
      <c r="D7887" t="inlineStr">
        <is>
          <t>Hub C</t>
        </is>
      </c>
      <c r="E7887" t="n">
        <v>20</v>
      </c>
      <c r="F7887" t="n">
        <v>22</v>
      </c>
    </row>
    <row r="7888">
      <c r="A7888" t="inlineStr">
        <is>
          <t>ORD07887</t>
        </is>
      </c>
      <c r="B7888" t="inlineStr">
        <is>
          <t>C0387</t>
        </is>
      </c>
      <c r="C7888" t="n">
        <v>3</v>
      </c>
      <c r="D7888" t="inlineStr">
        <is>
          <t>Hub C</t>
        </is>
      </c>
      <c r="E7888" t="n">
        <v>27</v>
      </c>
      <c r="F7888" t="n">
        <v>22</v>
      </c>
    </row>
    <row r="7889">
      <c r="A7889" t="inlineStr">
        <is>
          <t>ORD07888</t>
        </is>
      </c>
      <c r="B7889" t="inlineStr">
        <is>
          <t>C0388</t>
        </is>
      </c>
      <c r="C7889" t="n">
        <v>1</v>
      </c>
      <c r="D7889" t="inlineStr">
        <is>
          <t>Hub C</t>
        </is>
      </c>
      <c r="E7889" t="n">
        <v>34</v>
      </c>
      <c r="F7889" t="n">
        <v>22</v>
      </c>
    </row>
    <row r="7890">
      <c r="A7890" t="inlineStr">
        <is>
          <t>ORD07889</t>
        </is>
      </c>
      <c r="B7890" t="inlineStr">
        <is>
          <t>C0389</t>
        </is>
      </c>
      <c r="C7890" t="n">
        <v>2</v>
      </c>
      <c r="D7890" t="inlineStr">
        <is>
          <t>Hub C</t>
        </is>
      </c>
      <c r="E7890" t="n">
        <v>41</v>
      </c>
      <c r="F7890" t="n">
        <v>22</v>
      </c>
    </row>
    <row r="7891">
      <c r="A7891" t="inlineStr">
        <is>
          <t>ORD07890</t>
        </is>
      </c>
      <c r="B7891" t="inlineStr">
        <is>
          <t>C0390</t>
        </is>
      </c>
      <c r="C7891" t="n">
        <v>3</v>
      </c>
      <c r="D7891" t="inlineStr">
        <is>
          <t>Hub C</t>
        </is>
      </c>
      <c r="E7891" t="n">
        <v>48</v>
      </c>
      <c r="F7891" t="n">
        <v>22</v>
      </c>
    </row>
    <row r="7892">
      <c r="A7892" t="inlineStr">
        <is>
          <t>ORD07891</t>
        </is>
      </c>
      <c r="B7892" t="inlineStr">
        <is>
          <t>C0391</t>
        </is>
      </c>
      <c r="C7892" t="n">
        <v>1</v>
      </c>
      <c r="D7892" t="inlineStr">
        <is>
          <t>Hub C</t>
        </is>
      </c>
      <c r="E7892" t="n">
        <v>55</v>
      </c>
      <c r="F7892" t="n">
        <v>22</v>
      </c>
    </row>
    <row r="7893">
      <c r="A7893" t="inlineStr">
        <is>
          <t>ORD07892</t>
        </is>
      </c>
      <c r="B7893" t="inlineStr">
        <is>
          <t>C0392</t>
        </is>
      </c>
      <c r="C7893" t="n">
        <v>2</v>
      </c>
      <c r="D7893" t="inlineStr">
        <is>
          <t>Hub C</t>
        </is>
      </c>
      <c r="E7893" t="n">
        <v>62</v>
      </c>
      <c r="F7893" t="n">
        <v>22</v>
      </c>
    </row>
    <row r="7894">
      <c r="A7894" t="inlineStr">
        <is>
          <t>ORD07893</t>
        </is>
      </c>
      <c r="B7894" t="inlineStr">
        <is>
          <t>C0393</t>
        </is>
      </c>
      <c r="C7894" t="n">
        <v>3</v>
      </c>
      <c r="D7894" t="inlineStr">
        <is>
          <t>Hub C</t>
        </is>
      </c>
      <c r="E7894" t="n">
        <v>69</v>
      </c>
      <c r="F7894" t="n">
        <v>22</v>
      </c>
    </row>
    <row r="7895">
      <c r="A7895" t="inlineStr">
        <is>
          <t>ORD07894</t>
        </is>
      </c>
      <c r="B7895" t="inlineStr">
        <is>
          <t>C0394</t>
        </is>
      </c>
      <c r="C7895" t="n">
        <v>1</v>
      </c>
      <c r="D7895" t="inlineStr">
        <is>
          <t>Hub C</t>
        </is>
      </c>
      <c r="E7895" t="n">
        <v>76</v>
      </c>
      <c r="F7895" t="n">
        <v>22</v>
      </c>
    </row>
    <row r="7896">
      <c r="A7896" t="inlineStr">
        <is>
          <t>ORD07895</t>
        </is>
      </c>
      <c r="B7896" t="inlineStr">
        <is>
          <t>C0395</t>
        </is>
      </c>
      <c r="C7896" t="n">
        <v>2</v>
      </c>
      <c r="D7896" t="inlineStr">
        <is>
          <t>Hub C</t>
        </is>
      </c>
      <c r="E7896" t="n">
        <v>23</v>
      </c>
      <c r="F7896" t="n">
        <v>22</v>
      </c>
    </row>
    <row r="7897">
      <c r="A7897" t="inlineStr">
        <is>
          <t>ORD07896</t>
        </is>
      </c>
      <c r="B7897" t="inlineStr">
        <is>
          <t>C0396</t>
        </is>
      </c>
      <c r="C7897" t="n">
        <v>3</v>
      </c>
      <c r="D7897" t="inlineStr">
        <is>
          <t>Hub C</t>
        </is>
      </c>
      <c r="E7897" t="n">
        <v>30</v>
      </c>
      <c r="F7897" t="n">
        <v>22</v>
      </c>
    </row>
    <row r="7898">
      <c r="A7898" t="inlineStr">
        <is>
          <t>ORD07897</t>
        </is>
      </c>
      <c r="B7898" t="inlineStr">
        <is>
          <t>C0397</t>
        </is>
      </c>
      <c r="C7898" t="n">
        <v>1</v>
      </c>
      <c r="D7898" t="inlineStr">
        <is>
          <t>Hub C</t>
        </is>
      </c>
      <c r="E7898" t="n">
        <v>37</v>
      </c>
      <c r="F7898" t="n">
        <v>22</v>
      </c>
    </row>
    <row r="7899">
      <c r="A7899" t="inlineStr">
        <is>
          <t>ORD07898</t>
        </is>
      </c>
      <c r="B7899" t="inlineStr">
        <is>
          <t>C0398</t>
        </is>
      </c>
      <c r="C7899" t="n">
        <v>2</v>
      </c>
      <c r="D7899" t="inlineStr">
        <is>
          <t>Hub C</t>
        </is>
      </c>
      <c r="E7899" t="n">
        <v>44</v>
      </c>
      <c r="F7899" t="n">
        <v>22</v>
      </c>
    </row>
    <row r="7900">
      <c r="A7900" t="inlineStr">
        <is>
          <t>ORD07899</t>
        </is>
      </c>
      <c r="B7900" t="inlineStr">
        <is>
          <t>C0399</t>
        </is>
      </c>
      <c r="C7900" t="n">
        <v>3</v>
      </c>
      <c r="D7900" t="inlineStr">
        <is>
          <t>Hub C</t>
        </is>
      </c>
      <c r="E7900" t="n">
        <v>51</v>
      </c>
      <c r="F7900" t="n">
        <v>22</v>
      </c>
    </row>
    <row r="7901">
      <c r="A7901" t="inlineStr">
        <is>
          <t>ORD07900</t>
        </is>
      </c>
      <c r="B7901" t="inlineStr">
        <is>
          <t>C0400</t>
        </is>
      </c>
      <c r="C7901" t="n">
        <v>1</v>
      </c>
      <c r="D7901" t="inlineStr">
        <is>
          <t>Hub C</t>
        </is>
      </c>
      <c r="E7901" t="n">
        <v>58</v>
      </c>
      <c r="F7901" t="n">
        <v>22</v>
      </c>
    </row>
    <row r="7902">
      <c r="A7902" t="inlineStr">
        <is>
          <t>ORD07901</t>
        </is>
      </c>
      <c r="B7902" t="inlineStr">
        <is>
          <t>C0401</t>
        </is>
      </c>
      <c r="C7902" t="n">
        <v>2</v>
      </c>
      <c r="D7902" t="inlineStr">
        <is>
          <t>Hub C</t>
        </is>
      </c>
      <c r="E7902" t="n">
        <v>65</v>
      </c>
      <c r="F7902" t="n">
        <v>22</v>
      </c>
    </row>
    <row r="7903">
      <c r="A7903" t="inlineStr">
        <is>
          <t>ORD07902</t>
        </is>
      </c>
      <c r="B7903" t="inlineStr">
        <is>
          <t>C0402</t>
        </is>
      </c>
      <c r="C7903" t="n">
        <v>3</v>
      </c>
      <c r="D7903" t="inlineStr">
        <is>
          <t>Hub C</t>
        </is>
      </c>
      <c r="E7903" t="n">
        <v>72</v>
      </c>
      <c r="F7903" t="n">
        <v>22</v>
      </c>
    </row>
    <row r="7904">
      <c r="A7904" t="inlineStr">
        <is>
          <t>ORD07903</t>
        </is>
      </c>
      <c r="B7904" t="inlineStr">
        <is>
          <t>C0403</t>
        </is>
      </c>
      <c r="C7904" t="n">
        <v>1</v>
      </c>
      <c r="D7904" t="inlineStr">
        <is>
          <t>Hub C</t>
        </is>
      </c>
      <c r="E7904" t="n">
        <v>19</v>
      </c>
      <c r="F7904" t="n">
        <v>22</v>
      </c>
    </row>
    <row r="7905">
      <c r="A7905" t="inlineStr">
        <is>
          <t>ORD07904</t>
        </is>
      </c>
      <c r="B7905" t="inlineStr">
        <is>
          <t>C0404</t>
        </is>
      </c>
      <c r="C7905" t="n">
        <v>2</v>
      </c>
      <c r="D7905" t="inlineStr">
        <is>
          <t>Hub C</t>
        </is>
      </c>
      <c r="E7905" t="n">
        <v>26</v>
      </c>
      <c r="F7905" t="n">
        <v>22</v>
      </c>
    </row>
    <row r="7906">
      <c r="A7906" t="inlineStr">
        <is>
          <t>ORD07905</t>
        </is>
      </c>
      <c r="B7906" t="inlineStr">
        <is>
          <t>C0405</t>
        </is>
      </c>
      <c r="C7906" t="n">
        <v>3</v>
      </c>
      <c r="D7906" t="inlineStr">
        <is>
          <t>Hub C</t>
        </is>
      </c>
      <c r="E7906" t="n">
        <v>33</v>
      </c>
      <c r="F7906" t="n">
        <v>22</v>
      </c>
    </row>
    <row r="7907">
      <c r="A7907" t="inlineStr">
        <is>
          <t>ORD07906</t>
        </is>
      </c>
      <c r="B7907" t="inlineStr">
        <is>
          <t>C0406</t>
        </is>
      </c>
      <c r="C7907" t="n">
        <v>1</v>
      </c>
      <c r="D7907" t="inlineStr">
        <is>
          <t>Hub C</t>
        </is>
      </c>
      <c r="E7907" t="n">
        <v>40</v>
      </c>
      <c r="F7907" t="n">
        <v>22</v>
      </c>
    </row>
    <row r="7908">
      <c r="A7908" t="inlineStr">
        <is>
          <t>ORD07907</t>
        </is>
      </c>
      <c r="B7908" t="inlineStr">
        <is>
          <t>C0407</t>
        </is>
      </c>
      <c r="C7908" t="n">
        <v>2</v>
      </c>
      <c r="D7908" t="inlineStr">
        <is>
          <t>Hub C</t>
        </is>
      </c>
      <c r="E7908" t="n">
        <v>47</v>
      </c>
      <c r="F7908" t="n">
        <v>22</v>
      </c>
    </row>
    <row r="7909">
      <c r="A7909" t="inlineStr">
        <is>
          <t>ORD07908</t>
        </is>
      </c>
      <c r="B7909" t="inlineStr">
        <is>
          <t>C0408</t>
        </is>
      </c>
      <c r="C7909" t="n">
        <v>3</v>
      </c>
      <c r="D7909" t="inlineStr">
        <is>
          <t>Hub C</t>
        </is>
      </c>
      <c r="E7909" t="n">
        <v>54</v>
      </c>
      <c r="F7909" t="n">
        <v>22</v>
      </c>
    </row>
    <row r="7910">
      <c r="A7910" t="inlineStr">
        <is>
          <t>ORD07909</t>
        </is>
      </c>
      <c r="B7910" t="inlineStr">
        <is>
          <t>C0409</t>
        </is>
      </c>
      <c r="C7910" t="n">
        <v>1</v>
      </c>
      <c r="D7910" t="inlineStr">
        <is>
          <t>Hub C</t>
        </is>
      </c>
      <c r="E7910" t="n">
        <v>61</v>
      </c>
      <c r="F7910" t="n">
        <v>22</v>
      </c>
    </row>
    <row r="7911">
      <c r="A7911" t="inlineStr">
        <is>
          <t>ORD07910</t>
        </is>
      </c>
      <c r="B7911" t="inlineStr">
        <is>
          <t>C0410</t>
        </is>
      </c>
      <c r="C7911" t="n">
        <v>2</v>
      </c>
      <c r="D7911" t="inlineStr">
        <is>
          <t>Hub C</t>
        </is>
      </c>
      <c r="E7911" t="n">
        <v>68</v>
      </c>
      <c r="F7911" t="n">
        <v>22</v>
      </c>
    </row>
    <row r="7912">
      <c r="A7912" t="inlineStr">
        <is>
          <t>ORD07911</t>
        </is>
      </c>
      <c r="B7912" t="inlineStr">
        <is>
          <t>C0411</t>
        </is>
      </c>
      <c r="C7912" t="n">
        <v>3</v>
      </c>
      <c r="D7912" t="inlineStr">
        <is>
          <t>Hub C</t>
        </is>
      </c>
      <c r="E7912" t="n">
        <v>75</v>
      </c>
      <c r="F7912" t="n">
        <v>22</v>
      </c>
    </row>
    <row r="7913">
      <c r="A7913" t="inlineStr">
        <is>
          <t>ORD07912</t>
        </is>
      </c>
      <c r="B7913" t="inlineStr">
        <is>
          <t>C0412</t>
        </is>
      </c>
      <c r="C7913" t="n">
        <v>1</v>
      </c>
      <c r="D7913" t="inlineStr">
        <is>
          <t>Hub C</t>
        </is>
      </c>
      <c r="E7913" t="n">
        <v>22</v>
      </c>
      <c r="F7913" t="n">
        <v>22</v>
      </c>
    </row>
    <row r="7914">
      <c r="A7914" t="inlineStr">
        <is>
          <t>ORD07913</t>
        </is>
      </c>
      <c r="B7914" t="inlineStr">
        <is>
          <t>C0413</t>
        </is>
      </c>
      <c r="C7914" t="n">
        <v>2</v>
      </c>
      <c r="D7914" t="inlineStr">
        <is>
          <t>Hub C</t>
        </is>
      </c>
      <c r="E7914" t="n">
        <v>29</v>
      </c>
      <c r="F7914" t="n">
        <v>22</v>
      </c>
    </row>
    <row r="7915">
      <c r="A7915" t="inlineStr">
        <is>
          <t>ORD07914</t>
        </is>
      </c>
      <c r="B7915" t="inlineStr">
        <is>
          <t>C0414</t>
        </is>
      </c>
      <c r="C7915" t="n">
        <v>3</v>
      </c>
      <c r="D7915" t="inlineStr">
        <is>
          <t>Hub C</t>
        </is>
      </c>
      <c r="E7915" t="n">
        <v>36</v>
      </c>
      <c r="F7915" t="n">
        <v>22</v>
      </c>
    </row>
    <row r="7916">
      <c r="A7916" t="inlineStr">
        <is>
          <t>ORD07915</t>
        </is>
      </c>
      <c r="B7916" t="inlineStr">
        <is>
          <t>C0415</t>
        </is>
      </c>
      <c r="C7916" t="n">
        <v>1</v>
      </c>
      <c r="D7916" t="inlineStr">
        <is>
          <t>Hub C</t>
        </is>
      </c>
      <c r="E7916" t="n">
        <v>43</v>
      </c>
      <c r="F7916" t="n">
        <v>22</v>
      </c>
    </row>
    <row r="7917">
      <c r="A7917" t="inlineStr">
        <is>
          <t>ORD07916</t>
        </is>
      </c>
      <c r="B7917" t="inlineStr">
        <is>
          <t>C0416</t>
        </is>
      </c>
      <c r="C7917" t="n">
        <v>2</v>
      </c>
      <c r="D7917" t="inlineStr">
        <is>
          <t>Hub C</t>
        </is>
      </c>
      <c r="E7917" t="n">
        <v>50</v>
      </c>
      <c r="F7917" t="n">
        <v>22</v>
      </c>
    </row>
    <row r="7918">
      <c r="A7918" t="inlineStr">
        <is>
          <t>ORD07917</t>
        </is>
      </c>
      <c r="B7918" t="inlineStr">
        <is>
          <t>C0417</t>
        </is>
      </c>
      <c r="C7918" t="n">
        <v>3</v>
      </c>
      <c r="D7918" t="inlineStr">
        <is>
          <t>Hub C</t>
        </is>
      </c>
      <c r="E7918" t="n">
        <v>57</v>
      </c>
      <c r="F7918" t="n">
        <v>22</v>
      </c>
    </row>
    <row r="7919">
      <c r="A7919" t="inlineStr">
        <is>
          <t>ORD07918</t>
        </is>
      </c>
      <c r="B7919" t="inlineStr">
        <is>
          <t>C0418</t>
        </is>
      </c>
      <c r="C7919" t="n">
        <v>1</v>
      </c>
      <c r="D7919" t="inlineStr">
        <is>
          <t>Hub C</t>
        </is>
      </c>
      <c r="E7919" t="n">
        <v>64</v>
      </c>
      <c r="F7919" t="n">
        <v>22</v>
      </c>
    </row>
    <row r="7920">
      <c r="A7920" t="inlineStr">
        <is>
          <t>ORD07919</t>
        </is>
      </c>
      <c r="B7920" t="inlineStr">
        <is>
          <t>C0419</t>
        </is>
      </c>
      <c r="C7920" t="n">
        <v>2</v>
      </c>
      <c r="D7920" t="inlineStr">
        <is>
          <t>Hub C</t>
        </is>
      </c>
      <c r="E7920" t="n">
        <v>71</v>
      </c>
      <c r="F7920" t="n">
        <v>22</v>
      </c>
    </row>
    <row r="7921">
      <c r="A7921" t="inlineStr">
        <is>
          <t>ORD07920</t>
        </is>
      </c>
      <c r="B7921" t="inlineStr">
        <is>
          <t>C0420</t>
        </is>
      </c>
      <c r="C7921" t="n">
        <v>3</v>
      </c>
      <c r="D7921" t="inlineStr">
        <is>
          <t>Hub C</t>
        </is>
      </c>
      <c r="E7921" t="n">
        <v>18</v>
      </c>
      <c r="F7921" t="n">
        <v>22</v>
      </c>
    </row>
    <row r="7922">
      <c r="A7922" t="inlineStr">
        <is>
          <t>ORD07921</t>
        </is>
      </c>
      <c r="B7922" t="inlineStr">
        <is>
          <t>C0421</t>
        </is>
      </c>
      <c r="C7922" t="n">
        <v>1</v>
      </c>
      <c r="D7922" t="inlineStr">
        <is>
          <t>Hub C</t>
        </is>
      </c>
      <c r="E7922" t="n">
        <v>25</v>
      </c>
      <c r="F7922" t="n">
        <v>22</v>
      </c>
    </row>
    <row r="7923">
      <c r="A7923" t="inlineStr">
        <is>
          <t>ORD07922</t>
        </is>
      </c>
      <c r="B7923" t="inlineStr">
        <is>
          <t>C0422</t>
        </is>
      </c>
      <c r="C7923" t="n">
        <v>2</v>
      </c>
      <c r="D7923" t="inlineStr">
        <is>
          <t>Hub C</t>
        </is>
      </c>
      <c r="E7923" t="n">
        <v>32</v>
      </c>
      <c r="F7923" t="n">
        <v>22</v>
      </c>
    </row>
    <row r="7924">
      <c r="A7924" t="inlineStr">
        <is>
          <t>ORD07923</t>
        </is>
      </c>
      <c r="B7924" t="inlineStr">
        <is>
          <t>C0423</t>
        </is>
      </c>
      <c r="C7924" t="n">
        <v>3</v>
      </c>
      <c r="D7924" t="inlineStr">
        <is>
          <t>Hub C</t>
        </is>
      </c>
      <c r="E7924" t="n">
        <v>39</v>
      </c>
      <c r="F7924" t="n">
        <v>22</v>
      </c>
    </row>
    <row r="7925">
      <c r="A7925" t="inlineStr">
        <is>
          <t>ORD07924</t>
        </is>
      </c>
      <c r="B7925" t="inlineStr">
        <is>
          <t>C0424</t>
        </is>
      </c>
      <c r="C7925" t="n">
        <v>1</v>
      </c>
      <c r="D7925" t="inlineStr">
        <is>
          <t>Hub C</t>
        </is>
      </c>
      <c r="E7925" t="n">
        <v>46</v>
      </c>
      <c r="F7925" t="n">
        <v>22</v>
      </c>
    </row>
    <row r="7926">
      <c r="A7926" t="inlineStr">
        <is>
          <t>ORD07925</t>
        </is>
      </c>
      <c r="B7926" t="inlineStr">
        <is>
          <t>C0425</t>
        </is>
      </c>
      <c r="C7926" t="n">
        <v>2</v>
      </c>
      <c r="D7926" t="inlineStr">
        <is>
          <t>Hub C</t>
        </is>
      </c>
      <c r="E7926" t="n">
        <v>53</v>
      </c>
      <c r="F7926" t="n">
        <v>22</v>
      </c>
    </row>
    <row r="7927">
      <c r="A7927" t="inlineStr">
        <is>
          <t>ORD07926</t>
        </is>
      </c>
      <c r="B7927" t="inlineStr">
        <is>
          <t>C0426</t>
        </is>
      </c>
      <c r="C7927" t="n">
        <v>3</v>
      </c>
      <c r="D7927" t="inlineStr">
        <is>
          <t>Hub C</t>
        </is>
      </c>
      <c r="E7927" t="n">
        <v>60</v>
      </c>
      <c r="F7927" t="n">
        <v>22</v>
      </c>
    </row>
    <row r="7928">
      <c r="A7928" t="inlineStr">
        <is>
          <t>ORD07927</t>
        </is>
      </c>
      <c r="B7928" t="inlineStr">
        <is>
          <t>C0427</t>
        </is>
      </c>
      <c r="C7928" t="n">
        <v>1</v>
      </c>
      <c r="D7928" t="inlineStr">
        <is>
          <t>Hub C</t>
        </is>
      </c>
      <c r="E7928" t="n">
        <v>67</v>
      </c>
      <c r="F7928" t="n">
        <v>22</v>
      </c>
    </row>
    <row r="7929">
      <c r="A7929" t="inlineStr">
        <is>
          <t>ORD07928</t>
        </is>
      </c>
      <c r="B7929" t="inlineStr">
        <is>
          <t>C0428</t>
        </is>
      </c>
      <c r="C7929" t="n">
        <v>2</v>
      </c>
      <c r="D7929" t="inlineStr">
        <is>
          <t>Hub C</t>
        </is>
      </c>
      <c r="E7929" t="n">
        <v>74</v>
      </c>
      <c r="F7929" t="n">
        <v>22</v>
      </c>
    </row>
    <row r="7930">
      <c r="A7930" t="inlineStr">
        <is>
          <t>ORD07929</t>
        </is>
      </c>
      <c r="B7930" t="inlineStr">
        <is>
          <t>C0429</t>
        </is>
      </c>
      <c r="C7930" t="n">
        <v>3</v>
      </c>
      <c r="D7930" t="inlineStr">
        <is>
          <t>Hub C</t>
        </is>
      </c>
      <c r="E7930" t="n">
        <v>21</v>
      </c>
      <c r="F7930" t="n">
        <v>22</v>
      </c>
    </row>
    <row r="7931">
      <c r="A7931" t="inlineStr">
        <is>
          <t>ORD07930</t>
        </is>
      </c>
      <c r="B7931" t="inlineStr">
        <is>
          <t>C0430</t>
        </is>
      </c>
      <c r="C7931" t="n">
        <v>1</v>
      </c>
      <c r="D7931" t="inlineStr">
        <is>
          <t>Hub C</t>
        </is>
      </c>
      <c r="E7931" t="n">
        <v>28</v>
      </c>
      <c r="F7931" t="n">
        <v>22</v>
      </c>
    </row>
    <row r="7932">
      <c r="A7932" t="inlineStr">
        <is>
          <t>ORD07931</t>
        </is>
      </c>
      <c r="B7932" t="inlineStr">
        <is>
          <t>C0431</t>
        </is>
      </c>
      <c r="C7932" t="n">
        <v>2</v>
      </c>
      <c r="D7932" t="inlineStr">
        <is>
          <t>Hub C</t>
        </is>
      </c>
      <c r="E7932" t="n">
        <v>35</v>
      </c>
      <c r="F7932" t="n">
        <v>22</v>
      </c>
    </row>
    <row r="7933">
      <c r="A7933" t="inlineStr">
        <is>
          <t>ORD07932</t>
        </is>
      </c>
      <c r="B7933" t="inlineStr">
        <is>
          <t>C0432</t>
        </is>
      </c>
      <c r="C7933" t="n">
        <v>3</v>
      </c>
      <c r="D7933" t="inlineStr">
        <is>
          <t>Hub C</t>
        </is>
      </c>
      <c r="E7933" t="n">
        <v>42</v>
      </c>
      <c r="F7933" t="n">
        <v>22</v>
      </c>
    </row>
    <row r="7934">
      <c r="A7934" t="inlineStr">
        <is>
          <t>ORD07933</t>
        </is>
      </c>
      <c r="B7934" t="inlineStr">
        <is>
          <t>C0433</t>
        </is>
      </c>
      <c r="C7934" t="n">
        <v>1</v>
      </c>
      <c r="D7934" t="inlineStr">
        <is>
          <t>Hub C</t>
        </is>
      </c>
      <c r="E7934" t="n">
        <v>49</v>
      </c>
      <c r="F7934" t="n">
        <v>22</v>
      </c>
    </row>
    <row r="7935">
      <c r="A7935" t="inlineStr">
        <is>
          <t>ORD07934</t>
        </is>
      </c>
      <c r="B7935" t="inlineStr">
        <is>
          <t>C0434</t>
        </is>
      </c>
      <c r="C7935" t="n">
        <v>2</v>
      </c>
      <c r="D7935" t="inlineStr">
        <is>
          <t>Hub C</t>
        </is>
      </c>
      <c r="E7935" t="n">
        <v>56</v>
      </c>
      <c r="F7935" t="n">
        <v>22</v>
      </c>
    </row>
    <row r="7936">
      <c r="A7936" t="inlineStr">
        <is>
          <t>ORD07935</t>
        </is>
      </c>
      <c r="B7936" t="inlineStr">
        <is>
          <t>C0435</t>
        </is>
      </c>
      <c r="C7936" t="n">
        <v>3</v>
      </c>
      <c r="D7936" t="inlineStr">
        <is>
          <t>Hub C</t>
        </is>
      </c>
      <c r="E7936" t="n">
        <v>63</v>
      </c>
      <c r="F7936" t="n">
        <v>22</v>
      </c>
    </row>
    <row r="7937">
      <c r="A7937" t="inlineStr">
        <is>
          <t>ORD07936</t>
        </is>
      </c>
      <c r="B7937" t="inlineStr">
        <is>
          <t>C0436</t>
        </is>
      </c>
      <c r="C7937" t="n">
        <v>1</v>
      </c>
      <c r="D7937" t="inlineStr">
        <is>
          <t>Hub C</t>
        </is>
      </c>
      <c r="E7937" t="n">
        <v>70</v>
      </c>
      <c r="F7937" t="n">
        <v>22</v>
      </c>
    </row>
    <row r="7938">
      <c r="A7938" t="inlineStr">
        <is>
          <t>ORD07937</t>
        </is>
      </c>
      <c r="B7938" t="inlineStr">
        <is>
          <t>C0437</t>
        </is>
      </c>
      <c r="C7938" t="n">
        <v>2</v>
      </c>
      <c r="D7938" t="inlineStr">
        <is>
          <t>Hub C</t>
        </is>
      </c>
      <c r="E7938" t="n">
        <v>77</v>
      </c>
      <c r="F7938" t="n">
        <v>22</v>
      </c>
    </row>
    <row r="7939">
      <c r="A7939" t="inlineStr">
        <is>
          <t>ORD07938</t>
        </is>
      </c>
      <c r="B7939" t="inlineStr">
        <is>
          <t>C0438</t>
        </is>
      </c>
      <c r="C7939" t="n">
        <v>3</v>
      </c>
      <c r="D7939" t="inlineStr">
        <is>
          <t>Hub C</t>
        </is>
      </c>
      <c r="E7939" t="n">
        <v>24</v>
      </c>
      <c r="F7939" t="n">
        <v>22</v>
      </c>
    </row>
    <row r="7940">
      <c r="A7940" t="inlineStr">
        <is>
          <t>ORD07939</t>
        </is>
      </c>
      <c r="B7940" t="inlineStr">
        <is>
          <t>C0439</t>
        </is>
      </c>
      <c r="C7940" t="n">
        <v>1</v>
      </c>
      <c r="D7940" t="inlineStr">
        <is>
          <t>Hub C</t>
        </is>
      </c>
      <c r="E7940" t="n">
        <v>31</v>
      </c>
      <c r="F7940" t="n">
        <v>22</v>
      </c>
    </row>
    <row r="7941">
      <c r="A7941" t="inlineStr">
        <is>
          <t>ORD07940</t>
        </is>
      </c>
      <c r="B7941" t="inlineStr">
        <is>
          <t>C0440</t>
        </is>
      </c>
      <c r="C7941" t="n">
        <v>2</v>
      </c>
      <c r="D7941" t="inlineStr">
        <is>
          <t>Hub C</t>
        </is>
      </c>
      <c r="E7941" t="n">
        <v>38</v>
      </c>
      <c r="F7941" t="n">
        <v>22</v>
      </c>
    </row>
    <row r="7942">
      <c r="A7942" t="inlineStr">
        <is>
          <t>ORD07941</t>
        </is>
      </c>
      <c r="B7942" t="inlineStr">
        <is>
          <t>C0441</t>
        </is>
      </c>
      <c r="C7942" t="n">
        <v>3</v>
      </c>
      <c r="D7942" t="inlineStr">
        <is>
          <t>Hub C</t>
        </is>
      </c>
      <c r="E7942" t="n">
        <v>45</v>
      </c>
      <c r="F7942" t="n">
        <v>22</v>
      </c>
    </row>
    <row r="7943">
      <c r="A7943" t="inlineStr">
        <is>
          <t>ORD07942</t>
        </is>
      </c>
      <c r="B7943" t="inlineStr">
        <is>
          <t>C0442</t>
        </is>
      </c>
      <c r="C7943" t="n">
        <v>1</v>
      </c>
      <c r="D7943" t="inlineStr">
        <is>
          <t>Hub C</t>
        </is>
      </c>
      <c r="E7943" t="n">
        <v>52</v>
      </c>
      <c r="F7943" t="n">
        <v>22</v>
      </c>
    </row>
    <row r="7944">
      <c r="A7944" t="inlineStr">
        <is>
          <t>ORD07943</t>
        </is>
      </c>
      <c r="B7944" t="inlineStr">
        <is>
          <t>C0443</t>
        </is>
      </c>
      <c r="C7944" t="n">
        <v>2</v>
      </c>
      <c r="D7944" t="inlineStr">
        <is>
          <t>Hub C</t>
        </is>
      </c>
      <c r="E7944" t="n">
        <v>59</v>
      </c>
      <c r="F7944" t="n">
        <v>22</v>
      </c>
    </row>
    <row r="7945">
      <c r="A7945" t="inlineStr">
        <is>
          <t>ORD07944</t>
        </is>
      </c>
      <c r="B7945" t="inlineStr">
        <is>
          <t>C0444</t>
        </is>
      </c>
      <c r="C7945" t="n">
        <v>3</v>
      </c>
      <c r="D7945" t="inlineStr">
        <is>
          <t>Hub C</t>
        </is>
      </c>
      <c r="E7945" t="n">
        <v>66</v>
      </c>
      <c r="F7945" t="n">
        <v>22</v>
      </c>
    </row>
    <row r="7946">
      <c r="A7946" t="inlineStr">
        <is>
          <t>ORD07945</t>
        </is>
      </c>
      <c r="B7946" t="inlineStr">
        <is>
          <t>C0445</t>
        </is>
      </c>
      <c r="C7946" t="n">
        <v>1</v>
      </c>
      <c r="D7946" t="inlineStr">
        <is>
          <t>Hub C</t>
        </is>
      </c>
      <c r="E7946" t="n">
        <v>73</v>
      </c>
      <c r="F7946" t="n">
        <v>22</v>
      </c>
    </row>
    <row r="7947">
      <c r="A7947" t="inlineStr">
        <is>
          <t>ORD07946</t>
        </is>
      </c>
      <c r="B7947" t="inlineStr">
        <is>
          <t>C0446</t>
        </is>
      </c>
      <c r="C7947" t="n">
        <v>2</v>
      </c>
      <c r="D7947" t="inlineStr">
        <is>
          <t>Hub C</t>
        </is>
      </c>
      <c r="E7947" t="n">
        <v>20</v>
      </c>
      <c r="F7947" t="n">
        <v>22</v>
      </c>
    </row>
    <row r="7948">
      <c r="A7948" t="inlineStr">
        <is>
          <t>ORD07947</t>
        </is>
      </c>
      <c r="B7948" t="inlineStr">
        <is>
          <t>C0447</t>
        </is>
      </c>
      <c r="C7948" t="n">
        <v>3</v>
      </c>
      <c r="D7948" t="inlineStr">
        <is>
          <t>Hub C</t>
        </is>
      </c>
      <c r="E7948" t="n">
        <v>27</v>
      </c>
      <c r="F7948" t="n">
        <v>22</v>
      </c>
    </row>
    <row r="7949">
      <c r="A7949" t="inlineStr">
        <is>
          <t>ORD07948</t>
        </is>
      </c>
      <c r="B7949" t="inlineStr">
        <is>
          <t>C0448</t>
        </is>
      </c>
      <c r="C7949" t="n">
        <v>1</v>
      </c>
      <c r="D7949" t="inlineStr">
        <is>
          <t>Hub C</t>
        </is>
      </c>
      <c r="E7949" t="n">
        <v>34</v>
      </c>
      <c r="F7949" t="n">
        <v>22</v>
      </c>
    </row>
    <row r="7950">
      <c r="A7950" t="inlineStr">
        <is>
          <t>ORD07949</t>
        </is>
      </c>
      <c r="B7950" t="inlineStr">
        <is>
          <t>C0449</t>
        </is>
      </c>
      <c r="C7950" t="n">
        <v>2</v>
      </c>
      <c r="D7950" t="inlineStr">
        <is>
          <t>Hub C</t>
        </is>
      </c>
      <c r="E7950" t="n">
        <v>41</v>
      </c>
      <c r="F7950" t="n">
        <v>22</v>
      </c>
    </row>
    <row r="7951">
      <c r="A7951" t="inlineStr">
        <is>
          <t>ORD07950</t>
        </is>
      </c>
      <c r="B7951" t="inlineStr">
        <is>
          <t>C0450</t>
        </is>
      </c>
      <c r="C7951" t="n">
        <v>3</v>
      </c>
      <c r="D7951" t="inlineStr">
        <is>
          <t>Hub C</t>
        </is>
      </c>
      <c r="E7951" t="n">
        <v>48</v>
      </c>
      <c r="F7951" t="n">
        <v>22</v>
      </c>
    </row>
    <row r="7952">
      <c r="A7952" t="inlineStr">
        <is>
          <t>ORD07951</t>
        </is>
      </c>
      <c r="B7952" t="inlineStr">
        <is>
          <t>C0451</t>
        </is>
      </c>
      <c r="C7952" t="n">
        <v>1</v>
      </c>
      <c r="D7952" t="inlineStr">
        <is>
          <t>Hub C</t>
        </is>
      </c>
      <c r="E7952" t="n">
        <v>55</v>
      </c>
      <c r="F7952" t="n">
        <v>22</v>
      </c>
    </row>
    <row r="7953">
      <c r="A7953" t="inlineStr">
        <is>
          <t>ORD07952</t>
        </is>
      </c>
      <c r="B7953" t="inlineStr">
        <is>
          <t>C0452</t>
        </is>
      </c>
      <c r="C7953" t="n">
        <v>2</v>
      </c>
      <c r="D7953" t="inlineStr">
        <is>
          <t>Hub C</t>
        </is>
      </c>
      <c r="E7953" t="n">
        <v>62</v>
      </c>
      <c r="F7953" t="n">
        <v>22</v>
      </c>
    </row>
    <row r="7954">
      <c r="A7954" t="inlineStr">
        <is>
          <t>ORD07953</t>
        </is>
      </c>
      <c r="B7954" t="inlineStr">
        <is>
          <t>C0453</t>
        </is>
      </c>
      <c r="C7954" t="n">
        <v>3</v>
      </c>
      <c r="D7954" t="inlineStr">
        <is>
          <t>Hub C</t>
        </is>
      </c>
      <c r="E7954" t="n">
        <v>69</v>
      </c>
      <c r="F7954" t="n">
        <v>22</v>
      </c>
    </row>
    <row r="7955">
      <c r="A7955" t="inlineStr">
        <is>
          <t>ORD07954</t>
        </is>
      </c>
      <c r="B7955" t="inlineStr">
        <is>
          <t>C0454</t>
        </is>
      </c>
      <c r="C7955" t="n">
        <v>1</v>
      </c>
      <c r="D7955" t="inlineStr">
        <is>
          <t>Hub C</t>
        </is>
      </c>
      <c r="E7955" t="n">
        <v>76</v>
      </c>
      <c r="F7955" t="n">
        <v>22</v>
      </c>
    </row>
    <row r="7956">
      <c r="A7956" t="inlineStr">
        <is>
          <t>ORD07955</t>
        </is>
      </c>
      <c r="B7956" t="inlineStr">
        <is>
          <t>C0455</t>
        </is>
      </c>
      <c r="C7956" t="n">
        <v>2</v>
      </c>
      <c r="D7956" t="inlineStr">
        <is>
          <t>Hub C</t>
        </is>
      </c>
      <c r="E7956" t="n">
        <v>23</v>
      </c>
      <c r="F7956" t="n">
        <v>22</v>
      </c>
    </row>
    <row r="7957">
      <c r="A7957" t="inlineStr">
        <is>
          <t>ORD07956</t>
        </is>
      </c>
      <c r="B7957" t="inlineStr">
        <is>
          <t>C0456</t>
        </is>
      </c>
      <c r="C7957" t="n">
        <v>3</v>
      </c>
      <c r="D7957" t="inlineStr">
        <is>
          <t>Hub C</t>
        </is>
      </c>
      <c r="E7957" t="n">
        <v>30</v>
      </c>
      <c r="F7957" t="n">
        <v>22</v>
      </c>
    </row>
    <row r="7958">
      <c r="A7958" t="inlineStr">
        <is>
          <t>ORD07957</t>
        </is>
      </c>
      <c r="B7958" t="inlineStr">
        <is>
          <t>C0457</t>
        </is>
      </c>
      <c r="C7958" t="n">
        <v>1</v>
      </c>
      <c r="D7958" t="inlineStr">
        <is>
          <t>Hub C</t>
        </is>
      </c>
      <c r="E7958" t="n">
        <v>37</v>
      </c>
      <c r="F7958" t="n">
        <v>22</v>
      </c>
    </row>
    <row r="7959">
      <c r="A7959" t="inlineStr">
        <is>
          <t>ORD07958</t>
        </is>
      </c>
      <c r="B7959" t="inlineStr">
        <is>
          <t>C0458</t>
        </is>
      </c>
      <c r="C7959" t="n">
        <v>2</v>
      </c>
      <c r="D7959" t="inlineStr">
        <is>
          <t>Hub C</t>
        </is>
      </c>
      <c r="E7959" t="n">
        <v>44</v>
      </c>
      <c r="F7959" t="n">
        <v>22</v>
      </c>
    </row>
    <row r="7960">
      <c r="A7960" t="inlineStr">
        <is>
          <t>ORD07959</t>
        </is>
      </c>
      <c r="B7960" t="inlineStr">
        <is>
          <t>C0459</t>
        </is>
      </c>
      <c r="C7960" t="n">
        <v>3</v>
      </c>
      <c r="D7960" t="inlineStr">
        <is>
          <t>Hub C</t>
        </is>
      </c>
      <c r="E7960" t="n">
        <v>51</v>
      </c>
      <c r="F7960" t="n">
        <v>22</v>
      </c>
    </row>
    <row r="7961">
      <c r="A7961" t="inlineStr">
        <is>
          <t>ORD07960</t>
        </is>
      </c>
      <c r="B7961" t="inlineStr">
        <is>
          <t>C0460</t>
        </is>
      </c>
      <c r="C7961" t="n">
        <v>1</v>
      </c>
      <c r="D7961" t="inlineStr">
        <is>
          <t>Hub C</t>
        </is>
      </c>
      <c r="E7961" t="n">
        <v>58</v>
      </c>
      <c r="F7961" t="n">
        <v>22</v>
      </c>
    </row>
    <row r="7962">
      <c r="A7962" t="inlineStr">
        <is>
          <t>ORD07961</t>
        </is>
      </c>
      <c r="B7962" t="inlineStr">
        <is>
          <t>C0461</t>
        </is>
      </c>
      <c r="C7962" t="n">
        <v>2</v>
      </c>
      <c r="D7962" t="inlineStr">
        <is>
          <t>Hub C</t>
        </is>
      </c>
      <c r="E7962" t="n">
        <v>65</v>
      </c>
      <c r="F7962" t="n">
        <v>22</v>
      </c>
    </row>
    <row r="7963">
      <c r="A7963" t="inlineStr">
        <is>
          <t>ORD07962</t>
        </is>
      </c>
      <c r="B7963" t="inlineStr">
        <is>
          <t>C0462</t>
        </is>
      </c>
      <c r="C7963" t="n">
        <v>3</v>
      </c>
      <c r="D7963" t="inlineStr">
        <is>
          <t>Hub C</t>
        </is>
      </c>
      <c r="E7963" t="n">
        <v>72</v>
      </c>
      <c r="F7963" t="n">
        <v>22</v>
      </c>
    </row>
    <row r="7964">
      <c r="A7964" t="inlineStr">
        <is>
          <t>ORD07963</t>
        </is>
      </c>
      <c r="B7964" t="inlineStr">
        <is>
          <t>C0463</t>
        </is>
      </c>
      <c r="C7964" t="n">
        <v>1</v>
      </c>
      <c r="D7964" t="inlineStr">
        <is>
          <t>Hub C</t>
        </is>
      </c>
      <c r="E7964" t="n">
        <v>19</v>
      </c>
      <c r="F7964" t="n">
        <v>22</v>
      </c>
    </row>
    <row r="7965">
      <c r="A7965" t="inlineStr">
        <is>
          <t>ORD07964</t>
        </is>
      </c>
      <c r="B7965" t="inlineStr">
        <is>
          <t>C0464</t>
        </is>
      </c>
      <c r="C7965" t="n">
        <v>2</v>
      </c>
      <c r="D7965" t="inlineStr">
        <is>
          <t>Hub C</t>
        </is>
      </c>
      <c r="E7965" t="n">
        <v>26</v>
      </c>
      <c r="F7965" t="n">
        <v>22</v>
      </c>
    </row>
    <row r="7966">
      <c r="A7966" t="inlineStr">
        <is>
          <t>ORD07965</t>
        </is>
      </c>
      <c r="B7966" t="inlineStr">
        <is>
          <t>C0465</t>
        </is>
      </c>
      <c r="C7966" t="n">
        <v>3</v>
      </c>
      <c r="D7966" t="inlineStr">
        <is>
          <t>Hub C</t>
        </is>
      </c>
      <c r="E7966" t="n">
        <v>33</v>
      </c>
      <c r="F7966" t="n">
        <v>22</v>
      </c>
    </row>
    <row r="7967">
      <c r="A7967" t="inlineStr">
        <is>
          <t>ORD07966</t>
        </is>
      </c>
      <c r="B7967" t="inlineStr">
        <is>
          <t>C0466</t>
        </is>
      </c>
      <c r="C7967" t="n">
        <v>1</v>
      </c>
      <c r="D7967" t="inlineStr">
        <is>
          <t>Hub C</t>
        </is>
      </c>
      <c r="E7967" t="n">
        <v>40</v>
      </c>
      <c r="F7967" t="n">
        <v>22</v>
      </c>
    </row>
    <row r="7968">
      <c r="A7968" t="inlineStr">
        <is>
          <t>ORD07967</t>
        </is>
      </c>
      <c r="B7968" t="inlineStr">
        <is>
          <t>C0467</t>
        </is>
      </c>
      <c r="C7968" t="n">
        <v>2</v>
      </c>
      <c r="D7968" t="inlineStr">
        <is>
          <t>Hub C</t>
        </is>
      </c>
      <c r="E7968" t="n">
        <v>47</v>
      </c>
      <c r="F7968" t="n">
        <v>22</v>
      </c>
    </row>
    <row r="7969">
      <c r="A7969" t="inlineStr">
        <is>
          <t>ORD07968</t>
        </is>
      </c>
      <c r="B7969" t="inlineStr">
        <is>
          <t>C0468</t>
        </is>
      </c>
      <c r="C7969" t="n">
        <v>3</v>
      </c>
      <c r="D7969" t="inlineStr">
        <is>
          <t>Hub C</t>
        </is>
      </c>
      <c r="E7969" t="n">
        <v>54</v>
      </c>
      <c r="F7969" t="n">
        <v>22</v>
      </c>
    </row>
    <row r="7970">
      <c r="A7970" t="inlineStr">
        <is>
          <t>ORD07969</t>
        </is>
      </c>
      <c r="B7970" t="inlineStr">
        <is>
          <t>C0469</t>
        </is>
      </c>
      <c r="C7970" t="n">
        <v>1</v>
      </c>
      <c r="D7970" t="inlineStr">
        <is>
          <t>Hub C</t>
        </is>
      </c>
      <c r="E7970" t="n">
        <v>61</v>
      </c>
      <c r="F7970" t="n">
        <v>22</v>
      </c>
    </row>
    <row r="7971">
      <c r="A7971" t="inlineStr">
        <is>
          <t>ORD07970</t>
        </is>
      </c>
      <c r="B7971" t="inlineStr">
        <is>
          <t>C0470</t>
        </is>
      </c>
      <c r="C7971" t="n">
        <v>2</v>
      </c>
      <c r="D7971" t="inlineStr">
        <is>
          <t>Hub C</t>
        </is>
      </c>
      <c r="E7971" t="n">
        <v>68</v>
      </c>
      <c r="F7971" t="n">
        <v>22</v>
      </c>
    </row>
    <row r="7972">
      <c r="A7972" t="inlineStr">
        <is>
          <t>ORD07971</t>
        </is>
      </c>
      <c r="B7972" t="inlineStr">
        <is>
          <t>C0471</t>
        </is>
      </c>
      <c r="C7972" t="n">
        <v>3</v>
      </c>
      <c r="D7972" t="inlineStr">
        <is>
          <t>Hub C</t>
        </is>
      </c>
      <c r="E7972" t="n">
        <v>75</v>
      </c>
      <c r="F7972" t="n">
        <v>22</v>
      </c>
    </row>
    <row r="7973">
      <c r="A7973" t="inlineStr">
        <is>
          <t>ORD07972</t>
        </is>
      </c>
      <c r="B7973" t="inlineStr">
        <is>
          <t>C0472</t>
        </is>
      </c>
      <c r="C7973" t="n">
        <v>1</v>
      </c>
      <c r="D7973" t="inlineStr">
        <is>
          <t>Hub C</t>
        </is>
      </c>
      <c r="E7973" t="n">
        <v>22</v>
      </c>
      <c r="F7973" t="n">
        <v>22</v>
      </c>
    </row>
    <row r="7974">
      <c r="A7974" t="inlineStr">
        <is>
          <t>ORD07973</t>
        </is>
      </c>
      <c r="B7974" t="inlineStr">
        <is>
          <t>C0473</t>
        </is>
      </c>
      <c r="C7974" t="n">
        <v>2</v>
      </c>
      <c r="D7974" t="inlineStr">
        <is>
          <t>Hub C</t>
        </is>
      </c>
      <c r="E7974" t="n">
        <v>29</v>
      </c>
      <c r="F7974" t="n">
        <v>22</v>
      </c>
    </row>
    <row r="7975">
      <c r="A7975" t="inlineStr">
        <is>
          <t>ORD07974</t>
        </is>
      </c>
      <c r="B7975" t="inlineStr">
        <is>
          <t>C0474</t>
        </is>
      </c>
      <c r="C7975" t="n">
        <v>3</v>
      </c>
      <c r="D7975" t="inlineStr">
        <is>
          <t>Hub C</t>
        </is>
      </c>
      <c r="E7975" t="n">
        <v>36</v>
      </c>
      <c r="F7975" t="n">
        <v>22</v>
      </c>
    </row>
    <row r="7976">
      <c r="A7976" t="inlineStr">
        <is>
          <t>ORD07975</t>
        </is>
      </c>
      <c r="B7976" t="inlineStr">
        <is>
          <t>C0475</t>
        </is>
      </c>
      <c r="C7976" t="n">
        <v>1</v>
      </c>
      <c r="D7976" t="inlineStr">
        <is>
          <t>Hub C</t>
        </is>
      </c>
      <c r="E7976" t="n">
        <v>43</v>
      </c>
      <c r="F7976" t="n">
        <v>22</v>
      </c>
    </row>
    <row r="7977">
      <c r="A7977" t="inlineStr">
        <is>
          <t>ORD07976</t>
        </is>
      </c>
      <c r="B7977" t="inlineStr">
        <is>
          <t>C0476</t>
        </is>
      </c>
      <c r="C7977" t="n">
        <v>2</v>
      </c>
      <c r="D7977" t="inlineStr">
        <is>
          <t>Hub C</t>
        </is>
      </c>
      <c r="E7977" t="n">
        <v>50</v>
      </c>
      <c r="F7977" t="n">
        <v>22</v>
      </c>
    </row>
    <row r="7978">
      <c r="A7978" t="inlineStr">
        <is>
          <t>ORD07977</t>
        </is>
      </c>
      <c r="B7978" t="inlineStr">
        <is>
          <t>C0477</t>
        </is>
      </c>
      <c r="C7978" t="n">
        <v>3</v>
      </c>
      <c r="D7978" t="inlineStr">
        <is>
          <t>Hub C</t>
        </is>
      </c>
      <c r="E7978" t="n">
        <v>57</v>
      </c>
      <c r="F7978" t="n">
        <v>22</v>
      </c>
    </row>
    <row r="7979">
      <c r="A7979" t="inlineStr">
        <is>
          <t>ORD07978</t>
        </is>
      </c>
      <c r="B7979" t="inlineStr">
        <is>
          <t>C0478</t>
        </is>
      </c>
      <c r="C7979" t="n">
        <v>1</v>
      </c>
      <c r="D7979" t="inlineStr">
        <is>
          <t>Hub C</t>
        </is>
      </c>
      <c r="E7979" t="n">
        <v>64</v>
      </c>
      <c r="F7979" t="n">
        <v>22</v>
      </c>
    </row>
    <row r="7980">
      <c r="A7980" t="inlineStr">
        <is>
          <t>ORD07979</t>
        </is>
      </c>
      <c r="B7980" t="inlineStr">
        <is>
          <t>C0479</t>
        </is>
      </c>
      <c r="C7980" t="n">
        <v>2</v>
      </c>
      <c r="D7980" t="inlineStr">
        <is>
          <t>Hub C</t>
        </is>
      </c>
      <c r="E7980" t="n">
        <v>71</v>
      </c>
      <c r="F7980" t="n">
        <v>22</v>
      </c>
    </row>
    <row r="7981">
      <c r="A7981" t="inlineStr">
        <is>
          <t>ORD07980</t>
        </is>
      </c>
      <c r="B7981" t="inlineStr">
        <is>
          <t>C0480</t>
        </is>
      </c>
      <c r="C7981" t="n">
        <v>3</v>
      </c>
      <c r="D7981" t="inlineStr">
        <is>
          <t>Hub C</t>
        </is>
      </c>
      <c r="E7981" t="n">
        <v>18</v>
      </c>
      <c r="F7981" t="n">
        <v>22</v>
      </c>
    </row>
    <row r="7982">
      <c r="A7982" t="inlineStr">
        <is>
          <t>ORD07981</t>
        </is>
      </c>
      <c r="B7982" t="inlineStr">
        <is>
          <t>C0481</t>
        </is>
      </c>
      <c r="C7982" t="n">
        <v>1</v>
      </c>
      <c r="D7982" t="inlineStr">
        <is>
          <t>Hub C</t>
        </is>
      </c>
      <c r="E7982" t="n">
        <v>25</v>
      </c>
      <c r="F7982" t="n">
        <v>22</v>
      </c>
    </row>
    <row r="7983">
      <c r="A7983" t="inlineStr">
        <is>
          <t>ORD07982</t>
        </is>
      </c>
      <c r="B7983" t="inlineStr">
        <is>
          <t>C0482</t>
        </is>
      </c>
      <c r="C7983" t="n">
        <v>2</v>
      </c>
      <c r="D7983" t="inlineStr">
        <is>
          <t>Hub C</t>
        </is>
      </c>
      <c r="E7983" t="n">
        <v>32</v>
      </c>
      <c r="F7983" t="n">
        <v>22</v>
      </c>
    </row>
    <row r="7984">
      <c r="A7984" t="inlineStr">
        <is>
          <t>ORD07983</t>
        </is>
      </c>
      <c r="B7984" t="inlineStr">
        <is>
          <t>C0483</t>
        </is>
      </c>
      <c r="C7984" t="n">
        <v>3</v>
      </c>
      <c r="D7984" t="inlineStr">
        <is>
          <t>Hub C</t>
        </is>
      </c>
      <c r="E7984" t="n">
        <v>39</v>
      </c>
      <c r="F7984" t="n">
        <v>22</v>
      </c>
    </row>
    <row r="7985">
      <c r="A7985" t="inlineStr">
        <is>
          <t>ORD07984</t>
        </is>
      </c>
      <c r="B7985" t="inlineStr">
        <is>
          <t>C0484</t>
        </is>
      </c>
      <c r="C7985" t="n">
        <v>1</v>
      </c>
      <c r="D7985" t="inlineStr">
        <is>
          <t>Hub C</t>
        </is>
      </c>
      <c r="E7985" t="n">
        <v>46</v>
      </c>
      <c r="F7985" t="n">
        <v>22</v>
      </c>
    </row>
    <row r="7986">
      <c r="A7986" t="inlineStr">
        <is>
          <t>ORD07985</t>
        </is>
      </c>
      <c r="B7986" t="inlineStr">
        <is>
          <t>C0485</t>
        </is>
      </c>
      <c r="C7986" t="n">
        <v>2</v>
      </c>
      <c r="D7986" t="inlineStr">
        <is>
          <t>Hub C</t>
        </is>
      </c>
      <c r="E7986" t="n">
        <v>53</v>
      </c>
      <c r="F7986" t="n">
        <v>22</v>
      </c>
    </row>
    <row r="7987">
      <c r="A7987" t="inlineStr">
        <is>
          <t>ORD07986</t>
        </is>
      </c>
      <c r="B7987" t="inlineStr">
        <is>
          <t>C0486</t>
        </is>
      </c>
      <c r="C7987" t="n">
        <v>3</v>
      </c>
      <c r="D7987" t="inlineStr">
        <is>
          <t>Hub C</t>
        </is>
      </c>
      <c r="E7987" t="n">
        <v>60</v>
      </c>
      <c r="F7987" t="n">
        <v>22</v>
      </c>
    </row>
    <row r="7988">
      <c r="A7988" t="inlineStr">
        <is>
          <t>ORD07987</t>
        </is>
      </c>
      <c r="B7988" t="inlineStr">
        <is>
          <t>C0487</t>
        </is>
      </c>
      <c r="C7988" t="n">
        <v>1</v>
      </c>
      <c r="D7988" t="inlineStr">
        <is>
          <t>Hub C</t>
        </is>
      </c>
      <c r="E7988" t="n">
        <v>67</v>
      </c>
      <c r="F7988" t="n">
        <v>22</v>
      </c>
    </row>
    <row r="7989">
      <c r="A7989" t="inlineStr">
        <is>
          <t>ORD07988</t>
        </is>
      </c>
      <c r="B7989" t="inlineStr">
        <is>
          <t>C0488</t>
        </is>
      </c>
      <c r="C7989" t="n">
        <v>2</v>
      </c>
      <c r="D7989" t="inlineStr">
        <is>
          <t>Hub C</t>
        </is>
      </c>
      <c r="E7989" t="n">
        <v>74</v>
      </c>
      <c r="F7989" t="n">
        <v>22</v>
      </c>
    </row>
    <row r="7990">
      <c r="A7990" t="inlineStr">
        <is>
          <t>ORD07989</t>
        </is>
      </c>
      <c r="B7990" t="inlineStr">
        <is>
          <t>C0489</t>
        </is>
      </c>
      <c r="C7990" t="n">
        <v>3</v>
      </c>
      <c r="D7990" t="inlineStr">
        <is>
          <t>Hub C</t>
        </is>
      </c>
      <c r="E7990" t="n">
        <v>21</v>
      </c>
      <c r="F7990" t="n">
        <v>22</v>
      </c>
    </row>
    <row r="7991">
      <c r="A7991" t="inlineStr">
        <is>
          <t>ORD07990</t>
        </is>
      </c>
      <c r="B7991" t="inlineStr">
        <is>
          <t>C0490</t>
        </is>
      </c>
      <c r="C7991" t="n">
        <v>1</v>
      </c>
      <c r="D7991" t="inlineStr">
        <is>
          <t>Hub C</t>
        </is>
      </c>
      <c r="E7991" t="n">
        <v>28</v>
      </c>
      <c r="F7991" t="n">
        <v>22</v>
      </c>
    </row>
    <row r="7992">
      <c r="A7992" t="inlineStr">
        <is>
          <t>ORD07991</t>
        </is>
      </c>
      <c r="B7992" t="inlineStr">
        <is>
          <t>C0491</t>
        </is>
      </c>
      <c r="C7992" t="n">
        <v>2</v>
      </c>
      <c r="D7992" t="inlineStr">
        <is>
          <t>Hub C</t>
        </is>
      </c>
      <c r="E7992" t="n">
        <v>35</v>
      </c>
      <c r="F7992" t="n">
        <v>22</v>
      </c>
    </row>
    <row r="7993">
      <c r="A7993" t="inlineStr">
        <is>
          <t>ORD07992</t>
        </is>
      </c>
      <c r="B7993" t="inlineStr">
        <is>
          <t>C0492</t>
        </is>
      </c>
      <c r="C7993" t="n">
        <v>3</v>
      </c>
      <c r="D7993" t="inlineStr">
        <is>
          <t>Hub C</t>
        </is>
      </c>
      <c r="E7993" t="n">
        <v>42</v>
      </c>
      <c r="F7993" t="n">
        <v>22</v>
      </c>
    </row>
    <row r="7994">
      <c r="A7994" t="inlineStr">
        <is>
          <t>ORD07993</t>
        </is>
      </c>
      <c r="B7994" t="inlineStr">
        <is>
          <t>C0493</t>
        </is>
      </c>
      <c r="C7994" t="n">
        <v>1</v>
      </c>
      <c r="D7994" t="inlineStr">
        <is>
          <t>Hub C</t>
        </is>
      </c>
      <c r="E7994" t="n">
        <v>49</v>
      </c>
      <c r="F7994" t="n">
        <v>22</v>
      </c>
    </row>
    <row r="7995">
      <c r="A7995" t="inlineStr">
        <is>
          <t>ORD07994</t>
        </is>
      </c>
      <c r="B7995" t="inlineStr">
        <is>
          <t>C0494</t>
        </is>
      </c>
      <c r="C7995" t="n">
        <v>2</v>
      </c>
      <c r="D7995" t="inlineStr">
        <is>
          <t>Hub C</t>
        </is>
      </c>
      <c r="E7995" t="n">
        <v>56</v>
      </c>
      <c r="F7995" t="n">
        <v>22</v>
      </c>
    </row>
    <row r="7996">
      <c r="A7996" t="inlineStr">
        <is>
          <t>ORD07995</t>
        </is>
      </c>
      <c r="B7996" t="inlineStr">
        <is>
          <t>C0495</t>
        </is>
      </c>
      <c r="C7996" t="n">
        <v>3</v>
      </c>
      <c r="D7996" t="inlineStr">
        <is>
          <t>Hub C</t>
        </is>
      </c>
      <c r="E7996" t="n">
        <v>63</v>
      </c>
      <c r="F7996" t="n">
        <v>22</v>
      </c>
    </row>
    <row r="7997">
      <c r="A7997" t="inlineStr">
        <is>
          <t>ORD07996</t>
        </is>
      </c>
      <c r="B7997" t="inlineStr">
        <is>
          <t>C0496</t>
        </is>
      </c>
      <c r="C7997" t="n">
        <v>1</v>
      </c>
      <c r="D7997" t="inlineStr">
        <is>
          <t>Hub C</t>
        </is>
      </c>
      <c r="E7997" t="n">
        <v>70</v>
      </c>
      <c r="F7997" t="n">
        <v>22</v>
      </c>
    </row>
    <row r="7998">
      <c r="A7998" t="inlineStr">
        <is>
          <t>ORD07997</t>
        </is>
      </c>
      <c r="B7998" t="inlineStr">
        <is>
          <t>C0497</t>
        </is>
      </c>
      <c r="C7998" t="n">
        <v>2</v>
      </c>
      <c r="D7998" t="inlineStr">
        <is>
          <t>Hub C</t>
        </is>
      </c>
      <c r="E7998" t="n">
        <v>77</v>
      </c>
      <c r="F7998" t="n">
        <v>22</v>
      </c>
    </row>
    <row r="7999">
      <c r="A7999" t="inlineStr">
        <is>
          <t>ORD07998</t>
        </is>
      </c>
      <c r="B7999" t="inlineStr">
        <is>
          <t>C0498</t>
        </is>
      </c>
      <c r="C7999" t="n">
        <v>3</v>
      </c>
      <c r="D7999" t="inlineStr">
        <is>
          <t>Hub C</t>
        </is>
      </c>
      <c r="E7999" t="n">
        <v>24</v>
      </c>
      <c r="F7999" t="n">
        <v>22</v>
      </c>
    </row>
    <row r="8000">
      <c r="A8000" t="inlineStr">
        <is>
          <t>ORD07999</t>
        </is>
      </c>
      <c r="B8000" t="inlineStr">
        <is>
          <t>C0499</t>
        </is>
      </c>
      <c r="C8000" t="n">
        <v>1</v>
      </c>
      <c r="D8000" t="inlineStr">
        <is>
          <t>Hub C</t>
        </is>
      </c>
      <c r="E8000" t="n">
        <v>31</v>
      </c>
      <c r="F8000" t="n">
        <v>22</v>
      </c>
    </row>
    <row r="8001">
      <c r="A8001" t="inlineStr">
        <is>
          <t>ORD08000</t>
        </is>
      </c>
      <c r="B8001" t="inlineStr">
        <is>
          <t>C0500</t>
        </is>
      </c>
      <c r="C8001" t="n">
        <v>2</v>
      </c>
      <c r="D8001" t="inlineStr">
        <is>
          <t>Hub C</t>
        </is>
      </c>
      <c r="E8001" t="n">
        <v>38</v>
      </c>
      <c r="F8001" t="n">
        <v>22</v>
      </c>
    </row>
    <row r="8002">
      <c r="A8002" t="inlineStr">
        <is>
          <t>ORD08001</t>
        </is>
      </c>
      <c r="B8002" t="inlineStr">
        <is>
          <t>C0501</t>
        </is>
      </c>
      <c r="C8002" t="n">
        <v>3</v>
      </c>
      <c r="D8002" t="inlineStr">
        <is>
          <t>Hub C</t>
        </is>
      </c>
      <c r="E8002" t="n">
        <v>45</v>
      </c>
      <c r="F8002" t="n">
        <v>22</v>
      </c>
    </row>
    <row r="8003">
      <c r="A8003" t="inlineStr">
        <is>
          <t>ORD08002</t>
        </is>
      </c>
      <c r="B8003" t="inlineStr">
        <is>
          <t>C0502</t>
        </is>
      </c>
      <c r="C8003" t="n">
        <v>1</v>
      </c>
      <c r="D8003" t="inlineStr">
        <is>
          <t>Hub C</t>
        </is>
      </c>
      <c r="E8003" t="n">
        <v>52</v>
      </c>
      <c r="F8003" t="n">
        <v>22</v>
      </c>
    </row>
    <row r="8004">
      <c r="A8004" t="inlineStr">
        <is>
          <t>ORD08003</t>
        </is>
      </c>
      <c r="B8004" t="inlineStr">
        <is>
          <t>C0503</t>
        </is>
      </c>
      <c r="C8004" t="n">
        <v>2</v>
      </c>
      <c r="D8004" t="inlineStr">
        <is>
          <t>Hub C</t>
        </is>
      </c>
      <c r="E8004" t="n">
        <v>59</v>
      </c>
      <c r="F8004" t="n">
        <v>22</v>
      </c>
    </row>
    <row r="8005">
      <c r="A8005" t="inlineStr">
        <is>
          <t>ORD08004</t>
        </is>
      </c>
      <c r="B8005" t="inlineStr">
        <is>
          <t>C0504</t>
        </is>
      </c>
      <c r="C8005" t="n">
        <v>3</v>
      </c>
      <c r="D8005" t="inlineStr">
        <is>
          <t>Hub C</t>
        </is>
      </c>
      <c r="E8005" t="n">
        <v>66</v>
      </c>
      <c r="F8005" t="n">
        <v>22</v>
      </c>
    </row>
    <row r="8006">
      <c r="A8006" t="inlineStr">
        <is>
          <t>ORD08005</t>
        </is>
      </c>
      <c r="B8006" t="inlineStr">
        <is>
          <t>C0505</t>
        </is>
      </c>
      <c r="C8006" t="n">
        <v>1</v>
      </c>
      <c r="D8006" t="inlineStr">
        <is>
          <t>Hub C</t>
        </is>
      </c>
      <c r="E8006" t="n">
        <v>73</v>
      </c>
      <c r="F8006" t="n">
        <v>22</v>
      </c>
    </row>
    <row r="8007">
      <c r="A8007" t="inlineStr">
        <is>
          <t>ORD08006</t>
        </is>
      </c>
      <c r="B8007" t="inlineStr">
        <is>
          <t>C0506</t>
        </is>
      </c>
      <c r="C8007" t="n">
        <v>2</v>
      </c>
      <c r="D8007" t="inlineStr">
        <is>
          <t>Hub C</t>
        </is>
      </c>
      <c r="E8007" t="n">
        <v>20</v>
      </c>
      <c r="F8007" t="n">
        <v>22</v>
      </c>
    </row>
    <row r="8008">
      <c r="A8008" t="inlineStr">
        <is>
          <t>ORD08007</t>
        </is>
      </c>
      <c r="B8008" t="inlineStr">
        <is>
          <t>C0507</t>
        </is>
      </c>
      <c r="C8008" t="n">
        <v>3</v>
      </c>
      <c r="D8008" t="inlineStr">
        <is>
          <t>Hub C</t>
        </is>
      </c>
      <c r="E8008" t="n">
        <v>27</v>
      </c>
      <c r="F8008" t="n">
        <v>22</v>
      </c>
    </row>
    <row r="8009">
      <c r="A8009" t="inlineStr">
        <is>
          <t>ORD08008</t>
        </is>
      </c>
      <c r="B8009" t="inlineStr">
        <is>
          <t>C0508</t>
        </is>
      </c>
      <c r="C8009" t="n">
        <v>1</v>
      </c>
      <c r="D8009" t="inlineStr">
        <is>
          <t>Hub C</t>
        </is>
      </c>
      <c r="E8009" t="n">
        <v>34</v>
      </c>
      <c r="F8009" t="n">
        <v>22</v>
      </c>
    </row>
    <row r="8010">
      <c r="A8010" t="inlineStr">
        <is>
          <t>ORD08009</t>
        </is>
      </c>
      <c r="B8010" t="inlineStr">
        <is>
          <t>C0509</t>
        </is>
      </c>
      <c r="C8010" t="n">
        <v>2</v>
      </c>
      <c r="D8010" t="inlineStr">
        <is>
          <t>Hub C</t>
        </is>
      </c>
      <c r="E8010" t="n">
        <v>41</v>
      </c>
      <c r="F8010" t="n">
        <v>22</v>
      </c>
    </row>
    <row r="8011">
      <c r="A8011" t="inlineStr">
        <is>
          <t>ORD08010</t>
        </is>
      </c>
      <c r="B8011" t="inlineStr">
        <is>
          <t>C0510</t>
        </is>
      </c>
      <c r="C8011" t="n">
        <v>3</v>
      </c>
      <c r="D8011" t="inlineStr">
        <is>
          <t>Hub C</t>
        </is>
      </c>
      <c r="E8011" t="n">
        <v>48</v>
      </c>
      <c r="F8011" t="n">
        <v>22</v>
      </c>
    </row>
    <row r="8012">
      <c r="A8012" t="inlineStr">
        <is>
          <t>ORD08011</t>
        </is>
      </c>
      <c r="B8012" t="inlineStr">
        <is>
          <t>C0511</t>
        </is>
      </c>
      <c r="C8012" t="n">
        <v>1</v>
      </c>
      <c r="D8012" t="inlineStr">
        <is>
          <t>Hub C</t>
        </is>
      </c>
      <c r="E8012" t="n">
        <v>55</v>
      </c>
      <c r="F8012" t="n">
        <v>22</v>
      </c>
    </row>
    <row r="8013">
      <c r="A8013" t="inlineStr">
        <is>
          <t>ORD08012</t>
        </is>
      </c>
      <c r="B8013" t="inlineStr">
        <is>
          <t>C0512</t>
        </is>
      </c>
      <c r="C8013" t="n">
        <v>2</v>
      </c>
      <c r="D8013" t="inlineStr">
        <is>
          <t>Hub C</t>
        </is>
      </c>
      <c r="E8013" t="n">
        <v>62</v>
      </c>
      <c r="F8013" t="n">
        <v>22</v>
      </c>
    </row>
    <row r="8014">
      <c r="A8014" t="inlineStr">
        <is>
          <t>ORD08013</t>
        </is>
      </c>
      <c r="B8014" t="inlineStr">
        <is>
          <t>C0513</t>
        </is>
      </c>
      <c r="C8014" t="n">
        <v>3</v>
      </c>
      <c r="D8014" t="inlineStr">
        <is>
          <t>Hub C</t>
        </is>
      </c>
      <c r="E8014" t="n">
        <v>69</v>
      </c>
      <c r="F8014" t="n">
        <v>22</v>
      </c>
    </row>
    <row r="8015">
      <c r="A8015" t="inlineStr">
        <is>
          <t>ORD08014</t>
        </is>
      </c>
      <c r="B8015" t="inlineStr">
        <is>
          <t>C0514</t>
        </is>
      </c>
      <c r="C8015" t="n">
        <v>1</v>
      </c>
      <c r="D8015" t="inlineStr">
        <is>
          <t>Hub C</t>
        </is>
      </c>
      <c r="E8015" t="n">
        <v>76</v>
      </c>
      <c r="F8015" t="n">
        <v>22</v>
      </c>
    </row>
    <row r="8016">
      <c r="A8016" t="inlineStr">
        <is>
          <t>ORD08015</t>
        </is>
      </c>
      <c r="B8016" t="inlineStr">
        <is>
          <t>C0515</t>
        </is>
      </c>
      <c r="C8016" t="n">
        <v>2</v>
      </c>
      <c r="D8016" t="inlineStr">
        <is>
          <t>Hub C</t>
        </is>
      </c>
      <c r="E8016" t="n">
        <v>23</v>
      </c>
      <c r="F8016" t="n">
        <v>22</v>
      </c>
    </row>
    <row r="8017">
      <c r="A8017" t="inlineStr">
        <is>
          <t>ORD08016</t>
        </is>
      </c>
      <c r="B8017" t="inlineStr">
        <is>
          <t>C0516</t>
        </is>
      </c>
      <c r="C8017" t="n">
        <v>3</v>
      </c>
      <c r="D8017" t="inlineStr">
        <is>
          <t>Hub C</t>
        </is>
      </c>
      <c r="E8017" t="n">
        <v>30</v>
      </c>
      <c r="F8017" t="n">
        <v>22</v>
      </c>
    </row>
    <row r="8018">
      <c r="A8018" t="inlineStr">
        <is>
          <t>ORD08017</t>
        </is>
      </c>
      <c r="B8018" t="inlineStr">
        <is>
          <t>C0517</t>
        </is>
      </c>
      <c r="C8018" t="n">
        <v>1</v>
      </c>
      <c r="D8018" t="inlineStr">
        <is>
          <t>Hub C</t>
        </is>
      </c>
      <c r="E8018" t="n">
        <v>37</v>
      </c>
      <c r="F8018" t="n">
        <v>22</v>
      </c>
    </row>
    <row r="8019">
      <c r="A8019" t="inlineStr">
        <is>
          <t>ORD08018</t>
        </is>
      </c>
      <c r="B8019" t="inlineStr">
        <is>
          <t>C0518</t>
        </is>
      </c>
      <c r="C8019" t="n">
        <v>2</v>
      </c>
      <c r="D8019" t="inlineStr">
        <is>
          <t>Hub C</t>
        </is>
      </c>
      <c r="E8019" t="n">
        <v>44</v>
      </c>
      <c r="F8019" t="n">
        <v>22</v>
      </c>
    </row>
    <row r="8020">
      <c r="A8020" t="inlineStr">
        <is>
          <t>ORD08019</t>
        </is>
      </c>
      <c r="B8020" t="inlineStr">
        <is>
          <t>C0519</t>
        </is>
      </c>
      <c r="C8020" t="n">
        <v>3</v>
      </c>
      <c r="D8020" t="inlineStr">
        <is>
          <t>Hub C</t>
        </is>
      </c>
      <c r="E8020" t="n">
        <v>51</v>
      </c>
      <c r="F8020" t="n">
        <v>22</v>
      </c>
    </row>
    <row r="8021">
      <c r="A8021" t="inlineStr">
        <is>
          <t>ORD08020</t>
        </is>
      </c>
      <c r="B8021" t="inlineStr">
        <is>
          <t>C0520</t>
        </is>
      </c>
      <c r="C8021" t="n">
        <v>1</v>
      </c>
      <c r="D8021" t="inlineStr">
        <is>
          <t>Hub C</t>
        </is>
      </c>
      <c r="E8021" t="n">
        <v>58</v>
      </c>
      <c r="F8021" t="n">
        <v>22</v>
      </c>
    </row>
    <row r="8022">
      <c r="A8022" t="inlineStr">
        <is>
          <t>ORD08021</t>
        </is>
      </c>
      <c r="B8022" t="inlineStr">
        <is>
          <t>C0521</t>
        </is>
      </c>
      <c r="C8022" t="n">
        <v>2</v>
      </c>
      <c r="D8022" t="inlineStr">
        <is>
          <t>Hub C</t>
        </is>
      </c>
      <c r="E8022" t="n">
        <v>65</v>
      </c>
      <c r="F8022" t="n">
        <v>22</v>
      </c>
    </row>
    <row r="8023">
      <c r="A8023" t="inlineStr">
        <is>
          <t>ORD08022</t>
        </is>
      </c>
      <c r="B8023" t="inlineStr">
        <is>
          <t>C0522</t>
        </is>
      </c>
      <c r="C8023" t="n">
        <v>3</v>
      </c>
      <c r="D8023" t="inlineStr">
        <is>
          <t>Hub C</t>
        </is>
      </c>
      <c r="E8023" t="n">
        <v>72</v>
      </c>
      <c r="F8023" t="n">
        <v>22</v>
      </c>
    </row>
    <row r="8024">
      <c r="A8024" t="inlineStr">
        <is>
          <t>ORD08023</t>
        </is>
      </c>
      <c r="B8024" t="inlineStr">
        <is>
          <t>C0523</t>
        </is>
      </c>
      <c r="C8024" t="n">
        <v>1</v>
      </c>
      <c r="D8024" t="inlineStr">
        <is>
          <t>Hub C</t>
        </is>
      </c>
      <c r="E8024" t="n">
        <v>19</v>
      </c>
      <c r="F8024" t="n">
        <v>22</v>
      </c>
    </row>
    <row r="8025">
      <c r="A8025" t="inlineStr">
        <is>
          <t>ORD08024</t>
        </is>
      </c>
      <c r="B8025" t="inlineStr">
        <is>
          <t>C0524</t>
        </is>
      </c>
      <c r="C8025" t="n">
        <v>2</v>
      </c>
      <c r="D8025" t="inlineStr">
        <is>
          <t>Hub C</t>
        </is>
      </c>
      <c r="E8025" t="n">
        <v>26</v>
      </c>
      <c r="F8025" t="n">
        <v>22</v>
      </c>
    </row>
    <row r="8026">
      <c r="A8026" t="inlineStr">
        <is>
          <t>ORD08025</t>
        </is>
      </c>
      <c r="B8026" t="inlineStr">
        <is>
          <t>C0525</t>
        </is>
      </c>
      <c r="C8026" t="n">
        <v>3</v>
      </c>
      <c r="D8026" t="inlineStr">
        <is>
          <t>Hub C</t>
        </is>
      </c>
      <c r="E8026" t="n">
        <v>33</v>
      </c>
      <c r="F8026" t="n">
        <v>22</v>
      </c>
    </row>
    <row r="8027">
      <c r="A8027" t="inlineStr">
        <is>
          <t>ORD08026</t>
        </is>
      </c>
      <c r="B8027" t="inlineStr">
        <is>
          <t>C0526</t>
        </is>
      </c>
      <c r="C8027" t="n">
        <v>1</v>
      </c>
      <c r="D8027" t="inlineStr">
        <is>
          <t>Hub C</t>
        </is>
      </c>
      <c r="E8027" t="n">
        <v>40</v>
      </c>
      <c r="F8027" t="n">
        <v>22</v>
      </c>
    </row>
    <row r="8028">
      <c r="A8028" t="inlineStr">
        <is>
          <t>ORD08027</t>
        </is>
      </c>
      <c r="B8028" t="inlineStr">
        <is>
          <t>C0527</t>
        </is>
      </c>
      <c r="C8028" t="n">
        <v>2</v>
      </c>
      <c r="D8028" t="inlineStr">
        <is>
          <t>Hub C</t>
        </is>
      </c>
      <c r="E8028" t="n">
        <v>47</v>
      </c>
      <c r="F8028" t="n">
        <v>22</v>
      </c>
    </row>
    <row r="8029">
      <c r="A8029" t="inlineStr">
        <is>
          <t>ORD08028</t>
        </is>
      </c>
      <c r="B8029" t="inlineStr">
        <is>
          <t>C0528</t>
        </is>
      </c>
      <c r="C8029" t="n">
        <v>3</v>
      </c>
      <c r="D8029" t="inlineStr">
        <is>
          <t>Hub C</t>
        </is>
      </c>
      <c r="E8029" t="n">
        <v>54</v>
      </c>
      <c r="F8029" t="n">
        <v>22</v>
      </c>
    </row>
    <row r="8030">
      <c r="A8030" t="inlineStr">
        <is>
          <t>ORD08029</t>
        </is>
      </c>
      <c r="B8030" t="inlineStr">
        <is>
          <t>C0529</t>
        </is>
      </c>
      <c r="C8030" t="n">
        <v>1</v>
      </c>
      <c r="D8030" t="inlineStr">
        <is>
          <t>Hub C</t>
        </is>
      </c>
      <c r="E8030" t="n">
        <v>61</v>
      </c>
      <c r="F8030" t="n">
        <v>22</v>
      </c>
    </row>
    <row r="8031">
      <c r="A8031" t="inlineStr">
        <is>
          <t>ORD08030</t>
        </is>
      </c>
      <c r="B8031" t="inlineStr">
        <is>
          <t>C0530</t>
        </is>
      </c>
      <c r="C8031" t="n">
        <v>2</v>
      </c>
      <c r="D8031" t="inlineStr">
        <is>
          <t>Hub C</t>
        </is>
      </c>
      <c r="E8031" t="n">
        <v>68</v>
      </c>
      <c r="F8031" t="n">
        <v>22</v>
      </c>
    </row>
    <row r="8032">
      <c r="A8032" t="inlineStr">
        <is>
          <t>ORD08031</t>
        </is>
      </c>
      <c r="B8032" t="inlineStr">
        <is>
          <t>C0531</t>
        </is>
      </c>
      <c r="C8032" t="n">
        <v>3</v>
      </c>
      <c r="D8032" t="inlineStr">
        <is>
          <t>Hub C</t>
        </is>
      </c>
      <c r="E8032" t="n">
        <v>75</v>
      </c>
      <c r="F8032" t="n">
        <v>22</v>
      </c>
    </row>
    <row r="8033">
      <c r="A8033" t="inlineStr">
        <is>
          <t>ORD08032</t>
        </is>
      </c>
      <c r="B8033" t="inlineStr">
        <is>
          <t>C0532</t>
        </is>
      </c>
      <c r="C8033" t="n">
        <v>1</v>
      </c>
      <c r="D8033" t="inlineStr">
        <is>
          <t>Hub C</t>
        </is>
      </c>
      <c r="E8033" t="n">
        <v>22</v>
      </c>
      <c r="F8033" t="n">
        <v>22</v>
      </c>
    </row>
    <row r="8034">
      <c r="A8034" t="inlineStr">
        <is>
          <t>ORD08033</t>
        </is>
      </c>
      <c r="B8034" t="inlineStr">
        <is>
          <t>C0533</t>
        </is>
      </c>
      <c r="C8034" t="n">
        <v>2</v>
      </c>
      <c r="D8034" t="inlineStr">
        <is>
          <t>Hub C</t>
        </is>
      </c>
      <c r="E8034" t="n">
        <v>29</v>
      </c>
      <c r="F8034" t="n">
        <v>22</v>
      </c>
    </row>
    <row r="8035">
      <c r="A8035" t="inlineStr">
        <is>
          <t>ORD08034</t>
        </is>
      </c>
      <c r="B8035" t="inlineStr">
        <is>
          <t>C0534</t>
        </is>
      </c>
      <c r="C8035" t="n">
        <v>3</v>
      </c>
      <c r="D8035" t="inlineStr">
        <is>
          <t>Hub C</t>
        </is>
      </c>
      <c r="E8035" t="n">
        <v>36</v>
      </c>
      <c r="F8035" t="n">
        <v>22</v>
      </c>
    </row>
    <row r="8036">
      <c r="A8036" t="inlineStr">
        <is>
          <t>ORD08035</t>
        </is>
      </c>
      <c r="B8036" t="inlineStr">
        <is>
          <t>C0535</t>
        </is>
      </c>
      <c r="C8036" t="n">
        <v>1</v>
      </c>
      <c r="D8036" t="inlineStr">
        <is>
          <t>Hub C</t>
        </is>
      </c>
      <c r="E8036" t="n">
        <v>43</v>
      </c>
      <c r="F8036" t="n">
        <v>22</v>
      </c>
    </row>
    <row r="8037">
      <c r="A8037" t="inlineStr">
        <is>
          <t>ORD08036</t>
        </is>
      </c>
      <c r="B8037" t="inlineStr">
        <is>
          <t>C0536</t>
        </is>
      </c>
      <c r="C8037" t="n">
        <v>2</v>
      </c>
      <c r="D8037" t="inlineStr">
        <is>
          <t>Hub C</t>
        </is>
      </c>
      <c r="E8037" t="n">
        <v>50</v>
      </c>
      <c r="F8037" t="n">
        <v>22</v>
      </c>
    </row>
    <row r="8038">
      <c r="A8038" t="inlineStr">
        <is>
          <t>ORD08037</t>
        </is>
      </c>
      <c r="B8038" t="inlineStr">
        <is>
          <t>C0537</t>
        </is>
      </c>
      <c r="C8038" t="n">
        <v>3</v>
      </c>
      <c r="D8038" t="inlineStr">
        <is>
          <t>Hub C</t>
        </is>
      </c>
      <c r="E8038" t="n">
        <v>57</v>
      </c>
      <c r="F8038" t="n">
        <v>22</v>
      </c>
    </row>
    <row r="8039">
      <c r="A8039" t="inlineStr">
        <is>
          <t>ORD08038</t>
        </is>
      </c>
      <c r="B8039" t="inlineStr">
        <is>
          <t>C0538</t>
        </is>
      </c>
      <c r="C8039" t="n">
        <v>1</v>
      </c>
      <c r="D8039" t="inlineStr">
        <is>
          <t>Hub C</t>
        </is>
      </c>
      <c r="E8039" t="n">
        <v>64</v>
      </c>
      <c r="F8039" t="n">
        <v>22</v>
      </c>
    </row>
    <row r="8040">
      <c r="A8040" t="inlineStr">
        <is>
          <t>ORD08039</t>
        </is>
      </c>
      <c r="B8040" t="inlineStr">
        <is>
          <t>C0539</t>
        </is>
      </c>
      <c r="C8040" t="n">
        <v>2</v>
      </c>
      <c r="D8040" t="inlineStr">
        <is>
          <t>Hub C</t>
        </is>
      </c>
      <c r="E8040" t="n">
        <v>71</v>
      </c>
      <c r="F8040" t="n">
        <v>22</v>
      </c>
    </row>
    <row r="8041">
      <c r="A8041" t="inlineStr">
        <is>
          <t>ORD08040</t>
        </is>
      </c>
      <c r="B8041" t="inlineStr">
        <is>
          <t>C0540</t>
        </is>
      </c>
      <c r="C8041" t="n">
        <v>3</v>
      </c>
      <c r="D8041" t="inlineStr">
        <is>
          <t>Hub C</t>
        </is>
      </c>
      <c r="E8041" t="n">
        <v>18</v>
      </c>
      <c r="F8041" t="n">
        <v>22</v>
      </c>
    </row>
    <row r="8042">
      <c r="A8042" t="inlineStr">
        <is>
          <t>ORD08041</t>
        </is>
      </c>
      <c r="B8042" t="inlineStr">
        <is>
          <t>C0541</t>
        </is>
      </c>
      <c r="C8042" t="n">
        <v>1</v>
      </c>
      <c r="D8042" t="inlineStr">
        <is>
          <t>Hub C</t>
        </is>
      </c>
      <c r="E8042" t="n">
        <v>25</v>
      </c>
      <c r="F8042" t="n">
        <v>22</v>
      </c>
    </row>
    <row r="8043">
      <c r="A8043" t="inlineStr">
        <is>
          <t>ORD08042</t>
        </is>
      </c>
      <c r="B8043" t="inlineStr">
        <is>
          <t>C0542</t>
        </is>
      </c>
      <c r="C8043" t="n">
        <v>2</v>
      </c>
      <c r="D8043" t="inlineStr">
        <is>
          <t>Hub C</t>
        </is>
      </c>
      <c r="E8043" t="n">
        <v>32</v>
      </c>
      <c r="F8043" t="n">
        <v>22</v>
      </c>
    </row>
    <row r="8044">
      <c r="A8044" t="inlineStr">
        <is>
          <t>ORD08043</t>
        </is>
      </c>
      <c r="B8044" t="inlineStr">
        <is>
          <t>C0543</t>
        </is>
      </c>
      <c r="C8044" t="n">
        <v>3</v>
      </c>
      <c r="D8044" t="inlineStr">
        <is>
          <t>Hub C</t>
        </is>
      </c>
      <c r="E8044" t="n">
        <v>39</v>
      </c>
      <c r="F8044" t="n">
        <v>22</v>
      </c>
    </row>
    <row r="8045">
      <c r="A8045" t="inlineStr">
        <is>
          <t>ORD08044</t>
        </is>
      </c>
      <c r="B8045" t="inlineStr">
        <is>
          <t>C0544</t>
        </is>
      </c>
      <c r="C8045" t="n">
        <v>1</v>
      </c>
      <c r="D8045" t="inlineStr">
        <is>
          <t>Hub C</t>
        </is>
      </c>
      <c r="E8045" t="n">
        <v>46</v>
      </c>
      <c r="F8045" t="n">
        <v>22</v>
      </c>
    </row>
    <row r="8046">
      <c r="A8046" t="inlineStr">
        <is>
          <t>ORD08045</t>
        </is>
      </c>
      <c r="B8046" t="inlineStr">
        <is>
          <t>C0545</t>
        </is>
      </c>
      <c r="C8046" t="n">
        <v>2</v>
      </c>
      <c r="D8046" t="inlineStr">
        <is>
          <t>Hub C</t>
        </is>
      </c>
      <c r="E8046" t="n">
        <v>53</v>
      </c>
      <c r="F8046" t="n">
        <v>22</v>
      </c>
    </row>
    <row r="8047">
      <c r="A8047" t="inlineStr">
        <is>
          <t>ORD08046</t>
        </is>
      </c>
      <c r="B8047" t="inlineStr">
        <is>
          <t>C0546</t>
        </is>
      </c>
      <c r="C8047" t="n">
        <v>3</v>
      </c>
      <c r="D8047" t="inlineStr">
        <is>
          <t>Hub C</t>
        </is>
      </c>
      <c r="E8047" t="n">
        <v>60</v>
      </c>
      <c r="F8047" t="n">
        <v>22</v>
      </c>
    </row>
    <row r="8048">
      <c r="A8048" t="inlineStr">
        <is>
          <t>ORD08047</t>
        </is>
      </c>
      <c r="B8048" t="inlineStr">
        <is>
          <t>C0547</t>
        </is>
      </c>
      <c r="C8048" t="n">
        <v>1</v>
      </c>
      <c r="D8048" t="inlineStr">
        <is>
          <t>Hub C</t>
        </is>
      </c>
      <c r="E8048" t="n">
        <v>67</v>
      </c>
      <c r="F8048" t="n">
        <v>22</v>
      </c>
    </row>
    <row r="8049">
      <c r="A8049" t="inlineStr">
        <is>
          <t>ORD08048</t>
        </is>
      </c>
      <c r="B8049" t="inlineStr">
        <is>
          <t>C0548</t>
        </is>
      </c>
      <c r="C8049" t="n">
        <v>2</v>
      </c>
      <c r="D8049" t="inlineStr">
        <is>
          <t>Hub C</t>
        </is>
      </c>
      <c r="E8049" t="n">
        <v>74</v>
      </c>
      <c r="F8049" t="n">
        <v>22</v>
      </c>
    </row>
    <row r="8050">
      <c r="A8050" t="inlineStr">
        <is>
          <t>ORD08049</t>
        </is>
      </c>
      <c r="B8050" t="inlineStr">
        <is>
          <t>C0549</t>
        </is>
      </c>
      <c r="C8050" t="n">
        <v>3</v>
      </c>
      <c r="D8050" t="inlineStr">
        <is>
          <t>Hub C</t>
        </is>
      </c>
      <c r="E8050" t="n">
        <v>21</v>
      </c>
      <c r="F8050" t="n">
        <v>22</v>
      </c>
    </row>
    <row r="8051">
      <c r="A8051" t="inlineStr">
        <is>
          <t>ORD08050</t>
        </is>
      </c>
      <c r="B8051" t="inlineStr">
        <is>
          <t>C0550</t>
        </is>
      </c>
      <c r="C8051" t="n">
        <v>1</v>
      </c>
      <c r="D8051" t="inlineStr">
        <is>
          <t>Hub C</t>
        </is>
      </c>
      <c r="E8051" t="n">
        <v>28</v>
      </c>
      <c r="F8051" t="n">
        <v>22</v>
      </c>
    </row>
    <row r="8052">
      <c r="A8052" t="inlineStr">
        <is>
          <t>ORD08051</t>
        </is>
      </c>
      <c r="B8052" t="inlineStr">
        <is>
          <t>C0551</t>
        </is>
      </c>
      <c r="C8052" t="n">
        <v>2</v>
      </c>
      <c r="D8052" t="inlineStr">
        <is>
          <t>Hub C</t>
        </is>
      </c>
      <c r="E8052" t="n">
        <v>35</v>
      </c>
      <c r="F8052" t="n">
        <v>22</v>
      </c>
    </row>
    <row r="8053">
      <c r="A8053" t="inlineStr">
        <is>
          <t>ORD08052</t>
        </is>
      </c>
      <c r="B8053" t="inlineStr">
        <is>
          <t>C0552</t>
        </is>
      </c>
      <c r="C8053" t="n">
        <v>3</v>
      </c>
      <c r="D8053" t="inlineStr">
        <is>
          <t>Hub C</t>
        </is>
      </c>
      <c r="E8053" t="n">
        <v>42</v>
      </c>
      <c r="F8053" t="n">
        <v>22</v>
      </c>
    </row>
    <row r="8054">
      <c r="A8054" t="inlineStr">
        <is>
          <t>ORD08053</t>
        </is>
      </c>
      <c r="B8054" t="inlineStr">
        <is>
          <t>C0553</t>
        </is>
      </c>
      <c r="C8054" t="n">
        <v>1</v>
      </c>
      <c r="D8054" t="inlineStr">
        <is>
          <t>Hub C</t>
        </is>
      </c>
      <c r="E8054" t="n">
        <v>49</v>
      </c>
      <c r="F8054" t="n">
        <v>22</v>
      </c>
    </row>
    <row r="8055">
      <c r="A8055" t="inlineStr">
        <is>
          <t>ORD08054</t>
        </is>
      </c>
      <c r="B8055" t="inlineStr">
        <is>
          <t>C0554</t>
        </is>
      </c>
      <c r="C8055" t="n">
        <v>2</v>
      </c>
      <c r="D8055" t="inlineStr">
        <is>
          <t>Hub C</t>
        </is>
      </c>
      <c r="E8055" t="n">
        <v>56</v>
      </c>
      <c r="F8055" t="n">
        <v>22</v>
      </c>
    </row>
    <row r="8056">
      <c r="A8056" t="inlineStr">
        <is>
          <t>ORD08055</t>
        </is>
      </c>
      <c r="B8056" t="inlineStr">
        <is>
          <t>C0555</t>
        </is>
      </c>
      <c r="C8056" t="n">
        <v>3</v>
      </c>
      <c r="D8056" t="inlineStr">
        <is>
          <t>Hub C</t>
        </is>
      </c>
      <c r="E8056" t="n">
        <v>63</v>
      </c>
      <c r="F8056" t="n">
        <v>22</v>
      </c>
    </row>
    <row r="8057">
      <c r="A8057" t="inlineStr">
        <is>
          <t>ORD08056</t>
        </is>
      </c>
      <c r="B8057" t="inlineStr">
        <is>
          <t>C0556</t>
        </is>
      </c>
      <c r="C8057" t="n">
        <v>1</v>
      </c>
      <c r="D8057" t="inlineStr">
        <is>
          <t>Hub C</t>
        </is>
      </c>
      <c r="E8057" t="n">
        <v>70</v>
      </c>
      <c r="F8057" t="n">
        <v>22</v>
      </c>
    </row>
    <row r="8058">
      <c r="A8058" t="inlineStr">
        <is>
          <t>ORD08057</t>
        </is>
      </c>
      <c r="B8058" t="inlineStr">
        <is>
          <t>C0557</t>
        </is>
      </c>
      <c r="C8058" t="n">
        <v>2</v>
      </c>
      <c r="D8058" t="inlineStr">
        <is>
          <t>Hub C</t>
        </is>
      </c>
      <c r="E8058" t="n">
        <v>77</v>
      </c>
      <c r="F8058" t="n">
        <v>22</v>
      </c>
    </row>
    <row r="8059">
      <c r="A8059" t="inlineStr">
        <is>
          <t>ORD08058</t>
        </is>
      </c>
      <c r="B8059" t="inlineStr">
        <is>
          <t>C0558</t>
        </is>
      </c>
      <c r="C8059" t="n">
        <v>3</v>
      </c>
      <c r="D8059" t="inlineStr">
        <is>
          <t>Hub C</t>
        </is>
      </c>
      <c r="E8059" t="n">
        <v>24</v>
      </c>
      <c r="F8059" t="n">
        <v>22</v>
      </c>
    </row>
    <row r="8060">
      <c r="A8060" t="inlineStr">
        <is>
          <t>ORD08059</t>
        </is>
      </c>
      <c r="B8060" t="inlineStr">
        <is>
          <t>C0559</t>
        </is>
      </c>
      <c r="C8060" t="n">
        <v>1</v>
      </c>
      <c r="D8060" t="inlineStr">
        <is>
          <t>Hub C</t>
        </is>
      </c>
      <c r="E8060" t="n">
        <v>31</v>
      </c>
      <c r="F8060" t="n">
        <v>22</v>
      </c>
    </row>
    <row r="8061">
      <c r="A8061" t="inlineStr">
        <is>
          <t>ORD08060</t>
        </is>
      </c>
      <c r="B8061" t="inlineStr">
        <is>
          <t>C0560</t>
        </is>
      </c>
      <c r="C8061" t="n">
        <v>2</v>
      </c>
      <c r="D8061" t="inlineStr">
        <is>
          <t>Hub C</t>
        </is>
      </c>
      <c r="E8061" t="n">
        <v>38</v>
      </c>
      <c r="F8061" t="n">
        <v>22</v>
      </c>
    </row>
    <row r="8062">
      <c r="A8062" t="inlineStr">
        <is>
          <t>ORD08061</t>
        </is>
      </c>
      <c r="B8062" t="inlineStr">
        <is>
          <t>C0561</t>
        </is>
      </c>
      <c r="C8062" t="n">
        <v>3</v>
      </c>
      <c r="D8062" t="inlineStr">
        <is>
          <t>Hub C</t>
        </is>
      </c>
      <c r="E8062" t="n">
        <v>45</v>
      </c>
      <c r="F8062" t="n">
        <v>22</v>
      </c>
    </row>
    <row r="8063">
      <c r="A8063" t="inlineStr">
        <is>
          <t>ORD08062</t>
        </is>
      </c>
      <c r="B8063" t="inlineStr">
        <is>
          <t>C0562</t>
        </is>
      </c>
      <c r="C8063" t="n">
        <v>1</v>
      </c>
      <c r="D8063" t="inlineStr">
        <is>
          <t>Hub C</t>
        </is>
      </c>
      <c r="E8063" t="n">
        <v>52</v>
      </c>
      <c r="F8063" t="n">
        <v>22</v>
      </c>
    </row>
    <row r="8064">
      <c r="A8064" t="inlineStr">
        <is>
          <t>ORD08063</t>
        </is>
      </c>
      <c r="B8064" t="inlineStr">
        <is>
          <t>C0563</t>
        </is>
      </c>
      <c r="C8064" t="n">
        <v>2</v>
      </c>
      <c r="D8064" t="inlineStr">
        <is>
          <t>Hub C</t>
        </is>
      </c>
      <c r="E8064" t="n">
        <v>59</v>
      </c>
      <c r="F8064" t="n">
        <v>22</v>
      </c>
    </row>
    <row r="8065">
      <c r="A8065" t="inlineStr">
        <is>
          <t>ORD08064</t>
        </is>
      </c>
      <c r="B8065" t="inlineStr">
        <is>
          <t>C0564</t>
        </is>
      </c>
      <c r="C8065" t="n">
        <v>3</v>
      </c>
      <c r="D8065" t="inlineStr">
        <is>
          <t>Hub C</t>
        </is>
      </c>
      <c r="E8065" t="n">
        <v>66</v>
      </c>
      <c r="F8065" t="n">
        <v>22</v>
      </c>
    </row>
    <row r="8066">
      <c r="A8066" t="inlineStr">
        <is>
          <t>ORD08065</t>
        </is>
      </c>
      <c r="B8066" t="inlineStr">
        <is>
          <t>C0565</t>
        </is>
      </c>
      <c r="C8066" t="n">
        <v>1</v>
      </c>
      <c r="D8066" t="inlineStr">
        <is>
          <t>Hub C</t>
        </is>
      </c>
      <c r="E8066" t="n">
        <v>73</v>
      </c>
      <c r="F8066" t="n">
        <v>22</v>
      </c>
    </row>
    <row r="8067">
      <c r="A8067" t="inlineStr">
        <is>
          <t>ORD08066</t>
        </is>
      </c>
      <c r="B8067" t="inlineStr">
        <is>
          <t>C0566</t>
        </is>
      </c>
      <c r="C8067" t="n">
        <v>2</v>
      </c>
      <c r="D8067" t="inlineStr">
        <is>
          <t>Hub C</t>
        </is>
      </c>
      <c r="E8067" t="n">
        <v>20</v>
      </c>
      <c r="F8067" t="n">
        <v>22</v>
      </c>
    </row>
    <row r="8068">
      <c r="A8068" t="inlineStr">
        <is>
          <t>ORD08067</t>
        </is>
      </c>
      <c r="B8068" t="inlineStr">
        <is>
          <t>C0567</t>
        </is>
      </c>
      <c r="C8068" t="n">
        <v>3</v>
      </c>
      <c r="D8068" t="inlineStr">
        <is>
          <t>Hub C</t>
        </is>
      </c>
      <c r="E8068" t="n">
        <v>27</v>
      </c>
      <c r="F8068" t="n">
        <v>22</v>
      </c>
    </row>
    <row r="8069">
      <c r="A8069" t="inlineStr">
        <is>
          <t>ORD08068</t>
        </is>
      </c>
      <c r="B8069" t="inlineStr">
        <is>
          <t>C0568</t>
        </is>
      </c>
      <c r="C8069" t="n">
        <v>1</v>
      </c>
      <c r="D8069" t="inlineStr">
        <is>
          <t>Hub C</t>
        </is>
      </c>
      <c r="E8069" t="n">
        <v>34</v>
      </c>
      <c r="F8069" t="n">
        <v>22</v>
      </c>
    </row>
    <row r="8070">
      <c r="A8070" t="inlineStr">
        <is>
          <t>ORD08069</t>
        </is>
      </c>
      <c r="B8070" t="inlineStr">
        <is>
          <t>C0569</t>
        </is>
      </c>
      <c r="C8070" t="n">
        <v>2</v>
      </c>
      <c r="D8070" t="inlineStr">
        <is>
          <t>Hub C</t>
        </is>
      </c>
      <c r="E8070" t="n">
        <v>41</v>
      </c>
      <c r="F8070" t="n">
        <v>22</v>
      </c>
    </row>
    <row r="8071">
      <c r="A8071" t="inlineStr">
        <is>
          <t>ORD08070</t>
        </is>
      </c>
      <c r="B8071" t="inlineStr">
        <is>
          <t>C0570</t>
        </is>
      </c>
      <c r="C8071" t="n">
        <v>3</v>
      </c>
      <c r="D8071" t="inlineStr">
        <is>
          <t>Hub C</t>
        </is>
      </c>
      <c r="E8071" t="n">
        <v>48</v>
      </c>
      <c r="F8071" t="n">
        <v>22</v>
      </c>
    </row>
    <row r="8072">
      <c r="A8072" t="inlineStr">
        <is>
          <t>ORD08071</t>
        </is>
      </c>
      <c r="B8072" t="inlineStr">
        <is>
          <t>C0571</t>
        </is>
      </c>
      <c r="C8072" t="n">
        <v>1</v>
      </c>
      <c r="D8072" t="inlineStr">
        <is>
          <t>Hub C</t>
        </is>
      </c>
      <c r="E8072" t="n">
        <v>55</v>
      </c>
      <c r="F8072" t="n">
        <v>22</v>
      </c>
    </row>
    <row r="8073">
      <c r="A8073" t="inlineStr">
        <is>
          <t>ORD08072</t>
        </is>
      </c>
      <c r="B8073" t="inlineStr">
        <is>
          <t>C0572</t>
        </is>
      </c>
      <c r="C8073" t="n">
        <v>2</v>
      </c>
      <c r="D8073" t="inlineStr">
        <is>
          <t>Hub C</t>
        </is>
      </c>
      <c r="E8073" t="n">
        <v>62</v>
      </c>
      <c r="F8073" t="n">
        <v>22</v>
      </c>
    </row>
    <row r="8074">
      <c r="A8074" t="inlineStr">
        <is>
          <t>ORD08073</t>
        </is>
      </c>
      <c r="B8074" t="inlineStr">
        <is>
          <t>C0573</t>
        </is>
      </c>
      <c r="C8074" t="n">
        <v>3</v>
      </c>
      <c r="D8074" t="inlineStr">
        <is>
          <t>Hub C</t>
        </is>
      </c>
      <c r="E8074" t="n">
        <v>69</v>
      </c>
      <c r="F8074" t="n">
        <v>22</v>
      </c>
    </row>
    <row r="8075">
      <c r="A8075" t="inlineStr">
        <is>
          <t>ORD08074</t>
        </is>
      </c>
      <c r="B8075" t="inlineStr">
        <is>
          <t>C0574</t>
        </is>
      </c>
      <c r="C8075" t="n">
        <v>1</v>
      </c>
      <c r="D8075" t="inlineStr">
        <is>
          <t>Hub C</t>
        </is>
      </c>
      <c r="E8075" t="n">
        <v>76</v>
      </c>
      <c r="F8075" t="n">
        <v>22</v>
      </c>
    </row>
    <row r="8076">
      <c r="A8076" t="inlineStr">
        <is>
          <t>ORD08075</t>
        </is>
      </c>
      <c r="B8076" t="inlineStr">
        <is>
          <t>C0575</t>
        </is>
      </c>
      <c r="C8076" t="n">
        <v>2</v>
      </c>
      <c r="D8076" t="inlineStr">
        <is>
          <t>Hub C</t>
        </is>
      </c>
      <c r="E8076" t="n">
        <v>23</v>
      </c>
      <c r="F8076" t="n">
        <v>22</v>
      </c>
    </row>
    <row r="8077">
      <c r="A8077" t="inlineStr">
        <is>
          <t>ORD08076</t>
        </is>
      </c>
      <c r="B8077" t="inlineStr">
        <is>
          <t>C0576</t>
        </is>
      </c>
      <c r="C8077" t="n">
        <v>3</v>
      </c>
      <c r="D8077" t="inlineStr">
        <is>
          <t>Hub C</t>
        </is>
      </c>
      <c r="E8077" t="n">
        <v>30</v>
      </c>
      <c r="F8077" t="n">
        <v>22</v>
      </c>
    </row>
    <row r="8078">
      <c r="A8078" t="inlineStr">
        <is>
          <t>ORD08077</t>
        </is>
      </c>
      <c r="B8078" t="inlineStr">
        <is>
          <t>C0577</t>
        </is>
      </c>
      <c r="C8078" t="n">
        <v>1</v>
      </c>
      <c r="D8078" t="inlineStr">
        <is>
          <t>Hub C</t>
        </is>
      </c>
      <c r="E8078" t="n">
        <v>37</v>
      </c>
      <c r="F8078" t="n">
        <v>22</v>
      </c>
    </row>
    <row r="8079">
      <c r="A8079" t="inlineStr">
        <is>
          <t>ORD08078</t>
        </is>
      </c>
      <c r="B8079" t="inlineStr">
        <is>
          <t>C0578</t>
        </is>
      </c>
      <c r="C8079" t="n">
        <v>2</v>
      </c>
      <c r="D8079" t="inlineStr">
        <is>
          <t>Hub C</t>
        </is>
      </c>
      <c r="E8079" t="n">
        <v>44</v>
      </c>
      <c r="F8079" t="n">
        <v>22</v>
      </c>
    </row>
    <row r="8080">
      <c r="A8080" t="inlineStr">
        <is>
          <t>ORD08079</t>
        </is>
      </c>
      <c r="B8080" t="inlineStr">
        <is>
          <t>C0579</t>
        </is>
      </c>
      <c r="C8080" t="n">
        <v>3</v>
      </c>
      <c r="D8080" t="inlineStr">
        <is>
          <t>Hub C</t>
        </is>
      </c>
      <c r="E8080" t="n">
        <v>51</v>
      </c>
      <c r="F8080" t="n">
        <v>22</v>
      </c>
    </row>
    <row r="8081">
      <c r="A8081" t="inlineStr">
        <is>
          <t>ORD08080</t>
        </is>
      </c>
      <c r="B8081" t="inlineStr">
        <is>
          <t>C0580</t>
        </is>
      </c>
      <c r="C8081" t="n">
        <v>1</v>
      </c>
      <c r="D8081" t="inlineStr">
        <is>
          <t>Hub C</t>
        </is>
      </c>
      <c r="E8081" t="n">
        <v>58</v>
      </c>
      <c r="F8081" t="n">
        <v>22</v>
      </c>
    </row>
    <row r="8082">
      <c r="A8082" t="inlineStr">
        <is>
          <t>ORD08081</t>
        </is>
      </c>
      <c r="B8082" t="inlineStr">
        <is>
          <t>C0581</t>
        </is>
      </c>
      <c r="C8082" t="n">
        <v>2</v>
      </c>
      <c r="D8082" t="inlineStr">
        <is>
          <t>Hub C</t>
        </is>
      </c>
      <c r="E8082" t="n">
        <v>65</v>
      </c>
      <c r="F8082" t="n">
        <v>22</v>
      </c>
    </row>
    <row r="8083">
      <c r="A8083" t="inlineStr">
        <is>
          <t>ORD08082</t>
        </is>
      </c>
      <c r="B8083" t="inlineStr">
        <is>
          <t>C0582</t>
        </is>
      </c>
      <c r="C8083" t="n">
        <v>3</v>
      </c>
      <c r="D8083" t="inlineStr">
        <is>
          <t>Hub C</t>
        </is>
      </c>
      <c r="E8083" t="n">
        <v>72</v>
      </c>
      <c r="F8083" t="n">
        <v>22</v>
      </c>
    </row>
    <row r="8084">
      <c r="A8084" t="inlineStr">
        <is>
          <t>ORD08083</t>
        </is>
      </c>
      <c r="B8084" t="inlineStr">
        <is>
          <t>C0583</t>
        </is>
      </c>
      <c r="C8084" t="n">
        <v>1</v>
      </c>
      <c r="D8084" t="inlineStr">
        <is>
          <t>Hub C</t>
        </is>
      </c>
      <c r="E8084" t="n">
        <v>19</v>
      </c>
      <c r="F8084" t="n">
        <v>22</v>
      </c>
    </row>
    <row r="8085">
      <c r="A8085" t="inlineStr">
        <is>
          <t>ORD08084</t>
        </is>
      </c>
      <c r="B8085" t="inlineStr">
        <is>
          <t>C0584</t>
        </is>
      </c>
      <c r="C8085" t="n">
        <v>2</v>
      </c>
      <c r="D8085" t="inlineStr">
        <is>
          <t>Hub C</t>
        </is>
      </c>
      <c r="E8085" t="n">
        <v>26</v>
      </c>
      <c r="F8085" t="n">
        <v>22</v>
      </c>
    </row>
    <row r="8086">
      <c r="A8086" t="inlineStr">
        <is>
          <t>ORD08085</t>
        </is>
      </c>
      <c r="B8086" t="inlineStr">
        <is>
          <t>C0585</t>
        </is>
      </c>
      <c r="C8086" t="n">
        <v>3</v>
      </c>
      <c r="D8086" t="inlineStr">
        <is>
          <t>Hub C</t>
        </is>
      </c>
      <c r="E8086" t="n">
        <v>33</v>
      </c>
      <c r="F8086" t="n">
        <v>22</v>
      </c>
    </row>
    <row r="8087">
      <c r="A8087" t="inlineStr">
        <is>
          <t>ORD08086</t>
        </is>
      </c>
      <c r="B8087" t="inlineStr">
        <is>
          <t>C0586</t>
        </is>
      </c>
      <c r="C8087" t="n">
        <v>1</v>
      </c>
      <c r="D8087" t="inlineStr">
        <is>
          <t>Hub C</t>
        </is>
      </c>
      <c r="E8087" t="n">
        <v>40</v>
      </c>
      <c r="F8087" t="n">
        <v>22</v>
      </c>
    </row>
    <row r="8088">
      <c r="A8088" t="inlineStr">
        <is>
          <t>ORD08087</t>
        </is>
      </c>
      <c r="B8088" t="inlineStr">
        <is>
          <t>C0587</t>
        </is>
      </c>
      <c r="C8088" t="n">
        <v>2</v>
      </c>
      <c r="D8088" t="inlineStr">
        <is>
          <t>Hub C</t>
        </is>
      </c>
      <c r="E8088" t="n">
        <v>47</v>
      </c>
      <c r="F8088" t="n">
        <v>22</v>
      </c>
    </row>
    <row r="8089">
      <c r="A8089" t="inlineStr">
        <is>
          <t>ORD08088</t>
        </is>
      </c>
      <c r="B8089" t="inlineStr">
        <is>
          <t>C0588</t>
        </is>
      </c>
      <c r="C8089" t="n">
        <v>3</v>
      </c>
      <c r="D8089" t="inlineStr">
        <is>
          <t>Hub C</t>
        </is>
      </c>
      <c r="E8089" t="n">
        <v>54</v>
      </c>
      <c r="F8089" t="n">
        <v>22</v>
      </c>
    </row>
    <row r="8090">
      <c r="A8090" t="inlineStr">
        <is>
          <t>ORD08089</t>
        </is>
      </c>
      <c r="B8090" t="inlineStr">
        <is>
          <t>C0589</t>
        </is>
      </c>
      <c r="C8090" t="n">
        <v>1</v>
      </c>
      <c r="D8090" t="inlineStr">
        <is>
          <t>Hub C</t>
        </is>
      </c>
      <c r="E8090" t="n">
        <v>61</v>
      </c>
      <c r="F8090" t="n">
        <v>22</v>
      </c>
    </row>
    <row r="8091">
      <c r="A8091" t="inlineStr">
        <is>
          <t>ORD08090</t>
        </is>
      </c>
      <c r="B8091" t="inlineStr">
        <is>
          <t>C0590</t>
        </is>
      </c>
      <c r="C8091" t="n">
        <v>2</v>
      </c>
      <c r="D8091" t="inlineStr">
        <is>
          <t>Hub C</t>
        </is>
      </c>
      <c r="E8091" t="n">
        <v>68</v>
      </c>
      <c r="F8091" t="n">
        <v>22</v>
      </c>
    </row>
    <row r="8092">
      <c r="A8092" t="inlineStr">
        <is>
          <t>ORD08091</t>
        </is>
      </c>
      <c r="B8092" t="inlineStr">
        <is>
          <t>C0591</t>
        </is>
      </c>
      <c r="C8092" t="n">
        <v>3</v>
      </c>
      <c r="D8092" t="inlineStr">
        <is>
          <t>Hub C</t>
        </is>
      </c>
      <c r="E8092" t="n">
        <v>75</v>
      </c>
      <c r="F8092" t="n">
        <v>22</v>
      </c>
    </row>
    <row r="8093">
      <c r="A8093" t="inlineStr">
        <is>
          <t>ORD08092</t>
        </is>
      </c>
      <c r="B8093" t="inlineStr">
        <is>
          <t>C0592</t>
        </is>
      </c>
      <c r="C8093" t="n">
        <v>1</v>
      </c>
      <c r="D8093" t="inlineStr">
        <is>
          <t>Hub C</t>
        </is>
      </c>
      <c r="E8093" t="n">
        <v>22</v>
      </c>
      <c r="F8093" t="n">
        <v>22</v>
      </c>
    </row>
    <row r="8094">
      <c r="A8094" t="inlineStr">
        <is>
          <t>ORD08093</t>
        </is>
      </c>
      <c r="B8094" t="inlineStr">
        <is>
          <t>C0593</t>
        </is>
      </c>
      <c r="C8094" t="n">
        <v>2</v>
      </c>
      <c r="D8094" t="inlineStr">
        <is>
          <t>Hub C</t>
        </is>
      </c>
      <c r="E8094" t="n">
        <v>29</v>
      </c>
      <c r="F8094" t="n">
        <v>22</v>
      </c>
    </row>
    <row r="8095">
      <c r="A8095" t="inlineStr">
        <is>
          <t>ORD08094</t>
        </is>
      </c>
      <c r="B8095" t="inlineStr">
        <is>
          <t>C0594</t>
        </is>
      </c>
      <c r="C8095" t="n">
        <v>3</v>
      </c>
      <c r="D8095" t="inlineStr">
        <is>
          <t>Hub C</t>
        </is>
      </c>
      <c r="E8095" t="n">
        <v>36</v>
      </c>
      <c r="F8095" t="n">
        <v>22</v>
      </c>
    </row>
    <row r="8096">
      <c r="A8096" t="inlineStr">
        <is>
          <t>ORD08095</t>
        </is>
      </c>
      <c r="B8096" t="inlineStr">
        <is>
          <t>C0595</t>
        </is>
      </c>
      <c r="C8096" t="n">
        <v>1</v>
      </c>
      <c r="D8096" t="inlineStr">
        <is>
          <t>Hub C</t>
        </is>
      </c>
      <c r="E8096" t="n">
        <v>43</v>
      </c>
      <c r="F8096" t="n">
        <v>22</v>
      </c>
    </row>
    <row r="8097">
      <c r="A8097" t="inlineStr">
        <is>
          <t>ORD08096</t>
        </is>
      </c>
      <c r="B8097" t="inlineStr">
        <is>
          <t>C0596</t>
        </is>
      </c>
      <c r="C8097" t="n">
        <v>2</v>
      </c>
      <c r="D8097" t="inlineStr">
        <is>
          <t>Hub C</t>
        </is>
      </c>
      <c r="E8097" t="n">
        <v>50</v>
      </c>
      <c r="F8097" t="n">
        <v>22</v>
      </c>
    </row>
    <row r="8098">
      <c r="A8098" t="inlineStr">
        <is>
          <t>ORD08097</t>
        </is>
      </c>
      <c r="B8098" t="inlineStr">
        <is>
          <t>C0597</t>
        </is>
      </c>
      <c r="C8098" t="n">
        <v>3</v>
      </c>
      <c r="D8098" t="inlineStr">
        <is>
          <t>Hub C</t>
        </is>
      </c>
      <c r="E8098" t="n">
        <v>57</v>
      </c>
      <c r="F8098" t="n">
        <v>22</v>
      </c>
    </row>
    <row r="8099">
      <c r="A8099" t="inlineStr">
        <is>
          <t>ORD08098</t>
        </is>
      </c>
      <c r="B8099" t="inlineStr">
        <is>
          <t>C0598</t>
        </is>
      </c>
      <c r="C8099" t="n">
        <v>1</v>
      </c>
      <c r="D8099" t="inlineStr">
        <is>
          <t>Hub C</t>
        </is>
      </c>
      <c r="E8099" t="n">
        <v>64</v>
      </c>
      <c r="F8099" t="n">
        <v>22</v>
      </c>
    </row>
    <row r="8100">
      <c r="A8100" t="inlineStr">
        <is>
          <t>ORD08099</t>
        </is>
      </c>
      <c r="B8100" t="inlineStr">
        <is>
          <t>C0599</t>
        </is>
      </c>
      <c r="C8100" t="n">
        <v>2</v>
      </c>
      <c r="D8100" t="inlineStr">
        <is>
          <t>Hub C</t>
        </is>
      </c>
      <c r="E8100" t="n">
        <v>71</v>
      </c>
      <c r="F8100" t="n">
        <v>22</v>
      </c>
    </row>
    <row r="8101">
      <c r="A8101" t="inlineStr">
        <is>
          <t>ORD08100</t>
        </is>
      </c>
      <c r="B8101" t="inlineStr">
        <is>
          <t>C0600</t>
        </is>
      </c>
      <c r="C8101" t="n">
        <v>3</v>
      </c>
      <c r="D8101" t="inlineStr">
        <is>
          <t>Hub C</t>
        </is>
      </c>
      <c r="E8101" t="n">
        <v>18</v>
      </c>
      <c r="F8101" t="n">
        <v>22</v>
      </c>
    </row>
    <row r="8102">
      <c r="A8102" t="inlineStr">
        <is>
          <t>ORD08101</t>
        </is>
      </c>
      <c r="B8102" t="inlineStr">
        <is>
          <t>C0601</t>
        </is>
      </c>
      <c r="C8102" t="n">
        <v>1</v>
      </c>
      <c r="D8102" t="inlineStr">
        <is>
          <t>Hub C</t>
        </is>
      </c>
      <c r="E8102" t="n">
        <v>25</v>
      </c>
      <c r="F8102" t="n">
        <v>22</v>
      </c>
    </row>
    <row r="8103">
      <c r="A8103" t="inlineStr">
        <is>
          <t>ORD08102</t>
        </is>
      </c>
      <c r="B8103" t="inlineStr">
        <is>
          <t>C0602</t>
        </is>
      </c>
      <c r="C8103" t="n">
        <v>2</v>
      </c>
      <c r="D8103" t="inlineStr">
        <is>
          <t>Hub C</t>
        </is>
      </c>
      <c r="E8103" t="n">
        <v>32</v>
      </c>
      <c r="F8103" t="n">
        <v>22</v>
      </c>
    </row>
    <row r="8104">
      <c r="A8104" t="inlineStr">
        <is>
          <t>ORD08103</t>
        </is>
      </c>
      <c r="B8104" t="inlineStr">
        <is>
          <t>C0603</t>
        </is>
      </c>
      <c r="C8104" t="n">
        <v>3</v>
      </c>
      <c r="D8104" t="inlineStr">
        <is>
          <t>Hub C</t>
        </is>
      </c>
      <c r="E8104" t="n">
        <v>39</v>
      </c>
      <c r="F8104" t="n">
        <v>22</v>
      </c>
    </row>
    <row r="8105">
      <c r="A8105" t="inlineStr">
        <is>
          <t>ORD08104</t>
        </is>
      </c>
      <c r="B8105" t="inlineStr">
        <is>
          <t>C0604</t>
        </is>
      </c>
      <c r="C8105" t="n">
        <v>1</v>
      </c>
      <c r="D8105" t="inlineStr">
        <is>
          <t>Hub C</t>
        </is>
      </c>
      <c r="E8105" t="n">
        <v>46</v>
      </c>
      <c r="F8105" t="n">
        <v>22</v>
      </c>
    </row>
    <row r="8106">
      <c r="A8106" t="inlineStr">
        <is>
          <t>ORD08105</t>
        </is>
      </c>
      <c r="B8106" t="inlineStr">
        <is>
          <t>C0605</t>
        </is>
      </c>
      <c r="C8106" t="n">
        <v>2</v>
      </c>
      <c r="D8106" t="inlineStr">
        <is>
          <t>Hub C</t>
        </is>
      </c>
      <c r="E8106" t="n">
        <v>53</v>
      </c>
      <c r="F8106" t="n">
        <v>22</v>
      </c>
    </row>
    <row r="8107">
      <c r="A8107" t="inlineStr">
        <is>
          <t>ORD08106</t>
        </is>
      </c>
      <c r="B8107" t="inlineStr">
        <is>
          <t>C0606</t>
        </is>
      </c>
      <c r="C8107" t="n">
        <v>3</v>
      </c>
      <c r="D8107" t="inlineStr">
        <is>
          <t>Hub C</t>
        </is>
      </c>
      <c r="E8107" t="n">
        <v>60</v>
      </c>
      <c r="F8107" t="n">
        <v>22</v>
      </c>
    </row>
    <row r="8108">
      <c r="A8108" t="inlineStr">
        <is>
          <t>ORD08107</t>
        </is>
      </c>
      <c r="B8108" t="inlineStr">
        <is>
          <t>C0607</t>
        </is>
      </c>
      <c r="C8108" t="n">
        <v>1</v>
      </c>
      <c r="D8108" t="inlineStr">
        <is>
          <t>Hub C</t>
        </is>
      </c>
      <c r="E8108" t="n">
        <v>67</v>
      </c>
      <c r="F8108" t="n">
        <v>22</v>
      </c>
    </row>
    <row r="8109">
      <c r="A8109" t="inlineStr">
        <is>
          <t>ORD08108</t>
        </is>
      </c>
      <c r="B8109" t="inlineStr">
        <is>
          <t>C0608</t>
        </is>
      </c>
      <c r="C8109" t="n">
        <v>2</v>
      </c>
      <c r="D8109" t="inlineStr">
        <is>
          <t>Hub C</t>
        </is>
      </c>
      <c r="E8109" t="n">
        <v>74</v>
      </c>
      <c r="F8109" t="n">
        <v>22</v>
      </c>
    </row>
    <row r="8110">
      <c r="A8110" t="inlineStr">
        <is>
          <t>ORD08109</t>
        </is>
      </c>
      <c r="B8110" t="inlineStr">
        <is>
          <t>C0609</t>
        </is>
      </c>
      <c r="C8110" t="n">
        <v>3</v>
      </c>
      <c r="D8110" t="inlineStr">
        <is>
          <t>Hub C</t>
        </is>
      </c>
      <c r="E8110" t="n">
        <v>21</v>
      </c>
      <c r="F8110" t="n">
        <v>22</v>
      </c>
    </row>
    <row r="8111">
      <c r="A8111" t="inlineStr">
        <is>
          <t>ORD08110</t>
        </is>
      </c>
      <c r="B8111" t="inlineStr">
        <is>
          <t>C0610</t>
        </is>
      </c>
      <c r="C8111" t="n">
        <v>1</v>
      </c>
      <c r="D8111" t="inlineStr">
        <is>
          <t>Hub C</t>
        </is>
      </c>
      <c r="E8111" t="n">
        <v>28</v>
      </c>
      <c r="F8111" t="n">
        <v>22</v>
      </c>
    </row>
    <row r="8112">
      <c r="A8112" t="inlineStr">
        <is>
          <t>ORD08111</t>
        </is>
      </c>
      <c r="B8112" t="inlineStr">
        <is>
          <t>C0611</t>
        </is>
      </c>
      <c r="C8112" t="n">
        <v>2</v>
      </c>
      <c r="D8112" t="inlineStr">
        <is>
          <t>Hub C</t>
        </is>
      </c>
      <c r="E8112" t="n">
        <v>35</v>
      </c>
      <c r="F8112" t="n">
        <v>22</v>
      </c>
    </row>
    <row r="8113">
      <c r="A8113" t="inlineStr">
        <is>
          <t>ORD08112</t>
        </is>
      </c>
      <c r="B8113" t="inlineStr">
        <is>
          <t>C0612</t>
        </is>
      </c>
      <c r="C8113" t="n">
        <v>3</v>
      </c>
      <c r="D8113" t="inlineStr">
        <is>
          <t>Hub C</t>
        </is>
      </c>
      <c r="E8113" t="n">
        <v>42</v>
      </c>
      <c r="F8113" t="n">
        <v>22</v>
      </c>
    </row>
    <row r="8114">
      <c r="A8114" t="inlineStr">
        <is>
          <t>ORD08113</t>
        </is>
      </c>
      <c r="B8114" t="inlineStr">
        <is>
          <t>C0613</t>
        </is>
      </c>
      <c r="C8114" t="n">
        <v>1</v>
      </c>
      <c r="D8114" t="inlineStr">
        <is>
          <t>Hub C</t>
        </is>
      </c>
      <c r="E8114" t="n">
        <v>49</v>
      </c>
      <c r="F8114" t="n">
        <v>22</v>
      </c>
    </row>
    <row r="8115">
      <c r="A8115" t="inlineStr">
        <is>
          <t>ORD08114</t>
        </is>
      </c>
      <c r="B8115" t="inlineStr">
        <is>
          <t>C0614</t>
        </is>
      </c>
      <c r="C8115" t="n">
        <v>2</v>
      </c>
      <c r="D8115" t="inlineStr">
        <is>
          <t>Hub C</t>
        </is>
      </c>
      <c r="E8115" t="n">
        <v>56</v>
      </c>
      <c r="F8115" t="n">
        <v>22</v>
      </c>
    </row>
    <row r="8116">
      <c r="A8116" t="inlineStr">
        <is>
          <t>ORD08115</t>
        </is>
      </c>
      <c r="B8116" t="inlineStr">
        <is>
          <t>C0615</t>
        </is>
      </c>
      <c r="C8116" t="n">
        <v>3</v>
      </c>
      <c r="D8116" t="inlineStr">
        <is>
          <t>Hub C</t>
        </is>
      </c>
      <c r="E8116" t="n">
        <v>63</v>
      </c>
      <c r="F8116" t="n">
        <v>22</v>
      </c>
    </row>
    <row r="8117">
      <c r="A8117" t="inlineStr">
        <is>
          <t>ORD08116</t>
        </is>
      </c>
      <c r="B8117" t="inlineStr">
        <is>
          <t>C0616</t>
        </is>
      </c>
      <c r="C8117" t="n">
        <v>1</v>
      </c>
      <c r="D8117" t="inlineStr">
        <is>
          <t>Hub C</t>
        </is>
      </c>
      <c r="E8117" t="n">
        <v>70</v>
      </c>
      <c r="F8117" t="n">
        <v>22</v>
      </c>
    </row>
    <row r="8118">
      <c r="A8118" t="inlineStr">
        <is>
          <t>ORD08117</t>
        </is>
      </c>
      <c r="B8118" t="inlineStr">
        <is>
          <t>C0617</t>
        </is>
      </c>
      <c r="C8118" t="n">
        <v>2</v>
      </c>
      <c r="D8118" t="inlineStr">
        <is>
          <t>Hub C</t>
        </is>
      </c>
      <c r="E8118" t="n">
        <v>77</v>
      </c>
      <c r="F8118" t="n">
        <v>22</v>
      </c>
    </row>
    <row r="8119">
      <c r="A8119" t="inlineStr">
        <is>
          <t>ORD08118</t>
        </is>
      </c>
      <c r="B8119" t="inlineStr">
        <is>
          <t>C0618</t>
        </is>
      </c>
      <c r="C8119" t="n">
        <v>3</v>
      </c>
      <c r="D8119" t="inlineStr">
        <is>
          <t>Hub C</t>
        </is>
      </c>
      <c r="E8119" t="n">
        <v>24</v>
      </c>
      <c r="F8119" t="n">
        <v>22</v>
      </c>
    </row>
    <row r="8120">
      <c r="A8120" t="inlineStr">
        <is>
          <t>ORD08119</t>
        </is>
      </c>
      <c r="B8120" t="inlineStr">
        <is>
          <t>C0619</t>
        </is>
      </c>
      <c r="C8120" t="n">
        <v>1</v>
      </c>
      <c r="D8120" t="inlineStr">
        <is>
          <t>Hub C</t>
        </is>
      </c>
      <c r="E8120" t="n">
        <v>31</v>
      </c>
      <c r="F8120" t="n">
        <v>22</v>
      </c>
    </row>
    <row r="8121">
      <c r="A8121" t="inlineStr">
        <is>
          <t>ORD08120</t>
        </is>
      </c>
      <c r="B8121" t="inlineStr">
        <is>
          <t>C0620</t>
        </is>
      </c>
      <c r="C8121" t="n">
        <v>2</v>
      </c>
      <c r="D8121" t="inlineStr">
        <is>
          <t>Hub C</t>
        </is>
      </c>
      <c r="E8121" t="n">
        <v>38</v>
      </c>
      <c r="F8121" t="n">
        <v>22</v>
      </c>
    </row>
    <row r="8122">
      <c r="A8122" t="inlineStr">
        <is>
          <t>ORD08121</t>
        </is>
      </c>
      <c r="B8122" t="inlineStr">
        <is>
          <t>C0621</t>
        </is>
      </c>
      <c r="C8122" t="n">
        <v>3</v>
      </c>
      <c r="D8122" t="inlineStr">
        <is>
          <t>Hub C</t>
        </is>
      </c>
      <c r="E8122" t="n">
        <v>45</v>
      </c>
      <c r="F8122" t="n">
        <v>22</v>
      </c>
    </row>
    <row r="8123">
      <c r="A8123" t="inlineStr">
        <is>
          <t>ORD08122</t>
        </is>
      </c>
      <c r="B8123" t="inlineStr">
        <is>
          <t>C0622</t>
        </is>
      </c>
      <c r="C8123" t="n">
        <v>1</v>
      </c>
      <c r="D8123" t="inlineStr">
        <is>
          <t>Hub C</t>
        </is>
      </c>
      <c r="E8123" t="n">
        <v>52</v>
      </c>
      <c r="F8123" t="n">
        <v>22</v>
      </c>
    </row>
    <row r="8124">
      <c r="A8124" t="inlineStr">
        <is>
          <t>ORD08123</t>
        </is>
      </c>
      <c r="B8124" t="inlineStr">
        <is>
          <t>C0623</t>
        </is>
      </c>
      <c r="C8124" t="n">
        <v>2</v>
      </c>
      <c r="D8124" t="inlineStr">
        <is>
          <t>Hub C</t>
        </is>
      </c>
      <c r="E8124" t="n">
        <v>59</v>
      </c>
      <c r="F8124" t="n">
        <v>22</v>
      </c>
    </row>
    <row r="8125">
      <c r="A8125" t="inlineStr">
        <is>
          <t>ORD08124</t>
        </is>
      </c>
      <c r="B8125" t="inlineStr">
        <is>
          <t>C0624</t>
        </is>
      </c>
      <c r="C8125" t="n">
        <v>3</v>
      </c>
      <c r="D8125" t="inlineStr">
        <is>
          <t>Hub C</t>
        </is>
      </c>
      <c r="E8125" t="n">
        <v>66</v>
      </c>
      <c r="F8125" t="n">
        <v>22</v>
      </c>
    </row>
    <row r="8126">
      <c r="A8126" t="inlineStr">
        <is>
          <t>ORD08125</t>
        </is>
      </c>
      <c r="B8126" t="inlineStr">
        <is>
          <t>C0625</t>
        </is>
      </c>
      <c r="C8126" t="n">
        <v>1</v>
      </c>
      <c r="D8126" t="inlineStr">
        <is>
          <t>Hub C</t>
        </is>
      </c>
      <c r="E8126" t="n">
        <v>73</v>
      </c>
      <c r="F8126" t="n">
        <v>22</v>
      </c>
    </row>
    <row r="8127">
      <c r="A8127" t="inlineStr">
        <is>
          <t>ORD08126</t>
        </is>
      </c>
      <c r="B8127" t="inlineStr">
        <is>
          <t>C0626</t>
        </is>
      </c>
      <c r="C8127" t="n">
        <v>2</v>
      </c>
      <c r="D8127" t="inlineStr">
        <is>
          <t>Hub C</t>
        </is>
      </c>
      <c r="E8127" t="n">
        <v>20</v>
      </c>
      <c r="F8127" t="n">
        <v>22</v>
      </c>
    </row>
    <row r="8128">
      <c r="A8128" t="inlineStr">
        <is>
          <t>ORD08127</t>
        </is>
      </c>
      <c r="B8128" t="inlineStr">
        <is>
          <t>C0627</t>
        </is>
      </c>
      <c r="C8128" t="n">
        <v>3</v>
      </c>
      <c r="D8128" t="inlineStr">
        <is>
          <t>Hub C</t>
        </is>
      </c>
      <c r="E8128" t="n">
        <v>27</v>
      </c>
      <c r="F8128" t="n">
        <v>22</v>
      </c>
    </row>
    <row r="8129">
      <c r="A8129" t="inlineStr">
        <is>
          <t>ORD08128</t>
        </is>
      </c>
      <c r="B8129" t="inlineStr">
        <is>
          <t>C0628</t>
        </is>
      </c>
      <c r="C8129" t="n">
        <v>1</v>
      </c>
      <c r="D8129" t="inlineStr">
        <is>
          <t>Hub C</t>
        </is>
      </c>
      <c r="E8129" t="n">
        <v>34</v>
      </c>
      <c r="F8129" t="n">
        <v>22</v>
      </c>
    </row>
    <row r="8130">
      <c r="A8130" t="inlineStr">
        <is>
          <t>ORD08129</t>
        </is>
      </c>
      <c r="B8130" t="inlineStr">
        <is>
          <t>C0629</t>
        </is>
      </c>
      <c r="C8130" t="n">
        <v>2</v>
      </c>
      <c r="D8130" t="inlineStr">
        <is>
          <t>Hub C</t>
        </is>
      </c>
      <c r="E8130" t="n">
        <v>41</v>
      </c>
      <c r="F8130" t="n">
        <v>22</v>
      </c>
    </row>
    <row r="8131">
      <c r="A8131" t="inlineStr">
        <is>
          <t>ORD08130</t>
        </is>
      </c>
      <c r="B8131" t="inlineStr">
        <is>
          <t>C0630</t>
        </is>
      </c>
      <c r="C8131" t="n">
        <v>3</v>
      </c>
      <c r="D8131" t="inlineStr">
        <is>
          <t>Hub C</t>
        </is>
      </c>
      <c r="E8131" t="n">
        <v>48</v>
      </c>
      <c r="F8131" t="n">
        <v>22</v>
      </c>
    </row>
    <row r="8132">
      <c r="A8132" t="inlineStr">
        <is>
          <t>ORD08131</t>
        </is>
      </c>
      <c r="B8132" t="inlineStr">
        <is>
          <t>C0631</t>
        </is>
      </c>
      <c r="C8132" t="n">
        <v>1</v>
      </c>
      <c r="D8132" t="inlineStr">
        <is>
          <t>Hub C</t>
        </is>
      </c>
      <c r="E8132" t="n">
        <v>55</v>
      </c>
      <c r="F8132" t="n">
        <v>22</v>
      </c>
    </row>
    <row r="8133">
      <c r="A8133" t="inlineStr">
        <is>
          <t>ORD08132</t>
        </is>
      </c>
      <c r="B8133" t="inlineStr">
        <is>
          <t>C0632</t>
        </is>
      </c>
      <c r="C8133" t="n">
        <v>2</v>
      </c>
      <c r="D8133" t="inlineStr">
        <is>
          <t>Hub C</t>
        </is>
      </c>
      <c r="E8133" t="n">
        <v>62</v>
      </c>
      <c r="F8133" t="n">
        <v>22</v>
      </c>
    </row>
    <row r="8134">
      <c r="A8134" t="inlineStr">
        <is>
          <t>ORD08133</t>
        </is>
      </c>
      <c r="B8134" t="inlineStr">
        <is>
          <t>C0633</t>
        </is>
      </c>
      <c r="C8134" t="n">
        <v>3</v>
      </c>
      <c r="D8134" t="inlineStr">
        <is>
          <t>Hub C</t>
        </is>
      </c>
      <c r="E8134" t="n">
        <v>69</v>
      </c>
      <c r="F8134" t="n">
        <v>22</v>
      </c>
    </row>
    <row r="8135">
      <c r="A8135" t="inlineStr">
        <is>
          <t>ORD08134</t>
        </is>
      </c>
      <c r="B8135" t="inlineStr">
        <is>
          <t>C0634</t>
        </is>
      </c>
      <c r="C8135" t="n">
        <v>1</v>
      </c>
      <c r="D8135" t="inlineStr">
        <is>
          <t>Hub C</t>
        </is>
      </c>
      <c r="E8135" t="n">
        <v>76</v>
      </c>
      <c r="F8135" t="n">
        <v>22</v>
      </c>
    </row>
    <row r="8136">
      <c r="A8136" t="inlineStr">
        <is>
          <t>ORD08135</t>
        </is>
      </c>
      <c r="B8136" t="inlineStr">
        <is>
          <t>C0635</t>
        </is>
      </c>
      <c r="C8136" t="n">
        <v>2</v>
      </c>
      <c r="D8136" t="inlineStr">
        <is>
          <t>Hub C</t>
        </is>
      </c>
      <c r="E8136" t="n">
        <v>23</v>
      </c>
      <c r="F8136" t="n">
        <v>22</v>
      </c>
    </row>
    <row r="8137">
      <c r="A8137" t="inlineStr">
        <is>
          <t>ORD08136</t>
        </is>
      </c>
      <c r="B8137" t="inlineStr">
        <is>
          <t>C0636</t>
        </is>
      </c>
      <c r="C8137" t="n">
        <v>3</v>
      </c>
      <c r="D8137" t="inlineStr">
        <is>
          <t>Hub C</t>
        </is>
      </c>
      <c r="E8137" t="n">
        <v>30</v>
      </c>
      <c r="F8137" t="n">
        <v>22</v>
      </c>
    </row>
    <row r="8138">
      <c r="A8138" t="inlineStr">
        <is>
          <t>ORD08137</t>
        </is>
      </c>
      <c r="B8138" t="inlineStr">
        <is>
          <t>C0637</t>
        </is>
      </c>
      <c r="C8138" t="n">
        <v>1</v>
      </c>
      <c r="D8138" t="inlineStr">
        <is>
          <t>Hub C</t>
        </is>
      </c>
      <c r="E8138" t="n">
        <v>37</v>
      </c>
      <c r="F8138" t="n">
        <v>22</v>
      </c>
    </row>
    <row r="8139">
      <c r="A8139" t="inlineStr">
        <is>
          <t>ORD08138</t>
        </is>
      </c>
      <c r="B8139" t="inlineStr">
        <is>
          <t>C0638</t>
        </is>
      </c>
      <c r="C8139" t="n">
        <v>2</v>
      </c>
      <c r="D8139" t="inlineStr">
        <is>
          <t>Hub C</t>
        </is>
      </c>
      <c r="E8139" t="n">
        <v>44</v>
      </c>
      <c r="F8139" t="n">
        <v>22</v>
      </c>
    </row>
    <row r="8140">
      <c r="A8140" t="inlineStr">
        <is>
          <t>ORD08139</t>
        </is>
      </c>
      <c r="B8140" t="inlineStr">
        <is>
          <t>C0639</t>
        </is>
      </c>
      <c r="C8140" t="n">
        <v>3</v>
      </c>
      <c r="D8140" t="inlineStr">
        <is>
          <t>Hub C</t>
        </is>
      </c>
      <c r="E8140" t="n">
        <v>51</v>
      </c>
      <c r="F8140" t="n">
        <v>22</v>
      </c>
    </row>
    <row r="8141">
      <c r="A8141" t="inlineStr">
        <is>
          <t>ORD08140</t>
        </is>
      </c>
      <c r="B8141" t="inlineStr">
        <is>
          <t>C0640</t>
        </is>
      </c>
      <c r="C8141" t="n">
        <v>1</v>
      </c>
      <c r="D8141" t="inlineStr">
        <is>
          <t>Hub C</t>
        </is>
      </c>
      <c r="E8141" t="n">
        <v>58</v>
      </c>
      <c r="F8141" t="n">
        <v>22</v>
      </c>
    </row>
    <row r="8142">
      <c r="A8142" t="inlineStr">
        <is>
          <t>ORD08141</t>
        </is>
      </c>
      <c r="B8142" t="inlineStr">
        <is>
          <t>C0641</t>
        </is>
      </c>
      <c r="C8142" t="n">
        <v>2</v>
      </c>
      <c r="D8142" t="inlineStr">
        <is>
          <t>Hub C</t>
        </is>
      </c>
      <c r="E8142" t="n">
        <v>65</v>
      </c>
      <c r="F8142" t="n">
        <v>22</v>
      </c>
    </row>
    <row r="8143">
      <c r="A8143" t="inlineStr">
        <is>
          <t>ORD08142</t>
        </is>
      </c>
      <c r="B8143" t="inlineStr">
        <is>
          <t>C0642</t>
        </is>
      </c>
      <c r="C8143" t="n">
        <v>3</v>
      </c>
      <c r="D8143" t="inlineStr">
        <is>
          <t>Hub C</t>
        </is>
      </c>
      <c r="E8143" t="n">
        <v>72</v>
      </c>
      <c r="F8143" t="n">
        <v>22</v>
      </c>
    </row>
    <row r="8144">
      <c r="A8144" t="inlineStr">
        <is>
          <t>ORD08143</t>
        </is>
      </c>
      <c r="B8144" t="inlineStr">
        <is>
          <t>C0643</t>
        </is>
      </c>
      <c r="C8144" t="n">
        <v>1</v>
      </c>
      <c r="D8144" t="inlineStr">
        <is>
          <t>Hub C</t>
        </is>
      </c>
      <c r="E8144" t="n">
        <v>19</v>
      </c>
      <c r="F8144" t="n">
        <v>22</v>
      </c>
    </row>
    <row r="8145">
      <c r="A8145" t="inlineStr">
        <is>
          <t>ORD08144</t>
        </is>
      </c>
      <c r="B8145" t="inlineStr">
        <is>
          <t>C0644</t>
        </is>
      </c>
      <c r="C8145" t="n">
        <v>2</v>
      </c>
      <c r="D8145" t="inlineStr">
        <is>
          <t>Hub C</t>
        </is>
      </c>
      <c r="E8145" t="n">
        <v>26</v>
      </c>
      <c r="F8145" t="n">
        <v>22</v>
      </c>
    </row>
    <row r="8146">
      <c r="A8146" t="inlineStr">
        <is>
          <t>ORD08145</t>
        </is>
      </c>
      <c r="B8146" t="inlineStr">
        <is>
          <t>C0645</t>
        </is>
      </c>
      <c r="C8146" t="n">
        <v>3</v>
      </c>
      <c r="D8146" t="inlineStr">
        <is>
          <t>Hub C</t>
        </is>
      </c>
      <c r="E8146" t="n">
        <v>33</v>
      </c>
      <c r="F8146" t="n">
        <v>22</v>
      </c>
    </row>
    <row r="8147">
      <c r="A8147" t="inlineStr">
        <is>
          <t>ORD08146</t>
        </is>
      </c>
      <c r="B8147" t="inlineStr">
        <is>
          <t>C0646</t>
        </is>
      </c>
      <c r="C8147" t="n">
        <v>1</v>
      </c>
      <c r="D8147" t="inlineStr">
        <is>
          <t>Hub C</t>
        </is>
      </c>
      <c r="E8147" t="n">
        <v>40</v>
      </c>
      <c r="F8147" t="n">
        <v>22</v>
      </c>
    </row>
    <row r="8148">
      <c r="A8148" t="inlineStr">
        <is>
          <t>ORD08147</t>
        </is>
      </c>
      <c r="B8148" t="inlineStr">
        <is>
          <t>C0647</t>
        </is>
      </c>
      <c r="C8148" t="n">
        <v>2</v>
      </c>
      <c r="D8148" t="inlineStr">
        <is>
          <t>Hub C</t>
        </is>
      </c>
      <c r="E8148" t="n">
        <v>47</v>
      </c>
      <c r="F8148" t="n">
        <v>22</v>
      </c>
    </row>
    <row r="8149">
      <c r="A8149" t="inlineStr">
        <is>
          <t>ORD08148</t>
        </is>
      </c>
      <c r="B8149" t="inlineStr">
        <is>
          <t>C0648</t>
        </is>
      </c>
      <c r="C8149" t="n">
        <v>3</v>
      </c>
      <c r="D8149" t="inlineStr">
        <is>
          <t>Hub C</t>
        </is>
      </c>
      <c r="E8149" t="n">
        <v>54</v>
      </c>
      <c r="F8149" t="n">
        <v>22</v>
      </c>
    </row>
    <row r="8150">
      <c r="A8150" t="inlineStr">
        <is>
          <t>ORD08149</t>
        </is>
      </c>
      <c r="B8150" t="inlineStr">
        <is>
          <t>C0649</t>
        </is>
      </c>
      <c r="C8150" t="n">
        <v>1</v>
      </c>
      <c r="D8150" t="inlineStr">
        <is>
          <t>Hub C</t>
        </is>
      </c>
      <c r="E8150" t="n">
        <v>61</v>
      </c>
      <c r="F8150" t="n">
        <v>22</v>
      </c>
    </row>
    <row r="8151">
      <c r="A8151" t="inlineStr">
        <is>
          <t>ORD08150</t>
        </is>
      </c>
      <c r="B8151" t="inlineStr">
        <is>
          <t>C0650</t>
        </is>
      </c>
      <c r="C8151" t="n">
        <v>2</v>
      </c>
      <c r="D8151" t="inlineStr">
        <is>
          <t>Hub C</t>
        </is>
      </c>
      <c r="E8151" t="n">
        <v>68</v>
      </c>
      <c r="F8151" t="n">
        <v>22</v>
      </c>
    </row>
    <row r="8152">
      <c r="A8152" t="inlineStr">
        <is>
          <t>ORD08151</t>
        </is>
      </c>
      <c r="B8152" t="inlineStr">
        <is>
          <t>C0651</t>
        </is>
      </c>
      <c r="C8152" t="n">
        <v>3</v>
      </c>
      <c r="D8152" t="inlineStr">
        <is>
          <t>Hub C</t>
        </is>
      </c>
      <c r="E8152" t="n">
        <v>75</v>
      </c>
      <c r="F8152" t="n">
        <v>22</v>
      </c>
    </row>
    <row r="8153">
      <c r="A8153" t="inlineStr">
        <is>
          <t>ORD08152</t>
        </is>
      </c>
      <c r="B8153" t="inlineStr">
        <is>
          <t>C0652</t>
        </is>
      </c>
      <c r="C8153" t="n">
        <v>1</v>
      </c>
      <c r="D8153" t="inlineStr">
        <is>
          <t>Hub C</t>
        </is>
      </c>
      <c r="E8153" t="n">
        <v>22</v>
      </c>
      <c r="F8153" t="n">
        <v>22</v>
      </c>
    </row>
    <row r="8154">
      <c r="A8154" t="inlineStr">
        <is>
          <t>ORD08153</t>
        </is>
      </c>
      <c r="B8154" t="inlineStr">
        <is>
          <t>C0653</t>
        </is>
      </c>
      <c r="C8154" t="n">
        <v>2</v>
      </c>
      <c r="D8154" t="inlineStr">
        <is>
          <t>Hub C</t>
        </is>
      </c>
      <c r="E8154" t="n">
        <v>29</v>
      </c>
      <c r="F8154" t="n">
        <v>22</v>
      </c>
    </row>
    <row r="8155">
      <c r="A8155" t="inlineStr">
        <is>
          <t>ORD08154</t>
        </is>
      </c>
      <c r="B8155" t="inlineStr">
        <is>
          <t>C0654</t>
        </is>
      </c>
      <c r="C8155" t="n">
        <v>3</v>
      </c>
      <c r="D8155" t="inlineStr">
        <is>
          <t>Hub C</t>
        </is>
      </c>
      <c r="E8155" t="n">
        <v>36</v>
      </c>
      <c r="F8155" t="n">
        <v>22</v>
      </c>
    </row>
    <row r="8156">
      <c r="A8156" t="inlineStr">
        <is>
          <t>ORD08155</t>
        </is>
      </c>
      <c r="B8156" t="inlineStr">
        <is>
          <t>C0655</t>
        </is>
      </c>
      <c r="C8156" t="n">
        <v>1</v>
      </c>
      <c r="D8156" t="inlineStr">
        <is>
          <t>Hub C</t>
        </is>
      </c>
      <c r="E8156" t="n">
        <v>43</v>
      </c>
      <c r="F8156" t="n">
        <v>22</v>
      </c>
    </row>
    <row r="8157">
      <c r="A8157" t="inlineStr">
        <is>
          <t>ORD08156</t>
        </is>
      </c>
      <c r="B8157" t="inlineStr">
        <is>
          <t>C0656</t>
        </is>
      </c>
      <c r="C8157" t="n">
        <v>2</v>
      </c>
      <c r="D8157" t="inlineStr">
        <is>
          <t>Hub C</t>
        </is>
      </c>
      <c r="E8157" t="n">
        <v>50</v>
      </c>
      <c r="F8157" t="n">
        <v>22</v>
      </c>
    </row>
    <row r="8158">
      <c r="A8158" t="inlineStr">
        <is>
          <t>ORD08157</t>
        </is>
      </c>
      <c r="B8158" t="inlineStr">
        <is>
          <t>C0657</t>
        </is>
      </c>
      <c r="C8158" t="n">
        <v>3</v>
      </c>
      <c r="D8158" t="inlineStr">
        <is>
          <t>Hub C</t>
        </is>
      </c>
      <c r="E8158" t="n">
        <v>57</v>
      </c>
      <c r="F8158" t="n">
        <v>22</v>
      </c>
    </row>
    <row r="8159">
      <c r="A8159" t="inlineStr">
        <is>
          <t>ORD08158</t>
        </is>
      </c>
      <c r="B8159" t="inlineStr">
        <is>
          <t>C0658</t>
        </is>
      </c>
      <c r="C8159" t="n">
        <v>1</v>
      </c>
      <c r="D8159" t="inlineStr">
        <is>
          <t>Hub C</t>
        </is>
      </c>
      <c r="E8159" t="n">
        <v>64</v>
      </c>
      <c r="F8159" t="n">
        <v>22</v>
      </c>
    </row>
    <row r="8160">
      <c r="A8160" t="inlineStr">
        <is>
          <t>ORD08159</t>
        </is>
      </c>
      <c r="B8160" t="inlineStr">
        <is>
          <t>C0659</t>
        </is>
      </c>
      <c r="C8160" t="n">
        <v>2</v>
      </c>
      <c r="D8160" t="inlineStr">
        <is>
          <t>Hub C</t>
        </is>
      </c>
      <c r="E8160" t="n">
        <v>71</v>
      </c>
      <c r="F8160" t="n">
        <v>22</v>
      </c>
    </row>
    <row r="8161">
      <c r="A8161" t="inlineStr">
        <is>
          <t>ORD08160</t>
        </is>
      </c>
      <c r="B8161" t="inlineStr">
        <is>
          <t>C0660</t>
        </is>
      </c>
      <c r="C8161" t="n">
        <v>3</v>
      </c>
      <c r="D8161" t="inlineStr">
        <is>
          <t>Hub C</t>
        </is>
      </c>
      <c r="E8161" t="n">
        <v>18</v>
      </c>
      <c r="F8161" t="n">
        <v>22</v>
      </c>
    </row>
    <row r="8162">
      <c r="A8162" t="inlineStr">
        <is>
          <t>ORD08161</t>
        </is>
      </c>
      <c r="B8162" t="inlineStr">
        <is>
          <t>C0661</t>
        </is>
      </c>
      <c r="C8162" t="n">
        <v>1</v>
      </c>
      <c r="D8162" t="inlineStr">
        <is>
          <t>Hub C</t>
        </is>
      </c>
      <c r="E8162" t="n">
        <v>25</v>
      </c>
      <c r="F8162" t="n">
        <v>22</v>
      </c>
    </row>
    <row r="8163">
      <c r="A8163" t="inlineStr">
        <is>
          <t>ORD08162</t>
        </is>
      </c>
      <c r="B8163" t="inlineStr">
        <is>
          <t>C0662</t>
        </is>
      </c>
      <c r="C8163" t="n">
        <v>2</v>
      </c>
      <c r="D8163" t="inlineStr">
        <is>
          <t>Hub C</t>
        </is>
      </c>
      <c r="E8163" t="n">
        <v>32</v>
      </c>
      <c r="F8163" t="n">
        <v>22</v>
      </c>
    </row>
    <row r="8164">
      <c r="A8164" t="inlineStr">
        <is>
          <t>ORD08163</t>
        </is>
      </c>
      <c r="B8164" t="inlineStr">
        <is>
          <t>C0663</t>
        </is>
      </c>
      <c r="C8164" t="n">
        <v>3</v>
      </c>
      <c r="D8164" t="inlineStr">
        <is>
          <t>Hub C</t>
        </is>
      </c>
      <c r="E8164" t="n">
        <v>39</v>
      </c>
      <c r="F8164" t="n">
        <v>22</v>
      </c>
    </row>
    <row r="8165">
      <c r="A8165" t="inlineStr">
        <is>
          <t>ORD08164</t>
        </is>
      </c>
      <c r="B8165" t="inlineStr">
        <is>
          <t>C0664</t>
        </is>
      </c>
      <c r="C8165" t="n">
        <v>1</v>
      </c>
      <c r="D8165" t="inlineStr">
        <is>
          <t>Hub C</t>
        </is>
      </c>
      <c r="E8165" t="n">
        <v>46</v>
      </c>
      <c r="F8165" t="n">
        <v>22</v>
      </c>
    </row>
    <row r="8166">
      <c r="A8166" t="inlineStr">
        <is>
          <t>ORD08165</t>
        </is>
      </c>
      <c r="B8166" t="inlineStr">
        <is>
          <t>C0665</t>
        </is>
      </c>
      <c r="C8166" t="n">
        <v>2</v>
      </c>
      <c r="D8166" t="inlineStr">
        <is>
          <t>Hub C</t>
        </is>
      </c>
      <c r="E8166" t="n">
        <v>53</v>
      </c>
      <c r="F8166" t="n">
        <v>22</v>
      </c>
    </row>
    <row r="8167">
      <c r="A8167" t="inlineStr">
        <is>
          <t>ORD08166</t>
        </is>
      </c>
      <c r="B8167" t="inlineStr">
        <is>
          <t>C0666</t>
        </is>
      </c>
      <c r="C8167" t="n">
        <v>3</v>
      </c>
      <c r="D8167" t="inlineStr">
        <is>
          <t>Hub C</t>
        </is>
      </c>
      <c r="E8167" t="n">
        <v>60</v>
      </c>
      <c r="F8167" t="n">
        <v>22</v>
      </c>
    </row>
    <row r="8168">
      <c r="A8168" t="inlineStr">
        <is>
          <t>ORD08167</t>
        </is>
      </c>
      <c r="B8168" t="inlineStr">
        <is>
          <t>C0667</t>
        </is>
      </c>
      <c r="C8168" t="n">
        <v>1</v>
      </c>
      <c r="D8168" t="inlineStr">
        <is>
          <t>Hub C</t>
        </is>
      </c>
      <c r="E8168" t="n">
        <v>67</v>
      </c>
      <c r="F8168" t="n">
        <v>22</v>
      </c>
    </row>
    <row r="8169">
      <c r="A8169" t="inlineStr">
        <is>
          <t>ORD08168</t>
        </is>
      </c>
      <c r="B8169" t="inlineStr">
        <is>
          <t>C0668</t>
        </is>
      </c>
      <c r="C8169" t="n">
        <v>2</v>
      </c>
      <c r="D8169" t="inlineStr">
        <is>
          <t>Hub C</t>
        </is>
      </c>
      <c r="E8169" t="n">
        <v>74</v>
      </c>
      <c r="F8169" t="n">
        <v>22</v>
      </c>
    </row>
    <row r="8170">
      <c r="A8170" t="inlineStr">
        <is>
          <t>ORD08169</t>
        </is>
      </c>
      <c r="B8170" t="inlineStr">
        <is>
          <t>C0669</t>
        </is>
      </c>
      <c r="C8170" t="n">
        <v>3</v>
      </c>
      <c r="D8170" t="inlineStr">
        <is>
          <t>Hub C</t>
        </is>
      </c>
      <c r="E8170" t="n">
        <v>21</v>
      </c>
      <c r="F8170" t="n">
        <v>22</v>
      </c>
    </row>
    <row r="8171">
      <c r="A8171" t="inlineStr">
        <is>
          <t>ORD08170</t>
        </is>
      </c>
      <c r="B8171" t="inlineStr">
        <is>
          <t>C0670</t>
        </is>
      </c>
      <c r="C8171" t="n">
        <v>1</v>
      </c>
      <c r="D8171" t="inlineStr">
        <is>
          <t>Hub C</t>
        </is>
      </c>
      <c r="E8171" t="n">
        <v>28</v>
      </c>
      <c r="F8171" t="n">
        <v>22</v>
      </c>
    </row>
    <row r="8172">
      <c r="A8172" t="inlineStr">
        <is>
          <t>ORD08171</t>
        </is>
      </c>
      <c r="B8172" t="inlineStr">
        <is>
          <t>C0671</t>
        </is>
      </c>
      <c r="C8172" t="n">
        <v>2</v>
      </c>
      <c r="D8172" t="inlineStr">
        <is>
          <t>Hub C</t>
        </is>
      </c>
      <c r="E8172" t="n">
        <v>35</v>
      </c>
      <c r="F8172" t="n">
        <v>22</v>
      </c>
    </row>
    <row r="8173">
      <c r="A8173" t="inlineStr">
        <is>
          <t>ORD08172</t>
        </is>
      </c>
      <c r="B8173" t="inlineStr">
        <is>
          <t>C0672</t>
        </is>
      </c>
      <c r="C8173" t="n">
        <v>3</v>
      </c>
      <c r="D8173" t="inlineStr">
        <is>
          <t>Hub C</t>
        </is>
      </c>
      <c r="E8173" t="n">
        <v>42</v>
      </c>
      <c r="F8173" t="n">
        <v>22</v>
      </c>
    </row>
    <row r="8174">
      <c r="A8174" t="inlineStr">
        <is>
          <t>ORD08173</t>
        </is>
      </c>
      <c r="B8174" t="inlineStr">
        <is>
          <t>C0673</t>
        </is>
      </c>
      <c r="C8174" t="n">
        <v>1</v>
      </c>
      <c r="D8174" t="inlineStr">
        <is>
          <t>Hub C</t>
        </is>
      </c>
      <c r="E8174" t="n">
        <v>49</v>
      </c>
      <c r="F8174" t="n">
        <v>22</v>
      </c>
    </row>
    <row r="8175">
      <c r="A8175" t="inlineStr">
        <is>
          <t>ORD08174</t>
        </is>
      </c>
      <c r="B8175" t="inlineStr">
        <is>
          <t>C0674</t>
        </is>
      </c>
      <c r="C8175" t="n">
        <v>2</v>
      </c>
      <c r="D8175" t="inlineStr">
        <is>
          <t>Hub C</t>
        </is>
      </c>
      <c r="E8175" t="n">
        <v>56</v>
      </c>
      <c r="F8175" t="n">
        <v>22</v>
      </c>
    </row>
    <row r="8176">
      <c r="A8176" t="inlineStr">
        <is>
          <t>ORD08175</t>
        </is>
      </c>
      <c r="B8176" t="inlineStr">
        <is>
          <t>C0675</t>
        </is>
      </c>
      <c r="C8176" t="n">
        <v>3</v>
      </c>
      <c r="D8176" t="inlineStr">
        <is>
          <t>Hub C</t>
        </is>
      </c>
      <c r="E8176" t="n">
        <v>63</v>
      </c>
      <c r="F8176" t="n">
        <v>22</v>
      </c>
    </row>
    <row r="8177">
      <c r="A8177" t="inlineStr">
        <is>
          <t>ORD08176</t>
        </is>
      </c>
      <c r="B8177" t="inlineStr">
        <is>
          <t>C0676</t>
        </is>
      </c>
      <c r="C8177" t="n">
        <v>1</v>
      </c>
      <c r="D8177" t="inlineStr">
        <is>
          <t>Hub C</t>
        </is>
      </c>
      <c r="E8177" t="n">
        <v>70</v>
      </c>
      <c r="F8177" t="n">
        <v>22</v>
      </c>
    </row>
    <row r="8178">
      <c r="A8178" t="inlineStr">
        <is>
          <t>ORD08177</t>
        </is>
      </c>
      <c r="B8178" t="inlineStr">
        <is>
          <t>C0677</t>
        </is>
      </c>
      <c r="C8178" t="n">
        <v>2</v>
      </c>
      <c r="D8178" t="inlineStr">
        <is>
          <t>Hub C</t>
        </is>
      </c>
      <c r="E8178" t="n">
        <v>77</v>
      </c>
      <c r="F8178" t="n">
        <v>22</v>
      </c>
    </row>
    <row r="8179">
      <c r="A8179" t="inlineStr">
        <is>
          <t>ORD08178</t>
        </is>
      </c>
      <c r="B8179" t="inlineStr">
        <is>
          <t>C0678</t>
        </is>
      </c>
      <c r="C8179" t="n">
        <v>3</v>
      </c>
      <c r="D8179" t="inlineStr">
        <is>
          <t>Hub C</t>
        </is>
      </c>
      <c r="E8179" t="n">
        <v>24</v>
      </c>
      <c r="F8179" t="n">
        <v>22</v>
      </c>
    </row>
    <row r="8180">
      <c r="A8180" t="inlineStr">
        <is>
          <t>ORD08179</t>
        </is>
      </c>
      <c r="B8180" t="inlineStr">
        <is>
          <t>C0679</t>
        </is>
      </c>
      <c r="C8180" t="n">
        <v>1</v>
      </c>
      <c r="D8180" t="inlineStr">
        <is>
          <t>Hub C</t>
        </is>
      </c>
      <c r="E8180" t="n">
        <v>31</v>
      </c>
      <c r="F8180" t="n">
        <v>22</v>
      </c>
    </row>
    <row r="8181">
      <c r="A8181" t="inlineStr">
        <is>
          <t>ORD08180</t>
        </is>
      </c>
      <c r="B8181" t="inlineStr">
        <is>
          <t>C0680</t>
        </is>
      </c>
      <c r="C8181" t="n">
        <v>2</v>
      </c>
      <c r="D8181" t="inlineStr">
        <is>
          <t>Hub C</t>
        </is>
      </c>
      <c r="E8181" t="n">
        <v>38</v>
      </c>
      <c r="F8181" t="n">
        <v>22</v>
      </c>
    </row>
    <row r="8182">
      <c r="A8182" t="inlineStr">
        <is>
          <t>ORD08181</t>
        </is>
      </c>
      <c r="B8182" t="inlineStr">
        <is>
          <t>C0681</t>
        </is>
      </c>
      <c r="C8182" t="n">
        <v>3</v>
      </c>
      <c r="D8182" t="inlineStr">
        <is>
          <t>Hub C</t>
        </is>
      </c>
      <c r="E8182" t="n">
        <v>45</v>
      </c>
      <c r="F8182" t="n">
        <v>22</v>
      </c>
    </row>
    <row r="8183">
      <c r="A8183" t="inlineStr">
        <is>
          <t>ORD08182</t>
        </is>
      </c>
      <c r="B8183" t="inlineStr">
        <is>
          <t>C0682</t>
        </is>
      </c>
      <c r="C8183" t="n">
        <v>1</v>
      </c>
      <c r="D8183" t="inlineStr">
        <is>
          <t>Hub C</t>
        </is>
      </c>
      <c r="E8183" t="n">
        <v>52</v>
      </c>
      <c r="F8183" t="n">
        <v>22</v>
      </c>
    </row>
    <row r="8184">
      <c r="A8184" t="inlineStr">
        <is>
          <t>ORD08183</t>
        </is>
      </c>
      <c r="B8184" t="inlineStr">
        <is>
          <t>C0683</t>
        </is>
      </c>
      <c r="C8184" t="n">
        <v>2</v>
      </c>
      <c r="D8184" t="inlineStr">
        <is>
          <t>Hub C</t>
        </is>
      </c>
      <c r="E8184" t="n">
        <v>59</v>
      </c>
      <c r="F8184" t="n">
        <v>22</v>
      </c>
    </row>
    <row r="8185">
      <c r="A8185" t="inlineStr">
        <is>
          <t>ORD08184</t>
        </is>
      </c>
      <c r="B8185" t="inlineStr">
        <is>
          <t>C0684</t>
        </is>
      </c>
      <c r="C8185" t="n">
        <v>3</v>
      </c>
      <c r="D8185" t="inlineStr">
        <is>
          <t>Hub C</t>
        </is>
      </c>
      <c r="E8185" t="n">
        <v>66</v>
      </c>
      <c r="F8185" t="n">
        <v>22</v>
      </c>
    </row>
    <row r="8186">
      <c r="A8186" t="inlineStr">
        <is>
          <t>ORD08185</t>
        </is>
      </c>
      <c r="B8186" t="inlineStr">
        <is>
          <t>C0685</t>
        </is>
      </c>
      <c r="C8186" t="n">
        <v>1</v>
      </c>
      <c r="D8186" t="inlineStr">
        <is>
          <t>Hub C</t>
        </is>
      </c>
      <c r="E8186" t="n">
        <v>73</v>
      </c>
      <c r="F8186" t="n">
        <v>22</v>
      </c>
    </row>
    <row r="8187">
      <c r="A8187" t="inlineStr">
        <is>
          <t>ORD08186</t>
        </is>
      </c>
      <c r="B8187" t="inlineStr">
        <is>
          <t>C0686</t>
        </is>
      </c>
      <c r="C8187" t="n">
        <v>2</v>
      </c>
      <c r="D8187" t="inlineStr">
        <is>
          <t>Hub C</t>
        </is>
      </c>
      <c r="E8187" t="n">
        <v>20</v>
      </c>
      <c r="F8187" t="n">
        <v>22</v>
      </c>
    </row>
    <row r="8188">
      <c r="A8188" t="inlineStr">
        <is>
          <t>ORD08187</t>
        </is>
      </c>
      <c r="B8188" t="inlineStr">
        <is>
          <t>C0687</t>
        </is>
      </c>
      <c r="C8188" t="n">
        <v>3</v>
      </c>
      <c r="D8188" t="inlineStr">
        <is>
          <t>Hub C</t>
        </is>
      </c>
      <c r="E8188" t="n">
        <v>27</v>
      </c>
      <c r="F8188" t="n">
        <v>22</v>
      </c>
    </row>
    <row r="8189">
      <c r="A8189" t="inlineStr">
        <is>
          <t>ORD08188</t>
        </is>
      </c>
      <c r="B8189" t="inlineStr">
        <is>
          <t>C0688</t>
        </is>
      </c>
      <c r="C8189" t="n">
        <v>1</v>
      </c>
      <c r="D8189" t="inlineStr">
        <is>
          <t>Hub C</t>
        </is>
      </c>
      <c r="E8189" t="n">
        <v>34</v>
      </c>
      <c r="F8189" t="n">
        <v>22</v>
      </c>
    </row>
    <row r="8190">
      <c r="A8190" t="inlineStr">
        <is>
          <t>ORD08189</t>
        </is>
      </c>
      <c r="B8190" t="inlineStr">
        <is>
          <t>C0689</t>
        </is>
      </c>
      <c r="C8190" t="n">
        <v>2</v>
      </c>
      <c r="D8190" t="inlineStr">
        <is>
          <t>Hub C</t>
        </is>
      </c>
      <c r="E8190" t="n">
        <v>41</v>
      </c>
      <c r="F8190" t="n">
        <v>22</v>
      </c>
    </row>
    <row r="8191">
      <c r="A8191" t="inlineStr">
        <is>
          <t>ORD08190</t>
        </is>
      </c>
      <c r="B8191" t="inlineStr">
        <is>
          <t>C0690</t>
        </is>
      </c>
      <c r="C8191" t="n">
        <v>3</v>
      </c>
      <c r="D8191" t="inlineStr">
        <is>
          <t>Hub C</t>
        </is>
      </c>
      <c r="E8191" t="n">
        <v>48</v>
      </c>
      <c r="F8191" t="n">
        <v>22</v>
      </c>
    </row>
    <row r="8192">
      <c r="A8192" t="inlineStr">
        <is>
          <t>ORD08191</t>
        </is>
      </c>
      <c r="B8192" t="inlineStr">
        <is>
          <t>C0691</t>
        </is>
      </c>
      <c r="C8192" t="n">
        <v>1</v>
      </c>
      <c r="D8192" t="inlineStr">
        <is>
          <t>Hub C</t>
        </is>
      </c>
      <c r="E8192" t="n">
        <v>55</v>
      </c>
      <c r="F8192" t="n">
        <v>22</v>
      </c>
    </row>
    <row r="8193">
      <c r="A8193" t="inlineStr">
        <is>
          <t>ORD08192</t>
        </is>
      </c>
      <c r="B8193" t="inlineStr">
        <is>
          <t>C0692</t>
        </is>
      </c>
      <c r="C8193" t="n">
        <v>2</v>
      </c>
      <c r="D8193" t="inlineStr">
        <is>
          <t>Hub C</t>
        </is>
      </c>
      <c r="E8193" t="n">
        <v>62</v>
      </c>
      <c r="F8193" t="n">
        <v>22</v>
      </c>
    </row>
    <row r="8194">
      <c r="A8194" t="inlineStr">
        <is>
          <t>ORD08193</t>
        </is>
      </c>
      <c r="B8194" t="inlineStr">
        <is>
          <t>C0693</t>
        </is>
      </c>
      <c r="C8194" t="n">
        <v>3</v>
      </c>
      <c r="D8194" t="inlineStr">
        <is>
          <t>Hub C</t>
        </is>
      </c>
      <c r="E8194" t="n">
        <v>69</v>
      </c>
      <c r="F8194" t="n">
        <v>22</v>
      </c>
    </row>
    <row r="8195">
      <c r="A8195" t="inlineStr">
        <is>
          <t>ORD08194</t>
        </is>
      </c>
      <c r="B8195" t="inlineStr">
        <is>
          <t>C0694</t>
        </is>
      </c>
      <c r="C8195" t="n">
        <v>1</v>
      </c>
      <c r="D8195" t="inlineStr">
        <is>
          <t>Hub C</t>
        </is>
      </c>
      <c r="E8195" t="n">
        <v>76</v>
      </c>
      <c r="F8195" t="n">
        <v>22</v>
      </c>
    </row>
    <row r="8196">
      <c r="A8196" t="inlineStr">
        <is>
          <t>ORD08195</t>
        </is>
      </c>
      <c r="B8196" t="inlineStr">
        <is>
          <t>C0695</t>
        </is>
      </c>
      <c r="C8196" t="n">
        <v>2</v>
      </c>
      <c r="D8196" t="inlineStr">
        <is>
          <t>Hub C</t>
        </is>
      </c>
      <c r="E8196" t="n">
        <v>23</v>
      </c>
      <c r="F8196" t="n">
        <v>22</v>
      </c>
    </row>
    <row r="8197">
      <c r="A8197" t="inlineStr">
        <is>
          <t>ORD08196</t>
        </is>
      </c>
      <c r="B8197" t="inlineStr">
        <is>
          <t>C0696</t>
        </is>
      </c>
      <c r="C8197" t="n">
        <v>3</v>
      </c>
      <c r="D8197" t="inlineStr">
        <is>
          <t>Hub C</t>
        </is>
      </c>
      <c r="E8197" t="n">
        <v>30</v>
      </c>
      <c r="F8197" t="n">
        <v>22</v>
      </c>
    </row>
    <row r="8198">
      <c r="A8198" t="inlineStr">
        <is>
          <t>ORD08197</t>
        </is>
      </c>
      <c r="B8198" t="inlineStr">
        <is>
          <t>C0697</t>
        </is>
      </c>
      <c r="C8198" t="n">
        <v>1</v>
      </c>
      <c r="D8198" t="inlineStr">
        <is>
          <t>Hub C</t>
        </is>
      </c>
      <c r="E8198" t="n">
        <v>37</v>
      </c>
      <c r="F8198" t="n">
        <v>22</v>
      </c>
    </row>
    <row r="8199">
      <c r="A8199" t="inlineStr">
        <is>
          <t>ORD08198</t>
        </is>
      </c>
      <c r="B8199" t="inlineStr">
        <is>
          <t>C0698</t>
        </is>
      </c>
      <c r="C8199" t="n">
        <v>2</v>
      </c>
      <c r="D8199" t="inlineStr">
        <is>
          <t>Hub C</t>
        </is>
      </c>
      <c r="E8199" t="n">
        <v>44</v>
      </c>
      <c r="F8199" t="n">
        <v>22</v>
      </c>
    </row>
    <row r="8200">
      <c r="A8200" t="inlineStr">
        <is>
          <t>ORD08199</t>
        </is>
      </c>
      <c r="B8200" t="inlineStr">
        <is>
          <t>C0699</t>
        </is>
      </c>
      <c r="C8200" t="n">
        <v>3</v>
      </c>
      <c r="D8200" t="inlineStr">
        <is>
          <t>Hub C</t>
        </is>
      </c>
      <c r="E8200" t="n">
        <v>51</v>
      </c>
      <c r="F8200" t="n">
        <v>22</v>
      </c>
    </row>
    <row r="8201">
      <c r="A8201" t="inlineStr">
        <is>
          <t>ORD08200</t>
        </is>
      </c>
      <c r="B8201" t="inlineStr">
        <is>
          <t>C0700</t>
        </is>
      </c>
      <c r="C8201" t="n">
        <v>1</v>
      </c>
      <c r="D8201" t="inlineStr">
        <is>
          <t>Hub C</t>
        </is>
      </c>
      <c r="E8201" t="n">
        <v>58</v>
      </c>
      <c r="F8201" t="n">
        <v>22</v>
      </c>
    </row>
    <row r="8202">
      <c r="A8202" t="inlineStr">
        <is>
          <t>ORD08201</t>
        </is>
      </c>
      <c r="B8202" t="inlineStr">
        <is>
          <t>C0701</t>
        </is>
      </c>
      <c r="C8202" t="n">
        <v>2</v>
      </c>
      <c r="D8202" t="inlineStr">
        <is>
          <t>Hub C</t>
        </is>
      </c>
      <c r="E8202" t="n">
        <v>65</v>
      </c>
      <c r="F8202" t="n">
        <v>22</v>
      </c>
    </row>
    <row r="8203">
      <c r="A8203" t="inlineStr">
        <is>
          <t>ORD08202</t>
        </is>
      </c>
      <c r="B8203" t="inlineStr">
        <is>
          <t>C0702</t>
        </is>
      </c>
      <c r="C8203" t="n">
        <v>3</v>
      </c>
      <c r="D8203" t="inlineStr">
        <is>
          <t>Hub C</t>
        </is>
      </c>
      <c r="E8203" t="n">
        <v>72</v>
      </c>
      <c r="F8203" t="n">
        <v>22</v>
      </c>
    </row>
    <row r="8204">
      <c r="A8204" t="inlineStr">
        <is>
          <t>ORD08203</t>
        </is>
      </c>
      <c r="B8204" t="inlineStr">
        <is>
          <t>C0703</t>
        </is>
      </c>
      <c r="C8204" t="n">
        <v>1</v>
      </c>
      <c r="D8204" t="inlineStr">
        <is>
          <t>Hub C</t>
        </is>
      </c>
      <c r="E8204" t="n">
        <v>19</v>
      </c>
      <c r="F8204" t="n">
        <v>22</v>
      </c>
    </row>
    <row r="8205">
      <c r="A8205" t="inlineStr">
        <is>
          <t>ORD08204</t>
        </is>
      </c>
      <c r="B8205" t="inlineStr">
        <is>
          <t>C0704</t>
        </is>
      </c>
      <c r="C8205" t="n">
        <v>2</v>
      </c>
      <c r="D8205" t="inlineStr">
        <is>
          <t>Hub C</t>
        </is>
      </c>
      <c r="E8205" t="n">
        <v>26</v>
      </c>
      <c r="F8205" t="n">
        <v>22</v>
      </c>
    </row>
    <row r="8206">
      <c r="A8206" t="inlineStr">
        <is>
          <t>ORD08205</t>
        </is>
      </c>
      <c r="B8206" t="inlineStr">
        <is>
          <t>C0705</t>
        </is>
      </c>
      <c r="C8206" t="n">
        <v>3</v>
      </c>
      <c r="D8206" t="inlineStr">
        <is>
          <t>Hub C</t>
        </is>
      </c>
      <c r="E8206" t="n">
        <v>33</v>
      </c>
      <c r="F8206" t="n">
        <v>22</v>
      </c>
    </row>
    <row r="8207">
      <c r="A8207" t="inlineStr">
        <is>
          <t>ORD08206</t>
        </is>
      </c>
      <c r="B8207" t="inlineStr">
        <is>
          <t>C0706</t>
        </is>
      </c>
      <c r="C8207" t="n">
        <v>1</v>
      </c>
      <c r="D8207" t="inlineStr">
        <is>
          <t>Hub C</t>
        </is>
      </c>
      <c r="E8207" t="n">
        <v>40</v>
      </c>
      <c r="F8207" t="n">
        <v>22</v>
      </c>
    </row>
    <row r="8208">
      <c r="A8208" t="inlineStr">
        <is>
          <t>ORD08207</t>
        </is>
      </c>
      <c r="B8208" t="inlineStr">
        <is>
          <t>C0707</t>
        </is>
      </c>
      <c r="C8208" t="n">
        <v>2</v>
      </c>
      <c r="D8208" t="inlineStr">
        <is>
          <t>Hub C</t>
        </is>
      </c>
      <c r="E8208" t="n">
        <v>47</v>
      </c>
      <c r="F8208" t="n">
        <v>22</v>
      </c>
    </row>
    <row r="8209">
      <c r="A8209" t="inlineStr">
        <is>
          <t>ORD08208</t>
        </is>
      </c>
      <c r="B8209" t="inlineStr">
        <is>
          <t>C0708</t>
        </is>
      </c>
      <c r="C8209" t="n">
        <v>3</v>
      </c>
      <c r="D8209" t="inlineStr">
        <is>
          <t>Hub C</t>
        </is>
      </c>
      <c r="E8209" t="n">
        <v>54</v>
      </c>
      <c r="F8209" t="n">
        <v>22</v>
      </c>
    </row>
    <row r="8210">
      <c r="A8210" t="inlineStr">
        <is>
          <t>ORD08209</t>
        </is>
      </c>
      <c r="B8210" t="inlineStr">
        <is>
          <t>C0709</t>
        </is>
      </c>
      <c r="C8210" t="n">
        <v>1</v>
      </c>
      <c r="D8210" t="inlineStr">
        <is>
          <t>Hub C</t>
        </is>
      </c>
      <c r="E8210" t="n">
        <v>61</v>
      </c>
      <c r="F8210" t="n">
        <v>22</v>
      </c>
    </row>
    <row r="8211">
      <c r="A8211" t="inlineStr">
        <is>
          <t>ORD08210</t>
        </is>
      </c>
      <c r="B8211" t="inlineStr">
        <is>
          <t>C0710</t>
        </is>
      </c>
      <c r="C8211" t="n">
        <v>2</v>
      </c>
      <c r="D8211" t="inlineStr">
        <is>
          <t>Hub C</t>
        </is>
      </c>
      <c r="E8211" t="n">
        <v>68</v>
      </c>
      <c r="F8211" t="n">
        <v>22</v>
      </c>
    </row>
    <row r="8212">
      <c r="A8212" t="inlineStr">
        <is>
          <t>ORD08211</t>
        </is>
      </c>
      <c r="B8212" t="inlineStr">
        <is>
          <t>C0711</t>
        </is>
      </c>
      <c r="C8212" t="n">
        <v>3</v>
      </c>
      <c r="D8212" t="inlineStr">
        <is>
          <t>Hub C</t>
        </is>
      </c>
      <c r="E8212" t="n">
        <v>75</v>
      </c>
      <c r="F8212" t="n">
        <v>22</v>
      </c>
    </row>
    <row r="8213">
      <c r="A8213" t="inlineStr">
        <is>
          <t>ORD08212</t>
        </is>
      </c>
      <c r="B8213" t="inlineStr">
        <is>
          <t>C0712</t>
        </is>
      </c>
      <c r="C8213" t="n">
        <v>1</v>
      </c>
      <c r="D8213" t="inlineStr">
        <is>
          <t>Hub C</t>
        </is>
      </c>
      <c r="E8213" t="n">
        <v>22</v>
      </c>
      <c r="F8213" t="n">
        <v>22</v>
      </c>
    </row>
    <row r="8214">
      <c r="A8214" t="inlineStr">
        <is>
          <t>ORD08213</t>
        </is>
      </c>
      <c r="B8214" t="inlineStr">
        <is>
          <t>C0713</t>
        </is>
      </c>
      <c r="C8214" t="n">
        <v>2</v>
      </c>
      <c r="D8214" t="inlineStr">
        <is>
          <t>Hub C</t>
        </is>
      </c>
      <c r="E8214" t="n">
        <v>29</v>
      </c>
      <c r="F8214" t="n">
        <v>22</v>
      </c>
    </row>
    <row r="8215">
      <c r="A8215" t="inlineStr">
        <is>
          <t>ORD08214</t>
        </is>
      </c>
      <c r="B8215" t="inlineStr">
        <is>
          <t>C0714</t>
        </is>
      </c>
      <c r="C8215" t="n">
        <v>3</v>
      </c>
      <c r="D8215" t="inlineStr">
        <is>
          <t>Hub C</t>
        </is>
      </c>
      <c r="E8215" t="n">
        <v>36</v>
      </c>
      <c r="F8215" t="n">
        <v>22</v>
      </c>
    </row>
    <row r="8216">
      <c r="A8216" t="inlineStr">
        <is>
          <t>ORD08215</t>
        </is>
      </c>
      <c r="B8216" t="inlineStr">
        <is>
          <t>C0715</t>
        </is>
      </c>
      <c r="C8216" t="n">
        <v>1</v>
      </c>
      <c r="D8216" t="inlineStr">
        <is>
          <t>Hub C</t>
        </is>
      </c>
      <c r="E8216" t="n">
        <v>43</v>
      </c>
      <c r="F8216" t="n">
        <v>22</v>
      </c>
    </row>
    <row r="8217">
      <c r="A8217" t="inlineStr">
        <is>
          <t>ORD08216</t>
        </is>
      </c>
      <c r="B8217" t="inlineStr">
        <is>
          <t>C0716</t>
        </is>
      </c>
      <c r="C8217" t="n">
        <v>2</v>
      </c>
      <c r="D8217" t="inlineStr">
        <is>
          <t>Hub C</t>
        </is>
      </c>
      <c r="E8217" t="n">
        <v>50</v>
      </c>
      <c r="F8217" t="n">
        <v>22</v>
      </c>
    </row>
    <row r="8218">
      <c r="A8218" t="inlineStr">
        <is>
          <t>ORD08217</t>
        </is>
      </c>
      <c r="B8218" t="inlineStr">
        <is>
          <t>C0717</t>
        </is>
      </c>
      <c r="C8218" t="n">
        <v>3</v>
      </c>
      <c r="D8218" t="inlineStr">
        <is>
          <t>Hub C</t>
        </is>
      </c>
      <c r="E8218" t="n">
        <v>57</v>
      </c>
      <c r="F8218" t="n">
        <v>22</v>
      </c>
    </row>
    <row r="8219">
      <c r="A8219" t="inlineStr">
        <is>
          <t>ORD08218</t>
        </is>
      </c>
      <c r="B8219" t="inlineStr">
        <is>
          <t>C0718</t>
        </is>
      </c>
      <c r="C8219" t="n">
        <v>1</v>
      </c>
      <c r="D8219" t="inlineStr">
        <is>
          <t>Hub C</t>
        </is>
      </c>
      <c r="E8219" t="n">
        <v>64</v>
      </c>
      <c r="F8219" t="n">
        <v>22</v>
      </c>
    </row>
    <row r="8220">
      <c r="A8220" t="inlineStr">
        <is>
          <t>ORD08219</t>
        </is>
      </c>
      <c r="B8220" t="inlineStr">
        <is>
          <t>C0719</t>
        </is>
      </c>
      <c r="C8220" t="n">
        <v>2</v>
      </c>
      <c r="D8220" t="inlineStr">
        <is>
          <t>Hub C</t>
        </is>
      </c>
      <c r="E8220" t="n">
        <v>71</v>
      </c>
      <c r="F8220" t="n">
        <v>22</v>
      </c>
    </row>
    <row r="8221">
      <c r="A8221" t="inlineStr">
        <is>
          <t>ORD08220</t>
        </is>
      </c>
      <c r="B8221" t="inlineStr">
        <is>
          <t>C0720</t>
        </is>
      </c>
      <c r="C8221" t="n">
        <v>3</v>
      </c>
      <c r="D8221" t="inlineStr">
        <is>
          <t>Hub C</t>
        </is>
      </c>
      <c r="E8221" t="n">
        <v>18</v>
      </c>
      <c r="F8221" t="n">
        <v>22</v>
      </c>
    </row>
    <row r="8222">
      <c r="A8222" t="inlineStr">
        <is>
          <t>ORD08221</t>
        </is>
      </c>
      <c r="B8222" t="inlineStr">
        <is>
          <t>C0721</t>
        </is>
      </c>
      <c r="C8222" t="n">
        <v>1</v>
      </c>
      <c r="D8222" t="inlineStr">
        <is>
          <t>Hub C</t>
        </is>
      </c>
      <c r="E8222" t="n">
        <v>25</v>
      </c>
      <c r="F8222" t="n">
        <v>22</v>
      </c>
    </row>
    <row r="8223">
      <c r="A8223" t="inlineStr">
        <is>
          <t>ORD08222</t>
        </is>
      </c>
      <c r="B8223" t="inlineStr">
        <is>
          <t>C0722</t>
        </is>
      </c>
      <c r="C8223" t="n">
        <v>2</v>
      </c>
      <c r="D8223" t="inlineStr">
        <is>
          <t>Hub C</t>
        </is>
      </c>
      <c r="E8223" t="n">
        <v>32</v>
      </c>
      <c r="F8223" t="n">
        <v>22</v>
      </c>
    </row>
    <row r="8224">
      <c r="A8224" t="inlineStr">
        <is>
          <t>ORD08223</t>
        </is>
      </c>
      <c r="B8224" t="inlineStr">
        <is>
          <t>C0723</t>
        </is>
      </c>
      <c r="C8224" t="n">
        <v>3</v>
      </c>
      <c r="D8224" t="inlineStr">
        <is>
          <t>Hub C</t>
        </is>
      </c>
      <c r="E8224" t="n">
        <v>39</v>
      </c>
      <c r="F8224" t="n">
        <v>22</v>
      </c>
    </row>
    <row r="8225">
      <c r="A8225" t="inlineStr">
        <is>
          <t>ORD08224</t>
        </is>
      </c>
      <c r="B8225" t="inlineStr">
        <is>
          <t>C0724</t>
        </is>
      </c>
      <c r="C8225" t="n">
        <v>1</v>
      </c>
      <c r="D8225" t="inlineStr">
        <is>
          <t>Hub C</t>
        </is>
      </c>
      <c r="E8225" t="n">
        <v>46</v>
      </c>
      <c r="F8225" t="n">
        <v>22</v>
      </c>
    </row>
    <row r="8226">
      <c r="A8226" t="inlineStr">
        <is>
          <t>ORD08225</t>
        </is>
      </c>
      <c r="B8226" t="inlineStr">
        <is>
          <t>C0725</t>
        </is>
      </c>
      <c r="C8226" t="n">
        <v>2</v>
      </c>
      <c r="D8226" t="inlineStr">
        <is>
          <t>Hub C</t>
        </is>
      </c>
      <c r="E8226" t="n">
        <v>53</v>
      </c>
      <c r="F8226" t="n">
        <v>22</v>
      </c>
    </row>
    <row r="8227">
      <c r="A8227" t="inlineStr">
        <is>
          <t>ORD08226</t>
        </is>
      </c>
      <c r="B8227" t="inlineStr">
        <is>
          <t>C0726</t>
        </is>
      </c>
      <c r="C8227" t="n">
        <v>3</v>
      </c>
      <c r="D8227" t="inlineStr">
        <is>
          <t>Hub C</t>
        </is>
      </c>
      <c r="E8227" t="n">
        <v>60</v>
      </c>
      <c r="F8227" t="n">
        <v>22</v>
      </c>
    </row>
    <row r="8228">
      <c r="A8228" t="inlineStr">
        <is>
          <t>ORD08227</t>
        </is>
      </c>
      <c r="B8228" t="inlineStr">
        <is>
          <t>C0727</t>
        </is>
      </c>
      <c r="C8228" t="n">
        <v>1</v>
      </c>
      <c r="D8228" t="inlineStr">
        <is>
          <t>Hub C</t>
        </is>
      </c>
      <c r="E8228" t="n">
        <v>67</v>
      </c>
      <c r="F8228" t="n">
        <v>22</v>
      </c>
    </row>
    <row r="8229">
      <c r="A8229" t="inlineStr">
        <is>
          <t>ORD08228</t>
        </is>
      </c>
      <c r="B8229" t="inlineStr">
        <is>
          <t>C0728</t>
        </is>
      </c>
      <c r="C8229" t="n">
        <v>2</v>
      </c>
      <c r="D8229" t="inlineStr">
        <is>
          <t>Hub C</t>
        </is>
      </c>
      <c r="E8229" t="n">
        <v>74</v>
      </c>
      <c r="F8229" t="n">
        <v>22</v>
      </c>
    </row>
    <row r="8230">
      <c r="A8230" t="inlineStr">
        <is>
          <t>ORD08229</t>
        </is>
      </c>
      <c r="B8230" t="inlineStr">
        <is>
          <t>C0729</t>
        </is>
      </c>
      <c r="C8230" t="n">
        <v>3</v>
      </c>
      <c r="D8230" t="inlineStr">
        <is>
          <t>Hub C</t>
        </is>
      </c>
      <c r="E8230" t="n">
        <v>21</v>
      </c>
      <c r="F8230" t="n">
        <v>22</v>
      </c>
    </row>
    <row r="8231">
      <c r="A8231" t="inlineStr">
        <is>
          <t>ORD08230</t>
        </is>
      </c>
      <c r="B8231" t="inlineStr">
        <is>
          <t>C0730</t>
        </is>
      </c>
      <c r="C8231" t="n">
        <v>1</v>
      </c>
      <c r="D8231" t="inlineStr">
        <is>
          <t>Hub C</t>
        </is>
      </c>
      <c r="E8231" t="n">
        <v>28</v>
      </c>
      <c r="F8231" t="n">
        <v>22</v>
      </c>
    </row>
    <row r="8232">
      <c r="A8232" t="inlineStr">
        <is>
          <t>ORD08231</t>
        </is>
      </c>
      <c r="B8232" t="inlineStr">
        <is>
          <t>C0731</t>
        </is>
      </c>
      <c r="C8232" t="n">
        <v>2</v>
      </c>
      <c r="D8232" t="inlineStr">
        <is>
          <t>Hub C</t>
        </is>
      </c>
      <c r="E8232" t="n">
        <v>35</v>
      </c>
      <c r="F8232" t="n">
        <v>22</v>
      </c>
    </row>
    <row r="8233">
      <c r="A8233" t="inlineStr">
        <is>
          <t>ORD08232</t>
        </is>
      </c>
      <c r="B8233" t="inlineStr">
        <is>
          <t>C0732</t>
        </is>
      </c>
      <c r="C8233" t="n">
        <v>3</v>
      </c>
      <c r="D8233" t="inlineStr">
        <is>
          <t>Hub C</t>
        </is>
      </c>
      <c r="E8233" t="n">
        <v>42</v>
      </c>
      <c r="F8233" t="n">
        <v>22</v>
      </c>
    </row>
    <row r="8234">
      <c r="A8234" t="inlineStr">
        <is>
          <t>ORD08233</t>
        </is>
      </c>
      <c r="B8234" t="inlineStr">
        <is>
          <t>C0733</t>
        </is>
      </c>
      <c r="C8234" t="n">
        <v>1</v>
      </c>
      <c r="D8234" t="inlineStr">
        <is>
          <t>Hub C</t>
        </is>
      </c>
      <c r="E8234" t="n">
        <v>49</v>
      </c>
      <c r="F8234" t="n">
        <v>22</v>
      </c>
    </row>
    <row r="8235">
      <c r="A8235" t="inlineStr">
        <is>
          <t>ORD08234</t>
        </is>
      </c>
      <c r="B8235" t="inlineStr">
        <is>
          <t>C0734</t>
        </is>
      </c>
      <c r="C8235" t="n">
        <v>2</v>
      </c>
      <c r="D8235" t="inlineStr">
        <is>
          <t>Hub C</t>
        </is>
      </c>
      <c r="E8235" t="n">
        <v>56</v>
      </c>
      <c r="F8235" t="n">
        <v>22</v>
      </c>
    </row>
    <row r="8236">
      <c r="A8236" t="inlineStr">
        <is>
          <t>ORD08235</t>
        </is>
      </c>
      <c r="B8236" t="inlineStr">
        <is>
          <t>C0735</t>
        </is>
      </c>
      <c r="C8236" t="n">
        <v>3</v>
      </c>
      <c r="D8236" t="inlineStr">
        <is>
          <t>Hub C</t>
        </is>
      </c>
      <c r="E8236" t="n">
        <v>63</v>
      </c>
      <c r="F8236" t="n">
        <v>22</v>
      </c>
    </row>
    <row r="8237">
      <c r="A8237" t="inlineStr">
        <is>
          <t>ORD08236</t>
        </is>
      </c>
      <c r="B8237" t="inlineStr">
        <is>
          <t>C0736</t>
        </is>
      </c>
      <c r="C8237" t="n">
        <v>1</v>
      </c>
      <c r="D8237" t="inlineStr">
        <is>
          <t>Hub C</t>
        </is>
      </c>
      <c r="E8237" t="n">
        <v>70</v>
      </c>
      <c r="F8237" t="n">
        <v>22</v>
      </c>
    </row>
    <row r="8238">
      <c r="A8238" t="inlineStr">
        <is>
          <t>ORD08237</t>
        </is>
      </c>
      <c r="B8238" t="inlineStr">
        <is>
          <t>C0737</t>
        </is>
      </c>
      <c r="C8238" t="n">
        <v>2</v>
      </c>
      <c r="D8238" t="inlineStr">
        <is>
          <t>Hub C</t>
        </is>
      </c>
      <c r="E8238" t="n">
        <v>77</v>
      </c>
      <c r="F8238" t="n">
        <v>22</v>
      </c>
    </row>
    <row r="8239">
      <c r="A8239" t="inlineStr">
        <is>
          <t>ORD08238</t>
        </is>
      </c>
      <c r="B8239" t="inlineStr">
        <is>
          <t>C0738</t>
        </is>
      </c>
      <c r="C8239" t="n">
        <v>3</v>
      </c>
      <c r="D8239" t="inlineStr">
        <is>
          <t>Hub C</t>
        </is>
      </c>
      <c r="E8239" t="n">
        <v>24</v>
      </c>
      <c r="F8239" t="n">
        <v>22</v>
      </c>
    </row>
    <row r="8240">
      <c r="A8240" t="inlineStr">
        <is>
          <t>ORD08239</t>
        </is>
      </c>
      <c r="B8240" t="inlineStr">
        <is>
          <t>C0739</t>
        </is>
      </c>
      <c r="C8240" t="n">
        <v>1</v>
      </c>
      <c r="D8240" t="inlineStr">
        <is>
          <t>Hub C</t>
        </is>
      </c>
      <c r="E8240" t="n">
        <v>31</v>
      </c>
      <c r="F8240" t="n">
        <v>22</v>
      </c>
    </row>
    <row r="8241">
      <c r="A8241" t="inlineStr">
        <is>
          <t>ORD08240</t>
        </is>
      </c>
      <c r="B8241" t="inlineStr">
        <is>
          <t>C0740</t>
        </is>
      </c>
      <c r="C8241" t="n">
        <v>2</v>
      </c>
      <c r="D8241" t="inlineStr">
        <is>
          <t>Hub C</t>
        </is>
      </c>
      <c r="E8241" t="n">
        <v>38</v>
      </c>
      <c r="F8241" t="n">
        <v>22</v>
      </c>
    </row>
    <row r="8242">
      <c r="A8242" t="inlineStr">
        <is>
          <t>ORD08241</t>
        </is>
      </c>
      <c r="B8242" t="inlineStr">
        <is>
          <t>C0741</t>
        </is>
      </c>
      <c r="C8242" t="n">
        <v>3</v>
      </c>
      <c r="D8242" t="inlineStr">
        <is>
          <t>Hub C</t>
        </is>
      </c>
      <c r="E8242" t="n">
        <v>45</v>
      </c>
      <c r="F8242" t="n">
        <v>22</v>
      </c>
    </row>
    <row r="8243">
      <c r="A8243" t="inlineStr">
        <is>
          <t>ORD08242</t>
        </is>
      </c>
      <c r="B8243" t="inlineStr">
        <is>
          <t>C0742</t>
        </is>
      </c>
      <c r="C8243" t="n">
        <v>1</v>
      </c>
      <c r="D8243" t="inlineStr">
        <is>
          <t>Hub C</t>
        </is>
      </c>
      <c r="E8243" t="n">
        <v>52</v>
      </c>
      <c r="F8243" t="n">
        <v>22</v>
      </c>
    </row>
    <row r="8244">
      <c r="A8244" t="inlineStr">
        <is>
          <t>ORD08243</t>
        </is>
      </c>
      <c r="B8244" t="inlineStr">
        <is>
          <t>C0743</t>
        </is>
      </c>
      <c r="C8244" t="n">
        <v>2</v>
      </c>
      <c r="D8244" t="inlineStr">
        <is>
          <t>Hub C</t>
        </is>
      </c>
      <c r="E8244" t="n">
        <v>59</v>
      </c>
      <c r="F8244" t="n">
        <v>22</v>
      </c>
    </row>
    <row r="8245">
      <c r="A8245" t="inlineStr">
        <is>
          <t>ORD08244</t>
        </is>
      </c>
      <c r="B8245" t="inlineStr">
        <is>
          <t>C0744</t>
        </is>
      </c>
      <c r="C8245" t="n">
        <v>3</v>
      </c>
      <c r="D8245" t="inlineStr">
        <is>
          <t>Hub C</t>
        </is>
      </c>
      <c r="E8245" t="n">
        <v>66</v>
      </c>
      <c r="F8245" t="n">
        <v>22</v>
      </c>
    </row>
    <row r="8246">
      <c r="A8246" t="inlineStr">
        <is>
          <t>ORD08245</t>
        </is>
      </c>
      <c r="B8246" t="inlineStr">
        <is>
          <t>C0745</t>
        </is>
      </c>
      <c r="C8246" t="n">
        <v>1</v>
      </c>
      <c r="D8246" t="inlineStr">
        <is>
          <t>Hub C</t>
        </is>
      </c>
      <c r="E8246" t="n">
        <v>73</v>
      </c>
      <c r="F8246" t="n">
        <v>22</v>
      </c>
    </row>
    <row r="8247">
      <c r="A8247" t="inlineStr">
        <is>
          <t>ORD08246</t>
        </is>
      </c>
      <c r="B8247" t="inlineStr">
        <is>
          <t>C0746</t>
        </is>
      </c>
      <c r="C8247" t="n">
        <v>2</v>
      </c>
      <c r="D8247" t="inlineStr">
        <is>
          <t>Hub C</t>
        </is>
      </c>
      <c r="E8247" t="n">
        <v>20</v>
      </c>
      <c r="F8247" t="n">
        <v>22</v>
      </c>
    </row>
    <row r="8248">
      <c r="A8248" t="inlineStr">
        <is>
          <t>ORD08247</t>
        </is>
      </c>
      <c r="B8248" t="inlineStr">
        <is>
          <t>C0747</t>
        </is>
      </c>
      <c r="C8248" t="n">
        <v>3</v>
      </c>
      <c r="D8248" t="inlineStr">
        <is>
          <t>Hub C</t>
        </is>
      </c>
      <c r="E8248" t="n">
        <v>27</v>
      </c>
      <c r="F8248" t="n">
        <v>22</v>
      </c>
    </row>
    <row r="8249">
      <c r="A8249" t="inlineStr">
        <is>
          <t>ORD08248</t>
        </is>
      </c>
      <c r="B8249" t="inlineStr">
        <is>
          <t>C0748</t>
        </is>
      </c>
      <c r="C8249" t="n">
        <v>1</v>
      </c>
      <c r="D8249" t="inlineStr">
        <is>
          <t>Hub C</t>
        </is>
      </c>
      <c r="E8249" t="n">
        <v>34</v>
      </c>
      <c r="F8249" t="n">
        <v>22</v>
      </c>
    </row>
    <row r="8250">
      <c r="A8250" t="inlineStr">
        <is>
          <t>ORD08249</t>
        </is>
      </c>
      <c r="B8250" t="inlineStr">
        <is>
          <t>C0749</t>
        </is>
      </c>
      <c r="C8250" t="n">
        <v>2</v>
      </c>
      <c r="D8250" t="inlineStr">
        <is>
          <t>Hub C</t>
        </is>
      </c>
      <c r="E8250" t="n">
        <v>41</v>
      </c>
      <c r="F8250" t="n">
        <v>22</v>
      </c>
    </row>
    <row r="8251">
      <c r="A8251" t="inlineStr">
        <is>
          <t>ORD08250</t>
        </is>
      </c>
      <c r="B8251" t="inlineStr">
        <is>
          <t>C0750</t>
        </is>
      </c>
      <c r="C8251" t="n">
        <v>3</v>
      </c>
      <c r="D8251" t="inlineStr">
        <is>
          <t>Hub C</t>
        </is>
      </c>
      <c r="E8251" t="n">
        <v>48</v>
      </c>
      <c r="F8251" t="n">
        <v>22</v>
      </c>
    </row>
    <row r="8252">
      <c r="A8252" t="inlineStr">
        <is>
          <t>ORD08251</t>
        </is>
      </c>
      <c r="B8252" t="inlineStr">
        <is>
          <t>C0751</t>
        </is>
      </c>
      <c r="C8252" t="n">
        <v>1</v>
      </c>
      <c r="D8252" t="inlineStr">
        <is>
          <t>Hub C</t>
        </is>
      </c>
      <c r="E8252" t="n">
        <v>55</v>
      </c>
      <c r="F8252" t="n">
        <v>22</v>
      </c>
    </row>
    <row r="8253">
      <c r="A8253" t="inlineStr">
        <is>
          <t>ORD08252</t>
        </is>
      </c>
      <c r="B8253" t="inlineStr">
        <is>
          <t>C0752</t>
        </is>
      </c>
      <c r="C8253" t="n">
        <v>2</v>
      </c>
      <c r="D8253" t="inlineStr">
        <is>
          <t>Hub C</t>
        </is>
      </c>
      <c r="E8253" t="n">
        <v>62</v>
      </c>
      <c r="F8253" t="n">
        <v>22</v>
      </c>
    </row>
    <row r="8254">
      <c r="A8254" t="inlineStr">
        <is>
          <t>ORD08253</t>
        </is>
      </c>
      <c r="B8254" t="inlineStr">
        <is>
          <t>C0753</t>
        </is>
      </c>
      <c r="C8254" t="n">
        <v>3</v>
      </c>
      <c r="D8254" t="inlineStr">
        <is>
          <t>Hub C</t>
        </is>
      </c>
      <c r="E8254" t="n">
        <v>69</v>
      </c>
      <c r="F8254" t="n">
        <v>22</v>
      </c>
    </row>
    <row r="8255">
      <c r="A8255" t="inlineStr">
        <is>
          <t>ORD08254</t>
        </is>
      </c>
      <c r="B8255" t="inlineStr">
        <is>
          <t>C0754</t>
        </is>
      </c>
      <c r="C8255" t="n">
        <v>1</v>
      </c>
      <c r="D8255" t="inlineStr">
        <is>
          <t>Hub C</t>
        </is>
      </c>
      <c r="E8255" t="n">
        <v>76</v>
      </c>
      <c r="F8255" t="n">
        <v>22</v>
      </c>
    </row>
    <row r="8256">
      <c r="A8256" t="inlineStr">
        <is>
          <t>ORD08255</t>
        </is>
      </c>
      <c r="B8256" t="inlineStr">
        <is>
          <t>C0755</t>
        </is>
      </c>
      <c r="C8256" t="n">
        <v>2</v>
      </c>
      <c r="D8256" t="inlineStr">
        <is>
          <t>Hub C</t>
        </is>
      </c>
      <c r="E8256" t="n">
        <v>23</v>
      </c>
      <c r="F8256" t="n">
        <v>22</v>
      </c>
    </row>
    <row r="8257">
      <c r="A8257" t="inlineStr">
        <is>
          <t>ORD08256</t>
        </is>
      </c>
      <c r="B8257" t="inlineStr">
        <is>
          <t>C0756</t>
        </is>
      </c>
      <c r="C8257" t="n">
        <v>3</v>
      </c>
      <c r="D8257" t="inlineStr">
        <is>
          <t>Hub C</t>
        </is>
      </c>
      <c r="E8257" t="n">
        <v>30</v>
      </c>
      <c r="F8257" t="n">
        <v>22</v>
      </c>
    </row>
    <row r="8258">
      <c r="A8258" t="inlineStr">
        <is>
          <t>ORD08257</t>
        </is>
      </c>
      <c r="B8258" t="inlineStr">
        <is>
          <t>C0757</t>
        </is>
      </c>
      <c r="C8258" t="n">
        <v>1</v>
      </c>
      <c r="D8258" t="inlineStr">
        <is>
          <t>Hub C</t>
        </is>
      </c>
      <c r="E8258" t="n">
        <v>37</v>
      </c>
      <c r="F8258" t="n">
        <v>22</v>
      </c>
    </row>
    <row r="8259">
      <c r="A8259" t="inlineStr">
        <is>
          <t>ORD08258</t>
        </is>
      </c>
      <c r="B8259" t="inlineStr">
        <is>
          <t>C0758</t>
        </is>
      </c>
      <c r="C8259" t="n">
        <v>2</v>
      </c>
      <c r="D8259" t="inlineStr">
        <is>
          <t>Hub C</t>
        </is>
      </c>
      <c r="E8259" t="n">
        <v>44</v>
      </c>
      <c r="F8259" t="n">
        <v>22</v>
      </c>
    </row>
    <row r="8260">
      <c r="A8260" t="inlineStr">
        <is>
          <t>ORD08259</t>
        </is>
      </c>
      <c r="B8260" t="inlineStr">
        <is>
          <t>C0759</t>
        </is>
      </c>
      <c r="C8260" t="n">
        <v>3</v>
      </c>
      <c r="D8260" t="inlineStr">
        <is>
          <t>Hub C</t>
        </is>
      </c>
      <c r="E8260" t="n">
        <v>51</v>
      </c>
      <c r="F8260" t="n">
        <v>22</v>
      </c>
    </row>
    <row r="8261">
      <c r="A8261" t="inlineStr">
        <is>
          <t>ORD08260</t>
        </is>
      </c>
      <c r="B8261" t="inlineStr">
        <is>
          <t>C0760</t>
        </is>
      </c>
      <c r="C8261" t="n">
        <v>1</v>
      </c>
      <c r="D8261" t="inlineStr">
        <is>
          <t>Hub C</t>
        </is>
      </c>
      <c r="E8261" t="n">
        <v>58</v>
      </c>
      <c r="F8261" t="n">
        <v>22</v>
      </c>
    </row>
    <row r="8262">
      <c r="A8262" t="inlineStr">
        <is>
          <t>ORD08261</t>
        </is>
      </c>
      <c r="B8262" t="inlineStr">
        <is>
          <t>C0761</t>
        </is>
      </c>
      <c r="C8262" t="n">
        <v>2</v>
      </c>
      <c r="D8262" t="inlineStr">
        <is>
          <t>Hub C</t>
        </is>
      </c>
      <c r="E8262" t="n">
        <v>65</v>
      </c>
      <c r="F8262" t="n">
        <v>22</v>
      </c>
    </row>
    <row r="8263">
      <c r="A8263" t="inlineStr">
        <is>
          <t>ORD08262</t>
        </is>
      </c>
      <c r="B8263" t="inlineStr">
        <is>
          <t>C0762</t>
        </is>
      </c>
      <c r="C8263" t="n">
        <v>3</v>
      </c>
      <c r="D8263" t="inlineStr">
        <is>
          <t>Hub C</t>
        </is>
      </c>
      <c r="E8263" t="n">
        <v>72</v>
      </c>
      <c r="F8263" t="n">
        <v>22</v>
      </c>
    </row>
    <row r="8264">
      <c r="A8264" t="inlineStr">
        <is>
          <t>ORD08263</t>
        </is>
      </c>
      <c r="B8264" t="inlineStr">
        <is>
          <t>C0763</t>
        </is>
      </c>
      <c r="C8264" t="n">
        <v>1</v>
      </c>
      <c r="D8264" t="inlineStr">
        <is>
          <t>Hub C</t>
        </is>
      </c>
      <c r="E8264" t="n">
        <v>19</v>
      </c>
      <c r="F8264" t="n">
        <v>22</v>
      </c>
    </row>
    <row r="8265">
      <c r="A8265" t="inlineStr">
        <is>
          <t>ORD08264</t>
        </is>
      </c>
      <c r="B8265" t="inlineStr">
        <is>
          <t>C0764</t>
        </is>
      </c>
      <c r="C8265" t="n">
        <v>2</v>
      </c>
      <c r="D8265" t="inlineStr">
        <is>
          <t>Hub C</t>
        </is>
      </c>
      <c r="E8265" t="n">
        <v>26</v>
      </c>
      <c r="F8265" t="n">
        <v>22</v>
      </c>
    </row>
    <row r="8266">
      <c r="A8266" t="inlineStr">
        <is>
          <t>ORD08265</t>
        </is>
      </c>
      <c r="B8266" t="inlineStr">
        <is>
          <t>C0765</t>
        </is>
      </c>
      <c r="C8266" t="n">
        <v>3</v>
      </c>
      <c r="D8266" t="inlineStr">
        <is>
          <t>Hub C</t>
        </is>
      </c>
      <c r="E8266" t="n">
        <v>33</v>
      </c>
      <c r="F8266" t="n">
        <v>22</v>
      </c>
    </row>
    <row r="8267">
      <c r="A8267" t="inlineStr">
        <is>
          <t>ORD08266</t>
        </is>
      </c>
      <c r="B8267" t="inlineStr">
        <is>
          <t>C0766</t>
        </is>
      </c>
      <c r="C8267" t="n">
        <v>1</v>
      </c>
      <c r="D8267" t="inlineStr">
        <is>
          <t>Hub C</t>
        </is>
      </c>
      <c r="E8267" t="n">
        <v>40</v>
      </c>
      <c r="F8267" t="n">
        <v>22</v>
      </c>
    </row>
    <row r="8268">
      <c r="A8268" t="inlineStr">
        <is>
          <t>ORD08267</t>
        </is>
      </c>
      <c r="B8268" t="inlineStr">
        <is>
          <t>C0767</t>
        </is>
      </c>
      <c r="C8268" t="n">
        <v>2</v>
      </c>
      <c r="D8268" t="inlineStr">
        <is>
          <t>Hub C</t>
        </is>
      </c>
      <c r="E8268" t="n">
        <v>47</v>
      </c>
      <c r="F8268" t="n">
        <v>22</v>
      </c>
    </row>
    <row r="8269">
      <c r="A8269" t="inlineStr">
        <is>
          <t>ORD08268</t>
        </is>
      </c>
      <c r="B8269" t="inlineStr">
        <is>
          <t>C0768</t>
        </is>
      </c>
      <c r="C8269" t="n">
        <v>3</v>
      </c>
      <c r="D8269" t="inlineStr">
        <is>
          <t>Hub C</t>
        </is>
      </c>
      <c r="E8269" t="n">
        <v>54</v>
      </c>
      <c r="F8269" t="n">
        <v>22</v>
      </c>
    </row>
    <row r="8270">
      <c r="A8270" t="inlineStr">
        <is>
          <t>ORD08269</t>
        </is>
      </c>
      <c r="B8270" t="inlineStr">
        <is>
          <t>C0769</t>
        </is>
      </c>
      <c r="C8270" t="n">
        <v>1</v>
      </c>
      <c r="D8270" t="inlineStr">
        <is>
          <t>Hub C</t>
        </is>
      </c>
      <c r="E8270" t="n">
        <v>61</v>
      </c>
      <c r="F8270" t="n">
        <v>22</v>
      </c>
    </row>
    <row r="8271">
      <c r="A8271" t="inlineStr">
        <is>
          <t>ORD08270</t>
        </is>
      </c>
      <c r="B8271" t="inlineStr">
        <is>
          <t>C0770</t>
        </is>
      </c>
      <c r="C8271" t="n">
        <v>2</v>
      </c>
      <c r="D8271" t="inlineStr">
        <is>
          <t>Hub C</t>
        </is>
      </c>
      <c r="E8271" t="n">
        <v>68</v>
      </c>
      <c r="F8271" t="n">
        <v>22</v>
      </c>
    </row>
    <row r="8272">
      <c r="A8272" t="inlineStr">
        <is>
          <t>ORD08271</t>
        </is>
      </c>
      <c r="B8272" t="inlineStr">
        <is>
          <t>C0771</t>
        </is>
      </c>
      <c r="C8272" t="n">
        <v>3</v>
      </c>
      <c r="D8272" t="inlineStr">
        <is>
          <t>Hub C</t>
        </is>
      </c>
      <c r="E8272" t="n">
        <v>75</v>
      </c>
      <c r="F8272" t="n">
        <v>22</v>
      </c>
    </row>
    <row r="8273">
      <c r="A8273" t="inlineStr">
        <is>
          <t>ORD08272</t>
        </is>
      </c>
      <c r="B8273" t="inlineStr">
        <is>
          <t>C0772</t>
        </is>
      </c>
      <c r="C8273" t="n">
        <v>1</v>
      </c>
      <c r="D8273" t="inlineStr">
        <is>
          <t>Hub C</t>
        </is>
      </c>
      <c r="E8273" t="n">
        <v>22</v>
      </c>
      <c r="F8273" t="n">
        <v>22</v>
      </c>
    </row>
    <row r="8274">
      <c r="A8274" t="inlineStr">
        <is>
          <t>ORD08273</t>
        </is>
      </c>
      <c r="B8274" t="inlineStr">
        <is>
          <t>C0773</t>
        </is>
      </c>
      <c r="C8274" t="n">
        <v>2</v>
      </c>
      <c r="D8274" t="inlineStr">
        <is>
          <t>Hub C</t>
        </is>
      </c>
      <c r="E8274" t="n">
        <v>29</v>
      </c>
      <c r="F8274" t="n">
        <v>22</v>
      </c>
    </row>
    <row r="8275">
      <c r="A8275" t="inlineStr">
        <is>
          <t>ORD08274</t>
        </is>
      </c>
      <c r="B8275" t="inlineStr">
        <is>
          <t>C0774</t>
        </is>
      </c>
      <c r="C8275" t="n">
        <v>3</v>
      </c>
      <c r="D8275" t="inlineStr">
        <is>
          <t>Hub C</t>
        </is>
      </c>
      <c r="E8275" t="n">
        <v>36</v>
      </c>
      <c r="F8275" t="n">
        <v>22</v>
      </c>
    </row>
    <row r="8276">
      <c r="A8276" t="inlineStr">
        <is>
          <t>ORD08275</t>
        </is>
      </c>
      <c r="B8276" t="inlineStr">
        <is>
          <t>C0775</t>
        </is>
      </c>
      <c r="C8276" t="n">
        <v>1</v>
      </c>
      <c r="D8276" t="inlineStr">
        <is>
          <t>Hub C</t>
        </is>
      </c>
      <c r="E8276" t="n">
        <v>43</v>
      </c>
      <c r="F8276" t="n">
        <v>22</v>
      </c>
    </row>
    <row r="8277">
      <c r="A8277" t="inlineStr">
        <is>
          <t>ORD08276</t>
        </is>
      </c>
      <c r="B8277" t="inlineStr">
        <is>
          <t>C0776</t>
        </is>
      </c>
      <c r="C8277" t="n">
        <v>2</v>
      </c>
      <c r="D8277" t="inlineStr">
        <is>
          <t>Hub C</t>
        </is>
      </c>
      <c r="E8277" t="n">
        <v>50</v>
      </c>
      <c r="F8277" t="n">
        <v>22</v>
      </c>
    </row>
    <row r="8278">
      <c r="A8278" t="inlineStr">
        <is>
          <t>ORD08277</t>
        </is>
      </c>
      <c r="B8278" t="inlineStr">
        <is>
          <t>C0777</t>
        </is>
      </c>
      <c r="C8278" t="n">
        <v>3</v>
      </c>
      <c r="D8278" t="inlineStr">
        <is>
          <t>Hub C</t>
        </is>
      </c>
      <c r="E8278" t="n">
        <v>57</v>
      </c>
      <c r="F8278" t="n">
        <v>22</v>
      </c>
    </row>
    <row r="8279">
      <c r="A8279" t="inlineStr">
        <is>
          <t>ORD08278</t>
        </is>
      </c>
      <c r="B8279" t="inlineStr">
        <is>
          <t>C0778</t>
        </is>
      </c>
      <c r="C8279" t="n">
        <v>1</v>
      </c>
      <c r="D8279" t="inlineStr">
        <is>
          <t>Hub C</t>
        </is>
      </c>
      <c r="E8279" t="n">
        <v>64</v>
      </c>
      <c r="F8279" t="n">
        <v>22</v>
      </c>
    </row>
    <row r="8280">
      <c r="A8280" t="inlineStr">
        <is>
          <t>ORD08279</t>
        </is>
      </c>
      <c r="B8280" t="inlineStr">
        <is>
          <t>C0779</t>
        </is>
      </c>
      <c r="C8280" t="n">
        <v>2</v>
      </c>
      <c r="D8280" t="inlineStr">
        <is>
          <t>Hub C</t>
        </is>
      </c>
      <c r="E8280" t="n">
        <v>71</v>
      </c>
      <c r="F8280" t="n">
        <v>22</v>
      </c>
    </row>
    <row r="8281">
      <c r="A8281" t="inlineStr">
        <is>
          <t>ORD08280</t>
        </is>
      </c>
      <c r="B8281" t="inlineStr">
        <is>
          <t>C0780</t>
        </is>
      </c>
      <c r="C8281" t="n">
        <v>3</v>
      </c>
      <c r="D8281" t="inlineStr">
        <is>
          <t>Hub C</t>
        </is>
      </c>
      <c r="E8281" t="n">
        <v>18</v>
      </c>
      <c r="F8281" t="n">
        <v>22</v>
      </c>
    </row>
    <row r="8282">
      <c r="A8282" t="inlineStr">
        <is>
          <t>ORD08281</t>
        </is>
      </c>
      <c r="B8282" t="inlineStr">
        <is>
          <t>C0781</t>
        </is>
      </c>
      <c r="C8282" t="n">
        <v>1</v>
      </c>
      <c r="D8282" t="inlineStr">
        <is>
          <t>Hub C</t>
        </is>
      </c>
      <c r="E8282" t="n">
        <v>25</v>
      </c>
      <c r="F8282" t="n">
        <v>22</v>
      </c>
    </row>
    <row r="8283">
      <c r="A8283" t="inlineStr">
        <is>
          <t>ORD08282</t>
        </is>
      </c>
      <c r="B8283" t="inlineStr">
        <is>
          <t>C0782</t>
        </is>
      </c>
      <c r="C8283" t="n">
        <v>2</v>
      </c>
      <c r="D8283" t="inlineStr">
        <is>
          <t>Hub C</t>
        </is>
      </c>
      <c r="E8283" t="n">
        <v>32</v>
      </c>
      <c r="F8283" t="n">
        <v>22</v>
      </c>
    </row>
    <row r="8284">
      <c r="A8284" t="inlineStr">
        <is>
          <t>ORD08283</t>
        </is>
      </c>
      <c r="B8284" t="inlineStr">
        <is>
          <t>C0783</t>
        </is>
      </c>
      <c r="C8284" t="n">
        <v>3</v>
      </c>
      <c r="D8284" t="inlineStr">
        <is>
          <t>Hub C</t>
        </is>
      </c>
      <c r="E8284" t="n">
        <v>39</v>
      </c>
      <c r="F8284" t="n">
        <v>22</v>
      </c>
    </row>
    <row r="8285">
      <c r="A8285" t="inlineStr">
        <is>
          <t>ORD08284</t>
        </is>
      </c>
      <c r="B8285" t="inlineStr">
        <is>
          <t>C0784</t>
        </is>
      </c>
      <c r="C8285" t="n">
        <v>1</v>
      </c>
      <c r="D8285" t="inlineStr">
        <is>
          <t>Hub C</t>
        </is>
      </c>
      <c r="E8285" t="n">
        <v>46</v>
      </c>
      <c r="F8285" t="n">
        <v>22</v>
      </c>
    </row>
    <row r="8286">
      <c r="A8286" t="inlineStr">
        <is>
          <t>ORD08285</t>
        </is>
      </c>
      <c r="B8286" t="inlineStr">
        <is>
          <t>C0785</t>
        </is>
      </c>
      <c r="C8286" t="n">
        <v>2</v>
      </c>
      <c r="D8286" t="inlineStr">
        <is>
          <t>Hub C</t>
        </is>
      </c>
      <c r="E8286" t="n">
        <v>53</v>
      </c>
      <c r="F8286" t="n">
        <v>22</v>
      </c>
    </row>
    <row r="8287">
      <c r="A8287" t="inlineStr">
        <is>
          <t>ORD08286</t>
        </is>
      </c>
      <c r="B8287" t="inlineStr">
        <is>
          <t>C0786</t>
        </is>
      </c>
      <c r="C8287" t="n">
        <v>3</v>
      </c>
      <c r="D8287" t="inlineStr">
        <is>
          <t>Hub C</t>
        </is>
      </c>
      <c r="E8287" t="n">
        <v>60</v>
      </c>
      <c r="F8287" t="n">
        <v>22</v>
      </c>
    </row>
    <row r="8288">
      <c r="A8288" t="inlineStr">
        <is>
          <t>ORD08287</t>
        </is>
      </c>
      <c r="B8288" t="inlineStr">
        <is>
          <t>C0787</t>
        </is>
      </c>
      <c r="C8288" t="n">
        <v>1</v>
      </c>
      <c r="D8288" t="inlineStr">
        <is>
          <t>Hub C</t>
        </is>
      </c>
      <c r="E8288" t="n">
        <v>67</v>
      </c>
      <c r="F8288" t="n">
        <v>22</v>
      </c>
    </row>
    <row r="8289">
      <c r="A8289" t="inlineStr">
        <is>
          <t>ORD08288</t>
        </is>
      </c>
      <c r="B8289" t="inlineStr">
        <is>
          <t>C0788</t>
        </is>
      </c>
      <c r="C8289" t="n">
        <v>2</v>
      </c>
      <c r="D8289" t="inlineStr">
        <is>
          <t>Hub C</t>
        </is>
      </c>
      <c r="E8289" t="n">
        <v>74</v>
      </c>
      <c r="F8289" t="n">
        <v>22</v>
      </c>
    </row>
    <row r="8290">
      <c r="A8290" t="inlineStr">
        <is>
          <t>ORD08289</t>
        </is>
      </c>
      <c r="B8290" t="inlineStr">
        <is>
          <t>C0789</t>
        </is>
      </c>
      <c r="C8290" t="n">
        <v>3</v>
      </c>
      <c r="D8290" t="inlineStr">
        <is>
          <t>Hub C</t>
        </is>
      </c>
      <c r="E8290" t="n">
        <v>21</v>
      </c>
      <c r="F8290" t="n">
        <v>22</v>
      </c>
    </row>
    <row r="8291">
      <c r="A8291" t="inlineStr">
        <is>
          <t>ORD08290</t>
        </is>
      </c>
      <c r="B8291" t="inlineStr">
        <is>
          <t>C0790</t>
        </is>
      </c>
      <c r="C8291" t="n">
        <v>1</v>
      </c>
      <c r="D8291" t="inlineStr">
        <is>
          <t>Hub C</t>
        </is>
      </c>
      <c r="E8291" t="n">
        <v>28</v>
      </c>
      <c r="F8291" t="n">
        <v>22</v>
      </c>
    </row>
    <row r="8292">
      <c r="A8292" t="inlineStr">
        <is>
          <t>ORD08291</t>
        </is>
      </c>
      <c r="B8292" t="inlineStr">
        <is>
          <t>C0791</t>
        </is>
      </c>
      <c r="C8292" t="n">
        <v>2</v>
      </c>
      <c r="D8292" t="inlineStr">
        <is>
          <t>Hub C</t>
        </is>
      </c>
      <c r="E8292" t="n">
        <v>35</v>
      </c>
      <c r="F8292" t="n">
        <v>22</v>
      </c>
    </row>
    <row r="8293">
      <c r="A8293" t="inlineStr">
        <is>
          <t>ORD08292</t>
        </is>
      </c>
      <c r="B8293" t="inlineStr">
        <is>
          <t>C0792</t>
        </is>
      </c>
      <c r="C8293" t="n">
        <v>3</v>
      </c>
      <c r="D8293" t="inlineStr">
        <is>
          <t>Hub C</t>
        </is>
      </c>
      <c r="E8293" t="n">
        <v>42</v>
      </c>
      <c r="F8293" t="n">
        <v>22</v>
      </c>
    </row>
    <row r="8294">
      <c r="A8294" t="inlineStr">
        <is>
          <t>ORD08293</t>
        </is>
      </c>
      <c r="B8294" t="inlineStr">
        <is>
          <t>C0793</t>
        </is>
      </c>
      <c r="C8294" t="n">
        <v>1</v>
      </c>
      <c r="D8294" t="inlineStr">
        <is>
          <t>Hub C</t>
        </is>
      </c>
      <c r="E8294" t="n">
        <v>49</v>
      </c>
      <c r="F8294" t="n">
        <v>22</v>
      </c>
    </row>
    <row r="8295">
      <c r="A8295" t="inlineStr">
        <is>
          <t>ORD08294</t>
        </is>
      </c>
      <c r="B8295" t="inlineStr">
        <is>
          <t>C0794</t>
        </is>
      </c>
      <c r="C8295" t="n">
        <v>2</v>
      </c>
      <c r="D8295" t="inlineStr">
        <is>
          <t>Hub C</t>
        </is>
      </c>
      <c r="E8295" t="n">
        <v>56</v>
      </c>
      <c r="F8295" t="n">
        <v>22</v>
      </c>
    </row>
    <row r="8296">
      <c r="A8296" t="inlineStr">
        <is>
          <t>ORD08295</t>
        </is>
      </c>
      <c r="B8296" t="inlineStr">
        <is>
          <t>C0795</t>
        </is>
      </c>
      <c r="C8296" t="n">
        <v>3</v>
      </c>
      <c r="D8296" t="inlineStr">
        <is>
          <t>Hub C</t>
        </is>
      </c>
      <c r="E8296" t="n">
        <v>63</v>
      </c>
      <c r="F8296" t="n">
        <v>22</v>
      </c>
    </row>
    <row r="8297">
      <c r="A8297" t="inlineStr">
        <is>
          <t>ORD08296</t>
        </is>
      </c>
      <c r="B8297" t="inlineStr">
        <is>
          <t>C0796</t>
        </is>
      </c>
      <c r="C8297" t="n">
        <v>1</v>
      </c>
      <c r="D8297" t="inlineStr">
        <is>
          <t>Hub C</t>
        </is>
      </c>
      <c r="E8297" t="n">
        <v>70</v>
      </c>
      <c r="F8297" t="n">
        <v>22</v>
      </c>
    </row>
    <row r="8298">
      <c r="A8298" t="inlineStr">
        <is>
          <t>ORD08297</t>
        </is>
      </c>
      <c r="B8298" t="inlineStr">
        <is>
          <t>C0797</t>
        </is>
      </c>
      <c r="C8298" t="n">
        <v>2</v>
      </c>
      <c r="D8298" t="inlineStr">
        <is>
          <t>Hub C</t>
        </is>
      </c>
      <c r="E8298" t="n">
        <v>77</v>
      </c>
      <c r="F8298" t="n">
        <v>22</v>
      </c>
    </row>
    <row r="8299">
      <c r="A8299" t="inlineStr">
        <is>
          <t>ORD08298</t>
        </is>
      </c>
      <c r="B8299" t="inlineStr">
        <is>
          <t>C0798</t>
        </is>
      </c>
      <c r="C8299" t="n">
        <v>3</v>
      </c>
      <c r="D8299" t="inlineStr">
        <is>
          <t>Hub C</t>
        </is>
      </c>
      <c r="E8299" t="n">
        <v>24</v>
      </c>
      <c r="F8299" t="n">
        <v>22</v>
      </c>
    </row>
    <row r="8300">
      <c r="A8300" t="inlineStr">
        <is>
          <t>ORD08299</t>
        </is>
      </c>
      <c r="B8300" t="inlineStr">
        <is>
          <t>C0799</t>
        </is>
      </c>
      <c r="C8300" t="n">
        <v>1</v>
      </c>
      <c r="D8300" t="inlineStr">
        <is>
          <t>Hub C</t>
        </is>
      </c>
      <c r="E8300" t="n">
        <v>31</v>
      </c>
      <c r="F8300" t="n">
        <v>22</v>
      </c>
    </row>
    <row r="8301">
      <c r="A8301" t="inlineStr">
        <is>
          <t>ORD08300</t>
        </is>
      </c>
      <c r="B8301" t="inlineStr">
        <is>
          <t>C0800</t>
        </is>
      </c>
      <c r="C8301" t="n">
        <v>2</v>
      </c>
      <c r="D8301" t="inlineStr">
        <is>
          <t>Hub C</t>
        </is>
      </c>
      <c r="E8301" t="n">
        <v>38</v>
      </c>
      <c r="F8301" t="n">
        <v>31</v>
      </c>
    </row>
    <row r="8302">
      <c r="A8302" t="inlineStr">
        <is>
          <t>ORD08301</t>
        </is>
      </c>
      <c r="B8302" t="inlineStr">
        <is>
          <t>C0801</t>
        </is>
      </c>
      <c r="C8302" t="n">
        <v>3</v>
      </c>
      <c r="D8302" t="inlineStr">
        <is>
          <t>Hub C</t>
        </is>
      </c>
      <c r="E8302" t="n">
        <v>45</v>
      </c>
      <c r="F8302" t="n">
        <v>31</v>
      </c>
    </row>
    <row r="8303">
      <c r="A8303" t="inlineStr">
        <is>
          <t>ORD08302</t>
        </is>
      </c>
      <c r="B8303" t="inlineStr">
        <is>
          <t>C0802</t>
        </is>
      </c>
      <c r="C8303" t="n">
        <v>1</v>
      </c>
      <c r="D8303" t="inlineStr">
        <is>
          <t>Hub C</t>
        </is>
      </c>
      <c r="E8303" t="n">
        <v>52</v>
      </c>
      <c r="F8303" t="n">
        <v>31</v>
      </c>
    </row>
    <row r="8304">
      <c r="A8304" t="inlineStr">
        <is>
          <t>ORD08303</t>
        </is>
      </c>
      <c r="B8304" t="inlineStr">
        <is>
          <t>C0803</t>
        </is>
      </c>
      <c r="C8304" t="n">
        <v>2</v>
      </c>
      <c r="D8304" t="inlineStr">
        <is>
          <t>Hub C</t>
        </is>
      </c>
      <c r="E8304" t="n">
        <v>59</v>
      </c>
      <c r="F8304" t="n">
        <v>31</v>
      </c>
    </row>
    <row r="8305">
      <c r="A8305" t="inlineStr">
        <is>
          <t>ORD08304</t>
        </is>
      </c>
      <c r="B8305" t="inlineStr">
        <is>
          <t>C0804</t>
        </is>
      </c>
      <c r="C8305" t="n">
        <v>3</v>
      </c>
      <c r="D8305" t="inlineStr">
        <is>
          <t>Hub C</t>
        </is>
      </c>
      <c r="E8305" t="n">
        <v>66</v>
      </c>
      <c r="F8305" t="n">
        <v>31</v>
      </c>
    </row>
    <row r="8306">
      <c r="A8306" t="inlineStr">
        <is>
          <t>ORD08305</t>
        </is>
      </c>
      <c r="B8306" t="inlineStr">
        <is>
          <t>C0805</t>
        </is>
      </c>
      <c r="C8306" t="n">
        <v>1</v>
      </c>
      <c r="D8306" t="inlineStr">
        <is>
          <t>Hub C</t>
        </is>
      </c>
      <c r="E8306" t="n">
        <v>73</v>
      </c>
      <c r="F8306" t="n">
        <v>31</v>
      </c>
    </row>
    <row r="8307">
      <c r="A8307" t="inlineStr">
        <is>
          <t>ORD08306</t>
        </is>
      </c>
      <c r="B8307" t="inlineStr">
        <is>
          <t>C0806</t>
        </is>
      </c>
      <c r="C8307" t="n">
        <v>2</v>
      </c>
      <c r="D8307" t="inlineStr">
        <is>
          <t>Hub C</t>
        </is>
      </c>
      <c r="E8307" t="n">
        <v>20</v>
      </c>
      <c r="F8307" t="n">
        <v>31</v>
      </c>
    </row>
    <row r="8308">
      <c r="A8308" t="inlineStr">
        <is>
          <t>ORD08307</t>
        </is>
      </c>
      <c r="B8308" t="inlineStr">
        <is>
          <t>C0807</t>
        </is>
      </c>
      <c r="C8308" t="n">
        <v>3</v>
      </c>
      <c r="D8308" t="inlineStr">
        <is>
          <t>Hub C</t>
        </is>
      </c>
      <c r="E8308" t="n">
        <v>27</v>
      </c>
      <c r="F8308" t="n">
        <v>31</v>
      </c>
    </row>
    <row r="8309">
      <c r="A8309" t="inlineStr">
        <is>
          <t>ORD08308</t>
        </is>
      </c>
      <c r="B8309" t="inlineStr">
        <is>
          <t>C0808</t>
        </is>
      </c>
      <c r="C8309" t="n">
        <v>1</v>
      </c>
      <c r="D8309" t="inlineStr">
        <is>
          <t>Hub C</t>
        </is>
      </c>
      <c r="E8309" t="n">
        <v>34</v>
      </c>
      <c r="F8309" t="n">
        <v>31</v>
      </c>
    </row>
    <row r="8310">
      <c r="A8310" t="inlineStr">
        <is>
          <t>ORD08309</t>
        </is>
      </c>
      <c r="B8310" t="inlineStr">
        <is>
          <t>C0809</t>
        </is>
      </c>
      <c r="C8310" t="n">
        <v>2</v>
      </c>
      <c r="D8310" t="inlineStr">
        <is>
          <t>Hub C</t>
        </is>
      </c>
      <c r="E8310" t="n">
        <v>41</v>
      </c>
      <c r="F8310" t="n">
        <v>31</v>
      </c>
    </row>
    <row r="8311">
      <c r="A8311" t="inlineStr">
        <is>
          <t>ORD08310</t>
        </is>
      </c>
      <c r="B8311" t="inlineStr">
        <is>
          <t>C0810</t>
        </is>
      </c>
      <c r="C8311" t="n">
        <v>3</v>
      </c>
      <c r="D8311" t="inlineStr">
        <is>
          <t>Hub C</t>
        </is>
      </c>
      <c r="E8311" t="n">
        <v>48</v>
      </c>
      <c r="F8311" t="n">
        <v>31</v>
      </c>
    </row>
    <row r="8312">
      <c r="A8312" t="inlineStr">
        <is>
          <t>ORD08311</t>
        </is>
      </c>
      <c r="B8312" t="inlineStr">
        <is>
          <t>C0811</t>
        </is>
      </c>
      <c r="C8312" t="n">
        <v>1</v>
      </c>
      <c r="D8312" t="inlineStr">
        <is>
          <t>Hub C</t>
        </is>
      </c>
      <c r="E8312" t="n">
        <v>55</v>
      </c>
      <c r="F8312" t="n">
        <v>31</v>
      </c>
    </row>
    <row r="8313">
      <c r="A8313" t="inlineStr">
        <is>
          <t>ORD08312</t>
        </is>
      </c>
      <c r="B8313" t="inlineStr">
        <is>
          <t>C0812</t>
        </is>
      </c>
      <c r="C8313" t="n">
        <v>2</v>
      </c>
      <c r="D8313" t="inlineStr">
        <is>
          <t>Hub C</t>
        </is>
      </c>
      <c r="E8313" t="n">
        <v>62</v>
      </c>
      <c r="F8313" t="n">
        <v>31</v>
      </c>
    </row>
    <row r="8314">
      <c r="A8314" t="inlineStr">
        <is>
          <t>ORD08313</t>
        </is>
      </c>
      <c r="B8314" t="inlineStr">
        <is>
          <t>C0813</t>
        </is>
      </c>
      <c r="C8314" t="n">
        <v>3</v>
      </c>
      <c r="D8314" t="inlineStr">
        <is>
          <t>Hub C</t>
        </is>
      </c>
      <c r="E8314" t="n">
        <v>69</v>
      </c>
      <c r="F8314" t="n">
        <v>31</v>
      </c>
    </row>
    <row r="8315">
      <c r="A8315" t="inlineStr">
        <is>
          <t>ORD08314</t>
        </is>
      </c>
      <c r="B8315" t="inlineStr">
        <is>
          <t>C0814</t>
        </is>
      </c>
      <c r="C8315" t="n">
        <v>1</v>
      </c>
      <c r="D8315" t="inlineStr">
        <is>
          <t>Hub C</t>
        </is>
      </c>
      <c r="E8315" t="n">
        <v>76</v>
      </c>
      <c r="F8315" t="n">
        <v>31</v>
      </c>
    </row>
    <row r="8316">
      <c r="A8316" t="inlineStr">
        <is>
          <t>ORD08315</t>
        </is>
      </c>
      <c r="B8316" t="inlineStr">
        <is>
          <t>C0815</t>
        </is>
      </c>
      <c r="C8316" t="n">
        <v>2</v>
      </c>
      <c r="D8316" t="inlineStr">
        <is>
          <t>Hub C</t>
        </is>
      </c>
      <c r="E8316" t="n">
        <v>23</v>
      </c>
      <c r="F8316" t="n">
        <v>31</v>
      </c>
    </row>
    <row r="8317">
      <c r="A8317" t="inlineStr">
        <is>
          <t>ORD08316</t>
        </is>
      </c>
      <c r="B8317" t="inlineStr">
        <is>
          <t>C0816</t>
        </is>
      </c>
      <c r="C8317" t="n">
        <v>3</v>
      </c>
      <c r="D8317" t="inlineStr">
        <is>
          <t>Hub C</t>
        </is>
      </c>
      <c r="E8317" t="n">
        <v>30</v>
      </c>
      <c r="F8317" t="n">
        <v>31</v>
      </c>
    </row>
    <row r="8318">
      <c r="A8318" t="inlineStr">
        <is>
          <t>ORD08317</t>
        </is>
      </c>
      <c r="B8318" t="inlineStr">
        <is>
          <t>C0817</t>
        </is>
      </c>
      <c r="C8318" t="n">
        <v>1</v>
      </c>
      <c r="D8318" t="inlineStr">
        <is>
          <t>Hub C</t>
        </is>
      </c>
      <c r="E8318" t="n">
        <v>37</v>
      </c>
      <c r="F8318" t="n">
        <v>31</v>
      </c>
    </row>
    <row r="8319">
      <c r="A8319" t="inlineStr">
        <is>
          <t>ORD08318</t>
        </is>
      </c>
      <c r="B8319" t="inlineStr">
        <is>
          <t>C0818</t>
        </is>
      </c>
      <c r="C8319" t="n">
        <v>2</v>
      </c>
      <c r="D8319" t="inlineStr">
        <is>
          <t>Hub C</t>
        </is>
      </c>
      <c r="E8319" t="n">
        <v>44</v>
      </c>
      <c r="F8319" t="n">
        <v>31</v>
      </c>
    </row>
    <row r="8320">
      <c r="A8320" t="inlineStr">
        <is>
          <t>ORD08319</t>
        </is>
      </c>
      <c r="B8320" t="inlineStr">
        <is>
          <t>C0819</t>
        </is>
      </c>
      <c r="C8320" t="n">
        <v>3</v>
      </c>
      <c r="D8320" t="inlineStr">
        <is>
          <t>Hub C</t>
        </is>
      </c>
      <c r="E8320" t="n">
        <v>51</v>
      </c>
      <c r="F8320" t="n">
        <v>31</v>
      </c>
    </row>
    <row r="8321">
      <c r="A8321" t="inlineStr">
        <is>
          <t>ORD08320</t>
        </is>
      </c>
      <c r="B8321" t="inlineStr">
        <is>
          <t>C0820</t>
        </is>
      </c>
      <c r="C8321" t="n">
        <v>1</v>
      </c>
      <c r="D8321" t="inlineStr">
        <is>
          <t>Hub C</t>
        </is>
      </c>
      <c r="E8321" t="n">
        <v>58</v>
      </c>
      <c r="F8321" t="n">
        <v>31</v>
      </c>
    </row>
    <row r="8322">
      <c r="A8322" t="inlineStr">
        <is>
          <t>ORD08321</t>
        </is>
      </c>
      <c r="B8322" t="inlineStr">
        <is>
          <t>C0821</t>
        </is>
      </c>
      <c r="C8322" t="n">
        <v>2</v>
      </c>
      <c r="D8322" t="inlineStr">
        <is>
          <t>Hub C</t>
        </is>
      </c>
      <c r="E8322" t="n">
        <v>65</v>
      </c>
      <c r="F8322" t="n">
        <v>31</v>
      </c>
    </row>
    <row r="8323">
      <c r="A8323" t="inlineStr">
        <is>
          <t>ORD08322</t>
        </is>
      </c>
      <c r="B8323" t="inlineStr">
        <is>
          <t>C0822</t>
        </is>
      </c>
      <c r="C8323" t="n">
        <v>3</v>
      </c>
      <c r="D8323" t="inlineStr">
        <is>
          <t>Hub C</t>
        </is>
      </c>
      <c r="E8323" t="n">
        <v>72</v>
      </c>
      <c r="F8323" t="n">
        <v>31</v>
      </c>
    </row>
    <row r="8324">
      <c r="A8324" t="inlineStr">
        <is>
          <t>ORD08323</t>
        </is>
      </c>
      <c r="B8324" t="inlineStr">
        <is>
          <t>C0823</t>
        </is>
      </c>
      <c r="C8324" t="n">
        <v>1</v>
      </c>
      <c r="D8324" t="inlineStr">
        <is>
          <t>Hub C</t>
        </is>
      </c>
      <c r="E8324" t="n">
        <v>19</v>
      </c>
      <c r="F8324" t="n">
        <v>31</v>
      </c>
    </row>
    <row r="8325">
      <c r="A8325" t="inlineStr">
        <is>
          <t>ORD08324</t>
        </is>
      </c>
      <c r="B8325" t="inlineStr">
        <is>
          <t>C0824</t>
        </is>
      </c>
      <c r="C8325" t="n">
        <v>2</v>
      </c>
      <c r="D8325" t="inlineStr">
        <is>
          <t>Hub C</t>
        </is>
      </c>
      <c r="E8325" t="n">
        <v>26</v>
      </c>
      <c r="F8325" t="n">
        <v>31</v>
      </c>
    </row>
    <row r="8326">
      <c r="A8326" t="inlineStr">
        <is>
          <t>ORD08325</t>
        </is>
      </c>
      <c r="B8326" t="inlineStr">
        <is>
          <t>C0825</t>
        </is>
      </c>
      <c r="C8326" t="n">
        <v>3</v>
      </c>
      <c r="D8326" t="inlineStr">
        <is>
          <t>Hub C</t>
        </is>
      </c>
      <c r="E8326" t="n">
        <v>33</v>
      </c>
      <c r="F8326" t="n">
        <v>31</v>
      </c>
    </row>
    <row r="8327">
      <c r="A8327" t="inlineStr">
        <is>
          <t>ORD08326</t>
        </is>
      </c>
      <c r="B8327" t="inlineStr">
        <is>
          <t>C0826</t>
        </is>
      </c>
      <c r="C8327" t="n">
        <v>1</v>
      </c>
      <c r="D8327" t="inlineStr">
        <is>
          <t>Hub C</t>
        </is>
      </c>
      <c r="E8327" t="n">
        <v>40</v>
      </c>
      <c r="F8327" t="n">
        <v>31</v>
      </c>
    </row>
    <row r="8328">
      <c r="A8328" t="inlineStr">
        <is>
          <t>ORD08327</t>
        </is>
      </c>
      <c r="B8328" t="inlineStr">
        <is>
          <t>C0827</t>
        </is>
      </c>
      <c r="C8328" t="n">
        <v>2</v>
      </c>
      <c r="D8328" t="inlineStr">
        <is>
          <t>Hub C</t>
        </is>
      </c>
      <c r="E8328" t="n">
        <v>47</v>
      </c>
      <c r="F8328" t="n">
        <v>31</v>
      </c>
    </row>
    <row r="8329">
      <c r="A8329" t="inlineStr">
        <is>
          <t>ORD08328</t>
        </is>
      </c>
      <c r="B8329" t="inlineStr">
        <is>
          <t>C0828</t>
        </is>
      </c>
      <c r="C8329" t="n">
        <v>3</v>
      </c>
      <c r="D8329" t="inlineStr">
        <is>
          <t>Hub C</t>
        </is>
      </c>
      <c r="E8329" t="n">
        <v>54</v>
      </c>
      <c r="F8329" t="n">
        <v>31</v>
      </c>
    </row>
    <row r="8330">
      <c r="A8330" t="inlineStr">
        <is>
          <t>ORD08329</t>
        </is>
      </c>
      <c r="B8330" t="inlineStr">
        <is>
          <t>C0829</t>
        </is>
      </c>
      <c r="C8330" t="n">
        <v>1</v>
      </c>
      <c r="D8330" t="inlineStr">
        <is>
          <t>Hub C</t>
        </is>
      </c>
      <c r="E8330" t="n">
        <v>61</v>
      </c>
      <c r="F8330" t="n">
        <v>31</v>
      </c>
    </row>
    <row r="8331">
      <c r="A8331" t="inlineStr">
        <is>
          <t>ORD08330</t>
        </is>
      </c>
      <c r="B8331" t="inlineStr">
        <is>
          <t>C0830</t>
        </is>
      </c>
      <c r="C8331" t="n">
        <v>2</v>
      </c>
      <c r="D8331" t="inlineStr">
        <is>
          <t>Hub C</t>
        </is>
      </c>
      <c r="E8331" t="n">
        <v>68</v>
      </c>
      <c r="F8331" t="n">
        <v>31</v>
      </c>
    </row>
    <row r="8332">
      <c r="A8332" t="inlineStr">
        <is>
          <t>ORD08331</t>
        </is>
      </c>
      <c r="B8332" t="inlineStr">
        <is>
          <t>C0831</t>
        </is>
      </c>
      <c r="C8332" t="n">
        <v>3</v>
      </c>
      <c r="D8332" t="inlineStr">
        <is>
          <t>Hub C</t>
        </is>
      </c>
      <c r="E8332" t="n">
        <v>75</v>
      </c>
      <c r="F8332" t="n">
        <v>31</v>
      </c>
    </row>
    <row r="8333">
      <c r="A8333" t="inlineStr">
        <is>
          <t>ORD08332</t>
        </is>
      </c>
      <c r="B8333" t="inlineStr">
        <is>
          <t>C0832</t>
        </is>
      </c>
      <c r="C8333" t="n">
        <v>1</v>
      </c>
      <c r="D8333" t="inlineStr">
        <is>
          <t>Hub C</t>
        </is>
      </c>
      <c r="E8333" t="n">
        <v>22</v>
      </c>
      <c r="F8333" t="n">
        <v>31</v>
      </c>
    </row>
    <row r="8334">
      <c r="A8334" t="inlineStr">
        <is>
          <t>ORD08333</t>
        </is>
      </c>
      <c r="B8334" t="inlineStr">
        <is>
          <t>C0833</t>
        </is>
      </c>
      <c r="C8334" t="n">
        <v>2</v>
      </c>
      <c r="D8334" t="inlineStr">
        <is>
          <t>Hub C</t>
        </is>
      </c>
      <c r="E8334" t="n">
        <v>29</v>
      </c>
      <c r="F8334" t="n">
        <v>31</v>
      </c>
    </row>
    <row r="8335">
      <c r="A8335" t="inlineStr">
        <is>
          <t>ORD08334</t>
        </is>
      </c>
      <c r="B8335" t="inlineStr">
        <is>
          <t>C0834</t>
        </is>
      </c>
      <c r="C8335" t="n">
        <v>3</v>
      </c>
      <c r="D8335" t="inlineStr">
        <is>
          <t>Hub C</t>
        </is>
      </c>
      <c r="E8335" t="n">
        <v>36</v>
      </c>
      <c r="F8335" t="n">
        <v>31</v>
      </c>
    </row>
    <row r="8336">
      <c r="A8336" t="inlineStr">
        <is>
          <t>ORD08335</t>
        </is>
      </c>
      <c r="B8336" t="inlineStr">
        <is>
          <t>C0835</t>
        </is>
      </c>
      <c r="C8336" t="n">
        <v>1</v>
      </c>
      <c r="D8336" t="inlineStr">
        <is>
          <t>Hub C</t>
        </is>
      </c>
      <c r="E8336" t="n">
        <v>43</v>
      </c>
      <c r="F8336" t="n">
        <v>31</v>
      </c>
    </row>
    <row r="8337">
      <c r="A8337" t="inlineStr">
        <is>
          <t>ORD08336</t>
        </is>
      </c>
      <c r="B8337" t="inlineStr">
        <is>
          <t>C0836</t>
        </is>
      </c>
      <c r="C8337" t="n">
        <v>2</v>
      </c>
      <c r="D8337" t="inlineStr">
        <is>
          <t>Hub C</t>
        </is>
      </c>
      <c r="E8337" t="n">
        <v>50</v>
      </c>
      <c r="F8337" t="n">
        <v>31</v>
      </c>
    </row>
    <row r="8338">
      <c r="A8338" t="inlineStr">
        <is>
          <t>ORD08337</t>
        </is>
      </c>
      <c r="B8338" t="inlineStr">
        <is>
          <t>C0837</t>
        </is>
      </c>
      <c r="C8338" t="n">
        <v>3</v>
      </c>
      <c r="D8338" t="inlineStr">
        <is>
          <t>Hub C</t>
        </is>
      </c>
      <c r="E8338" t="n">
        <v>57</v>
      </c>
      <c r="F8338" t="n">
        <v>31</v>
      </c>
    </row>
    <row r="8339">
      <c r="A8339" t="inlineStr">
        <is>
          <t>ORD08338</t>
        </is>
      </c>
      <c r="B8339" t="inlineStr">
        <is>
          <t>C0838</t>
        </is>
      </c>
      <c r="C8339" t="n">
        <v>1</v>
      </c>
      <c r="D8339" t="inlineStr">
        <is>
          <t>Hub C</t>
        </is>
      </c>
      <c r="E8339" t="n">
        <v>64</v>
      </c>
      <c r="F8339" t="n">
        <v>31</v>
      </c>
    </row>
    <row r="8340">
      <c r="A8340" t="inlineStr">
        <is>
          <t>ORD08339</t>
        </is>
      </c>
      <c r="B8340" t="inlineStr">
        <is>
          <t>C0839</t>
        </is>
      </c>
      <c r="C8340" t="n">
        <v>2</v>
      </c>
      <c r="D8340" t="inlineStr">
        <is>
          <t>Hub C</t>
        </is>
      </c>
      <c r="E8340" t="n">
        <v>71</v>
      </c>
      <c r="F8340" t="n">
        <v>31</v>
      </c>
    </row>
    <row r="8341">
      <c r="A8341" t="inlineStr">
        <is>
          <t>ORD08340</t>
        </is>
      </c>
      <c r="B8341" t="inlineStr">
        <is>
          <t>C0840</t>
        </is>
      </c>
      <c r="C8341" t="n">
        <v>3</v>
      </c>
      <c r="D8341" t="inlineStr">
        <is>
          <t>Hub C</t>
        </is>
      </c>
      <c r="E8341" t="n">
        <v>18</v>
      </c>
      <c r="F8341" t="n">
        <v>31</v>
      </c>
    </row>
    <row r="8342">
      <c r="A8342" t="inlineStr">
        <is>
          <t>ORD08341</t>
        </is>
      </c>
      <c r="B8342" t="inlineStr">
        <is>
          <t>C0841</t>
        </is>
      </c>
      <c r="C8342" t="n">
        <v>1</v>
      </c>
      <c r="D8342" t="inlineStr">
        <is>
          <t>Hub C</t>
        </is>
      </c>
      <c r="E8342" t="n">
        <v>25</v>
      </c>
      <c r="F8342" t="n">
        <v>31</v>
      </c>
    </row>
    <row r="8343">
      <c r="A8343" t="inlineStr">
        <is>
          <t>ORD08342</t>
        </is>
      </c>
      <c r="B8343" t="inlineStr">
        <is>
          <t>C0842</t>
        </is>
      </c>
      <c r="C8343" t="n">
        <v>2</v>
      </c>
      <c r="D8343" t="inlineStr">
        <is>
          <t>Hub C</t>
        </is>
      </c>
      <c r="E8343" t="n">
        <v>32</v>
      </c>
      <c r="F8343" t="n">
        <v>31</v>
      </c>
    </row>
    <row r="8344">
      <c r="A8344" t="inlineStr">
        <is>
          <t>ORD08343</t>
        </is>
      </c>
      <c r="B8344" t="inlineStr">
        <is>
          <t>C0843</t>
        </is>
      </c>
      <c r="C8344" t="n">
        <v>3</v>
      </c>
      <c r="D8344" t="inlineStr">
        <is>
          <t>Hub C</t>
        </is>
      </c>
      <c r="E8344" t="n">
        <v>39</v>
      </c>
      <c r="F8344" t="n">
        <v>31</v>
      </c>
    </row>
    <row r="8345">
      <c r="A8345" t="inlineStr">
        <is>
          <t>ORD08344</t>
        </is>
      </c>
      <c r="B8345" t="inlineStr">
        <is>
          <t>C0844</t>
        </is>
      </c>
      <c r="C8345" t="n">
        <v>1</v>
      </c>
      <c r="D8345" t="inlineStr">
        <is>
          <t>Hub C</t>
        </is>
      </c>
      <c r="E8345" t="n">
        <v>46</v>
      </c>
      <c r="F8345" t="n">
        <v>31</v>
      </c>
    </row>
    <row r="8346">
      <c r="A8346" t="inlineStr">
        <is>
          <t>ORD08345</t>
        </is>
      </c>
      <c r="B8346" t="inlineStr">
        <is>
          <t>C0845</t>
        </is>
      </c>
      <c r="C8346" t="n">
        <v>2</v>
      </c>
      <c r="D8346" t="inlineStr">
        <is>
          <t>Hub C</t>
        </is>
      </c>
      <c r="E8346" t="n">
        <v>53</v>
      </c>
      <c r="F8346" t="n">
        <v>31</v>
      </c>
    </row>
    <row r="8347">
      <c r="A8347" t="inlineStr">
        <is>
          <t>ORD08346</t>
        </is>
      </c>
      <c r="B8347" t="inlineStr">
        <is>
          <t>C0846</t>
        </is>
      </c>
      <c r="C8347" t="n">
        <v>3</v>
      </c>
      <c r="D8347" t="inlineStr">
        <is>
          <t>Hub C</t>
        </is>
      </c>
      <c r="E8347" t="n">
        <v>60</v>
      </c>
      <c r="F8347" t="n">
        <v>31</v>
      </c>
    </row>
    <row r="8348">
      <c r="A8348" t="inlineStr">
        <is>
          <t>ORD08347</t>
        </is>
      </c>
      <c r="B8348" t="inlineStr">
        <is>
          <t>C0847</t>
        </is>
      </c>
      <c r="C8348" t="n">
        <v>1</v>
      </c>
      <c r="D8348" t="inlineStr">
        <is>
          <t>Hub C</t>
        </is>
      </c>
      <c r="E8348" t="n">
        <v>67</v>
      </c>
      <c r="F8348" t="n">
        <v>31</v>
      </c>
    </row>
    <row r="8349">
      <c r="A8349" t="inlineStr">
        <is>
          <t>ORD08348</t>
        </is>
      </c>
      <c r="B8349" t="inlineStr">
        <is>
          <t>C0848</t>
        </is>
      </c>
      <c r="C8349" t="n">
        <v>2</v>
      </c>
      <c r="D8349" t="inlineStr">
        <is>
          <t>Hub C</t>
        </is>
      </c>
      <c r="E8349" t="n">
        <v>74</v>
      </c>
      <c r="F8349" t="n">
        <v>31</v>
      </c>
    </row>
    <row r="8350">
      <c r="A8350" t="inlineStr">
        <is>
          <t>ORD08349</t>
        </is>
      </c>
      <c r="B8350" t="inlineStr">
        <is>
          <t>C0849</t>
        </is>
      </c>
      <c r="C8350" t="n">
        <v>3</v>
      </c>
      <c r="D8350" t="inlineStr">
        <is>
          <t>Hub C</t>
        </is>
      </c>
      <c r="E8350" t="n">
        <v>21</v>
      </c>
      <c r="F8350" t="n">
        <v>31</v>
      </c>
    </row>
    <row r="8351">
      <c r="A8351" t="inlineStr">
        <is>
          <t>ORD08350</t>
        </is>
      </c>
      <c r="B8351" t="inlineStr">
        <is>
          <t>C0850</t>
        </is>
      </c>
      <c r="C8351" t="n">
        <v>1</v>
      </c>
      <c r="D8351" t="inlineStr">
        <is>
          <t>Hub C</t>
        </is>
      </c>
      <c r="E8351" t="n">
        <v>28</v>
      </c>
      <c r="F8351" t="n">
        <v>31</v>
      </c>
    </row>
    <row r="8352">
      <c r="A8352" t="inlineStr">
        <is>
          <t>ORD08351</t>
        </is>
      </c>
      <c r="B8352" t="inlineStr">
        <is>
          <t>C0851</t>
        </is>
      </c>
      <c r="C8352" t="n">
        <v>2</v>
      </c>
      <c r="D8352" t="inlineStr">
        <is>
          <t>Hub C</t>
        </is>
      </c>
      <c r="E8352" t="n">
        <v>35</v>
      </c>
      <c r="F8352" t="n">
        <v>31</v>
      </c>
    </row>
    <row r="8353">
      <c r="A8353" t="inlineStr">
        <is>
          <t>ORD08352</t>
        </is>
      </c>
      <c r="B8353" t="inlineStr">
        <is>
          <t>C0852</t>
        </is>
      </c>
      <c r="C8353" t="n">
        <v>3</v>
      </c>
      <c r="D8353" t="inlineStr">
        <is>
          <t>Hub C</t>
        </is>
      </c>
      <c r="E8353" t="n">
        <v>42</v>
      </c>
      <c r="F8353" t="n">
        <v>31</v>
      </c>
    </row>
    <row r="8354">
      <c r="A8354" t="inlineStr">
        <is>
          <t>ORD08353</t>
        </is>
      </c>
      <c r="B8354" t="inlineStr">
        <is>
          <t>C0853</t>
        </is>
      </c>
      <c r="C8354" t="n">
        <v>1</v>
      </c>
      <c r="D8354" t="inlineStr">
        <is>
          <t>Hub C</t>
        </is>
      </c>
      <c r="E8354" t="n">
        <v>49</v>
      </c>
      <c r="F8354" t="n">
        <v>31</v>
      </c>
    </row>
    <row r="8355">
      <c r="A8355" t="inlineStr">
        <is>
          <t>ORD08354</t>
        </is>
      </c>
      <c r="B8355" t="inlineStr">
        <is>
          <t>C0854</t>
        </is>
      </c>
      <c r="C8355" t="n">
        <v>2</v>
      </c>
      <c r="D8355" t="inlineStr">
        <is>
          <t>Hub C</t>
        </is>
      </c>
      <c r="E8355" t="n">
        <v>56</v>
      </c>
      <c r="F8355" t="n">
        <v>31</v>
      </c>
    </row>
    <row r="8356">
      <c r="A8356" t="inlineStr">
        <is>
          <t>ORD08355</t>
        </is>
      </c>
      <c r="B8356" t="inlineStr">
        <is>
          <t>C0855</t>
        </is>
      </c>
      <c r="C8356" t="n">
        <v>3</v>
      </c>
      <c r="D8356" t="inlineStr">
        <is>
          <t>Hub C</t>
        </is>
      </c>
      <c r="E8356" t="n">
        <v>63</v>
      </c>
      <c r="F8356" t="n">
        <v>31</v>
      </c>
    </row>
    <row r="8357">
      <c r="A8357" t="inlineStr">
        <is>
          <t>ORD08356</t>
        </is>
      </c>
      <c r="B8357" t="inlineStr">
        <is>
          <t>C0856</t>
        </is>
      </c>
      <c r="C8357" t="n">
        <v>1</v>
      </c>
      <c r="D8357" t="inlineStr">
        <is>
          <t>Hub C</t>
        </is>
      </c>
      <c r="E8357" t="n">
        <v>70</v>
      </c>
      <c r="F8357" t="n">
        <v>31</v>
      </c>
    </row>
    <row r="8358">
      <c r="A8358" t="inlineStr">
        <is>
          <t>ORD08357</t>
        </is>
      </c>
      <c r="B8358" t="inlineStr">
        <is>
          <t>C0857</t>
        </is>
      </c>
      <c r="C8358" t="n">
        <v>2</v>
      </c>
      <c r="D8358" t="inlineStr">
        <is>
          <t>Hub C</t>
        </is>
      </c>
      <c r="E8358" t="n">
        <v>77</v>
      </c>
      <c r="F8358" t="n">
        <v>31</v>
      </c>
    </row>
    <row r="8359">
      <c r="A8359" t="inlineStr">
        <is>
          <t>ORD08358</t>
        </is>
      </c>
      <c r="B8359" t="inlineStr">
        <is>
          <t>C0858</t>
        </is>
      </c>
      <c r="C8359" t="n">
        <v>3</v>
      </c>
      <c r="D8359" t="inlineStr">
        <is>
          <t>Hub C</t>
        </is>
      </c>
      <c r="E8359" t="n">
        <v>24</v>
      </c>
      <c r="F8359" t="n">
        <v>31</v>
      </c>
    </row>
    <row r="8360">
      <c r="A8360" t="inlineStr">
        <is>
          <t>ORD08359</t>
        </is>
      </c>
      <c r="B8360" t="inlineStr">
        <is>
          <t>C0859</t>
        </is>
      </c>
      <c r="C8360" t="n">
        <v>1</v>
      </c>
      <c r="D8360" t="inlineStr">
        <is>
          <t>Hub C</t>
        </is>
      </c>
      <c r="E8360" t="n">
        <v>31</v>
      </c>
      <c r="F8360" t="n">
        <v>31</v>
      </c>
    </row>
    <row r="8361">
      <c r="A8361" t="inlineStr">
        <is>
          <t>ORD08360</t>
        </is>
      </c>
      <c r="B8361" t="inlineStr">
        <is>
          <t>C0860</t>
        </is>
      </c>
      <c r="C8361" t="n">
        <v>2</v>
      </c>
      <c r="D8361" t="inlineStr">
        <is>
          <t>Hub C</t>
        </is>
      </c>
      <c r="E8361" t="n">
        <v>38</v>
      </c>
      <c r="F8361" t="n">
        <v>31</v>
      </c>
    </row>
    <row r="8362">
      <c r="A8362" t="inlineStr">
        <is>
          <t>ORD08361</t>
        </is>
      </c>
      <c r="B8362" t="inlineStr">
        <is>
          <t>C0861</t>
        </is>
      </c>
      <c r="C8362" t="n">
        <v>3</v>
      </c>
      <c r="D8362" t="inlineStr">
        <is>
          <t>Hub C</t>
        </is>
      </c>
      <c r="E8362" t="n">
        <v>45</v>
      </c>
      <c r="F8362" t="n">
        <v>31</v>
      </c>
    </row>
    <row r="8363">
      <c r="A8363" t="inlineStr">
        <is>
          <t>ORD08362</t>
        </is>
      </c>
      <c r="B8363" t="inlineStr">
        <is>
          <t>C0862</t>
        </is>
      </c>
      <c r="C8363" t="n">
        <v>1</v>
      </c>
      <c r="D8363" t="inlineStr">
        <is>
          <t>Hub C</t>
        </is>
      </c>
      <c r="E8363" t="n">
        <v>52</v>
      </c>
      <c r="F8363" t="n">
        <v>31</v>
      </c>
    </row>
    <row r="8364">
      <c r="A8364" t="inlineStr">
        <is>
          <t>ORD08363</t>
        </is>
      </c>
      <c r="B8364" t="inlineStr">
        <is>
          <t>C0863</t>
        </is>
      </c>
      <c r="C8364" t="n">
        <v>2</v>
      </c>
      <c r="D8364" t="inlineStr">
        <is>
          <t>Hub C</t>
        </is>
      </c>
      <c r="E8364" t="n">
        <v>59</v>
      </c>
      <c r="F8364" t="n">
        <v>31</v>
      </c>
    </row>
    <row r="8365">
      <c r="A8365" t="inlineStr">
        <is>
          <t>ORD08364</t>
        </is>
      </c>
      <c r="B8365" t="inlineStr">
        <is>
          <t>C0864</t>
        </is>
      </c>
      <c r="C8365" t="n">
        <v>3</v>
      </c>
      <c r="D8365" t="inlineStr">
        <is>
          <t>Hub C</t>
        </is>
      </c>
      <c r="E8365" t="n">
        <v>66</v>
      </c>
      <c r="F8365" t="n">
        <v>31</v>
      </c>
    </row>
    <row r="8366">
      <c r="A8366" t="inlineStr">
        <is>
          <t>ORD08365</t>
        </is>
      </c>
      <c r="B8366" t="inlineStr">
        <is>
          <t>C0865</t>
        </is>
      </c>
      <c r="C8366" t="n">
        <v>1</v>
      </c>
      <c r="D8366" t="inlineStr">
        <is>
          <t>Hub C</t>
        </is>
      </c>
      <c r="E8366" t="n">
        <v>73</v>
      </c>
      <c r="F8366" t="n">
        <v>31</v>
      </c>
    </row>
    <row r="8367">
      <c r="A8367" t="inlineStr">
        <is>
          <t>ORD08366</t>
        </is>
      </c>
      <c r="B8367" t="inlineStr">
        <is>
          <t>C0866</t>
        </is>
      </c>
      <c r="C8367" t="n">
        <v>2</v>
      </c>
      <c r="D8367" t="inlineStr">
        <is>
          <t>Hub C</t>
        </is>
      </c>
      <c r="E8367" t="n">
        <v>20</v>
      </c>
      <c r="F8367" t="n">
        <v>31</v>
      </c>
    </row>
    <row r="8368">
      <c r="A8368" t="inlineStr">
        <is>
          <t>ORD08367</t>
        </is>
      </c>
      <c r="B8368" t="inlineStr">
        <is>
          <t>C0867</t>
        </is>
      </c>
      <c r="C8368" t="n">
        <v>3</v>
      </c>
      <c r="D8368" t="inlineStr">
        <is>
          <t>Hub C</t>
        </is>
      </c>
      <c r="E8368" t="n">
        <v>27</v>
      </c>
      <c r="F8368" t="n">
        <v>31</v>
      </c>
    </row>
    <row r="8369">
      <c r="A8369" t="inlineStr">
        <is>
          <t>ORD08368</t>
        </is>
      </c>
      <c r="B8369" t="inlineStr">
        <is>
          <t>C0868</t>
        </is>
      </c>
      <c r="C8369" t="n">
        <v>1</v>
      </c>
      <c r="D8369" t="inlineStr">
        <is>
          <t>Hub C</t>
        </is>
      </c>
      <c r="E8369" t="n">
        <v>34</v>
      </c>
      <c r="F8369" t="n">
        <v>31</v>
      </c>
    </row>
    <row r="8370">
      <c r="A8370" t="inlineStr">
        <is>
          <t>ORD08369</t>
        </is>
      </c>
      <c r="B8370" t="inlineStr">
        <is>
          <t>C0869</t>
        </is>
      </c>
      <c r="C8370" t="n">
        <v>2</v>
      </c>
      <c r="D8370" t="inlineStr">
        <is>
          <t>Hub C</t>
        </is>
      </c>
      <c r="E8370" t="n">
        <v>41</v>
      </c>
      <c r="F8370" t="n">
        <v>31</v>
      </c>
    </row>
    <row r="8371">
      <c r="A8371" t="inlineStr">
        <is>
          <t>ORD08370</t>
        </is>
      </c>
      <c r="B8371" t="inlineStr">
        <is>
          <t>C0870</t>
        </is>
      </c>
      <c r="C8371" t="n">
        <v>3</v>
      </c>
      <c r="D8371" t="inlineStr">
        <is>
          <t>Hub C</t>
        </is>
      </c>
      <c r="E8371" t="n">
        <v>48</v>
      </c>
      <c r="F8371" t="n">
        <v>31</v>
      </c>
    </row>
    <row r="8372">
      <c r="A8372" t="inlineStr">
        <is>
          <t>ORD08371</t>
        </is>
      </c>
      <c r="B8372" t="inlineStr">
        <is>
          <t>C0871</t>
        </is>
      </c>
      <c r="C8372" t="n">
        <v>1</v>
      </c>
      <c r="D8372" t="inlineStr">
        <is>
          <t>Hub C</t>
        </is>
      </c>
      <c r="E8372" t="n">
        <v>55</v>
      </c>
      <c r="F8372" t="n">
        <v>31</v>
      </c>
    </row>
    <row r="8373">
      <c r="A8373" t="inlineStr">
        <is>
          <t>ORD08372</t>
        </is>
      </c>
      <c r="B8373" t="inlineStr">
        <is>
          <t>C0872</t>
        </is>
      </c>
      <c r="C8373" t="n">
        <v>2</v>
      </c>
      <c r="D8373" t="inlineStr">
        <is>
          <t>Hub C</t>
        </is>
      </c>
      <c r="E8373" t="n">
        <v>62</v>
      </c>
      <c r="F8373" t="n">
        <v>31</v>
      </c>
    </row>
    <row r="8374">
      <c r="A8374" t="inlineStr">
        <is>
          <t>ORD08373</t>
        </is>
      </c>
      <c r="B8374" t="inlineStr">
        <is>
          <t>C0873</t>
        </is>
      </c>
      <c r="C8374" t="n">
        <v>3</v>
      </c>
      <c r="D8374" t="inlineStr">
        <is>
          <t>Hub C</t>
        </is>
      </c>
      <c r="E8374" t="n">
        <v>69</v>
      </c>
      <c r="F8374" t="n">
        <v>31</v>
      </c>
    </row>
    <row r="8375">
      <c r="A8375" t="inlineStr">
        <is>
          <t>ORD08374</t>
        </is>
      </c>
      <c r="B8375" t="inlineStr">
        <is>
          <t>C0874</t>
        </is>
      </c>
      <c r="C8375" t="n">
        <v>1</v>
      </c>
      <c r="D8375" t="inlineStr">
        <is>
          <t>Hub C</t>
        </is>
      </c>
      <c r="E8375" t="n">
        <v>76</v>
      </c>
      <c r="F8375" t="n">
        <v>31</v>
      </c>
    </row>
    <row r="8376">
      <c r="A8376" t="inlineStr">
        <is>
          <t>ORD08375</t>
        </is>
      </c>
      <c r="B8376" t="inlineStr">
        <is>
          <t>C0875</t>
        </is>
      </c>
      <c r="C8376" t="n">
        <v>2</v>
      </c>
      <c r="D8376" t="inlineStr">
        <is>
          <t>Hub C</t>
        </is>
      </c>
      <c r="E8376" t="n">
        <v>23</v>
      </c>
      <c r="F8376" t="n">
        <v>31</v>
      </c>
    </row>
    <row r="8377">
      <c r="A8377" t="inlineStr">
        <is>
          <t>ORD08376</t>
        </is>
      </c>
      <c r="B8377" t="inlineStr">
        <is>
          <t>C0876</t>
        </is>
      </c>
      <c r="C8377" t="n">
        <v>3</v>
      </c>
      <c r="D8377" t="inlineStr">
        <is>
          <t>Hub C</t>
        </is>
      </c>
      <c r="E8377" t="n">
        <v>30</v>
      </c>
      <c r="F8377" t="n">
        <v>31</v>
      </c>
    </row>
    <row r="8378">
      <c r="A8378" t="inlineStr">
        <is>
          <t>ORD08377</t>
        </is>
      </c>
      <c r="B8378" t="inlineStr">
        <is>
          <t>C0877</t>
        </is>
      </c>
      <c r="C8378" t="n">
        <v>1</v>
      </c>
      <c r="D8378" t="inlineStr">
        <is>
          <t>Hub C</t>
        </is>
      </c>
      <c r="E8378" t="n">
        <v>37</v>
      </c>
      <c r="F8378" t="n">
        <v>31</v>
      </c>
    </row>
    <row r="8379">
      <c r="A8379" t="inlineStr">
        <is>
          <t>ORD08378</t>
        </is>
      </c>
      <c r="B8379" t="inlineStr">
        <is>
          <t>C0878</t>
        </is>
      </c>
      <c r="C8379" t="n">
        <v>2</v>
      </c>
      <c r="D8379" t="inlineStr">
        <is>
          <t>Hub C</t>
        </is>
      </c>
      <c r="E8379" t="n">
        <v>44</v>
      </c>
      <c r="F8379" t="n">
        <v>31</v>
      </c>
    </row>
    <row r="8380">
      <c r="A8380" t="inlineStr">
        <is>
          <t>ORD08379</t>
        </is>
      </c>
      <c r="B8380" t="inlineStr">
        <is>
          <t>C0879</t>
        </is>
      </c>
      <c r="C8380" t="n">
        <v>3</v>
      </c>
      <c r="D8380" t="inlineStr">
        <is>
          <t>Hub C</t>
        </is>
      </c>
      <c r="E8380" t="n">
        <v>51</v>
      </c>
      <c r="F8380" t="n">
        <v>31</v>
      </c>
    </row>
    <row r="8381">
      <c r="A8381" t="inlineStr">
        <is>
          <t>ORD08380</t>
        </is>
      </c>
      <c r="B8381" t="inlineStr">
        <is>
          <t>C0880</t>
        </is>
      </c>
      <c r="C8381" t="n">
        <v>1</v>
      </c>
      <c r="D8381" t="inlineStr">
        <is>
          <t>Hub C</t>
        </is>
      </c>
      <c r="E8381" t="n">
        <v>58</v>
      </c>
      <c r="F8381" t="n">
        <v>31</v>
      </c>
    </row>
    <row r="8382">
      <c r="A8382" t="inlineStr">
        <is>
          <t>ORD08381</t>
        </is>
      </c>
      <c r="B8382" t="inlineStr">
        <is>
          <t>C0881</t>
        </is>
      </c>
      <c r="C8382" t="n">
        <v>2</v>
      </c>
      <c r="D8382" t="inlineStr">
        <is>
          <t>Hub C</t>
        </is>
      </c>
      <c r="E8382" t="n">
        <v>65</v>
      </c>
      <c r="F8382" t="n">
        <v>31</v>
      </c>
    </row>
    <row r="8383">
      <c r="A8383" t="inlineStr">
        <is>
          <t>ORD08382</t>
        </is>
      </c>
      <c r="B8383" t="inlineStr">
        <is>
          <t>C0882</t>
        </is>
      </c>
      <c r="C8383" t="n">
        <v>3</v>
      </c>
      <c r="D8383" t="inlineStr">
        <is>
          <t>Hub C</t>
        </is>
      </c>
      <c r="E8383" t="n">
        <v>72</v>
      </c>
      <c r="F8383" t="n">
        <v>31</v>
      </c>
    </row>
    <row r="8384">
      <c r="A8384" t="inlineStr">
        <is>
          <t>ORD08383</t>
        </is>
      </c>
      <c r="B8384" t="inlineStr">
        <is>
          <t>C0883</t>
        </is>
      </c>
      <c r="C8384" t="n">
        <v>1</v>
      </c>
      <c r="D8384" t="inlineStr">
        <is>
          <t>Hub C</t>
        </is>
      </c>
      <c r="E8384" t="n">
        <v>19</v>
      </c>
      <c r="F8384" t="n">
        <v>31</v>
      </c>
    </row>
    <row r="8385">
      <c r="A8385" t="inlineStr">
        <is>
          <t>ORD08384</t>
        </is>
      </c>
      <c r="B8385" t="inlineStr">
        <is>
          <t>C0884</t>
        </is>
      </c>
      <c r="C8385" t="n">
        <v>2</v>
      </c>
      <c r="D8385" t="inlineStr">
        <is>
          <t>Hub C</t>
        </is>
      </c>
      <c r="E8385" t="n">
        <v>26</v>
      </c>
      <c r="F8385" t="n">
        <v>31</v>
      </c>
    </row>
    <row r="8386">
      <c r="A8386" t="inlineStr">
        <is>
          <t>ORD08385</t>
        </is>
      </c>
      <c r="B8386" t="inlineStr">
        <is>
          <t>C0885</t>
        </is>
      </c>
      <c r="C8386" t="n">
        <v>3</v>
      </c>
      <c r="D8386" t="inlineStr">
        <is>
          <t>Hub C</t>
        </is>
      </c>
      <c r="E8386" t="n">
        <v>33</v>
      </c>
      <c r="F8386" t="n">
        <v>31</v>
      </c>
    </row>
    <row r="8387">
      <c r="A8387" t="inlineStr">
        <is>
          <t>ORD08386</t>
        </is>
      </c>
      <c r="B8387" t="inlineStr">
        <is>
          <t>C0886</t>
        </is>
      </c>
      <c r="C8387" t="n">
        <v>1</v>
      </c>
      <c r="D8387" t="inlineStr">
        <is>
          <t>Hub C</t>
        </is>
      </c>
      <c r="E8387" t="n">
        <v>40</v>
      </c>
      <c r="F8387" t="n">
        <v>31</v>
      </c>
    </row>
    <row r="8388">
      <c r="A8388" t="inlineStr">
        <is>
          <t>ORD08387</t>
        </is>
      </c>
      <c r="B8388" t="inlineStr">
        <is>
          <t>C0887</t>
        </is>
      </c>
      <c r="C8388" t="n">
        <v>2</v>
      </c>
      <c r="D8388" t="inlineStr">
        <is>
          <t>Hub C</t>
        </is>
      </c>
      <c r="E8388" t="n">
        <v>47</v>
      </c>
      <c r="F8388" t="n">
        <v>31</v>
      </c>
    </row>
    <row r="8389">
      <c r="A8389" t="inlineStr">
        <is>
          <t>ORD08388</t>
        </is>
      </c>
      <c r="B8389" t="inlineStr">
        <is>
          <t>C0888</t>
        </is>
      </c>
      <c r="C8389" t="n">
        <v>3</v>
      </c>
      <c r="D8389" t="inlineStr">
        <is>
          <t>Hub C</t>
        </is>
      </c>
      <c r="E8389" t="n">
        <v>54</v>
      </c>
      <c r="F8389" t="n">
        <v>31</v>
      </c>
    </row>
    <row r="8390">
      <c r="A8390" t="inlineStr">
        <is>
          <t>ORD08389</t>
        </is>
      </c>
      <c r="B8390" t="inlineStr">
        <is>
          <t>C0889</t>
        </is>
      </c>
      <c r="C8390" t="n">
        <v>1</v>
      </c>
      <c r="D8390" t="inlineStr">
        <is>
          <t>Hub C</t>
        </is>
      </c>
      <c r="E8390" t="n">
        <v>61</v>
      </c>
      <c r="F8390" t="n">
        <v>31</v>
      </c>
    </row>
    <row r="8391">
      <c r="A8391" t="inlineStr">
        <is>
          <t>ORD08390</t>
        </is>
      </c>
      <c r="B8391" t="inlineStr">
        <is>
          <t>C0890</t>
        </is>
      </c>
      <c r="C8391" t="n">
        <v>2</v>
      </c>
      <c r="D8391" t="inlineStr">
        <is>
          <t>Hub C</t>
        </is>
      </c>
      <c r="E8391" t="n">
        <v>68</v>
      </c>
      <c r="F8391" t="n">
        <v>31</v>
      </c>
    </row>
    <row r="8392">
      <c r="A8392" t="inlineStr">
        <is>
          <t>ORD08391</t>
        </is>
      </c>
      <c r="B8392" t="inlineStr">
        <is>
          <t>C0891</t>
        </is>
      </c>
      <c r="C8392" t="n">
        <v>3</v>
      </c>
      <c r="D8392" t="inlineStr">
        <is>
          <t>Hub C</t>
        </is>
      </c>
      <c r="E8392" t="n">
        <v>75</v>
      </c>
      <c r="F8392" t="n">
        <v>31</v>
      </c>
    </row>
    <row r="8393">
      <c r="A8393" t="inlineStr">
        <is>
          <t>ORD08392</t>
        </is>
      </c>
      <c r="B8393" t="inlineStr">
        <is>
          <t>C0892</t>
        </is>
      </c>
      <c r="C8393" t="n">
        <v>1</v>
      </c>
      <c r="D8393" t="inlineStr">
        <is>
          <t>Hub C</t>
        </is>
      </c>
      <c r="E8393" t="n">
        <v>22</v>
      </c>
      <c r="F8393" t="n">
        <v>31</v>
      </c>
    </row>
    <row r="8394">
      <c r="A8394" t="inlineStr">
        <is>
          <t>ORD08393</t>
        </is>
      </c>
      <c r="B8394" t="inlineStr">
        <is>
          <t>C0893</t>
        </is>
      </c>
      <c r="C8394" t="n">
        <v>2</v>
      </c>
      <c r="D8394" t="inlineStr">
        <is>
          <t>Hub C</t>
        </is>
      </c>
      <c r="E8394" t="n">
        <v>29</v>
      </c>
      <c r="F8394" t="n">
        <v>31</v>
      </c>
    </row>
    <row r="8395">
      <c r="A8395" t="inlineStr">
        <is>
          <t>ORD08394</t>
        </is>
      </c>
      <c r="B8395" t="inlineStr">
        <is>
          <t>C0894</t>
        </is>
      </c>
      <c r="C8395" t="n">
        <v>3</v>
      </c>
      <c r="D8395" t="inlineStr">
        <is>
          <t>Hub C</t>
        </is>
      </c>
      <c r="E8395" t="n">
        <v>36</v>
      </c>
      <c r="F8395" t="n">
        <v>31</v>
      </c>
    </row>
    <row r="8396">
      <c r="A8396" t="inlineStr">
        <is>
          <t>ORD08395</t>
        </is>
      </c>
      <c r="B8396" t="inlineStr">
        <is>
          <t>C0895</t>
        </is>
      </c>
      <c r="C8396" t="n">
        <v>1</v>
      </c>
      <c r="D8396" t="inlineStr">
        <is>
          <t>Hub C</t>
        </is>
      </c>
      <c r="E8396" t="n">
        <v>43</v>
      </c>
      <c r="F8396" t="n">
        <v>31</v>
      </c>
    </row>
    <row r="8397">
      <c r="A8397" t="inlineStr">
        <is>
          <t>ORD08396</t>
        </is>
      </c>
      <c r="B8397" t="inlineStr">
        <is>
          <t>C0896</t>
        </is>
      </c>
      <c r="C8397" t="n">
        <v>2</v>
      </c>
      <c r="D8397" t="inlineStr">
        <is>
          <t>Hub C</t>
        </is>
      </c>
      <c r="E8397" t="n">
        <v>50</v>
      </c>
      <c r="F8397" t="n">
        <v>31</v>
      </c>
    </row>
    <row r="8398">
      <c r="A8398" t="inlineStr">
        <is>
          <t>ORD08397</t>
        </is>
      </c>
      <c r="B8398" t="inlineStr">
        <is>
          <t>C0897</t>
        </is>
      </c>
      <c r="C8398" t="n">
        <v>3</v>
      </c>
      <c r="D8398" t="inlineStr">
        <is>
          <t>Hub C</t>
        </is>
      </c>
      <c r="E8398" t="n">
        <v>57</v>
      </c>
      <c r="F8398" t="n">
        <v>31</v>
      </c>
    </row>
    <row r="8399">
      <c r="A8399" t="inlineStr">
        <is>
          <t>ORD08398</t>
        </is>
      </c>
      <c r="B8399" t="inlineStr">
        <is>
          <t>C0898</t>
        </is>
      </c>
      <c r="C8399" t="n">
        <v>1</v>
      </c>
      <c r="D8399" t="inlineStr">
        <is>
          <t>Hub C</t>
        </is>
      </c>
      <c r="E8399" t="n">
        <v>64</v>
      </c>
      <c r="F8399" t="n">
        <v>31</v>
      </c>
    </row>
    <row r="8400">
      <c r="A8400" t="inlineStr">
        <is>
          <t>ORD08399</t>
        </is>
      </c>
      <c r="B8400" t="inlineStr">
        <is>
          <t>C0899</t>
        </is>
      </c>
      <c r="C8400" t="n">
        <v>2</v>
      </c>
      <c r="D8400" t="inlineStr">
        <is>
          <t>Hub C</t>
        </is>
      </c>
      <c r="E8400" t="n">
        <v>71</v>
      </c>
      <c r="F8400" t="n">
        <v>31</v>
      </c>
    </row>
    <row r="8401">
      <c r="A8401" t="inlineStr">
        <is>
          <t>ORD08400</t>
        </is>
      </c>
      <c r="B8401" t="inlineStr">
        <is>
          <t>C0900</t>
        </is>
      </c>
      <c r="C8401" t="n">
        <v>3</v>
      </c>
      <c r="D8401" t="inlineStr">
        <is>
          <t>Hub C</t>
        </is>
      </c>
      <c r="E8401" t="n">
        <v>18</v>
      </c>
      <c r="F8401" t="n">
        <v>31</v>
      </c>
    </row>
    <row r="8402">
      <c r="A8402" t="inlineStr">
        <is>
          <t>ORD08401</t>
        </is>
      </c>
      <c r="B8402" t="inlineStr">
        <is>
          <t>C0901</t>
        </is>
      </c>
      <c r="C8402" t="n">
        <v>1</v>
      </c>
      <c r="D8402" t="inlineStr">
        <is>
          <t>Hub C</t>
        </is>
      </c>
      <c r="E8402" t="n">
        <v>25</v>
      </c>
      <c r="F8402" t="n">
        <v>31</v>
      </c>
    </row>
    <row r="8403">
      <c r="A8403" t="inlineStr">
        <is>
          <t>ORD08402</t>
        </is>
      </c>
      <c r="B8403" t="inlineStr">
        <is>
          <t>C0902</t>
        </is>
      </c>
      <c r="C8403" t="n">
        <v>2</v>
      </c>
      <c r="D8403" t="inlineStr">
        <is>
          <t>Hub C</t>
        </is>
      </c>
      <c r="E8403" t="n">
        <v>32</v>
      </c>
      <c r="F8403" t="n">
        <v>31</v>
      </c>
    </row>
    <row r="8404">
      <c r="A8404" t="inlineStr">
        <is>
          <t>ORD08403</t>
        </is>
      </c>
      <c r="B8404" t="inlineStr">
        <is>
          <t>C0903</t>
        </is>
      </c>
      <c r="C8404" t="n">
        <v>3</v>
      </c>
      <c r="D8404" t="inlineStr">
        <is>
          <t>Hub C</t>
        </is>
      </c>
      <c r="E8404" t="n">
        <v>39</v>
      </c>
      <c r="F8404" t="n">
        <v>31</v>
      </c>
    </row>
    <row r="8405">
      <c r="A8405" t="inlineStr">
        <is>
          <t>ORD08404</t>
        </is>
      </c>
      <c r="B8405" t="inlineStr">
        <is>
          <t>C0904</t>
        </is>
      </c>
      <c r="C8405" t="n">
        <v>1</v>
      </c>
      <c r="D8405" t="inlineStr">
        <is>
          <t>Hub C</t>
        </is>
      </c>
      <c r="E8405" t="n">
        <v>46</v>
      </c>
      <c r="F8405" t="n">
        <v>31</v>
      </c>
    </row>
    <row r="8406">
      <c r="A8406" t="inlineStr">
        <is>
          <t>ORD08405</t>
        </is>
      </c>
      <c r="B8406" t="inlineStr">
        <is>
          <t>C0905</t>
        </is>
      </c>
      <c r="C8406" t="n">
        <v>2</v>
      </c>
      <c r="D8406" t="inlineStr">
        <is>
          <t>Hub C</t>
        </is>
      </c>
      <c r="E8406" t="n">
        <v>53</v>
      </c>
      <c r="F8406" t="n">
        <v>31</v>
      </c>
    </row>
    <row r="8407">
      <c r="A8407" t="inlineStr">
        <is>
          <t>ORD08406</t>
        </is>
      </c>
      <c r="B8407" t="inlineStr">
        <is>
          <t>C0906</t>
        </is>
      </c>
      <c r="C8407" t="n">
        <v>3</v>
      </c>
      <c r="D8407" t="inlineStr">
        <is>
          <t>Hub C</t>
        </is>
      </c>
      <c r="E8407" t="n">
        <v>60</v>
      </c>
      <c r="F8407" t="n">
        <v>31</v>
      </c>
    </row>
    <row r="8408">
      <c r="A8408" t="inlineStr">
        <is>
          <t>ORD08407</t>
        </is>
      </c>
      <c r="B8408" t="inlineStr">
        <is>
          <t>C0907</t>
        </is>
      </c>
      <c r="C8408" t="n">
        <v>1</v>
      </c>
      <c r="D8408" t="inlineStr">
        <is>
          <t>Hub C</t>
        </is>
      </c>
      <c r="E8408" t="n">
        <v>67</v>
      </c>
      <c r="F8408" t="n">
        <v>31</v>
      </c>
    </row>
    <row r="8409">
      <c r="A8409" t="inlineStr">
        <is>
          <t>ORD08408</t>
        </is>
      </c>
      <c r="B8409" t="inlineStr">
        <is>
          <t>C0908</t>
        </is>
      </c>
      <c r="C8409" t="n">
        <v>2</v>
      </c>
      <c r="D8409" t="inlineStr">
        <is>
          <t>Hub C</t>
        </is>
      </c>
      <c r="E8409" t="n">
        <v>74</v>
      </c>
      <c r="F8409" t="n">
        <v>31</v>
      </c>
    </row>
    <row r="8410">
      <c r="A8410" t="inlineStr">
        <is>
          <t>ORD08409</t>
        </is>
      </c>
      <c r="B8410" t="inlineStr">
        <is>
          <t>C0909</t>
        </is>
      </c>
      <c r="C8410" t="n">
        <v>3</v>
      </c>
      <c r="D8410" t="inlineStr">
        <is>
          <t>Hub C</t>
        </is>
      </c>
      <c r="E8410" t="n">
        <v>21</v>
      </c>
      <c r="F8410" t="n">
        <v>31</v>
      </c>
    </row>
    <row r="8411">
      <c r="A8411" t="inlineStr">
        <is>
          <t>ORD08410</t>
        </is>
      </c>
      <c r="B8411" t="inlineStr">
        <is>
          <t>C0910</t>
        </is>
      </c>
      <c r="C8411" t="n">
        <v>1</v>
      </c>
      <c r="D8411" t="inlineStr">
        <is>
          <t>Hub C</t>
        </is>
      </c>
      <c r="E8411" t="n">
        <v>28</v>
      </c>
      <c r="F8411" t="n">
        <v>31</v>
      </c>
    </row>
    <row r="8412">
      <c r="A8412" t="inlineStr">
        <is>
          <t>ORD08411</t>
        </is>
      </c>
      <c r="B8412" t="inlineStr">
        <is>
          <t>C0911</t>
        </is>
      </c>
      <c r="C8412" t="n">
        <v>2</v>
      </c>
      <c r="D8412" t="inlineStr">
        <is>
          <t>Hub C</t>
        </is>
      </c>
      <c r="E8412" t="n">
        <v>35</v>
      </c>
      <c r="F8412" t="n">
        <v>31</v>
      </c>
    </row>
    <row r="8413">
      <c r="A8413" t="inlineStr">
        <is>
          <t>ORD08412</t>
        </is>
      </c>
      <c r="B8413" t="inlineStr">
        <is>
          <t>C0912</t>
        </is>
      </c>
      <c r="C8413" t="n">
        <v>3</v>
      </c>
      <c r="D8413" t="inlineStr">
        <is>
          <t>Hub C</t>
        </is>
      </c>
      <c r="E8413" t="n">
        <v>42</v>
      </c>
      <c r="F8413" t="n">
        <v>31</v>
      </c>
    </row>
    <row r="8414">
      <c r="A8414" t="inlineStr">
        <is>
          <t>ORD08413</t>
        </is>
      </c>
      <c r="B8414" t="inlineStr">
        <is>
          <t>C0913</t>
        </is>
      </c>
      <c r="C8414" t="n">
        <v>1</v>
      </c>
      <c r="D8414" t="inlineStr">
        <is>
          <t>Hub C</t>
        </is>
      </c>
      <c r="E8414" t="n">
        <v>49</v>
      </c>
      <c r="F8414" t="n">
        <v>31</v>
      </c>
    </row>
    <row r="8415">
      <c r="A8415" t="inlineStr">
        <is>
          <t>ORD08414</t>
        </is>
      </c>
      <c r="B8415" t="inlineStr">
        <is>
          <t>C0914</t>
        </is>
      </c>
      <c r="C8415" t="n">
        <v>2</v>
      </c>
      <c r="D8415" t="inlineStr">
        <is>
          <t>Hub C</t>
        </is>
      </c>
      <c r="E8415" t="n">
        <v>56</v>
      </c>
      <c r="F8415" t="n">
        <v>31</v>
      </c>
    </row>
    <row r="8416">
      <c r="A8416" t="inlineStr">
        <is>
          <t>ORD08415</t>
        </is>
      </c>
      <c r="B8416" t="inlineStr">
        <is>
          <t>C0915</t>
        </is>
      </c>
      <c r="C8416" t="n">
        <v>3</v>
      </c>
      <c r="D8416" t="inlineStr">
        <is>
          <t>Hub C</t>
        </is>
      </c>
      <c r="E8416" t="n">
        <v>63</v>
      </c>
      <c r="F8416" t="n">
        <v>31</v>
      </c>
    </row>
    <row r="8417">
      <c r="A8417" t="inlineStr">
        <is>
          <t>ORD08416</t>
        </is>
      </c>
      <c r="B8417" t="inlineStr">
        <is>
          <t>C0916</t>
        </is>
      </c>
      <c r="C8417" t="n">
        <v>1</v>
      </c>
      <c r="D8417" t="inlineStr">
        <is>
          <t>Hub C</t>
        </is>
      </c>
      <c r="E8417" t="n">
        <v>70</v>
      </c>
      <c r="F8417" t="n">
        <v>31</v>
      </c>
    </row>
    <row r="8418">
      <c r="A8418" t="inlineStr">
        <is>
          <t>ORD08417</t>
        </is>
      </c>
      <c r="B8418" t="inlineStr">
        <is>
          <t>C0917</t>
        </is>
      </c>
      <c r="C8418" t="n">
        <v>2</v>
      </c>
      <c r="D8418" t="inlineStr">
        <is>
          <t>Hub C</t>
        </is>
      </c>
      <c r="E8418" t="n">
        <v>77</v>
      </c>
      <c r="F8418" t="n">
        <v>31</v>
      </c>
    </row>
    <row r="8419">
      <c r="A8419" t="inlineStr">
        <is>
          <t>ORD08418</t>
        </is>
      </c>
      <c r="B8419" t="inlineStr">
        <is>
          <t>C0918</t>
        </is>
      </c>
      <c r="C8419" t="n">
        <v>3</v>
      </c>
      <c r="D8419" t="inlineStr">
        <is>
          <t>Hub C</t>
        </is>
      </c>
      <c r="E8419" t="n">
        <v>24</v>
      </c>
      <c r="F8419" t="n">
        <v>31</v>
      </c>
    </row>
    <row r="8420">
      <c r="A8420" t="inlineStr">
        <is>
          <t>ORD08419</t>
        </is>
      </c>
      <c r="B8420" t="inlineStr">
        <is>
          <t>C0919</t>
        </is>
      </c>
      <c r="C8420" t="n">
        <v>1</v>
      </c>
      <c r="D8420" t="inlineStr">
        <is>
          <t>Hub C</t>
        </is>
      </c>
      <c r="E8420" t="n">
        <v>31</v>
      </c>
      <c r="F8420" t="n">
        <v>31</v>
      </c>
    </row>
    <row r="8421">
      <c r="A8421" t="inlineStr">
        <is>
          <t>ORD08420</t>
        </is>
      </c>
      <c r="B8421" t="inlineStr">
        <is>
          <t>C0920</t>
        </is>
      </c>
      <c r="C8421" t="n">
        <v>2</v>
      </c>
      <c r="D8421" t="inlineStr">
        <is>
          <t>Hub C</t>
        </is>
      </c>
      <c r="E8421" t="n">
        <v>38</v>
      </c>
      <c r="F8421" t="n">
        <v>31</v>
      </c>
    </row>
    <row r="8422">
      <c r="A8422" t="inlineStr">
        <is>
          <t>ORD08421</t>
        </is>
      </c>
      <c r="B8422" t="inlineStr">
        <is>
          <t>C0921</t>
        </is>
      </c>
      <c r="C8422" t="n">
        <v>3</v>
      </c>
      <c r="D8422" t="inlineStr">
        <is>
          <t>Hub C</t>
        </is>
      </c>
      <c r="E8422" t="n">
        <v>45</v>
      </c>
      <c r="F8422" t="n">
        <v>31</v>
      </c>
    </row>
    <row r="8423">
      <c r="A8423" t="inlineStr">
        <is>
          <t>ORD08422</t>
        </is>
      </c>
      <c r="B8423" t="inlineStr">
        <is>
          <t>C0922</t>
        </is>
      </c>
      <c r="C8423" t="n">
        <v>1</v>
      </c>
      <c r="D8423" t="inlineStr">
        <is>
          <t>Hub C</t>
        </is>
      </c>
      <c r="E8423" t="n">
        <v>52</v>
      </c>
      <c r="F8423" t="n">
        <v>31</v>
      </c>
    </row>
    <row r="8424">
      <c r="A8424" t="inlineStr">
        <is>
          <t>ORD08423</t>
        </is>
      </c>
      <c r="B8424" t="inlineStr">
        <is>
          <t>C0923</t>
        </is>
      </c>
      <c r="C8424" t="n">
        <v>2</v>
      </c>
      <c r="D8424" t="inlineStr">
        <is>
          <t>Hub C</t>
        </is>
      </c>
      <c r="E8424" t="n">
        <v>59</v>
      </c>
      <c r="F8424" t="n">
        <v>31</v>
      </c>
    </row>
    <row r="8425">
      <c r="A8425" t="inlineStr">
        <is>
          <t>ORD08424</t>
        </is>
      </c>
      <c r="B8425" t="inlineStr">
        <is>
          <t>C0924</t>
        </is>
      </c>
      <c r="C8425" t="n">
        <v>3</v>
      </c>
      <c r="D8425" t="inlineStr">
        <is>
          <t>Hub C</t>
        </is>
      </c>
      <c r="E8425" t="n">
        <v>66</v>
      </c>
      <c r="F8425" t="n">
        <v>31</v>
      </c>
    </row>
    <row r="8426">
      <c r="A8426" t="inlineStr">
        <is>
          <t>ORD08425</t>
        </is>
      </c>
      <c r="B8426" t="inlineStr">
        <is>
          <t>C0925</t>
        </is>
      </c>
      <c r="C8426" t="n">
        <v>1</v>
      </c>
      <c r="D8426" t="inlineStr">
        <is>
          <t>Hub C</t>
        </is>
      </c>
      <c r="E8426" t="n">
        <v>73</v>
      </c>
      <c r="F8426" t="n">
        <v>31</v>
      </c>
    </row>
    <row r="8427">
      <c r="A8427" t="inlineStr">
        <is>
          <t>ORD08426</t>
        </is>
      </c>
      <c r="B8427" t="inlineStr">
        <is>
          <t>C0926</t>
        </is>
      </c>
      <c r="C8427" t="n">
        <v>2</v>
      </c>
      <c r="D8427" t="inlineStr">
        <is>
          <t>Hub C</t>
        </is>
      </c>
      <c r="E8427" t="n">
        <v>20</v>
      </c>
      <c r="F8427" t="n">
        <v>31</v>
      </c>
    </row>
    <row r="8428">
      <c r="A8428" t="inlineStr">
        <is>
          <t>ORD08427</t>
        </is>
      </c>
      <c r="B8428" t="inlineStr">
        <is>
          <t>C0927</t>
        </is>
      </c>
      <c r="C8428" t="n">
        <v>3</v>
      </c>
      <c r="D8428" t="inlineStr">
        <is>
          <t>Hub C</t>
        </is>
      </c>
      <c r="E8428" t="n">
        <v>27</v>
      </c>
      <c r="F8428" t="n">
        <v>31</v>
      </c>
    </row>
    <row r="8429">
      <c r="A8429" t="inlineStr">
        <is>
          <t>ORD08428</t>
        </is>
      </c>
      <c r="B8429" t="inlineStr">
        <is>
          <t>C0928</t>
        </is>
      </c>
      <c r="C8429" t="n">
        <v>1</v>
      </c>
      <c r="D8429" t="inlineStr">
        <is>
          <t>Hub C</t>
        </is>
      </c>
      <c r="E8429" t="n">
        <v>34</v>
      </c>
      <c r="F8429" t="n">
        <v>31</v>
      </c>
    </row>
    <row r="8430">
      <c r="A8430" t="inlineStr">
        <is>
          <t>ORD08429</t>
        </is>
      </c>
      <c r="B8430" t="inlineStr">
        <is>
          <t>C0929</t>
        </is>
      </c>
      <c r="C8430" t="n">
        <v>2</v>
      </c>
      <c r="D8430" t="inlineStr">
        <is>
          <t>Hub C</t>
        </is>
      </c>
      <c r="E8430" t="n">
        <v>41</v>
      </c>
      <c r="F8430" t="n">
        <v>31</v>
      </c>
    </row>
    <row r="8431">
      <c r="A8431" t="inlineStr">
        <is>
          <t>ORD08430</t>
        </is>
      </c>
      <c r="B8431" t="inlineStr">
        <is>
          <t>C0930</t>
        </is>
      </c>
      <c r="C8431" t="n">
        <v>3</v>
      </c>
      <c r="D8431" t="inlineStr">
        <is>
          <t>Hub C</t>
        </is>
      </c>
      <c r="E8431" t="n">
        <v>48</v>
      </c>
      <c r="F8431" t="n">
        <v>31</v>
      </c>
    </row>
    <row r="8432">
      <c r="A8432" t="inlineStr">
        <is>
          <t>ORD08431</t>
        </is>
      </c>
      <c r="B8432" t="inlineStr">
        <is>
          <t>C0931</t>
        </is>
      </c>
      <c r="C8432" t="n">
        <v>1</v>
      </c>
      <c r="D8432" t="inlineStr">
        <is>
          <t>Hub C</t>
        </is>
      </c>
      <c r="E8432" t="n">
        <v>55</v>
      </c>
      <c r="F8432" t="n">
        <v>31</v>
      </c>
    </row>
    <row r="8433">
      <c r="A8433" t="inlineStr">
        <is>
          <t>ORD08432</t>
        </is>
      </c>
      <c r="B8433" t="inlineStr">
        <is>
          <t>C0932</t>
        </is>
      </c>
      <c r="C8433" t="n">
        <v>2</v>
      </c>
      <c r="D8433" t="inlineStr">
        <is>
          <t>Hub C</t>
        </is>
      </c>
      <c r="E8433" t="n">
        <v>62</v>
      </c>
      <c r="F8433" t="n">
        <v>31</v>
      </c>
    </row>
    <row r="8434">
      <c r="A8434" t="inlineStr">
        <is>
          <t>ORD08433</t>
        </is>
      </c>
      <c r="B8434" t="inlineStr">
        <is>
          <t>C0933</t>
        </is>
      </c>
      <c r="C8434" t="n">
        <v>3</v>
      </c>
      <c r="D8434" t="inlineStr">
        <is>
          <t>Hub C</t>
        </is>
      </c>
      <c r="E8434" t="n">
        <v>69</v>
      </c>
      <c r="F8434" t="n">
        <v>31</v>
      </c>
    </row>
    <row r="8435">
      <c r="A8435" t="inlineStr">
        <is>
          <t>ORD08434</t>
        </is>
      </c>
      <c r="B8435" t="inlineStr">
        <is>
          <t>C0934</t>
        </is>
      </c>
      <c r="C8435" t="n">
        <v>1</v>
      </c>
      <c r="D8435" t="inlineStr">
        <is>
          <t>Hub C</t>
        </is>
      </c>
      <c r="E8435" t="n">
        <v>76</v>
      </c>
      <c r="F8435" t="n">
        <v>31</v>
      </c>
    </row>
    <row r="8436">
      <c r="A8436" t="inlineStr">
        <is>
          <t>ORD08435</t>
        </is>
      </c>
      <c r="B8436" t="inlineStr">
        <is>
          <t>C0935</t>
        </is>
      </c>
      <c r="C8436" t="n">
        <v>2</v>
      </c>
      <c r="D8436" t="inlineStr">
        <is>
          <t>Hub C</t>
        </is>
      </c>
      <c r="E8436" t="n">
        <v>23</v>
      </c>
      <c r="F8436" t="n">
        <v>31</v>
      </c>
    </row>
    <row r="8437">
      <c r="A8437" t="inlineStr">
        <is>
          <t>ORD08436</t>
        </is>
      </c>
      <c r="B8437" t="inlineStr">
        <is>
          <t>C0936</t>
        </is>
      </c>
      <c r="C8437" t="n">
        <v>3</v>
      </c>
      <c r="D8437" t="inlineStr">
        <is>
          <t>Hub C</t>
        </is>
      </c>
      <c r="E8437" t="n">
        <v>30</v>
      </c>
      <c r="F8437" t="n">
        <v>31</v>
      </c>
    </row>
    <row r="8438">
      <c r="A8438" t="inlineStr">
        <is>
          <t>ORD08437</t>
        </is>
      </c>
      <c r="B8438" t="inlineStr">
        <is>
          <t>C0937</t>
        </is>
      </c>
      <c r="C8438" t="n">
        <v>1</v>
      </c>
      <c r="D8438" t="inlineStr">
        <is>
          <t>Hub C</t>
        </is>
      </c>
      <c r="E8438" t="n">
        <v>37</v>
      </c>
      <c r="F8438" t="n">
        <v>31</v>
      </c>
    </row>
    <row r="8439">
      <c r="A8439" t="inlineStr">
        <is>
          <t>ORD08438</t>
        </is>
      </c>
      <c r="B8439" t="inlineStr">
        <is>
          <t>C0938</t>
        </is>
      </c>
      <c r="C8439" t="n">
        <v>2</v>
      </c>
      <c r="D8439" t="inlineStr">
        <is>
          <t>Hub C</t>
        </is>
      </c>
      <c r="E8439" t="n">
        <v>44</v>
      </c>
      <c r="F8439" t="n">
        <v>31</v>
      </c>
    </row>
    <row r="8440">
      <c r="A8440" t="inlineStr">
        <is>
          <t>ORD08439</t>
        </is>
      </c>
      <c r="B8440" t="inlineStr">
        <is>
          <t>C0939</t>
        </is>
      </c>
      <c r="C8440" t="n">
        <v>3</v>
      </c>
      <c r="D8440" t="inlineStr">
        <is>
          <t>Hub C</t>
        </is>
      </c>
      <c r="E8440" t="n">
        <v>51</v>
      </c>
      <c r="F8440" t="n">
        <v>31</v>
      </c>
    </row>
    <row r="8441">
      <c r="A8441" t="inlineStr">
        <is>
          <t>ORD08440</t>
        </is>
      </c>
      <c r="B8441" t="inlineStr">
        <is>
          <t>C0940</t>
        </is>
      </c>
      <c r="C8441" t="n">
        <v>1</v>
      </c>
      <c r="D8441" t="inlineStr">
        <is>
          <t>Hub C</t>
        </is>
      </c>
      <c r="E8441" t="n">
        <v>58</v>
      </c>
      <c r="F8441" t="n">
        <v>31</v>
      </c>
    </row>
    <row r="8442">
      <c r="A8442" t="inlineStr">
        <is>
          <t>ORD08441</t>
        </is>
      </c>
      <c r="B8442" t="inlineStr">
        <is>
          <t>C0941</t>
        </is>
      </c>
      <c r="C8442" t="n">
        <v>2</v>
      </c>
      <c r="D8442" t="inlineStr">
        <is>
          <t>Hub C</t>
        </is>
      </c>
      <c r="E8442" t="n">
        <v>65</v>
      </c>
      <c r="F8442" t="n">
        <v>31</v>
      </c>
    </row>
    <row r="8443">
      <c r="A8443" t="inlineStr">
        <is>
          <t>ORD08442</t>
        </is>
      </c>
      <c r="B8443" t="inlineStr">
        <is>
          <t>C0942</t>
        </is>
      </c>
      <c r="C8443" t="n">
        <v>3</v>
      </c>
      <c r="D8443" t="inlineStr">
        <is>
          <t>Hub C</t>
        </is>
      </c>
      <c r="E8443" t="n">
        <v>72</v>
      </c>
      <c r="F8443" t="n">
        <v>31</v>
      </c>
    </row>
    <row r="8444">
      <c r="A8444" t="inlineStr">
        <is>
          <t>ORD08443</t>
        </is>
      </c>
      <c r="B8444" t="inlineStr">
        <is>
          <t>C0943</t>
        </is>
      </c>
      <c r="C8444" t="n">
        <v>1</v>
      </c>
      <c r="D8444" t="inlineStr">
        <is>
          <t>Hub C</t>
        </is>
      </c>
      <c r="E8444" t="n">
        <v>19</v>
      </c>
      <c r="F8444" t="n">
        <v>31</v>
      </c>
    </row>
    <row r="8445">
      <c r="A8445" t="inlineStr">
        <is>
          <t>ORD08444</t>
        </is>
      </c>
      <c r="B8445" t="inlineStr">
        <is>
          <t>C0944</t>
        </is>
      </c>
      <c r="C8445" t="n">
        <v>2</v>
      </c>
      <c r="D8445" t="inlineStr">
        <is>
          <t>Hub C</t>
        </is>
      </c>
      <c r="E8445" t="n">
        <v>26</v>
      </c>
      <c r="F8445" t="n">
        <v>31</v>
      </c>
    </row>
    <row r="8446">
      <c r="A8446" t="inlineStr">
        <is>
          <t>ORD08445</t>
        </is>
      </c>
      <c r="B8446" t="inlineStr">
        <is>
          <t>C0945</t>
        </is>
      </c>
      <c r="C8446" t="n">
        <v>3</v>
      </c>
      <c r="D8446" t="inlineStr">
        <is>
          <t>Hub C</t>
        </is>
      </c>
      <c r="E8446" t="n">
        <v>33</v>
      </c>
      <c r="F8446" t="n">
        <v>31</v>
      </c>
    </row>
    <row r="8447">
      <c r="A8447" t="inlineStr">
        <is>
          <t>ORD08446</t>
        </is>
      </c>
      <c r="B8447" t="inlineStr">
        <is>
          <t>C0946</t>
        </is>
      </c>
      <c r="C8447" t="n">
        <v>1</v>
      </c>
      <c r="D8447" t="inlineStr">
        <is>
          <t>Hub C</t>
        </is>
      </c>
      <c r="E8447" t="n">
        <v>40</v>
      </c>
      <c r="F8447" t="n">
        <v>31</v>
      </c>
    </row>
    <row r="8448">
      <c r="A8448" t="inlineStr">
        <is>
          <t>ORD08447</t>
        </is>
      </c>
      <c r="B8448" t="inlineStr">
        <is>
          <t>C0947</t>
        </is>
      </c>
      <c r="C8448" t="n">
        <v>2</v>
      </c>
      <c r="D8448" t="inlineStr">
        <is>
          <t>Hub C</t>
        </is>
      </c>
      <c r="E8448" t="n">
        <v>47</v>
      </c>
      <c r="F8448" t="n">
        <v>31</v>
      </c>
    </row>
    <row r="8449">
      <c r="A8449" t="inlineStr">
        <is>
          <t>ORD08448</t>
        </is>
      </c>
      <c r="B8449" t="inlineStr">
        <is>
          <t>C0948</t>
        </is>
      </c>
      <c r="C8449" t="n">
        <v>3</v>
      </c>
      <c r="D8449" t="inlineStr">
        <is>
          <t>Hub C</t>
        </is>
      </c>
      <c r="E8449" t="n">
        <v>54</v>
      </c>
      <c r="F8449" t="n">
        <v>31</v>
      </c>
    </row>
    <row r="8450">
      <c r="A8450" t="inlineStr">
        <is>
          <t>ORD08449</t>
        </is>
      </c>
      <c r="B8450" t="inlineStr">
        <is>
          <t>C0949</t>
        </is>
      </c>
      <c r="C8450" t="n">
        <v>1</v>
      </c>
      <c r="D8450" t="inlineStr">
        <is>
          <t>Hub C</t>
        </is>
      </c>
      <c r="E8450" t="n">
        <v>61</v>
      </c>
      <c r="F8450" t="n">
        <v>31</v>
      </c>
    </row>
    <row r="8451">
      <c r="A8451" t="inlineStr">
        <is>
          <t>ORD08450</t>
        </is>
      </c>
      <c r="B8451" t="inlineStr">
        <is>
          <t>C0950</t>
        </is>
      </c>
      <c r="C8451" t="n">
        <v>2</v>
      </c>
      <c r="D8451" t="inlineStr">
        <is>
          <t>Hub C</t>
        </is>
      </c>
      <c r="E8451" t="n">
        <v>68</v>
      </c>
      <c r="F8451" t="n">
        <v>31</v>
      </c>
    </row>
    <row r="8452">
      <c r="A8452" t="inlineStr">
        <is>
          <t>ORD08451</t>
        </is>
      </c>
      <c r="B8452" t="inlineStr">
        <is>
          <t>C0951</t>
        </is>
      </c>
      <c r="C8452" t="n">
        <v>3</v>
      </c>
      <c r="D8452" t="inlineStr">
        <is>
          <t>Hub C</t>
        </is>
      </c>
      <c r="E8452" t="n">
        <v>75</v>
      </c>
      <c r="F8452" t="n">
        <v>31</v>
      </c>
    </row>
    <row r="8453">
      <c r="A8453" t="inlineStr">
        <is>
          <t>ORD08452</t>
        </is>
      </c>
      <c r="B8453" t="inlineStr">
        <is>
          <t>C0952</t>
        </is>
      </c>
      <c r="C8453" t="n">
        <v>1</v>
      </c>
      <c r="D8453" t="inlineStr">
        <is>
          <t>Hub C</t>
        </is>
      </c>
      <c r="E8453" t="n">
        <v>22</v>
      </c>
      <c r="F8453" t="n">
        <v>31</v>
      </c>
    </row>
    <row r="8454">
      <c r="A8454" t="inlineStr">
        <is>
          <t>ORD08453</t>
        </is>
      </c>
      <c r="B8454" t="inlineStr">
        <is>
          <t>C0953</t>
        </is>
      </c>
      <c r="C8454" t="n">
        <v>2</v>
      </c>
      <c r="D8454" t="inlineStr">
        <is>
          <t>Hub C</t>
        </is>
      </c>
      <c r="E8454" t="n">
        <v>29</v>
      </c>
      <c r="F8454" t="n">
        <v>31</v>
      </c>
    </row>
    <row r="8455">
      <c r="A8455" t="inlineStr">
        <is>
          <t>ORD08454</t>
        </is>
      </c>
      <c r="B8455" t="inlineStr">
        <is>
          <t>C0954</t>
        </is>
      </c>
      <c r="C8455" t="n">
        <v>3</v>
      </c>
      <c r="D8455" t="inlineStr">
        <is>
          <t>Hub C</t>
        </is>
      </c>
      <c r="E8455" t="n">
        <v>36</v>
      </c>
      <c r="F8455" t="n">
        <v>31</v>
      </c>
    </row>
    <row r="8456">
      <c r="A8456" t="inlineStr">
        <is>
          <t>ORD08455</t>
        </is>
      </c>
      <c r="B8456" t="inlineStr">
        <is>
          <t>C0955</t>
        </is>
      </c>
      <c r="C8456" t="n">
        <v>1</v>
      </c>
      <c r="D8456" t="inlineStr">
        <is>
          <t>Hub C</t>
        </is>
      </c>
      <c r="E8456" t="n">
        <v>43</v>
      </c>
      <c r="F8456" t="n">
        <v>31</v>
      </c>
    </row>
    <row r="8457">
      <c r="A8457" t="inlineStr">
        <is>
          <t>ORD08456</t>
        </is>
      </c>
      <c r="B8457" t="inlineStr">
        <is>
          <t>C0956</t>
        </is>
      </c>
      <c r="C8457" t="n">
        <v>2</v>
      </c>
      <c r="D8457" t="inlineStr">
        <is>
          <t>Hub C</t>
        </is>
      </c>
      <c r="E8457" t="n">
        <v>50</v>
      </c>
      <c r="F8457" t="n">
        <v>31</v>
      </c>
    </row>
    <row r="8458">
      <c r="A8458" t="inlineStr">
        <is>
          <t>ORD08457</t>
        </is>
      </c>
      <c r="B8458" t="inlineStr">
        <is>
          <t>C0957</t>
        </is>
      </c>
      <c r="C8458" t="n">
        <v>3</v>
      </c>
      <c r="D8458" t="inlineStr">
        <is>
          <t>Hub C</t>
        </is>
      </c>
      <c r="E8458" t="n">
        <v>57</v>
      </c>
      <c r="F8458" t="n">
        <v>31</v>
      </c>
    </row>
    <row r="8459">
      <c r="A8459" t="inlineStr">
        <is>
          <t>ORD08458</t>
        </is>
      </c>
      <c r="B8459" t="inlineStr">
        <is>
          <t>C0958</t>
        </is>
      </c>
      <c r="C8459" t="n">
        <v>1</v>
      </c>
      <c r="D8459" t="inlineStr">
        <is>
          <t>Hub C</t>
        </is>
      </c>
      <c r="E8459" t="n">
        <v>64</v>
      </c>
      <c r="F8459" t="n">
        <v>31</v>
      </c>
    </row>
    <row r="8460">
      <c r="A8460" t="inlineStr">
        <is>
          <t>ORD08459</t>
        </is>
      </c>
      <c r="B8460" t="inlineStr">
        <is>
          <t>C0959</t>
        </is>
      </c>
      <c r="C8460" t="n">
        <v>2</v>
      </c>
      <c r="D8460" t="inlineStr">
        <is>
          <t>Hub C</t>
        </is>
      </c>
      <c r="E8460" t="n">
        <v>71</v>
      </c>
      <c r="F8460" t="n">
        <v>31</v>
      </c>
    </row>
    <row r="8461">
      <c r="A8461" t="inlineStr">
        <is>
          <t>ORD08460</t>
        </is>
      </c>
      <c r="B8461" t="inlineStr">
        <is>
          <t>C0960</t>
        </is>
      </c>
      <c r="C8461" t="n">
        <v>3</v>
      </c>
      <c r="D8461" t="inlineStr">
        <is>
          <t>Hub C</t>
        </is>
      </c>
      <c r="E8461" t="n">
        <v>18</v>
      </c>
      <c r="F8461" t="n">
        <v>31</v>
      </c>
    </row>
    <row r="8462">
      <c r="A8462" t="inlineStr">
        <is>
          <t>ORD08461</t>
        </is>
      </c>
      <c r="B8462" t="inlineStr">
        <is>
          <t>C0961</t>
        </is>
      </c>
      <c r="C8462" t="n">
        <v>1</v>
      </c>
      <c r="D8462" t="inlineStr">
        <is>
          <t>Hub C</t>
        </is>
      </c>
      <c r="E8462" t="n">
        <v>25</v>
      </c>
      <c r="F8462" t="n">
        <v>31</v>
      </c>
    </row>
    <row r="8463">
      <c r="A8463" t="inlineStr">
        <is>
          <t>ORD08462</t>
        </is>
      </c>
      <c r="B8463" t="inlineStr">
        <is>
          <t>C0962</t>
        </is>
      </c>
      <c r="C8463" t="n">
        <v>2</v>
      </c>
      <c r="D8463" t="inlineStr">
        <is>
          <t>Hub C</t>
        </is>
      </c>
      <c r="E8463" t="n">
        <v>32</v>
      </c>
      <c r="F8463" t="n">
        <v>31</v>
      </c>
    </row>
    <row r="8464">
      <c r="A8464" t="inlineStr">
        <is>
          <t>ORD08463</t>
        </is>
      </c>
      <c r="B8464" t="inlineStr">
        <is>
          <t>C0963</t>
        </is>
      </c>
      <c r="C8464" t="n">
        <v>3</v>
      </c>
      <c r="D8464" t="inlineStr">
        <is>
          <t>Hub C</t>
        </is>
      </c>
      <c r="E8464" t="n">
        <v>39</v>
      </c>
      <c r="F8464" t="n">
        <v>31</v>
      </c>
    </row>
    <row r="8465">
      <c r="A8465" t="inlineStr">
        <is>
          <t>ORD08464</t>
        </is>
      </c>
      <c r="B8465" t="inlineStr">
        <is>
          <t>C0964</t>
        </is>
      </c>
      <c r="C8465" t="n">
        <v>1</v>
      </c>
      <c r="D8465" t="inlineStr">
        <is>
          <t>Hub C</t>
        </is>
      </c>
      <c r="E8465" t="n">
        <v>46</v>
      </c>
      <c r="F8465" t="n">
        <v>31</v>
      </c>
    </row>
    <row r="8466">
      <c r="A8466" t="inlineStr">
        <is>
          <t>ORD08465</t>
        </is>
      </c>
      <c r="B8466" t="inlineStr">
        <is>
          <t>C0965</t>
        </is>
      </c>
      <c r="C8466" t="n">
        <v>2</v>
      </c>
      <c r="D8466" t="inlineStr">
        <is>
          <t>Hub C</t>
        </is>
      </c>
      <c r="E8466" t="n">
        <v>53</v>
      </c>
      <c r="F8466" t="n">
        <v>31</v>
      </c>
    </row>
    <row r="8467">
      <c r="A8467" t="inlineStr">
        <is>
          <t>ORD08466</t>
        </is>
      </c>
      <c r="B8467" t="inlineStr">
        <is>
          <t>C0966</t>
        </is>
      </c>
      <c r="C8467" t="n">
        <v>3</v>
      </c>
      <c r="D8467" t="inlineStr">
        <is>
          <t>Hub C</t>
        </is>
      </c>
      <c r="E8467" t="n">
        <v>60</v>
      </c>
      <c r="F8467" t="n">
        <v>31</v>
      </c>
    </row>
    <row r="8468">
      <c r="A8468" t="inlineStr">
        <is>
          <t>ORD08467</t>
        </is>
      </c>
      <c r="B8468" t="inlineStr">
        <is>
          <t>C0967</t>
        </is>
      </c>
      <c r="C8468" t="n">
        <v>1</v>
      </c>
      <c r="D8468" t="inlineStr">
        <is>
          <t>Hub C</t>
        </is>
      </c>
      <c r="E8468" t="n">
        <v>67</v>
      </c>
      <c r="F8468" t="n">
        <v>31</v>
      </c>
    </row>
    <row r="8469">
      <c r="A8469" t="inlineStr">
        <is>
          <t>ORD08468</t>
        </is>
      </c>
      <c r="B8469" t="inlineStr">
        <is>
          <t>C0968</t>
        </is>
      </c>
      <c r="C8469" t="n">
        <v>2</v>
      </c>
      <c r="D8469" t="inlineStr">
        <is>
          <t>Hub C</t>
        </is>
      </c>
      <c r="E8469" t="n">
        <v>74</v>
      </c>
      <c r="F8469" t="n">
        <v>31</v>
      </c>
    </row>
    <row r="8470">
      <c r="A8470" t="inlineStr">
        <is>
          <t>ORD08469</t>
        </is>
      </c>
      <c r="B8470" t="inlineStr">
        <is>
          <t>C0969</t>
        </is>
      </c>
      <c r="C8470" t="n">
        <v>3</v>
      </c>
      <c r="D8470" t="inlineStr">
        <is>
          <t>Hub C</t>
        </is>
      </c>
      <c r="E8470" t="n">
        <v>21</v>
      </c>
      <c r="F8470" t="n">
        <v>31</v>
      </c>
    </row>
    <row r="8471">
      <c r="A8471" t="inlineStr">
        <is>
          <t>ORD08470</t>
        </is>
      </c>
      <c r="B8471" t="inlineStr">
        <is>
          <t>C0970</t>
        </is>
      </c>
      <c r="C8471" t="n">
        <v>1</v>
      </c>
      <c r="D8471" t="inlineStr">
        <is>
          <t>Hub C</t>
        </is>
      </c>
      <c r="E8471" t="n">
        <v>28</v>
      </c>
      <c r="F8471" t="n">
        <v>31</v>
      </c>
    </row>
    <row r="8472">
      <c r="A8472" t="inlineStr">
        <is>
          <t>ORD08471</t>
        </is>
      </c>
      <c r="B8472" t="inlineStr">
        <is>
          <t>C0971</t>
        </is>
      </c>
      <c r="C8472" t="n">
        <v>2</v>
      </c>
      <c r="D8472" t="inlineStr">
        <is>
          <t>Hub C</t>
        </is>
      </c>
      <c r="E8472" t="n">
        <v>35</v>
      </c>
      <c r="F8472" t="n">
        <v>31</v>
      </c>
    </row>
    <row r="8473">
      <c r="A8473" t="inlineStr">
        <is>
          <t>ORD08472</t>
        </is>
      </c>
      <c r="B8473" t="inlineStr">
        <is>
          <t>C0972</t>
        </is>
      </c>
      <c r="C8473" t="n">
        <v>3</v>
      </c>
      <c r="D8473" t="inlineStr">
        <is>
          <t>Hub C</t>
        </is>
      </c>
      <c r="E8473" t="n">
        <v>42</v>
      </c>
      <c r="F8473" t="n">
        <v>31</v>
      </c>
    </row>
    <row r="8474">
      <c r="A8474" t="inlineStr">
        <is>
          <t>ORD08473</t>
        </is>
      </c>
      <c r="B8474" t="inlineStr">
        <is>
          <t>C0973</t>
        </is>
      </c>
      <c r="C8474" t="n">
        <v>1</v>
      </c>
      <c r="D8474" t="inlineStr">
        <is>
          <t>Hub C</t>
        </is>
      </c>
      <c r="E8474" t="n">
        <v>49</v>
      </c>
      <c r="F8474" t="n">
        <v>31</v>
      </c>
    </row>
    <row r="8475">
      <c r="A8475" t="inlineStr">
        <is>
          <t>ORD08474</t>
        </is>
      </c>
      <c r="B8475" t="inlineStr">
        <is>
          <t>C0974</t>
        </is>
      </c>
      <c r="C8475" t="n">
        <v>2</v>
      </c>
      <c r="D8475" t="inlineStr">
        <is>
          <t>Hub C</t>
        </is>
      </c>
      <c r="E8475" t="n">
        <v>56</v>
      </c>
      <c r="F8475" t="n">
        <v>31</v>
      </c>
    </row>
    <row r="8476">
      <c r="A8476" t="inlineStr">
        <is>
          <t>ORD08475</t>
        </is>
      </c>
      <c r="B8476" t="inlineStr">
        <is>
          <t>C0975</t>
        </is>
      </c>
      <c r="C8476" t="n">
        <v>3</v>
      </c>
      <c r="D8476" t="inlineStr">
        <is>
          <t>Hub C</t>
        </is>
      </c>
      <c r="E8476" t="n">
        <v>63</v>
      </c>
      <c r="F8476" t="n">
        <v>31</v>
      </c>
    </row>
    <row r="8477">
      <c r="A8477" t="inlineStr">
        <is>
          <t>ORD08476</t>
        </is>
      </c>
      <c r="B8477" t="inlineStr">
        <is>
          <t>C0976</t>
        </is>
      </c>
      <c r="C8477" t="n">
        <v>1</v>
      </c>
      <c r="D8477" t="inlineStr">
        <is>
          <t>Hub C</t>
        </is>
      </c>
      <c r="E8477" t="n">
        <v>70</v>
      </c>
      <c r="F8477" t="n">
        <v>31</v>
      </c>
    </row>
    <row r="8478">
      <c r="A8478" t="inlineStr">
        <is>
          <t>ORD08477</t>
        </is>
      </c>
      <c r="B8478" t="inlineStr">
        <is>
          <t>C0977</t>
        </is>
      </c>
      <c r="C8478" t="n">
        <v>2</v>
      </c>
      <c r="D8478" t="inlineStr">
        <is>
          <t>Hub C</t>
        </is>
      </c>
      <c r="E8478" t="n">
        <v>77</v>
      </c>
      <c r="F8478" t="n">
        <v>31</v>
      </c>
    </row>
    <row r="8479">
      <c r="A8479" t="inlineStr">
        <is>
          <t>ORD08478</t>
        </is>
      </c>
      <c r="B8479" t="inlineStr">
        <is>
          <t>C0978</t>
        </is>
      </c>
      <c r="C8479" t="n">
        <v>3</v>
      </c>
      <c r="D8479" t="inlineStr">
        <is>
          <t>Hub C</t>
        </is>
      </c>
      <c r="E8479" t="n">
        <v>24</v>
      </c>
      <c r="F8479" t="n">
        <v>31</v>
      </c>
    </row>
    <row r="8480">
      <c r="A8480" t="inlineStr">
        <is>
          <t>ORD08479</t>
        </is>
      </c>
      <c r="B8480" t="inlineStr">
        <is>
          <t>C0979</t>
        </is>
      </c>
      <c r="C8480" t="n">
        <v>1</v>
      </c>
      <c r="D8480" t="inlineStr">
        <is>
          <t>Hub C</t>
        </is>
      </c>
      <c r="E8480" t="n">
        <v>31</v>
      </c>
      <c r="F8480" t="n">
        <v>31</v>
      </c>
    </row>
    <row r="8481">
      <c r="A8481" t="inlineStr">
        <is>
          <t>ORD08480</t>
        </is>
      </c>
      <c r="B8481" t="inlineStr">
        <is>
          <t>C0980</t>
        </is>
      </c>
      <c r="C8481" t="n">
        <v>2</v>
      </c>
      <c r="D8481" t="inlineStr">
        <is>
          <t>Hub C</t>
        </is>
      </c>
      <c r="E8481" t="n">
        <v>38</v>
      </c>
      <c r="F8481" t="n">
        <v>31</v>
      </c>
    </row>
    <row r="8482">
      <c r="A8482" t="inlineStr">
        <is>
          <t>ORD08481</t>
        </is>
      </c>
      <c r="B8482" t="inlineStr">
        <is>
          <t>C0981</t>
        </is>
      </c>
      <c r="C8482" t="n">
        <v>3</v>
      </c>
      <c r="D8482" t="inlineStr">
        <is>
          <t>Hub C</t>
        </is>
      </c>
      <c r="E8482" t="n">
        <v>45</v>
      </c>
      <c r="F8482" t="n">
        <v>31</v>
      </c>
    </row>
    <row r="8483">
      <c r="A8483" t="inlineStr">
        <is>
          <t>ORD08482</t>
        </is>
      </c>
      <c r="B8483" t="inlineStr">
        <is>
          <t>C0982</t>
        </is>
      </c>
      <c r="C8483" t="n">
        <v>1</v>
      </c>
      <c r="D8483" t="inlineStr">
        <is>
          <t>Hub C</t>
        </is>
      </c>
      <c r="E8483" t="n">
        <v>52</v>
      </c>
      <c r="F8483" t="n">
        <v>31</v>
      </c>
    </row>
    <row r="8484">
      <c r="A8484" t="inlineStr">
        <is>
          <t>ORD08483</t>
        </is>
      </c>
      <c r="B8484" t="inlineStr">
        <is>
          <t>C0983</t>
        </is>
      </c>
      <c r="C8484" t="n">
        <v>2</v>
      </c>
      <c r="D8484" t="inlineStr">
        <is>
          <t>Hub C</t>
        </is>
      </c>
      <c r="E8484" t="n">
        <v>59</v>
      </c>
      <c r="F8484" t="n">
        <v>31</v>
      </c>
    </row>
    <row r="8485">
      <c r="A8485" t="inlineStr">
        <is>
          <t>ORD08484</t>
        </is>
      </c>
      <c r="B8485" t="inlineStr">
        <is>
          <t>C0984</t>
        </is>
      </c>
      <c r="C8485" t="n">
        <v>3</v>
      </c>
      <c r="D8485" t="inlineStr">
        <is>
          <t>Hub C</t>
        </is>
      </c>
      <c r="E8485" t="n">
        <v>66</v>
      </c>
      <c r="F8485" t="n">
        <v>31</v>
      </c>
    </row>
    <row r="8486">
      <c r="A8486" t="inlineStr">
        <is>
          <t>ORD08485</t>
        </is>
      </c>
      <c r="B8486" t="inlineStr">
        <is>
          <t>C0985</t>
        </is>
      </c>
      <c r="C8486" t="n">
        <v>1</v>
      </c>
      <c r="D8486" t="inlineStr">
        <is>
          <t>Hub C</t>
        </is>
      </c>
      <c r="E8486" t="n">
        <v>73</v>
      </c>
      <c r="F8486" t="n">
        <v>31</v>
      </c>
    </row>
    <row r="8487">
      <c r="A8487" t="inlineStr">
        <is>
          <t>ORD08486</t>
        </is>
      </c>
      <c r="B8487" t="inlineStr">
        <is>
          <t>C0986</t>
        </is>
      </c>
      <c r="C8487" t="n">
        <v>2</v>
      </c>
      <c r="D8487" t="inlineStr">
        <is>
          <t>Hub C</t>
        </is>
      </c>
      <c r="E8487" t="n">
        <v>20</v>
      </c>
      <c r="F8487" t="n">
        <v>31</v>
      </c>
    </row>
    <row r="8488">
      <c r="A8488" t="inlineStr">
        <is>
          <t>ORD08487</t>
        </is>
      </c>
      <c r="B8488" t="inlineStr">
        <is>
          <t>C0987</t>
        </is>
      </c>
      <c r="C8488" t="n">
        <v>3</v>
      </c>
      <c r="D8488" t="inlineStr">
        <is>
          <t>Hub C</t>
        </is>
      </c>
      <c r="E8488" t="n">
        <v>27</v>
      </c>
      <c r="F8488" t="n">
        <v>31</v>
      </c>
    </row>
    <row r="8489">
      <c r="A8489" t="inlineStr">
        <is>
          <t>ORD08488</t>
        </is>
      </c>
      <c r="B8489" t="inlineStr">
        <is>
          <t>C0988</t>
        </is>
      </c>
      <c r="C8489" t="n">
        <v>1</v>
      </c>
      <c r="D8489" t="inlineStr">
        <is>
          <t>Hub C</t>
        </is>
      </c>
      <c r="E8489" t="n">
        <v>34</v>
      </c>
      <c r="F8489" t="n">
        <v>31</v>
      </c>
    </row>
    <row r="8490">
      <c r="A8490" t="inlineStr">
        <is>
          <t>ORD08489</t>
        </is>
      </c>
      <c r="B8490" t="inlineStr">
        <is>
          <t>C0989</t>
        </is>
      </c>
      <c r="C8490" t="n">
        <v>2</v>
      </c>
      <c r="D8490" t="inlineStr">
        <is>
          <t>Hub C</t>
        </is>
      </c>
      <c r="E8490" t="n">
        <v>41</v>
      </c>
      <c r="F8490" t="n">
        <v>31</v>
      </c>
    </row>
    <row r="8491">
      <c r="A8491" t="inlineStr">
        <is>
          <t>ORD08490</t>
        </is>
      </c>
      <c r="B8491" t="inlineStr">
        <is>
          <t>C0990</t>
        </is>
      </c>
      <c r="C8491" t="n">
        <v>3</v>
      </c>
      <c r="D8491" t="inlineStr">
        <is>
          <t>Hub C</t>
        </is>
      </c>
      <c r="E8491" t="n">
        <v>48</v>
      </c>
      <c r="F8491" t="n">
        <v>31</v>
      </c>
    </row>
    <row r="8492">
      <c r="A8492" t="inlineStr">
        <is>
          <t>ORD08491</t>
        </is>
      </c>
      <c r="B8492" t="inlineStr">
        <is>
          <t>C0991</t>
        </is>
      </c>
      <c r="C8492" t="n">
        <v>1</v>
      </c>
      <c r="D8492" t="inlineStr">
        <is>
          <t>Hub C</t>
        </is>
      </c>
      <c r="E8492" t="n">
        <v>55</v>
      </c>
      <c r="F8492" t="n">
        <v>31</v>
      </c>
    </row>
    <row r="8493">
      <c r="A8493" t="inlineStr">
        <is>
          <t>ORD08492</t>
        </is>
      </c>
      <c r="B8493" t="inlineStr">
        <is>
          <t>C0992</t>
        </is>
      </c>
      <c r="C8493" t="n">
        <v>2</v>
      </c>
      <c r="D8493" t="inlineStr">
        <is>
          <t>Hub C</t>
        </is>
      </c>
      <c r="E8493" t="n">
        <v>62</v>
      </c>
      <c r="F8493" t="n">
        <v>31</v>
      </c>
    </row>
    <row r="8494">
      <c r="A8494" t="inlineStr">
        <is>
          <t>ORD08493</t>
        </is>
      </c>
      <c r="B8494" t="inlineStr">
        <is>
          <t>C0993</t>
        </is>
      </c>
      <c r="C8494" t="n">
        <v>3</v>
      </c>
      <c r="D8494" t="inlineStr">
        <is>
          <t>Hub C</t>
        </is>
      </c>
      <c r="E8494" t="n">
        <v>69</v>
      </c>
      <c r="F8494" t="n">
        <v>31</v>
      </c>
    </row>
    <row r="8495">
      <c r="A8495" t="inlineStr">
        <is>
          <t>ORD08494</t>
        </is>
      </c>
      <c r="B8495" t="inlineStr">
        <is>
          <t>C0994</t>
        </is>
      </c>
      <c r="C8495" t="n">
        <v>1</v>
      </c>
      <c r="D8495" t="inlineStr">
        <is>
          <t>Hub C</t>
        </is>
      </c>
      <c r="E8495" t="n">
        <v>76</v>
      </c>
      <c r="F8495" t="n">
        <v>31</v>
      </c>
    </row>
    <row r="8496">
      <c r="A8496" t="inlineStr">
        <is>
          <t>ORD08495</t>
        </is>
      </c>
      <c r="B8496" t="inlineStr">
        <is>
          <t>C0995</t>
        </is>
      </c>
      <c r="C8496" t="n">
        <v>2</v>
      </c>
      <c r="D8496" t="inlineStr">
        <is>
          <t>Hub C</t>
        </is>
      </c>
      <c r="E8496" t="n">
        <v>23</v>
      </c>
      <c r="F8496" t="n">
        <v>31</v>
      </c>
    </row>
    <row r="8497">
      <c r="A8497" t="inlineStr">
        <is>
          <t>ORD08496</t>
        </is>
      </c>
      <c r="B8497" t="inlineStr">
        <is>
          <t>C0996</t>
        </is>
      </c>
      <c r="C8497" t="n">
        <v>3</v>
      </c>
      <c r="D8497" t="inlineStr">
        <is>
          <t>Hub C</t>
        </is>
      </c>
      <c r="E8497" t="n">
        <v>30</v>
      </c>
      <c r="F8497" t="n">
        <v>31</v>
      </c>
    </row>
    <row r="8498">
      <c r="A8498" t="inlineStr">
        <is>
          <t>ORD08497</t>
        </is>
      </c>
      <c r="B8498" t="inlineStr">
        <is>
          <t>C0997</t>
        </is>
      </c>
      <c r="C8498" t="n">
        <v>1</v>
      </c>
      <c r="D8498" t="inlineStr">
        <is>
          <t>Hub C</t>
        </is>
      </c>
      <c r="E8498" t="n">
        <v>37</v>
      </c>
      <c r="F8498" t="n">
        <v>31</v>
      </c>
    </row>
    <row r="8499">
      <c r="A8499" t="inlineStr">
        <is>
          <t>ORD08498</t>
        </is>
      </c>
      <c r="B8499" t="inlineStr">
        <is>
          <t>C0998</t>
        </is>
      </c>
      <c r="C8499" t="n">
        <v>2</v>
      </c>
      <c r="D8499" t="inlineStr">
        <is>
          <t>Hub C</t>
        </is>
      </c>
      <c r="E8499" t="n">
        <v>44</v>
      </c>
      <c r="F8499" t="n">
        <v>31</v>
      </c>
    </row>
    <row r="8500">
      <c r="A8500" t="inlineStr">
        <is>
          <t>ORD08499</t>
        </is>
      </c>
      <c r="B8500" t="inlineStr">
        <is>
          <t>C0999</t>
        </is>
      </c>
      <c r="C8500" t="n">
        <v>3</v>
      </c>
      <c r="D8500" t="inlineStr">
        <is>
          <t>Hub C</t>
        </is>
      </c>
      <c r="E8500" t="n">
        <v>51</v>
      </c>
      <c r="F8500" t="n">
        <v>31</v>
      </c>
    </row>
    <row r="8501">
      <c r="A8501" t="inlineStr">
        <is>
          <t>ORD08500</t>
        </is>
      </c>
      <c r="B8501" t="inlineStr">
        <is>
          <t>C1000</t>
        </is>
      </c>
      <c r="C8501" t="n">
        <v>1</v>
      </c>
      <c r="D8501" t="inlineStr">
        <is>
          <t>Hub C</t>
        </is>
      </c>
      <c r="E8501" t="n">
        <v>58</v>
      </c>
      <c r="F8501" t="n">
        <v>31</v>
      </c>
    </row>
    <row r="8502">
      <c r="A8502" t="inlineStr">
        <is>
          <t>ORD08501</t>
        </is>
      </c>
      <c r="B8502" t="inlineStr">
        <is>
          <t>C1001</t>
        </is>
      </c>
      <c r="C8502" t="n">
        <v>2</v>
      </c>
      <c r="D8502" t="inlineStr">
        <is>
          <t>Hub C</t>
        </is>
      </c>
      <c r="E8502" t="n">
        <v>65</v>
      </c>
      <c r="F8502" t="n">
        <v>31</v>
      </c>
    </row>
    <row r="8503">
      <c r="A8503" t="inlineStr">
        <is>
          <t>ORD08502</t>
        </is>
      </c>
      <c r="B8503" t="inlineStr">
        <is>
          <t>C1002</t>
        </is>
      </c>
      <c r="C8503" t="n">
        <v>3</v>
      </c>
      <c r="D8503" t="inlineStr">
        <is>
          <t>Hub C</t>
        </is>
      </c>
      <c r="E8503" t="n">
        <v>72</v>
      </c>
      <c r="F8503" t="n">
        <v>31</v>
      </c>
    </row>
    <row r="8504">
      <c r="A8504" t="inlineStr">
        <is>
          <t>ORD08503</t>
        </is>
      </c>
      <c r="B8504" t="inlineStr">
        <is>
          <t>C1003</t>
        </is>
      </c>
      <c r="C8504" t="n">
        <v>1</v>
      </c>
      <c r="D8504" t="inlineStr">
        <is>
          <t>Hub C</t>
        </is>
      </c>
      <c r="E8504" t="n">
        <v>19</v>
      </c>
      <c r="F8504" t="n">
        <v>31</v>
      </c>
    </row>
    <row r="8505">
      <c r="A8505" t="inlineStr">
        <is>
          <t>ORD08504</t>
        </is>
      </c>
      <c r="B8505" t="inlineStr">
        <is>
          <t>C1004</t>
        </is>
      </c>
      <c r="C8505" t="n">
        <v>2</v>
      </c>
      <c r="D8505" t="inlineStr">
        <is>
          <t>Hub C</t>
        </is>
      </c>
      <c r="E8505" t="n">
        <v>26</v>
      </c>
      <c r="F8505" t="n">
        <v>31</v>
      </c>
    </row>
    <row r="8506">
      <c r="A8506" t="inlineStr">
        <is>
          <t>ORD08505</t>
        </is>
      </c>
      <c r="B8506" t="inlineStr">
        <is>
          <t>C1005</t>
        </is>
      </c>
      <c r="C8506" t="n">
        <v>3</v>
      </c>
      <c r="D8506" t="inlineStr">
        <is>
          <t>Hub C</t>
        </is>
      </c>
      <c r="E8506" t="n">
        <v>33</v>
      </c>
      <c r="F8506" t="n">
        <v>31</v>
      </c>
    </row>
    <row r="8507">
      <c r="A8507" t="inlineStr">
        <is>
          <t>ORD08506</t>
        </is>
      </c>
      <c r="B8507" t="inlineStr">
        <is>
          <t>C1006</t>
        </is>
      </c>
      <c r="C8507" t="n">
        <v>1</v>
      </c>
      <c r="D8507" t="inlineStr">
        <is>
          <t>Hub C</t>
        </is>
      </c>
      <c r="E8507" t="n">
        <v>40</v>
      </c>
      <c r="F8507" t="n">
        <v>31</v>
      </c>
    </row>
    <row r="8508">
      <c r="A8508" t="inlineStr">
        <is>
          <t>ORD08507</t>
        </is>
      </c>
      <c r="B8508" t="inlineStr">
        <is>
          <t>C1007</t>
        </is>
      </c>
      <c r="C8508" t="n">
        <v>2</v>
      </c>
      <c r="D8508" t="inlineStr">
        <is>
          <t>Hub C</t>
        </is>
      </c>
      <c r="E8508" t="n">
        <v>47</v>
      </c>
      <c r="F8508" t="n">
        <v>31</v>
      </c>
    </row>
    <row r="8509">
      <c r="A8509" t="inlineStr">
        <is>
          <t>ORD08508</t>
        </is>
      </c>
      <c r="B8509" t="inlineStr">
        <is>
          <t>C1008</t>
        </is>
      </c>
      <c r="C8509" t="n">
        <v>3</v>
      </c>
      <c r="D8509" t="inlineStr">
        <is>
          <t>Hub C</t>
        </is>
      </c>
      <c r="E8509" t="n">
        <v>54</v>
      </c>
      <c r="F8509" t="n">
        <v>31</v>
      </c>
    </row>
    <row r="8510">
      <c r="A8510" t="inlineStr">
        <is>
          <t>ORD08509</t>
        </is>
      </c>
      <c r="B8510" t="inlineStr">
        <is>
          <t>C1009</t>
        </is>
      </c>
      <c r="C8510" t="n">
        <v>1</v>
      </c>
      <c r="D8510" t="inlineStr">
        <is>
          <t>Hub C</t>
        </is>
      </c>
      <c r="E8510" t="n">
        <v>61</v>
      </c>
      <c r="F8510" t="n">
        <v>31</v>
      </c>
    </row>
    <row r="8511">
      <c r="A8511" t="inlineStr">
        <is>
          <t>ORD08510</t>
        </is>
      </c>
      <c r="B8511" t="inlineStr">
        <is>
          <t>C1010</t>
        </is>
      </c>
      <c r="C8511" t="n">
        <v>2</v>
      </c>
      <c r="D8511" t="inlineStr">
        <is>
          <t>Hub C</t>
        </is>
      </c>
      <c r="E8511" t="n">
        <v>68</v>
      </c>
      <c r="F8511" t="n">
        <v>31</v>
      </c>
    </row>
    <row r="8512">
      <c r="A8512" t="inlineStr">
        <is>
          <t>ORD08511</t>
        </is>
      </c>
      <c r="B8512" t="inlineStr">
        <is>
          <t>C1011</t>
        </is>
      </c>
      <c r="C8512" t="n">
        <v>3</v>
      </c>
      <c r="D8512" t="inlineStr">
        <is>
          <t>Hub C</t>
        </is>
      </c>
      <c r="E8512" t="n">
        <v>75</v>
      </c>
      <c r="F8512" t="n">
        <v>31</v>
      </c>
    </row>
    <row r="8513">
      <c r="A8513" t="inlineStr">
        <is>
          <t>ORD08512</t>
        </is>
      </c>
      <c r="B8513" t="inlineStr">
        <is>
          <t>C1012</t>
        </is>
      </c>
      <c r="C8513" t="n">
        <v>1</v>
      </c>
      <c r="D8513" t="inlineStr">
        <is>
          <t>Hub C</t>
        </is>
      </c>
      <c r="E8513" t="n">
        <v>22</v>
      </c>
      <c r="F8513" t="n">
        <v>31</v>
      </c>
    </row>
    <row r="8514">
      <c r="A8514" t="inlineStr">
        <is>
          <t>ORD08513</t>
        </is>
      </c>
      <c r="B8514" t="inlineStr">
        <is>
          <t>C1013</t>
        </is>
      </c>
      <c r="C8514" t="n">
        <v>2</v>
      </c>
      <c r="D8514" t="inlineStr">
        <is>
          <t>Hub C</t>
        </is>
      </c>
      <c r="E8514" t="n">
        <v>29</v>
      </c>
      <c r="F8514" t="n">
        <v>31</v>
      </c>
    </row>
    <row r="8515">
      <c r="A8515" t="inlineStr">
        <is>
          <t>ORD08514</t>
        </is>
      </c>
      <c r="B8515" t="inlineStr">
        <is>
          <t>C1014</t>
        </is>
      </c>
      <c r="C8515" t="n">
        <v>3</v>
      </c>
      <c r="D8515" t="inlineStr">
        <is>
          <t>Hub C</t>
        </is>
      </c>
      <c r="E8515" t="n">
        <v>36</v>
      </c>
      <c r="F8515" t="n">
        <v>31</v>
      </c>
    </row>
    <row r="8516">
      <c r="A8516" t="inlineStr">
        <is>
          <t>ORD08515</t>
        </is>
      </c>
      <c r="B8516" t="inlineStr">
        <is>
          <t>C1015</t>
        </is>
      </c>
      <c r="C8516" t="n">
        <v>1</v>
      </c>
      <c r="D8516" t="inlineStr">
        <is>
          <t>Hub C</t>
        </is>
      </c>
      <c r="E8516" t="n">
        <v>43</v>
      </c>
      <c r="F8516" t="n">
        <v>31</v>
      </c>
    </row>
    <row r="8517">
      <c r="A8517" t="inlineStr">
        <is>
          <t>ORD08516</t>
        </is>
      </c>
      <c r="B8517" t="inlineStr">
        <is>
          <t>C1016</t>
        </is>
      </c>
      <c r="C8517" t="n">
        <v>2</v>
      </c>
      <c r="D8517" t="inlineStr">
        <is>
          <t>Hub C</t>
        </is>
      </c>
      <c r="E8517" t="n">
        <v>50</v>
      </c>
      <c r="F8517" t="n">
        <v>31</v>
      </c>
    </row>
    <row r="8518">
      <c r="A8518" t="inlineStr">
        <is>
          <t>ORD08517</t>
        </is>
      </c>
      <c r="B8518" t="inlineStr">
        <is>
          <t>C1017</t>
        </is>
      </c>
      <c r="C8518" t="n">
        <v>3</v>
      </c>
      <c r="D8518" t="inlineStr">
        <is>
          <t>Hub C</t>
        </is>
      </c>
      <c r="E8518" t="n">
        <v>57</v>
      </c>
      <c r="F8518" t="n">
        <v>31</v>
      </c>
    </row>
    <row r="8519">
      <c r="A8519" t="inlineStr">
        <is>
          <t>ORD08518</t>
        </is>
      </c>
      <c r="B8519" t="inlineStr">
        <is>
          <t>C1018</t>
        </is>
      </c>
      <c r="C8519" t="n">
        <v>1</v>
      </c>
      <c r="D8519" t="inlineStr">
        <is>
          <t>Hub C</t>
        </is>
      </c>
      <c r="E8519" t="n">
        <v>64</v>
      </c>
      <c r="F8519" t="n">
        <v>31</v>
      </c>
    </row>
    <row r="8520">
      <c r="A8520" t="inlineStr">
        <is>
          <t>ORD08519</t>
        </is>
      </c>
      <c r="B8520" t="inlineStr">
        <is>
          <t>C1019</t>
        </is>
      </c>
      <c r="C8520" t="n">
        <v>2</v>
      </c>
      <c r="D8520" t="inlineStr">
        <is>
          <t>Hub C</t>
        </is>
      </c>
      <c r="E8520" t="n">
        <v>71</v>
      </c>
      <c r="F8520" t="n">
        <v>31</v>
      </c>
    </row>
    <row r="8521">
      <c r="A8521" t="inlineStr">
        <is>
          <t>ORD08520</t>
        </is>
      </c>
      <c r="B8521" t="inlineStr">
        <is>
          <t>C1020</t>
        </is>
      </c>
      <c r="C8521" t="n">
        <v>3</v>
      </c>
      <c r="D8521" t="inlineStr">
        <is>
          <t>Hub C</t>
        </is>
      </c>
      <c r="E8521" t="n">
        <v>18</v>
      </c>
      <c r="F8521" t="n">
        <v>31</v>
      </c>
    </row>
    <row r="8522">
      <c r="A8522" t="inlineStr">
        <is>
          <t>ORD08521</t>
        </is>
      </c>
      <c r="B8522" t="inlineStr">
        <is>
          <t>C1021</t>
        </is>
      </c>
      <c r="C8522" t="n">
        <v>1</v>
      </c>
      <c r="D8522" t="inlineStr">
        <is>
          <t>Hub C</t>
        </is>
      </c>
      <c r="E8522" t="n">
        <v>25</v>
      </c>
      <c r="F8522" t="n">
        <v>31</v>
      </c>
    </row>
    <row r="8523">
      <c r="A8523" t="inlineStr">
        <is>
          <t>ORD08522</t>
        </is>
      </c>
      <c r="B8523" t="inlineStr">
        <is>
          <t>C1022</t>
        </is>
      </c>
      <c r="C8523" t="n">
        <v>2</v>
      </c>
      <c r="D8523" t="inlineStr">
        <is>
          <t>Hub C</t>
        </is>
      </c>
      <c r="E8523" t="n">
        <v>32</v>
      </c>
      <c r="F8523" t="n">
        <v>31</v>
      </c>
    </row>
    <row r="8524">
      <c r="A8524" t="inlineStr">
        <is>
          <t>ORD08523</t>
        </is>
      </c>
      <c r="B8524" t="inlineStr">
        <is>
          <t>C1023</t>
        </is>
      </c>
      <c r="C8524" t="n">
        <v>3</v>
      </c>
      <c r="D8524" t="inlineStr">
        <is>
          <t>Hub C</t>
        </is>
      </c>
      <c r="E8524" t="n">
        <v>39</v>
      </c>
      <c r="F8524" t="n">
        <v>31</v>
      </c>
    </row>
    <row r="8525">
      <c r="A8525" t="inlineStr">
        <is>
          <t>ORD08524</t>
        </is>
      </c>
      <c r="B8525" t="inlineStr">
        <is>
          <t>C1024</t>
        </is>
      </c>
      <c r="C8525" t="n">
        <v>1</v>
      </c>
      <c r="D8525" t="inlineStr">
        <is>
          <t>Hub C</t>
        </is>
      </c>
      <c r="E8525" t="n">
        <v>46</v>
      </c>
      <c r="F8525" t="n">
        <v>31</v>
      </c>
    </row>
    <row r="8526">
      <c r="A8526" t="inlineStr">
        <is>
          <t>ORD08525</t>
        </is>
      </c>
      <c r="B8526" t="inlineStr">
        <is>
          <t>C1025</t>
        </is>
      </c>
      <c r="C8526" t="n">
        <v>2</v>
      </c>
      <c r="D8526" t="inlineStr">
        <is>
          <t>Hub C</t>
        </is>
      </c>
      <c r="E8526" t="n">
        <v>53</v>
      </c>
      <c r="F8526" t="n">
        <v>31</v>
      </c>
    </row>
    <row r="8527">
      <c r="A8527" t="inlineStr">
        <is>
          <t>ORD08526</t>
        </is>
      </c>
      <c r="B8527" t="inlineStr">
        <is>
          <t>C1026</t>
        </is>
      </c>
      <c r="C8527" t="n">
        <v>3</v>
      </c>
      <c r="D8527" t="inlineStr">
        <is>
          <t>Hub C</t>
        </is>
      </c>
      <c r="E8527" t="n">
        <v>60</v>
      </c>
      <c r="F8527" t="n">
        <v>31</v>
      </c>
    </row>
    <row r="8528">
      <c r="A8528" t="inlineStr">
        <is>
          <t>ORD08527</t>
        </is>
      </c>
      <c r="B8528" t="inlineStr">
        <is>
          <t>C1027</t>
        </is>
      </c>
      <c r="C8528" t="n">
        <v>1</v>
      </c>
      <c r="D8528" t="inlineStr">
        <is>
          <t>Hub C</t>
        </is>
      </c>
      <c r="E8528" t="n">
        <v>67</v>
      </c>
      <c r="F8528" t="n">
        <v>31</v>
      </c>
    </row>
    <row r="8529">
      <c r="A8529" t="inlineStr">
        <is>
          <t>ORD08528</t>
        </is>
      </c>
      <c r="B8529" t="inlineStr">
        <is>
          <t>C1028</t>
        </is>
      </c>
      <c r="C8529" t="n">
        <v>2</v>
      </c>
      <c r="D8529" t="inlineStr">
        <is>
          <t>Hub C</t>
        </is>
      </c>
      <c r="E8529" t="n">
        <v>74</v>
      </c>
      <c r="F8529" t="n">
        <v>31</v>
      </c>
    </row>
    <row r="8530">
      <c r="A8530" t="inlineStr">
        <is>
          <t>ORD08529</t>
        </is>
      </c>
      <c r="B8530" t="inlineStr">
        <is>
          <t>C1029</t>
        </is>
      </c>
      <c r="C8530" t="n">
        <v>3</v>
      </c>
      <c r="D8530" t="inlineStr">
        <is>
          <t>Hub C</t>
        </is>
      </c>
      <c r="E8530" t="n">
        <v>21</v>
      </c>
      <c r="F8530" t="n">
        <v>31</v>
      </c>
    </row>
    <row r="8531">
      <c r="A8531" t="inlineStr">
        <is>
          <t>ORD08530</t>
        </is>
      </c>
      <c r="B8531" t="inlineStr">
        <is>
          <t>C1030</t>
        </is>
      </c>
      <c r="C8531" t="n">
        <v>1</v>
      </c>
      <c r="D8531" t="inlineStr">
        <is>
          <t>Hub C</t>
        </is>
      </c>
      <c r="E8531" t="n">
        <v>28</v>
      </c>
      <c r="F8531" t="n">
        <v>31</v>
      </c>
    </row>
    <row r="8532">
      <c r="A8532" t="inlineStr">
        <is>
          <t>ORD08531</t>
        </is>
      </c>
      <c r="B8532" t="inlineStr">
        <is>
          <t>C1031</t>
        </is>
      </c>
      <c r="C8532" t="n">
        <v>2</v>
      </c>
      <c r="D8532" t="inlineStr">
        <is>
          <t>Hub C</t>
        </is>
      </c>
      <c r="E8532" t="n">
        <v>35</v>
      </c>
      <c r="F8532" t="n">
        <v>31</v>
      </c>
    </row>
    <row r="8533">
      <c r="A8533" t="inlineStr">
        <is>
          <t>ORD08532</t>
        </is>
      </c>
      <c r="B8533" t="inlineStr">
        <is>
          <t>C1032</t>
        </is>
      </c>
      <c r="C8533" t="n">
        <v>3</v>
      </c>
      <c r="D8533" t="inlineStr">
        <is>
          <t>Hub C</t>
        </is>
      </c>
      <c r="E8533" t="n">
        <v>42</v>
      </c>
      <c r="F8533" t="n">
        <v>31</v>
      </c>
    </row>
    <row r="8534">
      <c r="A8534" t="inlineStr">
        <is>
          <t>ORD08533</t>
        </is>
      </c>
      <c r="B8534" t="inlineStr">
        <is>
          <t>C1033</t>
        </is>
      </c>
      <c r="C8534" t="n">
        <v>1</v>
      </c>
      <c r="D8534" t="inlineStr">
        <is>
          <t>Hub C</t>
        </is>
      </c>
      <c r="E8534" t="n">
        <v>49</v>
      </c>
      <c r="F8534" t="n">
        <v>31</v>
      </c>
    </row>
    <row r="8535">
      <c r="A8535" t="inlineStr">
        <is>
          <t>ORD08534</t>
        </is>
      </c>
      <c r="B8535" t="inlineStr">
        <is>
          <t>C1034</t>
        </is>
      </c>
      <c r="C8535" t="n">
        <v>2</v>
      </c>
      <c r="D8535" t="inlineStr">
        <is>
          <t>Hub C</t>
        </is>
      </c>
      <c r="E8535" t="n">
        <v>56</v>
      </c>
      <c r="F8535" t="n">
        <v>31</v>
      </c>
    </row>
    <row r="8536">
      <c r="A8536" t="inlineStr">
        <is>
          <t>ORD08535</t>
        </is>
      </c>
      <c r="B8536" t="inlineStr">
        <is>
          <t>C1035</t>
        </is>
      </c>
      <c r="C8536" t="n">
        <v>3</v>
      </c>
      <c r="D8536" t="inlineStr">
        <is>
          <t>Hub C</t>
        </is>
      </c>
      <c r="E8536" t="n">
        <v>63</v>
      </c>
      <c r="F8536" t="n">
        <v>31</v>
      </c>
    </row>
    <row r="8537">
      <c r="A8537" t="inlineStr">
        <is>
          <t>ORD08536</t>
        </is>
      </c>
      <c r="B8537" t="inlineStr">
        <is>
          <t>C1036</t>
        </is>
      </c>
      <c r="C8537" t="n">
        <v>1</v>
      </c>
      <c r="D8537" t="inlineStr">
        <is>
          <t>Hub C</t>
        </is>
      </c>
      <c r="E8537" t="n">
        <v>70</v>
      </c>
      <c r="F8537" t="n">
        <v>31</v>
      </c>
    </row>
    <row r="8538">
      <c r="A8538" t="inlineStr">
        <is>
          <t>ORD08537</t>
        </is>
      </c>
      <c r="B8538" t="inlineStr">
        <is>
          <t>C1037</t>
        </is>
      </c>
      <c r="C8538" t="n">
        <v>2</v>
      </c>
      <c r="D8538" t="inlineStr">
        <is>
          <t>Hub C</t>
        </is>
      </c>
      <c r="E8538" t="n">
        <v>77</v>
      </c>
      <c r="F8538" t="n">
        <v>31</v>
      </c>
    </row>
    <row r="8539">
      <c r="A8539" t="inlineStr">
        <is>
          <t>ORD08538</t>
        </is>
      </c>
      <c r="B8539" t="inlineStr">
        <is>
          <t>C1038</t>
        </is>
      </c>
      <c r="C8539" t="n">
        <v>3</v>
      </c>
      <c r="D8539" t="inlineStr">
        <is>
          <t>Hub C</t>
        </is>
      </c>
      <c r="E8539" t="n">
        <v>24</v>
      </c>
      <c r="F8539" t="n">
        <v>31</v>
      </c>
    </row>
    <row r="8540">
      <c r="A8540" t="inlineStr">
        <is>
          <t>ORD08539</t>
        </is>
      </c>
      <c r="B8540" t="inlineStr">
        <is>
          <t>C1039</t>
        </is>
      </c>
      <c r="C8540" t="n">
        <v>1</v>
      </c>
      <c r="D8540" t="inlineStr">
        <is>
          <t>Hub C</t>
        </is>
      </c>
      <c r="E8540" t="n">
        <v>31</v>
      </c>
      <c r="F8540" t="n">
        <v>31</v>
      </c>
    </row>
    <row r="8541">
      <c r="A8541" t="inlineStr">
        <is>
          <t>ORD08540</t>
        </is>
      </c>
      <c r="B8541" t="inlineStr">
        <is>
          <t>C1040</t>
        </is>
      </c>
      <c r="C8541" t="n">
        <v>2</v>
      </c>
      <c r="D8541" t="inlineStr">
        <is>
          <t>Hub C</t>
        </is>
      </c>
      <c r="E8541" t="n">
        <v>38</v>
      </c>
      <c r="F8541" t="n">
        <v>31</v>
      </c>
    </row>
    <row r="8542">
      <c r="A8542" t="inlineStr">
        <is>
          <t>ORD08541</t>
        </is>
      </c>
      <c r="B8542" t="inlineStr">
        <is>
          <t>C1041</t>
        </is>
      </c>
      <c r="C8542" t="n">
        <v>3</v>
      </c>
      <c r="D8542" t="inlineStr">
        <is>
          <t>Hub C</t>
        </is>
      </c>
      <c r="E8542" t="n">
        <v>45</v>
      </c>
      <c r="F8542" t="n">
        <v>31</v>
      </c>
    </row>
    <row r="8543">
      <c r="A8543" t="inlineStr">
        <is>
          <t>ORD08542</t>
        </is>
      </c>
      <c r="B8543" t="inlineStr">
        <is>
          <t>C1042</t>
        </is>
      </c>
      <c r="C8543" t="n">
        <v>1</v>
      </c>
      <c r="D8543" t="inlineStr">
        <is>
          <t>Hub C</t>
        </is>
      </c>
      <c r="E8543" t="n">
        <v>52</v>
      </c>
      <c r="F8543" t="n">
        <v>31</v>
      </c>
    </row>
    <row r="8544">
      <c r="A8544" t="inlineStr">
        <is>
          <t>ORD08543</t>
        </is>
      </c>
      <c r="B8544" t="inlineStr">
        <is>
          <t>C1043</t>
        </is>
      </c>
      <c r="C8544" t="n">
        <v>2</v>
      </c>
      <c r="D8544" t="inlineStr">
        <is>
          <t>Hub C</t>
        </is>
      </c>
      <c r="E8544" t="n">
        <v>59</v>
      </c>
      <c r="F8544" t="n">
        <v>31</v>
      </c>
    </row>
    <row r="8545">
      <c r="A8545" t="inlineStr">
        <is>
          <t>ORD08544</t>
        </is>
      </c>
      <c r="B8545" t="inlineStr">
        <is>
          <t>C1044</t>
        </is>
      </c>
      <c r="C8545" t="n">
        <v>3</v>
      </c>
      <c r="D8545" t="inlineStr">
        <is>
          <t>Hub C</t>
        </is>
      </c>
      <c r="E8545" t="n">
        <v>66</v>
      </c>
      <c r="F8545" t="n">
        <v>31</v>
      </c>
    </row>
    <row r="8546">
      <c r="A8546" t="inlineStr">
        <is>
          <t>ORD08545</t>
        </is>
      </c>
      <c r="B8546" t="inlineStr">
        <is>
          <t>C1045</t>
        </is>
      </c>
      <c r="C8546" t="n">
        <v>1</v>
      </c>
      <c r="D8546" t="inlineStr">
        <is>
          <t>Hub C</t>
        </is>
      </c>
      <c r="E8546" t="n">
        <v>73</v>
      </c>
      <c r="F8546" t="n">
        <v>31</v>
      </c>
    </row>
    <row r="8547">
      <c r="A8547" t="inlineStr">
        <is>
          <t>ORD08546</t>
        </is>
      </c>
      <c r="B8547" t="inlineStr">
        <is>
          <t>C1046</t>
        </is>
      </c>
      <c r="C8547" t="n">
        <v>2</v>
      </c>
      <c r="D8547" t="inlineStr">
        <is>
          <t>Hub C</t>
        </is>
      </c>
      <c r="E8547" t="n">
        <v>20</v>
      </c>
      <c r="F8547" t="n">
        <v>31</v>
      </c>
    </row>
    <row r="8548">
      <c r="A8548" t="inlineStr">
        <is>
          <t>ORD08547</t>
        </is>
      </c>
      <c r="B8548" t="inlineStr">
        <is>
          <t>C1047</t>
        </is>
      </c>
      <c r="C8548" t="n">
        <v>3</v>
      </c>
      <c r="D8548" t="inlineStr">
        <is>
          <t>Hub C</t>
        </is>
      </c>
      <c r="E8548" t="n">
        <v>27</v>
      </c>
      <c r="F8548" t="n">
        <v>31</v>
      </c>
    </row>
    <row r="8549">
      <c r="A8549" t="inlineStr">
        <is>
          <t>ORD08548</t>
        </is>
      </c>
      <c r="B8549" t="inlineStr">
        <is>
          <t>C1048</t>
        </is>
      </c>
      <c r="C8549" t="n">
        <v>1</v>
      </c>
      <c r="D8549" t="inlineStr">
        <is>
          <t>Hub C</t>
        </is>
      </c>
      <c r="E8549" t="n">
        <v>34</v>
      </c>
      <c r="F8549" t="n">
        <v>31</v>
      </c>
    </row>
    <row r="8550">
      <c r="A8550" t="inlineStr">
        <is>
          <t>ORD08549</t>
        </is>
      </c>
      <c r="B8550" t="inlineStr">
        <is>
          <t>C1049</t>
        </is>
      </c>
      <c r="C8550" t="n">
        <v>2</v>
      </c>
      <c r="D8550" t="inlineStr">
        <is>
          <t>Hub C</t>
        </is>
      </c>
      <c r="E8550" t="n">
        <v>41</v>
      </c>
      <c r="F8550" t="n">
        <v>31</v>
      </c>
    </row>
    <row r="8551">
      <c r="A8551" t="inlineStr">
        <is>
          <t>ORD08550</t>
        </is>
      </c>
      <c r="B8551" t="inlineStr">
        <is>
          <t>C1050</t>
        </is>
      </c>
      <c r="C8551" t="n">
        <v>3</v>
      </c>
      <c r="D8551" t="inlineStr">
        <is>
          <t>Hub C</t>
        </is>
      </c>
      <c r="E8551" t="n">
        <v>48</v>
      </c>
      <c r="F8551" t="n">
        <v>31</v>
      </c>
    </row>
    <row r="8552">
      <c r="A8552" t="inlineStr">
        <is>
          <t>ORD08551</t>
        </is>
      </c>
      <c r="B8552" t="inlineStr">
        <is>
          <t>C1051</t>
        </is>
      </c>
      <c r="C8552" t="n">
        <v>1</v>
      </c>
      <c r="D8552" t="inlineStr">
        <is>
          <t>Hub C</t>
        </is>
      </c>
      <c r="E8552" t="n">
        <v>55</v>
      </c>
      <c r="F8552" t="n">
        <v>31</v>
      </c>
    </row>
    <row r="8553">
      <c r="A8553" t="inlineStr">
        <is>
          <t>ORD08552</t>
        </is>
      </c>
      <c r="B8553" t="inlineStr">
        <is>
          <t>C1052</t>
        </is>
      </c>
      <c r="C8553" t="n">
        <v>2</v>
      </c>
      <c r="D8553" t="inlineStr">
        <is>
          <t>Hub C</t>
        </is>
      </c>
      <c r="E8553" t="n">
        <v>62</v>
      </c>
      <c r="F8553" t="n">
        <v>31</v>
      </c>
    </row>
    <row r="8554">
      <c r="A8554" t="inlineStr">
        <is>
          <t>ORD08553</t>
        </is>
      </c>
      <c r="B8554" t="inlineStr">
        <is>
          <t>C1053</t>
        </is>
      </c>
      <c r="C8554" t="n">
        <v>3</v>
      </c>
      <c r="D8554" t="inlineStr">
        <is>
          <t>Hub C</t>
        </is>
      </c>
      <c r="E8554" t="n">
        <v>69</v>
      </c>
      <c r="F8554" t="n">
        <v>31</v>
      </c>
    </row>
    <row r="8555">
      <c r="A8555" t="inlineStr">
        <is>
          <t>ORD08554</t>
        </is>
      </c>
      <c r="B8555" t="inlineStr">
        <is>
          <t>C1054</t>
        </is>
      </c>
      <c r="C8555" t="n">
        <v>1</v>
      </c>
      <c r="D8555" t="inlineStr">
        <is>
          <t>Hub C</t>
        </is>
      </c>
      <c r="E8555" t="n">
        <v>76</v>
      </c>
      <c r="F8555" t="n">
        <v>31</v>
      </c>
    </row>
    <row r="8556">
      <c r="A8556" t="inlineStr">
        <is>
          <t>ORD08555</t>
        </is>
      </c>
      <c r="B8556" t="inlineStr">
        <is>
          <t>C1055</t>
        </is>
      </c>
      <c r="C8556" t="n">
        <v>2</v>
      </c>
      <c r="D8556" t="inlineStr">
        <is>
          <t>Hub C</t>
        </is>
      </c>
      <c r="E8556" t="n">
        <v>23</v>
      </c>
      <c r="F8556" t="n">
        <v>31</v>
      </c>
    </row>
    <row r="8557">
      <c r="A8557" t="inlineStr">
        <is>
          <t>ORD08556</t>
        </is>
      </c>
      <c r="B8557" t="inlineStr">
        <is>
          <t>C1056</t>
        </is>
      </c>
      <c r="C8557" t="n">
        <v>3</v>
      </c>
      <c r="D8557" t="inlineStr">
        <is>
          <t>Hub C</t>
        </is>
      </c>
      <c r="E8557" t="n">
        <v>30</v>
      </c>
      <c r="F8557" t="n">
        <v>31</v>
      </c>
    </row>
    <row r="8558">
      <c r="A8558" t="inlineStr">
        <is>
          <t>ORD08557</t>
        </is>
      </c>
      <c r="B8558" t="inlineStr">
        <is>
          <t>C1057</t>
        </is>
      </c>
      <c r="C8558" t="n">
        <v>1</v>
      </c>
      <c r="D8558" t="inlineStr">
        <is>
          <t>Hub C</t>
        </is>
      </c>
      <c r="E8558" t="n">
        <v>37</v>
      </c>
      <c r="F8558" t="n">
        <v>31</v>
      </c>
    </row>
    <row r="8559">
      <c r="A8559" t="inlineStr">
        <is>
          <t>ORD08558</t>
        </is>
      </c>
      <c r="B8559" t="inlineStr">
        <is>
          <t>C1058</t>
        </is>
      </c>
      <c r="C8559" t="n">
        <v>2</v>
      </c>
      <c r="D8559" t="inlineStr">
        <is>
          <t>Hub C</t>
        </is>
      </c>
      <c r="E8559" t="n">
        <v>44</v>
      </c>
      <c r="F8559" t="n">
        <v>31</v>
      </c>
    </row>
    <row r="8560">
      <c r="A8560" t="inlineStr">
        <is>
          <t>ORD08559</t>
        </is>
      </c>
      <c r="B8560" t="inlineStr">
        <is>
          <t>C1059</t>
        </is>
      </c>
      <c r="C8560" t="n">
        <v>3</v>
      </c>
      <c r="D8560" t="inlineStr">
        <is>
          <t>Hub C</t>
        </is>
      </c>
      <c r="E8560" t="n">
        <v>51</v>
      </c>
      <c r="F8560" t="n">
        <v>31</v>
      </c>
    </row>
    <row r="8561">
      <c r="A8561" t="inlineStr">
        <is>
          <t>ORD08560</t>
        </is>
      </c>
      <c r="B8561" t="inlineStr">
        <is>
          <t>C1060</t>
        </is>
      </c>
      <c r="C8561" t="n">
        <v>1</v>
      </c>
      <c r="D8561" t="inlineStr">
        <is>
          <t>Hub C</t>
        </is>
      </c>
      <c r="E8561" t="n">
        <v>58</v>
      </c>
      <c r="F8561" t="n">
        <v>31</v>
      </c>
    </row>
    <row r="8562">
      <c r="A8562" t="inlineStr">
        <is>
          <t>ORD08561</t>
        </is>
      </c>
      <c r="B8562" t="inlineStr">
        <is>
          <t>C1061</t>
        </is>
      </c>
      <c r="C8562" t="n">
        <v>2</v>
      </c>
      <c r="D8562" t="inlineStr">
        <is>
          <t>Hub C</t>
        </is>
      </c>
      <c r="E8562" t="n">
        <v>65</v>
      </c>
      <c r="F8562" t="n">
        <v>31</v>
      </c>
    </row>
    <row r="8563">
      <c r="A8563" t="inlineStr">
        <is>
          <t>ORD08562</t>
        </is>
      </c>
      <c r="B8563" t="inlineStr">
        <is>
          <t>C1062</t>
        </is>
      </c>
      <c r="C8563" t="n">
        <v>3</v>
      </c>
      <c r="D8563" t="inlineStr">
        <is>
          <t>Hub C</t>
        </is>
      </c>
      <c r="E8563" t="n">
        <v>72</v>
      </c>
      <c r="F8563" t="n">
        <v>31</v>
      </c>
    </row>
    <row r="8564">
      <c r="A8564" t="inlineStr">
        <is>
          <t>ORD08563</t>
        </is>
      </c>
      <c r="B8564" t="inlineStr">
        <is>
          <t>C1063</t>
        </is>
      </c>
      <c r="C8564" t="n">
        <v>1</v>
      </c>
      <c r="D8564" t="inlineStr">
        <is>
          <t>Hub C</t>
        </is>
      </c>
      <c r="E8564" t="n">
        <v>19</v>
      </c>
      <c r="F8564" t="n">
        <v>31</v>
      </c>
    </row>
    <row r="8565">
      <c r="A8565" t="inlineStr">
        <is>
          <t>ORD08564</t>
        </is>
      </c>
      <c r="B8565" t="inlineStr">
        <is>
          <t>C1064</t>
        </is>
      </c>
      <c r="C8565" t="n">
        <v>2</v>
      </c>
      <c r="D8565" t="inlineStr">
        <is>
          <t>Hub C</t>
        </is>
      </c>
      <c r="E8565" t="n">
        <v>26</v>
      </c>
      <c r="F8565" t="n">
        <v>31</v>
      </c>
    </row>
    <row r="8566">
      <c r="A8566" t="inlineStr">
        <is>
          <t>ORD08565</t>
        </is>
      </c>
      <c r="B8566" t="inlineStr">
        <is>
          <t>C1065</t>
        </is>
      </c>
      <c r="C8566" t="n">
        <v>3</v>
      </c>
      <c r="D8566" t="inlineStr">
        <is>
          <t>Hub C</t>
        </is>
      </c>
      <c r="E8566" t="n">
        <v>33</v>
      </c>
      <c r="F8566" t="n">
        <v>31</v>
      </c>
    </row>
    <row r="8567">
      <c r="A8567" t="inlineStr">
        <is>
          <t>ORD08566</t>
        </is>
      </c>
      <c r="B8567" t="inlineStr">
        <is>
          <t>C1066</t>
        </is>
      </c>
      <c r="C8567" t="n">
        <v>1</v>
      </c>
      <c r="D8567" t="inlineStr">
        <is>
          <t>Hub C</t>
        </is>
      </c>
      <c r="E8567" t="n">
        <v>40</v>
      </c>
      <c r="F8567" t="n">
        <v>31</v>
      </c>
    </row>
    <row r="8568">
      <c r="A8568" t="inlineStr">
        <is>
          <t>ORD08567</t>
        </is>
      </c>
      <c r="B8568" t="inlineStr">
        <is>
          <t>C1067</t>
        </is>
      </c>
      <c r="C8568" t="n">
        <v>2</v>
      </c>
      <c r="D8568" t="inlineStr">
        <is>
          <t>Hub C</t>
        </is>
      </c>
      <c r="E8568" t="n">
        <v>47</v>
      </c>
      <c r="F8568" t="n">
        <v>31</v>
      </c>
    </row>
    <row r="8569">
      <c r="A8569" t="inlineStr">
        <is>
          <t>ORD08568</t>
        </is>
      </c>
      <c r="B8569" t="inlineStr">
        <is>
          <t>C1068</t>
        </is>
      </c>
      <c r="C8569" t="n">
        <v>3</v>
      </c>
      <c r="D8569" t="inlineStr">
        <is>
          <t>Hub C</t>
        </is>
      </c>
      <c r="E8569" t="n">
        <v>54</v>
      </c>
      <c r="F8569" t="n">
        <v>31</v>
      </c>
    </row>
    <row r="8570">
      <c r="A8570" t="inlineStr">
        <is>
          <t>ORD08569</t>
        </is>
      </c>
      <c r="B8570" t="inlineStr">
        <is>
          <t>C1069</t>
        </is>
      </c>
      <c r="C8570" t="n">
        <v>1</v>
      </c>
      <c r="D8570" t="inlineStr">
        <is>
          <t>Hub C</t>
        </is>
      </c>
      <c r="E8570" t="n">
        <v>61</v>
      </c>
      <c r="F8570" t="n">
        <v>31</v>
      </c>
    </row>
    <row r="8571">
      <c r="A8571" t="inlineStr">
        <is>
          <t>ORD08570</t>
        </is>
      </c>
      <c r="B8571" t="inlineStr">
        <is>
          <t>C1070</t>
        </is>
      </c>
      <c r="C8571" t="n">
        <v>2</v>
      </c>
      <c r="D8571" t="inlineStr">
        <is>
          <t>Hub C</t>
        </is>
      </c>
      <c r="E8571" t="n">
        <v>68</v>
      </c>
      <c r="F8571" t="n">
        <v>31</v>
      </c>
    </row>
    <row r="8572">
      <c r="A8572" t="inlineStr">
        <is>
          <t>ORD08571</t>
        </is>
      </c>
      <c r="B8572" t="inlineStr">
        <is>
          <t>C1071</t>
        </is>
      </c>
      <c r="C8572" t="n">
        <v>3</v>
      </c>
      <c r="D8572" t="inlineStr">
        <is>
          <t>Hub C</t>
        </is>
      </c>
      <c r="E8572" t="n">
        <v>75</v>
      </c>
      <c r="F8572" t="n">
        <v>31</v>
      </c>
    </row>
    <row r="8573">
      <c r="A8573" t="inlineStr">
        <is>
          <t>ORD08572</t>
        </is>
      </c>
      <c r="B8573" t="inlineStr">
        <is>
          <t>C1072</t>
        </is>
      </c>
      <c r="C8573" t="n">
        <v>1</v>
      </c>
      <c r="D8573" t="inlineStr">
        <is>
          <t>Hub C</t>
        </is>
      </c>
      <c r="E8573" t="n">
        <v>22</v>
      </c>
      <c r="F8573" t="n">
        <v>31</v>
      </c>
    </row>
    <row r="8574">
      <c r="A8574" t="inlineStr">
        <is>
          <t>ORD08573</t>
        </is>
      </c>
      <c r="B8574" t="inlineStr">
        <is>
          <t>C1073</t>
        </is>
      </c>
      <c r="C8574" t="n">
        <v>2</v>
      </c>
      <c r="D8574" t="inlineStr">
        <is>
          <t>Hub C</t>
        </is>
      </c>
      <c r="E8574" t="n">
        <v>29</v>
      </c>
      <c r="F8574" t="n">
        <v>31</v>
      </c>
    </row>
    <row r="8575">
      <c r="A8575" t="inlineStr">
        <is>
          <t>ORD08574</t>
        </is>
      </c>
      <c r="B8575" t="inlineStr">
        <is>
          <t>C1074</t>
        </is>
      </c>
      <c r="C8575" t="n">
        <v>3</v>
      </c>
      <c r="D8575" t="inlineStr">
        <is>
          <t>Hub C</t>
        </is>
      </c>
      <c r="E8575" t="n">
        <v>36</v>
      </c>
      <c r="F8575" t="n">
        <v>31</v>
      </c>
    </row>
    <row r="8576">
      <c r="A8576" t="inlineStr">
        <is>
          <t>ORD08575</t>
        </is>
      </c>
      <c r="B8576" t="inlineStr">
        <is>
          <t>C1075</t>
        </is>
      </c>
      <c r="C8576" t="n">
        <v>1</v>
      </c>
      <c r="D8576" t="inlineStr">
        <is>
          <t>Hub C</t>
        </is>
      </c>
      <c r="E8576" t="n">
        <v>43</v>
      </c>
      <c r="F8576" t="n">
        <v>31</v>
      </c>
    </row>
    <row r="8577">
      <c r="A8577" t="inlineStr">
        <is>
          <t>ORD08576</t>
        </is>
      </c>
      <c r="B8577" t="inlineStr">
        <is>
          <t>C1076</t>
        </is>
      </c>
      <c r="C8577" t="n">
        <v>2</v>
      </c>
      <c r="D8577" t="inlineStr">
        <is>
          <t>Hub C</t>
        </is>
      </c>
      <c r="E8577" t="n">
        <v>50</v>
      </c>
      <c r="F8577" t="n">
        <v>31</v>
      </c>
    </row>
    <row r="8578">
      <c r="A8578" t="inlineStr">
        <is>
          <t>ORD08577</t>
        </is>
      </c>
      <c r="B8578" t="inlineStr">
        <is>
          <t>C1077</t>
        </is>
      </c>
      <c r="C8578" t="n">
        <v>3</v>
      </c>
      <c r="D8578" t="inlineStr">
        <is>
          <t>Hub C</t>
        </is>
      </c>
      <c r="E8578" t="n">
        <v>57</v>
      </c>
      <c r="F8578" t="n">
        <v>31</v>
      </c>
    </row>
    <row r="8579">
      <c r="A8579" t="inlineStr">
        <is>
          <t>ORD08578</t>
        </is>
      </c>
      <c r="B8579" t="inlineStr">
        <is>
          <t>C1078</t>
        </is>
      </c>
      <c r="C8579" t="n">
        <v>1</v>
      </c>
      <c r="D8579" t="inlineStr">
        <is>
          <t>Hub C</t>
        </is>
      </c>
      <c r="E8579" t="n">
        <v>64</v>
      </c>
      <c r="F8579" t="n">
        <v>31</v>
      </c>
    </row>
    <row r="8580">
      <c r="A8580" t="inlineStr">
        <is>
          <t>ORD08579</t>
        </is>
      </c>
      <c r="B8580" t="inlineStr">
        <is>
          <t>C1079</t>
        </is>
      </c>
      <c r="C8580" t="n">
        <v>2</v>
      </c>
      <c r="D8580" t="inlineStr">
        <is>
          <t>Hub C</t>
        </is>
      </c>
      <c r="E8580" t="n">
        <v>71</v>
      </c>
      <c r="F8580" t="n">
        <v>31</v>
      </c>
    </row>
    <row r="8581">
      <c r="A8581" t="inlineStr">
        <is>
          <t>ORD08580</t>
        </is>
      </c>
      <c r="B8581" t="inlineStr">
        <is>
          <t>C1080</t>
        </is>
      </c>
      <c r="C8581" t="n">
        <v>3</v>
      </c>
      <c r="D8581" t="inlineStr">
        <is>
          <t>Hub C</t>
        </is>
      </c>
      <c r="E8581" t="n">
        <v>18</v>
      </c>
      <c r="F8581" t="n">
        <v>31</v>
      </c>
    </row>
    <row r="8582">
      <c r="A8582" t="inlineStr">
        <is>
          <t>ORD08581</t>
        </is>
      </c>
      <c r="B8582" t="inlineStr">
        <is>
          <t>C1081</t>
        </is>
      </c>
      <c r="C8582" t="n">
        <v>1</v>
      </c>
      <c r="D8582" t="inlineStr">
        <is>
          <t>Hub C</t>
        </is>
      </c>
      <c r="E8582" t="n">
        <v>25</v>
      </c>
      <c r="F8582" t="n">
        <v>31</v>
      </c>
    </row>
    <row r="8583">
      <c r="A8583" t="inlineStr">
        <is>
          <t>ORD08582</t>
        </is>
      </c>
      <c r="B8583" t="inlineStr">
        <is>
          <t>C1082</t>
        </is>
      </c>
      <c r="C8583" t="n">
        <v>2</v>
      </c>
      <c r="D8583" t="inlineStr">
        <is>
          <t>Hub C</t>
        </is>
      </c>
      <c r="E8583" t="n">
        <v>32</v>
      </c>
      <c r="F8583" t="n">
        <v>31</v>
      </c>
    </row>
    <row r="8584">
      <c r="A8584" t="inlineStr">
        <is>
          <t>ORD08583</t>
        </is>
      </c>
      <c r="B8584" t="inlineStr">
        <is>
          <t>C1083</t>
        </is>
      </c>
      <c r="C8584" t="n">
        <v>3</v>
      </c>
      <c r="D8584" t="inlineStr">
        <is>
          <t>Hub C</t>
        </is>
      </c>
      <c r="E8584" t="n">
        <v>39</v>
      </c>
      <c r="F8584" t="n">
        <v>31</v>
      </c>
    </row>
    <row r="8585">
      <c r="A8585" t="inlineStr">
        <is>
          <t>ORD08584</t>
        </is>
      </c>
      <c r="B8585" t="inlineStr">
        <is>
          <t>C1084</t>
        </is>
      </c>
      <c r="C8585" t="n">
        <v>1</v>
      </c>
      <c r="D8585" t="inlineStr">
        <is>
          <t>Hub C</t>
        </is>
      </c>
      <c r="E8585" t="n">
        <v>46</v>
      </c>
      <c r="F8585" t="n">
        <v>31</v>
      </c>
    </row>
    <row r="8586">
      <c r="A8586" t="inlineStr">
        <is>
          <t>ORD08585</t>
        </is>
      </c>
      <c r="B8586" t="inlineStr">
        <is>
          <t>C1085</t>
        </is>
      </c>
      <c r="C8586" t="n">
        <v>2</v>
      </c>
      <c r="D8586" t="inlineStr">
        <is>
          <t>Hub C</t>
        </is>
      </c>
      <c r="E8586" t="n">
        <v>53</v>
      </c>
      <c r="F8586" t="n">
        <v>31</v>
      </c>
    </row>
    <row r="8587">
      <c r="A8587" t="inlineStr">
        <is>
          <t>ORD08586</t>
        </is>
      </c>
      <c r="B8587" t="inlineStr">
        <is>
          <t>C1086</t>
        </is>
      </c>
      <c r="C8587" t="n">
        <v>3</v>
      </c>
      <c r="D8587" t="inlineStr">
        <is>
          <t>Hub C</t>
        </is>
      </c>
      <c r="E8587" t="n">
        <v>60</v>
      </c>
      <c r="F8587" t="n">
        <v>31</v>
      </c>
    </row>
    <row r="8588">
      <c r="A8588" t="inlineStr">
        <is>
          <t>ORD08587</t>
        </is>
      </c>
      <c r="B8588" t="inlineStr">
        <is>
          <t>C1087</t>
        </is>
      </c>
      <c r="C8588" t="n">
        <v>1</v>
      </c>
      <c r="D8588" t="inlineStr">
        <is>
          <t>Hub C</t>
        </is>
      </c>
      <c r="E8588" t="n">
        <v>67</v>
      </c>
      <c r="F8588" t="n">
        <v>31</v>
      </c>
    </row>
    <row r="8589">
      <c r="A8589" t="inlineStr">
        <is>
          <t>ORD08588</t>
        </is>
      </c>
      <c r="B8589" t="inlineStr">
        <is>
          <t>C1088</t>
        </is>
      </c>
      <c r="C8589" t="n">
        <v>2</v>
      </c>
      <c r="D8589" t="inlineStr">
        <is>
          <t>Hub C</t>
        </is>
      </c>
      <c r="E8589" t="n">
        <v>74</v>
      </c>
      <c r="F8589" t="n">
        <v>31</v>
      </c>
    </row>
    <row r="8590">
      <c r="A8590" t="inlineStr">
        <is>
          <t>ORD08589</t>
        </is>
      </c>
      <c r="B8590" t="inlineStr">
        <is>
          <t>C1089</t>
        </is>
      </c>
      <c r="C8590" t="n">
        <v>3</v>
      </c>
      <c r="D8590" t="inlineStr">
        <is>
          <t>Hub C</t>
        </is>
      </c>
      <c r="E8590" t="n">
        <v>21</v>
      </c>
      <c r="F8590" t="n">
        <v>31</v>
      </c>
    </row>
    <row r="8591">
      <c r="A8591" t="inlineStr">
        <is>
          <t>ORD08590</t>
        </is>
      </c>
      <c r="B8591" t="inlineStr">
        <is>
          <t>C1090</t>
        </is>
      </c>
      <c r="C8591" t="n">
        <v>1</v>
      </c>
      <c r="D8591" t="inlineStr">
        <is>
          <t>Hub C</t>
        </is>
      </c>
      <c r="E8591" t="n">
        <v>28</v>
      </c>
      <c r="F8591" t="n">
        <v>31</v>
      </c>
    </row>
    <row r="8592">
      <c r="A8592" t="inlineStr">
        <is>
          <t>ORD08591</t>
        </is>
      </c>
      <c r="B8592" t="inlineStr">
        <is>
          <t>C1091</t>
        </is>
      </c>
      <c r="C8592" t="n">
        <v>2</v>
      </c>
      <c r="D8592" t="inlineStr">
        <is>
          <t>Hub C</t>
        </is>
      </c>
      <c r="E8592" t="n">
        <v>35</v>
      </c>
      <c r="F8592" t="n">
        <v>31</v>
      </c>
    </row>
    <row r="8593">
      <c r="A8593" t="inlineStr">
        <is>
          <t>ORD08592</t>
        </is>
      </c>
      <c r="B8593" t="inlineStr">
        <is>
          <t>C1092</t>
        </is>
      </c>
      <c r="C8593" t="n">
        <v>3</v>
      </c>
      <c r="D8593" t="inlineStr">
        <is>
          <t>Hub C</t>
        </is>
      </c>
      <c r="E8593" t="n">
        <v>42</v>
      </c>
      <c r="F8593" t="n">
        <v>31</v>
      </c>
    </row>
    <row r="8594">
      <c r="A8594" t="inlineStr">
        <is>
          <t>ORD08593</t>
        </is>
      </c>
      <c r="B8594" t="inlineStr">
        <is>
          <t>C1093</t>
        </is>
      </c>
      <c r="C8594" t="n">
        <v>1</v>
      </c>
      <c r="D8594" t="inlineStr">
        <is>
          <t>Hub C</t>
        </is>
      </c>
      <c r="E8594" t="n">
        <v>49</v>
      </c>
      <c r="F8594" t="n">
        <v>31</v>
      </c>
    </row>
    <row r="8595">
      <c r="A8595" t="inlineStr">
        <is>
          <t>ORD08594</t>
        </is>
      </c>
      <c r="B8595" t="inlineStr">
        <is>
          <t>C1094</t>
        </is>
      </c>
      <c r="C8595" t="n">
        <v>2</v>
      </c>
      <c r="D8595" t="inlineStr">
        <is>
          <t>Hub C</t>
        </is>
      </c>
      <c r="E8595" t="n">
        <v>56</v>
      </c>
      <c r="F8595" t="n">
        <v>31</v>
      </c>
    </row>
    <row r="8596">
      <c r="A8596" t="inlineStr">
        <is>
          <t>ORD08595</t>
        </is>
      </c>
      <c r="B8596" t="inlineStr">
        <is>
          <t>C1095</t>
        </is>
      </c>
      <c r="C8596" t="n">
        <v>3</v>
      </c>
      <c r="D8596" t="inlineStr">
        <is>
          <t>Hub C</t>
        </is>
      </c>
      <c r="E8596" t="n">
        <v>63</v>
      </c>
      <c r="F8596" t="n">
        <v>31</v>
      </c>
    </row>
    <row r="8597">
      <c r="A8597" t="inlineStr">
        <is>
          <t>ORD08596</t>
        </is>
      </c>
      <c r="B8597" t="inlineStr">
        <is>
          <t>C1096</t>
        </is>
      </c>
      <c r="C8597" t="n">
        <v>1</v>
      </c>
      <c r="D8597" t="inlineStr">
        <is>
          <t>Hub C</t>
        </is>
      </c>
      <c r="E8597" t="n">
        <v>70</v>
      </c>
      <c r="F8597" t="n">
        <v>31</v>
      </c>
    </row>
    <row r="8598">
      <c r="A8598" t="inlineStr">
        <is>
          <t>ORD08597</t>
        </is>
      </c>
      <c r="B8598" t="inlineStr">
        <is>
          <t>C1097</t>
        </is>
      </c>
      <c r="C8598" t="n">
        <v>2</v>
      </c>
      <c r="D8598" t="inlineStr">
        <is>
          <t>Hub C</t>
        </is>
      </c>
      <c r="E8598" t="n">
        <v>77</v>
      </c>
      <c r="F8598" t="n">
        <v>31</v>
      </c>
    </row>
    <row r="8599">
      <c r="A8599" t="inlineStr">
        <is>
          <t>ORD08598</t>
        </is>
      </c>
      <c r="B8599" t="inlineStr">
        <is>
          <t>C1098</t>
        </is>
      </c>
      <c r="C8599" t="n">
        <v>3</v>
      </c>
      <c r="D8599" t="inlineStr">
        <is>
          <t>Hub C</t>
        </is>
      </c>
      <c r="E8599" t="n">
        <v>24</v>
      </c>
      <c r="F8599" t="n">
        <v>31</v>
      </c>
    </row>
    <row r="8600">
      <c r="A8600" t="inlineStr">
        <is>
          <t>ORD08599</t>
        </is>
      </c>
      <c r="B8600" t="inlineStr">
        <is>
          <t>C1099</t>
        </is>
      </c>
      <c r="C8600" t="n">
        <v>1</v>
      </c>
      <c r="D8600" t="inlineStr">
        <is>
          <t>Hub C</t>
        </is>
      </c>
      <c r="E8600" t="n">
        <v>31</v>
      </c>
      <c r="F8600" t="n">
        <v>31</v>
      </c>
    </row>
    <row r="8601">
      <c r="A8601" t="inlineStr">
        <is>
          <t>ORD08600</t>
        </is>
      </c>
      <c r="B8601" t="inlineStr">
        <is>
          <t>C1100</t>
        </is>
      </c>
      <c r="C8601" t="n">
        <v>2</v>
      </c>
      <c r="D8601" t="inlineStr">
        <is>
          <t>Hub C</t>
        </is>
      </c>
      <c r="E8601" t="n">
        <v>38</v>
      </c>
      <c r="F8601" t="n">
        <v>31</v>
      </c>
    </row>
    <row r="8602">
      <c r="A8602" t="inlineStr">
        <is>
          <t>ORD08601</t>
        </is>
      </c>
      <c r="B8602" t="inlineStr">
        <is>
          <t>C1101</t>
        </is>
      </c>
      <c r="C8602" t="n">
        <v>3</v>
      </c>
      <c r="D8602" t="inlineStr">
        <is>
          <t>Hub C</t>
        </is>
      </c>
      <c r="E8602" t="n">
        <v>45</v>
      </c>
      <c r="F8602" t="n">
        <v>31</v>
      </c>
    </row>
    <row r="8603">
      <c r="A8603" t="inlineStr">
        <is>
          <t>ORD08602</t>
        </is>
      </c>
      <c r="B8603" t="inlineStr">
        <is>
          <t>C1102</t>
        </is>
      </c>
      <c r="C8603" t="n">
        <v>1</v>
      </c>
      <c r="D8603" t="inlineStr">
        <is>
          <t>Hub C</t>
        </is>
      </c>
      <c r="E8603" t="n">
        <v>52</v>
      </c>
      <c r="F8603" t="n">
        <v>31</v>
      </c>
    </row>
    <row r="8604">
      <c r="A8604" t="inlineStr">
        <is>
          <t>ORD08603</t>
        </is>
      </c>
      <c r="B8604" t="inlineStr">
        <is>
          <t>C1103</t>
        </is>
      </c>
      <c r="C8604" t="n">
        <v>2</v>
      </c>
      <c r="D8604" t="inlineStr">
        <is>
          <t>Hub C</t>
        </is>
      </c>
      <c r="E8604" t="n">
        <v>59</v>
      </c>
      <c r="F8604" t="n">
        <v>31</v>
      </c>
    </row>
    <row r="8605">
      <c r="A8605" t="inlineStr">
        <is>
          <t>ORD08604</t>
        </is>
      </c>
      <c r="B8605" t="inlineStr">
        <is>
          <t>C1104</t>
        </is>
      </c>
      <c r="C8605" t="n">
        <v>3</v>
      </c>
      <c r="D8605" t="inlineStr">
        <is>
          <t>Hub C</t>
        </is>
      </c>
      <c r="E8605" t="n">
        <v>66</v>
      </c>
      <c r="F8605" t="n">
        <v>31</v>
      </c>
    </row>
    <row r="8606">
      <c r="A8606" t="inlineStr">
        <is>
          <t>ORD08605</t>
        </is>
      </c>
      <c r="B8606" t="inlineStr">
        <is>
          <t>C1105</t>
        </is>
      </c>
      <c r="C8606" t="n">
        <v>1</v>
      </c>
      <c r="D8606" t="inlineStr">
        <is>
          <t>Hub C</t>
        </is>
      </c>
      <c r="E8606" t="n">
        <v>73</v>
      </c>
      <c r="F8606" t="n">
        <v>31</v>
      </c>
    </row>
    <row r="8607">
      <c r="A8607" t="inlineStr">
        <is>
          <t>ORD08606</t>
        </is>
      </c>
      <c r="B8607" t="inlineStr">
        <is>
          <t>C1106</t>
        </is>
      </c>
      <c r="C8607" t="n">
        <v>2</v>
      </c>
      <c r="D8607" t="inlineStr">
        <is>
          <t>Hub C</t>
        </is>
      </c>
      <c r="E8607" t="n">
        <v>20</v>
      </c>
      <c r="F8607" t="n">
        <v>31</v>
      </c>
    </row>
    <row r="8608">
      <c r="A8608" t="inlineStr">
        <is>
          <t>ORD08607</t>
        </is>
      </c>
      <c r="B8608" t="inlineStr">
        <is>
          <t>C1107</t>
        </is>
      </c>
      <c r="C8608" t="n">
        <v>3</v>
      </c>
      <c r="D8608" t="inlineStr">
        <is>
          <t>Hub C</t>
        </is>
      </c>
      <c r="E8608" t="n">
        <v>27</v>
      </c>
      <c r="F8608" t="n">
        <v>31</v>
      </c>
    </row>
    <row r="8609">
      <c r="A8609" t="inlineStr">
        <is>
          <t>ORD08608</t>
        </is>
      </c>
      <c r="B8609" t="inlineStr">
        <is>
          <t>C1108</t>
        </is>
      </c>
      <c r="C8609" t="n">
        <v>1</v>
      </c>
      <c r="D8609" t="inlineStr">
        <is>
          <t>Hub C</t>
        </is>
      </c>
      <c r="E8609" t="n">
        <v>34</v>
      </c>
      <c r="F8609" t="n">
        <v>31</v>
      </c>
    </row>
    <row r="8610">
      <c r="A8610" t="inlineStr">
        <is>
          <t>ORD08609</t>
        </is>
      </c>
      <c r="B8610" t="inlineStr">
        <is>
          <t>C1109</t>
        </is>
      </c>
      <c r="C8610" t="n">
        <v>2</v>
      </c>
      <c r="D8610" t="inlineStr">
        <is>
          <t>Hub C</t>
        </is>
      </c>
      <c r="E8610" t="n">
        <v>41</v>
      </c>
      <c r="F8610" t="n">
        <v>31</v>
      </c>
    </row>
    <row r="8611">
      <c r="A8611" t="inlineStr">
        <is>
          <t>ORD08610</t>
        </is>
      </c>
      <c r="B8611" t="inlineStr">
        <is>
          <t>C1110</t>
        </is>
      </c>
      <c r="C8611" t="n">
        <v>3</v>
      </c>
      <c r="D8611" t="inlineStr">
        <is>
          <t>Hub C</t>
        </is>
      </c>
      <c r="E8611" t="n">
        <v>48</v>
      </c>
      <c r="F8611" t="n">
        <v>31</v>
      </c>
    </row>
    <row r="8612">
      <c r="A8612" t="inlineStr">
        <is>
          <t>ORD08611</t>
        </is>
      </c>
      <c r="B8612" t="inlineStr">
        <is>
          <t>C1111</t>
        </is>
      </c>
      <c r="C8612" t="n">
        <v>1</v>
      </c>
      <c r="D8612" t="inlineStr">
        <is>
          <t>Hub C</t>
        </is>
      </c>
      <c r="E8612" t="n">
        <v>55</v>
      </c>
      <c r="F8612" t="n">
        <v>31</v>
      </c>
    </row>
    <row r="8613">
      <c r="A8613" t="inlineStr">
        <is>
          <t>ORD08612</t>
        </is>
      </c>
      <c r="B8613" t="inlineStr">
        <is>
          <t>C1112</t>
        </is>
      </c>
      <c r="C8613" t="n">
        <v>2</v>
      </c>
      <c r="D8613" t="inlineStr">
        <is>
          <t>Hub C</t>
        </is>
      </c>
      <c r="E8613" t="n">
        <v>62</v>
      </c>
      <c r="F8613" t="n">
        <v>31</v>
      </c>
    </row>
    <row r="8614">
      <c r="A8614" t="inlineStr">
        <is>
          <t>ORD08613</t>
        </is>
      </c>
      <c r="B8614" t="inlineStr">
        <is>
          <t>C1113</t>
        </is>
      </c>
      <c r="C8614" t="n">
        <v>3</v>
      </c>
      <c r="D8614" t="inlineStr">
        <is>
          <t>Hub C</t>
        </is>
      </c>
      <c r="E8614" t="n">
        <v>69</v>
      </c>
      <c r="F8614" t="n">
        <v>31</v>
      </c>
    </row>
    <row r="8615">
      <c r="A8615" t="inlineStr">
        <is>
          <t>ORD08614</t>
        </is>
      </c>
      <c r="B8615" t="inlineStr">
        <is>
          <t>C1114</t>
        </is>
      </c>
      <c r="C8615" t="n">
        <v>1</v>
      </c>
      <c r="D8615" t="inlineStr">
        <is>
          <t>Hub C</t>
        </is>
      </c>
      <c r="E8615" t="n">
        <v>76</v>
      </c>
      <c r="F8615" t="n">
        <v>31</v>
      </c>
    </row>
    <row r="8616">
      <c r="A8616" t="inlineStr">
        <is>
          <t>ORD08615</t>
        </is>
      </c>
      <c r="B8616" t="inlineStr">
        <is>
          <t>C1115</t>
        </is>
      </c>
      <c r="C8616" t="n">
        <v>2</v>
      </c>
      <c r="D8616" t="inlineStr">
        <is>
          <t>Hub C</t>
        </is>
      </c>
      <c r="E8616" t="n">
        <v>23</v>
      </c>
      <c r="F8616" t="n">
        <v>31</v>
      </c>
    </row>
    <row r="8617">
      <c r="A8617" t="inlineStr">
        <is>
          <t>ORD08616</t>
        </is>
      </c>
      <c r="B8617" t="inlineStr">
        <is>
          <t>C1116</t>
        </is>
      </c>
      <c r="C8617" t="n">
        <v>3</v>
      </c>
      <c r="D8617" t="inlineStr">
        <is>
          <t>Hub C</t>
        </is>
      </c>
      <c r="E8617" t="n">
        <v>30</v>
      </c>
      <c r="F8617" t="n">
        <v>31</v>
      </c>
    </row>
    <row r="8618">
      <c r="A8618" t="inlineStr">
        <is>
          <t>ORD08617</t>
        </is>
      </c>
      <c r="B8618" t="inlineStr">
        <is>
          <t>C1117</t>
        </is>
      </c>
      <c r="C8618" t="n">
        <v>1</v>
      </c>
      <c r="D8618" t="inlineStr">
        <is>
          <t>Hub C</t>
        </is>
      </c>
      <c r="E8618" t="n">
        <v>37</v>
      </c>
      <c r="F8618" t="n">
        <v>31</v>
      </c>
    </row>
    <row r="8619">
      <c r="A8619" t="inlineStr">
        <is>
          <t>ORD08618</t>
        </is>
      </c>
      <c r="B8619" t="inlineStr">
        <is>
          <t>C1118</t>
        </is>
      </c>
      <c r="C8619" t="n">
        <v>2</v>
      </c>
      <c r="D8619" t="inlineStr">
        <is>
          <t>Hub C</t>
        </is>
      </c>
      <c r="E8619" t="n">
        <v>44</v>
      </c>
      <c r="F8619" t="n">
        <v>31</v>
      </c>
    </row>
    <row r="8620">
      <c r="A8620" t="inlineStr">
        <is>
          <t>ORD08619</t>
        </is>
      </c>
      <c r="B8620" t="inlineStr">
        <is>
          <t>C1119</t>
        </is>
      </c>
      <c r="C8620" t="n">
        <v>3</v>
      </c>
      <c r="D8620" t="inlineStr">
        <is>
          <t>Hub C</t>
        </is>
      </c>
      <c r="E8620" t="n">
        <v>51</v>
      </c>
      <c r="F8620" t="n">
        <v>31</v>
      </c>
    </row>
    <row r="8621">
      <c r="A8621" t="inlineStr">
        <is>
          <t>ORD08620</t>
        </is>
      </c>
      <c r="B8621" t="inlineStr">
        <is>
          <t>C1120</t>
        </is>
      </c>
      <c r="C8621" t="n">
        <v>1</v>
      </c>
      <c r="D8621" t="inlineStr">
        <is>
          <t>Hub C</t>
        </is>
      </c>
      <c r="E8621" t="n">
        <v>58</v>
      </c>
      <c r="F8621" t="n">
        <v>31</v>
      </c>
    </row>
    <row r="8622">
      <c r="A8622" t="inlineStr">
        <is>
          <t>ORD08621</t>
        </is>
      </c>
      <c r="B8622" t="inlineStr">
        <is>
          <t>C1121</t>
        </is>
      </c>
      <c r="C8622" t="n">
        <v>2</v>
      </c>
      <c r="D8622" t="inlineStr">
        <is>
          <t>Hub C</t>
        </is>
      </c>
      <c r="E8622" t="n">
        <v>65</v>
      </c>
      <c r="F8622" t="n">
        <v>31</v>
      </c>
    </row>
    <row r="8623">
      <c r="A8623" t="inlineStr">
        <is>
          <t>ORD08622</t>
        </is>
      </c>
      <c r="B8623" t="inlineStr">
        <is>
          <t>C1122</t>
        </is>
      </c>
      <c r="C8623" t="n">
        <v>3</v>
      </c>
      <c r="D8623" t="inlineStr">
        <is>
          <t>Hub C</t>
        </is>
      </c>
      <c r="E8623" t="n">
        <v>72</v>
      </c>
      <c r="F8623" t="n">
        <v>31</v>
      </c>
    </row>
    <row r="8624">
      <c r="A8624" t="inlineStr">
        <is>
          <t>ORD08623</t>
        </is>
      </c>
      <c r="B8624" t="inlineStr">
        <is>
          <t>C1123</t>
        </is>
      </c>
      <c r="C8624" t="n">
        <v>1</v>
      </c>
      <c r="D8624" t="inlineStr">
        <is>
          <t>Hub C</t>
        </is>
      </c>
      <c r="E8624" t="n">
        <v>19</v>
      </c>
      <c r="F8624" t="n">
        <v>31</v>
      </c>
    </row>
    <row r="8625">
      <c r="A8625" t="inlineStr">
        <is>
          <t>ORD08624</t>
        </is>
      </c>
      <c r="B8625" t="inlineStr">
        <is>
          <t>C1124</t>
        </is>
      </c>
      <c r="C8625" t="n">
        <v>2</v>
      </c>
      <c r="D8625" t="inlineStr">
        <is>
          <t>Hub C</t>
        </is>
      </c>
      <c r="E8625" t="n">
        <v>26</v>
      </c>
      <c r="F8625" t="n">
        <v>31</v>
      </c>
    </row>
    <row r="8626">
      <c r="A8626" t="inlineStr">
        <is>
          <t>ORD08625</t>
        </is>
      </c>
      <c r="B8626" t="inlineStr">
        <is>
          <t>C1125</t>
        </is>
      </c>
      <c r="C8626" t="n">
        <v>3</v>
      </c>
      <c r="D8626" t="inlineStr">
        <is>
          <t>Hub C</t>
        </is>
      </c>
      <c r="E8626" t="n">
        <v>33</v>
      </c>
      <c r="F8626" t="n">
        <v>31</v>
      </c>
    </row>
    <row r="8627">
      <c r="A8627" t="inlineStr">
        <is>
          <t>ORD08626</t>
        </is>
      </c>
      <c r="B8627" t="inlineStr">
        <is>
          <t>C1126</t>
        </is>
      </c>
      <c r="C8627" t="n">
        <v>1</v>
      </c>
      <c r="D8627" t="inlineStr">
        <is>
          <t>Hub C</t>
        </is>
      </c>
      <c r="E8627" t="n">
        <v>40</v>
      </c>
      <c r="F8627" t="n">
        <v>31</v>
      </c>
    </row>
    <row r="8628">
      <c r="A8628" t="inlineStr">
        <is>
          <t>ORD08627</t>
        </is>
      </c>
      <c r="B8628" t="inlineStr">
        <is>
          <t>C1127</t>
        </is>
      </c>
      <c r="C8628" t="n">
        <v>2</v>
      </c>
      <c r="D8628" t="inlineStr">
        <is>
          <t>Hub C</t>
        </is>
      </c>
      <c r="E8628" t="n">
        <v>47</v>
      </c>
      <c r="F8628" t="n">
        <v>31</v>
      </c>
    </row>
    <row r="8629">
      <c r="A8629" t="inlineStr">
        <is>
          <t>ORD08628</t>
        </is>
      </c>
      <c r="B8629" t="inlineStr">
        <is>
          <t>C1128</t>
        </is>
      </c>
      <c r="C8629" t="n">
        <v>3</v>
      </c>
      <c r="D8629" t="inlineStr">
        <is>
          <t>Hub C</t>
        </is>
      </c>
      <c r="E8629" t="n">
        <v>54</v>
      </c>
      <c r="F8629" t="n">
        <v>31</v>
      </c>
    </row>
    <row r="8630">
      <c r="A8630" t="inlineStr">
        <is>
          <t>ORD08629</t>
        </is>
      </c>
      <c r="B8630" t="inlineStr">
        <is>
          <t>C1129</t>
        </is>
      </c>
      <c r="C8630" t="n">
        <v>1</v>
      </c>
      <c r="D8630" t="inlineStr">
        <is>
          <t>Hub C</t>
        </is>
      </c>
      <c r="E8630" t="n">
        <v>61</v>
      </c>
      <c r="F8630" t="n">
        <v>31</v>
      </c>
    </row>
    <row r="8631">
      <c r="A8631" t="inlineStr">
        <is>
          <t>ORD08630</t>
        </is>
      </c>
      <c r="B8631" t="inlineStr">
        <is>
          <t>C1130</t>
        </is>
      </c>
      <c r="C8631" t="n">
        <v>2</v>
      </c>
      <c r="D8631" t="inlineStr">
        <is>
          <t>Hub C</t>
        </is>
      </c>
      <c r="E8631" t="n">
        <v>68</v>
      </c>
      <c r="F8631" t="n">
        <v>31</v>
      </c>
    </row>
    <row r="8632">
      <c r="A8632" t="inlineStr">
        <is>
          <t>ORD08631</t>
        </is>
      </c>
      <c r="B8632" t="inlineStr">
        <is>
          <t>C1131</t>
        </is>
      </c>
      <c r="C8632" t="n">
        <v>3</v>
      </c>
      <c r="D8632" t="inlineStr">
        <is>
          <t>Hub C</t>
        </is>
      </c>
      <c r="E8632" t="n">
        <v>75</v>
      </c>
      <c r="F8632" t="n">
        <v>31</v>
      </c>
    </row>
    <row r="8633">
      <c r="A8633" t="inlineStr">
        <is>
          <t>ORD08632</t>
        </is>
      </c>
      <c r="B8633" t="inlineStr">
        <is>
          <t>C1132</t>
        </is>
      </c>
      <c r="C8633" t="n">
        <v>1</v>
      </c>
      <c r="D8633" t="inlineStr">
        <is>
          <t>Hub C</t>
        </is>
      </c>
      <c r="E8633" t="n">
        <v>22</v>
      </c>
      <c r="F8633" t="n">
        <v>31</v>
      </c>
    </row>
    <row r="8634">
      <c r="A8634" t="inlineStr">
        <is>
          <t>ORD08633</t>
        </is>
      </c>
      <c r="B8634" t="inlineStr">
        <is>
          <t>C1133</t>
        </is>
      </c>
      <c r="C8634" t="n">
        <v>2</v>
      </c>
      <c r="D8634" t="inlineStr">
        <is>
          <t>Hub C</t>
        </is>
      </c>
      <c r="E8634" t="n">
        <v>29</v>
      </c>
      <c r="F8634" t="n">
        <v>31</v>
      </c>
    </row>
    <row r="8635">
      <c r="A8635" t="inlineStr">
        <is>
          <t>ORD08634</t>
        </is>
      </c>
      <c r="B8635" t="inlineStr">
        <is>
          <t>C1134</t>
        </is>
      </c>
      <c r="C8635" t="n">
        <v>3</v>
      </c>
      <c r="D8635" t="inlineStr">
        <is>
          <t>Hub C</t>
        </is>
      </c>
      <c r="E8635" t="n">
        <v>36</v>
      </c>
      <c r="F8635" t="n">
        <v>31</v>
      </c>
    </row>
    <row r="8636">
      <c r="A8636" t="inlineStr">
        <is>
          <t>ORD08635</t>
        </is>
      </c>
      <c r="B8636" t="inlineStr">
        <is>
          <t>C1135</t>
        </is>
      </c>
      <c r="C8636" t="n">
        <v>1</v>
      </c>
      <c r="D8636" t="inlineStr">
        <is>
          <t>Hub C</t>
        </is>
      </c>
      <c r="E8636" t="n">
        <v>43</v>
      </c>
      <c r="F8636" t="n">
        <v>31</v>
      </c>
    </row>
    <row r="8637">
      <c r="A8637" t="inlineStr">
        <is>
          <t>ORD08636</t>
        </is>
      </c>
      <c r="B8637" t="inlineStr">
        <is>
          <t>C1136</t>
        </is>
      </c>
      <c r="C8637" t="n">
        <v>2</v>
      </c>
      <c r="D8637" t="inlineStr">
        <is>
          <t>Hub C</t>
        </is>
      </c>
      <c r="E8637" t="n">
        <v>50</v>
      </c>
      <c r="F8637" t="n">
        <v>31</v>
      </c>
    </row>
    <row r="8638">
      <c r="A8638" t="inlineStr">
        <is>
          <t>ORD08637</t>
        </is>
      </c>
      <c r="B8638" t="inlineStr">
        <is>
          <t>C1137</t>
        </is>
      </c>
      <c r="C8638" t="n">
        <v>3</v>
      </c>
      <c r="D8638" t="inlineStr">
        <is>
          <t>Hub C</t>
        </is>
      </c>
      <c r="E8638" t="n">
        <v>57</v>
      </c>
      <c r="F8638" t="n">
        <v>31</v>
      </c>
    </row>
    <row r="8639">
      <c r="A8639" t="inlineStr">
        <is>
          <t>ORD08638</t>
        </is>
      </c>
      <c r="B8639" t="inlineStr">
        <is>
          <t>C1138</t>
        </is>
      </c>
      <c r="C8639" t="n">
        <v>1</v>
      </c>
      <c r="D8639" t="inlineStr">
        <is>
          <t>Hub C</t>
        </is>
      </c>
      <c r="E8639" t="n">
        <v>64</v>
      </c>
      <c r="F8639" t="n">
        <v>31</v>
      </c>
    </row>
    <row r="8640">
      <c r="A8640" t="inlineStr">
        <is>
          <t>ORD08639</t>
        </is>
      </c>
      <c r="B8640" t="inlineStr">
        <is>
          <t>C1139</t>
        </is>
      </c>
      <c r="C8640" t="n">
        <v>2</v>
      </c>
      <c r="D8640" t="inlineStr">
        <is>
          <t>Hub C</t>
        </is>
      </c>
      <c r="E8640" t="n">
        <v>71</v>
      </c>
      <c r="F8640" t="n">
        <v>31</v>
      </c>
    </row>
    <row r="8641">
      <c r="A8641" t="inlineStr">
        <is>
          <t>ORD08640</t>
        </is>
      </c>
      <c r="B8641" t="inlineStr">
        <is>
          <t>C1140</t>
        </is>
      </c>
      <c r="C8641" t="n">
        <v>3</v>
      </c>
      <c r="D8641" t="inlineStr">
        <is>
          <t>Hub C</t>
        </is>
      </c>
      <c r="E8641" t="n">
        <v>18</v>
      </c>
      <c r="F8641" t="n">
        <v>31</v>
      </c>
    </row>
    <row r="8642">
      <c r="A8642" t="inlineStr">
        <is>
          <t>ORD08641</t>
        </is>
      </c>
      <c r="B8642" t="inlineStr">
        <is>
          <t>C1141</t>
        </is>
      </c>
      <c r="C8642" t="n">
        <v>1</v>
      </c>
      <c r="D8642" t="inlineStr">
        <is>
          <t>Hub C</t>
        </is>
      </c>
      <c r="E8642" t="n">
        <v>25</v>
      </c>
      <c r="F8642" t="n">
        <v>31</v>
      </c>
    </row>
    <row r="8643">
      <c r="A8643" t="inlineStr">
        <is>
          <t>ORD08642</t>
        </is>
      </c>
      <c r="B8643" t="inlineStr">
        <is>
          <t>C1142</t>
        </is>
      </c>
      <c r="C8643" t="n">
        <v>2</v>
      </c>
      <c r="D8643" t="inlineStr">
        <is>
          <t>Hub C</t>
        </is>
      </c>
      <c r="E8643" t="n">
        <v>32</v>
      </c>
      <c r="F8643" t="n">
        <v>31</v>
      </c>
    </row>
    <row r="8644">
      <c r="A8644" t="inlineStr">
        <is>
          <t>ORD08643</t>
        </is>
      </c>
      <c r="B8644" t="inlineStr">
        <is>
          <t>C1143</t>
        </is>
      </c>
      <c r="C8644" t="n">
        <v>3</v>
      </c>
      <c r="D8644" t="inlineStr">
        <is>
          <t>Hub C</t>
        </is>
      </c>
      <c r="E8644" t="n">
        <v>39</v>
      </c>
      <c r="F8644" t="n">
        <v>31</v>
      </c>
    </row>
    <row r="8645">
      <c r="A8645" t="inlineStr">
        <is>
          <t>ORD08644</t>
        </is>
      </c>
      <c r="B8645" t="inlineStr">
        <is>
          <t>C1144</t>
        </is>
      </c>
      <c r="C8645" t="n">
        <v>1</v>
      </c>
      <c r="D8645" t="inlineStr">
        <is>
          <t>Hub C</t>
        </is>
      </c>
      <c r="E8645" t="n">
        <v>46</v>
      </c>
      <c r="F8645" t="n">
        <v>31</v>
      </c>
    </row>
    <row r="8646">
      <c r="A8646" t="inlineStr">
        <is>
          <t>ORD08645</t>
        </is>
      </c>
      <c r="B8646" t="inlineStr">
        <is>
          <t>C1145</t>
        </is>
      </c>
      <c r="C8646" t="n">
        <v>2</v>
      </c>
      <c r="D8646" t="inlineStr">
        <is>
          <t>Hub C</t>
        </is>
      </c>
      <c r="E8646" t="n">
        <v>53</v>
      </c>
      <c r="F8646" t="n">
        <v>31</v>
      </c>
    </row>
    <row r="8647">
      <c r="A8647" t="inlineStr">
        <is>
          <t>ORD08646</t>
        </is>
      </c>
      <c r="B8647" t="inlineStr">
        <is>
          <t>C1146</t>
        </is>
      </c>
      <c r="C8647" t="n">
        <v>3</v>
      </c>
      <c r="D8647" t="inlineStr">
        <is>
          <t>Hub C</t>
        </is>
      </c>
      <c r="E8647" t="n">
        <v>60</v>
      </c>
      <c r="F8647" t="n">
        <v>31</v>
      </c>
    </row>
    <row r="8648">
      <c r="A8648" t="inlineStr">
        <is>
          <t>ORD08647</t>
        </is>
      </c>
      <c r="B8648" t="inlineStr">
        <is>
          <t>C1147</t>
        </is>
      </c>
      <c r="C8648" t="n">
        <v>1</v>
      </c>
      <c r="D8648" t="inlineStr">
        <is>
          <t>Hub C</t>
        </is>
      </c>
      <c r="E8648" t="n">
        <v>67</v>
      </c>
      <c r="F8648" t="n">
        <v>31</v>
      </c>
    </row>
    <row r="8649">
      <c r="A8649" t="inlineStr">
        <is>
          <t>ORD08648</t>
        </is>
      </c>
      <c r="B8649" t="inlineStr">
        <is>
          <t>C1148</t>
        </is>
      </c>
      <c r="C8649" t="n">
        <v>2</v>
      </c>
      <c r="D8649" t="inlineStr">
        <is>
          <t>Hub C</t>
        </is>
      </c>
      <c r="E8649" t="n">
        <v>74</v>
      </c>
      <c r="F8649" t="n">
        <v>31</v>
      </c>
    </row>
    <row r="8650">
      <c r="A8650" t="inlineStr">
        <is>
          <t>ORD08649</t>
        </is>
      </c>
      <c r="B8650" t="inlineStr">
        <is>
          <t>C1149</t>
        </is>
      </c>
      <c r="C8650" t="n">
        <v>3</v>
      </c>
      <c r="D8650" t="inlineStr">
        <is>
          <t>Hub C</t>
        </is>
      </c>
      <c r="E8650" t="n">
        <v>21</v>
      </c>
      <c r="F8650" t="n">
        <v>31</v>
      </c>
    </row>
    <row r="8651">
      <c r="A8651" t="inlineStr">
        <is>
          <t>ORD08650</t>
        </is>
      </c>
      <c r="B8651" t="inlineStr">
        <is>
          <t>C1150</t>
        </is>
      </c>
      <c r="C8651" t="n">
        <v>1</v>
      </c>
      <c r="D8651" t="inlineStr">
        <is>
          <t>Hub C</t>
        </is>
      </c>
      <c r="E8651" t="n">
        <v>28</v>
      </c>
      <c r="F8651" t="n">
        <v>31</v>
      </c>
    </row>
    <row r="8652">
      <c r="A8652" t="inlineStr">
        <is>
          <t>ORD08651</t>
        </is>
      </c>
      <c r="B8652" t="inlineStr">
        <is>
          <t>C1151</t>
        </is>
      </c>
      <c r="C8652" t="n">
        <v>2</v>
      </c>
      <c r="D8652" t="inlineStr">
        <is>
          <t>Hub C</t>
        </is>
      </c>
      <c r="E8652" t="n">
        <v>35</v>
      </c>
      <c r="F8652" t="n">
        <v>31</v>
      </c>
    </row>
    <row r="8653">
      <c r="A8653" t="inlineStr">
        <is>
          <t>ORD08652</t>
        </is>
      </c>
      <c r="B8653" t="inlineStr">
        <is>
          <t>C1152</t>
        </is>
      </c>
      <c r="C8653" t="n">
        <v>3</v>
      </c>
      <c r="D8653" t="inlineStr">
        <is>
          <t>Hub C</t>
        </is>
      </c>
      <c r="E8653" t="n">
        <v>42</v>
      </c>
      <c r="F8653" t="n">
        <v>31</v>
      </c>
    </row>
    <row r="8654">
      <c r="A8654" t="inlineStr">
        <is>
          <t>ORD08653</t>
        </is>
      </c>
      <c r="B8654" t="inlineStr">
        <is>
          <t>C1153</t>
        </is>
      </c>
      <c r="C8654" t="n">
        <v>1</v>
      </c>
      <c r="D8654" t="inlineStr">
        <is>
          <t>Hub C</t>
        </is>
      </c>
      <c r="E8654" t="n">
        <v>49</v>
      </c>
      <c r="F8654" t="n">
        <v>31</v>
      </c>
    </row>
    <row r="8655">
      <c r="A8655" t="inlineStr">
        <is>
          <t>ORD08654</t>
        </is>
      </c>
      <c r="B8655" t="inlineStr">
        <is>
          <t>C1154</t>
        </is>
      </c>
      <c r="C8655" t="n">
        <v>2</v>
      </c>
      <c r="D8655" t="inlineStr">
        <is>
          <t>Hub C</t>
        </is>
      </c>
      <c r="E8655" t="n">
        <v>56</v>
      </c>
      <c r="F8655" t="n">
        <v>31</v>
      </c>
    </row>
    <row r="8656">
      <c r="A8656" t="inlineStr">
        <is>
          <t>ORD08655</t>
        </is>
      </c>
      <c r="B8656" t="inlineStr">
        <is>
          <t>C1155</t>
        </is>
      </c>
      <c r="C8656" t="n">
        <v>3</v>
      </c>
      <c r="D8656" t="inlineStr">
        <is>
          <t>Hub C</t>
        </is>
      </c>
      <c r="E8656" t="n">
        <v>63</v>
      </c>
      <c r="F8656" t="n">
        <v>31</v>
      </c>
    </row>
    <row r="8657">
      <c r="A8657" t="inlineStr">
        <is>
          <t>ORD08656</t>
        </is>
      </c>
      <c r="B8657" t="inlineStr">
        <is>
          <t>C1156</t>
        </is>
      </c>
      <c r="C8657" t="n">
        <v>1</v>
      </c>
      <c r="D8657" t="inlineStr">
        <is>
          <t>Hub C</t>
        </is>
      </c>
      <c r="E8657" t="n">
        <v>70</v>
      </c>
      <c r="F8657" t="n">
        <v>31</v>
      </c>
    </row>
    <row r="8658">
      <c r="A8658" t="inlineStr">
        <is>
          <t>ORD08657</t>
        </is>
      </c>
      <c r="B8658" t="inlineStr">
        <is>
          <t>C1157</t>
        </is>
      </c>
      <c r="C8658" t="n">
        <v>2</v>
      </c>
      <c r="D8658" t="inlineStr">
        <is>
          <t>Hub C</t>
        </is>
      </c>
      <c r="E8658" t="n">
        <v>77</v>
      </c>
      <c r="F8658" t="n">
        <v>31</v>
      </c>
    </row>
    <row r="8659">
      <c r="A8659" t="inlineStr">
        <is>
          <t>ORD08658</t>
        </is>
      </c>
      <c r="B8659" t="inlineStr">
        <is>
          <t>C1158</t>
        </is>
      </c>
      <c r="C8659" t="n">
        <v>3</v>
      </c>
      <c r="D8659" t="inlineStr">
        <is>
          <t>Hub C</t>
        </is>
      </c>
      <c r="E8659" t="n">
        <v>24</v>
      </c>
      <c r="F8659" t="n">
        <v>31</v>
      </c>
    </row>
    <row r="8660">
      <c r="A8660" t="inlineStr">
        <is>
          <t>ORD08659</t>
        </is>
      </c>
      <c r="B8660" t="inlineStr">
        <is>
          <t>C1159</t>
        </is>
      </c>
      <c r="C8660" t="n">
        <v>1</v>
      </c>
      <c r="D8660" t="inlineStr">
        <is>
          <t>Hub C</t>
        </is>
      </c>
      <c r="E8660" t="n">
        <v>31</v>
      </c>
      <c r="F8660" t="n">
        <v>31</v>
      </c>
    </row>
    <row r="8661">
      <c r="A8661" t="inlineStr">
        <is>
          <t>ORD08660</t>
        </is>
      </c>
      <c r="B8661" t="inlineStr">
        <is>
          <t>C1160</t>
        </is>
      </c>
      <c r="C8661" t="n">
        <v>2</v>
      </c>
      <c r="D8661" t="inlineStr">
        <is>
          <t>Hub C</t>
        </is>
      </c>
      <c r="E8661" t="n">
        <v>38</v>
      </c>
      <c r="F8661" t="n">
        <v>31</v>
      </c>
    </row>
    <row r="8662">
      <c r="A8662" t="inlineStr">
        <is>
          <t>ORD08661</t>
        </is>
      </c>
      <c r="B8662" t="inlineStr">
        <is>
          <t>C1161</t>
        </is>
      </c>
      <c r="C8662" t="n">
        <v>3</v>
      </c>
      <c r="D8662" t="inlineStr">
        <is>
          <t>Hub C</t>
        </is>
      </c>
      <c r="E8662" t="n">
        <v>45</v>
      </c>
      <c r="F8662" t="n">
        <v>31</v>
      </c>
    </row>
    <row r="8663">
      <c r="A8663" t="inlineStr">
        <is>
          <t>ORD08662</t>
        </is>
      </c>
      <c r="B8663" t="inlineStr">
        <is>
          <t>C1162</t>
        </is>
      </c>
      <c r="C8663" t="n">
        <v>1</v>
      </c>
      <c r="D8663" t="inlineStr">
        <is>
          <t>Hub C</t>
        </is>
      </c>
      <c r="E8663" t="n">
        <v>52</v>
      </c>
      <c r="F8663" t="n">
        <v>31</v>
      </c>
    </row>
    <row r="8664">
      <c r="A8664" t="inlineStr">
        <is>
          <t>ORD08663</t>
        </is>
      </c>
      <c r="B8664" t="inlineStr">
        <is>
          <t>C1163</t>
        </is>
      </c>
      <c r="C8664" t="n">
        <v>2</v>
      </c>
      <c r="D8664" t="inlineStr">
        <is>
          <t>Hub C</t>
        </is>
      </c>
      <c r="E8664" t="n">
        <v>59</v>
      </c>
      <c r="F8664" t="n">
        <v>31</v>
      </c>
    </row>
    <row r="8665">
      <c r="A8665" t="inlineStr">
        <is>
          <t>ORD08664</t>
        </is>
      </c>
      <c r="B8665" t="inlineStr">
        <is>
          <t>C1164</t>
        </is>
      </c>
      <c r="C8665" t="n">
        <v>3</v>
      </c>
      <c r="D8665" t="inlineStr">
        <is>
          <t>Hub C</t>
        </is>
      </c>
      <c r="E8665" t="n">
        <v>66</v>
      </c>
      <c r="F8665" t="n">
        <v>31</v>
      </c>
    </row>
    <row r="8666">
      <c r="A8666" t="inlineStr">
        <is>
          <t>ORD08665</t>
        </is>
      </c>
      <c r="B8666" t="inlineStr">
        <is>
          <t>C1165</t>
        </is>
      </c>
      <c r="C8666" t="n">
        <v>1</v>
      </c>
      <c r="D8666" t="inlineStr">
        <is>
          <t>Hub C</t>
        </is>
      </c>
      <c r="E8666" t="n">
        <v>73</v>
      </c>
      <c r="F8666" t="n">
        <v>31</v>
      </c>
    </row>
    <row r="8667">
      <c r="A8667" t="inlineStr">
        <is>
          <t>ORD08666</t>
        </is>
      </c>
      <c r="B8667" t="inlineStr">
        <is>
          <t>C1166</t>
        </is>
      </c>
      <c r="C8667" t="n">
        <v>2</v>
      </c>
      <c r="D8667" t="inlineStr">
        <is>
          <t>Hub C</t>
        </is>
      </c>
      <c r="E8667" t="n">
        <v>20</v>
      </c>
      <c r="F8667" t="n">
        <v>31</v>
      </c>
    </row>
    <row r="8668">
      <c r="A8668" t="inlineStr">
        <is>
          <t>ORD08667</t>
        </is>
      </c>
      <c r="B8668" t="inlineStr">
        <is>
          <t>C1167</t>
        </is>
      </c>
      <c r="C8668" t="n">
        <v>3</v>
      </c>
      <c r="D8668" t="inlineStr">
        <is>
          <t>Hub C</t>
        </is>
      </c>
      <c r="E8668" t="n">
        <v>27</v>
      </c>
      <c r="F8668" t="n">
        <v>31</v>
      </c>
    </row>
    <row r="8669">
      <c r="A8669" t="inlineStr">
        <is>
          <t>ORD08668</t>
        </is>
      </c>
      <c r="B8669" t="inlineStr">
        <is>
          <t>C1168</t>
        </is>
      </c>
      <c r="C8669" t="n">
        <v>1</v>
      </c>
      <c r="D8669" t="inlineStr">
        <is>
          <t>Hub C</t>
        </is>
      </c>
      <c r="E8669" t="n">
        <v>34</v>
      </c>
      <c r="F8669" t="n">
        <v>31</v>
      </c>
    </row>
    <row r="8670">
      <c r="A8670" t="inlineStr">
        <is>
          <t>ORD08669</t>
        </is>
      </c>
      <c r="B8670" t="inlineStr">
        <is>
          <t>C1169</t>
        </is>
      </c>
      <c r="C8670" t="n">
        <v>2</v>
      </c>
      <c r="D8670" t="inlineStr">
        <is>
          <t>Hub C</t>
        </is>
      </c>
      <c r="E8670" t="n">
        <v>41</v>
      </c>
      <c r="F8670" t="n">
        <v>31</v>
      </c>
    </row>
    <row r="8671">
      <c r="A8671" t="inlineStr">
        <is>
          <t>ORD08670</t>
        </is>
      </c>
      <c r="B8671" t="inlineStr">
        <is>
          <t>C1170</t>
        </is>
      </c>
      <c r="C8671" t="n">
        <v>3</v>
      </c>
      <c r="D8671" t="inlineStr">
        <is>
          <t>Hub C</t>
        </is>
      </c>
      <c r="E8671" t="n">
        <v>48</v>
      </c>
      <c r="F8671" t="n">
        <v>31</v>
      </c>
    </row>
    <row r="8672">
      <c r="A8672" t="inlineStr">
        <is>
          <t>ORD08671</t>
        </is>
      </c>
      <c r="B8672" t="inlineStr">
        <is>
          <t>C1171</t>
        </is>
      </c>
      <c r="C8672" t="n">
        <v>1</v>
      </c>
      <c r="D8672" t="inlineStr">
        <is>
          <t>Hub C</t>
        </is>
      </c>
      <c r="E8672" t="n">
        <v>55</v>
      </c>
      <c r="F8672" t="n">
        <v>31</v>
      </c>
    </row>
    <row r="8673">
      <c r="A8673" t="inlineStr">
        <is>
          <t>ORD08672</t>
        </is>
      </c>
      <c r="B8673" t="inlineStr">
        <is>
          <t>C1172</t>
        </is>
      </c>
      <c r="C8673" t="n">
        <v>2</v>
      </c>
      <c r="D8673" t="inlineStr">
        <is>
          <t>Hub C</t>
        </is>
      </c>
      <c r="E8673" t="n">
        <v>62</v>
      </c>
      <c r="F8673" t="n">
        <v>31</v>
      </c>
    </row>
    <row r="8674">
      <c r="A8674" t="inlineStr">
        <is>
          <t>ORD08673</t>
        </is>
      </c>
      <c r="B8674" t="inlineStr">
        <is>
          <t>C1173</t>
        </is>
      </c>
      <c r="C8674" t="n">
        <v>3</v>
      </c>
      <c r="D8674" t="inlineStr">
        <is>
          <t>Hub C</t>
        </is>
      </c>
      <c r="E8674" t="n">
        <v>69</v>
      </c>
      <c r="F8674" t="n">
        <v>31</v>
      </c>
    </row>
    <row r="8675">
      <c r="A8675" t="inlineStr">
        <is>
          <t>ORD08674</t>
        </is>
      </c>
      <c r="B8675" t="inlineStr">
        <is>
          <t>C1174</t>
        </is>
      </c>
      <c r="C8675" t="n">
        <v>1</v>
      </c>
      <c r="D8675" t="inlineStr">
        <is>
          <t>Hub C</t>
        </is>
      </c>
      <c r="E8675" t="n">
        <v>76</v>
      </c>
      <c r="F8675" t="n">
        <v>31</v>
      </c>
    </row>
    <row r="8676">
      <c r="A8676" t="inlineStr">
        <is>
          <t>ORD08675</t>
        </is>
      </c>
      <c r="B8676" t="inlineStr">
        <is>
          <t>C1175</t>
        </is>
      </c>
      <c r="C8676" t="n">
        <v>2</v>
      </c>
      <c r="D8676" t="inlineStr">
        <is>
          <t>Hub C</t>
        </is>
      </c>
      <c r="E8676" t="n">
        <v>23</v>
      </c>
      <c r="F8676" t="n">
        <v>31</v>
      </c>
    </row>
    <row r="8677">
      <c r="A8677" t="inlineStr">
        <is>
          <t>ORD08676</t>
        </is>
      </c>
      <c r="B8677" t="inlineStr">
        <is>
          <t>C1176</t>
        </is>
      </c>
      <c r="C8677" t="n">
        <v>3</v>
      </c>
      <c r="D8677" t="inlineStr">
        <is>
          <t>Hub C</t>
        </is>
      </c>
      <c r="E8677" t="n">
        <v>30</v>
      </c>
      <c r="F8677" t="n">
        <v>31</v>
      </c>
    </row>
    <row r="8678">
      <c r="A8678" t="inlineStr">
        <is>
          <t>ORD08677</t>
        </is>
      </c>
      <c r="B8678" t="inlineStr">
        <is>
          <t>C1177</t>
        </is>
      </c>
      <c r="C8678" t="n">
        <v>1</v>
      </c>
      <c r="D8678" t="inlineStr">
        <is>
          <t>Hub C</t>
        </is>
      </c>
      <c r="E8678" t="n">
        <v>37</v>
      </c>
      <c r="F8678" t="n">
        <v>31</v>
      </c>
    </row>
    <row r="8679">
      <c r="A8679" t="inlineStr">
        <is>
          <t>ORD08678</t>
        </is>
      </c>
      <c r="B8679" t="inlineStr">
        <is>
          <t>C1178</t>
        </is>
      </c>
      <c r="C8679" t="n">
        <v>2</v>
      </c>
      <c r="D8679" t="inlineStr">
        <is>
          <t>Hub C</t>
        </is>
      </c>
      <c r="E8679" t="n">
        <v>44</v>
      </c>
      <c r="F8679" t="n">
        <v>31</v>
      </c>
    </row>
    <row r="8680">
      <c r="A8680" t="inlineStr">
        <is>
          <t>ORD08679</t>
        </is>
      </c>
      <c r="B8680" t="inlineStr">
        <is>
          <t>C1179</t>
        </is>
      </c>
      <c r="C8680" t="n">
        <v>3</v>
      </c>
      <c r="D8680" t="inlineStr">
        <is>
          <t>Hub C</t>
        </is>
      </c>
      <c r="E8680" t="n">
        <v>51</v>
      </c>
      <c r="F8680" t="n">
        <v>31</v>
      </c>
    </row>
    <row r="8681">
      <c r="A8681" t="inlineStr">
        <is>
          <t>ORD08680</t>
        </is>
      </c>
      <c r="B8681" t="inlineStr">
        <is>
          <t>C1180</t>
        </is>
      </c>
      <c r="C8681" t="n">
        <v>1</v>
      </c>
      <c r="D8681" t="inlineStr">
        <is>
          <t>Hub C</t>
        </is>
      </c>
      <c r="E8681" t="n">
        <v>58</v>
      </c>
      <c r="F8681" t="n">
        <v>31</v>
      </c>
    </row>
    <row r="8682">
      <c r="A8682" t="inlineStr">
        <is>
          <t>ORD08681</t>
        </is>
      </c>
      <c r="B8682" t="inlineStr">
        <is>
          <t>C1181</t>
        </is>
      </c>
      <c r="C8682" t="n">
        <v>2</v>
      </c>
      <c r="D8682" t="inlineStr">
        <is>
          <t>Hub C</t>
        </is>
      </c>
      <c r="E8682" t="n">
        <v>65</v>
      </c>
      <c r="F8682" t="n">
        <v>31</v>
      </c>
    </row>
    <row r="8683">
      <c r="A8683" t="inlineStr">
        <is>
          <t>ORD08682</t>
        </is>
      </c>
      <c r="B8683" t="inlineStr">
        <is>
          <t>C1182</t>
        </is>
      </c>
      <c r="C8683" t="n">
        <v>3</v>
      </c>
      <c r="D8683" t="inlineStr">
        <is>
          <t>Hub C</t>
        </is>
      </c>
      <c r="E8683" t="n">
        <v>72</v>
      </c>
      <c r="F8683" t="n">
        <v>31</v>
      </c>
    </row>
    <row r="8684">
      <c r="A8684" t="inlineStr">
        <is>
          <t>ORD08683</t>
        </is>
      </c>
      <c r="B8684" t="inlineStr">
        <is>
          <t>C1183</t>
        </is>
      </c>
      <c r="C8684" t="n">
        <v>1</v>
      </c>
      <c r="D8684" t="inlineStr">
        <is>
          <t>Hub C</t>
        </is>
      </c>
      <c r="E8684" t="n">
        <v>19</v>
      </c>
      <c r="F8684" t="n">
        <v>31</v>
      </c>
    </row>
    <row r="8685">
      <c r="A8685" t="inlineStr">
        <is>
          <t>ORD08684</t>
        </is>
      </c>
      <c r="B8685" t="inlineStr">
        <is>
          <t>C1184</t>
        </is>
      </c>
      <c r="C8685" t="n">
        <v>2</v>
      </c>
      <c r="D8685" t="inlineStr">
        <is>
          <t>Hub C</t>
        </is>
      </c>
      <c r="E8685" t="n">
        <v>26</v>
      </c>
      <c r="F8685" t="n">
        <v>31</v>
      </c>
    </row>
    <row r="8686">
      <c r="A8686" t="inlineStr">
        <is>
          <t>ORD08685</t>
        </is>
      </c>
      <c r="B8686" t="inlineStr">
        <is>
          <t>C1185</t>
        </is>
      </c>
      <c r="C8686" t="n">
        <v>3</v>
      </c>
      <c r="D8686" t="inlineStr">
        <is>
          <t>Hub C</t>
        </is>
      </c>
      <c r="E8686" t="n">
        <v>33</v>
      </c>
      <c r="F8686" t="n">
        <v>31</v>
      </c>
    </row>
    <row r="8687">
      <c r="A8687" t="inlineStr">
        <is>
          <t>ORD08686</t>
        </is>
      </c>
      <c r="B8687" t="inlineStr">
        <is>
          <t>C1186</t>
        </is>
      </c>
      <c r="C8687" t="n">
        <v>1</v>
      </c>
      <c r="D8687" t="inlineStr">
        <is>
          <t>Hub C</t>
        </is>
      </c>
      <c r="E8687" t="n">
        <v>40</v>
      </c>
      <c r="F8687" t="n">
        <v>31</v>
      </c>
    </row>
    <row r="8688">
      <c r="A8688" t="inlineStr">
        <is>
          <t>ORD08687</t>
        </is>
      </c>
      <c r="B8688" t="inlineStr">
        <is>
          <t>C1187</t>
        </is>
      </c>
      <c r="C8688" t="n">
        <v>2</v>
      </c>
      <c r="D8688" t="inlineStr">
        <is>
          <t>Hub C</t>
        </is>
      </c>
      <c r="E8688" t="n">
        <v>47</v>
      </c>
      <c r="F8688" t="n">
        <v>31</v>
      </c>
    </row>
    <row r="8689">
      <c r="A8689" t="inlineStr">
        <is>
          <t>ORD08688</t>
        </is>
      </c>
      <c r="B8689" t="inlineStr">
        <is>
          <t>C1188</t>
        </is>
      </c>
      <c r="C8689" t="n">
        <v>3</v>
      </c>
      <c r="D8689" t="inlineStr">
        <is>
          <t>Hub C</t>
        </is>
      </c>
      <c r="E8689" t="n">
        <v>54</v>
      </c>
      <c r="F8689" t="n">
        <v>31</v>
      </c>
    </row>
    <row r="8690">
      <c r="A8690" t="inlineStr">
        <is>
          <t>ORD08689</t>
        </is>
      </c>
      <c r="B8690" t="inlineStr">
        <is>
          <t>C1189</t>
        </is>
      </c>
      <c r="C8690" t="n">
        <v>1</v>
      </c>
      <c r="D8690" t="inlineStr">
        <is>
          <t>Hub C</t>
        </is>
      </c>
      <c r="E8690" t="n">
        <v>61</v>
      </c>
      <c r="F8690" t="n">
        <v>31</v>
      </c>
    </row>
    <row r="8691">
      <c r="A8691" t="inlineStr">
        <is>
          <t>ORD08690</t>
        </is>
      </c>
      <c r="B8691" t="inlineStr">
        <is>
          <t>C1190</t>
        </is>
      </c>
      <c r="C8691" t="n">
        <v>2</v>
      </c>
      <c r="D8691" t="inlineStr">
        <is>
          <t>Hub C</t>
        </is>
      </c>
      <c r="E8691" t="n">
        <v>68</v>
      </c>
      <c r="F8691" t="n">
        <v>31</v>
      </c>
    </row>
    <row r="8692">
      <c r="A8692" t="inlineStr">
        <is>
          <t>ORD08691</t>
        </is>
      </c>
      <c r="B8692" t="inlineStr">
        <is>
          <t>C1191</t>
        </is>
      </c>
      <c r="C8692" t="n">
        <v>3</v>
      </c>
      <c r="D8692" t="inlineStr">
        <is>
          <t>Hub C</t>
        </is>
      </c>
      <c r="E8692" t="n">
        <v>75</v>
      </c>
      <c r="F8692" t="n">
        <v>31</v>
      </c>
    </row>
    <row r="8693">
      <c r="A8693" t="inlineStr">
        <is>
          <t>ORD08692</t>
        </is>
      </c>
      <c r="B8693" t="inlineStr">
        <is>
          <t>C1192</t>
        </is>
      </c>
      <c r="C8693" t="n">
        <v>1</v>
      </c>
      <c r="D8693" t="inlineStr">
        <is>
          <t>Hub C</t>
        </is>
      </c>
      <c r="E8693" t="n">
        <v>22</v>
      </c>
      <c r="F8693" t="n">
        <v>31</v>
      </c>
    </row>
    <row r="8694">
      <c r="A8694" t="inlineStr">
        <is>
          <t>ORD08693</t>
        </is>
      </c>
      <c r="B8694" t="inlineStr">
        <is>
          <t>C1193</t>
        </is>
      </c>
      <c r="C8694" t="n">
        <v>2</v>
      </c>
      <c r="D8694" t="inlineStr">
        <is>
          <t>Hub C</t>
        </is>
      </c>
      <c r="E8694" t="n">
        <v>29</v>
      </c>
      <c r="F8694" t="n">
        <v>31</v>
      </c>
    </row>
    <row r="8695">
      <c r="A8695" t="inlineStr">
        <is>
          <t>ORD08694</t>
        </is>
      </c>
      <c r="B8695" t="inlineStr">
        <is>
          <t>C1194</t>
        </is>
      </c>
      <c r="C8695" t="n">
        <v>3</v>
      </c>
      <c r="D8695" t="inlineStr">
        <is>
          <t>Hub C</t>
        </is>
      </c>
      <c r="E8695" t="n">
        <v>36</v>
      </c>
      <c r="F8695" t="n">
        <v>31</v>
      </c>
    </row>
    <row r="8696">
      <c r="A8696" t="inlineStr">
        <is>
          <t>ORD08695</t>
        </is>
      </c>
      <c r="B8696" t="inlineStr">
        <is>
          <t>C1195</t>
        </is>
      </c>
      <c r="C8696" t="n">
        <v>1</v>
      </c>
      <c r="D8696" t="inlineStr">
        <is>
          <t>Hub C</t>
        </is>
      </c>
      <c r="E8696" t="n">
        <v>43</v>
      </c>
      <c r="F8696" t="n">
        <v>31</v>
      </c>
    </row>
    <row r="8697">
      <c r="A8697" t="inlineStr">
        <is>
          <t>ORD08696</t>
        </is>
      </c>
      <c r="B8697" t="inlineStr">
        <is>
          <t>C1196</t>
        </is>
      </c>
      <c r="C8697" t="n">
        <v>2</v>
      </c>
      <c r="D8697" t="inlineStr">
        <is>
          <t>Hub C</t>
        </is>
      </c>
      <c r="E8697" t="n">
        <v>50</v>
      </c>
      <c r="F8697" t="n">
        <v>31</v>
      </c>
    </row>
    <row r="8698">
      <c r="A8698" t="inlineStr">
        <is>
          <t>ORD08697</t>
        </is>
      </c>
      <c r="B8698" t="inlineStr">
        <is>
          <t>C1197</t>
        </is>
      </c>
      <c r="C8698" t="n">
        <v>3</v>
      </c>
      <c r="D8698" t="inlineStr">
        <is>
          <t>Hub C</t>
        </is>
      </c>
      <c r="E8698" t="n">
        <v>57</v>
      </c>
      <c r="F8698" t="n">
        <v>31</v>
      </c>
    </row>
    <row r="8699">
      <c r="A8699" t="inlineStr">
        <is>
          <t>ORD08698</t>
        </is>
      </c>
      <c r="B8699" t="inlineStr">
        <is>
          <t>C1198</t>
        </is>
      </c>
      <c r="C8699" t="n">
        <v>1</v>
      </c>
      <c r="D8699" t="inlineStr">
        <is>
          <t>Hub C</t>
        </is>
      </c>
      <c r="E8699" t="n">
        <v>64</v>
      </c>
      <c r="F8699" t="n">
        <v>31</v>
      </c>
    </row>
    <row r="8700">
      <c r="A8700" t="inlineStr">
        <is>
          <t>ORD08699</t>
        </is>
      </c>
      <c r="B8700" t="inlineStr">
        <is>
          <t>C1199</t>
        </is>
      </c>
      <c r="C8700" t="n">
        <v>2</v>
      </c>
      <c r="D8700" t="inlineStr">
        <is>
          <t>Hub C</t>
        </is>
      </c>
      <c r="E8700" t="n">
        <v>71</v>
      </c>
      <c r="F8700" t="n">
        <v>31</v>
      </c>
    </row>
    <row r="8701">
      <c r="A8701" t="inlineStr">
        <is>
          <t>ORD08700</t>
        </is>
      </c>
      <c r="B8701" t="inlineStr">
        <is>
          <t>C1200</t>
        </is>
      </c>
      <c r="C8701" t="n">
        <v>3</v>
      </c>
      <c r="D8701" t="inlineStr">
        <is>
          <t>Hub C</t>
        </is>
      </c>
      <c r="E8701" t="n">
        <v>18</v>
      </c>
      <c r="F8701" t="n">
        <v>31</v>
      </c>
    </row>
    <row r="8702">
      <c r="A8702" t="inlineStr">
        <is>
          <t>ORD08701</t>
        </is>
      </c>
      <c r="B8702" t="inlineStr">
        <is>
          <t>C1201</t>
        </is>
      </c>
      <c r="C8702" t="n">
        <v>1</v>
      </c>
      <c r="D8702" t="inlineStr">
        <is>
          <t>Hub C</t>
        </is>
      </c>
      <c r="E8702" t="n">
        <v>25</v>
      </c>
      <c r="F8702" t="n">
        <v>31</v>
      </c>
    </row>
    <row r="8703">
      <c r="A8703" t="inlineStr">
        <is>
          <t>ORD08702</t>
        </is>
      </c>
      <c r="B8703" t="inlineStr">
        <is>
          <t>C1202</t>
        </is>
      </c>
      <c r="C8703" t="n">
        <v>2</v>
      </c>
      <c r="D8703" t="inlineStr">
        <is>
          <t>Hub C</t>
        </is>
      </c>
      <c r="E8703" t="n">
        <v>32</v>
      </c>
      <c r="F8703" t="n">
        <v>31</v>
      </c>
    </row>
    <row r="8704">
      <c r="A8704" t="inlineStr">
        <is>
          <t>ORD08703</t>
        </is>
      </c>
      <c r="B8704" t="inlineStr">
        <is>
          <t>C1203</t>
        </is>
      </c>
      <c r="C8704" t="n">
        <v>3</v>
      </c>
      <c r="D8704" t="inlineStr">
        <is>
          <t>Hub C</t>
        </is>
      </c>
      <c r="E8704" t="n">
        <v>39</v>
      </c>
      <c r="F8704" t="n">
        <v>31</v>
      </c>
    </row>
    <row r="8705">
      <c r="A8705" t="inlineStr">
        <is>
          <t>ORD08704</t>
        </is>
      </c>
      <c r="B8705" t="inlineStr">
        <is>
          <t>C1204</t>
        </is>
      </c>
      <c r="C8705" t="n">
        <v>1</v>
      </c>
      <c r="D8705" t="inlineStr">
        <is>
          <t>Hub C</t>
        </is>
      </c>
      <c r="E8705" t="n">
        <v>46</v>
      </c>
      <c r="F8705" t="n">
        <v>31</v>
      </c>
    </row>
    <row r="8706">
      <c r="A8706" t="inlineStr">
        <is>
          <t>ORD08705</t>
        </is>
      </c>
      <c r="B8706" t="inlineStr">
        <is>
          <t>C1205</t>
        </is>
      </c>
      <c r="C8706" t="n">
        <v>2</v>
      </c>
      <c r="D8706" t="inlineStr">
        <is>
          <t>Hub C</t>
        </is>
      </c>
      <c r="E8706" t="n">
        <v>53</v>
      </c>
      <c r="F8706" t="n">
        <v>31</v>
      </c>
    </row>
    <row r="8707">
      <c r="A8707" t="inlineStr">
        <is>
          <t>ORD08706</t>
        </is>
      </c>
      <c r="B8707" t="inlineStr">
        <is>
          <t>C1206</t>
        </is>
      </c>
      <c r="C8707" t="n">
        <v>3</v>
      </c>
      <c r="D8707" t="inlineStr">
        <is>
          <t>Hub C</t>
        </is>
      </c>
      <c r="E8707" t="n">
        <v>60</v>
      </c>
      <c r="F8707" t="n">
        <v>31</v>
      </c>
    </row>
    <row r="8708">
      <c r="A8708" t="inlineStr">
        <is>
          <t>ORD08707</t>
        </is>
      </c>
      <c r="B8708" t="inlineStr">
        <is>
          <t>C1207</t>
        </is>
      </c>
      <c r="C8708" t="n">
        <v>1</v>
      </c>
      <c r="D8708" t="inlineStr">
        <is>
          <t>Hub C</t>
        </is>
      </c>
      <c r="E8708" t="n">
        <v>67</v>
      </c>
      <c r="F8708" t="n">
        <v>31</v>
      </c>
    </row>
    <row r="8709">
      <c r="A8709" t="inlineStr">
        <is>
          <t>ORD08708</t>
        </is>
      </c>
      <c r="B8709" t="inlineStr">
        <is>
          <t>C1208</t>
        </is>
      </c>
      <c r="C8709" t="n">
        <v>2</v>
      </c>
      <c r="D8709" t="inlineStr">
        <is>
          <t>Hub C</t>
        </is>
      </c>
      <c r="E8709" t="n">
        <v>74</v>
      </c>
      <c r="F8709" t="n">
        <v>31</v>
      </c>
    </row>
    <row r="8710">
      <c r="A8710" t="inlineStr">
        <is>
          <t>ORD08709</t>
        </is>
      </c>
      <c r="B8710" t="inlineStr">
        <is>
          <t>C1209</t>
        </is>
      </c>
      <c r="C8710" t="n">
        <v>3</v>
      </c>
      <c r="D8710" t="inlineStr">
        <is>
          <t>Hub C</t>
        </is>
      </c>
      <c r="E8710" t="n">
        <v>21</v>
      </c>
      <c r="F8710" t="n">
        <v>31</v>
      </c>
    </row>
    <row r="8711">
      <c r="A8711" t="inlineStr">
        <is>
          <t>ORD08710</t>
        </is>
      </c>
      <c r="B8711" t="inlineStr">
        <is>
          <t>C1210</t>
        </is>
      </c>
      <c r="C8711" t="n">
        <v>1</v>
      </c>
      <c r="D8711" t="inlineStr">
        <is>
          <t>Hub C</t>
        </is>
      </c>
      <c r="E8711" t="n">
        <v>28</v>
      </c>
      <c r="F8711" t="n">
        <v>31</v>
      </c>
    </row>
    <row r="8712">
      <c r="A8712" t="inlineStr">
        <is>
          <t>ORD08711</t>
        </is>
      </c>
      <c r="B8712" t="inlineStr">
        <is>
          <t>C1211</t>
        </is>
      </c>
      <c r="C8712" t="n">
        <v>2</v>
      </c>
      <c r="D8712" t="inlineStr">
        <is>
          <t>Hub C</t>
        </is>
      </c>
      <c r="E8712" t="n">
        <v>35</v>
      </c>
      <c r="F8712" t="n">
        <v>31</v>
      </c>
    </row>
    <row r="8713">
      <c r="A8713" t="inlineStr">
        <is>
          <t>ORD08712</t>
        </is>
      </c>
      <c r="B8713" t="inlineStr">
        <is>
          <t>C1212</t>
        </is>
      </c>
      <c r="C8713" t="n">
        <v>3</v>
      </c>
      <c r="D8713" t="inlineStr">
        <is>
          <t>Hub C</t>
        </is>
      </c>
      <c r="E8713" t="n">
        <v>42</v>
      </c>
      <c r="F8713" t="n">
        <v>31</v>
      </c>
    </row>
    <row r="8714">
      <c r="A8714" t="inlineStr">
        <is>
          <t>ORD08713</t>
        </is>
      </c>
      <c r="B8714" t="inlineStr">
        <is>
          <t>C1213</t>
        </is>
      </c>
      <c r="C8714" t="n">
        <v>1</v>
      </c>
      <c r="D8714" t="inlineStr">
        <is>
          <t>Hub C</t>
        </is>
      </c>
      <c r="E8714" t="n">
        <v>49</v>
      </c>
      <c r="F8714" t="n">
        <v>31</v>
      </c>
    </row>
    <row r="8715">
      <c r="A8715" t="inlineStr">
        <is>
          <t>ORD08714</t>
        </is>
      </c>
      <c r="B8715" t="inlineStr">
        <is>
          <t>C1214</t>
        </is>
      </c>
      <c r="C8715" t="n">
        <v>2</v>
      </c>
      <c r="D8715" t="inlineStr">
        <is>
          <t>Hub C</t>
        </is>
      </c>
      <c r="E8715" t="n">
        <v>56</v>
      </c>
      <c r="F8715" t="n">
        <v>31</v>
      </c>
    </row>
    <row r="8716">
      <c r="A8716" t="inlineStr">
        <is>
          <t>ORD08715</t>
        </is>
      </c>
      <c r="B8716" t="inlineStr">
        <is>
          <t>C1215</t>
        </is>
      </c>
      <c r="C8716" t="n">
        <v>3</v>
      </c>
      <c r="D8716" t="inlineStr">
        <is>
          <t>Hub C</t>
        </is>
      </c>
      <c r="E8716" t="n">
        <v>63</v>
      </c>
      <c r="F8716" t="n">
        <v>31</v>
      </c>
    </row>
    <row r="8717">
      <c r="A8717" t="inlineStr">
        <is>
          <t>ORD08716</t>
        </is>
      </c>
      <c r="B8717" t="inlineStr">
        <is>
          <t>C1216</t>
        </is>
      </c>
      <c r="C8717" t="n">
        <v>1</v>
      </c>
      <c r="D8717" t="inlineStr">
        <is>
          <t>Hub C</t>
        </is>
      </c>
      <c r="E8717" t="n">
        <v>70</v>
      </c>
      <c r="F8717" t="n">
        <v>31</v>
      </c>
    </row>
    <row r="8718">
      <c r="A8718" t="inlineStr">
        <is>
          <t>ORD08717</t>
        </is>
      </c>
      <c r="B8718" t="inlineStr">
        <is>
          <t>C1217</t>
        </is>
      </c>
      <c r="C8718" t="n">
        <v>2</v>
      </c>
      <c r="D8718" t="inlineStr">
        <is>
          <t>Hub C</t>
        </is>
      </c>
      <c r="E8718" t="n">
        <v>77</v>
      </c>
      <c r="F8718" t="n">
        <v>31</v>
      </c>
    </row>
    <row r="8719">
      <c r="A8719" t="inlineStr">
        <is>
          <t>ORD08718</t>
        </is>
      </c>
      <c r="B8719" t="inlineStr">
        <is>
          <t>C1218</t>
        </is>
      </c>
      <c r="C8719" t="n">
        <v>3</v>
      </c>
      <c r="D8719" t="inlineStr">
        <is>
          <t>Hub C</t>
        </is>
      </c>
      <c r="E8719" t="n">
        <v>24</v>
      </c>
      <c r="F8719" t="n">
        <v>31</v>
      </c>
    </row>
    <row r="8720">
      <c r="A8720" t="inlineStr">
        <is>
          <t>ORD08719</t>
        </is>
      </c>
      <c r="B8720" t="inlineStr">
        <is>
          <t>C1219</t>
        </is>
      </c>
      <c r="C8720" t="n">
        <v>1</v>
      </c>
      <c r="D8720" t="inlineStr">
        <is>
          <t>Hub C</t>
        </is>
      </c>
      <c r="E8720" t="n">
        <v>31</v>
      </c>
      <c r="F8720" t="n">
        <v>31</v>
      </c>
    </row>
    <row r="8721">
      <c r="A8721" t="inlineStr">
        <is>
          <t>ORD08720</t>
        </is>
      </c>
      <c r="B8721" t="inlineStr">
        <is>
          <t>C1220</t>
        </is>
      </c>
      <c r="C8721" t="n">
        <v>2</v>
      </c>
      <c r="D8721" t="inlineStr">
        <is>
          <t>Hub C</t>
        </is>
      </c>
      <c r="E8721" t="n">
        <v>38</v>
      </c>
      <c r="F8721" t="n">
        <v>31</v>
      </c>
    </row>
    <row r="8722">
      <c r="A8722" t="inlineStr">
        <is>
          <t>ORD08721</t>
        </is>
      </c>
      <c r="B8722" t="inlineStr">
        <is>
          <t>C1221</t>
        </is>
      </c>
      <c r="C8722" t="n">
        <v>3</v>
      </c>
      <c r="D8722" t="inlineStr">
        <is>
          <t>Hub C</t>
        </is>
      </c>
      <c r="E8722" t="n">
        <v>45</v>
      </c>
      <c r="F8722" t="n">
        <v>31</v>
      </c>
    </row>
    <row r="8723">
      <c r="A8723" t="inlineStr">
        <is>
          <t>ORD08722</t>
        </is>
      </c>
      <c r="B8723" t="inlineStr">
        <is>
          <t>C1222</t>
        </is>
      </c>
      <c r="C8723" t="n">
        <v>1</v>
      </c>
      <c r="D8723" t="inlineStr">
        <is>
          <t>Hub C</t>
        </is>
      </c>
      <c r="E8723" t="n">
        <v>52</v>
      </c>
      <c r="F8723" t="n">
        <v>31</v>
      </c>
    </row>
    <row r="8724">
      <c r="A8724" t="inlineStr">
        <is>
          <t>ORD08723</t>
        </is>
      </c>
      <c r="B8724" t="inlineStr">
        <is>
          <t>C1223</t>
        </is>
      </c>
      <c r="C8724" t="n">
        <v>2</v>
      </c>
      <c r="D8724" t="inlineStr">
        <is>
          <t>Hub C</t>
        </is>
      </c>
      <c r="E8724" t="n">
        <v>59</v>
      </c>
      <c r="F8724" t="n">
        <v>31</v>
      </c>
    </row>
    <row r="8725">
      <c r="A8725" t="inlineStr">
        <is>
          <t>ORD08724</t>
        </is>
      </c>
      <c r="B8725" t="inlineStr">
        <is>
          <t>C1224</t>
        </is>
      </c>
      <c r="C8725" t="n">
        <v>3</v>
      </c>
      <c r="D8725" t="inlineStr">
        <is>
          <t>Hub C</t>
        </is>
      </c>
      <c r="E8725" t="n">
        <v>66</v>
      </c>
      <c r="F8725" t="n">
        <v>31</v>
      </c>
    </row>
    <row r="8726">
      <c r="A8726" t="inlineStr">
        <is>
          <t>ORD08725</t>
        </is>
      </c>
      <c r="B8726" t="inlineStr">
        <is>
          <t>C1225</t>
        </is>
      </c>
      <c r="C8726" t="n">
        <v>1</v>
      </c>
      <c r="D8726" t="inlineStr">
        <is>
          <t>Hub C</t>
        </is>
      </c>
      <c r="E8726" t="n">
        <v>73</v>
      </c>
      <c r="F8726" t="n">
        <v>31</v>
      </c>
    </row>
    <row r="8727">
      <c r="A8727" t="inlineStr">
        <is>
          <t>ORD08726</t>
        </is>
      </c>
      <c r="B8727" t="inlineStr">
        <is>
          <t>C1226</t>
        </is>
      </c>
      <c r="C8727" t="n">
        <v>2</v>
      </c>
      <c r="D8727" t="inlineStr">
        <is>
          <t>Hub C</t>
        </is>
      </c>
      <c r="E8727" t="n">
        <v>20</v>
      </c>
      <c r="F8727" t="n">
        <v>31</v>
      </c>
    </row>
    <row r="8728">
      <c r="A8728" t="inlineStr">
        <is>
          <t>ORD08727</t>
        </is>
      </c>
      <c r="B8728" t="inlineStr">
        <is>
          <t>C1227</t>
        </is>
      </c>
      <c r="C8728" t="n">
        <v>3</v>
      </c>
      <c r="D8728" t="inlineStr">
        <is>
          <t>Hub C</t>
        </is>
      </c>
      <c r="E8728" t="n">
        <v>27</v>
      </c>
      <c r="F8728" t="n">
        <v>31</v>
      </c>
    </row>
    <row r="8729">
      <c r="A8729" t="inlineStr">
        <is>
          <t>ORD08728</t>
        </is>
      </c>
      <c r="B8729" t="inlineStr">
        <is>
          <t>C1228</t>
        </is>
      </c>
      <c r="C8729" t="n">
        <v>1</v>
      </c>
      <c r="D8729" t="inlineStr">
        <is>
          <t>Hub C</t>
        </is>
      </c>
      <c r="E8729" t="n">
        <v>34</v>
      </c>
      <c r="F8729" t="n">
        <v>31</v>
      </c>
    </row>
    <row r="8730">
      <c r="A8730" t="inlineStr">
        <is>
          <t>ORD08729</t>
        </is>
      </c>
      <c r="B8730" t="inlineStr">
        <is>
          <t>C1229</t>
        </is>
      </c>
      <c r="C8730" t="n">
        <v>2</v>
      </c>
      <c r="D8730" t="inlineStr">
        <is>
          <t>Hub C</t>
        </is>
      </c>
      <c r="E8730" t="n">
        <v>41</v>
      </c>
      <c r="F8730" t="n">
        <v>31</v>
      </c>
    </row>
    <row r="8731">
      <c r="A8731" t="inlineStr">
        <is>
          <t>ORD08730</t>
        </is>
      </c>
      <c r="B8731" t="inlineStr">
        <is>
          <t>C1230</t>
        </is>
      </c>
      <c r="C8731" t="n">
        <v>3</v>
      </c>
      <c r="D8731" t="inlineStr">
        <is>
          <t>Hub C</t>
        </is>
      </c>
      <c r="E8731" t="n">
        <v>48</v>
      </c>
      <c r="F8731" t="n">
        <v>31</v>
      </c>
    </row>
    <row r="8732">
      <c r="A8732" t="inlineStr">
        <is>
          <t>ORD08731</t>
        </is>
      </c>
      <c r="B8732" t="inlineStr">
        <is>
          <t>C1231</t>
        </is>
      </c>
      <c r="C8732" t="n">
        <v>1</v>
      </c>
      <c r="D8732" t="inlineStr">
        <is>
          <t>Hub C</t>
        </is>
      </c>
      <c r="E8732" t="n">
        <v>55</v>
      </c>
      <c r="F8732" t="n">
        <v>31</v>
      </c>
    </row>
    <row r="8733">
      <c r="A8733" t="inlineStr">
        <is>
          <t>ORD08732</t>
        </is>
      </c>
      <c r="B8733" t="inlineStr">
        <is>
          <t>C1232</t>
        </is>
      </c>
      <c r="C8733" t="n">
        <v>2</v>
      </c>
      <c r="D8733" t="inlineStr">
        <is>
          <t>Hub C</t>
        </is>
      </c>
      <c r="E8733" t="n">
        <v>62</v>
      </c>
      <c r="F8733" t="n">
        <v>31</v>
      </c>
    </row>
    <row r="8734">
      <c r="A8734" t="inlineStr">
        <is>
          <t>ORD08733</t>
        </is>
      </c>
      <c r="B8734" t="inlineStr">
        <is>
          <t>C1233</t>
        </is>
      </c>
      <c r="C8734" t="n">
        <v>3</v>
      </c>
      <c r="D8734" t="inlineStr">
        <is>
          <t>Hub C</t>
        </is>
      </c>
      <c r="E8734" t="n">
        <v>69</v>
      </c>
      <c r="F8734" t="n">
        <v>31</v>
      </c>
    </row>
    <row r="8735">
      <c r="A8735" t="inlineStr">
        <is>
          <t>ORD08734</t>
        </is>
      </c>
      <c r="B8735" t="inlineStr">
        <is>
          <t>C1234</t>
        </is>
      </c>
      <c r="C8735" t="n">
        <v>1</v>
      </c>
      <c r="D8735" t="inlineStr">
        <is>
          <t>Hub C</t>
        </is>
      </c>
      <c r="E8735" t="n">
        <v>76</v>
      </c>
      <c r="F8735" t="n">
        <v>31</v>
      </c>
    </row>
    <row r="8736">
      <c r="A8736" t="inlineStr">
        <is>
          <t>ORD08735</t>
        </is>
      </c>
      <c r="B8736" t="inlineStr">
        <is>
          <t>C1235</t>
        </is>
      </c>
      <c r="C8736" t="n">
        <v>2</v>
      </c>
      <c r="D8736" t="inlineStr">
        <is>
          <t>Hub C</t>
        </is>
      </c>
      <c r="E8736" t="n">
        <v>23</v>
      </c>
      <c r="F8736" t="n">
        <v>31</v>
      </c>
    </row>
    <row r="8737">
      <c r="A8737" t="inlineStr">
        <is>
          <t>ORD08736</t>
        </is>
      </c>
      <c r="B8737" t="inlineStr">
        <is>
          <t>C1236</t>
        </is>
      </c>
      <c r="C8737" t="n">
        <v>3</v>
      </c>
      <c r="D8737" t="inlineStr">
        <is>
          <t>Hub C</t>
        </is>
      </c>
      <c r="E8737" t="n">
        <v>30</v>
      </c>
      <c r="F8737" t="n">
        <v>31</v>
      </c>
    </row>
    <row r="8738">
      <c r="A8738" t="inlineStr">
        <is>
          <t>ORD08737</t>
        </is>
      </c>
      <c r="B8738" t="inlineStr">
        <is>
          <t>C1237</t>
        </is>
      </c>
      <c r="C8738" t="n">
        <v>1</v>
      </c>
      <c r="D8738" t="inlineStr">
        <is>
          <t>Hub C</t>
        </is>
      </c>
      <c r="E8738" t="n">
        <v>37</v>
      </c>
      <c r="F8738" t="n">
        <v>31</v>
      </c>
    </row>
    <row r="8739">
      <c r="A8739" t="inlineStr">
        <is>
          <t>ORD08738</t>
        </is>
      </c>
      <c r="B8739" t="inlineStr">
        <is>
          <t>C1238</t>
        </is>
      </c>
      <c r="C8739" t="n">
        <v>2</v>
      </c>
      <c r="D8739" t="inlineStr">
        <is>
          <t>Hub C</t>
        </is>
      </c>
      <c r="E8739" t="n">
        <v>44</v>
      </c>
      <c r="F8739" t="n">
        <v>31</v>
      </c>
    </row>
    <row r="8740">
      <c r="A8740" t="inlineStr">
        <is>
          <t>ORD08739</t>
        </is>
      </c>
      <c r="B8740" t="inlineStr">
        <is>
          <t>C1239</t>
        </is>
      </c>
      <c r="C8740" t="n">
        <v>3</v>
      </c>
      <c r="D8740" t="inlineStr">
        <is>
          <t>Hub C</t>
        </is>
      </c>
      <c r="E8740" t="n">
        <v>51</v>
      </c>
      <c r="F8740" t="n">
        <v>31</v>
      </c>
    </row>
    <row r="8741">
      <c r="A8741" t="inlineStr">
        <is>
          <t>ORD08740</t>
        </is>
      </c>
      <c r="B8741" t="inlineStr">
        <is>
          <t>C1240</t>
        </is>
      </c>
      <c r="C8741" t="n">
        <v>1</v>
      </c>
      <c r="D8741" t="inlineStr">
        <is>
          <t>Hub C</t>
        </is>
      </c>
      <c r="E8741" t="n">
        <v>58</v>
      </c>
      <c r="F8741" t="n">
        <v>31</v>
      </c>
    </row>
    <row r="8742">
      <c r="A8742" t="inlineStr">
        <is>
          <t>ORD08741</t>
        </is>
      </c>
      <c r="B8742" t="inlineStr">
        <is>
          <t>C1241</t>
        </is>
      </c>
      <c r="C8742" t="n">
        <v>2</v>
      </c>
      <c r="D8742" t="inlineStr">
        <is>
          <t>Hub C</t>
        </is>
      </c>
      <c r="E8742" t="n">
        <v>65</v>
      </c>
      <c r="F8742" t="n">
        <v>31</v>
      </c>
    </row>
    <row r="8743">
      <c r="A8743" t="inlineStr">
        <is>
          <t>ORD08742</t>
        </is>
      </c>
      <c r="B8743" t="inlineStr">
        <is>
          <t>C1242</t>
        </is>
      </c>
      <c r="C8743" t="n">
        <v>3</v>
      </c>
      <c r="D8743" t="inlineStr">
        <is>
          <t>Hub C</t>
        </is>
      </c>
      <c r="E8743" t="n">
        <v>72</v>
      </c>
      <c r="F8743" t="n">
        <v>31</v>
      </c>
    </row>
    <row r="8744">
      <c r="A8744" t="inlineStr">
        <is>
          <t>ORD08743</t>
        </is>
      </c>
      <c r="B8744" t="inlineStr">
        <is>
          <t>C1243</t>
        </is>
      </c>
      <c r="C8744" t="n">
        <v>1</v>
      </c>
      <c r="D8744" t="inlineStr">
        <is>
          <t>Hub C</t>
        </is>
      </c>
      <c r="E8744" t="n">
        <v>19</v>
      </c>
      <c r="F8744" t="n">
        <v>31</v>
      </c>
    </row>
    <row r="8745">
      <c r="A8745" t="inlineStr">
        <is>
          <t>ORD08744</t>
        </is>
      </c>
      <c r="B8745" t="inlineStr">
        <is>
          <t>C1244</t>
        </is>
      </c>
      <c r="C8745" t="n">
        <v>2</v>
      </c>
      <c r="D8745" t="inlineStr">
        <is>
          <t>Hub C</t>
        </is>
      </c>
      <c r="E8745" t="n">
        <v>26</v>
      </c>
      <c r="F8745" t="n">
        <v>31</v>
      </c>
    </row>
    <row r="8746">
      <c r="A8746" t="inlineStr">
        <is>
          <t>ORD08745</t>
        </is>
      </c>
      <c r="B8746" t="inlineStr">
        <is>
          <t>C1245</t>
        </is>
      </c>
      <c r="C8746" t="n">
        <v>3</v>
      </c>
      <c r="D8746" t="inlineStr">
        <is>
          <t>Hub C</t>
        </is>
      </c>
      <c r="E8746" t="n">
        <v>33</v>
      </c>
      <c r="F8746" t="n">
        <v>31</v>
      </c>
    </row>
    <row r="8747">
      <c r="A8747" t="inlineStr">
        <is>
          <t>ORD08746</t>
        </is>
      </c>
      <c r="B8747" t="inlineStr">
        <is>
          <t>C1246</t>
        </is>
      </c>
      <c r="C8747" t="n">
        <v>1</v>
      </c>
      <c r="D8747" t="inlineStr">
        <is>
          <t>Hub C</t>
        </is>
      </c>
      <c r="E8747" t="n">
        <v>40</v>
      </c>
      <c r="F8747" t="n">
        <v>31</v>
      </c>
    </row>
    <row r="8748">
      <c r="A8748" t="inlineStr">
        <is>
          <t>ORD08747</t>
        </is>
      </c>
      <c r="B8748" t="inlineStr">
        <is>
          <t>C1247</t>
        </is>
      </c>
      <c r="C8748" t="n">
        <v>2</v>
      </c>
      <c r="D8748" t="inlineStr">
        <is>
          <t>Hub C</t>
        </is>
      </c>
      <c r="E8748" t="n">
        <v>47</v>
      </c>
      <c r="F8748" t="n">
        <v>31</v>
      </c>
    </row>
    <row r="8749">
      <c r="A8749" t="inlineStr">
        <is>
          <t>ORD08748</t>
        </is>
      </c>
      <c r="B8749" t="inlineStr">
        <is>
          <t>C1248</t>
        </is>
      </c>
      <c r="C8749" t="n">
        <v>3</v>
      </c>
      <c r="D8749" t="inlineStr">
        <is>
          <t>Hub C</t>
        </is>
      </c>
      <c r="E8749" t="n">
        <v>54</v>
      </c>
      <c r="F8749" t="n">
        <v>31</v>
      </c>
    </row>
    <row r="8750">
      <c r="A8750" t="inlineStr">
        <is>
          <t>ORD08749</t>
        </is>
      </c>
      <c r="B8750" t="inlineStr">
        <is>
          <t>C1249</t>
        </is>
      </c>
      <c r="C8750" t="n">
        <v>1</v>
      </c>
      <c r="D8750" t="inlineStr">
        <is>
          <t>Hub C</t>
        </is>
      </c>
      <c r="E8750" t="n">
        <v>61</v>
      </c>
      <c r="F8750" t="n">
        <v>31</v>
      </c>
    </row>
    <row r="8751">
      <c r="A8751" t="inlineStr">
        <is>
          <t>ORD08750</t>
        </is>
      </c>
      <c r="B8751" t="inlineStr">
        <is>
          <t>C1250</t>
        </is>
      </c>
      <c r="C8751" t="n">
        <v>2</v>
      </c>
      <c r="D8751" t="inlineStr">
        <is>
          <t>Hub C</t>
        </is>
      </c>
      <c r="E8751" t="n">
        <v>68</v>
      </c>
      <c r="F8751" t="n">
        <v>31</v>
      </c>
    </row>
    <row r="8752">
      <c r="A8752" t="inlineStr">
        <is>
          <t>ORD08751</t>
        </is>
      </c>
      <c r="B8752" t="inlineStr">
        <is>
          <t>C1251</t>
        </is>
      </c>
      <c r="C8752" t="n">
        <v>3</v>
      </c>
      <c r="D8752" t="inlineStr">
        <is>
          <t>Hub C</t>
        </is>
      </c>
      <c r="E8752" t="n">
        <v>75</v>
      </c>
      <c r="F8752" t="n">
        <v>31</v>
      </c>
    </row>
    <row r="8753">
      <c r="A8753" t="inlineStr">
        <is>
          <t>ORD08752</t>
        </is>
      </c>
      <c r="B8753" t="inlineStr">
        <is>
          <t>C1252</t>
        </is>
      </c>
      <c r="C8753" t="n">
        <v>1</v>
      </c>
      <c r="D8753" t="inlineStr">
        <is>
          <t>Hub C</t>
        </is>
      </c>
      <c r="E8753" t="n">
        <v>22</v>
      </c>
      <c r="F8753" t="n">
        <v>31</v>
      </c>
    </row>
    <row r="8754">
      <c r="A8754" t="inlineStr">
        <is>
          <t>ORD08753</t>
        </is>
      </c>
      <c r="B8754" t="inlineStr">
        <is>
          <t>C1253</t>
        </is>
      </c>
      <c r="C8754" t="n">
        <v>2</v>
      </c>
      <c r="D8754" t="inlineStr">
        <is>
          <t>Hub C</t>
        </is>
      </c>
      <c r="E8754" t="n">
        <v>29</v>
      </c>
      <c r="F8754" t="n">
        <v>31</v>
      </c>
    </row>
    <row r="8755">
      <c r="A8755" t="inlineStr">
        <is>
          <t>ORD08754</t>
        </is>
      </c>
      <c r="B8755" t="inlineStr">
        <is>
          <t>C1254</t>
        </is>
      </c>
      <c r="C8755" t="n">
        <v>3</v>
      </c>
      <c r="D8755" t="inlineStr">
        <is>
          <t>Hub C</t>
        </is>
      </c>
      <c r="E8755" t="n">
        <v>36</v>
      </c>
      <c r="F8755" t="n">
        <v>31</v>
      </c>
    </row>
    <row r="8756">
      <c r="A8756" t="inlineStr">
        <is>
          <t>ORD08755</t>
        </is>
      </c>
      <c r="B8756" t="inlineStr">
        <is>
          <t>C1255</t>
        </is>
      </c>
      <c r="C8756" t="n">
        <v>1</v>
      </c>
      <c r="D8756" t="inlineStr">
        <is>
          <t>Hub C</t>
        </is>
      </c>
      <c r="E8756" t="n">
        <v>43</v>
      </c>
      <c r="F8756" t="n">
        <v>31</v>
      </c>
    </row>
    <row r="8757">
      <c r="A8757" t="inlineStr">
        <is>
          <t>ORD08756</t>
        </is>
      </c>
      <c r="B8757" t="inlineStr">
        <is>
          <t>C1256</t>
        </is>
      </c>
      <c r="C8757" t="n">
        <v>2</v>
      </c>
      <c r="D8757" t="inlineStr">
        <is>
          <t>Hub C</t>
        </is>
      </c>
      <c r="E8757" t="n">
        <v>50</v>
      </c>
      <c r="F8757" t="n">
        <v>31</v>
      </c>
    </row>
    <row r="8758">
      <c r="A8758" t="inlineStr">
        <is>
          <t>ORD08757</t>
        </is>
      </c>
      <c r="B8758" t="inlineStr">
        <is>
          <t>C1257</t>
        </is>
      </c>
      <c r="C8758" t="n">
        <v>3</v>
      </c>
      <c r="D8758" t="inlineStr">
        <is>
          <t>Hub C</t>
        </is>
      </c>
      <c r="E8758" t="n">
        <v>57</v>
      </c>
      <c r="F8758" t="n">
        <v>31</v>
      </c>
    </row>
    <row r="8759">
      <c r="A8759" t="inlineStr">
        <is>
          <t>ORD08758</t>
        </is>
      </c>
      <c r="B8759" t="inlineStr">
        <is>
          <t>C1258</t>
        </is>
      </c>
      <c r="C8759" t="n">
        <v>1</v>
      </c>
      <c r="D8759" t="inlineStr">
        <is>
          <t>Hub C</t>
        </is>
      </c>
      <c r="E8759" t="n">
        <v>64</v>
      </c>
      <c r="F8759" t="n">
        <v>31</v>
      </c>
    </row>
    <row r="8760">
      <c r="A8760" t="inlineStr">
        <is>
          <t>ORD08759</t>
        </is>
      </c>
      <c r="B8760" t="inlineStr">
        <is>
          <t>C1259</t>
        </is>
      </c>
      <c r="C8760" t="n">
        <v>2</v>
      </c>
      <c r="D8760" t="inlineStr">
        <is>
          <t>Hub C</t>
        </is>
      </c>
      <c r="E8760" t="n">
        <v>71</v>
      </c>
      <c r="F8760" t="n">
        <v>31</v>
      </c>
    </row>
    <row r="8761">
      <c r="A8761" t="inlineStr">
        <is>
          <t>ORD08760</t>
        </is>
      </c>
      <c r="B8761" t="inlineStr">
        <is>
          <t>C1260</t>
        </is>
      </c>
      <c r="C8761" t="n">
        <v>3</v>
      </c>
      <c r="D8761" t="inlineStr">
        <is>
          <t>Hub C</t>
        </is>
      </c>
      <c r="E8761" t="n">
        <v>18</v>
      </c>
      <c r="F8761" t="n">
        <v>31</v>
      </c>
    </row>
    <row r="8762">
      <c r="A8762" t="inlineStr">
        <is>
          <t>ORD08761</t>
        </is>
      </c>
      <c r="B8762" t="inlineStr">
        <is>
          <t>C1261</t>
        </is>
      </c>
      <c r="C8762" t="n">
        <v>1</v>
      </c>
      <c r="D8762" t="inlineStr">
        <is>
          <t>Hub C</t>
        </is>
      </c>
      <c r="E8762" t="n">
        <v>25</v>
      </c>
      <c r="F8762" t="n">
        <v>31</v>
      </c>
    </row>
    <row r="8763">
      <c r="A8763" t="inlineStr">
        <is>
          <t>ORD08762</t>
        </is>
      </c>
      <c r="B8763" t="inlineStr">
        <is>
          <t>C1262</t>
        </is>
      </c>
      <c r="C8763" t="n">
        <v>2</v>
      </c>
      <c r="D8763" t="inlineStr">
        <is>
          <t>Hub C</t>
        </is>
      </c>
      <c r="E8763" t="n">
        <v>32</v>
      </c>
      <c r="F8763" t="n">
        <v>31</v>
      </c>
    </row>
    <row r="8764">
      <c r="A8764" t="inlineStr">
        <is>
          <t>ORD08763</t>
        </is>
      </c>
      <c r="B8764" t="inlineStr">
        <is>
          <t>C1263</t>
        </is>
      </c>
      <c r="C8764" t="n">
        <v>3</v>
      </c>
      <c r="D8764" t="inlineStr">
        <is>
          <t>Hub C</t>
        </is>
      </c>
      <c r="E8764" t="n">
        <v>39</v>
      </c>
      <c r="F8764" t="n">
        <v>31</v>
      </c>
    </row>
    <row r="8765">
      <c r="A8765" t="inlineStr">
        <is>
          <t>ORD08764</t>
        </is>
      </c>
      <c r="B8765" t="inlineStr">
        <is>
          <t>C1264</t>
        </is>
      </c>
      <c r="C8765" t="n">
        <v>1</v>
      </c>
      <c r="D8765" t="inlineStr">
        <is>
          <t>Hub C</t>
        </is>
      </c>
      <c r="E8765" t="n">
        <v>46</v>
      </c>
      <c r="F8765" t="n">
        <v>31</v>
      </c>
    </row>
    <row r="8766">
      <c r="A8766" t="inlineStr">
        <is>
          <t>ORD08765</t>
        </is>
      </c>
      <c r="B8766" t="inlineStr">
        <is>
          <t>C1265</t>
        </is>
      </c>
      <c r="C8766" t="n">
        <v>2</v>
      </c>
      <c r="D8766" t="inlineStr">
        <is>
          <t>Hub C</t>
        </is>
      </c>
      <c r="E8766" t="n">
        <v>53</v>
      </c>
      <c r="F8766" t="n">
        <v>31</v>
      </c>
    </row>
    <row r="8767">
      <c r="A8767" t="inlineStr">
        <is>
          <t>ORD08766</t>
        </is>
      </c>
      <c r="B8767" t="inlineStr">
        <is>
          <t>C1266</t>
        </is>
      </c>
      <c r="C8767" t="n">
        <v>3</v>
      </c>
      <c r="D8767" t="inlineStr">
        <is>
          <t>Hub C</t>
        </is>
      </c>
      <c r="E8767" t="n">
        <v>60</v>
      </c>
      <c r="F8767" t="n">
        <v>31</v>
      </c>
    </row>
    <row r="8768">
      <c r="A8768" t="inlineStr">
        <is>
          <t>ORD08767</t>
        </is>
      </c>
      <c r="B8768" t="inlineStr">
        <is>
          <t>C1267</t>
        </is>
      </c>
      <c r="C8768" t="n">
        <v>1</v>
      </c>
      <c r="D8768" t="inlineStr">
        <is>
          <t>Hub C</t>
        </is>
      </c>
      <c r="E8768" t="n">
        <v>67</v>
      </c>
      <c r="F8768" t="n">
        <v>31</v>
      </c>
    </row>
    <row r="8769">
      <c r="A8769" t="inlineStr">
        <is>
          <t>ORD08768</t>
        </is>
      </c>
      <c r="B8769" t="inlineStr">
        <is>
          <t>C1268</t>
        </is>
      </c>
      <c r="C8769" t="n">
        <v>2</v>
      </c>
      <c r="D8769" t="inlineStr">
        <is>
          <t>Hub C</t>
        </is>
      </c>
      <c r="E8769" t="n">
        <v>74</v>
      </c>
      <c r="F8769" t="n">
        <v>31</v>
      </c>
    </row>
    <row r="8770">
      <c r="A8770" t="inlineStr">
        <is>
          <t>ORD08769</t>
        </is>
      </c>
      <c r="B8770" t="inlineStr">
        <is>
          <t>C1269</t>
        </is>
      </c>
      <c r="C8770" t="n">
        <v>3</v>
      </c>
      <c r="D8770" t="inlineStr">
        <is>
          <t>Hub C</t>
        </is>
      </c>
      <c r="E8770" t="n">
        <v>21</v>
      </c>
      <c r="F8770" t="n">
        <v>31</v>
      </c>
    </row>
    <row r="8771">
      <c r="A8771" t="inlineStr">
        <is>
          <t>ORD08770</t>
        </is>
      </c>
      <c r="B8771" t="inlineStr">
        <is>
          <t>C1270</t>
        </is>
      </c>
      <c r="C8771" t="n">
        <v>1</v>
      </c>
      <c r="D8771" t="inlineStr">
        <is>
          <t>Hub C</t>
        </is>
      </c>
      <c r="E8771" t="n">
        <v>28</v>
      </c>
      <c r="F8771" t="n">
        <v>31</v>
      </c>
    </row>
    <row r="8772">
      <c r="A8772" t="inlineStr">
        <is>
          <t>ORD08771</t>
        </is>
      </c>
      <c r="B8772" t="inlineStr">
        <is>
          <t>C1271</t>
        </is>
      </c>
      <c r="C8772" t="n">
        <v>2</v>
      </c>
      <c r="D8772" t="inlineStr">
        <is>
          <t>Hub C</t>
        </is>
      </c>
      <c r="E8772" t="n">
        <v>35</v>
      </c>
      <c r="F8772" t="n">
        <v>31</v>
      </c>
    </row>
    <row r="8773">
      <c r="A8773" t="inlineStr">
        <is>
          <t>ORD08772</t>
        </is>
      </c>
      <c r="B8773" t="inlineStr">
        <is>
          <t>C1272</t>
        </is>
      </c>
      <c r="C8773" t="n">
        <v>3</v>
      </c>
      <c r="D8773" t="inlineStr">
        <is>
          <t>Hub C</t>
        </is>
      </c>
      <c r="E8773" t="n">
        <v>42</v>
      </c>
      <c r="F8773" t="n">
        <v>31</v>
      </c>
    </row>
    <row r="8774">
      <c r="A8774" t="inlineStr">
        <is>
          <t>ORD08773</t>
        </is>
      </c>
      <c r="B8774" t="inlineStr">
        <is>
          <t>C1273</t>
        </is>
      </c>
      <c r="C8774" t="n">
        <v>1</v>
      </c>
      <c r="D8774" t="inlineStr">
        <is>
          <t>Hub C</t>
        </is>
      </c>
      <c r="E8774" t="n">
        <v>49</v>
      </c>
      <c r="F8774" t="n">
        <v>31</v>
      </c>
    </row>
    <row r="8775">
      <c r="A8775" t="inlineStr">
        <is>
          <t>ORD08774</t>
        </is>
      </c>
      <c r="B8775" t="inlineStr">
        <is>
          <t>C1274</t>
        </is>
      </c>
      <c r="C8775" t="n">
        <v>2</v>
      </c>
      <c r="D8775" t="inlineStr">
        <is>
          <t>Hub C</t>
        </is>
      </c>
      <c r="E8775" t="n">
        <v>56</v>
      </c>
      <c r="F8775" t="n">
        <v>31</v>
      </c>
    </row>
    <row r="8776">
      <c r="A8776" t="inlineStr">
        <is>
          <t>ORD08775</t>
        </is>
      </c>
      <c r="B8776" t="inlineStr">
        <is>
          <t>C1275</t>
        </is>
      </c>
      <c r="C8776" t="n">
        <v>3</v>
      </c>
      <c r="D8776" t="inlineStr">
        <is>
          <t>Hub C</t>
        </is>
      </c>
      <c r="E8776" t="n">
        <v>63</v>
      </c>
      <c r="F8776" t="n">
        <v>31</v>
      </c>
    </row>
    <row r="8777">
      <c r="A8777" t="inlineStr">
        <is>
          <t>ORD08776</t>
        </is>
      </c>
      <c r="B8777" t="inlineStr">
        <is>
          <t>C1276</t>
        </is>
      </c>
      <c r="C8777" t="n">
        <v>1</v>
      </c>
      <c r="D8777" t="inlineStr">
        <is>
          <t>Hub C</t>
        </is>
      </c>
      <c r="E8777" t="n">
        <v>70</v>
      </c>
      <c r="F8777" t="n">
        <v>31</v>
      </c>
    </row>
    <row r="8778">
      <c r="A8778" t="inlineStr">
        <is>
          <t>ORD08777</t>
        </is>
      </c>
      <c r="B8778" t="inlineStr">
        <is>
          <t>C1277</t>
        </is>
      </c>
      <c r="C8778" t="n">
        <v>2</v>
      </c>
      <c r="D8778" t="inlineStr">
        <is>
          <t>Hub C</t>
        </is>
      </c>
      <c r="E8778" t="n">
        <v>77</v>
      </c>
      <c r="F8778" t="n">
        <v>31</v>
      </c>
    </row>
    <row r="8779">
      <c r="A8779" t="inlineStr">
        <is>
          <t>ORD08778</t>
        </is>
      </c>
      <c r="B8779" t="inlineStr">
        <is>
          <t>C1278</t>
        </is>
      </c>
      <c r="C8779" t="n">
        <v>3</v>
      </c>
      <c r="D8779" t="inlineStr">
        <is>
          <t>Hub C</t>
        </is>
      </c>
      <c r="E8779" t="n">
        <v>24</v>
      </c>
      <c r="F8779" t="n">
        <v>31</v>
      </c>
    </row>
    <row r="8780">
      <c r="A8780" t="inlineStr">
        <is>
          <t>ORD08779</t>
        </is>
      </c>
      <c r="B8780" t="inlineStr">
        <is>
          <t>C1279</t>
        </is>
      </c>
      <c r="C8780" t="n">
        <v>1</v>
      </c>
      <c r="D8780" t="inlineStr">
        <is>
          <t>Hub C</t>
        </is>
      </c>
      <c r="E8780" t="n">
        <v>31</v>
      </c>
      <c r="F8780" t="n">
        <v>31</v>
      </c>
    </row>
    <row r="8781">
      <c r="A8781" t="inlineStr">
        <is>
          <t>ORD08780</t>
        </is>
      </c>
      <c r="B8781" t="inlineStr">
        <is>
          <t>C1280</t>
        </is>
      </c>
      <c r="C8781" t="n">
        <v>2</v>
      </c>
      <c r="D8781" t="inlineStr">
        <is>
          <t>Hub C</t>
        </is>
      </c>
      <c r="E8781" t="n">
        <v>38</v>
      </c>
      <c r="F8781" t="n">
        <v>31</v>
      </c>
    </row>
    <row r="8782">
      <c r="A8782" t="inlineStr">
        <is>
          <t>ORD08781</t>
        </is>
      </c>
      <c r="B8782" t="inlineStr">
        <is>
          <t>C1281</t>
        </is>
      </c>
      <c r="C8782" t="n">
        <v>3</v>
      </c>
      <c r="D8782" t="inlineStr">
        <is>
          <t>Hub C</t>
        </is>
      </c>
      <c r="E8782" t="n">
        <v>45</v>
      </c>
      <c r="F8782" t="n">
        <v>31</v>
      </c>
    </row>
    <row r="8783">
      <c r="A8783" t="inlineStr">
        <is>
          <t>ORD08782</t>
        </is>
      </c>
      <c r="B8783" t="inlineStr">
        <is>
          <t>C1282</t>
        </is>
      </c>
      <c r="C8783" t="n">
        <v>1</v>
      </c>
      <c r="D8783" t="inlineStr">
        <is>
          <t>Hub C</t>
        </is>
      </c>
      <c r="E8783" t="n">
        <v>52</v>
      </c>
      <c r="F8783" t="n">
        <v>31</v>
      </c>
    </row>
    <row r="8784">
      <c r="A8784" t="inlineStr">
        <is>
          <t>ORD08783</t>
        </is>
      </c>
      <c r="B8784" t="inlineStr">
        <is>
          <t>C1283</t>
        </is>
      </c>
      <c r="C8784" t="n">
        <v>2</v>
      </c>
      <c r="D8784" t="inlineStr">
        <is>
          <t>Hub C</t>
        </is>
      </c>
      <c r="E8784" t="n">
        <v>59</v>
      </c>
      <c r="F8784" t="n">
        <v>31</v>
      </c>
    </row>
    <row r="8785">
      <c r="A8785" t="inlineStr">
        <is>
          <t>ORD08784</t>
        </is>
      </c>
      <c r="B8785" t="inlineStr">
        <is>
          <t>C1284</t>
        </is>
      </c>
      <c r="C8785" t="n">
        <v>3</v>
      </c>
      <c r="D8785" t="inlineStr">
        <is>
          <t>Hub C</t>
        </is>
      </c>
      <c r="E8785" t="n">
        <v>66</v>
      </c>
      <c r="F8785" t="n">
        <v>31</v>
      </c>
    </row>
    <row r="8786">
      <c r="A8786" t="inlineStr">
        <is>
          <t>ORD08785</t>
        </is>
      </c>
      <c r="B8786" t="inlineStr">
        <is>
          <t>C1285</t>
        </is>
      </c>
      <c r="C8786" t="n">
        <v>1</v>
      </c>
      <c r="D8786" t="inlineStr">
        <is>
          <t>Hub C</t>
        </is>
      </c>
      <c r="E8786" t="n">
        <v>73</v>
      </c>
      <c r="F8786" t="n">
        <v>31</v>
      </c>
    </row>
    <row r="8787">
      <c r="A8787" t="inlineStr">
        <is>
          <t>ORD08786</t>
        </is>
      </c>
      <c r="B8787" t="inlineStr">
        <is>
          <t>C1286</t>
        </is>
      </c>
      <c r="C8787" t="n">
        <v>2</v>
      </c>
      <c r="D8787" t="inlineStr">
        <is>
          <t>Hub C</t>
        </is>
      </c>
      <c r="E8787" t="n">
        <v>20</v>
      </c>
      <c r="F8787" t="n">
        <v>31</v>
      </c>
    </row>
    <row r="8788">
      <c r="A8788" t="inlineStr">
        <is>
          <t>ORD08787</t>
        </is>
      </c>
      <c r="B8788" t="inlineStr">
        <is>
          <t>C1287</t>
        </is>
      </c>
      <c r="C8788" t="n">
        <v>3</v>
      </c>
      <c r="D8788" t="inlineStr">
        <is>
          <t>Hub C</t>
        </is>
      </c>
      <c r="E8788" t="n">
        <v>27</v>
      </c>
      <c r="F8788" t="n">
        <v>31</v>
      </c>
    </row>
    <row r="8789">
      <c r="A8789" t="inlineStr">
        <is>
          <t>ORD08788</t>
        </is>
      </c>
      <c r="B8789" t="inlineStr">
        <is>
          <t>C1288</t>
        </is>
      </c>
      <c r="C8789" t="n">
        <v>1</v>
      </c>
      <c r="D8789" t="inlineStr">
        <is>
          <t>Hub C</t>
        </is>
      </c>
      <c r="E8789" t="n">
        <v>34</v>
      </c>
      <c r="F8789" t="n">
        <v>31</v>
      </c>
    </row>
    <row r="8790">
      <c r="A8790" t="inlineStr">
        <is>
          <t>ORD08789</t>
        </is>
      </c>
      <c r="B8790" t="inlineStr">
        <is>
          <t>C1289</t>
        </is>
      </c>
      <c r="C8790" t="n">
        <v>2</v>
      </c>
      <c r="D8790" t="inlineStr">
        <is>
          <t>Hub C</t>
        </is>
      </c>
      <c r="E8790" t="n">
        <v>41</v>
      </c>
      <c r="F8790" t="n">
        <v>31</v>
      </c>
    </row>
    <row r="8791">
      <c r="A8791" t="inlineStr">
        <is>
          <t>ORD08790</t>
        </is>
      </c>
      <c r="B8791" t="inlineStr">
        <is>
          <t>C1290</t>
        </is>
      </c>
      <c r="C8791" t="n">
        <v>3</v>
      </c>
      <c r="D8791" t="inlineStr">
        <is>
          <t>Hub C</t>
        </is>
      </c>
      <c r="E8791" t="n">
        <v>48</v>
      </c>
      <c r="F8791" t="n">
        <v>31</v>
      </c>
    </row>
    <row r="8792">
      <c r="A8792" t="inlineStr">
        <is>
          <t>ORD08791</t>
        </is>
      </c>
      <c r="B8792" t="inlineStr">
        <is>
          <t>C1291</t>
        </is>
      </c>
      <c r="C8792" t="n">
        <v>1</v>
      </c>
      <c r="D8792" t="inlineStr">
        <is>
          <t>Hub C</t>
        </is>
      </c>
      <c r="E8792" t="n">
        <v>55</v>
      </c>
      <c r="F8792" t="n">
        <v>31</v>
      </c>
    </row>
    <row r="8793">
      <c r="A8793" t="inlineStr">
        <is>
          <t>ORD08792</t>
        </is>
      </c>
      <c r="B8793" t="inlineStr">
        <is>
          <t>C1292</t>
        </is>
      </c>
      <c r="C8793" t="n">
        <v>2</v>
      </c>
      <c r="D8793" t="inlineStr">
        <is>
          <t>Hub C</t>
        </is>
      </c>
      <c r="E8793" t="n">
        <v>62</v>
      </c>
      <c r="F8793" t="n">
        <v>31</v>
      </c>
    </row>
    <row r="8794">
      <c r="A8794" t="inlineStr">
        <is>
          <t>ORD08793</t>
        </is>
      </c>
      <c r="B8794" t="inlineStr">
        <is>
          <t>C1293</t>
        </is>
      </c>
      <c r="C8794" t="n">
        <v>3</v>
      </c>
      <c r="D8794" t="inlineStr">
        <is>
          <t>Hub C</t>
        </is>
      </c>
      <c r="E8794" t="n">
        <v>69</v>
      </c>
      <c r="F8794" t="n">
        <v>31</v>
      </c>
    </row>
    <row r="8795">
      <c r="A8795" t="inlineStr">
        <is>
          <t>ORD08794</t>
        </is>
      </c>
      <c r="B8795" t="inlineStr">
        <is>
          <t>C1294</t>
        </is>
      </c>
      <c r="C8795" t="n">
        <v>1</v>
      </c>
      <c r="D8795" t="inlineStr">
        <is>
          <t>Hub C</t>
        </is>
      </c>
      <c r="E8795" t="n">
        <v>76</v>
      </c>
      <c r="F8795" t="n">
        <v>31</v>
      </c>
    </row>
    <row r="8796">
      <c r="A8796" t="inlineStr">
        <is>
          <t>ORD08795</t>
        </is>
      </c>
      <c r="B8796" t="inlineStr">
        <is>
          <t>C1295</t>
        </is>
      </c>
      <c r="C8796" t="n">
        <v>2</v>
      </c>
      <c r="D8796" t="inlineStr">
        <is>
          <t>Hub C</t>
        </is>
      </c>
      <c r="E8796" t="n">
        <v>23</v>
      </c>
      <c r="F8796" t="n">
        <v>31</v>
      </c>
    </row>
    <row r="8797">
      <c r="A8797" t="inlineStr">
        <is>
          <t>ORD08796</t>
        </is>
      </c>
      <c r="B8797" t="inlineStr">
        <is>
          <t>C1296</t>
        </is>
      </c>
      <c r="C8797" t="n">
        <v>3</v>
      </c>
      <c r="D8797" t="inlineStr">
        <is>
          <t>Hub C</t>
        </is>
      </c>
      <c r="E8797" t="n">
        <v>30</v>
      </c>
      <c r="F8797" t="n">
        <v>31</v>
      </c>
    </row>
    <row r="8798">
      <c r="A8798" t="inlineStr">
        <is>
          <t>ORD08797</t>
        </is>
      </c>
      <c r="B8798" t="inlineStr">
        <is>
          <t>C1297</t>
        </is>
      </c>
      <c r="C8798" t="n">
        <v>1</v>
      </c>
      <c r="D8798" t="inlineStr">
        <is>
          <t>Hub C</t>
        </is>
      </c>
      <c r="E8798" t="n">
        <v>37</v>
      </c>
      <c r="F8798" t="n">
        <v>31</v>
      </c>
    </row>
    <row r="8799">
      <c r="A8799" t="inlineStr">
        <is>
          <t>ORD08798</t>
        </is>
      </c>
      <c r="B8799" t="inlineStr">
        <is>
          <t>C1298</t>
        </is>
      </c>
      <c r="C8799" t="n">
        <v>2</v>
      </c>
      <c r="D8799" t="inlineStr">
        <is>
          <t>Hub C</t>
        </is>
      </c>
      <c r="E8799" t="n">
        <v>44</v>
      </c>
      <c r="F8799" t="n">
        <v>31</v>
      </c>
    </row>
    <row r="8800">
      <c r="A8800" t="inlineStr">
        <is>
          <t>ORD08799</t>
        </is>
      </c>
      <c r="B8800" t="inlineStr">
        <is>
          <t>C1299</t>
        </is>
      </c>
      <c r="C8800" t="n">
        <v>3</v>
      </c>
      <c r="D8800" t="inlineStr">
        <is>
          <t>Hub C</t>
        </is>
      </c>
      <c r="E8800" t="n">
        <v>51</v>
      </c>
      <c r="F8800" t="n">
        <v>31</v>
      </c>
    </row>
    <row r="8801">
      <c r="A8801" t="inlineStr">
        <is>
          <t>ORD08800</t>
        </is>
      </c>
      <c r="B8801" t="inlineStr">
        <is>
          <t>C1300</t>
        </is>
      </c>
      <c r="C8801" t="n">
        <v>1</v>
      </c>
      <c r="D8801" t="inlineStr">
        <is>
          <t>Hub C</t>
        </is>
      </c>
      <c r="E8801" t="n">
        <v>58</v>
      </c>
      <c r="F8801" t="n">
        <v>31</v>
      </c>
    </row>
    <row r="8802">
      <c r="A8802" t="inlineStr">
        <is>
          <t>ORD08801</t>
        </is>
      </c>
      <c r="B8802" t="inlineStr">
        <is>
          <t>C1301</t>
        </is>
      </c>
      <c r="C8802" t="n">
        <v>2</v>
      </c>
      <c r="D8802" t="inlineStr">
        <is>
          <t>Hub C</t>
        </is>
      </c>
      <c r="E8802" t="n">
        <v>65</v>
      </c>
      <c r="F8802" t="n">
        <v>31</v>
      </c>
    </row>
    <row r="8803">
      <c r="A8803" t="inlineStr">
        <is>
          <t>ORD08802</t>
        </is>
      </c>
      <c r="B8803" t="inlineStr">
        <is>
          <t>C1302</t>
        </is>
      </c>
      <c r="C8803" t="n">
        <v>3</v>
      </c>
      <c r="D8803" t="inlineStr">
        <is>
          <t>Hub C</t>
        </is>
      </c>
      <c r="E8803" t="n">
        <v>72</v>
      </c>
      <c r="F8803" t="n">
        <v>31</v>
      </c>
    </row>
    <row r="8804">
      <c r="A8804" t="inlineStr">
        <is>
          <t>ORD08803</t>
        </is>
      </c>
      <c r="B8804" t="inlineStr">
        <is>
          <t>C1303</t>
        </is>
      </c>
      <c r="C8804" t="n">
        <v>1</v>
      </c>
      <c r="D8804" t="inlineStr">
        <is>
          <t>Hub C</t>
        </is>
      </c>
      <c r="E8804" t="n">
        <v>19</v>
      </c>
      <c r="F8804" t="n">
        <v>31</v>
      </c>
    </row>
    <row r="8805">
      <c r="A8805" t="inlineStr">
        <is>
          <t>ORD08804</t>
        </is>
      </c>
      <c r="B8805" t="inlineStr">
        <is>
          <t>C1304</t>
        </is>
      </c>
      <c r="C8805" t="n">
        <v>2</v>
      </c>
      <c r="D8805" t="inlineStr">
        <is>
          <t>Hub C</t>
        </is>
      </c>
      <c r="E8805" t="n">
        <v>26</v>
      </c>
      <c r="F8805" t="n">
        <v>31</v>
      </c>
    </row>
    <row r="8806">
      <c r="A8806" t="inlineStr">
        <is>
          <t>ORD08805</t>
        </is>
      </c>
      <c r="B8806" t="inlineStr">
        <is>
          <t>C1305</t>
        </is>
      </c>
      <c r="C8806" t="n">
        <v>3</v>
      </c>
      <c r="D8806" t="inlineStr">
        <is>
          <t>Hub C</t>
        </is>
      </c>
      <c r="E8806" t="n">
        <v>33</v>
      </c>
      <c r="F8806" t="n">
        <v>31</v>
      </c>
    </row>
    <row r="8807">
      <c r="A8807" t="inlineStr">
        <is>
          <t>ORD08806</t>
        </is>
      </c>
      <c r="B8807" t="inlineStr">
        <is>
          <t>C1306</t>
        </is>
      </c>
      <c r="C8807" t="n">
        <v>1</v>
      </c>
      <c r="D8807" t="inlineStr">
        <is>
          <t>Hub C</t>
        </is>
      </c>
      <c r="E8807" t="n">
        <v>40</v>
      </c>
      <c r="F8807" t="n">
        <v>31</v>
      </c>
    </row>
    <row r="8808">
      <c r="A8808" t="inlineStr">
        <is>
          <t>ORD08807</t>
        </is>
      </c>
      <c r="B8808" t="inlineStr">
        <is>
          <t>C1307</t>
        </is>
      </c>
      <c r="C8808" t="n">
        <v>2</v>
      </c>
      <c r="D8808" t="inlineStr">
        <is>
          <t>Hub C</t>
        </is>
      </c>
      <c r="E8808" t="n">
        <v>47</v>
      </c>
      <c r="F8808" t="n">
        <v>31</v>
      </c>
    </row>
    <row r="8809">
      <c r="A8809" t="inlineStr">
        <is>
          <t>ORD08808</t>
        </is>
      </c>
      <c r="B8809" t="inlineStr">
        <is>
          <t>C1308</t>
        </is>
      </c>
      <c r="C8809" t="n">
        <v>3</v>
      </c>
      <c r="D8809" t="inlineStr">
        <is>
          <t>Hub C</t>
        </is>
      </c>
      <c r="E8809" t="n">
        <v>54</v>
      </c>
      <c r="F8809" t="n">
        <v>31</v>
      </c>
    </row>
    <row r="8810">
      <c r="A8810" t="inlineStr">
        <is>
          <t>ORD08809</t>
        </is>
      </c>
      <c r="B8810" t="inlineStr">
        <is>
          <t>C1309</t>
        </is>
      </c>
      <c r="C8810" t="n">
        <v>1</v>
      </c>
      <c r="D8810" t="inlineStr">
        <is>
          <t>Hub C</t>
        </is>
      </c>
      <c r="E8810" t="n">
        <v>61</v>
      </c>
      <c r="F8810" t="n">
        <v>31</v>
      </c>
    </row>
    <row r="8811">
      <c r="A8811" t="inlineStr">
        <is>
          <t>ORD08810</t>
        </is>
      </c>
      <c r="B8811" t="inlineStr">
        <is>
          <t>C1310</t>
        </is>
      </c>
      <c r="C8811" t="n">
        <v>2</v>
      </c>
      <c r="D8811" t="inlineStr">
        <is>
          <t>Hub C</t>
        </is>
      </c>
      <c r="E8811" t="n">
        <v>68</v>
      </c>
      <c r="F8811" t="n">
        <v>31</v>
      </c>
    </row>
    <row r="8812">
      <c r="A8812" t="inlineStr">
        <is>
          <t>ORD08811</t>
        </is>
      </c>
      <c r="B8812" t="inlineStr">
        <is>
          <t>C1311</t>
        </is>
      </c>
      <c r="C8812" t="n">
        <v>3</v>
      </c>
      <c r="D8812" t="inlineStr">
        <is>
          <t>Hub C</t>
        </is>
      </c>
      <c r="E8812" t="n">
        <v>75</v>
      </c>
      <c r="F8812" t="n">
        <v>31</v>
      </c>
    </row>
    <row r="8813">
      <c r="A8813" t="inlineStr">
        <is>
          <t>ORD08812</t>
        </is>
      </c>
      <c r="B8813" t="inlineStr">
        <is>
          <t>C1312</t>
        </is>
      </c>
      <c r="C8813" t="n">
        <v>1</v>
      </c>
      <c r="D8813" t="inlineStr">
        <is>
          <t>Hub C</t>
        </is>
      </c>
      <c r="E8813" t="n">
        <v>22</v>
      </c>
      <c r="F8813" t="n">
        <v>31</v>
      </c>
    </row>
    <row r="8814">
      <c r="A8814" t="inlineStr">
        <is>
          <t>ORD08813</t>
        </is>
      </c>
      <c r="B8814" t="inlineStr">
        <is>
          <t>C1313</t>
        </is>
      </c>
      <c r="C8814" t="n">
        <v>2</v>
      </c>
      <c r="D8814" t="inlineStr">
        <is>
          <t>Hub C</t>
        </is>
      </c>
      <c r="E8814" t="n">
        <v>29</v>
      </c>
      <c r="F8814" t="n">
        <v>31</v>
      </c>
    </row>
    <row r="8815">
      <c r="A8815" t="inlineStr">
        <is>
          <t>ORD08814</t>
        </is>
      </c>
      <c r="B8815" t="inlineStr">
        <is>
          <t>C1314</t>
        </is>
      </c>
      <c r="C8815" t="n">
        <v>3</v>
      </c>
      <c r="D8815" t="inlineStr">
        <is>
          <t>Hub C</t>
        </is>
      </c>
      <c r="E8815" t="n">
        <v>36</v>
      </c>
      <c r="F8815" t="n">
        <v>31</v>
      </c>
    </row>
    <row r="8816">
      <c r="A8816" t="inlineStr">
        <is>
          <t>ORD08815</t>
        </is>
      </c>
      <c r="B8816" t="inlineStr">
        <is>
          <t>C1315</t>
        </is>
      </c>
      <c r="C8816" t="n">
        <v>1</v>
      </c>
      <c r="D8816" t="inlineStr">
        <is>
          <t>Hub C</t>
        </is>
      </c>
      <c r="E8816" t="n">
        <v>43</v>
      </c>
      <c r="F8816" t="n">
        <v>31</v>
      </c>
    </row>
    <row r="8817">
      <c r="A8817" t="inlineStr">
        <is>
          <t>ORD08816</t>
        </is>
      </c>
      <c r="B8817" t="inlineStr">
        <is>
          <t>C1316</t>
        </is>
      </c>
      <c r="C8817" t="n">
        <v>2</v>
      </c>
      <c r="D8817" t="inlineStr">
        <is>
          <t>Hub C</t>
        </is>
      </c>
      <c r="E8817" t="n">
        <v>50</v>
      </c>
      <c r="F8817" t="n">
        <v>31</v>
      </c>
    </row>
    <row r="8818">
      <c r="A8818" t="inlineStr">
        <is>
          <t>ORD08817</t>
        </is>
      </c>
      <c r="B8818" t="inlineStr">
        <is>
          <t>C1317</t>
        </is>
      </c>
      <c r="C8818" t="n">
        <v>3</v>
      </c>
      <c r="D8818" t="inlineStr">
        <is>
          <t>Hub C</t>
        </is>
      </c>
      <c r="E8818" t="n">
        <v>57</v>
      </c>
      <c r="F8818" t="n">
        <v>31</v>
      </c>
    </row>
    <row r="8819">
      <c r="A8819" t="inlineStr">
        <is>
          <t>ORD08818</t>
        </is>
      </c>
      <c r="B8819" t="inlineStr">
        <is>
          <t>C1318</t>
        </is>
      </c>
      <c r="C8819" t="n">
        <v>1</v>
      </c>
      <c r="D8819" t="inlineStr">
        <is>
          <t>Hub C</t>
        </is>
      </c>
      <c r="E8819" t="n">
        <v>64</v>
      </c>
      <c r="F8819" t="n">
        <v>31</v>
      </c>
    </row>
    <row r="8820">
      <c r="A8820" t="inlineStr">
        <is>
          <t>ORD08819</t>
        </is>
      </c>
      <c r="B8820" t="inlineStr">
        <is>
          <t>C1319</t>
        </is>
      </c>
      <c r="C8820" t="n">
        <v>2</v>
      </c>
      <c r="D8820" t="inlineStr">
        <is>
          <t>Hub C</t>
        </is>
      </c>
      <c r="E8820" t="n">
        <v>71</v>
      </c>
      <c r="F8820" t="n">
        <v>31</v>
      </c>
    </row>
    <row r="8821">
      <c r="A8821" t="inlineStr">
        <is>
          <t>ORD08820</t>
        </is>
      </c>
      <c r="B8821" t="inlineStr">
        <is>
          <t>C1320</t>
        </is>
      </c>
      <c r="C8821" t="n">
        <v>3</v>
      </c>
      <c r="D8821" t="inlineStr">
        <is>
          <t>Hub C</t>
        </is>
      </c>
      <c r="E8821" t="n">
        <v>18</v>
      </c>
      <c r="F8821" t="n">
        <v>31</v>
      </c>
    </row>
    <row r="8822">
      <c r="A8822" t="inlineStr">
        <is>
          <t>ORD08821</t>
        </is>
      </c>
      <c r="B8822" t="inlineStr">
        <is>
          <t>C1321</t>
        </is>
      </c>
      <c r="C8822" t="n">
        <v>1</v>
      </c>
      <c r="D8822" t="inlineStr">
        <is>
          <t>Hub C</t>
        </is>
      </c>
      <c r="E8822" t="n">
        <v>25</v>
      </c>
      <c r="F8822" t="n">
        <v>31</v>
      </c>
    </row>
    <row r="8823">
      <c r="A8823" t="inlineStr">
        <is>
          <t>ORD08822</t>
        </is>
      </c>
      <c r="B8823" t="inlineStr">
        <is>
          <t>C1322</t>
        </is>
      </c>
      <c r="C8823" t="n">
        <v>2</v>
      </c>
      <c r="D8823" t="inlineStr">
        <is>
          <t>Hub C</t>
        </is>
      </c>
      <c r="E8823" t="n">
        <v>32</v>
      </c>
      <c r="F8823" t="n">
        <v>31</v>
      </c>
    </row>
    <row r="8824">
      <c r="A8824" t="inlineStr">
        <is>
          <t>ORD08823</t>
        </is>
      </c>
      <c r="B8824" t="inlineStr">
        <is>
          <t>C1323</t>
        </is>
      </c>
      <c r="C8824" t="n">
        <v>3</v>
      </c>
      <c r="D8824" t="inlineStr">
        <is>
          <t>Hub C</t>
        </is>
      </c>
      <c r="E8824" t="n">
        <v>39</v>
      </c>
      <c r="F8824" t="n">
        <v>31</v>
      </c>
    </row>
    <row r="8825">
      <c r="A8825" t="inlineStr">
        <is>
          <t>ORD08824</t>
        </is>
      </c>
      <c r="B8825" t="inlineStr">
        <is>
          <t>C1324</t>
        </is>
      </c>
      <c r="C8825" t="n">
        <v>1</v>
      </c>
      <c r="D8825" t="inlineStr">
        <is>
          <t>Hub C</t>
        </is>
      </c>
      <c r="E8825" t="n">
        <v>46</v>
      </c>
      <c r="F8825" t="n">
        <v>31</v>
      </c>
    </row>
    <row r="8826">
      <c r="A8826" t="inlineStr">
        <is>
          <t>ORD08825</t>
        </is>
      </c>
      <c r="B8826" t="inlineStr">
        <is>
          <t>C1325</t>
        </is>
      </c>
      <c r="C8826" t="n">
        <v>2</v>
      </c>
      <c r="D8826" t="inlineStr">
        <is>
          <t>Hub C</t>
        </is>
      </c>
      <c r="E8826" t="n">
        <v>53</v>
      </c>
      <c r="F8826" t="n">
        <v>31</v>
      </c>
    </row>
    <row r="8827">
      <c r="A8827" t="inlineStr">
        <is>
          <t>ORD08826</t>
        </is>
      </c>
      <c r="B8827" t="inlineStr">
        <is>
          <t>C1326</t>
        </is>
      </c>
      <c r="C8827" t="n">
        <v>3</v>
      </c>
      <c r="D8827" t="inlineStr">
        <is>
          <t>Hub C</t>
        </is>
      </c>
      <c r="E8827" t="n">
        <v>60</v>
      </c>
      <c r="F8827" t="n">
        <v>31</v>
      </c>
    </row>
    <row r="8828">
      <c r="A8828" t="inlineStr">
        <is>
          <t>ORD08827</t>
        </is>
      </c>
      <c r="B8828" t="inlineStr">
        <is>
          <t>C1327</t>
        </is>
      </c>
      <c r="C8828" t="n">
        <v>1</v>
      </c>
      <c r="D8828" t="inlineStr">
        <is>
          <t>Hub C</t>
        </is>
      </c>
      <c r="E8828" t="n">
        <v>67</v>
      </c>
      <c r="F8828" t="n">
        <v>31</v>
      </c>
    </row>
    <row r="8829">
      <c r="A8829" t="inlineStr">
        <is>
          <t>ORD08828</t>
        </is>
      </c>
      <c r="B8829" t="inlineStr">
        <is>
          <t>C1328</t>
        </is>
      </c>
      <c r="C8829" t="n">
        <v>2</v>
      </c>
      <c r="D8829" t="inlineStr">
        <is>
          <t>Hub C</t>
        </is>
      </c>
      <c r="E8829" t="n">
        <v>74</v>
      </c>
      <c r="F8829" t="n">
        <v>31</v>
      </c>
    </row>
    <row r="8830">
      <c r="A8830" t="inlineStr">
        <is>
          <t>ORD08829</t>
        </is>
      </c>
      <c r="B8830" t="inlineStr">
        <is>
          <t>C1329</t>
        </is>
      </c>
      <c r="C8830" t="n">
        <v>3</v>
      </c>
      <c r="D8830" t="inlineStr">
        <is>
          <t>Hub C</t>
        </is>
      </c>
      <c r="E8830" t="n">
        <v>21</v>
      </c>
      <c r="F8830" t="n">
        <v>31</v>
      </c>
    </row>
    <row r="8831">
      <c r="A8831" t="inlineStr">
        <is>
          <t>ORD08830</t>
        </is>
      </c>
      <c r="B8831" t="inlineStr">
        <is>
          <t>C1330</t>
        </is>
      </c>
      <c r="C8831" t="n">
        <v>1</v>
      </c>
      <c r="D8831" t="inlineStr">
        <is>
          <t>Hub C</t>
        </is>
      </c>
      <c r="E8831" t="n">
        <v>28</v>
      </c>
      <c r="F8831" t="n">
        <v>31</v>
      </c>
    </row>
    <row r="8832">
      <c r="A8832" t="inlineStr">
        <is>
          <t>ORD08831</t>
        </is>
      </c>
      <c r="B8832" t="inlineStr">
        <is>
          <t>C1331</t>
        </is>
      </c>
      <c r="C8832" t="n">
        <v>2</v>
      </c>
      <c r="D8832" t="inlineStr">
        <is>
          <t>Hub C</t>
        </is>
      </c>
      <c r="E8832" t="n">
        <v>35</v>
      </c>
      <c r="F8832" t="n">
        <v>31</v>
      </c>
    </row>
    <row r="8833">
      <c r="A8833" t="inlineStr">
        <is>
          <t>ORD08832</t>
        </is>
      </c>
      <c r="B8833" t="inlineStr">
        <is>
          <t>C1332</t>
        </is>
      </c>
      <c r="C8833" t="n">
        <v>3</v>
      </c>
      <c r="D8833" t="inlineStr">
        <is>
          <t>Hub C</t>
        </is>
      </c>
      <c r="E8833" t="n">
        <v>42</v>
      </c>
      <c r="F8833" t="n">
        <v>31</v>
      </c>
    </row>
    <row r="8834">
      <c r="A8834" t="inlineStr">
        <is>
          <t>ORD08833</t>
        </is>
      </c>
      <c r="B8834" t="inlineStr">
        <is>
          <t>C1333</t>
        </is>
      </c>
      <c r="C8834" t="n">
        <v>1</v>
      </c>
      <c r="D8834" t="inlineStr">
        <is>
          <t>Hub C</t>
        </is>
      </c>
      <c r="E8834" t="n">
        <v>49</v>
      </c>
      <c r="F8834" t="n">
        <v>31</v>
      </c>
    </row>
    <row r="8835">
      <c r="A8835" t="inlineStr">
        <is>
          <t>ORD08834</t>
        </is>
      </c>
      <c r="B8835" t="inlineStr">
        <is>
          <t>C1334</t>
        </is>
      </c>
      <c r="C8835" t="n">
        <v>2</v>
      </c>
      <c r="D8835" t="inlineStr">
        <is>
          <t>Hub C</t>
        </is>
      </c>
      <c r="E8835" t="n">
        <v>56</v>
      </c>
      <c r="F8835" t="n">
        <v>31</v>
      </c>
    </row>
    <row r="8836">
      <c r="A8836" t="inlineStr">
        <is>
          <t>ORD08835</t>
        </is>
      </c>
      <c r="B8836" t="inlineStr">
        <is>
          <t>C1335</t>
        </is>
      </c>
      <c r="C8836" t="n">
        <v>3</v>
      </c>
      <c r="D8836" t="inlineStr">
        <is>
          <t>Hub C</t>
        </is>
      </c>
      <c r="E8836" t="n">
        <v>63</v>
      </c>
      <c r="F8836" t="n">
        <v>31</v>
      </c>
    </row>
    <row r="8837">
      <c r="A8837" t="inlineStr">
        <is>
          <t>ORD08836</t>
        </is>
      </c>
      <c r="B8837" t="inlineStr">
        <is>
          <t>C1336</t>
        </is>
      </c>
      <c r="C8837" t="n">
        <v>1</v>
      </c>
      <c r="D8837" t="inlineStr">
        <is>
          <t>Hub C</t>
        </is>
      </c>
      <c r="E8837" t="n">
        <v>70</v>
      </c>
      <c r="F8837" t="n">
        <v>31</v>
      </c>
    </row>
    <row r="8838">
      <c r="A8838" t="inlineStr">
        <is>
          <t>ORD08837</t>
        </is>
      </c>
      <c r="B8838" t="inlineStr">
        <is>
          <t>C1337</t>
        </is>
      </c>
      <c r="C8838" t="n">
        <v>2</v>
      </c>
      <c r="D8838" t="inlineStr">
        <is>
          <t>Hub C</t>
        </is>
      </c>
      <c r="E8838" t="n">
        <v>77</v>
      </c>
      <c r="F8838" t="n">
        <v>31</v>
      </c>
    </row>
    <row r="8839">
      <c r="A8839" t="inlineStr">
        <is>
          <t>ORD08838</t>
        </is>
      </c>
      <c r="B8839" t="inlineStr">
        <is>
          <t>C1338</t>
        </is>
      </c>
      <c r="C8839" t="n">
        <v>3</v>
      </c>
      <c r="D8839" t="inlineStr">
        <is>
          <t>Hub C</t>
        </is>
      </c>
      <c r="E8839" t="n">
        <v>24</v>
      </c>
      <c r="F8839" t="n">
        <v>31</v>
      </c>
    </row>
    <row r="8840">
      <c r="A8840" t="inlineStr">
        <is>
          <t>ORD08839</t>
        </is>
      </c>
      <c r="B8840" t="inlineStr">
        <is>
          <t>C1339</t>
        </is>
      </c>
      <c r="C8840" t="n">
        <v>1</v>
      </c>
      <c r="D8840" t="inlineStr">
        <is>
          <t>Hub C</t>
        </is>
      </c>
      <c r="E8840" t="n">
        <v>31</v>
      </c>
      <c r="F8840" t="n">
        <v>31</v>
      </c>
    </row>
    <row r="8841">
      <c r="A8841" t="inlineStr">
        <is>
          <t>ORD08840</t>
        </is>
      </c>
      <c r="B8841" t="inlineStr">
        <is>
          <t>C1340</t>
        </is>
      </c>
      <c r="C8841" t="n">
        <v>2</v>
      </c>
      <c r="D8841" t="inlineStr">
        <is>
          <t>Hub C</t>
        </is>
      </c>
      <c r="E8841" t="n">
        <v>38</v>
      </c>
      <c r="F8841" t="n">
        <v>31</v>
      </c>
    </row>
    <row r="8842">
      <c r="A8842" t="inlineStr">
        <is>
          <t>ORD08841</t>
        </is>
      </c>
      <c r="B8842" t="inlineStr">
        <is>
          <t>C1341</t>
        </is>
      </c>
      <c r="C8842" t="n">
        <v>3</v>
      </c>
      <c r="D8842" t="inlineStr">
        <is>
          <t>Hub C</t>
        </is>
      </c>
      <c r="E8842" t="n">
        <v>45</v>
      </c>
      <c r="F8842" t="n">
        <v>31</v>
      </c>
    </row>
    <row r="8843">
      <c r="A8843" t="inlineStr">
        <is>
          <t>ORD08842</t>
        </is>
      </c>
      <c r="B8843" t="inlineStr">
        <is>
          <t>C1342</t>
        </is>
      </c>
      <c r="C8843" t="n">
        <v>1</v>
      </c>
      <c r="D8843" t="inlineStr">
        <is>
          <t>Hub C</t>
        </is>
      </c>
      <c r="E8843" t="n">
        <v>52</v>
      </c>
      <c r="F8843" t="n">
        <v>31</v>
      </c>
    </row>
    <row r="8844">
      <c r="A8844" t="inlineStr">
        <is>
          <t>ORD08843</t>
        </is>
      </c>
      <c r="B8844" t="inlineStr">
        <is>
          <t>C1343</t>
        </is>
      </c>
      <c r="C8844" t="n">
        <v>2</v>
      </c>
      <c r="D8844" t="inlineStr">
        <is>
          <t>Hub C</t>
        </is>
      </c>
      <c r="E8844" t="n">
        <v>59</v>
      </c>
      <c r="F8844" t="n">
        <v>31</v>
      </c>
    </row>
    <row r="8845">
      <c r="A8845" t="inlineStr">
        <is>
          <t>ORD08844</t>
        </is>
      </c>
      <c r="B8845" t="inlineStr">
        <is>
          <t>C1344</t>
        </is>
      </c>
      <c r="C8845" t="n">
        <v>3</v>
      </c>
      <c r="D8845" t="inlineStr">
        <is>
          <t>Hub C</t>
        </is>
      </c>
      <c r="E8845" t="n">
        <v>66</v>
      </c>
      <c r="F8845" t="n">
        <v>31</v>
      </c>
    </row>
    <row r="8846">
      <c r="A8846" t="inlineStr">
        <is>
          <t>ORD08845</t>
        </is>
      </c>
      <c r="B8846" t="inlineStr">
        <is>
          <t>C1345</t>
        </is>
      </c>
      <c r="C8846" t="n">
        <v>1</v>
      </c>
      <c r="D8846" t="inlineStr">
        <is>
          <t>Hub C</t>
        </is>
      </c>
      <c r="E8846" t="n">
        <v>73</v>
      </c>
      <c r="F8846" t="n">
        <v>31</v>
      </c>
    </row>
    <row r="8847">
      <c r="A8847" t="inlineStr">
        <is>
          <t>ORD08846</t>
        </is>
      </c>
      <c r="B8847" t="inlineStr">
        <is>
          <t>C1346</t>
        </is>
      </c>
      <c r="C8847" t="n">
        <v>2</v>
      </c>
      <c r="D8847" t="inlineStr">
        <is>
          <t>Hub C</t>
        </is>
      </c>
      <c r="E8847" t="n">
        <v>20</v>
      </c>
      <c r="F8847" t="n">
        <v>31</v>
      </c>
    </row>
    <row r="8848">
      <c r="A8848" t="inlineStr">
        <is>
          <t>ORD08847</t>
        </is>
      </c>
      <c r="B8848" t="inlineStr">
        <is>
          <t>C1347</t>
        </is>
      </c>
      <c r="C8848" t="n">
        <v>3</v>
      </c>
      <c r="D8848" t="inlineStr">
        <is>
          <t>Hub C</t>
        </is>
      </c>
      <c r="E8848" t="n">
        <v>27</v>
      </c>
      <c r="F8848" t="n">
        <v>31</v>
      </c>
    </row>
    <row r="8849">
      <c r="A8849" t="inlineStr">
        <is>
          <t>ORD08848</t>
        </is>
      </c>
      <c r="B8849" t="inlineStr">
        <is>
          <t>C1348</t>
        </is>
      </c>
      <c r="C8849" t="n">
        <v>1</v>
      </c>
      <c r="D8849" t="inlineStr">
        <is>
          <t>Hub C</t>
        </is>
      </c>
      <c r="E8849" t="n">
        <v>34</v>
      </c>
      <c r="F8849" t="n">
        <v>31</v>
      </c>
    </row>
    <row r="8850">
      <c r="A8850" t="inlineStr">
        <is>
          <t>ORD08849</t>
        </is>
      </c>
      <c r="B8850" t="inlineStr">
        <is>
          <t>C1349</t>
        </is>
      </c>
      <c r="C8850" t="n">
        <v>2</v>
      </c>
      <c r="D8850" t="inlineStr">
        <is>
          <t>Hub C</t>
        </is>
      </c>
      <c r="E8850" t="n">
        <v>41</v>
      </c>
      <c r="F8850" t="n">
        <v>31</v>
      </c>
    </row>
    <row r="8851">
      <c r="A8851" t="inlineStr">
        <is>
          <t>ORD08850</t>
        </is>
      </c>
      <c r="B8851" t="inlineStr">
        <is>
          <t>C1350</t>
        </is>
      </c>
      <c r="C8851" t="n">
        <v>3</v>
      </c>
      <c r="D8851" t="inlineStr">
        <is>
          <t>Hub C</t>
        </is>
      </c>
      <c r="E8851" t="n">
        <v>48</v>
      </c>
      <c r="F8851" t="n">
        <v>31</v>
      </c>
    </row>
    <row r="8852">
      <c r="A8852" t="inlineStr">
        <is>
          <t>ORD08851</t>
        </is>
      </c>
      <c r="B8852" t="inlineStr">
        <is>
          <t>C1351</t>
        </is>
      </c>
      <c r="C8852" t="n">
        <v>1</v>
      </c>
      <c r="D8852" t="inlineStr">
        <is>
          <t>Hub C</t>
        </is>
      </c>
      <c r="E8852" t="n">
        <v>55</v>
      </c>
      <c r="F8852" t="n">
        <v>31</v>
      </c>
    </row>
    <row r="8853">
      <c r="A8853" t="inlineStr">
        <is>
          <t>ORD08852</t>
        </is>
      </c>
      <c r="B8853" t="inlineStr">
        <is>
          <t>C1352</t>
        </is>
      </c>
      <c r="C8853" t="n">
        <v>2</v>
      </c>
      <c r="D8853" t="inlineStr">
        <is>
          <t>Hub C</t>
        </is>
      </c>
      <c r="E8853" t="n">
        <v>62</v>
      </c>
      <c r="F8853" t="n">
        <v>31</v>
      </c>
    </row>
    <row r="8854">
      <c r="A8854" t="inlineStr">
        <is>
          <t>ORD08853</t>
        </is>
      </c>
      <c r="B8854" t="inlineStr">
        <is>
          <t>C1353</t>
        </is>
      </c>
      <c r="C8854" t="n">
        <v>3</v>
      </c>
      <c r="D8854" t="inlineStr">
        <is>
          <t>Hub C</t>
        </is>
      </c>
      <c r="E8854" t="n">
        <v>69</v>
      </c>
      <c r="F8854" t="n">
        <v>31</v>
      </c>
    </row>
    <row r="8855">
      <c r="A8855" t="inlineStr">
        <is>
          <t>ORD08854</t>
        </is>
      </c>
      <c r="B8855" t="inlineStr">
        <is>
          <t>C1354</t>
        </is>
      </c>
      <c r="C8855" t="n">
        <v>1</v>
      </c>
      <c r="D8855" t="inlineStr">
        <is>
          <t>Hub C</t>
        </is>
      </c>
      <c r="E8855" t="n">
        <v>76</v>
      </c>
      <c r="F8855" t="n">
        <v>31</v>
      </c>
    </row>
    <row r="8856">
      <c r="A8856" t="inlineStr">
        <is>
          <t>ORD08855</t>
        </is>
      </c>
      <c r="B8856" t="inlineStr">
        <is>
          <t>C1355</t>
        </is>
      </c>
      <c r="C8856" t="n">
        <v>2</v>
      </c>
      <c r="D8856" t="inlineStr">
        <is>
          <t>Hub C</t>
        </is>
      </c>
      <c r="E8856" t="n">
        <v>23</v>
      </c>
      <c r="F8856" t="n">
        <v>31</v>
      </c>
    </row>
    <row r="8857">
      <c r="A8857" t="inlineStr">
        <is>
          <t>ORD08856</t>
        </is>
      </c>
      <c r="B8857" t="inlineStr">
        <is>
          <t>C1356</t>
        </is>
      </c>
      <c r="C8857" t="n">
        <v>3</v>
      </c>
      <c r="D8857" t="inlineStr">
        <is>
          <t>Hub C</t>
        </is>
      </c>
      <c r="E8857" t="n">
        <v>30</v>
      </c>
      <c r="F8857" t="n">
        <v>31</v>
      </c>
    </row>
    <row r="8858">
      <c r="A8858" t="inlineStr">
        <is>
          <t>ORD08857</t>
        </is>
      </c>
      <c r="B8858" t="inlineStr">
        <is>
          <t>C1357</t>
        </is>
      </c>
      <c r="C8858" t="n">
        <v>1</v>
      </c>
      <c r="D8858" t="inlineStr">
        <is>
          <t>Hub C</t>
        </is>
      </c>
      <c r="E8858" t="n">
        <v>37</v>
      </c>
      <c r="F8858" t="n">
        <v>31</v>
      </c>
    </row>
    <row r="8859">
      <c r="A8859" t="inlineStr">
        <is>
          <t>ORD08858</t>
        </is>
      </c>
      <c r="B8859" t="inlineStr">
        <is>
          <t>C1358</t>
        </is>
      </c>
      <c r="C8859" t="n">
        <v>2</v>
      </c>
      <c r="D8859" t="inlineStr">
        <is>
          <t>Hub C</t>
        </is>
      </c>
      <c r="E8859" t="n">
        <v>44</v>
      </c>
      <c r="F8859" t="n">
        <v>31</v>
      </c>
    </row>
    <row r="8860">
      <c r="A8860" t="inlineStr">
        <is>
          <t>ORD08859</t>
        </is>
      </c>
      <c r="B8860" t="inlineStr">
        <is>
          <t>C1359</t>
        </is>
      </c>
      <c r="C8860" t="n">
        <v>3</v>
      </c>
      <c r="D8860" t="inlineStr">
        <is>
          <t>Hub C</t>
        </is>
      </c>
      <c r="E8860" t="n">
        <v>51</v>
      </c>
      <c r="F8860" t="n">
        <v>31</v>
      </c>
    </row>
    <row r="8861">
      <c r="A8861" t="inlineStr">
        <is>
          <t>ORD08860</t>
        </is>
      </c>
      <c r="B8861" t="inlineStr">
        <is>
          <t>C1360</t>
        </is>
      </c>
      <c r="C8861" t="n">
        <v>1</v>
      </c>
      <c r="D8861" t="inlineStr">
        <is>
          <t>Hub C</t>
        </is>
      </c>
      <c r="E8861" t="n">
        <v>58</v>
      </c>
      <c r="F8861" t="n">
        <v>31</v>
      </c>
    </row>
    <row r="8862">
      <c r="A8862" t="inlineStr">
        <is>
          <t>ORD08861</t>
        </is>
      </c>
      <c r="B8862" t="inlineStr">
        <is>
          <t>C1361</t>
        </is>
      </c>
      <c r="C8862" t="n">
        <v>2</v>
      </c>
      <c r="D8862" t="inlineStr">
        <is>
          <t>Hub C</t>
        </is>
      </c>
      <c r="E8862" t="n">
        <v>65</v>
      </c>
      <c r="F8862" t="n">
        <v>31</v>
      </c>
    </row>
    <row r="8863">
      <c r="A8863" t="inlineStr">
        <is>
          <t>ORD08862</t>
        </is>
      </c>
      <c r="B8863" t="inlineStr">
        <is>
          <t>C1362</t>
        </is>
      </c>
      <c r="C8863" t="n">
        <v>3</v>
      </c>
      <c r="D8863" t="inlineStr">
        <is>
          <t>Hub C</t>
        </is>
      </c>
      <c r="E8863" t="n">
        <v>72</v>
      </c>
      <c r="F8863" t="n">
        <v>31</v>
      </c>
    </row>
    <row r="8864">
      <c r="A8864" t="inlineStr">
        <is>
          <t>ORD08863</t>
        </is>
      </c>
      <c r="B8864" t="inlineStr">
        <is>
          <t>C1363</t>
        </is>
      </c>
      <c r="C8864" t="n">
        <v>1</v>
      </c>
      <c r="D8864" t="inlineStr">
        <is>
          <t>Hub C</t>
        </is>
      </c>
      <c r="E8864" t="n">
        <v>19</v>
      </c>
      <c r="F8864" t="n">
        <v>31</v>
      </c>
    </row>
    <row r="8865">
      <c r="A8865" t="inlineStr">
        <is>
          <t>ORD08864</t>
        </is>
      </c>
      <c r="B8865" t="inlineStr">
        <is>
          <t>C1364</t>
        </is>
      </c>
      <c r="C8865" t="n">
        <v>2</v>
      </c>
      <c r="D8865" t="inlineStr">
        <is>
          <t>Hub C</t>
        </is>
      </c>
      <c r="E8865" t="n">
        <v>26</v>
      </c>
      <c r="F8865" t="n">
        <v>31</v>
      </c>
    </row>
    <row r="8866">
      <c r="A8866" t="inlineStr">
        <is>
          <t>ORD08865</t>
        </is>
      </c>
      <c r="B8866" t="inlineStr">
        <is>
          <t>C1365</t>
        </is>
      </c>
      <c r="C8866" t="n">
        <v>3</v>
      </c>
      <c r="D8866" t="inlineStr">
        <is>
          <t>Hub C</t>
        </is>
      </c>
      <c r="E8866" t="n">
        <v>33</v>
      </c>
      <c r="F8866" t="n">
        <v>31</v>
      </c>
    </row>
    <row r="8867">
      <c r="A8867" t="inlineStr">
        <is>
          <t>ORD08866</t>
        </is>
      </c>
      <c r="B8867" t="inlineStr">
        <is>
          <t>C1366</t>
        </is>
      </c>
      <c r="C8867" t="n">
        <v>1</v>
      </c>
      <c r="D8867" t="inlineStr">
        <is>
          <t>Hub C</t>
        </is>
      </c>
      <c r="E8867" t="n">
        <v>40</v>
      </c>
      <c r="F8867" t="n">
        <v>31</v>
      </c>
    </row>
    <row r="8868">
      <c r="A8868" t="inlineStr">
        <is>
          <t>ORD08867</t>
        </is>
      </c>
      <c r="B8868" t="inlineStr">
        <is>
          <t>C1367</t>
        </is>
      </c>
      <c r="C8868" t="n">
        <v>2</v>
      </c>
      <c r="D8868" t="inlineStr">
        <is>
          <t>Hub C</t>
        </is>
      </c>
      <c r="E8868" t="n">
        <v>47</v>
      </c>
      <c r="F8868" t="n">
        <v>31</v>
      </c>
    </row>
    <row r="8869">
      <c r="A8869" t="inlineStr">
        <is>
          <t>ORD08868</t>
        </is>
      </c>
      <c r="B8869" t="inlineStr">
        <is>
          <t>C1368</t>
        </is>
      </c>
      <c r="C8869" t="n">
        <v>3</v>
      </c>
      <c r="D8869" t="inlineStr">
        <is>
          <t>Hub C</t>
        </is>
      </c>
      <c r="E8869" t="n">
        <v>54</v>
      </c>
      <c r="F8869" t="n">
        <v>31</v>
      </c>
    </row>
    <row r="8870">
      <c r="A8870" t="inlineStr">
        <is>
          <t>ORD08869</t>
        </is>
      </c>
      <c r="B8870" t="inlineStr">
        <is>
          <t>C1369</t>
        </is>
      </c>
      <c r="C8870" t="n">
        <v>1</v>
      </c>
      <c r="D8870" t="inlineStr">
        <is>
          <t>Hub C</t>
        </is>
      </c>
      <c r="E8870" t="n">
        <v>61</v>
      </c>
      <c r="F8870" t="n">
        <v>31</v>
      </c>
    </row>
    <row r="8871">
      <c r="A8871" t="inlineStr">
        <is>
          <t>ORD08870</t>
        </is>
      </c>
      <c r="B8871" t="inlineStr">
        <is>
          <t>C1370</t>
        </is>
      </c>
      <c r="C8871" t="n">
        <v>2</v>
      </c>
      <c r="D8871" t="inlineStr">
        <is>
          <t>Hub C</t>
        </is>
      </c>
      <c r="E8871" t="n">
        <v>68</v>
      </c>
      <c r="F8871" t="n">
        <v>31</v>
      </c>
    </row>
    <row r="8872">
      <c r="A8872" t="inlineStr">
        <is>
          <t>ORD08871</t>
        </is>
      </c>
      <c r="B8872" t="inlineStr">
        <is>
          <t>C1371</t>
        </is>
      </c>
      <c r="C8872" t="n">
        <v>3</v>
      </c>
      <c r="D8872" t="inlineStr">
        <is>
          <t>Hub C</t>
        </is>
      </c>
      <c r="E8872" t="n">
        <v>75</v>
      </c>
      <c r="F8872" t="n">
        <v>31</v>
      </c>
    </row>
    <row r="8873">
      <c r="A8873" t="inlineStr">
        <is>
          <t>ORD08872</t>
        </is>
      </c>
      <c r="B8873" t="inlineStr">
        <is>
          <t>C1372</t>
        </is>
      </c>
      <c r="C8873" t="n">
        <v>1</v>
      </c>
      <c r="D8873" t="inlineStr">
        <is>
          <t>Hub C</t>
        </is>
      </c>
      <c r="E8873" t="n">
        <v>22</v>
      </c>
      <c r="F8873" t="n">
        <v>31</v>
      </c>
    </row>
    <row r="8874">
      <c r="A8874" t="inlineStr">
        <is>
          <t>ORD08873</t>
        </is>
      </c>
      <c r="B8874" t="inlineStr">
        <is>
          <t>C1373</t>
        </is>
      </c>
      <c r="C8874" t="n">
        <v>2</v>
      </c>
      <c r="D8874" t="inlineStr">
        <is>
          <t>Hub C</t>
        </is>
      </c>
      <c r="E8874" t="n">
        <v>29</v>
      </c>
      <c r="F8874" t="n">
        <v>31</v>
      </c>
    </row>
    <row r="8875">
      <c r="A8875" t="inlineStr">
        <is>
          <t>ORD08874</t>
        </is>
      </c>
      <c r="B8875" t="inlineStr">
        <is>
          <t>C1374</t>
        </is>
      </c>
      <c r="C8875" t="n">
        <v>3</v>
      </c>
      <c r="D8875" t="inlineStr">
        <is>
          <t>Hub C</t>
        </is>
      </c>
      <c r="E8875" t="n">
        <v>36</v>
      </c>
      <c r="F8875" t="n">
        <v>31</v>
      </c>
    </row>
    <row r="8876">
      <c r="A8876" t="inlineStr">
        <is>
          <t>ORD08875</t>
        </is>
      </c>
      <c r="B8876" t="inlineStr">
        <is>
          <t>C1375</t>
        </is>
      </c>
      <c r="C8876" t="n">
        <v>1</v>
      </c>
      <c r="D8876" t="inlineStr">
        <is>
          <t>Hub C</t>
        </is>
      </c>
      <c r="E8876" t="n">
        <v>43</v>
      </c>
      <c r="F8876" t="n">
        <v>31</v>
      </c>
    </row>
    <row r="8877">
      <c r="A8877" t="inlineStr">
        <is>
          <t>ORD08876</t>
        </is>
      </c>
      <c r="B8877" t="inlineStr">
        <is>
          <t>C1376</t>
        </is>
      </c>
      <c r="C8877" t="n">
        <v>2</v>
      </c>
      <c r="D8877" t="inlineStr">
        <is>
          <t>Hub C</t>
        </is>
      </c>
      <c r="E8877" t="n">
        <v>50</v>
      </c>
      <c r="F8877" t="n">
        <v>31</v>
      </c>
    </row>
    <row r="8878">
      <c r="A8878" t="inlineStr">
        <is>
          <t>ORD08877</t>
        </is>
      </c>
      <c r="B8878" t="inlineStr">
        <is>
          <t>C1377</t>
        </is>
      </c>
      <c r="C8878" t="n">
        <v>3</v>
      </c>
      <c r="D8878" t="inlineStr">
        <is>
          <t>Hub C</t>
        </is>
      </c>
      <c r="E8878" t="n">
        <v>57</v>
      </c>
      <c r="F8878" t="n">
        <v>31</v>
      </c>
    </row>
    <row r="8879">
      <c r="A8879" t="inlineStr">
        <is>
          <t>ORD08878</t>
        </is>
      </c>
      <c r="B8879" t="inlineStr">
        <is>
          <t>C1378</t>
        </is>
      </c>
      <c r="C8879" t="n">
        <v>1</v>
      </c>
      <c r="D8879" t="inlineStr">
        <is>
          <t>Hub C</t>
        </is>
      </c>
      <c r="E8879" t="n">
        <v>64</v>
      </c>
      <c r="F8879" t="n">
        <v>31</v>
      </c>
    </row>
    <row r="8880">
      <c r="A8880" t="inlineStr">
        <is>
          <t>ORD08879</t>
        </is>
      </c>
      <c r="B8880" t="inlineStr">
        <is>
          <t>C1379</t>
        </is>
      </c>
      <c r="C8880" t="n">
        <v>2</v>
      </c>
      <c r="D8880" t="inlineStr">
        <is>
          <t>Hub C</t>
        </is>
      </c>
      <c r="E8880" t="n">
        <v>71</v>
      </c>
      <c r="F8880" t="n">
        <v>31</v>
      </c>
    </row>
    <row r="8881">
      <c r="A8881" t="inlineStr">
        <is>
          <t>ORD08880</t>
        </is>
      </c>
      <c r="B8881" t="inlineStr">
        <is>
          <t>C1380</t>
        </is>
      </c>
      <c r="C8881" t="n">
        <v>3</v>
      </c>
      <c r="D8881" t="inlineStr">
        <is>
          <t>Hub C</t>
        </is>
      </c>
      <c r="E8881" t="n">
        <v>18</v>
      </c>
      <c r="F8881" t="n">
        <v>31</v>
      </c>
    </row>
    <row r="8882">
      <c r="A8882" t="inlineStr">
        <is>
          <t>ORD08881</t>
        </is>
      </c>
      <c r="B8882" t="inlineStr">
        <is>
          <t>C1381</t>
        </is>
      </c>
      <c r="C8882" t="n">
        <v>1</v>
      </c>
      <c r="D8882" t="inlineStr">
        <is>
          <t>Hub C</t>
        </is>
      </c>
      <c r="E8882" t="n">
        <v>25</v>
      </c>
      <c r="F8882" t="n">
        <v>31</v>
      </c>
    </row>
    <row r="8883">
      <c r="A8883" t="inlineStr">
        <is>
          <t>ORD08882</t>
        </is>
      </c>
      <c r="B8883" t="inlineStr">
        <is>
          <t>C1382</t>
        </is>
      </c>
      <c r="C8883" t="n">
        <v>2</v>
      </c>
      <c r="D8883" t="inlineStr">
        <is>
          <t>Hub C</t>
        </is>
      </c>
      <c r="E8883" t="n">
        <v>32</v>
      </c>
      <c r="F8883" t="n">
        <v>31</v>
      </c>
    </row>
    <row r="8884">
      <c r="A8884" t="inlineStr">
        <is>
          <t>ORD08883</t>
        </is>
      </c>
      <c r="B8884" t="inlineStr">
        <is>
          <t>C1383</t>
        </is>
      </c>
      <c r="C8884" t="n">
        <v>3</v>
      </c>
      <c r="D8884" t="inlineStr">
        <is>
          <t>Hub C</t>
        </is>
      </c>
      <c r="E8884" t="n">
        <v>39</v>
      </c>
      <c r="F8884" t="n">
        <v>31</v>
      </c>
    </row>
    <row r="8885">
      <c r="A8885" t="inlineStr">
        <is>
          <t>ORD08884</t>
        </is>
      </c>
      <c r="B8885" t="inlineStr">
        <is>
          <t>C1384</t>
        </is>
      </c>
      <c r="C8885" t="n">
        <v>1</v>
      </c>
      <c r="D8885" t="inlineStr">
        <is>
          <t>Hub C</t>
        </is>
      </c>
      <c r="E8885" t="n">
        <v>46</v>
      </c>
      <c r="F8885" t="n">
        <v>31</v>
      </c>
    </row>
    <row r="8886">
      <c r="A8886" t="inlineStr">
        <is>
          <t>ORD08885</t>
        </is>
      </c>
      <c r="B8886" t="inlineStr">
        <is>
          <t>C1385</t>
        </is>
      </c>
      <c r="C8886" t="n">
        <v>2</v>
      </c>
      <c r="D8886" t="inlineStr">
        <is>
          <t>Hub C</t>
        </is>
      </c>
      <c r="E8886" t="n">
        <v>53</v>
      </c>
      <c r="F8886" t="n">
        <v>31</v>
      </c>
    </row>
    <row r="8887">
      <c r="A8887" t="inlineStr">
        <is>
          <t>ORD08886</t>
        </is>
      </c>
      <c r="B8887" t="inlineStr">
        <is>
          <t>C1386</t>
        </is>
      </c>
      <c r="C8887" t="n">
        <v>3</v>
      </c>
      <c r="D8887" t="inlineStr">
        <is>
          <t>Hub C</t>
        </is>
      </c>
      <c r="E8887" t="n">
        <v>60</v>
      </c>
      <c r="F8887" t="n">
        <v>31</v>
      </c>
    </row>
    <row r="8888">
      <c r="A8888" t="inlineStr">
        <is>
          <t>ORD08887</t>
        </is>
      </c>
      <c r="B8888" t="inlineStr">
        <is>
          <t>C1387</t>
        </is>
      </c>
      <c r="C8888" t="n">
        <v>1</v>
      </c>
      <c r="D8888" t="inlineStr">
        <is>
          <t>Hub C</t>
        </is>
      </c>
      <c r="E8888" t="n">
        <v>67</v>
      </c>
      <c r="F8888" t="n">
        <v>31</v>
      </c>
    </row>
    <row r="8889">
      <c r="A8889" t="inlineStr">
        <is>
          <t>ORD08888</t>
        </is>
      </c>
      <c r="B8889" t="inlineStr">
        <is>
          <t>C1388</t>
        </is>
      </c>
      <c r="C8889" t="n">
        <v>2</v>
      </c>
      <c r="D8889" t="inlineStr">
        <is>
          <t>Hub C</t>
        </is>
      </c>
      <c r="E8889" t="n">
        <v>74</v>
      </c>
      <c r="F8889" t="n">
        <v>31</v>
      </c>
    </row>
    <row r="8890">
      <c r="A8890" t="inlineStr">
        <is>
          <t>ORD08889</t>
        </is>
      </c>
      <c r="B8890" t="inlineStr">
        <is>
          <t>C1389</t>
        </is>
      </c>
      <c r="C8890" t="n">
        <v>3</v>
      </c>
      <c r="D8890" t="inlineStr">
        <is>
          <t>Hub C</t>
        </is>
      </c>
      <c r="E8890" t="n">
        <v>21</v>
      </c>
      <c r="F8890" t="n">
        <v>31</v>
      </c>
    </row>
    <row r="8891">
      <c r="A8891" t="inlineStr">
        <is>
          <t>ORD08890</t>
        </is>
      </c>
      <c r="B8891" t="inlineStr">
        <is>
          <t>C1390</t>
        </is>
      </c>
      <c r="C8891" t="n">
        <v>1</v>
      </c>
      <c r="D8891" t="inlineStr">
        <is>
          <t>Hub C</t>
        </is>
      </c>
      <c r="E8891" t="n">
        <v>28</v>
      </c>
      <c r="F8891" t="n">
        <v>31</v>
      </c>
    </row>
    <row r="8892">
      <c r="A8892" t="inlineStr">
        <is>
          <t>ORD08891</t>
        </is>
      </c>
      <c r="B8892" t="inlineStr">
        <is>
          <t>C1391</t>
        </is>
      </c>
      <c r="C8892" t="n">
        <v>2</v>
      </c>
      <c r="D8892" t="inlineStr">
        <is>
          <t>Hub C</t>
        </is>
      </c>
      <c r="E8892" t="n">
        <v>35</v>
      </c>
      <c r="F8892" t="n">
        <v>31</v>
      </c>
    </row>
    <row r="8893">
      <c r="A8893" t="inlineStr">
        <is>
          <t>ORD08892</t>
        </is>
      </c>
      <c r="B8893" t="inlineStr">
        <is>
          <t>C1392</t>
        </is>
      </c>
      <c r="C8893" t="n">
        <v>3</v>
      </c>
      <c r="D8893" t="inlineStr">
        <is>
          <t>Hub C</t>
        </is>
      </c>
      <c r="E8893" t="n">
        <v>42</v>
      </c>
      <c r="F8893" t="n">
        <v>31</v>
      </c>
    </row>
    <row r="8894">
      <c r="A8894" t="inlineStr">
        <is>
          <t>ORD08893</t>
        </is>
      </c>
      <c r="B8894" t="inlineStr">
        <is>
          <t>C1393</t>
        </is>
      </c>
      <c r="C8894" t="n">
        <v>1</v>
      </c>
      <c r="D8894" t="inlineStr">
        <is>
          <t>Hub C</t>
        </is>
      </c>
      <c r="E8894" t="n">
        <v>49</v>
      </c>
      <c r="F8894" t="n">
        <v>31</v>
      </c>
    </row>
    <row r="8895">
      <c r="A8895" t="inlineStr">
        <is>
          <t>ORD08894</t>
        </is>
      </c>
      <c r="B8895" t="inlineStr">
        <is>
          <t>C1394</t>
        </is>
      </c>
      <c r="C8895" t="n">
        <v>2</v>
      </c>
      <c r="D8895" t="inlineStr">
        <is>
          <t>Hub C</t>
        </is>
      </c>
      <c r="E8895" t="n">
        <v>56</v>
      </c>
      <c r="F8895" t="n">
        <v>31</v>
      </c>
    </row>
    <row r="8896">
      <c r="A8896" t="inlineStr">
        <is>
          <t>ORD08895</t>
        </is>
      </c>
      <c r="B8896" t="inlineStr">
        <is>
          <t>C1395</t>
        </is>
      </c>
      <c r="C8896" t="n">
        <v>3</v>
      </c>
      <c r="D8896" t="inlineStr">
        <is>
          <t>Hub C</t>
        </is>
      </c>
      <c r="E8896" t="n">
        <v>63</v>
      </c>
      <c r="F8896" t="n">
        <v>31</v>
      </c>
    </row>
    <row r="8897">
      <c r="A8897" t="inlineStr">
        <is>
          <t>ORD08896</t>
        </is>
      </c>
      <c r="B8897" t="inlineStr">
        <is>
          <t>C1396</t>
        </is>
      </c>
      <c r="C8897" t="n">
        <v>1</v>
      </c>
      <c r="D8897" t="inlineStr">
        <is>
          <t>Hub C</t>
        </is>
      </c>
      <c r="E8897" t="n">
        <v>70</v>
      </c>
      <c r="F8897" t="n">
        <v>31</v>
      </c>
    </row>
    <row r="8898">
      <c r="A8898" t="inlineStr">
        <is>
          <t>ORD08897</t>
        </is>
      </c>
      <c r="B8898" t="inlineStr">
        <is>
          <t>C1397</t>
        </is>
      </c>
      <c r="C8898" t="n">
        <v>2</v>
      </c>
      <c r="D8898" t="inlineStr">
        <is>
          <t>Hub C</t>
        </is>
      </c>
      <c r="E8898" t="n">
        <v>77</v>
      </c>
      <c r="F8898" t="n">
        <v>31</v>
      </c>
    </row>
    <row r="8899">
      <c r="A8899" t="inlineStr">
        <is>
          <t>ORD08898</t>
        </is>
      </c>
      <c r="B8899" t="inlineStr">
        <is>
          <t>C1398</t>
        </is>
      </c>
      <c r="C8899" t="n">
        <v>3</v>
      </c>
      <c r="D8899" t="inlineStr">
        <is>
          <t>Hub C</t>
        </is>
      </c>
      <c r="E8899" t="n">
        <v>24</v>
      </c>
      <c r="F8899" t="n">
        <v>31</v>
      </c>
    </row>
    <row r="8900">
      <c r="A8900" t="inlineStr">
        <is>
          <t>ORD08899</t>
        </is>
      </c>
      <c r="B8900" t="inlineStr">
        <is>
          <t>C1399</t>
        </is>
      </c>
      <c r="C8900" t="n">
        <v>1</v>
      </c>
      <c r="D8900" t="inlineStr">
        <is>
          <t>Hub C</t>
        </is>
      </c>
      <c r="E8900" t="n">
        <v>31</v>
      </c>
      <c r="F8900" t="n">
        <v>31</v>
      </c>
    </row>
    <row r="8901">
      <c r="A8901" t="inlineStr">
        <is>
          <t>ORD08900</t>
        </is>
      </c>
      <c r="B8901" t="inlineStr">
        <is>
          <t>C1400</t>
        </is>
      </c>
      <c r="C8901" t="n">
        <v>2</v>
      </c>
      <c r="D8901" t="inlineStr">
        <is>
          <t>Hub C</t>
        </is>
      </c>
      <c r="E8901" t="n">
        <v>38</v>
      </c>
      <c r="F8901" t="n">
        <v>31</v>
      </c>
    </row>
    <row r="8902">
      <c r="A8902" t="inlineStr">
        <is>
          <t>ORD08901</t>
        </is>
      </c>
      <c r="B8902" t="inlineStr">
        <is>
          <t>C1401</t>
        </is>
      </c>
      <c r="C8902" t="n">
        <v>3</v>
      </c>
      <c r="D8902" t="inlineStr">
        <is>
          <t>Hub C</t>
        </is>
      </c>
      <c r="E8902" t="n">
        <v>45</v>
      </c>
      <c r="F8902" t="n">
        <v>31</v>
      </c>
    </row>
    <row r="8903">
      <c r="A8903" t="inlineStr">
        <is>
          <t>ORD08902</t>
        </is>
      </c>
      <c r="B8903" t="inlineStr">
        <is>
          <t>C1402</t>
        </is>
      </c>
      <c r="C8903" t="n">
        <v>1</v>
      </c>
      <c r="D8903" t="inlineStr">
        <is>
          <t>Hub C</t>
        </is>
      </c>
      <c r="E8903" t="n">
        <v>52</v>
      </c>
      <c r="F8903" t="n">
        <v>31</v>
      </c>
    </row>
    <row r="8904">
      <c r="A8904" t="inlineStr">
        <is>
          <t>ORD08903</t>
        </is>
      </c>
      <c r="B8904" t="inlineStr">
        <is>
          <t>C1403</t>
        </is>
      </c>
      <c r="C8904" t="n">
        <v>2</v>
      </c>
      <c r="D8904" t="inlineStr">
        <is>
          <t>Hub C</t>
        </is>
      </c>
      <c r="E8904" t="n">
        <v>59</v>
      </c>
      <c r="F8904" t="n">
        <v>31</v>
      </c>
    </row>
    <row r="8905">
      <c r="A8905" t="inlineStr">
        <is>
          <t>ORD08904</t>
        </is>
      </c>
      <c r="B8905" t="inlineStr">
        <is>
          <t>C1404</t>
        </is>
      </c>
      <c r="C8905" t="n">
        <v>3</v>
      </c>
      <c r="D8905" t="inlineStr">
        <is>
          <t>Hub C</t>
        </is>
      </c>
      <c r="E8905" t="n">
        <v>66</v>
      </c>
      <c r="F8905" t="n">
        <v>31</v>
      </c>
    </row>
    <row r="8906">
      <c r="A8906" t="inlineStr">
        <is>
          <t>ORD08905</t>
        </is>
      </c>
      <c r="B8906" t="inlineStr">
        <is>
          <t>C1405</t>
        </is>
      </c>
      <c r="C8906" t="n">
        <v>1</v>
      </c>
      <c r="D8906" t="inlineStr">
        <is>
          <t>Hub C</t>
        </is>
      </c>
      <c r="E8906" t="n">
        <v>73</v>
      </c>
      <c r="F8906" t="n">
        <v>31</v>
      </c>
    </row>
    <row r="8907">
      <c r="A8907" t="inlineStr">
        <is>
          <t>ORD08906</t>
        </is>
      </c>
      <c r="B8907" t="inlineStr">
        <is>
          <t>C1406</t>
        </is>
      </c>
      <c r="C8907" t="n">
        <v>2</v>
      </c>
      <c r="D8907" t="inlineStr">
        <is>
          <t>Hub C</t>
        </is>
      </c>
      <c r="E8907" t="n">
        <v>20</v>
      </c>
      <c r="F8907" t="n">
        <v>31</v>
      </c>
    </row>
    <row r="8908">
      <c r="A8908" t="inlineStr">
        <is>
          <t>ORD08907</t>
        </is>
      </c>
      <c r="B8908" t="inlineStr">
        <is>
          <t>C1407</t>
        </is>
      </c>
      <c r="C8908" t="n">
        <v>3</v>
      </c>
      <c r="D8908" t="inlineStr">
        <is>
          <t>Hub C</t>
        </is>
      </c>
      <c r="E8908" t="n">
        <v>27</v>
      </c>
      <c r="F8908" t="n">
        <v>31</v>
      </c>
    </row>
    <row r="8909">
      <c r="A8909" t="inlineStr">
        <is>
          <t>ORD08908</t>
        </is>
      </c>
      <c r="B8909" t="inlineStr">
        <is>
          <t>C1408</t>
        </is>
      </c>
      <c r="C8909" t="n">
        <v>1</v>
      </c>
      <c r="D8909" t="inlineStr">
        <is>
          <t>Hub C</t>
        </is>
      </c>
      <c r="E8909" t="n">
        <v>34</v>
      </c>
      <c r="F8909" t="n">
        <v>31</v>
      </c>
    </row>
    <row r="8910">
      <c r="A8910" t="inlineStr">
        <is>
          <t>ORD08909</t>
        </is>
      </c>
      <c r="B8910" t="inlineStr">
        <is>
          <t>C1409</t>
        </is>
      </c>
      <c r="C8910" t="n">
        <v>2</v>
      </c>
      <c r="D8910" t="inlineStr">
        <is>
          <t>Hub C</t>
        </is>
      </c>
      <c r="E8910" t="n">
        <v>41</v>
      </c>
      <c r="F8910" t="n">
        <v>31</v>
      </c>
    </row>
    <row r="8911">
      <c r="A8911" t="inlineStr">
        <is>
          <t>ORD08910</t>
        </is>
      </c>
      <c r="B8911" t="inlineStr">
        <is>
          <t>C1410</t>
        </is>
      </c>
      <c r="C8911" t="n">
        <v>3</v>
      </c>
      <c r="D8911" t="inlineStr">
        <is>
          <t>Hub C</t>
        </is>
      </c>
      <c r="E8911" t="n">
        <v>48</v>
      </c>
      <c r="F8911" t="n">
        <v>31</v>
      </c>
    </row>
    <row r="8912">
      <c r="A8912" t="inlineStr">
        <is>
          <t>ORD08911</t>
        </is>
      </c>
      <c r="B8912" t="inlineStr">
        <is>
          <t>C1411</t>
        </is>
      </c>
      <c r="C8912" t="n">
        <v>1</v>
      </c>
      <c r="D8912" t="inlineStr">
        <is>
          <t>Hub C</t>
        </is>
      </c>
      <c r="E8912" t="n">
        <v>55</v>
      </c>
      <c r="F8912" t="n">
        <v>31</v>
      </c>
    </row>
    <row r="8913">
      <c r="A8913" t="inlineStr">
        <is>
          <t>ORD08912</t>
        </is>
      </c>
      <c r="B8913" t="inlineStr">
        <is>
          <t>C1412</t>
        </is>
      </c>
      <c r="C8913" t="n">
        <v>2</v>
      </c>
      <c r="D8913" t="inlineStr">
        <is>
          <t>Hub C</t>
        </is>
      </c>
      <c r="E8913" t="n">
        <v>62</v>
      </c>
      <c r="F8913" t="n">
        <v>31</v>
      </c>
    </row>
    <row r="8914">
      <c r="A8914" t="inlineStr">
        <is>
          <t>ORD08913</t>
        </is>
      </c>
      <c r="B8914" t="inlineStr">
        <is>
          <t>C1413</t>
        </is>
      </c>
      <c r="C8914" t="n">
        <v>3</v>
      </c>
      <c r="D8914" t="inlineStr">
        <is>
          <t>Hub C</t>
        </is>
      </c>
      <c r="E8914" t="n">
        <v>69</v>
      </c>
      <c r="F8914" t="n">
        <v>31</v>
      </c>
    </row>
    <row r="8915">
      <c r="A8915" t="inlineStr">
        <is>
          <t>ORD08914</t>
        </is>
      </c>
      <c r="B8915" t="inlineStr">
        <is>
          <t>C1414</t>
        </is>
      </c>
      <c r="C8915" t="n">
        <v>1</v>
      </c>
      <c r="D8915" t="inlineStr">
        <is>
          <t>Hub C</t>
        </is>
      </c>
      <c r="E8915" t="n">
        <v>76</v>
      </c>
      <c r="F8915" t="n">
        <v>31</v>
      </c>
    </row>
    <row r="8916">
      <c r="A8916" t="inlineStr">
        <is>
          <t>ORD08915</t>
        </is>
      </c>
      <c r="B8916" t="inlineStr">
        <is>
          <t>C1415</t>
        </is>
      </c>
      <c r="C8916" t="n">
        <v>2</v>
      </c>
      <c r="D8916" t="inlineStr">
        <is>
          <t>Hub C</t>
        </is>
      </c>
      <c r="E8916" t="n">
        <v>23</v>
      </c>
      <c r="F8916" t="n">
        <v>31</v>
      </c>
    </row>
    <row r="8917">
      <c r="A8917" t="inlineStr">
        <is>
          <t>ORD08916</t>
        </is>
      </c>
      <c r="B8917" t="inlineStr">
        <is>
          <t>C1416</t>
        </is>
      </c>
      <c r="C8917" t="n">
        <v>3</v>
      </c>
      <c r="D8917" t="inlineStr">
        <is>
          <t>Hub C</t>
        </is>
      </c>
      <c r="E8917" t="n">
        <v>30</v>
      </c>
      <c r="F8917" t="n">
        <v>31</v>
      </c>
    </row>
    <row r="8918">
      <c r="A8918" t="inlineStr">
        <is>
          <t>ORD08917</t>
        </is>
      </c>
      <c r="B8918" t="inlineStr">
        <is>
          <t>C1417</t>
        </is>
      </c>
      <c r="C8918" t="n">
        <v>1</v>
      </c>
      <c r="D8918" t="inlineStr">
        <is>
          <t>Hub C</t>
        </is>
      </c>
      <c r="E8918" t="n">
        <v>37</v>
      </c>
      <c r="F8918" t="n">
        <v>31</v>
      </c>
    </row>
    <row r="8919">
      <c r="A8919" t="inlineStr">
        <is>
          <t>ORD08918</t>
        </is>
      </c>
      <c r="B8919" t="inlineStr">
        <is>
          <t>C1418</t>
        </is>
      </c>
      <c r="C8919" t="n">
        <v>2</v>
      </c>
      <c r="D8919" t="inlineStr">
        <is>
          <t>Hub C</t>
        </is>
      </c>
      <c r="E8919" t="n">
        <v>44</v>
      </c>
      <c r="F8919" t="n">
        <v>31</v>
      </c>
    </row>
    <row r="8920">
      <c r="A8920" t="inlineStr">
        <is>
          <t>ORD08919</t>
        </is>
      </c>
      <c r="B8920" t="inlineStr">
        <is>
          <t>C1419</t>
        </is>
      </c>
      <c r="C8920" t="n">
        <v>3</v>
      </c>
      <c r="D8920" t="inlineStr">
        <is>
          <t>Hub C</t>
        </is>
      </c>
      <c r="E8920" t="n">
        <v>51</v>
      </c>
      <c r="F8920" t="n">
        <v>31</v>
      </c>
    </row>
    <row r="8921">
      <c r="A8921" t="inlineStr">
        <is>
          <t>ORD08920</t>
        </is>
      </c>
      <c r="B8921" t="inlineStr">
        <is>
          <t>C1420</t>
        </is>
      </c>
      <c r="C8921" t="n">
        <v>1</v>
      </c>
      <c r="D8921" t="inlineStr">
        <is>
          <t>Hub C</t>
        </is>
      </c>
      <c r="E8921" t="n">
        <v>58</v>
      </c>
      <c r="F8921" t="n">
        <v>31</v>
      </c>
    </row>
    <row r="8922">
      <c r="A8922" t="inlineStr">
        <is>
          <t>ORD08921</t>
        </is>
      </c>
      <c r="B8922" t="inlineStr">
        <is>
          <t>C1421</t>
        </is>
      </c>
      <c r="C8922" t="n">
        <v>2</v>
      </c>
      <c r="D8922" t="inlineStr">
        <is>
          <t>Hub C</t>
        </is>
      </c>
      <c r="E8922" t="n">
        <v>65</v>
      </c>
      <c r="F8922" t="n">
        <v>31</v>
      </c>
    </row>
    <row r="8923">
      <c r="A8923" t="inlineStr">
        <is>
          <t>ORD08922</t>
        </is>
      </c>
      <c r="B8923" t="inlineStr">
        <is>
          <t>C1422</t>
        </is>
      </c>
      <c r="C8923" t="n">
        <v>3</v>
      </c>
      <c r="D8923" t="inlineStr">
        <is>
          <t>Hub C</t>
        </is>
      </c>
      <c r="E8923" t="n">
        <v>72</v>
      </c>
      <c r="F8923" t="n">
        <v>31</v>
      </c>
    </row>
    <row r="8924">
      <c r="A8924" t="inlineStr">
        <is>
          <t>ORD08923</t>
        </is>
      </c>
      <c r="B8924" t="inlineStr">
        <is>
          <t>C1423</t>
        </is>
      </c>
      <c r="C8924" t="n">
        <v>1</v>
      </c>
      <c r="D8924" t="inlineStr">
        <is>
          <t>Hub C</t>
        </is>
      </c>
      <c r="E8924" t="n">
        <v>19</v>
      </c>
      <c r="F8924" t="n">
        <v>31</v>
      </c>
    </row>
    <row r="8925">
      <c r="A8925" t="inlineStr">
        <is>
          <t>ORD08924</t>
        </is>
      </c>
      <c r="B8925" t="inlineStr">
        <is>
          <t>C1424</t>
        </is>
      </c>
      <c r="C8925" t="n">
        <v>2</v>
      </c>
      <c r="D8925" t="inlineStr">
        <is>
          <t>Hub C</t>
        </is>
      </c>
      <c r="E8925" t="n">
        <v>26</v>
      </c>
      <c r="F8925" t="n">
        <v>31</v>
      </c>
    </row>
    <row r="8926">
      <c r="A8926" t="inlineStr">
        <is>
          <t>ORD08925</t>
        </is>
      </c>
      <c r="B8926" t="inlineStr">
        <is>
          <t>C1425</t>
        </is>
      </c>
      <c r="C8926" t="n">
        <v>3</v>
      </c>
      <c r="D8926" t="inlineStr">
        <is>
          <t>Hub C</t>
        </is>
      </c>
      <c r="E8926" t="n">
        <v>33</v>
      </c>
      <c r="F8926" t="n">
        <v>31</v>
      </c>
    </row>
    <row r="8927">
      <c r="A8927" t="inlineStr">
        <is>
          <t>ORD08926</t>
        </is>
      </c>
      <c r="B8927" t="inlineStr">
        <is>
          <t>C1426</t>
        </is>
      </c>
      <c r="C8927" t="n">
        <v>1</v>
      </c>
      <c r="D8927" t="inlineStr">
        <is>
          <t>Hub C</t>
        </is>
      </c>
      <c r="E8927" t="n">
        <v>40</v>
      </c>
      <c r="F8927" t="n">
        <v>31</v>
      </c>
    </row>
    <row r="8928">
      <c r="A8928" t="inlineStr">
        <is>
          <t>ORD08927</t>
        </is>
      </c>
      <c r="B8928" t="inlineStr">
        <is>
          <t>C1427</t>
        </is>
      </c>
      <c r="C8928" t="n">
        <v>2</v>
      </c>
      <c r="D8928" t="inlineStr">
        <is>
          <t>Hub C</t>
        </is>
      </c>
      <c r="E8928" t="n">
        <v>47</v>
      </c>
      <c r="F8928" t="n">
        <v>31</v>
      </c>
    </row>
    <row r="8929">
      <c r="A8929" t="inlineStr">
        <is>
          <t>ORD08928</t>
        </is>
      </c>
      <c r="B8929" t="inlineStr">
        <is>
          <t>C1428</t>
        </is>
      </c>
      <c r="C8929" t="n">
        <v>3</v>
      </c>
      <c r="D8929" t="inlineStr">
        <is>
          <t>Hub C</t>
        </is>
      </c>
      <c r="E8929" t="n">
        <v>54</v>
      </c>
      <c r="F8929" t="n">
        <v>31</v>
      </c>
    </row>
    <row r="8930">
      <c r="A8930" t="inlineStr">
        <is>
          <t>ORD08929</t>
        </is>
      </c>
      <c r="B8930" t="inlineStr">
        <is>
          <t>C1429</t>
        </is>
      </c>
      <c r="C8930" t="n">
        <v>1</v>
      </c>
      <c r="D8930" t="inlineStr">
        <is>
          <t>Hub C</t>
        </is>
      </c>
      <c r="E8930" t="n">
        <v>61</v>
      </c>
      <c r="F8930" t="n">
        <v>31</v>
      </c>
    </row>
    <row r="8931">
      <c r="A8931" t="inlineStr">
        <is>
          <t>ORD08930</t>
        </is>
      </c>
      <c r="B8931" t="inlineStr">
        <is>
          <t>C1430</t>
        </is>
      </c>
      <c r="C8931" t="n">
        <v>2</v>
      </c>
      <c r="D8931" t="inlineStr">
        <is>
          <t>Hub C</t>
        </is>
      </c>
      <c r="E8931" t="n">
        <v>68</v>
      </c>
      <c r="F8931" t="n">
        <v>31</v>
      </c>
    </row>
    <row r="8932">
      <c r="A8932" t="inlineStr">
        <is>
          <t>ORD08931</t>
        </is>
      </c>
      <c r="B8932" t="inlineStr">
        <is>
          <t>C1431</t>
        </is>
      </c>
      <c r="C8932" t="n">
        <v>3</v>
      </c>
      <c r="D8932" t="inlineStr">
        <is>
          <t>Hub C</t>
        </is>
      </c>
      <c r="E8932" t="n">
        <v>75</v>
      </c>
      <c r="F8932" t="n">
        <v>31</v>
      </c>
    </row>
    <row r="8933">
      <c r="A8933" t="inlineStr">
        <is>
          <t>ORD08932</t>
        </is>
      </c>
      <c r="B8933" t="inlineStr">
        <is>
          <t>C1432</t>
        </is>
      </c>
      <c r="C8933" t="n">
        <v>1</v>
      </c>
      <c r="D8933" t="inlineStr">
        <is>
          <t>Hub C</t>
        </is>
      </c>
      <c r="E8933" t="n">
        <v>22</v>
      </c>
      <c r="F8933" t="n">
        <v>31</v>
      </c>
    </row>
    <row r="8934">
      <c r="A8934" t="inlineStr">
        <is>
          <t>ORD08933</t>
        </is>
      </c>
      <c r="B8934" t="inlineStr">
        <is>
          <t>C1433</t>
        </is>
      </c>
      <c r="C8934" t="n">
        <v>2</v>
      </c>
      <c r="D8934" t="inlineStr">
        <is>
          <t>Hub C</t>
        </is>
      </c>
      <c r="E8934" t="n">
        <v>29</v>
      </c>
      <c r="F8934" t="n">
        <v>31</v>
      </c>
    </row>
    <row r="8935">
      <c r="A8935" t="inlineStr">
        <is>
          <t>ORD08934</t>
        </is>
      </c>
      <c r="B8935" t="inlineStr">
        <is>
          <t>C1434</t>
        </is>
      </c>
      <c r="C8935" t="n">
        <v>3</v>
      </c>
      <c r="D8935" t="inlineStr">
        <is>
          <t>Hub C</t>
        </is>
      </c>
      <c r="E8935" t="n">
        <v>36</v>
      </c>
      <c r="F8935" t="n">
        <v>31</v>
      </c>
    </row>
    <row r="8936">
      <c r="A8936" t="inlineStr">
        <is>
          <t>ORD08935</t>
        </is>
      </c>
      <c r="B8936" t="inlineStr">
        <is>
          <t>C1435</t>
        </is>
      </c>
      <c r="C8936" t="n">
        <v>1</v>
      </c>
      <c r="D8936" t="inlineStr">
        <is>
          <t>Hub C</t>
        </is>
      </c>
      <c r="E8936" t="n">
        <v>43</v>
      </c>
      <c r="F8936" t="n">
        <v>31</v>
      </c>
    </row>
    <row r="8937">
      <c r="A8937" t="inlineStr">
        <is>
          <t>ORD08936</t>
        </is>
      </c>
      <c r="B8937" t="inlineStr">
        <is>
          <t>C1436</t>
        </is>
      </c>
      <c r="C8937" t="n">
        <v>2</v>
      </c>
      <c r="D8937" t="inlineStr">
        <is>
          <t>Hub C</t>
        </is>
      </c>
      <c r="E8937" t="n">
        <v>50</v>
      </c>
      <c r="F8937" t="n">
        <v>31</v>
      </c>
    </row>
    <row r="8938">
      <c r="A8938" t="inlineStr">
        <is>
          <t>ORD08937</t>
        </is>
      </c>
      <c r="B8938" t="inlineStr">
        <is>
          <t>C1437</t>
        </is>
      </c>
      <c r="C8938" t="n">
        <v>3</v>
      </c>
      <c r="D8938" t="inlineStr">
        <is>
          <t>Hub C</t>
        </is>
      </c>
      <c r="E8938" t="n">
        <v>57</v>
      </c>
      <c r="F8938" t="n">
        <v>31</v>
      </c>
    </row>
    <row r="8939">
      <c r="A8939" t="inlineStr">
        <is>
          <t>ORD08938</t>
        </is>
      </c>
      <c r="B8939" t="inlineStr">
        <is>
          <t>C1438</t>
        </is>
      </c>
      <c r="C8939" t="n">
        <v>1</v>
      </c>
      <c r="D8939" t="inlineStr">
        <is>
          <t>Hub C</t>
        </is>
      </c>
      <c r="E8939" t="n">
        <v>64</v>
      </c>
      <c r="F8939" t="n">
        <v>31</v>
      </c>
    </row>
    <row r="8940">
      <c r="A8940" t="inlineStr">
        <is>
          <t>ORD08939</t>
        </is>
      </c>
      <c r="B8940" t="inlineStr">
        <is>
          <t>C1439</t>
        </is>
      </c>
      <c r="C8940" t="n">
        <v>2</v>
      </c>
      <c r="D8940" t="inlineStr">
        <is>
          <t>Hub C</t>
        </is>
      </c>
      <c r="E8940" t="n">
        <v>71</v>
      </c>
      <c r="F8940" t="n">
        <v>31</v>
      </c>
    </row>
    <row r="8941">
      <c r="A8941" t="inlineStr">
        <is>
          <t>ORD08940</t>
        </is>
      </c>
      <c r="B8941" t="inlineStr">
        <is>
          <t>C1440</t>
        </is>
      </c>
      <c r="C8941" t="n">
        <v>3</v>
      </c>
      <c r="D8941" t="inlineStr">
        <is>
          <t>Hub C</t>
        </is>
      </c>
      <c r="E8941" t="n">
        <v>18</v>
      </c>
      <c r="F8941" t="n">
        <v>31</v>
      </c>
    </row>
    <row r="8942">
      <c r="A8942" t="inlineStr">
        <is>
          <t>ORD08941</t>
        </is>
      </c>
      <c r="B8942" t="inlineStr">
        <is>
          <t>C1441</t>
        </is>
      </c>
      <c r="C8942" t="n">
        <v>1</v>
      </c>
      <c r="D8942" t="inlineStr">
        <is>
          <t>Hub C</t>
        </is>
      </c>
      <c r="E8942" t="n">
        <v>25</v>
      </c>
      <c r="F8942" t="n">
        <v>31</v>
      </c>
    </row>
    <row r="8943">
      <c r="A8943" t="inlineStr">
        <is>
          <t>ORD08942</t>
        </is>
      </c>
      <c r="B8943" t="inlineStr">
        <is>
          <t>C1442</t>
        </is>
      </c>
      <c r="C8943" t="n">
        <v>2</v>
      </c>
      <c r="D8943" t="inlineStr">
        <is>
          <t>Hub C</t>
        </is>
      </c>
      <c r="E8943" t="n">
        <v>32</v>
      </c>
      <c r="F8943" t="n">
        <v>31</v>
      </c>
    </row>
    <row r="8944">
      <c r="A8944" t="inlineStr">
        <is>
          <t>ORD08943</t>
        </is>
      </c>
      <c r="B8944" t="inlineStr">
        <is>
          <t>C1443</t>
        </is>
      </c>
      <c r="C8944" t="n">
        <v>3</v>
      </c>
      <c r="D8944" t="inlineStr">
        <is>
          <t>Hub C</t>
        </is>
      </c>
      <c r="E8944" t="n">
        <v>39</v>
      </c>
      <c r="F8944" t="n">
        <v>31</v>
      </c>
    </row>
    <row r="8945">
      <c r="A8945" t="inlineStr">
        <is>
          <t>ORD08944</t>
        </is>
      </c>
      <c r="B8945" t="inlineStr">
        <is>
          <t>C1444</t>
        </is>
      </c>
      <c r="C8945" t="n">
        <v>1</v>
      </c>
      <c r="D8945" t="inlineStr">
        <is>
          <t>Hub C</t>
        </is>
      </c>
      <c r="E8945" t="n">
        <v>46</v>
      </c>
      <c r="F8945" t="n">
        <v>31</v>
      </c>
    </row>
    <row r="8946">
      <c r="A8946" t="inlineStr">
        <is>
          <t>ORD08945</t>
        </is>
      </c>
      <c r="B8946" t="inlineStr">
        <is>
          <t>C1445</t>
        </is>
      </c>
      <c r="C8946" t="n">
        <v>2</v>
      </c>
      <c r="D8946" t="inlineStr">
        <is>
          <t>Hub C</t>
        </is>
      </c>
      <c r="E8946" t="n">
        <v>53</v>
      </c>
      <c r="F8946" t="n">
        <v>31</v>
      </c>
    </row>
    <row r="8947">
      <c r="A8947" t="inlineStr">
        <is>
          <t>ORD08946</t>
        </is>
      </c>
      <c r="B8947" t="inlineStr">
        <is>
          <t>C1446</t>
        </is>
      </c>
      <c r="C8947" t="n">
        <v>3</v>
      </c>
      <c r="D8947" t="inlineStr">
        <is>
          <t>Hub C</t>
        </is>
      </c>
      <c r="E8947" t="n">
        <v>60</v>
      </c>
      <c r="F8947" t="n">
        <v>31</v>
      </c>
    </row>
    <row r="8948">
      <c r="A8948" t="inlineStr">
        <is>
          <t>ORD08947</t>
        </is>
      </c>
      <c r="B8948" t="inlineStr">
        <is>
          <t>C1447</t>
        </is>
      </c>
      <c r="C8948" t="n">
        <v>1</v>
      </c>
      <c r="D8948" t="inlineStr">
        <is>
          <t>Hub C</t>
        </is>
      </c>
      <c r="E8948" t="n">
        <v>67</v>
      </c>
      <c r="F8948" t="n">
        <v>31</v>
      </c>
    </row>
    <row r="8949">
      <c r="A8949" t="inlineStr">
        <is>
          <t>ORD08948</t>
        </is>
      </c>
      <c r="B8949" t="inlineStr">
        <is>
          <t>C1448</t>
        </is>
      </c>
      <c r="C8949" t="n">
        <v>2</v>
      </c>
      <c r="D8949" t="inlineStr">
        <is>
          <t>Hub C</t>
        </is>
      </c>
      <c r="E8949" t="n">
        <v>74</v>
      </c>
      <c r="F8949" t="n">
        <v>31</v>
      </c>
    </row>
    <row r="8950">
      <c r="A8950" t="inlineStr">
        <is>
          <t>ORD08949</t>
        </is>
      </c>
      <c r="B8950" t="inlineStr">
        <is>
          <t>C1449</t>
        </is>
      </c>
      <c r="C8950" t="n">
        <v>3</v>
      </c>
      <c r="D8950" t="inlineStr">
        <is>
          <t>Hub C</t>
        </is>
      </c>
      <c r="E8950" t="n">
        <v>21</v>
      </c>
      <c r="F8950" t="n">
        <v>31</v>
      </c>
    </row>
    <row r="8951">
      <c r="A8951" t="inlineStr">
        <is>
          <t>ORD08950</t>
        </is>
      </c>
      <c r="B8951" t="inlineStr">
        <is>
          <t>C1450</t>
        </is>
      </c>
      <c r="C8951" t="n">
        <v>1</v>
      </c>
      <c r="D8951" t="inlineStr">
        <is>
          <t>Hub C</t>
        </is>
      </c>
      <c r="E8951" t="n">
        <v>28</v>
      </c>
      <c r="F8951" t="n">
        <v>31</v>
      </c>
    </row>
    <row r="8952">
      <c r="A8952" t="inlineStr">
        <is>
          <t>ORD08951</t>
        </is>
      </c>
      <c r="B8952" t="inlineStr">
        <is>
          <t>C1451</t>
        </is>
      </c>
      <c r="C8952" t="n">
        <v>2</v>
      </c>
      <c r="D8952" t="inlineStr">
        <is>
          <t>Hub C</t>
        </is>
      </c>
      <c r="E8952" t="n">
        <v>35</v>
      </c>
      <c r="F8952" t="n">
        <v>31</v>
      </c>
    </row>
    <row r="8953">
      <c r="A8953" t="inlineStr">
        <is>
          <t>ORD08952</t>
        </is>
      </c>
      <c r="B8953" t="inlineStr">
        <is>
          <t>C1452</t>
        </is>
      </c>
      <c r="C8953" t="n">
        <v>3</v>
      </c>
      <c r="D8953" t="inlineStr">
        <is>
          <t>Hub C</t>
        </is>
      </c>
      <c r="E8953" t="n">
        <v>42</v>
      </c>
      <c r="F8953" t="n">
        <v>31</v>
      </c>
    </row>
    <row r="8954">
      <c r="A8954" t="inlineStr">
        <is>
          <t>ORD08953</t>
        </is>
      </c>
      <c r="B8954" t="inlineStr">
        <is>
          <t>C1453</t>
        </is>
      </c>
      <c r="C8954" t="n">
        <v>1</v>
      </c>
      <c r="D8954" t="inlineStr">
        <is>
          <t>Hub C</t>
        </is>
      </c>
      <c r="E8954" t="n">
        <v>49</v>
      </c>
      <c r="F8954" t="n">
        <v>31</v>
      </c>
    </row>
    <row r="8955">
      <c r="A8955" t="inlineStr">
        <is>
          <t>ORD08954</t>
        </is>
      </c>
      <c r="B8955" t="inlineStr">
        <is>
          <t>C1454</t>
        </is>
      </c>
      <c r="C8955" t="n">
        <v>2</v>
      </c>
      <c r="D8955" t="inlineStr">
        <is>
          <t>Hub C</t>
        </is>
      </c>
      <c r="E8955" t="n">
        <v>56</v>
      </c>
      <c r="F8955" t="n">
        <v>31</v>
      </c>
    </row>
    <row r="8956">
      <c r="A8956" t="inlineStr">
        <is>
          <t>ORD08955</t>
        </is>
      </c>
      <c r="B8956" t="inlineStr">
        <is>
          <t>C1455</t>
        </is>
      </c>
      <c r="C8956" t="n">
        <v>3</v>
      </c>
      <c r="D8956" t="inlineStr">
        <is>
          <t>Hub C</t>
        </is>
      </c>
      <c r="E8956" t="n">
        <v>63</v>
      </c>
      <c r="F8956" t="n">
        <v>31</v>
      </c>
    </row>
    <row r="8957">
      <c r="A8957" t="inlineStr">
        <is>
          <t>ORD08956</t>
        </is>
      </c>
      <c r="B8957" t="inlineStr">
        <is>
          <t>C1456</t>
        </is>
      </c>
      <c r="C8957" t="n">
        <v>1</v>
      </c>
      <c r="D8957" t="inlineStr">
        <is>
          <t>Hub C</t>
        </is>
      </c>
      <c r="E8957" t="n">
        <v>70</v>
      </c>
      <c r="F8957" t="n">
        <v>31</v>
      </c>
    </row>
    <row r="8958">
      <c r="A8958" t="inlineStr">
        <is>
          <t>ORD08957</t>
        </is>
      </c>
      <c r="B8958" t="inlineStr">
        <is>
          <t>C1457</t>
        </is>
      </c>
      <c r="C8958" t="n">
        <v>2</v>
      </c>
      <c r="D8958" t="inlineStr">
        <is>
          <t>Hub C</t>
        </is>
      </c>
      <c r="E8958" t="n">
        <v>77</v>
      </c>
      <c r="F8958" t="n">
        <v>31</v>
      </c>
    </row>
    <row r="8959">
      <c r="A8959" t="inlineStr">
        <is>
          <t>ORD08958</t>
        </is>
      </c>
      <c r="B8959" t="inlineStr">
        <is>
          <t>C1458</t>
        </is>
      </c>
      <c r="C8959" t="n">
        <v>3</v>
      </c>
      <c r="D8959" t="inlineStr">
        <is>
          <t>Hub C</t>
        </is>
      </c>
      <c r="E8959" t="n">
        <v>24</v>
      </c>
      <c r="F8959" t="n">
        <v>31</v>
      </c>
    </row>
    <row r="8960">
      <c r="A8960" t="inlineStr">
        <is>
          <t>ORD08959</t>
        </is>
      </c>
      <c r="B8960" t="inlineStr">
        <is>
          <t>C1459</t>
        </is>
      </c>
      <c r="C8960" t="n">
        <v>1</v>
      </c>
      <c r="D8960" t="inlineStr">
        <is>
          <t>Hub C</t>
        </is>
      </c>
      <c r="E8960" t="n">
        <v>31</v>
      </c>
      <c r="F8960" t="n">
        <v>31</v>
      </c>
    </row>
    <row r="8961">
      <c r="A8961" t="inlineStr">
        <is>
          <t>ORD08960</t>
        </is>
      </c>
      <c r="B8961" t="inlineStr">
        <is>
          <t>C1460</t>
        </is>
      </c>
      <c r="C8961" t="n">
        <v>2</v>
      </c>
      <c r="D8961" t="inlineStr">
        <is>
          <t>Hub C</t>
        </is>
      </c>
      <c r="E8961" t="n">
        <v>38</v>
      </c>
      <c r="F8961" t="n">
        <v>31</v>
      </c>
    </row>
    <row r="8962">
      <c r="A8962" t="inlineStr">
        <is>
          <t>ORD08961</t>
        </is>
      </c>
      <c r="B8962" t="inlineStr">
        <is>
          <t>C1461</t>
        </is>
      </c>
      <c r="C8962" t="n">
        <v>3</v>
      </c>
      <c r="D8962" t="inlineStr">
        <is>
          <t>Hub C</t>
        </is>
      </c>
      <c r="E8962" t="n">
        <v>45</v>
      </c>
      <c r="F8962" t="n">
        <v>31</v>
      </c>
    </row>
    <row r="8963">
      <c r="A8963" t="inlineStr">
        <is>
          <t>ORD08962</t>
        </is>
      </c>
      <c r="B8963" t="inlineStr">
        <is>
          <t>C1462</t>
        </is>
      </c>
      <c r="C8963" t="n">
        <v>1</v>
      </c>
      <c r="D8963" t="inlineStr">
        <is>
          <t>Hub C</t>
        </is>
      </c>
      <c r="E8963" t="n">
        <v>52</v>
      </c>
      <c r="F8963" t="n">
        <v>31</v>
      </c>
    </row>
    <row r="8964">
      <c r="A8964" t="inlineStr">
        <is>
          <t>ORD08963</t>
        </is>
      </c>
      <c r="B8964" t="inlineStr">
        <is>
          <t>C1463</t>
        </is>
      </c>
      <c r="C8964" t="n">
        <v>2</v>
      </c>
      <c r="D8964" t="inlineStr">
        <is>
          <t>Hub C</t>
        </is>
      </c>
      <c r="E8964" t="n">
        <v>59</v>
      </c>
      <c r="F8964" t="n">
        <v>31</v>
      </c>
    </row>
    <row r="8965">
      <c r="A8965" t="inlineStr">
        <is>
          <t>ORD08964</t>
        </is>
      </c>
      <c r="B8965" t="inlineStr">
        <is>
          <t>C1464</t>
        </is>
      </c>
      <c r="C8965" t="n">
        <v>3</v>
      </c>
      <c r="D8965" t="inlineStr">
        <is>
          <t>Hub C</t>
        </is>
      </c>
      <c r="E8965" t="n">
        <v>66</v>
      </c>
      <c r="F8965" t="n">
        <v>31</v>
      </c>
    </row>
    <row r="8966">
      <c r="A8966" t="inlineStr">
        <is>
          <t>ORD08965</t>
        </is>
      </c>
      <c r="B8966" t="inlineStr">
        <is>
          <t>C1465</t>
        </is>
      </c>
      <c r="C8966" t="n">
        <v>1</v>
      </c>
      <c r="D8966" t="inlineStr">
        <is>
          <t>Hub C</t>
        </is>
      </c>
      <c r="E8966" t="n">
        <v>73</v>
      </c>
      <c r="F8966" t="n">
        <v>31</v>
      </c>
    </row>
    <row r="8967">
      <c r="A8967" t="inlineStr">
        <is>
          <t>ORD08966</t>
        </is>
      </c>
      <c r="B8967" t="inlineStr">
        <is>
          <t>C1466</t>
        </is>
      </c>
      <c r="C8967" t="n">
        <v>2</v>
      </c>
      <c r="D8967" t="inlineStr">
        <is>
          <t>Hub C</t>
        </is>
      </c>
      <c r="E8967" t="n">
        <v>20</v>
      </c>
      <c r="F8967" t="n">
        <v>31</v>
      </c>
    </row>
    <row r="8968">
      <c r="A8968" t="inlineStr">
        <is>
          <t>ORD08967</t>
        </is>
      </c>
      <c r="B8968" t="inlineStr">
        <is>
          <t>C1467</t>
        </is>
      </c>
      <c r="C8968" t="n">
        <v>3</v>
      </c>
      <c r="D8968" t="inlineStr">
        <is>
          <t>Hub C</t>
        </is>
      </c>
      <c r="E8968" t="n">
        <v>27</v>
      </c>
      <c r="F8968" t="n">
        <v>31</v>
      </c>
    </row>
    <row r="8969">
      <c r="A8969" t="inlineStr">
        <is>
          <t>ORD08968</t>
        </is>
      </c>
      <c r="B8969" t="inlineStr">
        <is>
          <t>C1468</t>
        </is>
      </c>
      <c r="C8969" t="n">
        <v>1</v>
      </c>
      <c r="D8969" t="inlineStr">
        <is>
          <t>Hub C</t>
        </is>
      </c>
      <c r="E8969" t="n">
        <v>34</v>
      </c>
      <c r="F8969" t="n">
        <v>31</v>
      </c>
    </row>
    <row r="8970">
      <c r="A8970" t="inlineStr">
        <is>
          <t>ORD08969</t>
        </is>
      </c>
      <c r="B8970" t="inlineStr">
        <is>
          <t>C1469</t>
        </is>
      </c>
      <c r="C8970" t="n">
        <v>2</v>
      </c>
      <c r="D8970" t="inlineStr">
        <is>
          <t>Hub C</t>
        </is>
      </c>
      <c r="E8970" t="n">
        <v>41</v>
      </c>
      <c r="F8970" t="n">
        <v>31</v>
      </c>
    </row>
    <row r="8971">
      <c r="A8971" t="inlineStr">
        <is>
          <t>ORD08970</t>
        </is>
      </c>
      <c r="B8971" t="inlineStr">
        <is>
          <t>C1470</t>
        </is>
      </c>
      <c r="C8971" t="n">
        <v>3</v>
      </c>
      <c r="D8971" t="inlineStr">
        <is>
          <t>Hub C</t>
        </is>
      </c>
      <c r="E8971" t="n">
        <v>48</v>
      </c>
      <c r="F8971" t="n">
        <v>31</v>
      </c>
    </row>
    <row r="8972">
      <c r="A8972" t="inlineStr">
        <is>
          <t>ORD08971</t>
        </is>
      </c>
      <c r="B8972" t="inlineStr">
        <is>
          <t>C1471</t>
        </is>
      </c>
      <c r="C8972" t="n">
        <v>1</v>
      </c>
      <c r="D8972" t="inlineStr">
        <is>
          <t>Hub C</t>
        </is>
      </c>
      <c r="E8972" t="n">
        <v>55</v>
      </c>
      <c r="F8972" t="n">
        <v>31</v>
      </c>
    </row>
    <row r="8973">
      <c r="A8973" t="inlineStr">
        <is>
          <t>ORD08972</t>
        </is>
      </c>
      <c r="B8973" t="inlineStr">
        <is>
          <t>C1472</t>
        </is>
      </c>
      <c r="C8973" t="n">
        <v>2</v>
      </c>
      <c r="D8973" t="inlineStr">
        <is>
          <t>Hub C</t>
        </is>
      </c>
      <c r="E8973" t="n">
        <v>62</v>
      </c>
      <c r="F8973" t="n">
        <v>31</v>
      </c>
    </row>
    <row r="8974">
      <c r="A8974" t="inlineStr">
        <is>
          <t>ORD08973</t>
        </is>
      </c>
      <c r="B8974" t="inlineStr">
        <is>
          <t>C1473</t>
        </is>
      </c>
      <c r="C8974" t="n">
        <v>3</v>
      </c>
      <c r="D8974" t="inlineStr">
        <is>
          <t>Hub C</t>
        </is>
      </c>
      <c r="E8974" t="n">
        <v>69</v>
      </c>
      <c r="F8974" t="n">
        <v>31</v>
      </c>
    </row>
    <row r="8975">
      <c r="A8975" t="inlineStr">
        <is>
          <t>ORD08974</t>
        </is>
      </c>
      <c r="B8975" t="inlineStr">
        <is>
          <t>C1474</t>
        </is>
      </c>
      <c r="C8975" t="n">
        <v>1</v>
      </c>
      <c r="D8975" t="inlineStr">
        <is>
          <t>Hub C</t>
        </is>
      </c>
      <c r="E8975" t="n">
        <v>76</v>
      </c>
      <c r="F8975" t="n">
        <v>31</v>
      </c>
    </row>
    <row r="8976">
      <c r="A8976" t="inlineStr">
        <is>
          <t>ORD08975</t>
        </is>
      </c>
      <c r="B8976" t="inlineStr">
        <is>
          <t>C1475</t>
        </is>
      </c>
      <c r="C8976" t="n">
        <v>2</v>
      </c>
      <c r="D8976" t="inlineStr">
        <is>
          <t>Hub C</t>
        </is>
      </c>
      <c r="E8976" t="n">
        <v>23</v>
      </c>
      <c r="F8976" t="n">
        <v>31</v>
      </c>
    </row>
    <row r="8977">
      <c r="A8977" t="inlineStr">
        <is>
          <t>ORD08976</t>
        </is>
      </c>
      <c r="B8977" t="inlineStr">
        <is>
          <t>C1476</t>
        </is>
      </c>
      <c r="C8977" t="n">
        <v>3</v>
      </c>
      <c r="D8977" t="inlineStr">
        <is>
          <t>Hub C</t>
        </is>
      </c>
      <c r="E8977" t="n">
        <v>30</v>
      </c>
      <c r="F8977" t="n">
        <v>31</v>
      </c>
    </row>
    <row r="8978">
      <c r="A8978" t="inlineStr">
        <is>
          <t>ORD08977</t>
        </is>
      </c>
      <c r="B8978" t="inlineStr">
        <is>
          <t>C1477</t>
        </is>
      </c>
      <c r="C8978" t="n">
        <v>1</v>
      </c>
      <c r="D8978" t="inlineStr">
        <is>
          <t>Hub C</t>
        </is>
      </c>
      <c r="E8978" t="n">
        <v>37</v>
      </c>
      <c r="F8978" t="n">
        <v>31</v>
      </c>
    </row>
    <row r="8979">
      <c r="A8979" t="inlineStr">
        <is>
          <t>ORD08978</t>
        </is>
      </c>
      <c r="B8979" t="inlineStr">
        <is>
          <t>C1478</t>
        </is>
      </c>
      <c r="C8979" t="n">
        <v>2</v>
      </c>
      <c r="D8979" t="inlineStr">
        <is>
          <t>Hub C</t>
        </is>
      </c>
      <c r="E8979" t="n">
        <v>44</v>
      </c>
      <c r="F8979" t="n">
        <v>31</v>
      </c>
    </row>
    <row r="8980">
      <c r="A8980" t="inlineStr">
        <is>
          <t>ORD08979</t>
        </is>
      </c>
      <c r="B8980" t="inlineStr">
        <is>
          <t>C1479</t>
        </is>
      </c>
      <c r="C8980" t="n">
        <v>3</v>
      </c>
      <c r="D8980" t="inlineStr">
        <is>
          <t>Hub C</t>
        </is>
      </c>
      <c r="E8980" t="n">
        <v>51</v>
      </c>
      <c r="F8980" t="n">
        <v>31</v>
      </c>
    </row>
    <row r="8981">
      <c r="A8981" t="inlineStr">
        <is>
          <t>ORD08980</t>
        </is>
      </c>
      <c r="B8981" t="inlineStr">
        <is>
          <t>C1480</t>
        </is>
      </c>
      <c r="C8981" t="n">
        <v>1</v>
      </c>
      <c r="D8981" t="inlineStr">
        <is>
          <t>Hub C</t>
        </is>
      </c>
      <c r="E8981" t="n">
        <v>58</v>
      </c>
      <c r="F8981" t="n">
        <v>31</v>
      </c>
    </row>
    <row r="8982">
      <c r="A8982" t="inlineStr">
        <is>
          <t>ORD08981</t>
        </is>
      </c>
      <c r="B8982" t="inlineStr">
        <is>
          <t>C1481</t>
        </is>
      </c>
      <c r="C8982" t="n">
        <v>2</v>
      </c>
      <c r="D8982" t="inlineStr">
        <is>
          <t>Hub C</t>
        </is>
      </c>
      <c r="E8982" t="n">
        <v>65</v>
      </c>
      <c r="F8982" t="n">
        <v>31</v>
      </c>
    </row>
    <row r="8983">
      <c r="A8983" t="inlineStr">
        <is>
          <t>ORD08982</t>
        </is>
      </c>
      <c r="B8983" t="inlineStr">
        <is>
          <t>C1482</t>
        </is>
      </c>
      <c r="C8983" t="n">
        <v>3</v>
      </c>
      <c r="D8983" t="inlineStr">
        <is>
          <t>Hub C</t>
        </is>
      </c>
      <c r="E8983" t="n">
        <v>72</v>
      </c>
      <c r="F8983" t="n">
        <v>31</v>
      </c>
    </row>
    <row r="8984">
      <c r="A8984" t="inlineStr">
        <is>
          <t>ORD08983</t>
        </is>
      </c>
      <c r="B8984" t="inlineStr">
        <is>
          <t>C1483</t>
        </is>
      </c>
      <c r="C8984" t="n">
        <v>1</v>
      </c>
      <c r="D8984" t="inlineStr">
        <is>
          <t>Hub C</t>
        </is>
      </c>
      <c r="E8984" t="n">
        <v>19</v>
      </c>
      <c r="F8984" t="n">
        <v>31</v>
      </c>
    </row>
    <row r="8985">
      <c r="A8985" t="inlineStr">
        <is>
          <t>ORD08984</t>
        </is>
      </c>
      <c r="B8985" t="inlineStr">
        <is>
          <t>C1484</t>
        </is>
      </c>
      <c r="C8985" t="n">
        <v>2</v>
      </c>
      <c r="D8985" t="inlineStr">
        <is>
          <t>Hub C</t>
        </is>
      </c>
      <c r="E8985" t="n">
        <v>26</v>
      </c>
      <c r="F8985" t="n">
        <v>31</v>
      </c>
    </row>
    <row r="8986">
      <c r="A8986" t="inlineStr">
        <is>
          <t>ORD08985</t>
        </is>
      </c>
      <c r="B8986" t="inlineStr">
        <is>
          <t>C1485</t>
        </is>
      </c>
      <c r="C8986" t="n">
        <v>3</v>
      </c>
      <c r="D8986" t="inlineStr">
        <is>
          <t>Hub C</t>
        </is>
      </c>
      <c r="E8986" t="n">
        <v>33</v>
      </c>
      <c r="F8986" t="n">
        <v>31</v>
      </c>
    </row>
    <row r="8987">
      <c r="A8987" t="inlineStr">
        <is>
          <t>ORD08986</t>
        </is>
      </c>
      <c r="B8987" t="inlineStr">
        <is>
          <t>C1486</t>
        </is>
      </c>
      <c r="C8987" t="n">
        <v>1</v>
      </c>
      <c r="D8987" t="inlineStr">
        <is>
          <t>Hub C</t>
        </is>
      </c>
      <c r="E8987" t="n">
        <v>40</v>
      </c>
      <c r="F8987" t="n">
        <v>31</v>
      </c>
    </row>
    <row r="8988">
      <c r="A8988" t="inlineStr">
        <is>
          <t>ORD08987</t>
        </is>
      </c>
      <c r="B8988" t="inlineStr">
        <is>
          <t>C1487</t>
        </is>
      </c>
      <c r="C8988" t="n">
        <v>2</v>
      </c>
      <c r="D8988" t="inlineStr">
        <is>
          <t>Hub C</t>
        </is>
      </c>
      <c r="E8988" t="n">
        <v>47</v>
      </c>
      <c r="F8988" t="n">
        <v>31</v>
      </c>
    </row>
    <row r="8989">
      <c r="A8989" t="inlineStr">
        <is>
          <t>ORD08988</t>
        </is>
      </c>
      <c r="B8989" t="inlineStr">
        <is>
          <t>C1488</t>
        </is>
      </c>
      <c r="C8989" t="n">
        <v>3</v>
      </c>
      <c r="D8989" t="inlineStr">
        <is>
          <t>Hub C</t>
        </is>
      </c>
      <c r="E8989" t="n">
        <v>54</v>
      </c>
      <c r="F8989" t="n">
        <v>31</v>
      </c>
    </row>
    <row r="8990">
      <c r="A8990" t="inlineStr">
        <is>
          <t>ORD08989</t>
        </is>
      </c>
      <c r="B8990" t="inlineStr">
        <is>
          <t>C1489</t>
        </is>
      </c>
      <c r="C8990" t="n">
        <v>1</v>
      </c>
      <c r="D8990" t="inlineStr">
        <is>
          <t>Hub C</t>
        </is>
      </c>
      <c r="E8990" t="n">
        <v>61</v>
      </c>
      <c r="F8990" t="n">
        <v>31</v>
      </c>
    </row>
    <row r="8991">
      <c r="A8991" t="inlineStr">
        <is>
          <t>ORD08990</t>
        </is>
      </c>
      <c r="B8991" t="inlineStr">
        <is>
          <t>C1490</t>
        </is>
      </c>
      <c r="C8991" t="n">
        <v>2</v>
      </c>
      <c r="D8991" t="inlineStr">
        <is>
          <t>Hub C</t>
        </is>
      </c>
      <c r="E8991" t="n">
        <v>68</v>
      </c>
      <c r="F8991" t="n">
        <v>31</v>
      </c>
    </row>
    <row r="8992">
      <c r="A8992" t="inlineStr">
        <is>
          <t>ORD08991</t>
        </is>
      </c>
      <c r="B8992" t="inlineStr">
        <is>
          <t>C1491</t>
        </is>
      </c>
      <c r="C8992" t="n">
        <v>3</v>
      </c>
      <c r="D8992" t="inlineStr">
        <is>
          <t>Hub C</t>
        </is>
      </c>
      <c r="E8992" t="n">
        <v>75</v>
      </c>
      <c r="F8992" t="n">
        <v>31</v>
      </c>
    </row>
    <row r="8993">
      <c r="A8993" t="inlineStr">
        <is>
          <t>ORD08992</t>
        </is>
      </c>
      <c r="B8993" t="inlineStr">
        <is>
          <t>C1492</t>
        </is>
      </c>
      <c r="C8993" t="n">
        <v>1</v>
      </c>
      <c r="D8993" t="inlineStr">
        <is>
          <t>Hub C</t>
        </is>
      </c>
      <c r="E8993" t="n">
        <v>22</v>
      </c>
      <c r="F8993" t="n">
        <v>31</v>
      </c>
    </row>
    <row r="8994">
      <c r="A8994" t="inlineStr">
        <is>
          <t>ORD08993</t>
        </is>
      </c>
      <c r="B8994" t="inlineStr">
        <is>
          <t>C1493</t>
        </is>
      </c>
      <c r="C8994" t="n">
        <v>2</v>
      </c>
      <c r="D8994" t="inlineStr">
        <is>
          <t>Hub C</t>
        </is>
      </c>
      <c r="E8994" t="n">
        <v>29</v>
      </c>
      <c r="F8994" t="n">
        <v>31</v>
      </c>
    </row>
    <row r="8995">
      <c r="A8995" t="inlineStr">
        <is>
          <t>ORD08994</t>
        </is>
      </c>
      <c r="B8995" t="inlineStr">
        <is>
          <t>C1494</t>
        </is>
      </c>
      <c r="C8995" t="n">
        <v>3</v>
      </c>
      <c r="D8995" t="inlineStr">
        <is>
          <t>Hub C</t>
        </is>
      </c>
      <c r="E8995" t="n">
        <v>36</v>
      </c>
      <c r="F8995" t="n">
        <v>31</v>
      </c>
    </row>
    <row r="8996">
      <c r="A8996" t="inlineStr">
        <is>
          <t>ORD08995</t>
        </is>
      </c>
      <c r="B8996" t="inlineStr">
        <is>
          <t>C1495</t>
        </is>
      </c>
      <c r="C8996" t="n">
        <v>1</v>
      </c>
      <c r="D8996" t="inlineStr">
        <is>
          <t>Hub C</t>
        </is>
      </c>
      <c r="E8996" t="n">
        <v>43</v>
      </c>
      <c r="F8996" t="n">
        <v>31</v>
      </c>
    </row>
    <row r="8997">
      <c r="A8997" t="inlineStr">
        <is>
          <t>ORD08996</t>
        </is>
      </c>
      <c r="B8997" t="inlineStr">
        <is>
          <t>C1496</t>
        </is>
      </c>
      <c r="C8997" t="n">
        <v>2</v>
      </c>
      <c r="D8997" t="inlineStr">
        <is>
          <t>Hub C</t>
        </is>
      </c>
      <c r="E8997" t="n">
        <v>50</v>
      </c>
      <c r="F8997" t="n">
        <v>31</v>
      </c>
    </row>
    <row r="8998">
      <c r="A8998" t="inlineStr">
        <is>
          <t>ORD08997</t>
        </is>
      </c>
      <c r="B8998" t="inlineStr">
        <is>
          <t>C1497</t>
        </is>
      </c>
      <c r="C8998" t="n">
        <v>3</v>
      </c>
      <c r="D8998" t="inlineStr">
        <is>
          <t>Hub C</t>
        </is>
      </c>
      <c r="E8998" t="n">
        <v>57</v>
      </c>
      <c r="F8998" t="n">
        <v>31</v>
      </c>
    </row>
    <row r="8999">
      <c r="A8999" t="inlineStr">
        <is>
          <t>ORD08998</t>
        </is>
      </c>
      <c r="B8999" t="inlineStr">
        <is>
          <t>C1498</t>
        </is>
      </c>
      <c r="C8999" t="n">
        <v>1</v>
      </c>
      <c r="D8999" t="inlineStr">
        <is>
          <t>Hub C</t>
        </is>
      </c>
      <c r="E8999" t="n">
        <v>64</v>
      </c>
      <c r="F8999" t="n">
        <v>31</v>
      </c>
    </row>
    <row r="9000">
      <c r="A9000" t="inlineStr">
        <is>
          <t>ORD08999</t>
        </is>
      </c>
      <c r="B9000" t="inlineStr">
        <is>
          <t>C1499</t>
        </is>
      </c>
      <c r="C9000" t="n">
        <v>2</v>
      </c>
      <c r="D9000" t="inlineStr">
        <is>
          <t>Hub C</t>
        </is>
      </c>
      <c r="E9000" t="n">
        <v>71</v>
      </c>
      <c r="F9000" t="n">
        <v>31</v>
      </c>
    </row>
    <row r="9001">
      <c r="A9001" t="inlineStr">
        <is>
          <t>ORD09000</t>
        </is>
      </c>
      <c r="B9001" t="inlineStr">
        <is>
          <t>C1500</t>
        </is>
      </c>
      <c r="C9001" t="n">
        <v>3</v>
      </c>
      <c r="D9001" t="inlineStr">
        <is>
          <t>Hub C</t>
        </is>
      </c>
      <c r="E9001" t="n">
        <v>18</v>
      </c>
      <c r="F9001" t="n">
        <v>31</v>
      </c>
    </row>
    <row r="9002">
      <c r="A9002" t="inlineStr">
        <is>
          <t>ORD09001</t>
        </is>
      </c>
      <c r="B9002" t="inlineStr">
        <is>
          <t>C1501</t>
        </is>
      </c>
      <c r="C9002" t="n">
        <v>1</v>
      </c>
      <c r="D9002" t="inlineStr">
        <is>
          <t>Hub C</t>
        </is>
      </c>
      <c r="E9002" t="n">
        <v>25</v>
      </c>
      <c r="F9002" t="n">
        <v>31</v>
      </c>
    </row>
    <row r="9003">
      <c r="A9003" t="inlineStr">
        <is>
          <t>ORD09002</t>
        </is>
      </c>
      <c r="B9003" t="inlineStr">
        <is>
          <t>C1502</t>
        </is>
      </c>
      <c r="C9003" t="n">
        <v>2</v>
      </c>
      <c r="D9003" t="inlineStr">
        <is>
          <t>Hub C</t>
        </is>
      </c>
      <c r="E9003" t="n">
        <v>32</v>
      </c>
      <c r="F9003" t="n">
        <v>31</v>
      </c>
    </row>
    <row r="9004">
      <c r="A9004" t="inlineStr">
        <is>
          <t>ORD09003</t>
        </is>
      </c>
      <c r="B9004" t="inlineStr">
        <is>
          <t>C1503</t>
        </is>
      </c>
      <c r="C9004" t="n">
        <v>3</v>
      </c>
      <c r="D9004" t="inlineStr">
        <is>
          <t>Hub C</t>
        </is>
      </c>
      <c r="E9004" t="n">
        <v>39</v>
      </c>
      <c r="F9004" t="n">
        <v>31</v>
      </c>
    </row>
    <row r="9005">
      <c r="A9005" t="inlineStr">
        <is>
          <t>ORD09004</t>
        </is>
      </c>
      <c r="B9005" t="inlineStr">
        <is>
          <t>C1504</t>
        </is>
      </c>
      <c r="C9005" t="n">
        <v>1</v>
      </c>
      <c r="D9005" t="inlineStr">
        <is>
          <t>Hub C</t>
        </is>
      </c>
      <c r="E9005" t="n">
        <v>46</v>
      </c>
      <c r="F9005" t="n">
        <v>31</v>
      </c>
    </row>
    <row r="9006">
      <c r="A9006" t="inlineStr">
        <is>
          <t>ORD09005</t>
        </is>
      </c>
      <c r="B9006" t="inlineStr">
        <is>
          <t>C1505</t>
        </is>
      </c>
      <c r="C9006" t="n">
        <v>2</v>
      </c>
      <c r="D9006" t="inlineStr">
        <is>
          <t>Hub C</t>
        </is>
      </c>
      <c r="E9006" t="n">
        <v>53</v>
      </c>
      <c r="F9006" t="n">
        <v>31</v>
      </c>
    </row>
    <row r="9007">
      <c r="A9007" t="inlineStr">
        <is>
          <t>ORD09006</t>
        </is>
      </c>
      <c r="B9007" t="inlineStr">
        <is>
          <t>C1506</t>
        </is>
      </c>
      <c r="C9007" t="n">
        <v>3</v>
      </c>
      <c r="D9007" t="inlineStr">
        <is>
          <t>Hub C</t>
        </is>
      </c>
      <c r="E9007" t="n">
        <v>60</v>
      </c>
      <c r="F9007" t="n">
        <v>31</v>
      </c>
    </row>
    <row r="9008">
      <c r="A9008" t="inlineStr">
        <is>
          <t>ORD09007</t>
        </is>
      </c>
      <c r="B9008" t="inlineStr">
        <is>
          <t>C1507</t>
        </is>
      </c>
      <c r="C9008" t="n">
        <v>1</v>
      </c>
      <c r="D9008" t="inlineStr">
        <is>
          <t>Hub C</t>
        </is>
      </c>
      <c r="E9008" t="n">
        <v>67</v>
      </c>
      <c r="F9008" t="n">
        <v>31</v>
      </c>
    </row>
    <row r="9009">
      <c r="A9009" t="inlineStr">
        <is>
          <t>ORD09008</t>
        </is>
      </c>
      <c r="B9009" t="inlineStr">
        <is>
          <t>C1508</t>
        </is>
      </c>
      <c r="C9009" t="n">
        <v>2</v>
      </c>
      <c r="D9009" t="inlineStr">
        <is>
          <t>Hub C</t>
        </is>
      </c>
      <c r="E9009" t="n">
        <v>74</v>
      </c>
      <c r="F9009" t="n">
        <v>31</v>
      </c>
    </row>
    <row r="9010">
      <c r="A9010" t="inlineStr">
        <is>
          <t>ORD09009</t>
        </is>
      </c>
      <c r="B9010" t="inlineStr">
        <is>
          <t>C1509</t>
        </is>
      </c>
      <c r="C9010" t="n">
        <v>3</v>
      </c>
      <c r="D9010" t="inlineStr">
        <is>
          <t>Hub C</t>
        </is>
      </c>
      <c r="E9010" t="n">
        <v>21</v>
      </c>
      <c r="F9010" t="n">
        <v>31</v>
      </c>
    </row>
    <row r="9011">
      <c r="A9011" t="inlineStr">
        <is>
          <t>ORD09010</t>
        </is>
      </c>
      <c r="B9011" t="inlineStr">
        <is>
          <t>C1510</t>
        </is>
      </c>
      <c r="C9011" t="n">
        <v>1</v>
      </c>
      <c r="D9011" t="inlineStr">
        <is>
          <t>Hub C</t>
        </is>
      </c>
      <c r="E9011" t="n">
        <v>28</v>
      </c>
      <c r="F9011" t="n">
        <v>31</v>
      </c>
    </row>
    <row r="9012">
      <c r="A9012" t="inlineStr">
        <is>
          <t>ORD09011</t>
        </is>
      </c>
      <c r="B9012" t="inlineStr">
        <is>
          <t>C1511</t>
        </is>
      </c>
      <c r="C9012" t="n">
        <v>2</v>
      </c>
      <c r="D9012" t="inlineStr">
        <is>
          <t>Hub C</t>
        </is>
      </c>
      <c r="E9012" t="n">
        <v>35</v>
      </c>
      <c r="F9012" t="n">
        <v>31</v>
      </c>
    </row>
    <row r="9013">
      <c r="A9013" t="inlineStr">
        <is>
          <t>ORD09012</t>
        </is>
      </c>
      <c r="B9013" t="inlineStr">
        <is>
          <t>C1512</t>
        </is>
      </c>
      <c r="C9013" t="n">
        <v>3</v>
      </c>
      <c r="D9013" t="inlineStr">
        <is>
          <t>Hub C</t>
        </is>
      </c>
      <c r="E9013" t="n">
        <v>42</v>
      </c>
      <c r="F9013" t="n">
        <v>31</v>
      </c>
    </row>
    <row r="9014">
      <c r="A9014" t="inlineStr">
        <is>
          <t>ORD09013</t>
        </is>
      </c>
      <c r="B9014" t="inlineStr">
        <is>
          <t>C1513</t>
        </is>
      </c>
      <c r="C9014" t="n">
        <v>1</v>
      </c>
      <c r="D9014" t="inlineStr">
        <is>
          <t>Hub C</t>
        </is>
      </c>
      <c r="E9014" t="n">
        <v>49</v>
      </c>
      <c r="F9014" t="n">
        <v>31</v>
      </c>
    </row>
    <row r="9015">
      <c r="A9015" t="inlineStr">
        <is>
          <t>ORD09014</t>
        </is>
      </c>
      <c r="B9015" t="inlineStr">
        <is>
          <t>C1514</t>
        </is>
      </c>
      <c r="C9015" t="n">
        <v>2</v>
      </c>
      <c r="D9015" t="inlineStr">
        <is>
          <t>Hub C</t>
        </is>
      </c>
      <c r="E9015" t="n">
        <v>56</v>
      </c>
      <c r="F9015" t="n">
        <v>31</v>
      </c>
    </row>
    <row r="9016">
      <c r="A9016" t="inlineStr">
        <is>
          <t>ORD09015</t>
        </is>
      </c>
      <c r="B9016" t="inlineStr">
        <is>
          <t>C1515</t>
        </is>
      </c>
      <c r="C9016" t="n">
        <v>3</v>
      </c>
      <c r="D9016" t="inlineStr">
        <is>
          <t>Hub C</t>
        </is>
      </c>
      <c r="E9016" t="n">
        <v>63</v>
      </c>
      <c r="F9016" t="n">
        <v>31</v>
      </c>
    </row>
    <row r="9017">
      <c r="A9017" t="inlineStr">
        <is>
          <t>ORD09016</t>
        </is>
      </c>
      <c r="B9017" t="inlineStr">
        <is>
          <t>C1516</t>
        </is>
      </c>
      <c r="C9017" t="n">
        <v>1</v>
      </c>
      <c r="D9017" t="inlineStr">
        <is>
          <t>Hub C</t>
        </is>
      </c>
      <c r="E9017" t="n">
        <v>70</v>
      </c>
      <c r="F9017" t="n">
        <v>31</v>
      </c>
    </row>
    <row r="9018">
      <c r="A9018" t="inlineStr">
        <is>
          <t>ORD09017</t>
        </is>
      </c>
      <c r="B9018" t="inlineStr">
        <is>
          <t>C1517</t>
        </is>
      </c>
      <c r="C9018" t="n">
        <v>2</v>
      </c>
      <c r="D9018" t="inlineStr">
        <is>
          <t>Hub C</t>
        </is>
      </c>
      <c r="E9018" t="n">
        <v>77</v>
      </c>
      <c r="F9018" t="n">
        <v>31</v>
      </c>
    </row>
    <row r="9019">
      <c r="A9019" t="inlineStr">
        <is>
          <t>ORD09018</t>
        </is>
      </c>
      <c r="B9019" t="inlineStr">
        <is>
          <t>C1518</t>
        </is>
      </c>
      <c r="C9019" t="n">
        <v>3</v>
      </c>
      <c r="D9019" t="inlineStr">
        <is>
          <t>Hub C</t>
        </is>
      </c>
      <c r="E9019" t="n">
        <v>24</v>
      </c>
      <c r="F9019" t="n">
        <v>31</v>
      </c>
    </row>
    <row r="9020">
      <c r="A9020" t="inlineStr">
        <is>
          <t>ORD09019</t>
        </is>
      </c>
      <c r="B9020" t="inlineStr">
        <is>
          <t>C1519</t>
        </is>
      </c>
      <c r="C9020" t="n">
        <v>1</v>
      </c>
      <c r="D9020" t="inlineStr">
        <is>
          <t>Hub C</t>
        </is>
      </c>
      <c r="E9020" t="n">
        <v>31</v>
      </c>
      <c r="F9020" t="n">
        <v>31</v>
      </c>
    </row>
    <row r="9021">
      <c r="A9021" t="inlineStr">
        <is>
          <t>ORD09020</t>
        </is>
      </c>
      <c r="B9021" t="inlineStr">
        <is>
          <t>C1520</t>
        </is>
      </c>
      <c r="C9021" t="n">
        <v>2</v>
      </c>
      <c r="D9021" t="inlineStr">
        <is>
          <t>Hub C</t>
        </is>
      </c>
      <c r="E9021" t="n">
        <v>38</v>
      </c>
      <c r="F9021" t="n">
        <v>31</v>
      </c>
    </row>
    <row r="9022">
      <c r="A9022" t="inlineStr">
        <is>
          <t>ORD09021</t>
        </is>
      </c>
      <c r="B9022" t="inlineStr">
        <is>
          <t>C1521</t>
        </is>
      </c>
      <c r="C9022" t="n">
        <v>3</v>
      </c>
      <c r="D9022" t="inlineStr">
        <is>
          <t>Hub C</t>
        </is>
      </c>
      <c r="E9022" t="n">
        <v>45</v>
      </c>
      <c r="F9022" t="n">
        <v>31</v>
      </c>
    </row>
    <row r="9023">
      <c r="A9023" t="inlineStr">
        <is>
          <t>ORD09022</t>
        </is>
      </c>
      <c r="B9023" t="inlineStr">
        <is>
          <t>C1522</t>
        </is>
      </c>
      <c r="C9023" t="n">
        <v>1</v>
      </c>
      <c r="D9023" t="inlineStr">
        <is>
          <t>Hub C</t>
        </is>
      </c>
      <c r="E9023" t="n">
        <v>52</v>
      </c>
      <c r="F9023" t="n">
        <v>31</v>
      </c>
    </row>
    <row r="9024">
      <c r="A9024" t="inlineStr">
        <is>
          <t>ORD09023</t>
        </is>
      </c>
      <c r="B9024" t="inlineStr">
        <is>
          <t>C1523</t>
        </is>
      </c>
      <c r="C9024" t="n">
        <v>2</v>
      </c>
      <c r="D9024" t="inlineStr">
        <is>
          <t>Hub C</t>
        </is>
      </c>
      <c r="E9024" t="n">
        <v>59</v>
      </c>
      <c r="F9024" t="n">
        <v>31</v>
      </c>
    </row>
    <row r="9025">
      <c r="A9025" t="inlineStr">
        <is>
          <t>ORD09024</t>
        </is>
      </c>
      <c r="B9025" t="inlineStr">
        <is>
          <t>C1524</t>
        </is>
      </c>
      <c r="C9025" t="n">
        <v>3</v>
      </c>
      <c r="D9025" t="inlineStr">
        <is>
          <t>Hub C</t>
        </is>
      </c>
      <c r="E9025" t="n">
        <v>66</v>
      </c>
      <c r="F9025" t="n">
        <v>31</v>
      </c>
    </row>
    <row r="9026">
      <c r="A9026" t="inlineStr">
        <is>
          <t>ORD09025</t>
        </is>
      </c>
      <c r="B9026" t="inlineStr">
        <is>
          <t>C1525</t>
        </is>
      </c>
      <c r="C9026" t="n">
        <v>1</v>
      </c>
      <c r="D9026" t="inlineStr">
        <is>
          <t>Hub C</t>
        </is>
      </c>
      <c r="E9026" t="n">
        <v>73</v>
      </c>
      <c r="F9026" t="n">
        <v>31</v>
      </c>
    </row>
    <row r="9027">
      <c r="A9027" t="inlineStr">
        <is>
          <t>ORD09026</t>
        </is>
      </c>
      <c r="B9027" t="inlineStr">
        <is>
          <t>C1526</t>
        </is>
      </c>
      <c r="C9027" t="n">
        <v>2</v>
      </c>
      <c r="D9027" t="inlineStr">
        <is>
          <t>Hub C</t>
        </is>
      </c>
      <c r="E9027" t="n">
        <v>20</v>
      </c>
      <c r="F9027" t="n">
        <v>31</v>
      </c>
    </row>
    <row r="9028">
      <c r="A9028" t="inlineStr">
        <is>
          <t>ORD09027</t>
        </is>
      </c>
      <c r="B9028" t="inlineStr">
        <is>
          <t>C1527</t>
        </is>
      </c>
      <c r="C9028" t="n">
        <v>3</v>
      </c>
      <c r="D9028" t="inlineStr">
        <is>
          <t>Hub C</t>
        </is>
      </c>
      <c r="E9028" t="n">
        <v>27</v>
      </c>
      <c r="F9028" t="n">
        <v>31</v>
      </c>
    </row>
    <row r="9029">
      <c r="A9029" t="inlineStr">
        <is>
          <t>ORD09028</t>
        </is>
      </c>
      <c r="B9029" t="inlineStr">
        <is>
          <t>C1528</t>
        </is>
      </c>
      <c r="C9029" t="n">
        <v>1</v>
      </c>
      <c r="D9029" t="inlineStr">
        <is>
          <t>Hub C</t>
        </is>
      </c>
      <c r="E9029" t="n">
        <v>34</v>
      </c>
      <c r="F9029" t="n">
        <v>31</v>
      </c>
    </row>
    <row r="9030">
      <c r="A9030" t="inlineStr">
        <is>
          <t>ORD09029</t>
        </is>
      </c>
      <c r="B9030" t="inlineStr">
        <is>
          <t>C1529</t>
        </is>
      </c>
      <c r="C9030" t="n">
        <v>2</v>
      </c>
      <c r="D9030" t="inlineStr">
        <is>
          <t>Hub C</t>
        </is>
      </c>
      <c r="E9030" t="n">
        <v>41</v>
      </c>
      <c r="F9030" t="n">
        <v>31</v>
      </c>
    </row>
    <row r="9031">
      <c r="A9031" t="inlineStr">
        <is>
          <t>ORD09030</t>
        </is>
      </c>
      <c r="B9031" t="inlineStr">
        <is>
          <t>C1530</t>
        </is>
      </c>
      <c r="C9031" t="n">
        <v>3</v>
      </c>
      <c r="D9031" t="inlineStr">
        <is>
          <t>Hub C</t>
        </is>
      </c>
      <c r="E9031" t="n">
        <v>48</v>
      </c>
      <c r="F9031" t="n">
        <v>31</v>
      </c>
    </row>
    <row r="9032">
      <c r="A9032" t="inlineStr">
        <is>
          <t>ORD09031</t>
        </is>
      </c>
      <c r="B9032" t="inlineStr">
        <is>
          <t>C1531</t>
        </is>
      </c>
      <c r="C9032" t="n">
        <v>1</v>
      </c>
      <c r="D9032" t="inlineStr">
        <is>
          <t>Hub C</t>
        </is>
      </c>
      <c r="E9032" t="n">
        <v>55</v>
      </c>
      <c r="F9032" t="n">
        <v>31</v>
      </c>
    </row>
    <row r="9033">
      <c r="A9033" t="inlineStr">
        <is>
          <t>ORD09032</t>
        </is>
      </c>
      <c r="B9033" t="inlineStr">
        <is>
          <t>C1532</t>
        </is>
      </c>
      <c r="C9033" t="n">
        <v>2</v>
      </c>
      <c r="D9033" t="inlineStr">
        <is>
          <t>Hub C</t>
        </is>
      </c>
      <c r="E9033" t="n">
        <v>62</v>
      </c>
      <c r="F9033" t="n">
        <v>31</v>
      </c>
    </row>
    <row r="9034">
      <c r="A9034" t="inlineStr">
        <is>
          <t>ORD09033</t>
        </is>
      </c>
      <c r="B9034" t="inlineStr">
        <is>
          <t>C1533</t>
        </is>
      </c>
      <c r="C9034" t="n">
        <v>3</v>
      </c>
      <c r="D9034" t="inlineStr">
        <is>
          <t>Hub C</t>
        </is>
      </c>
      <c r="E9034" t="n">
        <v>69</v>
      </c>
      <c r="F9034" t="n">
        <v>31</v>
      </c>
    </row>
    <row r="9035">
      <c r="A9035" t="inlineStr">
        <is>
          <t>ORD09034</t>
        </is>
      </c>
      <c r="B9035" t="inlineStr">
        <is>
          <t>C1534</t>
        </is>
      </c>
      <c r="C9035" t="n">
        <v>1</v>
      </c>
      <c r="D9035" t="inlineStr">
        <is>
          <t>Hub C</t>
        </is>
      </c>
      <c r="E9035" t="n">
        <v>76</v>
      </c>
      <c r="F9035" t="n">
        <v>31</v>
      </c>
    </row>
    <row r="9036">
      <c r="A9036" t="inlineStr">
        <is>
          <t>ORD09035</t>
        </is>
      </c>
      <c r="B9036" t="inlineStr">
        <is>
          <t>C1535</t>
        </is>
      </c>
      <c r="C9036" t="n">
        <v>2</v>
      </c>
      <c r="D9036" t="inlineStr">
        <is>
          <t>Hub C</t>
        </is>
      </c>
      <c r="E9036" t="n">
        <v>23</v>
      </c>
      <c r="F9036" t="n">
        <v>31</v>
      </c>
    </row>
    <row r="9037">
      <c r="A9037" t="inlineStr">
        <is>
          <t>ORD09036</t>
        </is>
      </c>
      <c r="B9037" t="inlineStr">
        <is>
          <t>C1536</t>
        </is>
      </c>
      <c r="C9037" t="n">
        <v>3</v>
      </c>
      <c r="D9037" t="inlineStr">
        <is>
          <t>Hub C</t>
        </is>
      </c>
      <c r="E9037" t="n">
        <v>30</v>
      </c>
      <c r="F9037" t="n">
        <v>31</v>
      </c>
    </row>
    <row r="9038">
      <c r="A9038" t="inlineStr">
        <is>
          <t>ORD09037</t>
        </is>
      </c>
      <c r="B9038" t="inlineStr">
        <is>
          <t>C1537</t>
        </is>
      </c>
      <c r="C9038" t="n">
        <v>1</v>
      </c>
      <c r="D9038" t="inlineStr">
        <is>
          <t>Hub C</t>
        </is>
      </c>
      <c r="E9038" t="n">
        <v>37</v>
      </c>
      <c r="F9038" t="n">
        <v>31</v>
      </c>
    </row>
    <row r="9039">
      <c r="A9039" t="inlineStr">
        <is>
          <t>ORD09038</t>
        </is>
      </c>
      <c r="B9039" t="inlineStr">
        <is>
          <t>C1538</t>
        </is>
      </c>
      <c r="C9039" t="n">
        <v>2</v>
      </c>
      <c r="D9039" t="inlineStr">
        <is>
          <t>Hub C</t>
        </is>
      </c>
      <c r="E9039" t="n">
        <v>44</v>
      </c>
      <c r="F9039" t="n">
        <v>31</v>
      </c>
    </row>
    <row r="9040">
      <c r="A9040" t="inlineStr">
        <is>
          <t>ORD09039</t>
        </is>
      </c>
      <c r="B9040" t="inlineStr">
        <is>
          <t>C1539</t>
        </is>
      </c>
      <c r="C9040" t="n">
        <v>3</v>
      </c>
      <c r="D9040" t="inlineStr">
        <is>
          <t>Hub C</t>
        </is>
      </c>
      <c r="E9040" t="n">
        <v>51</v>
      </c>
      <c r="F9040" t="n">
        <v>31</v>
      </c>
    </row>
    <row r="9041">
      <c r="A9041" t="inlineStr">
        <is>
          <t>ORD09040</t>
        </is>
      </c>
      <c r="B9041" t="inlineStr">
        <is>
          <t>C1540</t>
        </is>
      </c>
      <c r="C9041" t="n">
        <v>1</v>
      </c>
      <c r="D9041" t="inlineStr">
        <is>
          <t>Hub C</t>
        </is>
      </c>
      <c r="E9041" t="n">
        <v>58</v>
      </c>
      <c r="F9041" t="n">
        <v>31</v>
      </c>
    </row>
    <row r="9042">
      <c r="A9042" t="inlineStr">
        <is>
          <t>ORD09041</t>
        </is>
      </c>
      <c r="B9042" t="inlineStr">
        <is>
          <t>C1541</t>
        </is>
      </c>
      <c r="C9042" t="n">
        <v>2</v>
      </c>
      <c r="D9042" t="inlineStr">
        <is>
          <t>Hub C</t>
        </is>
      </c>
      <c r="E9042" t="n">
        <v>65</v>
      </c>
      <c r="F9042" t="n">
        <v>31</v>
      </c>
    </row>
    <row r="9043">
      <c r="A9043" t="inlineStr">
        <is>
          <t>ORD09042</t>
        </is>
      </c>
      <c r="B9043" t="inlineStr">
        <is>
          <t>C1542</t>
        </is>
      </c>
      <c r="C9043" t="n">
        <v>3</v>
      </c>
      <c r="D9043" t="inlineStr">
        <is>
          <t>Hub C</t>
        </is>
      </c>
      <c r="E9043" t="n">
        <v>72</v>
      </c>
      <c r="F9043" t="n">
        <v>31</v>
      </c>
    </row>
    <row r="9044">
      <c r="A9044" t="inlineStr">
        <is>
          <t>ORD09043</t>
        </is>
      </c>
      <c r="B9044" t="inlineStr">
        <is>
          <t>C1543</t>
        </is>
      </c>
      <c r="C9044" t="n">
        <v>1</v>
      </c>
      <c r="D9044" t="inlineStr">
        <is>
          <t>Hub C</t>
        </is>
      </c>
      <c r="E9044" t="n">
        <v>19</v>
      </c>
      <c r="F9044" t="n">
        <v>31</v>
      </c>
    </row>
    <row r="9045">
      <c r="A9045" t="inlineStr">
        <is>
          <t>ORD09044</t>
        </is>
      </c>
      <c r="B9045" t="inlineStr">
        <is>
          <t>C1544</t>
        </is>
      </c>
      <c r="C9045" t="n">
        <v>2</v>
      </c>
      <c r="D9045" t="inlineStr">
        <is>
          <t>Hub C</t>
        </is>
      </c>
      <c r="E9045" t="n">
        <v>26</v>
      </c>
      <c r="F9045" t="n">
        <v>31</v>
      </c>
    </row>
    <row r="9046">
      <c r="A9046" t="inlineStr">
        <is>
          <t>ORD09045</t>
        </is>
      </c>
      <c r="B9046" t="inlineStr">
        <is>
          <t>C1545</t>
        </is>
      </c>
      <c r="C9046" t="n">
        <v>3</v>
      </c>
      <c r="D9046" t="inlineStr">
        <is>
          <t>Hub C</t>
        </is>
      </c>
      <c r="E9046" t="n">
        <v>33</v>
      </c>
      <c r="F9046" t="n">
        <v>31</v>
      </c>
    </row>
    <row r="9047">
      <c r="A9047" t="inlineStr">
        <is>
          <t>ORD09046</t>
        </is>
      </c>
      <c r="B9047" t="inlineStr">
        <is>
          <t>C1546</t>
        </is>
      </c>
      <c r="C9047" t="n">
        <v>1</v>
      </c>
      <c r="D9047" t="inlineStr">
        <is>
          <t>Hub C</t>
        </is>
      </c>
      <c r="E9047" t="n">
        <v>40</v>
      </c>
      <c r="F9047" t="n">
        <v>31</v>
      </c>
    </row>
    <row r="9048">
      <c r="A9048" t="inlineStr">
        <is>
          <t>ORD09047</t>
        </is>
      </c>
      <c r="B9048" t="inlineStr">
        <is>
          <t>C1547</t>
        </is>
      </c>
      <c r="C9048" t="n">
        <v>2</v>
      </c>
      <c r="D9048" t="inlineStr">
        <is>
          <t>Hub C</t>
        </is>
      </c>
      <c r="E9048" t="n">
        <v>47</v>
      </c>
      <c r="F9048" t="n">
        <v>31</v>
      </c>
    </row>
    <row r="9049">
      <c r="A9049" t="inlineStr">
        <is>
          <t>ORD09048</t>
        </is>
      </c>
      <c r="B9049" t="inlineStr">
        <is>
          <t>C1548</t>
        </is>
      </c>
      <c r="C9049" t="n">
        <v>3</v>
      </c>
      <c r="D9049" t="inlineStr">
        <is>
          <t>Hub C</t>
        </is>
      </c>
      <c r="E9049" t="n">
        <v>54</v>
      </c>
      <c r="F9049" t="n">
        <v>31</v>
      </c>
    </row>
    <row r="9050">
      <c r="A9050" t="inlineStr">
        <is>
          <t>ORD09049</t>
        </is>
      </c>
      <c r="B9050" t="inlineStr">
        <is>
          <t>C1549</t>
        </is>
      </c>
      <c r="C9050" t="n">
        <v>1</v>
      </c>
      <c r="D9050" t="inlineStr">
        <is>
          <t>Hub C</t>
        </is>
      </c>
      <c r="E9050" t="n">
        <v>61</v>
      </c>
      <c r="F9050" t="n">
        <v>31</v>
      </c>
    </row>
    <row r="9051">
      <c r="A9051" t="inlineStr">
        <is>
          <t>ORD09050</t>
        </is>
      </c>
      <c r="B9051" t="inlineStr">
        <is>
          <t>C1550</t>
        </is>
      </c>
      <c r="C9051" t="n">
        <v>2</v>
      </c>
      <c r="D9051" t="inlineStr">
        <is>
          <t>Hub C</t>
        </is>
      </c>
      <c r="E9051" t="n">
        <v>68</v>
      </c>
      <c r="F9051" t="n">
        <v>31</v>
      </c>
    </row>
    <row r="9052">
      <c r="A9052" t="inlineStr">
        <is>
          <t>ORD09051</t>
        </is>
      </c>
      <c r="B9052" t="inlineStr">
        <is>
          <t>C1551</t>
        </is>
      </c>
      <c r="C9052" t="n">
        <v>3</v>
      </c>
      <c r="D9052" t="inlineStr">
        <is>
          <t>Hub C</t>
        </is>
      </c>
      <c r="E9052" t="n">
        <v>75</v>
      </c>
      <c r="F9052" t="n">
        <v>31</v>
      </c>
    </row>
    <row r="9053">
      <c r="A9053" t="inlineStr">
        <is>
          <t>ORD09052</t>
        </is>
      </c>
      <c r="B9053" t="inlineStr">
        <is>
          <t>C1552</t>
        </is>
      </c>
      <c r="C9053" t="n">
        <v>1</v>
      </c>
      <c r="D9053" t="inlineStr">
        <is>
          <t>Hub C</t>
        </is>
      </c>
      <c r="E9053" t="n">
        <v>22</v>
      </c>
      <c r="F9053" t="n">
        <v>31</v>
      </c>
    </row>
    <row r="9054">
      <c r="A9054" t="inlineStr">
        <is>
          <t>ORD09053</t>
        </is>
      </c>
      <c r="B9054" t="inlineStr">
        <is>
          <t>C1553</t>
        </is>
      </c>
      <c r="C9054" t="n">
        <v>2</v>
      </c>
      <c r="D9054" t="inlineStr">
        <is>
          <t>Hub C</t>
        </is>
      </c>
      <c r="E9054" t="n">
        <v>29</v>
      </c>
      <c r="F9054" t="n">
        <v>31</v>
      </c>
    </row>
    <row r="9055">
      <c r="A9055" t="inlineStr">
        <is>
          <t>ORD09054</t>
        </is>
      </c>
      <c r="B9055" t="inlineStr">
        <is>
          <t>C1554</t>
        </is>
      </c>
      <c r="C9055" t="n">
        <v>3</v>
      </c>
      <c r="D9055" t="inlineStr">
        <is>
          <t>Hub C</t>
        </is>
      </c>
      <c r="E9055" t="n">
        <v>36</v>
      </c>
      <c r="F9055" t="n">
        <v>31</v>
      </c>
    </row>
    <row r="9056">
      <c r="A9056" t="inlineStr">
        <is>
          <t>ORD09055</t>
        </is>
      </c>
      <c r="B9056" t="inlineStr">
        <is>
          <t>C1555</t>
        </is>
      </c>
      <c r="C9056" t="n">
        <v>1</v>
      </c>
      <c r="D9056" t="inlineStr">
        <is>
          <t>Hub C</t>
        </is>
      </c>
      <c r="E9056" t="n">
        <v>43</v>
      </c>
      <c r="F9056" t="n">
        <v>31</v>
      </c>
    </row>
    <row r="9057">
      <c r="A9057" t="inlineStr">
        <is>
          <t>ORD09056</t>
        </is>
      </c>
      <c r="B9057" t="inlineStr">
        <is>
          <t>C1556</t>
        </is>
      </c>
      <c r="C9057" t="n">
        <v>2</v>
      </c>
      <c r="D9057" t="inlineStr">
        <is>
          <t>Hub C</t>
        </is>
      </c>
      <c r="E9057" t="n">
        <v>50</v>
      </c>
      <c r="F9057" t="n">
        <v>31</v>
      </c>
    </row>
    <row r="9058">
      <c r="A9058" t="inlineStr">
        <is>
          <t>ORD09057</t>
        </is>
      </c>
      <c r="B9058" t="inlineStr">
        <is>
          <t>C1557</t>
        </is>
      </c>
      <c r="C9058" t="n">
        <v>3</v>
      </c>
      <c r="D9058" t="inlineStr">
        <is>
          <t>Hub C</t>
        </is>
      </c>
      <c r="E9058" t="n">
        <v>57</v>
      </c>
      <c r="F9058" t="n">
        <v>31</v>
      </c>
    </row>
    <row r="9059">
      <c r="A9059" t="inlineStr">
        <is>
          <t>ORD09058</t>
        </is>
      </c>
      <c r="B9059" t="inlineStr">
        <is>
          <t>C1558</t>
        </is>
      </c>
      <c r="C9059" t="n">
        <v>1</v>
      </c>
      <c r="D9059" t="inlineStr">
        <is>
          <t>Hub C</t>
        </is>
      </c>
      <c r="E9059" t="n">
        <v>64</v>
      </c>
      <c r="F9059" t="n">
        <v>31</v>
      </c>
    </row>
    <row r="9060">
      <c r="A9060" t="inlineStr">
        <is>
          <t>ORD09059</t>
        </is>
      </c>
      <c r="B9060" t="inlineStr">
        <is>
          <t>C1559</t>
        </is>
      </c>
      <c r="C9060" t="n">
        <v>2</v>
      </c>
      <c r="D9060" t="inlineStr">
        <is>
          <t>Hub C</t>
        </is>
      </c>
      <c r="E9060" t="n">
        <v>71</v>
      </c>
      <c r="F9060" t="n">
        <v>31</v>
      </c>
    </row>
    <row r="9061">
      <c r="A9061" t="inlineStr">
        <is>
          <t>ORD09060</t>
        </is>
      </c>
      <c r="B9061" t="inlineStr">
        <is>
          <t>C1560</t>
        </is>
      </c>
      <c r="C9061" t="n">
        <v>3</v>
      </c>
      <c r="D9061" t="inlineStr">
        <is>
          <t>Hub C</t>
        </is>
      </c>
      <c r="E9061" t="n">
        <v>18</v>
      </c>
      <c r="F9061" t="n">
        <v>31</v>
      </c>
    </row>
    <row r="9062">
      <c r="A9062" t="inlineStr">
        <is>
          <t>ORD09061</t>
        </is>
      </c>
      <c r="B9062" t="inlineStr">
        <is>
          <t>C1561</t>
        </is>
      </c>
      <c r="C9062" t="n">
        <v>1</v>
      </c>
      <c r="D9062" t="inlineStr">
        <is>
          <t>Hub C</t>
        </is>
      </c>
      <c r="E9062" t="n">
        <v>25</v>
      </c>
      <c r="F9062" t="n">
        <v>31</v>
      </c>
    </row>
    <row r="9063">
      <c r="A9063" t="inlineStr">
        <is>
          <t>ORD09062</t>
        </is>
      </c>
      <c r="B9063" t="inlineStr">
        <is>
          <t>C1562</t>
        </is>
      </c>
      <c r="C9063" t="n">
        <v>2</v>
      </c>
      <c r="D9063" t="inlineStr">
        <is>
          <t>Hub C</t>
        </is>
      </c>
      <c r="E9063" t="n">
        <v>32</v>
      </c>
      <c r="F9063" t="n">
        <v>31</v>
      </c>
    </row>
    <row r="9064">
      <c r="A9064" t="inlineStr">
        <is>
          <t>ORD09063</t>
        </is>
      </c>
      <c r="B9064" t="inlineStr">
        <is>
          <t>C1563</t>
        </is>
      </c>
      <c r="C9064" t="n">
        <v>3</v>
      </c>
      <c r="D9064" t="inlineStr">
        <is>
          <t>Hub C</t>
        </is>
      </c>
      <c r="E9064" t="n">
        <v>39</v>
      </c>
      <c r="F9064" t="n">
        <v>31</v>
      </c>
    </row>
    <row r="9065">
      <c r="A9065" t="inlineStr">
        <is>
          <t>ORD09064</t>
        </is>
      </c>
      <c r="B9065" t="inlineStr">
        <is>
          <t>C1564</t>
        </is>
      </c>
      <c r="C9065" t="n">
        <v>1</v>
      </c>
      <c r="D9065" t="inlineStr">
        <is>
          <t>Hub C</t>
        </is>
      </c>
      <c r="E9065" t="n">
        <v>46</v>
      </c>
      <c r="F9065" t="n">
        <v>31</v>
      </c>
    </row>
    <row r="9066">
      <c r="A9066" t="inlineStr">
        <is>
          <t>ORD09065</t>
        </is>
      </c>
      <c r="B9066" t="inlineStr">
        <is>
          <t>C1565</t>
        </is>
      </c>
      <c r="C9066" t="n">
        <v>2</v>
      </c>
      <c r="D9066" t="inlineStr">
        <is>
          <t>Hub C</t>
        </is>
      </c>
      <c r="E9066" t="n">
        <v>53</v>
      </c>
      <c r="F9066" t="n">
        <v>31</v>
      </c>
    </row>
    <row r="9067">
      <c r="A9067" t="inlineStr">
        <is>
          <t>ORD09066</t>
        </is>
      </c>
      <c r="B9067" t="inlineStr">
        <is>
          <t>C1566</t>
        </is>
      </c>
      <c r="C9067" t="n">
        <v>3</v>
      </c>
      <c r="D9067" t="inlineStr">
        <is>
          <t>Hub C</t>
        </is>
      </c>
      <c r="E9067" t="n">
        <v>60</v>
      </c>
      <c r="F9067" t="n">
        <v>31</v>
      </c>
    </row>
    <row r="9068">
      <c r="A9068" t="inlineStr">
        <is>
          <t>ORD09067</t>
        </is>
      </c>
      <c r="B9068" t="inlineStr">
        <is>
          <t>C1567</t>
        </is>
      </c>
      <c r="C9068" t="n">
        <v>1</v>
      </c>
      <c r="D9068" t="inlineStr">
        <is>
          <t>Hub C</t>
        </is>
      </c>
      <c r="E9068" t="n">
        <v>67</v>
      </c>
      <c r="F9068" t="n">
        <v>31</v>
      </c>
    </row>
    <row r="9069">
      <c r="A9069" t="inlineStr">
        <is>
          <t>ORD09068</t>
        </is>
      </c>
      <c r="B9069" t="inlineStr">
        <is>
          <t>C1568</t>
        </is>
      </c>
      <c r="C9069" t="n">
        <v>2</v>
      </c>
      <c r="D9069" t="inlineStr">
        <is>
          <t>Hub C</t>
        </is>
      </c>
      <c r="E9069" t="n">
        <v>74</v>
      </c>
      <c r="F9069" t="n">
        <v>31</v>
      </c>
    </row>
    <row r="9070">
      <c r="A9070" t="inlineStr">
        <is>
          <t>ORD09069</t>
        </is>
      </c>
      <c r="B9070" t="inlineStr">
        <is>
          <t>C1569</t>
        </is>
      </c>
      <c r="C9070" t="n">
        <v>3</v>
      </c>
      <c r="D9070" t="inlineStr">
        <is>
          <t>Hub C</t>
        </is>
      </c>
      <c r="E9070" t="n">
        <v>21</v>
      </c>
      <c r="F9070" t="n">
        <v>31</v>
      </c>
    </row>
    <row r="9071">
      <c r="A9071" t="inlineStr">
        <is>
          <t>ORD09070</t>
        </is>
      </c>
      <c r="B9071" t="inlineStr">
        <is>
          <t>C1570</t>
        </is>
      </c>
      <c r="C9071" t="n">
        <v>1</v>
      </c>
      <c r="D9071" t="inlineStr">
        <is>
          <t>Hub C</t>
        </is>
      </c>
      <c r="E9071" t="n">
        <v>28</v>
      </c>
      <c r="F9071" t="n">
        <v>31</v>
      </c>
    </row>
    <row r="9072">
      <c r="A9072" t="inlineStr">
        <is>
          <t>ORD09071</t>
        </is>
      </c>
      <c r="B9072" t="inlineStr">
        <is>
          <t>C1571</t>
        </is>
      </c>
      <c r="C9072" t="n">
        <v>2</v>
      </c>
      <c r="D9072" t="inlineStr">
        <is>
          <t>Hub C</t>
        </is>
      </c>
      <c r="E9072" t="n">
        <v>35</v>
      </c>
      <c r="F9072" t="n">
        <v>31</v>
      </c>
    </row>
    <row r="9073">
      <c r="A9073" t="inlineStr">
        <is>
          <t>ORD09072</t>
        </is>
      </c>
      <c r="B9073" t="inlineStr">
        <is>
          <t>C1572</t>
        </is>
      </c>
      <c r="C9073" t="n">
        <v>3</v>
      </c>
      <c r="D9073" t="inlineStr">
        <is>
          <t>Hub C</t>
        </is>
      </c>
      <c r="E9073" t="n">
        <v>42</v>
      </c>
      <c r="F9073" t="n">
        <v>31</v>
      </c>
    </row>
    <row r="9074">
      <c r="A9074" t="inlineStr">
        <is>
          <t>ORD09073</t>
        </is>
      </c>
      <c r="B9074" t="inlineStr">
        <is>
          <t>C1573</t>
        </is>
      </c>
      <c r="C9074" t="n">
        <v>1</v>
      </c>
      <c r="D9074" t="inlineStr">
        <is>
          <t>Hub C</t>
        </is>
      </c>
      <c r="E9074" t="n">
        <v>49</v>
      </c>
      <c r="F9074" t="n">
        <v>31</v>
      </c>
    </row>
    <row r="9075">
      <c r="A9075" t="inlineStr">
        <is>
          <t>ORD09074</t>
        </is>
      </c>
      <c r="B9075" t="inlineStr">
        <is>
          <t>C1574</t>
        </is>
      </c>
      <c r="C9075" t="n">
        <v>2</v>
      </c>
      <c r="D9075" t="inlineStr">
        <is>
          <t>Hub C</t>
        </is>
      </c>
      <c r="E9075" t="n">
        <v>56</v>
      </c>
      <c r="F9075" t="n">
        <v>31</v>
      </c>
    </row>
    <row r="9076">
      <c r="A9076" t="inlineStr">
        <is>
          <t>ORD09075</t>
        </is>
      </c>
      <c r="B9076" t="inlineStr">
        <is>
          <t>C1575</t>
        </is>
      </c>
      <c r="C9076" t="n">
        <v>3</v>
      </c>
      <c r="D9076" t="inlineStr">
        <is>
          <t>Hub C</t>
        </is>
      </c>
      <c r="E9076" t="n">
        <v>63</v>
      </c>
      <c r="F9076" t="n">
        <v>31</v>
      </c>
    </row>
    <row r="9077">
      <c r="A9077" t="inlineStr">
        <is>
          <t>ORD09076</t>
        </is>
      </c>
      <c r="B9077" t="inlineStr">
        <is>
          <t>C1576</t>
        </is>
      </c>
      <c r="C9077" t="n">
        <v>1</v>
      </c>
      <c r="D9077" t="inlineStr">
        <is>
          <t>Hub C</t>
        </is>
      </c>
      <c r="E9077" t="n">
        <v>70</v>
      </c>
      <c r="F9077" t="n">
        <v>31</v>
      </c>
    </row>
    <row r="9078">
      <c r="A9078" t="inlineStr">
        <is>
          <t>ORD09077</t>
        </is>
      </c>
      <c r="B9078" t="inlineStr">
        <is>
          <t>C1577</t>
        </is>
      </c>
      <c r="C9078" t="n">
        <v>2</v>
      </c>
      <c r="D9078" t="inlineStr">
        <is>
          <t>Hub C</t>
        </is>
      </c>
      <c r="E9078" t="n">
        <v>77</v>
      </c>
      <c r="F9078" t="n">
        <v>31</v>
      </c>
    </row>
    <row r="9079">
      <c r="A9079" t="inlineStr">
        <is>
          <t>ORD09078</t>
        </is>
      </c>
      <c r="B9079" t="inlineStr">
        <is>
          <t>C1578</t>
        </is>
      </c>
      <c r="C9079" t="n">
        <v>3</v>
      </c>
      <c r="D9079" t="inlineStr">
        <is>
          <t>Hub C</t>
        </is>
      </c>
      <c r="E9079" t="n">
        <v>24</v>
      </c>
      <c r="F9079" t="n">
        <v>31</v>
      </c>
    </row>
    <row r="9080">
      <c r="A9080" t="inlineStr">
        <is>
          <t>ORD09079</t>
        </is>
      </c>
      <c r="B9080" t="inlineStr">
        <is>
          <t>C1579</t>
        </is>
      </c>
      <c r="C9080" t="n">
        <v>1</v>
      </c>
      <c r="D9080" t="inlineStr">
        <is>
          <t>Hub C</t>
        </is>
      </c>
      <c r="E9080" t="n">
        <v>31</v>
      </c>
      <c r="F9080" t="n">
        <v>31</v>
      </c>
    </row>
    <row r="9081">
      <c r="A9081" t="inlineStr">
        <is>
          <t>ORD09080</t>
        </is>
      </c>
      <c r="B9081" t="inlineStr">
        <is>
          <t>C1580</t>
        </is>
      </c>
      <c r="C9081" t="n">
        <v>2</v>
      </c>
      <c r="D9081" t="inlineStr">
        <is>
          <t>Hub C</t>
        </is>
      </c>
      <c r="E9081" t="n">
        <v>38</v>
      </c>
      <c r="F9081" t="n">
        <v>31</v>
      </c>
    </row>
    <row r="9082">
      <c r="A9082" t="inlineStr">
        <is>
          <t>ORD09081</t>
        </is>
      </c>
      <c r="B9082" t="inlineStr">
        <is>
          <t>C1581</t>
        </is>
      </c>
      <c r="C9082" t="n">
        <v>3</v>
      </c>
      <c r="D9082" t="inlineStr">
        <is>
          <t>Hub C</t>
        </is>
      </c>
      <c r="E9082" t="n">
        <v>45</v>
      </c>
      <c r="F9082" t="n">
        <v>31</v>
      </c>
    </row>
    <row r="9083">
      <c r="A9083" t="inlineStr">
        <is>
          <t>ORD09082</t>
        </is>
      </c>
      <c r="B9083" t="inlineStr">
        <is>
          <t>C1582</t>
        </is>
      </c>
      <c r="C9083" t="n">
        <v>1</v>
      </c>
      <c r="D9083" t="inlineStr">
        <is>
          <t>Hub C</t>
        </is>
      </c>
      <c r="E9083" t="n">
        <v>52</v>
      </c>
      <c r="F9083" t="n">
        <v>31</v>
      </c>
    </row>
    <row r="9084">
      <c r="A9084" t="inlineStr">
        <is>
          <t>ORD09083</t>
        </is>
      </c>
      <c r="B9084" t="inlineStr">
        <is>
          <t>C1583</t>
        </is>
      </c>
      <c r="C9084" t="n">
        <v>2</v>
      </c>
      <c r="D9084" t="inlineStr">
        <is>
          <t>Hub C</t>
        </is>
      </c>
      <c r="E9084" t="n">
        <v>59</v>
      </c>
      <c r="F9084" t="n">
        <v>31</v>
      </c>
    </row>
    <row r="9085">
      <c r="A9085" t="inlineStr">
        <is>
          <t>ORD09084</t>
        </is>
      </c>
      <c r="B9085" t="inlineStr">
        <is>
          <t>C1584</t>
        </is>
      </c>
      <c r="C9085" t="n">
        <v>3</v>
      </c>
      <c r="D9085" t="inlineStr">
        <is>
          <t>Hub C</t>
        </is>
      </c>
      <c r="E9085" t="n">
        <v>66</v>
      </c>
      <c r="F9085" t="n">
        <v>31</v>
      </c>
    </row>
    <row r="9086">
      <c r="A9086" t="inlineStr">
        <is>
          <t>ORD09085</t>
        </is>
      </c>
      <c r="B9086" t="inlineStr">
        <is>
          <t>C1585</t>
        </is>
      </c>
      <c r="C9086" t="n">
        <v>1</v>
      </c>
      <c r="D9086" t="inlineStr">
        <is>
          <t>Hub C</t>
        </is>
      </c>
      <c r="E9086" t="n">
        <v>73</v>
      </c>
      <c r="F9086" t="n">
        <v>31</v>
      </c>
    </row>
    <row r="9087">
      <c r="A9087" t="inlineStr">
        <is>
          <t>ORD09086</t>
        </is>
      </c>
      <c r="B9087" t="inlineStr">
        <is>
          <t>C1586</t>
        </is>
      </c>
      <c r="C9087" t="n">
        <v>2</v>
      </c>
      <c r="D9087" t="inlineStr">
        <is>
          <t>Hub C</t>
        </is>
      </c>
      <c r="E9087" t="n">
        <v>20</v>
      </c>
      <c r="F9087" t="n">
        <v>31</v>
      </c>
    </row>
    <row r="9088">
      <c r="A9088" t="inlineStr">
        <is>
          <t>ORD09087</t>
        </is>
      </c>
      <c r="B9088" t="inlineStr">
        <is>
          <t>C1587</t>
        </is>
      </c>
      <c r="C9088" t="n">
        <v>3</v>
      </c>
      <c r="D9088" t="inlineStr">
        <is>
          <t>Hub C</t>
        </is>
      </c>
      <c r="E9088" t="n">
        <v>27</v>
      </c>
      <c r="F9088" t="n">
        <v>31</v>
      </c>
    </row>
    <row r="9089">
      <c r="A9089" t="inlineStr">
        <is>
          <t>ORD09088</t>
        </is>
      </c>
      <c r="B9089" t="inlineStr">
        <is>
          <t>C1588</t>
        </is>
      </c>
      <c r="C9089" t="n">
        <v>1</v>
      </c>
      <c r="D9089" t="inlineStr">
        <is>
          <t>Hub C</t>
        </is>
      </c>
      <c r="E9089" t="n">
        <v>34</v>
      </c>
      <c r="F9089" t="n">
        <v>31</v>
      </c>
    </row>
    <row r="9090">
      <c r="A9090" t="inlineStr">
        <is>
          <t>ORD09089</t>
        </is>
      </c>
      <c r="B9090" t="inlineStr">
        <is>
          <t>C1589</t>
        </is>
      </c>
      <c r="C9090" t="n">
        <v>2</v>
      </c>
      <c r="D9090" t="inlineStr">
        <is>
          <t>Hub C</t>
        </is>
      </c>
      <c r="E9090" t="n">
        <v>41</v>
      </c>
      <c r="F9090" t="n">
        <v>31</v>
      </c>
    </row>
    <row r="9091">
      <c r="A9091" t="inlineStr">
        <is>
          <t>ORD09090</t>
        </is>
      </c>
      <c r="B9091" t="inlineStr">
        <is>
          <t>C1590</t>
        </is>
      </c>
      <c r="C9091" t="n">
        <v>3</v>
      </c>
      <c r="D9091" t="inlineStr">
        <is>
          <t>Hub C</t>
        </is>
      </c>
      <c r="E9091" t="n">
        <v>48</v>
      </c>
      <c r="F9091" t="n">
        <v>31</v>
      </c>
    </row>
    <row r="9092">
      <c r="A9092" t="inlineStr">
        <is>
          <t>ORD09091</t>
        </is>
      </c>
      <c r="B9092" t="inlineStr">
        <is>
          <t>C1591</t>
        </is>
      </c>
      <c r="C9092" t="n">
        <v>1</v>
      </c>
      <c r="D9092" t="inlineStr">
        <is>
          <t>Hub C</t>
        </is>
      </c>
      <c r="E9092" t="n">
        <v>55</v>
      </c>
      <c r="F9092" t="n">
        <v>31</v>
      </c>
    </row>
    <row r="9093">
      <c r="A9093" t="inlineStr">
        <is>
          <t>ORD09092</t>
        </is>
      </c>
      <c r="B9093" t="inlineStr">
        <is>
          <t>C1592</t>
        </is>
      </c>
      <c r="C9093" t="n">
        <v>2</v>
      </c>
      <c r="D9093" t="inlineStr">
        <is>
          <t>Hub C</t>
        </is>
      </c>
      <c r="E9093" t="n">
        <v>62</v>
      </c>
      <c r="F9093" t="n">
        <v>31</v>
      </c>
    </row>
    <row r="9094">
      <c r="A9094" t="inlineStr">
        <is>
          <t>ORD09093</t>
        </is>
      </c>
      <c r="B9094" t="inlineStr">
        <is>
          <t>C1593</t>
        </is>
      </c>
      <c r="C9094" t="n">
        <v>3</v>
      </c>
      <c r="D9094" t="inlineStr">
        <is>
          <t>Hub C</t>
        </is>
      </c>
      <c r="E9094" t="n">
        <v>69</v>
      </c>
      <c r="F9094" t="n">
        <v>31</v>
      </c>
    </row>
    <row r="9095">
      <c r="A9095" t="inlineStr">
        <is>
          <t>ORD09094</t>
        </is>
      </c>
      <c r="B9095" t="inlineStr">
        <is>
          <t>C1594</t>
        </is>
      </c>
      <c r="C9095" t="n">
        <v>1</v>
      </c>
      <c r="D9095" t="inlineStr">
        <is>
          <t>Hub C</t>
        </is>
      </c>
      <c r="E9095" t="n">
        <v>76</v>
      </c>
      <c r="F9095" t="n">
        <v>31</v>
      </c>
    </row>
    <row r="9096">
      <c r="A9096" t="inlineStr">
        <is>
          <t>ORD09095</t>
        </is>
      </c>
      <c r="B9096" t="inlineStr">
        <is>
          <t>C1595</t>
        </is>
      </c>
      <c r="C9096" t="n">
        <v>2</v>
      </c>
      <c r="D9096" t="inlineStr">
        <is>
          <t>Hub C</t>
        </is>
      </c>
      <c r="E9096" t="n">
        <v>23</v>
      </c>
      <c r="F9096" t="n">
        <v>31</v>
      </c>
    </row>
    <row r="9097">
      <c r="A9097" t="inlineStr">
        <is>
          <t>ORD09096</t>
        </is>
      </c>
      <c r="B9097" t="inlineStr">
        <is>
          <t>C1596</t>
        </is>
      </c>
      <c r="C9097" t="n">
        <v>3</v>
      </c>
      <c r="D9097" t="inlineStr">
        <is>
          <t>Hub C</t>
        </is>
      </c>
      <c r="E9097" t="n">
        <v>30</v>
      </c>
      <c r="F9097" t="n">
        <v>31</v>
      </c>
    </row>
    <row r="9098">
      <c r="A9098" t="inlineStr">
        <is>
          <t>ORD09097</t>
        </is>
      </c>
      <c r="B9098" t="inlineStr">
        <is>
          <t>C1597</t>
        </is>
      </c>
      <c r="C9098" t="n">
        <v>1</v>
      </c>
      <c r="D9098" t="inlineStr">
        <is>
          <t>Hub C</t>
        </is>
      </c>
      <c r="E9098" t="n">
        <v>37</v>
      </c>
      <c r="F9098" t="n">
        <v>31</v>
      </c>
    </row>
    <row r="9099">
      <c r="A9099" t="inlineStr">
        <is>
          <t>ORD09098</t>
        </is>
      </c>
      <c r="B9099" t="inlineStr">
        <is>
          <t>C1598</t>
        </is>
      </c>
      <c r="C9099" t="n">
        <v>2</v>
      </c>
      <c r="D9099" t="inlineStr">
        <is>
          <t>Hub C</t>
        </is>
      </c>
      <c r="E9099" t="n">
        <v>44</v>
      </c>
      <c r="F9099" t="n">
        <v>31</v>
      </c>
    </row>
    <row r="9100">
      <c r="A9100" t="inlineStr">
        <is>
          <t>ORD09099</t>
        </is>
      </c>
      <c r="B9100" t="inlineStr">
        <is>
          <t>C1599</t>
        </is>
      </c>
      <c r="C9100" t="n">
        <v>3</v>
      </c>
      <c r="D9100" t="inlineStr">
        <is>
          <t>Hub C</t>
        </is>
      </c>
      <c r="E9100" t="n">
        <v>51</v>
      </c>
      <c r="F9100" t="n">
        <v>31</v>
      </c>
    </row>
    <row r="9101">
      <c r="A9101" t="inlineStr">
        <is>
          <t>ORD09100</t>
        </is>
      </c>
      <c r="B9101" t="inlineStr">
        <is>
          <t>C1600</t>
        </is>
      </c>
      <c r="C9101" t="n">
        <v>1</v>
      </c>
      <c r="D9101" t="inlineStr">
        <is>
          <t>Hub C</t>
        </is>
      </c>
      <c r="E9101" t="n">
        <v>58</v>
      </c>
      <c r="F9101" t="n">
        <v>31</v>
      </c>
    </row>
    <row r="9102">
      <c r="A9102" t="inlineStr">
        <is>
          <t>ORD09101</t>
        </is>
      </c>
      <c r="B9102" t="inlineStr">
        <is>
          <t>C1601</t>
        </is>
      </c>
      <c r="C9102" t="n">
        <v>2</v>
      </c>
      <c r="D9102" t="inlineStr">
        <is>
          <t>Hub C</t>
        </is>
      </c>
      <c r="E9102" t="n">
        <v>65</v>
      </c>
      <c r="F9102" t="n">
        <v>31</v>
      </c>
    </row>
    <row r="9103">
      <c r="A9103" t="inlineStr">
        <is>
          <t>ORD09102</t>
        </is>
      </c>
      <c r="B9103" t="inlineStr">
        <is>
          <t>C1602</t>
        </is>
      </c>
      <c r="C9103" t="n">
        <v>3</v>
      </c>
      <c r="D9103" t="inlineStr">
        <is>
          <t>Hub C</t>
        </is>
      </c>
      <c r="E9103" t="n">
        <v>72</v>
      </c>
      <c r="F9103" t="n">
        <v>31</v>
      </c>
    </row>
    <row r="9104">
      <c r="A9104" t="inlineStr">
        <is>
          <t>ORD09103</t>
        </is>
      </c>
      <c r="B9104" t="inlineStr">
        <is>
          <t>C1603</t>
        </is>
      </c>
      <c r="C9104" t="n">
        <v>1</v>
      </c>
      <c r="D9104" t="inlineStr">
        <is>
          <t>Hub C</t>
        </is>
      </c>
      <c r="E9104" t="n">
        <v>19</v>
      </c>
      <c r="F9104" t="n">
        <v>31</v>
      </c>
    </row>
    <row r="9105">
      <c r="A9105" t="inlineStr">
        <is>
          <t>ORD09104</t>
        </is>
      </c>
      <c r="B9105" t="inlineStr">
        <is>
          <t>C1604</t>
        </is>
      </c>
      <c r="C9105" t="n">
        <v>2</v>
      </c>
      <c r="D9105" t="inlineStr">
        <is>
          <t>Hub C</t>
        </is>
      </c>
      <c r="E9105" t="n">
        <v>26</v>
      </c>
      <c r="F9105" t="n">
        <v>31</v>
      </c>
    </row>
    <row r="9106">
      <c r="A9106" t="inlineStr">
        <is>
          <t>ORD09105</t>
        </is>
      </c>
      <c r="B9106" t="inlineStr">
        <is>
          <t>C1605</t>
        </is>
      </c>
      <c r="C9106" t="n">
        <v>3</v>
      </c>
      <c r="D9106" t="inlineStr">
        <is>
          <t>Hub C</t>
        </is>
      </c>
      <c r="E9106" t="n">
        <v>33</v>
      </c>
      <c r="F9106" t="n">
        <v>31</v>
      </c>
    </row>
    <row r="9107">
      <c r="A9107" t="inlineStr">
        <is>
          <t>ORD09106</t>
        </is>
      </c>
      <c r="B9107" t="inlineStr">
        <is>
          <t>C1606</t>
        </is>
      </c>
      <c r="C9107" t="n">
        <v>1</v>
      </c>
      <c r="D9107" t="inlineStr">
        <is>
          <t>Hub C</t>
        </is>
      </c>
      <c r="E9107" t="n">
        <v>40</v>
      </c>
      <c r="F9107" t="n">
        <v>31</v>
      </c>
    </row>
    <row r="9108">
      <c r="A9108" t="inlineStr">
        <is>
          <t>ORD09107</t>
        </is>
      </c>
      <c r="B9108" t="inlineStr">
        <is>
          <t>C1607</t>
        </is>
      </c>
      <c r="C9108" t="n">
        <v>2</v>
      </c>
      <c r="D9108" t="inlineStr">
        <is>
          <t>Hub C</t>
        </is>
      </c>
      <c r="E9108" t="n">
        <v>47</v>
      </c>
      <c r="F9108" t="n">
        <v>31</v>
      </c>
    </row>
    <row r="9109">
      <c r="A9109" t="inlineStr">
        <is>
          <t>ORD09108</t>
        </is>
      </c>
      <c r="B9109" t="inlineStr">
        <is>
          <t>C1608</t>
        </is>
      </c>
      <c r="C9109" t="n">
        <v>3</v>
      </c>
      <c r="D9109" t="inlineStr">
        <is>
          <t>Hub C</t>
        </is>
      </c>
      <c r="E9109" t="n">
        <v>54</v>
      </c>
      <c r="F9109" t="n">
        <v>31</v>
      </c>
    </row>
    <row r="9110">
      <c r="A9110" t="inlineStr">
        <is>
          <t>ORD09109</t>
        </is>
      </c>
      <c r="B9110" t="inlineStr">
        <is>
          <t>C1609</t>
        </is>
      </c>
      <c r="C9110" t="n">
        <v>1</v>
      </c>
      <c r="D9110" t="inlineStr">
        <is>
          <t>Hub C</t>
        </is>
      </c>
      <c r="E9110" t="n">
        <v>61</v>
      </c>
      <c r="F9110" t="n">
        <v>31</v>
      </c>
    </row>
    <row r="9111">
      <c r="A9111" t="inlineStr">
        <is>
          <t>ORD09110</t>
        </is>
      </c>
      <c r="B9111" t="inlineStr">
        <is>
          <t>C1610</t>
        </is>
      </c>
      <c r="C9111" t="n">
        <v>2</v>
      </c>
      <c r="D9111" t="inlineStr">
        <is>
          <t>Hub C</t>
        </is>
      </c>
      <c r="E9111" t="n">
        <v>68</v>
      </c>
      <c r="F9111" t="n">
        <v>31</v>
      </c>
    </row>
    <row r="9112">
      <c r="A9112" t="inlineStr">
        <is>
          <t>ORD09111</t>
        </is>
      </c>
      <c r="B9112" t="inlineStr">
        <is>
          <t>C1611</t>
        </is>
      </c>
      <c r="C9112" t="n">
        <v>3</v>
      </c>
      <c r="D9112" t="inlineStr">
        <is>
          <t>Hub C</t>
        </is>
      </c>
      <c r="E9112" t="n">
        <v>75</v>
      </c>
      <c r="F9112" t="n">
        <v>31</v>
      </c>
    </row>
    <row r="9113">
      <c r="A9113" t="inlineStr">
        <is>
          <t>ORD09112</t>
        </is>
      </c>
      <c r="B9113" t="inlineStr">
        <is>
          <t>C1612</t>
        </is>
      </c>
      <c r="C9113" t="n">
        <v>1</v>
      </c>
      <c r="D9113" t="inlineStr">
        <is>
          <t>Hub C</t>
        </is>
      </c>
      <c r="E9113" t="n">
        <v>22</v>
      </c>
      <c r="F9113" t="n">
        <v>31</v>
      </c>
    </row>
    <row r="9114">
      <c r="A9114" t="inlineStr">
        <is>
          <t>ORD09113</t>
        </is>
      </c>
      <c r="B9114" t="inlineStr">
        <is>
          <t>C1613</t>
        </is>
      </c>
      <c r="C9114" t="n">
        <v>2</v>
      </c>
      <c r="D9114" t="inlineStr">
        <is>
          <t>Hub C</t>
        </is>
      </c>
      <c r="E9114" t="n">
        <v>29</v>
      </c>
      <c r="F9114" t="n">
        <v>31</v>
      </c>
    </row>
    <row r="9115">
      <c r="A9115" t="inlineStr">
        <is>
          <t>ORD09114</t>
        </is>
      </c>
      <c r="B9115" t="inlineStr">
        <is>
          <t>C1614</t>
        </is>
      </c>
      <c r="C9115" t="n">
        <v>3</v>
      </c>
      <c r="D9115" t="inlineStr">
        <is>
          <t>Hub C</t>
        </is>
      </c>
      <c r="E9115" t="n">
        <v>36</v>
      </c>
      <c r="F9115" t="n">
        <v>31</v>
      </c>
    </row>
    <row r="9116">
      <c r="A9116" t="inlineStr">
        <is>
          <t>ORD09115</t>
        </is>
      </c>
      <c r="B9116" t="inlineStr">
        <is>
          <t>C1615</t>
        </is>
      </c>
      <c r="C9116" t="n">
        <v>1</v>
      </c>
      <c r="D9116" t="inlineStr">
        <is>
          <t>Hub C</t>
        </is>
      </c>
      <c r="E9116" t="n">
        <v>43</v>
      </c>
      <c r="F9116" t="n">
        <v>31</v>
      </c>
    </row>
    <row r="9117">
      <c r="A9117" t="inlineStr">
        <is>
          <t>ORD09116</t>
        </is>
      </c>
      <c r="B9117" t="inlineStr">
        <is>
          <t>C1616</t>
        </is>
      </c>
      <c r="C9117" t="n">
        <v>2</v>
      </c>
      <c r="D9117" t="inlineStr">
        <is>
          <t>Hub C</t>
        </is>
      </c>
      <c r="E9117" t="n">
        <v>50</v>
      </c>
      <c r="F9117" t="n">
        <v>31</v>
      </c>
    </row>
    <row r="9118">
      <c r="A9118" t="inlineStr">
        <is>
          <t>ORD09117</t>
        </is>
      </c>
      <c r="B9118" t="inlineStr">
        <is>
          <t>C1617</t>
        </is>
      </c>
      <c r="C9118" t="n">
        <v>3</v>
      </c>
      <c r="D9118" t="inlineStr">
        <is>
          <t>Hub C</t>
        </is>
      </c>
      <c r="E9118" t="n">
        <v>57</v>
      </c>
      <c r="F9118" t="n">
        <v>31</v>
      </c>
    </row>
    <row r="9119">
      <c r="A9119" t="inlineStr">
        <is>
          <t>ORD09118</t>
        </is>
      </c>
      <c r="B9119" t="inlineStr">
        <is>
          <t>C1618</t>
        </is>
      </c>
      <c r="C9119" t="n">
        <v>1</v>
      </c>
      <c r="D9119" t="inlineStr">
        <is>
          <t>Hub C</t>
        </is>
      </c>
      <c r="E9119" t="n">
        <v>64</v>
      </c>
      <c r="F9119" t="n">
        <v>31</v>
      </c>
    </row>
    <row r="9120">
      <c r="A9120" t="inlineStr">
        <is>
          <t>ORD09119</t>
        </is>
      </c>
      <c r="B9120" t="inlineStr">
        <is>
          <t>C1619</t>
        </is>
      </c>
      <c r="C9120" t="n">
        <v>2</v>
      </c>
      <c r="D9120" t="inlineStr">
        <is>
          <t>Hub C</t>
        </is>
      </c>
      <c r="E9120" t="n">
        <v>71</v>
      </c>
      <c r="F9120" t="n">
        <v>31</v>
      </c>
    </row>
    <row r="9121">
      <c r="A9121" t="inlineStr">
        <is>
          <t>ORD09120</t>
        </is>
      </c>
      <c r="B9121" t="inlineStr">
        <is>
          <t>C1620</t>
        </is>
      </c>
      <c r="C9121" t="n">
        <v>3</v>
      </c>
      <c r="D9121" t="inlineStr">
        <is>
          <t>Hub C</t>
        </is>
      </c>
      <c r="E9121" t="n">
        <v>18</v>
      </c>
      <c r="F9121" t="n">
        <v>31</v>
      </c>
    </row>
    <row r="9122">
      <c r="A9122" t="inlineStr">
        <is>
          <t>ORD09121</t>
        </is>
      </c>
      <c r="B9122" t="inlineStr">
        <is>
          <t>C1621</t>
        </is>
      </c>
      <c r="C9122" t="n">
        <v>1</v>
      </c>
      <c r="D9122" t="inlineStr">
        <is>
          <t>Hub C</t>
        </is>
      </c>
      <c r="E9122" t="n">
        <v>25</v>
      </c>
      <c r="F9122" t="n">
        <v>31</v>
      </c>
    </row>
    <row r="9123">
      <c r="A9123" t="inlineStr">
        <is>
          <t>ORD09122</t>
        </is>
      </c>
      <c r="B9123" t="inlineStr">
        <is>
          <t>C1622</t>
        </is>
      </c>
      <c r="C9123" t="n">
        <v>2</v>
      </c>
      <c r="D9123" t="inlineStr">
        <is>
          <t>Hub C</t>
        </is>
      </c>
      <c r="E9123" t="n">
        <v>32</v>
      </c>
      <c r="F9123" t="n">
        <v>31</v>
      </c>
    </row>
    <row r="9124">
      <c r="A9124" t="inlineStr">
        <is>
          <t>ORD09123</t>
        </is>
      </c>
      <c r="B9124" t="inlineStr">
        <is>
          <t>C1623</t>
        </is>
      </c>
      <c r="C9124" t="n">
        <v>3</v>
      </c>
      <c r="D9124" t="inlineStr">
        <is>
          <t>Hub C</t>
        </is>
      </c>
      <c r="E9124" t="n">
        <v>39</v>
      </c>
      <c r="F9124" t="n">
        <v>31</v>
      </c>
    </row>
    <row r="9125">
      <c r="A9125" t="inlineStr">
        <is>
          <t>ORD09124</t>
        </is>
      </c>
      <c r="B9125" t="inlineStr">
        <is>
          <t>C1624</t>
        </is>
      </c>
      <c r="C9125" t="n">
        <v>1</v>
      </c>
      <c r="D9125" t="inlineStr">
        <is>
          <t>Hub C</t>
        </is>
      </c>
      <c r="E9125" t="n">
        <v>46</v>
      </c>
      <c r="F9125" t="n">
        <v>31</v>
      </c>
    </row>
    <row r="9126">
      <c r="A9126" t="inlineStr">
        <is>
          <t>ORD09125</t>
        </is>
      </c>
      <c r="B9126" t="inlineStr">
        <is>
          <t>C1625</t>
        </is>
      </c>
      <c r="C9126" t="n">
        <v>2</v>
      </c>
      <c r="D9126" t="inlineStr">
        <is>
          <t>Hub C</t>
        </is>
      </c>
      <c r="E9126" t="n">
        <v>53</v>
      </c>
      <c r="F9126" t="n">
        <v>31</v>
      </c>
    </row>
    <row r="9127">
      <c r="A9127" t="inlineStr">
        <is>
          <t>ORD09126</t>
        </is>
      </c>
      <c r="B9127" t="inlineStr">
        <is>
          <t>C1626</t>
        </is>
      </c>
      <c r="C9127" t="n">
        <v>3</v>
      </c>
      <c r="D9127" t="inlineStr">
        <is>
          <t>Hub C</t>
        </is>
      </c>
      <c r="E9127" t="n">
        <v>60</v>
      </c>
      <c r="F9127" t="n">
        <v>31</v>
      </c>
    </row>
    <row r="9128">
      <c r="A9128" t="inlineStr">
        <is>
          <t>ORD09127</t>
        </is>
      </c>
      <c r="B9128" t="inlineStr">
        <is>
          <t>C1627</t>
        </is>
      </c>
      <c r="C9128" t="n">
        <v>1</v>
      </c>
      <c r="D9128" t="inlineStr">
        <is>
          <t>Hub C</t>
        </is>
      </c>
      <c r="E9128" t="n">
        <v>67</v>
      </c>
      <c r="F9128" t="n">
        <v>31</v>
      </c>
    </row>
    <row r="9129">
      <c r="A9129" t="inlineStr">
        <is>
          <t>ORD09128</t>
        </is>
      </c>
      <c r="B9129" t="inlineStr">
        <is>
          <t>C1628</t>
        </is>
      </c>
      <c r="C9129" t="n">
        <v>2</v>
      </c>
      <c r="D9129" t="inlineStr">
        <is>
          <t>Hub C</t>
        </is>
      </c>
      <c r="E9129" t="n">
        <v>74</v>
      </c>
      <c r="F9129" t="n">
        <v>31</v>
      </c>
    </row>
    <row r="9130">
      <c r="A9130" t="inlineStr">
        <is>
          <t>ORD09129</t>
        </is>
      </c>
      <c r="B9130" t="inlineStr">
        <is>
          <t>C1629</t>
        </is>
      </c>
      <c r="C9130" t="n">
        <v>3</v>
      </c>
      <c r="D9130" t="inlineStr">
        <is>
          <t>Hub C</t>
        </is>
      </c>
      <c r="E9130" t="n">
        <v>21</v>
      </c>
      <c r="F9130" t="n">
        <v>31</v>
      </c>
    </row>
    <row r="9131">
      <c r="A9131" t="inlineStr">
        <is>
          <t>ORD09130</t>
        </is>
      </c>
      <c r="B9131" t="inlineStr">
        <is>
          <t>C1630</t>
        </is>
      </c>
      <c r="C9131" t="n">
        <v>1</v>
      </c>
      <c r="D9131" t="inlineStr">
        <is>
          <t>Hub C</t>
        </is>
      </c>
      <c r="E9131" t="n">
        <v>28</v>
      </c>
      <c r="F9131" t="n">
        <v>50</v>
      </c>
    </row>
    <row r="9132">
      <c r="A9132" t="inlineStr">
        <is>
          <t>ORD09131</t>
        </is>
      </c>
      <c r="B9132" t="inlineStr">
        <is>
          <t>C1631</t>
        </is>
      </c>
      <c r="C9132" t="n">
        <v>2</v>
      </c>
      <c r="D9132" t="inlineStr">
        <is>
          <t>Hub C</t>
        </is>
      </c>
      <c r="E9132" t="n">
        <v>35</v>
      </c>
      <c r="F9132" t="n">
        <v>50</v>
      </c>
    </row>
    <row r="9133">
      <c r="A9133" t="inlineStr">
        <is>
          <t>ORD09132</t>
        </is>
      </c>
      <c r="B9133" t="inlineStr">
        <is>
          <t>C1632</t>
        </is>
      </c>
      <c r="C9133" t="n">
        <v>3</v>
      </c>
      <c r="D9133" t="inlineStr">
        <is>
          <t>Hub C</t>
        </is>
      </c>
      <c r="E9133" t="n">
        <v>42</v>
      </c>
      <c r="F9133" t="n">
        <v>50</v>
      </c>
    </row>
    <row r="9134">
      <c r="A9134" t="inlineStr">
        <is>
          <t>ORD09133</t>
        </is>
      </c>
      <c r="B9134" t="inlineStr">
        <is>
          <t>C1633</t>
        </is>
      </c>
      <c r="C9134" t="n">
        <v>1</v>
      </c>
      <c r="D9134" t="inlineStr">
        <is>
          <t>Hub C</t>
        </is>
      </c>
      <c r="E9134" t="n">
        <v>49</v>
      </c>
      <c r="F9134" t="n">
        <v>50</v>
      </c>
    </row>
    <row r="9135">
      <c r="A9135" t="inlineStr">
        <is>
          <t>ORD09134</t>
        </is>
      </c>
      <c r="B9135" t="inlineStr">
        <is>
          <t>C1634</t>
        </is>
      </c>
      <c r="C9135" t="n">
        <v>2</v>
      </c>
      <c r="D9135" t="inlineStr">
        <is>
          <t>Hub C</t>
        </is>
      </c>
      <c r="E9135" t="n">
        <v>56</v>
      </c>
      <c r="F9135" t="n">
        <v>50</v>
      </c>
    </row>
    <row r="9136">
      <c r="A9136" t="inlineStr">
        <is>
          <t>ORD09135</t>
        </is>
      </c>
      <c r="B9136" t="inlineStr">
        <is>
          <t>C1635</t>
        </is>
      </c>
      <c r="C9136" t="n">
        <v>3</v>
      </c>
      <c r="D9136" t="inlineStr">
        <is>
          <t>Hub C</t>
        </is>
      </c>
      <c r="E9136" t="n">
        <v>63</v>
      </c>
      <c r="F9136" t="n">
        <v>50</v>
      </c>
    </row>
    <row r="9137">
      <c r="A9137" t="inlineStr">
        <is>
          <t>ORD09136</t>
        </is>
      </c>
      <c r="B9137" t="inlineStr">
        <is>
          <t>C1636</t>
        </is>
      </c>
      <c r="C9137" t="n">
        <v>1</v>
      </c>
      <c r="D9137" t="inlineStr">
        <is>
          <t>Hub C</t>
        </is>
      </c>
      <c r="E9137" t="n">
        <v>70</v>
      </c>
      <c r="F9137" t="n">
        <v>50</v>
      </c>
    </row>
    <row r="9138">
      <c r="A9138" t="inlineStr">
        <is>
          <t>ORD09137</t>
        </is>
      </c>
      <c r="B9138" t="inlineStr">
        <is>
          <t>C1637</t>
        </is>
      </c>
      <c r="C9138" t="n">
        <v>2</v>
      </c>
      <c r="D9138" t="inlineStr">
        <is>
          <t>Hub C</t>
        </is>
      </c>
      <c r="E9138" t="n">
        <v>77</v>
      </c>
      <c r="F9138" t="n">
        <v>50</v>
      </c>
    </row>
    <row r="9139">
      <c r="A9139" t="inlineStr">
        <is>
          <t>ORD09138</t>
        </is>
      </c>
      <c r="B9139" t="inlineStr">
        <is>
          <t>C1638</t>
        </is>
      </c>
      <c r="C9139" t="n">
        <v>3</v>
      </c>
      <c r="D9139" t="inlineStr">
        <is>
          <t>Hub C</t>
        </is>
      </c>
      <c r="E9139" t="n">
        <v>24</v>
      </c>
      <c r="F9139" t="n">
        <v>50</v>
      </c>
    </row>
    <row r="9140">
      <c r="A9140" t="inlineStr">
        <is>
          <t>ORD09139</t>
        </is>
      </c>
      <c r="B9140" t="inlineStr">
        <is>
          <t>C1639</t>
        </is>
      </c>
      <c r="C9140" t="n">
        <v>1</v>
      </c>
      <c r="D9140" t="inlineStr">
        <is>
          <t>Hub C</t>
        </is>
      </c>
      <c r="E9140" t="n">
        <v>31</v>
      </c>
      <c r="F9140" t="n">
        <v>50</v>
      </c>
    </row>
    <row r="9141">
      <c r="A9141" t="inlineStr">
        <is>
          <t>ORD09140</t>
        </is>
      </c>
      <c r="B9141" t="inlineStr">
        <is>
          <t>C1640</t>
        </is>
      </c>
      <c r="C9141" t="n">
        <v>2</v>
      </c>
      <c r="D9141" t="inlineStr">
        <is>
          <t>Hub C</t>
        </is>
      </c>
      <c r="E9141" t="n">
        <v>38</v>
      </c>
      <c r="F9141" t="n">
        <v>50</v>
      </c>
    </row>
    <row r="9142">
      <c r="A9142" t="inlineStr">
        <is>
          <t>ORD09141</t>
        </is>
      </c>
      <c r="B9142" t="inlineStr">
        <is>
          <t>C1641</t>
        </is>
      </c>
      <c r="C9142" t="n">
        <v>3</v>
      </c>
      <c r="D9142" t="inlineStr">
        <is>
          <t>Hub C</t>
        </is>
      </c>
      <c r="E9142" t="n">
        <v>45</v>
      </c>
      <c r="F9142" t="n">
        <v>50</v>
      </c>
    </row>
    <row r="9143">
      <c r="A9143" t="inlineStr">
        <is>
          <t>ORD09142</t>
        </is>
      </c>
      <c r="B9143" t="inlineStr">
        <is>
          <t>C1642</t>
        </is>
      </c>
      <c r="C9143" t="n">
        <v>1</v>
      </c>
      <c r="D9143" t="inlineStr">
        <is>
          <t>Hub C</t>
        </is>
      </c>
      <c r="E9143" t="n">
        <v>52</v>
      </c>
      <c r="F9143" t="n">
        <v>50</v>
      </c>
    </row>
    <row r="9144">
      <c r="A9144" t="inlineStr">
        <is>
          <t>ORD09143</t>
        </is>
      </c>
      <c r="B9144" t="inlineStr">
        <is>
          <t>C1643</t>
        </is>
      </c>
      <c r="C9144" t="n">
        <v>2</v>
      </c>
      <c r="D9144" t="inlineStr">
        <is>
          <t>Hub C</t>
        </is>
      </c>
      <c r="E9144" t="n">
        <v>59</v>
      </c>
      <c r="F9144" t="n">
        <v>50</v>
      </c>
    </row>
    <row r="9145">
      <c r="A9145" t="inlineStr">
        <is>
          <t>ORD09144</t>
        </is>
      </c>
      <c r="B9145" t="inlineStr">
        <is>
          <t>C1644</t>
        </is>
      </c>
      <c r="C9145" t="n">
        <v>3</v>
      </c>
      <c r="D9145" t="inlineStr">
        <is>
          <t>Hub C</t>
        </is>
      </c>
      <c r="E9145" t="n">
        <v>66</v>
      </c>
      <c r="F9145" t="n">
        <v>50</v>
      </c>
    </row>
    <row r="9146">
      <c r="A9146" t="inlineStr">
        <is>
          <t>ORD09145</t>
        </is>
      </c>
      <c r="B9146" t="inlineStr">
        <is>
          <t>C1645</t>
        </is>
      </c>
      <c r="C9146" t="n">
        <v>1</v>
      </c>
      <c r="D9146" t="inlineStr">
        <is>
          <t>Hub C</t>
        </is>
      </c>
      <c r="E9146" t="n">
        <v>73</v>
      </c>
      <c r="F9146" t="n">
        <v>50</v>
      </c>
    </row>
    <row r="9147">
      <c r="A9147" t="inlineStr">
        <is>
          <t>ORD09146</t>
        </is>
      </c>
      <c r="B9147" t="inlineStr">
        <is>
          <t>C1646</t>
        </is>
      </c>
      <c r="C9147" t="n">
        <v>2</v>
      </c>
      <c r="D9147" t="inlineStr">
        <is>
          <t>Hub C</t>
        </is>
      </c>
      <c r="E9147" t="n">
        <v>20</v>
      </c>
      <c r="F9147" t="n">
        <v>50</v>
      </c>
    </row>
    <row r="9148">
      <c r="A9148" t="inlineStr">
        <is>
          <t>ORD09147</t>
        </is>
      </c>
      <c r="B9148" t="inlineStr">
        <is>
          <t>C1647</t>
        </is>
      </c>
      <c r="C9148" t="n">
        <v>3</v>
      </c>
      <c r="D9148" t="inlineStr">
        <is>
          <t>Hub C</t>
        </is>
      </c>
      <c r="E9148" t="n">
        <v>27</v>
      </c>
      <c r="F9148" t="n">
        <v>50</v>
      </c>
    </row>
    <row r="9149">
      <c r="A9149" t="inlineStr">
        <is>
          <t>ORD09148</t>
        </is>
      </c>
      <c r="B9149" t="inlineStr">
        <is>
          <t>C1648</t>
        </is>
      </c>
      <c r="C9149" t="n">
        <v>1</v>
      </c>
      <c r="D9149" t="inlineStr">
        <is>
          <t>Hub C</t>
        </is>
      </c>
      <c r="E9149" t="n">
        <v>34</v>
      </c>
      <c r="F9149" t="n">
        <v>50</v>
      </c>
    </row>
    <row r="9150">
      <c r="A9150" t="inlineStr">
        <is>
          <t>ORD09149</t>
        </is>
      </c>
      <c r="B9150" t="inlineStr">
        <is>
          <t>C1649</t>
        </is>
      </c>
      <c r="C9150" t="n">
        <v>2</v>
      </c>
      <c r="D9150" t="inlineStr">
        <is>
          <t>Hub C</t>
        </is>
      </c>
      <c r="E9150" t="n">
        <v>41</v>
      </c>
      <c r="F9150" t="n">
        <v>50</v>
      </c>
    </row>
    <row r="9151">
      <c r="A9151" t="inlineStr">
        <is>
          <t>ORD09150</t>
        </is>
      </c>
      <c r="B9151" t="inlineStr">
        <is>
          <t>C1650</t>
        </is>
      </c>
      <c r="C9151" t="n">
        <v>3</v>
      </c>
      <c r="D9151" t="inlineStr">
        <is>
          <t>Hub C</t>
        </is>
      </c>
      <c r="E9151" t="n">
        <v>48</v>
      </c>
      <c r="F9151" t="n">
        <v>50</v>
      </c>
    </row>
    <row r="9152">
      <c r="A9152" t="inlineStr">
        <is>
          <t>ORD09151</t>
        </is>
      </c>
      <c r="B9152" t="inlineStr">
        <is>
          <t>C1651</t>
        </is>
      </c>
      <c r="C9152" t="n">
        <v>1</v>
      </c>
      <c r="D9152" t="inlineStr">
        <is>
          <t>Hub C</t>
        </is>
      </c>
      <c r="E9152" t="n">
        <v>55</v>
      </c>
      <c r="F9152" t="n">
        <v>50</v>
      </c>
    </row>
    <row r="9153">
      <c r="A9153" t="inlineStr">
        <is>
          <t>ORD09152</t>
        </is>
      </c>
      <c r="B9153" t="inlineStr">
        <is>
          <t>C1652</t>
        </is>
      </c>
      <c r="C9153" t="n">
        <v>2</v>
      </c>
      <c r="D9153" t="inlineStr">
        <is>
          <t>Hub C</t>
        </is>
      </c>
      <c r="E9153" t="n">
        <v>62</v>
      </c>
      <c r="F9153" t="n">
        <v>50</v>
      </c>
    </row>
    <row r="9154">
      <c r="A9154" t="inlineStr">
        <is>
          <t>ORD09153</t>
        </is>
      </c>
      <c r="B9154" t="inlineStr">
        <is>
          <t>C1653</t>
        </is>
      </c>
      <c r="C9154" t="n">
        <v>3</v>
      </c>
      <c r="D9154" t="inlineStr">
        <is>
          <t>Hub C</t>
        </is>
      </c>
      <c r="E9154" t="n">
        <v>69</v>
      </c>
      <c r="F9154" t="n">
        <v>50</v>
      </c>
    </row>
    <row r="9155">
      <c r="A9155" t="inlineStr">
        <is>
          <t>ORD09154</t>
        </is>
      </c>
      <c r="B9155" t="inlineStr">
        <is>
          <t>C1654</t>
        </is>
      </c>
      <c r="C9155" t="n">
        <v>1</v>
      </c>
      <c r="D9155" t="inlineStr">
        <is>
          <t>Hub C</t>
        </is>
      </c>
      <c r="E9155" t="n">
        <v>76</v>
      </c>
      <c r="F9155" t="n">
        <v>50</v>
      </c>
    </row>
    <row r="9156">
      <c r="A9156" t="inlineStr">
        <is>
          <t>ORD09155</t>
        </is>
      </c>
      <c r="B9156" t="inlineStr">
        <is>
          <t>C1655</t>
        </is>
      </c>
      <c r="C9156" t="n">
        <v>2</v>
      </c>
      <c r="D9156" t="inlineStr">
        <is>
          <t>Hub C</t>
        </is>
      </c>
      <c r="E9156" t="n">
        <v>23</v>
      </c>
      <c r="F9156" t="n">
        <v>50</v>
      </c>
    </row>
    <row r="9157">
      <c r="A9157" t="inlineStr">
        <is>
          <t>ORD09156</t>
        </is>
      </c>
      <c r="B9157" t="inlineStr">
        <is>
          <t>C1656</t>
        </is>
      </c>
      <c r="C9157" t="n">
        <v>3</v>
      </c>
      <c r="D9157" t="inlineStr">
        <is>
          <t>Hub C</t>
        </is>
      </c>
      <c r="E9157" t="n">
        <v>30</v>
      </c>
      <c r="F9157" t="n">
        <v>50</v>
      </c>
    </row>
    <row r="9158">
      <c r="A9158" t="inlineStr">
        <is>
          <t>ORD09157</t>
        </is>
      </c>
      <c r="B9158" t="inlineStr">
        <is>
          <t>C1657</t>
        </is>
      </c>
      <c r="C9158" t="n">
        <v>1</v>
      </c>
      <c r="D9158" t="inlineStr">
        <is>
          <t>Hub C</t>
        </is>
      </c>
      <c r="E9158" t="n">
        <v>37</v>
      </c>
      <c r="F9158" t="n">
        <v>50</v>
      </c>
    </row>
    <row r="9159">
      <c r="A9159" t="inlineStr">
        <is>
          <t>ORD09158</t>
        </is>
      </c>
      <c r="B9159" t="inlineStr">
        <is>
          <t>C1658</t>
        </is>
      </c>
      <c r="C9159" t="n">
        <v>2</v>
      </c>
      <c r="D9159" t="inlineStr">
        <is>
          <t>Hub C</t>
        </is>
      </c>
      <c r="E9159" t="n">
        <v>44</v>
      </c>
      <c r="F9159" t="n">
        <v>50</v>
      </c>
    </row>
    <row r="9160">
      <c r="A9160" t="inlineStr">
        <is>
          <t>ORD09159</t>
        </is>
      </c>
      <c r="B9160" t="inlineStr">
        <is>
          <t>C1659</t>
        </is>
      </c>
      <c r="C9160" t="n">
        <v>3</v>
      </c>
      <c r="D9160" t="inlineStr">
        <is>
          <t>Hub C</t>
        </is>
      </c>
      <c r="E9160" t="n">
        <v>51</v>
      </c>
      <c r="F9160" t="n">
        <v>50</v>
      </c>
    </row>
    <row r="9161">
      <c r="A9161" t="inlineStr">
        <is>
          <t>ORD09160</t>
        </is>
      </c>
      <c r="B9161" t="inlineStr">
        <is>
          <t>C1660</t>
        </is>
      </c>
      <c r="C9161" t="n">
        <v>1</v>
      </c>
      <c r="D9161" t="inlineStr">
        <is>
          <t>Hub C</t>
        </is>
      </c>
      <c r="E9161" t="n">
        <v>58</v>
      </c>
      <c r="F9161" t="n">
        <v>50</v>
      </c>
    </row>
    <row r="9162">
      <c r="A9162" t="inlineStr">
        <is>
          <t>ORD09161</t>
        </is>
      </c>
      <c r="B9162" t="inlineStr">
        <is>
          <t>C1661</t>
        </is>
      </c>
      <c r="C9162" t="n">
        <v>2</v>
      </c>
      <c r="D9162" t="inlineStr">
        <is>
          <t>Hub C</t>
        </is>
      </c>
      <c r="E9162" t="n">
        <v>65</v>
      </c>
      <c r="F9162" t="n">
        <v>50</v>
      </c>
    </row>
    <row r="9163">
      <c r="A9163" t="inlineStr">
        <is>
          <t>ORD09162</t>
        </is>
      </c>
      <c r="B9163" t="inlineStr">
        <is>
          <t>C1662</t>
        </is>
      </c>
      <c r="C9163" t="n">
        <v>3</v>
      </c>
      <c r="D9163" t="inlineStr">
        <is>
          <t>Hub C</t>
        </is>
      </c>
      <c r="E9163" t="n">
        <v>72</v>
      </c>
      <c r="F9163" t="n">
        <v>50</v>
      </c>
    </row>
    <row r="9164">
      <c r="A9164" t="inlineStr">
        <is>
          <t>ORD09163</t>
        </is>
      </c>
      <c r="B9164" t="inlineStr">
        <is>
          <t>C1663</t>
        </is>
      </c>
      <c r="C9164" t="n">
        <v>1</v>
      </c>
      <c r="D9164" t="inlineStr">
        <is>
          <t>Hub C</t>
        </is>
      </c>
      <c r="E9164" t="n">
        <v>19</v>
      </c>
      <c r="F9164" t="n">
        <v>50</v>
      </c>
    </row>
    <row r="9165">
      <c r="A9165" t="inlineStr">
        <is>
          <t>ORD09164</t>
        </is>
      </c>
      <c r="B9165" t="inlineStr">
        <is>
          <t>C1664</t>
        </is>
      </c>
      <c r="C9165" t="n">
        <v>2</v>
      </c>
      <c r="D9165" t="inlineStr">
        <is>
          <t>Hub C</t>
        </is>
      </c>
      <c r="E9165" t="n">
        <v>26</v>
      </c>
      <c r="F9165" t="n">
        <v>50</v>
      </c>
    </row>
    <row r="9166">
      <c r="A9166" t="inlineStr">
        <is>
          <t>ORD09165</t>
        </is>
      </c>
      <c r="B9166" t="inlineStr">
        <is>
          <t>C1665</t>
        </is>
      </c>
      <c r="C9166" t="n">
        <v>3</v>
      </c>
      <c r="D9166" t="inlineStr">
        <is>
          <t>Hub C</t>
        </is>
      </c>
      <c r="E9166" t="n">
        <v>33</v>
      </c>
      <c r="F9166" t="n">
        <v>50</v>
      </c>
    </row>
    <row r="9167">
      <c r="A9167" t="inlineStr">
        <is>
          <t>ORD09166</t>
        </is>
      </c>
      <c r="B9167" t="inlineStr">
        <is>
          <t>C1666</t>
        </is>
      </c>
      <c r="C9167" t="n">
        <v>1</v>
      </c>
      <c r="D9167" t="inlineStr">
        <is>
          <t>Hub C</t>
        </is>
      </c>
      <c r="E9167" t="n">
        <v>40</v>
      </c>
      <c r="F9167" t="n">
        <v>50</v>
      </c>
    </row>
    <row r="9168">
      <c r="A9168" t="inlineStr">
        <is>
          <t>ORD09167</t>
        </is>
      </c>
      <c r="B9168" t="inlineStr">
        <is>
          <t>C1667</t>
        </is>
      </c>
      <c r="C9168" t="n">
        <v>2</v>
      </c>
      <c r="D9168" t="inlineStr">
        <is>
          <t>Hub C</t>
        </is>
      </c>
      <c r="E9168" t="n">
        <v>47</v>
      </c>
      <c r="F9168" t="n">
        <v>50</v>
      </c>
    </row>
    <row r="9169">
      <c r="A9169" t="inlineStr">
        <is>
          <t>ORD09168</t>
        </is>
      </c>
      <c r="B9169" t="inlineStr">
        <is>
          <t>C1668</t>
        </is>
      </c>
      <c r="C9169" t="n">
        <v>3</v>
      </c>
      <c r="D9169" t="inlineStr">
        <is>
          <t>Hub C</t>
        </is>
      </c>
      <c r="E9169" t="n">
        <v>54</v>
      </c>
      <c r="F9169" t="n">
        <v>50</v>
      </c>
    </row>
    <row r="9170">
      <c r="A9170" t="inlineStr">
        <is>
          <t>ORD09169</t>
        </is>
      </c>
      <c r="B9170" t="inlineStr">
        <is>
          <t>C1669</t>
        </is>
      </c>
      <c r="C9170" t="n">
        <v>1</v>
      </c>
      <c r="D9170" t="inlineStr">
        <is>
          <t>Hub C</t>
        </is>
      </c>
      <c r="E9170" t="n">
        <v>61</v>
      </c>
      <c r="F9170" t="n">
        <v>50</v>
      </c>
    </row>
    <row r="9171">
      <c r="A9171" t="inlineStr">
        <is>
          <t>ORD09170</t>
        </is>
      </c>
      <c r="B9171" t="inlineStr">
        <is>
          <t>C1670</t>
        </is>
      </c>
      <c r="C9171" t="n">
        <v>2</v>
      </c>
      <c r="D9171" t="inlineStr">
        <is>
          <t>Hub C</t>
        </is>
      </c>
      <c r="E9171" t="n">
        <v>68</v>
      </c>
      <c r="F9171" t="n">
        <v>50</v>
      </c>
    </row>
    <row r="9172">
      <c r="A9172" t="inlineStr">
        <is>
          <t>ORD09171</t>
        </is>
      </c>
      <c r="B9172" t="inlineStr">
        <is>
          <t>C1671</t>
        </is>
      </c>
      <c r="C9172" t="n">
        <v>3</v>
      </c>
      <c r="D9172" t="inlineStr">
        <is>
          <t>Hub C</t>
        </is>
      </c>
      <c r="E9172" t="n">
        <v>75</v>
      </c>
      <c r="F9172" t="n">
        <v>50</v>
      </c>
    </row>
    <row r="9173">
      <c r="A9173" t="inlineStr">
        <is>
          <t>ORD09172</t>
        </is>
      </c>
      <c r="B9173" t="inlineStr">
        <is>
          <t>C1672</t>
        </is>
      </c>
      <c r="C9173" t="n">
        <v>1</v>
      </c>
      <c r="D9173" t="inlineStr">
        <is>
          <t>Hub C</t>
        </is>
      </c>
      <c r="E9173" t="n">
        <v>22</v>
      </c>
      <c r="F9173" t="n">
        <v>50</v>
      </c>
    </row>
    <row r="9174">
      <c r="A9174" t="inlineStr">
        <is>
          <t>ORD09173</t>
        </is>
      </c>
      <c r="B9174" t="inlineStr">
        <is>
          <t>C1673</t>
        </is>
      </c>
      <c r="C9174" t="n">
        <v>2</v>
      </c>
      <c r="D9174" t="inlineStr">
        <is>
          <t>Hub C</t>
        </is>
      </c>
      <c r="E9174" t="n">
        <v>29</v>
      </c>
      <c r="F9174" t="n">
        <v>50</v>
      </c>
    </row>
    <row r="9175">
      <c r="A9175" t="inlineStr">
        <is>
          <t>ORD09174</t>
        </is>
      </c>
      <c r="B9175" t="inlineStr">
        <is>
          <t>C1674</t>
        </is>
      </c>
      <c r="C9175" t="n">
        <v>3</v>
      </c>
      <c r="D9175" t="inlineStr">
        <is>
          <t>Hub C</t>
        </is>
      </c>
      <c r="E9175" t="n">
        <v>36</v>
      </c>
      <c r="F9175" t="n">
        <v>50</v>
      </c>
    </row>
    <row r="9176">
      <c r="A9176" t="inlineStr">
        <is>
          <t>ORD09175</t>
        </is>
      </c>
      <c r="B9176" t="inlineStr">
        <is>
          <t>C1675</t>
        </is>
      </c>
      <c r="C9176" t="n">
        <v>1</v>
      </c>
      <c r="D9176" t="inlineStr">
        <is>
          <t>Hub C</t>
        </is>
      </c>
      <c r="E9176" t="n">
        <v>43</v>
      </c>
      <c r="F9176" t="n">
        <v>50</v>
      </c>
    </row>
    <row r="9177">
      <c r="A9177" t="inlineStr">
        <is>
          <t>ORD09176</t>
        </is>
      </c>
      <c r="B9177" t="inlineStr">
        <is>
          <t>C1676</t>
        </is>
      </c>
      <c r="C9177" t="n">
        <v>2</v>
      </c>
      <c r="D9177" t="inlineStr">
        <is>
          <t>Hub C</t>
        </is>
      </c>
      <c r="E9177" t="n">
        <v>50</v>
      </c>
      <c r="F9177" t="n">
        <v>50</v>
      </c>
    </row>
    <row r="9178">
      <c r="A9178" t="inlineStr">
        <is>
          <t>ORD09177</t>
        </is>
      </c>
      <c r="B9178" t="inlineStr">
        <is>
          <t>C1677</t>
        </is>
      </c>
      <c r="C9178" t="n">
        <v>3</v>
      </c>
      <c r="D9178" t="inlineStr">
        <is>
          <t>Hub C</t>
        </is>
      </c>
      <c r="E9178" t="n">
        <v>57</v>
      </c>
      <c r="F9178" t="n">
        <v>50</v>
      </c>
    </row>
    <row r="9179">
      <c r="A9179" t="inlineStr">
        <is>
          <t>ORD09178</t>
        </is>
      </c>
      <c r="B9179" t="inlineStr">
        <is>
          <t>C1678</t>
        </is>
      </c>
      <c r="C9179" t="n">
        <v>1</v>
      </c>
      <c r="D9179" t="inlineStr">
        <is>
          <t>Hub C</t>
        </is>
      </c>
      <c r="E9179" t="n">
        <v>64</v>
      </c>
      <c r="F9179" t="n">
        <v>50</v>
      </c>
    </row>
    <row r="9180">
      <c r="A9180" t="inlineStr">
        <is>
          <t>ORD09179</t>
        </is>
      </c>
      <c r="B9180" t="inlineStr">
        <is>
          <t>C1679</t>
        </is>
      </c>
      <c r="C9180" t="n">
        <v>2</v>
      </c>
      <c r="D9180" t="inlineStr">
        <is>
          <t>Hub C</t>
        </is>
      </c>
      <c r="E9180" t="n">
        <v>71</v>
      </c>
      <c r="F9180" t="n">
        <v>50</v>
      </c>
    </row>
    <row r="9181">
      <c r="A9181" t="inlineStr">
        <is>
          <t>ORD09180</t>
        </is>
      </c>
      <c r="B9181" t="inlineStr">
        <is>
          <t>C1680</t>
        </is>
      </c>
      <c r="C9181" t="n">
        <v>3</v>
      </c>
      <c r="D9181" t="inlineStr">
        <is>
          <t>Hub C</t>
        </is>
      </c>
      <c r="E9181" t="n">
        <v>18</v>
      </c>
      <c r="F9181" t="n">
        <v>50</v>
      </c>
    </row>
    <row r="9182">
      <c r="A9182" t="inlineStr">
        <is>
          <t>ORD09181</t>
        </is>
      </c>
      <c r="B9182" t="inlineStr">
        <is>
          <t>C1681</t>
        </is>
      </c>
      <c r="C9182" t="n">
        <v>1</v>
      </c>
      <c r="D9182" t="inlineStr">
        <is>
          <t>Hub C</t>
        </is>
      </c>
      <c r="E9182" t="n">
        <v>25</v>
      </c>
      <c r="F9182" t="n">
        <v>50</v>
      </c>
    </row>
    <row r="9183">
      <c r="A9183" t="inlineStr">
        <is>
          <t>ORD09182</t>
        </is>
      </c>
      <c r="B9183" t="inlineStr">
        <is>
          <t>C1682</t>
        </is>
      </c>
      <c r="C9183" t="n">
        <v>2</v>
      </c>
      <c r="D9183" t="inlineStr">
        <is>
          <t>Hub C</t>
        </is>
      </c>
      <c r="E9183" t="n">
        <v>32</v>
      </c>
      <c r="F9183" t="n">
        <v>50</v>
      </c>
    </row>
    <row r="9184">
      <c r="A9184" t="inlineStr">
        <is>
          <t>ORD09183</t>
        </is>
      </c>
      <c r="B9184" t="inlineStr">
        <is>
          <t>C1683</t>
        </is>
      </c>
      <c r="C9184" t="n">
        <v>3</v>
      </c>
      <c r="D9184" t="inlineStr">
        <is>
          <t>Hub C</t>
        </is>
      </c>
      <c r="E9184" t="n">
        <v>39</v>
      </c>
      <c r="F9184" t="n">
        <v>50</v>
      </c>
    </row>
    <row r="9185">
      <c r="A9185" t="inlineStr">
        <is>
          <t>ORD09184</t>
        </is>
      </c>
      <c r="B9185" t="inlineStr">
        <is>
          <t>C1684</t>
        </is>
      </c>
      <c r="C9185" t="n">
        <v>1</v>
      </c>
      <c r="D9185" t="inlineStr">
        <is>
          <t>Hub C</t>
        </is>
      </c>
      <c r="E9185" t="n">
        <v>46</v>
      </c>
      <c r="F9185" t="n">
        <v>50</v>
      </c>
    </row>
    <row r="9186">
      <c r="A9186" t="inlineStr">
        <is>
          <t>ORD09185</t>
        </is>
      </c>
      <c r="B9186" t="inlineStr">
        <is>
          <t>C1685</t>
        </is>
      </c>
      <c r="C9186" t="n">
        <v>2</v>
      </c>
      <c r="D9186" t="inlineStr">
        <is>
          <t>Hub C</t>
        </is>
      </c>
      <c r="E9186" t="n">
        <v>53</v>
      </c>
      <c r="F9186" t="n">
        <v>50</v>
      </c>
    </row>
    <row r="9187">
      <c r="A9187" t="inlineStr">
        <is>
          <t>ORD09186</t>
        </is>
      </c>
      <c r="B9187" t="inlineStr">
        <is>
          <t>C1686</t>
        </is>
      </c>
      <c r="C9187" t="n">
        <v>3</v>
      </c>
      <c r="D9187" t="inlineStr">
        <is>
          <t>Hub C</t>
        </is>
      </c>
      <c r="E9187" t="n">
        <v>60</v>
      </c>
      <c r="F9187" t="n">
        <v>50</v>
      </c>
    </row>
    <row r="9188">
      <c r="A9188" t="inlineStr">
        <is>
          <t>ORD09187</t>
        </is>
      </c>
      <c r="B9188" t="inlineStr">
        <is>
          <t>C1687</t>
        </is>
      </c>
      <c r="C9188" t="n">
        <v>1</v>
      </c>
      <c r="D9188" t="inlineStr">
        <is>
          <t>Hub C</t>
        </is>
      </c>
      <c r="E9188" t="n">
        <v>67</v>
      </c>
      <c r="F9188" t="n">
        <v>50</v>
      </c>
    </row>
    <row r="9189">
      <c r="A9189" t="inlineStr">
        <is>
          <t>ORD09188</t>
        </is>
      </c>
      <c r="B9189" t="inlineStr">
        <is>
          <t>C1688</t>
        </is>
      </c>
      <c r="C9189" t="n">
        <v>2</v>
      </c>
      <c r="D9189" t="inlineStr">
        <is>
          <t>Hub C</t>
        </is>
      </c>
      <c r="E9189" t="n">
        <v>74</v>
      </c>
      <c r="F9189" t="n">
        <v>50</v>
      </c>
    </row>
    <row r="9190">
      <c r="A9190" t="inlineStr">
        <is>
          <t>ORD09189</t>
        </is>
      </c>
      <c r="B9190" t="inlineStr">
        <is>
          <t>C1689</t>
        </is>
      </c>
      <c r="C9190" t="n">
        <v>3</v>
      </c>
      <c r="D9190" t="inlineStr">
        <is>
          <t>Hub C</t>
        </is>
      </c>
      <c r="E9190" t="n">
        <v>21</v>
      </c>
      <c r="F9190" t="n">
        <v>50</v>
      </c>
    </row>
    <row r="9191">
      <c r="A9191" t="inlineStr">
        <is>
          <t>ORD09190</t>
        </is>
      </c>
      <c r="B9191" t="inlineStr">
        <is>
          <t>C1690</t>
        </is>
      </c>
      <c r="C9191" t="n">
        <v>1</v>
      </c>
      <c r="D9191" t="inlineStr">
        <is>
          <t>Hub C</t>
        </is>
      </c>
      <c r="E9191" t="n">
        <v>28</v>
      </c>
      <c r="F9191" t="n">
        <v>50</v>
      </c>
    </row>
    <row r="9192">
      <c r="A9192" t="inlineStr">
        <is>
          <t>ORD09191</t>
        </is>
      </c>
      <c r="B9192" t="inlineStr">
        <is>
          <t>C1691</t>
        </is>
      </c>
      <c r="C9192" t="n">
        <v>2</v>
      </c>
      <c r="D9192" t="inlineStr">
        <is>
          <t>Hub C</t>
        </is>
      </c>
      <c r="E9192" t="n">
        <v>35</v>
      </c>
      <c r="F9192" t="n">
        <v>50</v>
      </c>
    </row>
    <row r="9193">
      <c r="A9193" t="inlineStr">
        <is>
          <t>ORD09192</t>
        </is>
      </c>
      <c r="B9193" t="inlineStr">
        <is>
          <t>C1692</t>
        </is>
      </c>
      <c r="C9193" t="n">
        <v>3</v>
      </c>
      <c r="D9193" t="inlineStr">
        <is>
          <t>Hub C</t>
        </is>
      </c>
      <c r="E9193" t="n">
        <v>42</v>
      </c>
      <c r="F9193" t="n">
        <v>50</v>
      </c>
    </row>
    <row r="9194">
      <c r="A9194" t="inlineStr">
        <is>
          <t>ORD09193</t>
        </is>
      </c>
      <c r="B9194" t="inlineStr">
        <is>
          <t>C1693</t>
        </is>
      </c>
      <c r="C9194" t="n">
        <v>1</v>
      </c>
      <c r="D9194" t="inlineStr">
        <is>
          <t>Hub C</t>
        </is>
      </c>
      <c r="E9194" t="n">
        <v>49</v>
      </c>
      <c r="F9194" t="n">
        <v>50</v>
      </c>
    </row>
    <row r="9195">
      <c r="A9195" t="inlineStr">
        <is>
          <t>ORD09194</t>
        </is>
      </c>
      <c r="B9195" t="inlineStr">
        <is>
          <t>C1694</t>
        </is>
      </c>
      <c r="C9195" t="n">
        <v>2</v>
      </c>
      <c r="D9195" t="inlineStr">
        <is>
          <t>Hub C</t>
        </is>
      </c>
      <c r="E9195" t="n">
        <v>56</v>
      </c>
      <c r="F9195" t="n">
        <v>50</v>
      </c>
    </row>
    <row r="9196">
      <c r="A9196" t="inlineStr">
        <is>
          <t>ORD09195</t>
        </is>
      </c>
      <c r="B9196" t="inlineStr">
        <is>
          <t>C1695</t>
        </is>
      </c>
      <c r="C9196" t="n">
        <v>3</v>
      </c>
      <c r="D9196" t="inlineStr">
        <is>
          <t>Hub C</t>
        </is>
      </c>
      <c r="E9196" t="n">
        <v>63</v>
      </c>
      <c r="F9196" t="n">
        <v>50</v>
      </c>
    </row>
    <row r="9197">
      <c r="A9197" t="inlineStr">
        <is>
          <t>ORD09196</t>
        </is>
      </c>
      <c r="B9197" t="inlineStr">
        <is>
          <t>C1696</t>
        </is>
      </c>
      <c r="C9197" t="n">
        <v>1</v>
      </c>
      <c r="D9197" t="inlineStr">
        <is>
          <t>Hub C</t>
        </is>
      </c>
      <c r="E9197" t="n">
        <v>70</v>
      </c>
      <c r="F9197" t="n">
        <v>50</v>
      </c>
    </row>
    <row r="9198">
      <c r="A9198" t="inlineStr">
        <is>
          <t>ORD09197</t>
        </is>
      </c>
      <c r="B9198" t="inlineStr">
        <is>
          <t>C1697</t>
        </is>
      </c>
      <c r="C9198" t="n">
        <v>2</v>
      </c>
      <c r="D9198" t="inlineStr">
        <is>
          <t>Hub C</t>
        </is>
      </c>
      <c r="E9198" t="n">
        <v>77</v>
      </c>
      <c r="F9198" t="n">
        <v>50</v>
      </c>
    </row>
    <row r="9199">
      <c r="A9199" t="inlineStr">
        <is>
          <t>ORD09198</t>
        </is>
      </c>
      <c r="B9199" t="inlineStr">
        <is>
          <t>C1698</t>
        </is>
      </c>
      <c r="C9199" t="n">
        <v>3</v>
      </c>
      <c r="D9199" t="inlineStr">
        <is>
          <t>Hub C</t>
        </is>
      </c>
      <c r="E9199" t="n">
        <v>24</v>
      </c>
      <c r="F9199" t="n">
        <v>50</v>
      </c>
    </row>
    <row r="9200">
      <c r="A9200" t="inlineStr">
        <is>
          <t>ORD09199</t>
        </is>
      </c>
      <c r="B9200" t="inlineStr">
        <is>
          <t>C1699</t>
        </is>
      </c>
      <c r="C9200" t="n">
        <v>1</v>
      </c>
      <c r="D9200" t="inlineStr">
        <is>
          <t>Hub C</t>
        </is>
      </c>
      <c r="E9200" t="n">
        <v>31</v>
      </c>
      <c r="F9200" t="n">
        <v>50</v>
      </c>
    </row>
    <row r="9201">
      <c r="A9201" t="inlineStr">
        <is>
          <t>ORD09200</t>
        </is>
      </c>
      <c r="B9201" t="inlineStr">
        <is>
          <t>C1700</t>
        </is>
      </c>
      <c r="C9201" t="n">
        <v>2</v>
      </c>
      <c r="D9201" t="inlineStr">
        <is>
          <t>Hub C</t>
        </is>
      </c>
      <c r="E9201" t="n">
        <v>38</v>
      </c>
      <c r="F9201" t="n">
        <v>50</v>
      </c>
    </row>
    <row r="9202">
      <c r="A9202" t="inlineStr">
        <is>
          <t>ORD09201</t>
        </is>
      </c>
      <c r="B9202" t="inlineStr">
        <is>
          <t>C1701</t>
        </is>
      </c>
      <c r="C9202" t="n">
        <v>3</v>
      </c>
      <c r="D9202" t="inlineStr">
        <is>
          <t>Hub C</t>
        </is>
      </c>
      <c r="E9202" t="n">
        <v>45</v>
      </c>
      <c r="F9202" t="n">
        <v>50</v>
      </c>
    </row>
    <row r="9203">
      <c r="A9203" t="inlineStr">
        <is>
          <t>ORD09202</t>
        </is>
      </c>
      <c r="B9203" t="inlineStr">
        <is>
          <t>C1702</t>
        </is>
      </c>
      <c r="C9203" t="n">
        <v>1</v>
      </c>
      <c r="D9203" t="inlineStr">
        <is>
          <t>Hub C</t>
        </is>
      </c>
      <c r="E9203" t="n">
        <v>52</v>
      </c>
      <c r="F9203" t="n">
        <v>50</v>
      </c>
    </row>
    <row r="9204">
      <c r="A9204" t="inlineStr">
        <is>
          <t>ORD09203</t>
        </is>
      </c>
      <c r="B9204" t="inlineStr">
        <is>
          <t>C1703</t>
        </is>
      </c>
      <c r="C9204" t="n">
        <v>2</v>
      </c>
      <c r="D9204" t="inlineStr">
        <is>
          <t>Hub C</t>
        </is>
      </c>
      <c r="E9204" t="n">
        <v>59</v>
      </c>
      <c r="F9204" t="n">
        <v>50</v>
      </c>
    </row>
    <row r="9205">
      <c r="A9205" t="inlineStr">
        <is>
          <t>ORD09204</t>
        </is>
      </c>
      <c r="B9205" t="inlineStr">
        <is>
          <t>C1704</t>
        </is>
      </c>
      <c r="C9205" t="n">
        <v>3</v>
      </c>
      <c r="D9205" t="inlineStr">
        <is>
          <t>Hub C</t>
        </is>
      </c>
      <c r="E9205" t="n">
        <v>66</v>
      </c>
      <c r="F9205" t="n">
        <v>50</v>
      </c>
    </row>
    <row r="9206">
      <c r="A9206" t="inlineStr">
        <is>
          <t>ORD09205</t>
        </is>
      </c>
      <c r="B9206" t="inlineStr">
        <is>
          <t>C1705</t>
        </is>
      </c>
      <c r="C9206" t="n">
        <v>1</v>
      </c>
      <c r="D9206" t="inlineStr">
        <is>
          <t>Hub C</t>
        </is>
      </c>
      <c r="E9206" t="n">
        <v>73</v>
      </c>
      <c r="F9206" t="n">
        <v>50</v>
      </c>
    </row>
    <row r="9207">
      <c r="A9207" t="inlineStr">
        <is>
          <t>ORD09206</t>
        </is>
      </c>
      <c r="B9207" t="inlineStr">
        <is>
          <t>C1706</t>
        </is>
      </c>
      <c r="C9207" t="n">
        <v>2</v>
      </c>
      <c r="D9207" t="inlineStr">
        <is>
          <t>Hub C</t>
        </is>
      </c>
      <c r="E9207" t="n">
        <v>20</v>
      </c>
      <c r="F9207" t="n">
        <v>50</v>
      </c>
    </row>
    <row r="9208">
      <c r="A9208" t="inlineStr">
        <is>
          <t>ORD09207</t>
        </is>
      </c>
      <c r="B9208" t="inlineStr">
        <is>
          <t>C1707</t>
        </is>
      </c>
      <c r="C9208" t="n">
        <v>3</v>
      </c>
      <c r="D9208" t="inlineStr">
        <is>
          <t>Hub C</t>
        </is>
      </c>
      <c r="E9208" t="n">
        <v>27</v>
      </c>
      <c r="F9208" t="n">
        <v>50</v>
      </c>
    </row>
    <row r="9209">
      <c r="A9209" t="inlineStr">
        <is>
          <t>ORD09208</t>
        </is>
      </c>
      <c r="B9209" t="inlineStr">
        <is>
          <t>C1708</t>
        </is>
      </c>
      <c r="C9209" t="n">
        <v>1</v>
      </c>
      <c r="D9209" t="inlineStr">
        <is>
          <t>Hub C</t>
        </is>
      </c>
      <c r="E9209" t="n">
        <v>34</v>
      </c>
      <c r="F9209" t="n">
        <v>50</v>
      </c>
    </row>
    <row r="9210">
      <c r="A9210" t="inlineStr">
        <is>
          <t>ORD09209</t>
        </is>
      </c>
      <c r="B9210" t="inlineStr">
        <is>
          <t>C1709</t>
        </is>
      </c>
      <c r="C9210" t="n">
        <v>2</v>
      </c>
      <c r="D9210" t="inlineStr">
        <is>
          <t>Hub C</t>
        </is>
      </c>
      <c r="E9210" t="n">
        <v>41</v>
      </c>
      <c r="F9210" t="n">
        <v>50</v>
      </c>
    </row>
    <row r="9211">
      <c r="A9211" t="inlineStr">
        <is>
          <t>ORD09210</t>
        </is>
      </c>
      <c r="B9211" t="inlineStr">
        <is>
          <t>C1710</t>
        </is>
      </c>
      <c r="C9211" t="n">
        <v>3</v>
      </c>
      <c r="D9211" t="inlineStr">
        <is>
          <t>Hub C</t>
        </is>
      </c>
      <c r="E9211" t="n">
        <v>48</v>
      </c>
      <c r="F9211" t="n">
        <v>50</v>
      </c>
    </row>
    <row r="9212">
      <c r="A9212" t="inlineStr">
        <is>
          <t>ORD09211</t>
        </is>
      </c>
      <c r="B9212" t="inlineStr">
        <is>
          <t>C1711</t>
        </is>
      </c>
      <c r="C9212" t="n">
        <v>1</v>
      </c>
      <c r="D9212" t="inlineStr">
        <is>
          <t>Hub C</t>
        </is>
      </c>
      <c r="E9212" t="n">
        <v>55</v>
      </c>
      <c r="F9212" t="n">
        <v>50</v>
      </c>
    </row>
    <row r="9213">
      <c r="A9213" t="inlineStr">
        <is>
          <t>ORD09212</t>
        </is>
      </c>
      <c r="B9213" t="inlineStr">
        <is>
          <t>C1712</t>
        </is>
      </c>
      <c r="C9213" t="n">
        <v>2</v>
      </c>
      <c r="D9213" t="inlineStr">
        <is>
          <t>Hub C</t>
        </is>
      </c>
      <c r="E9213" t="n">
        <v>62</v>
      </c>
      <c r="F9213" t="n">
        <v>50</v>
      </c>
    </row>
    <row r="9214">
      <c r="A9214" t="inlineStr">
        <is>
          <t>ORD09213</t>
        </is>
      </c>
      <c r="B9214" t="inlineStr">
        <is>
          <t>C1713</t>
        </is>
      </c>
      <c r="C9214" t="n">
        <v>3</v>
      </c>
      <c r="D9214" t="inlineStr">
        <is>
          <t>Hub C</t>
        </is>
      </c>
      <c r="E9214" t="n">
        <v>69</v>
      </c>
      <c r="F9214" t="n">
        <v>50</v>
      </c>
    </row>
    <row r="9215">
      <c r="A9215" t="inlineStr">
        <is>
          <t>ORD09214</t>
        </is>
      </c>
      <c r="B9215" t="inlineStr">
        <is>
          <t>C1714</t>
        </is>
      </c>
      <c r="C9215" t="n">
        <v>1</v>
      </c>
      <c r="D9215" t="inlineStr">
        <is>
          <t>Hub C</t>
        </is>
      </c>
      <c r="E9215" t="n">
        <v>76</v>
      </c>
      <c r="F9215" t="n">
        <v>50</v>
      </c>
    </row>
    <row r="9216">
      <c r="A9216" t="inlineStr">
        <is>
          <t>ORD09215</t>
        </is>
      </c>
      <c r="B9216" t="inlineStr">
        <is>
          <t>C1715</t>
        </is>
      </c>
      <c r="C9216" t="n">
        <v>2</v>
      </c>
      <c r="D9216" t="inlineStr">
        <is>
          <t>Hub C</t>
        </is>
      </c>
      <c r="E9216" t="n">
        <v>23</v>
      </c>
      <c r="F9216" t="n">
        <v>50</v>
      </c>
    </row>
    <row r="9217">
      <c r="A9217" t="inlineStr">
        <is>
          <t>ORD09216</t>
        </is>
      </c>
      <c r="B9217" t="inlineStr">
        <is>
          <t>C1716</t>
        </is>
      </c>
      <c r="C9217" t="n">
        <v>3</v>
      </c>
      <c r="D9217" t="inlineStr">
        <is>
          <t>Hub C</t>
        </is>
      </c>
      <c r="E9217" t="n">
        <v>30</v>
      </c>
      <c r="F9217" t="n">
        <v>50</v>
      </c>
    </row>
    <row r="9218">
      <c r="A9218" t="inlineStr">
        <is>
          <t>ORD09217</t>
        </is>
      </c>
      <c r="B9218" t="inlineStr">
        <is>
          <t>C1717</t>
        </is>
      </c>
      <c r="C9218" t="n">
        <v>1</v>
      </c>
      <c r="D9218" t="inlineStr">
        <is>
          <t>Hub C</t>
        </is>
      </c>
      <c r="E9218" t="n">
        <v>37</v>
      </c>
      <c r="F9218" t="n">
        <v>50</v>
      </c>
    </row>
    <row r="9219">
      <c r="A9219" t="inlineStr">
        <is>
          <t>ORD09218</t>
        </is>
      </c>
      <c r="B9219" t="inlineStr">
        <is>
          <t>C1718</t>
        </is>
      </c>
      <c r="C9219" t="n">
        <v>2</v>
      </c>
      <c r="D9219" t="inlineStr">
        <is>
          <t>Hub C</t>
        </is>
      </c>
      <c r="E9219" t="n">
        <v>44</v>
      </c>
      <c r="F9219" t="n">
        <v>50</v>
      </c>
    </row>
    <row r="9220">
      <c r="A9220" t="inlineStr">
        <is>
          <t>ORD09219</t>
        </is>
      </c>
      <c r="B9220" t="inlineStr">
        <is>
          <t>C1719</t>
        </is>
      </c>
      <c r="C9220" t="n">
        <v>3</v>
      </c>
      <c r="D9220" t="inlineStr">
        <is>
          <t>Hub C</t>
        </is>
      </c>
      <c r="E9220" t="n">
        <v>51</v>
      </c>
      <c r="F9220" t="n">
        <v>50</v>
      </c>
    </row>
    <row r="9221">
      <c r="A9221" t="inlineStr">
        <is>
          <t>ORD09220</t>
        </is>
      </c>
      <c r="B9221" t="inlineStr">
        <is>
          <t>C1720</t>
        </is>
      </c>
      <c r="C9221" t="n">
        <v>1</v>
      </c>
      <c r="D9221" t="inlineStr">
        <is>
          <t>Hub C</t>
        </is>
      </c>
      <c r="E9221" t="n">
        <v>58</v>
      </c>
      <c r="F9221" t="n">
        <v>50</v>
      </c>
    </row>
    <row r="9222">
      <c r="A9222" t="inlineStr">
        <is>
          <t>ORD09221</t>
        </is>
      </c>
      <c r="B9222" t="inlineStr">
        <is>
          <t>C1721</t>
        </is>
      </c>
      <c r="C9222" t="n">
        <v>2</v>
      </c>
      <c r="D9222" t="inlineStr">
        <is>
          <t>Hub C</t>
        </is>
      </c>
      <c r="E9222" t="n">
        <v>65</v>
      </c>
      <c r="F9222" t="n">
        <v>50</v>
      </c>
    </row>
    <row r="9223">
      <c r="A9223" t="inlineStr">
        <is>
          <t>ORD09222</t>
        </is>
      </c>
      <c r="B9223" t="inlineStr">
        <is>
          <t>C1722</t>
        </is>
      </c>
      <c r="C9223" t="n">
        <v>3</v>
      </c>
      <c r="D9223" t="inlineStr">
        <is>
          <t>Hub C</t>
        </is>
      </c>
      <c r="E9223" t="n">
        <v>72</v>
      </c>
      <c r="F9223" t="n">
        <v>50</v>
      </c>
    </row>
    <row r="9224">
      <c r="A9224" t="inlineStr">
        <is>
          <t>ORD09223</t>
        </is>
      </c>
      <c r="B9224" t="inlineStr">
        <is>
          <t>C1723</t>
        </is>
      </c>
      <c r="C9224" t="n">
        <v>1</v>
      </c>
      <c r="D9224" t="inlineStr">
        <is>
          <t>Hub C</t>
        </is>
      </c>
      <c r="E9224" t="n">
        <v>19</v>
      </c>
      <c r="F9224" t="n">
        <v>50</v>
      </c>
    </row>
    <row r="9225">
      <c r="A9225" t="inlineStr">
        <is>
          <t>ORD09224</t>
        </is>
      </c>
      <c r="B9225" t="inlineStr">
        <is>
          <t>C1724</t>
        </is>
      </c>
      <c r="C9225" t="n">
        <v>2</v>
      </c>
      <c r="D9225" t="inlineStr">
        <is>
          <t>Hub C</t>
        </is>
      </c>
      <c r="E9225" t="n">
        <v>26</v>
      </c>
      <c r="F9225" t="n">
        <v>50</v>
      </c>
    </row>
    <row r="9226">
      <c r="A9226" t="inlineStr">
        <is>
          <t>ORD09225</t>
        </is>
      </c>
      <c r="B9226" t="inlineStr">
        <is>
          <t>C1725</t>
        </is>
      </c>
      <c r="C9226" t="n">
        <v>3</v>
      </c>
      <c r="D9226" t="inlineStr">
        <is>
          <t>Hub C</t>
        </is>
      </c>
      <c r="E9226" t="n">
        <v>33</v>
      </c>
      <c r="F9226" t="n">
        <v>50</v>
      </c>
    </row>
    <row r="9227">
      <c r="A9227" t="inlineStr">
        <is>
          <t>ORD09226</t>
        </is>
      </c>
      <c r="B9227" t="inlineStr">
        <is>
          <t>C1726</t>
        </is>
      </c>
      <c r="C9227" t="n">
        <v>1</v>
      </c>
      <c r="D9227" t="inlineStr">
        <is>
          <t>Hub C</t>
        </is>
      </c>
      <c r="E9227" t="n">
        <v>40</v>
      </c>
      <c r="F9227" t="n">
        <v>50</v>
      </c>
    </row>
    <row r="9228">
      <c r="A9228" t="inlineStr">
        <is>
          <t>ORD09227</t>
        </is>
      </c>
      <c r="B9228" t="inlineStr">
        <is>
          <t>C1727</t>
        </is>
      </c>
      <c r="C9228" t="n">
        <v>2</v>
      </c>
      <c r="D9228" t="inlineStr">
        <is>
          <t>Hub C</t>
        </is>
      </c>
      <c r="E9228" t="n">
        <v>47</v>
      </c>
      <c r="F9228" t="n">
        <v>50</v>
      </c>
    </row>
    <row r="9229">
      <c r="A9229" t="inlineStr">
        <is>
          <t>ORD09228</t>
        </is>
      </c>
      <c r="B9229" t="inlineStr">
        <is>
          <t>C1728</t>
        </is>
      </c>
      <c r="C9229" t="n">
        <v>3</v>
      </c>
      <c r="D9229" t="inlineStr">
        <is>
          <t>Hub C</t>
        </is>
      </c>
      <c r="E9229" t="n">
        <v>54</v>
      </c>
      <c r="F9229" t="n">
        <v>50</v>
      </c>
    </row>
    <row r="9230">
      <c r="A9230" t="inlineStr">
        <is>
          <t>ORD09229</t>
        </is>
      </c>
      <c r="B9230" t="inlineStr">
        <is>
          <t>C1729</t>
        </is>
      </c>
      <c r="C9230" t="n">
        <v>1</v>
      </c>
      <c r="D9230" t="inlineStr">
        <is>
          <t>Hub C</t>
        </is>
      </c>
      <c r="E9230" t="n">
        <v>61</v>
      </c>
      <c r="F9230" t="n">
        <v>50</v>
      </c>
    </row>
    <row r="9231">
      <c r="A9231" t="inlineStr">
        <is>
          <t>ORD09230</t>
        </is>
      </c>
      <c r="B9231" t="inlineStr">
        <is>
          <t>C1730</t>
        </is>
      </c>
      <c r="C9231" t="n">
        <v>2</v>
      </c>
      <c r="D9231" t="inlineStr">
        <is>
          <t>Hub C</t>
        </is>
      </c>
      <c r="E9231" t="n">
        <v>68</v>
      </c>
      <c r="F9231" t="n">
        <v>50</v>
      </c>
    </row>
    <row r="9232">
      <c r="A9232" t="inlineStr">
        <is>
          <t>ORD09231</t>
        </is>
      </c>
      <c r="B9232" t="inlineStr">
        <is>
          <t>C1731</t>
        </is>
      </c>
      <c r="C9232" t="n">
        <v>3</v>
      </c>
      <c r="D9232" t="inlineStr">
        <is>
          <t>Hub C</t>
        </is>
      </c>
      <c r="E9232" t="n">
        <v>75</v>
      </c>
      <c r="F9232" t="n">
        <v>50</v>
      </c>
    </row>
    <row r="9233">
      <c r="A9233" t="inlineStr">
        <is>
          <t>ORD09232</t>
        </is>
      </c>
      <c r="B9233" t="inlineStr">
        <is>
          <t>C1732</t>
        </is>
      </c>
      <c r="C9233" t="n">
        <v>1</v>
      </c>
      <c r="D9233" t="inlineStr">
        <is>
          <t>Hub C</t>
        </is>
      </c>
      <c r="E9233" t="n">
        <v>22</v>
      </c>
      <c r="F9233" t="n">
        <v>50</v>
      </c>
    </row>
    <row r="9234">
      <c r="A9234" t="inlineStr">
        <is>
          <t>ORD09233</t>
        </is>
      </c>
      <c r="B9234" t="inlineStr">
        <is>
          <t>C1733</t>
        </is>
      </c>
      <c r="C9234" t="n">
        <v>2</v>
      </c>
      <c r="D9234" t="inlineStr">
        <is>
          <t>Hub C</t>
        </is>
      </c>
      <c r="E9234" t="n">
        <v>29</v>
      </c>
      <c r="F9234" t="n">
        <v>50</v>
      </c>
    </row>
    <row r="9235">
      <c r="A9235" t="inlineStr">
        <is>
          <t>ORD09234</t>
        </is>
      </c>
      <c r="B9235" t="inlineStr">
        <is>
          <t>C1734</t>
        </is>
      </c>
      <c r="C9235" t="n">
        <v>3</v>
      </c>
      <c r="D9235" t="inlineStr">
        <is>
          <t>Hub C</t>
        </is>
      </c>
      <c r="E9235" t="n">
        <v>36</v>
      </c>
      <c r="F9235" t="n">
        <v>50</v>
      </c>
    </row>
    <row r="9236">
      <c r="A9236" t="inlineStr">
        <is>
          <t>ORD09235</t>
        </is>
      </c>
      <c r="B9236" t="inlineStr">
        <is>
          <t>C1735</t>
        </is>
      </c>
      <c r="C9236" t="n">
        <v>1</v>
      </c>
      <c r="D9236" t="inlineStr">
        <is>
          <t>Hub C</t>
        </is>
      </c>
      <c r="E9236" t="n">
        <v>43</v>
      </c>
      <c r="F9236" t="n">
        <v>50</v>
      </c>
    </row>
    <row r="9237">
      <c r="A9237" t="inlineStr">
        <is>
          <t>ORD09236</t>
        </is>
      </c>
      <c r="B9237" t="inlineStr">
        <is>
          <t>C1736</t>
        </is>
      </c>
      <c r="C9237" t="n">
        <v>2</v>
      </c>
      <c r="D9237" t="inlineStr">
        <is>
          <t>Hub C</t>
        </is>
      </c>
      <c r="E9237" t="n">
        <v>50</v>
      </c>
      <c r="F9237" t="n">
        <v>50</v>
      </c>
    </row>
    <row r="9238">
      <c r="A9238" t="inlineStr">
        <is>
          <t>ORD09237</t>
        </is>
      </c>
      <c r="B9238" t="inlineStr">
        <is>
          <t>C1737</t>
        </is>
      </c>
      <c r="C9238" t="n">
        <v>3</v>
      </c>
      <c r="D9238" t="inlineStr">
        <is>
          <t>Hub C</t>
        </is>
      </c>
      <c r="E9238" t="n">
        <v>57</v>
      </c>
      <c r="F9238" t="n">
        <v>50</v>
      </c>
    </row>
    <row r="9239">
      <c r="A9239" t="inlineStr">
        <is>
          <t>ORD09238</t>
        </is>
      </c>
      <c r="B9239" t="inlineStr">
        <is>
          <t>C1738</t>
        </is>
      </c>
      <c r="C9239" t="n">
        <v>1</v>
      </c>
      <c r="D9239" t="inlineStr">
        <is>
          <t>Hub C</t>
        </is>
      </c>
      <c r="E9239" t="n">
        <v>64</v>
      </c>
      <c r="F9239" t="n">
        <v>50</v>
      </c>
    </row>
    <row r="9240">
      <c r="A9240" t="inlineStr">
        <is>
          <t>ORD09239</t>
        </is>
      </c>
      <c r="B9240" t="inlineStr">
        <is>
          <t>C1739</t>
        </is>
      </c>
      <c r="C9240" t="n">
        <v>2</v>
      </c>
      <c r="D9240" t="inlineStr">
        <is>
          <t>Hub C</t>
        </is>
      </c>
      <c r="E9240" t="n">
        <v>71</v>
      </c>
      <c r="F9240" t="n">
        <v>50</v>
      </c>
    </row>
    <row r="9241">
      <c r="A9241" t="inlineStr">
        <is>
          <t>ORD09240</t>
        </is>
      </c>
      <c r="B9241" t="inlineStr">
        <is>
          <t>C1740</t>
        </is>
      </c>
      <c r="C9241" t="n">
        <v>3</v>
      </c>
      <c r="D9241" t="inlineStr">
        <is>
          <t>Hub C</t>
        </is>
      </c>
      <c r="E9241" t="n">
        <v>18</v>
      </c>
      <c r="F9241" t="n">
        <v>50</v>
      </c>
    </row>
    <row r="9242">
      <c r="A9242" t="inlineStr">
        <is>
          <t>ORD09241</t>
        </is>
      </c>
      <c r="B9242" t="inlineStr">
        <is>
          <t>C1741</t>
        </is>
      </c>
      <c r="C9242" t="n">
        <v>1</v>
      </c>
      <c r="D9242" t="inlineStr">
        <is>
          <t>Hub C</t>
        </is>
      </c>
      <c r="E9242" t="n">
        <v>25</v>
      </c>
      <c r="F9242" t="n">
        <v>50</v>
      </c>
    </row>
    <row r="9243">
      <c r="A9243" t="inlineStr">
        <is>
          <t>ORD09242</t>
        </is>
      </c>
      <c r="B9243" t="inlineStr">
        <is>
          <t>C1742</t>
        </is>
      </c>
      <c r="C9243" t="n">
        <v>2</v>
      </c>
      <c r="D9243" t="inlineStr">
        <is>
          <t>Hub C</t>
        </is>
      </c>
      <c r="E9243" t="n">
        <v>32</v>
      </c>
      <c r="F9243" t="n">
        <v>50</v>
      </c>
    </row>
    <row r="9244">
      <c r="A9244" t="inlineStr">
        <is>
          <t>ORD09243</t>
        </is>
      </c>
      <c r="B9244" t="inlineStr">
        <is>
          <t>C1743</t>
        </is>
      </c>
      <c r="C9244" t="n">
        <v>3</v>
      </c>
      <c r="D9244" t="inlineStr">
        <is>
          <t>Hub C</t>
        </is>
      </c>
      <c r="E9244" t="n">
        <v>39</v>
      </c>
      <c r="F9244" t="n">
        <v>50</v>
      </c>
    </row>
    <row r="9245">
      <c r="A9245" t="inlineStr">
        <is>
          <t>ORD09244</t>
        </is>
      </c>
      <c r="B9245" t="inlineStr">
        <is>
          <t>C1744</t>
        </is>
      </c>
      <c r="C9245" t="n">
        <v>1</v>
      </c>
      <c r="D9245" t="inlineStr">
        <is>
          <t>Hub C</t>
        </is>
      </c>
      <c r="E9245" t="n">
        <v>46</v>
      </c>
      <c r="F9245" t="n">
        <v>50</v>
      </c>
    </row>
    <row r="9246">
      <c r="A9246" t="inlineStr">
        <is>
          <t>ORD09245</t>
        </is>
      </c>
      <c r="B9246" t="inlineStr">
        <is>
          <t>C1745</t>
        </is>
      </c>
      <c r="C9246" t="n">
        <v>2</v>
      </c>
      <c r="D9246" t="inlineStr">
        <is>
          <t>Hub C</t>
        </is>
      </c>
      <c r="E9246" t="n">
        <v>53</v>
      </c>
      <c r="F9246" t="n">
        <v>50</v>
      </c>
    </row>
    <row r="9247">
      <c r="A9247" t="inlineStr">
        <is>
          <t>ORD09246</t>
        </is>
      </c>
      <c r="B9247" t="inlineStr">
        <is>
          <t>C1746</t>
        </is>
      </c>
      <c r="C9247" t="n">
        <v>3</v>
      </c>
      <c r="D9247" t="inlineStr">
        <is>
          <t>Hub C</t>
        </is>
      </c>
      <c r="E9247" t="n">
        <v>60</v>
      </c>
      <c r="F9247" t="n">
        <v>50</v>
      </c>
    </row>
    <row r="9248">
      <c r="A9248" t="inlineStr">
        <is>
          <t>ORD09247</t>
        </is>
      </c>
      <c r="B9248" t="inlineStr">
        <is>
          <t>C1747</t>
        </is>
      </c>
      <c r="C9248" t="n">
        <v>1</v>
      </c>
      <c r="D9248" t="inlineStr">
        <is>
          <t>Hub C</t>
        </is>
      </c>
      <c r="E9248" t="n">
        <v>67</v>
      </c>
      <c r="F9248" t="n">
        <v>50</v>
      </c>
    </row>
    <row r="9249">
      <c r="A9249" t="inlineStr">
        <is>
          <t>ORD09248</t>
        </is>
      </c>
      <c r="B9249" t="inlineStr">
        <is>
          <t>C1748</t>
        </is>
      </c>
      <c r="C9249" t="n">
        <v>2</v>
      </c>
      <c r="D9249" t="inlineStr">
        <is>
          <t>Hub C</t>
        </is>
      </c>
      <c r="E9249" t="n">
        <v>74</v>
      </c>
      <c r="F9249" t="n">
        <v>50</v>
      </c>
    </row>
    <row r="9250">
      <c r="A9250" t="inlineStr">
        <is>
          <t>ORD09249</t>
        </is>
      </c>
      <c r="B9250" t="inlineStr">
        <is>
          <t>C1749</t>
        </is>
      </c>
      <c r="C9250" t="n">
        <v>3</v>
      </c>
      <c r="D9250" t="inlineStr">
        <is>
          <t>Hub C</t>
        </is>
      </c>
      <c r="E9250" t="n">
        <v>21</v>
      </c>
      <c r="F9250" t="n">
        <v>50</v>
      </c>
    </row>
    <row r="9251">
      <c r="A9251" t="inlineStr">
        <is>
          <t>ORD09250</t>
        </is>
      </c>
      <c r="B9251" t="inlineStr">
        <is>
          <t>C1750</t>
        </is>
      </c>
      <c r="C9251" t="n">
        <v>1</v>
      </c>
      <c r="D9251" t="inlineStr">
        <is>
          <t>Hub C</t>
        </is>
      </c>
      <c r="E9251" t="n">
        <v>28</v>
      </c>
      <c r="F9251" t="n">
        <v>50</v>
      </c>
    </row>
    <row r="9252">
      <c r="A9252" t="inlineStr">
        <is>
          <t>ORD09251</t>
        </is>
      </c>
      <c r="B9252" t="inlineStr">
        <is>
          <t>C1751</t>
        </is>
      </c>
      <c r="C9252" t="n">
        <v>2</v>
      </c>
      <c r="D9252" t="inlineStr">
        <is>
          <t>Hub C</t>
        </is>
      </c>
      <c r="E9252" t="n">
        <v>35</v>
      </c>
      <c r="F9252" t="n">
        <v>50</v>
      </c>
    </row>
    <row r="9253">
      <c r="A9253" t="inlineStr">
        <is>
          <t>ORD09252</t>
        </is>
      </c>
      <c r="B9253" t="inlineStr">
        <is>
          <t>C1752</t>
        </is>
      </c>
      <c r="C9253" t="n">
        <v>3</v>
      </c>
      <c r="D9253" t="inlineStr">
        <is>
          <t>Hub C</t>
        </is>
      </c>
      <c r="E9253" t="n">
        <v>42</v>
      </c>
      <c r="F9253" t="n">
        <v>50</v>
      </c>
    </row>
    <row r="9254">
      <c r="A9254" t="inlineStr">
        <is>
          <t>ORD09253</t>
        </is>
      </c>
      <c r="B9254" t="inlineStr">
        <is>
          <t>C1753</t>
        </is>
      </c>
      <c r="C9254" t="n">
        <v>1</v>
      </c>
      <c r="D9254" t="inlineStr">
        <is>
          <t>Hub C</t>
        </is>
      </c>
      <c r="E9254" t="n">
        <v>49</v>
      </c>
      <c r="F9254" t="n">
        <v>50</v>
      </c>
    </row>
    <row r="9255">
      <c r="A9255" t="inlineStr">
        <is>
          <t>ORD09254</t>
        </is>
      </c>
      <c r="B9255" t="inlineStr">
        <is>
          <t>C1754</t>
        </is>
      </c>
      <c r="C9255" t="n">
        <v>2</v>
      </c>
      <c r="D9255" t="inlineStr">
        <is>
          <t>Hub C</t>
        </is>
      </c>
      <c r="E9255" t="n">
        <v>56</v>
      </c>
      <c r="F9255" t="n">
        <v>50</v>
      </c>
    </row>
    <row r="9256">
      <c r="A9256" t="inlineStr">
        <is>
          <t>ORD09255</t>
        </is>
      </c>
      <c r="B9256" t="inlineStr">
        <is>
          <t>C1755</t>
        </is>
      </c>
      <c r="C9256" t="n">
        <v>3</v>
      </c>
      <c r="D9256" t="inlineStr">
        <is>
          <t>Hub C</t>
        </is>
      </c>
      <c r="E9256" t="n">
        <v>63</v>
      </c>
      <c r="F9256" t="n">
        <v>50</v>
      </c>
    </row>
    <row r="9257">
      <c r="A9257" t="inlineStr">
        <is>
          <t>ORD09256</t>
        </is>
      </c>
      <c r="B9257" t="inlineStr">
        <is>
          <t>C1756</t>
        </is>
      </c>
      <c r="C9257" t="n">
        <v>1</v>
      </c>
      <c r="D9257" t="inlineStr">
        <is>
          <t>Hub C</t>
        </is>
      </c>
      <c r="E9257" t="n">
        <v>70</v>
      </c>
      <c r="F9257" t="n">
        <v>50</v>
      </c>
    </row>
    <row r="9258">
      <c r="A9258" t="inlineStr">
        <is>
          <t>ORD09257</t>
        </is>
      </c>
      <c r="B9258" t="inlineStr">
        <is>
          <t>C1757</t>
        </is>
      </c>
      <c r="C9258" t="n">
        <v>2</v>
      </c>
      <c r="D9258" t="inlineStr">
        <is>
          <t>Hub C</t>
        </is>
      </c>
      <c r="E9258" t="n">
        <v>77</v>
      </c>
      <c r="F9258" t="n">
        <v>50</v>
      </c>
    </row>
    <row r="9259">
      <c r="A9259" t="inlineStr">
        <is>
          <t>ORD09258</t>
        </is>
      </c>
      <c r="B9259" t="inlineStr">
        <is>
          <t>C1758</t>
        </is>
      </c>
      <c r="C9259" t="n">
        <v>3</v>
      </c>
      <c r="D9259" t="inlineStr">
        <is>
          <t>Hub C</t>
        </is>
      </c>
      <c r="E9259" t="n">
        <v>24</v>
      </c>
      <c r="F9259" t="n">
        <v>50</v>
      </c>
    </row>
    <row r="9260">
      <c r="A9260" t="inlineStr">
        <is>
          <t>ORD09259</t>
        </is>
      </c>
      <c r="B9260" t="inlineStr">
        <is>
          <t>C1759</t>
        </is>
      </c>
      <c r="C9260" t="n">
        <v>1</v>
      </c>
      <c r="D9260" t="inlineStr">
        <is>
          <t>Hub C</t>
        </is>
      </c>
      <c r="E9260" t="n">
        <v>31</v>
      </c>
      <c r="F9260" t="n">
        <v>50</v>
      </c>
    </row>
    <row r="9261">
      <c r="A9261" t="inlineStr">
        <is>
          <t>ORD09260</t>
        </is>
      </c>
      <c r="B9261" t="inlineStr">
        <is>
          <t>C1760</t>
        </is>
      </c>
      <c r="C9261" t="n">
        <v>2</v>
      </c>
      <c r="D9261" t="inlineStr">
        <is>
          <t>Hub C</t>
        </is>
      </c>
      <c r="E9261" t="n">
        <v>38</v>
      </c>
      <c r="F9261" t="n">
        <v>50</v>
      </c>
    </row>
    <row r="9262">
      <c r="A9262" t="inlineStr">
        <is>
          <t>ORD09261</t>
        </is>
      </c>
      <c r="B9262" t="inlineStr">
        <is>
          <t>C1761</t>
        </is>
      </c>
      <c r="C9262" t="n">
        <v>3</v>
      </c>
      <c r="D9262" t="inlineStr">
        <is>
          <t>Hub C</t>
        </is>
      </c>
      <c r="E9262" t="n">
        <v>45</v>
      </c>
      <c r="F9262" t="n">
        <v>50</v>
      </c>
    </row>
    <row r="9263">
      <c r="A9263" t="inlineStr">
        <is>
          <t>ORD09262</t>
        </is>
      </c>
      <c r="B9263" t="inlineStr">
        <is>
          <t>C1762</t>
        </is>
      </c>
      <c r="C9263" t="n">
        <v>1</v>
      </c>
      <c r="D9263" t="inlineStr">
        <is>
          <t>Hub C</t>
        </is>
      </c>
      <c r="E9263" t="n">
        <v>52</v>
      </c>
      <c r="F9263" t="n">
        <v>50</v>
      </c>
    </row>
    <row r="9264">
      <c r="A9264" t="inlineStr">
        <is>
          <t>ORD09263</t>
        </is>
      </c>
      <c r="B9264" t="inlineStr">
        <is>
          <t>C1763</t>
        </is>
      </c>
      <c r="C9264" t="n">
        <v>2</v>
      </c>
      <c r="D9264" t="inlineStr">
        <is>
          <t>Hub C</t>
        </is>
      </c>
      <c r="E9264" t="n">
        <v>59</v>
      </c>
      <c r="F9264" t="n">
        <v>50</v>
      </c>
    </row>
    <row r="9265">
      <c r="A9265" t="inlineStr">
        <is>
          <t>ORD09264</t>
        </is>
      </c>
      <c r="B9265" t="inlineStr">
        <is>
          <t>C1764</t>
        </is>
      </c>
      <c r="C9265" t="n">
        <v>3</v>
      </c>
      <c r="D9265" t="inlineStr">
        <is>
          <t>Hub C</t>
        </is>
      </c>
      <c r="E9265" t="n">
        <v>66</v>
      </c>
      <c r="F9265" t="n">
        <v>50</v>
      </c>
    </row>
    <row r="9266">
      <c r="A9266" t="inlineStr">
        <is>
          <t>ORD09265</t>
        </is>
      </c>
      <c r="B9266" t="inlineStr">
        <is>
          <t>C1765</t>
        </is>
      </c>
      <c r="C9266" t="n">
        <v>1</v>
      </c>
      <c r="D9266" t="inlineStr">
        <is>
          <t>Hub C</t>
        </is>
      </c>
      <c r="E9266" t="n">
        <v>73</v>
      </c>
      <c r="F9266" t="n">
        <v>50</v>
      </c>
    </row>
    <row r="9267">
      <c r="A9267" t="inlineStr">
        <is>
          <t>ORD09266</t>
        </is>
      </c>
      <c r="B9267" t="inlineStr">
        <is>
          <t>C1766</t>
        </is>
      </c>
      <c r="C9267" t="n">
        <v>2</v>
      </c>
      <c r="D9267" t="inlineStr">
        <is>
          <t>Hub C</t>
        </is>
      </c>
      <c r="E9267" t="n">
        <v>20</v>
      </c>
      <c r="F9267" t="n">
        <v>50</v>
      </c>
    </row>
    <row r="9268">
      <c r="A9268" t="inlineStr">
        <is>
          <t>ORD09267</t>
        </is>
      </c>
      <c r="B9268" t="inlineStr">
        <is>
          <t>C1767</t>
        </is>
      </c>
      <c r="C9268" t="n">
        <v>3</v>
      </c>
      <c r="D9268" t="inlineStr">
        <is>
          <t>Hub C</t>
        </is>
      </c>
      <c r="E9268" t="n">
        <v>27</v>
      </c>
      <c r="F9268" t="n">
        <v>50</v>
      </c>
    </row>
    <row r="9269">
      <c r="A9269" t="inlineStr">
        <is>
          <t>ORD09268</t>
        </is>
      </c>
      <c r="B9269" t="inlineStr">
        <is>
          <t>C1768</t>
        </is>
      </c>
      <c r="C9269" t="n">
        <v>1</v>
      </c>
      <c r="D9269" t="inlineStr">
        <is>
          <t>Hub C</t>
        </is>
      </c>
      <c r="E9269" t="n">
        <v>34</v>
      </c>
      <c r="F9269" t="n">
        <v>50</v>
      </c>
    </row>
    <row r="9270">
      <c r="A9270" t="inlineStr">
        <is>
          <t>ORD09269</t>
        </is>
      </c>
      <c r="B9270" t="inlineStr">
        <is>
          <t>C1769</t>
        </is>
      </c>
      <c r="C9270" t="n">
        <v>2</v>
      </c>
      <c r="D9270" t="inlineStr">
        <is>
          <t>Hub C</t>
        </is>
      </c>
      <c r="E9270" t="n">
        <v>41</v>
      </c>
      <c r="F9270" t="n">
        <v>50</v>
      </c>
    </row>
    <row r="9271">
      <c r="A9271" t="inlineStr">
        <is>
          <t>ORD09270</t>
        </is>
      </c>
      <c r="B9271" t="inlineStr">
        <is>
          <t>C1770</t>
        </is>
      </c>
      <c r="C9271" t="n">
        <v>3</v>
      </c>
      <c r="D9271" t="inlineStr">
        <is>
          <t>Hub C</t>
        </is>
      </c>
      <c r="E9271" t="n">
        <v>48</v>
      </c>
      <c r="F9271" t="n">
        <v>50</v>
      </c>
    </row>
    <row r="9272">
      <c r="A9272" t="inlineStr">
        <is>
          <t>ORD09271</t>
        </is>
      </c>
      <c r="B9272" t="inlineStr">
        <is>
          <t>C1771</t>
        </is>
      </c>
      <c r="C9272" t="n">
        <v>1</v>
      </c>
      <c r="D9272" t="inlineStr">
        <is>
          <t>Hub C</t>
        </is>
      </c>
      <c r="E9272" t="n">
        <v>55</v>
      </c>
      <c r="F9272" t="n">
        <v>50</v>
      </c>
    </row>
    <row r="9273">
      <c r="A9273" t="inlineStr">
        <is>
          <t>ORD09272</t>
        </is>
      </c>
      <c r="B9273" t="inlineStr">
        <is>
          <t>C1772</t>
        </is>
      </c>
      <c r="C9273" t="n">
        <v>2</v>
      </c>
      <c r="D9273" t="inlineStr">
        <is>
          <t>Hub C</t>
        </is>
      </c>
      <c r="E9273" t="n">
        <v>62</v>
      </c>
      <c r="F9273" t="n">
        <v>50</v>
      </c>
    </row>
    <row r="9274">
      <c r="A9274" t="inlineStr">
        <is>
          <t>ORD09273</t>
        </is>
      </c>
      <c r="B9274" t="inlineStr">
        <is>
          <t>C1773</t>
        </is>
      </c>
      <c r="C9274" t="n">
        <v>3</v>
      </c>
      <c r="D9274" t="inlineStr">
        <is>
          <t>Hub C</t>
        </is>
      </c>
      <c r="E9274" t="n">
        <v>69</v>
      </c>
      <c r="F9274" t="n">
        <v>50</v>
      </c>
    </row>
    <row r="9275">
      <c r="A9275" t="inlineStr">
        <is>
          <t>ORD09274</t>
        </is>
      </c>
      <c r="B9275" t="inlineStr">
        <is>
          <t>C1774</t>
        </is>
      </c>
      <c r="C9275" t="n">
        <v>1</v>
      </c>
      <c r="D9275" t="inlineStr">
        <is>
          <t>Hub C</t>
        </is>
      </c>
      <c r="E9275" t="n">
        <v>76</v>
      </c>
      <c r="F9275" t="n">
        <v>50</v>
      </c>
    </row>
    <row r="9276">
      <c r="A9276" t="inlineStr">
        <is>
          <t>ORD09275</t>
        </is>
      </c>
      <c r="B9276" t="inlineStr">
        <is>
          <t>C1775</t>
        </is>
      </c>
      <c r="C9276" t="n">
        <v>2</v>
      </c>
      <c r="D9276" t="inlineStr">
        <is>
          <t>Hub C</t>
        </is>
      </c>
      <c r="E9276" t="n">
        <v>23</v>
      </c>
      <c r="F9276" t="n">
        <v>50</v>
      </c>
    </row>
    <row r="9277">
      <c r="A9277" t="inlineStr">
        <is>
          <t>ORD09276</t>
        </is>
      </c>
      <c r="B9277" t="inlineStr">
        <is>
          <t>C1776</t>
        </is>
      </c>
      <c r="C9277" t="n">
        <v>3</v>
      </c>
      <c r="D9277" t="inlineStr">
        <is>
          <t>Hub C</t>
        </is>
      </c>
      <c r="E9277" t="n">
        <v>30</v>
      </c>
      <c r="F9277" t="n">
        <v>50</v>
      </c>
    </row>
    <row r="9278">
      <c r="A9278" t="inlineStr">
        <is>
          <t>ORD09277</t>
        </is>
      </c>
      <c r="B9278" t="inlineStr">
        <is>
          <t>C1777</t>
        </is>
      </c>
      <c r="C9278" t="n">
        <v>1</v>
      </c>
      <c r="D9278" t="inlineStr">
        <is>
          <t>Hub C</t>
        </is>
      </c>
      <c r="E9278" t="n">
        <v>37</v>
      </c>
      <c r="F9278" t="n">
        <v>50</v>
      </c>
    </row>
    <row r="9279">
      <c r="A9279" t="inlineStr">
        <is>
          <t>ORD09278</t>
        </is>
      </c>
      <c r="B9279" t="inlineStr">
        <is>
          <t>C1778</t>
        </is>
      </c>
      <c r="C9279" t="n">
        <v>2</v>
      </c>
      <c r="D9279" t="inlineStr">
        <is>
          <t>Hub C</t>
        </is>
      </c>
      <c r="E9279" t="n">
        <v>44</v>
      </c>
      <c r="F9279" t="n">
        <v>50</v>
      </c>
    </row>
    <row r="9280">
      <c r="A9280" t="inlineStr">
        <is>
          <t>ORD09279</t>
        </is>
      </c>
      <c r="B9280" t="inlineStr">
        <is>
          <t>C1779</t>
        </is>
      </c>
      <c r="C9280" t="n">
        <v>3</v>
      </c>
      <c r="D9280" t="inlineStr">
        <is>
          <t>Hub C</t>
        </is>
      </c>
      <c r="E9280" t="n">
        <v>51</v>
      </c>
      <c r="F9280" t="n">
        <v>50</v>
      </c>
    </row>
    <row r="9281">
      <c r="A9281" t="inlineStr">
        <is>
          <t>ORD09280</t>
        </is>
      </c>
      <c r="B9281" t="inlineStr">
        <is>
          <t>C1780</t>
        </is>
      </c>
      <c r="C9281" t="n">
        <v>1</v>
      </c>
      <c r="D9281" t="inlineStr">
        <is>
          <t>Hub C</t>
        </is>
      </c>
      <c r="E9281" t="n">
        <v>58</v>
      </c>
      <c r="F9281" t="n">
        <v>50</v>
      </c>
    </row>
    <row r="9282">
      <c r="A9282" t="inlineStr">
        <is>
          <t>ORD09281</t>
        </is>
      </c>
      <c r="B9282" t="inlineStr">
        <is>
          <t>C1781</t>
        </is>
      </c>
      <c r="C9282" t="n">
        <v>2</v>
      </c>
      <c r="D9282" t="inlineStr">
        <is>
          <t>Hub C</t>
        </is>
      </c>
      <c r="E9282" t="n">
        <v>65</v>
      </c>
      <c r="F9282" t="n">
        <v>50</v>
      </c>
    </row>
    <row r="9283">
      <c r="A9283" t="inlineStr">
        <is>
          <t>ORD09282</t>
        </is>
      </c>
      <c r="B9283" t="inlineStr">
        <is>
          <t>C1782</t>
        </is>
      </c>
      <c r="C9283" t="n">
        <v>3</v>
      </c>
      <c r="D9283" t="inlineStr">
        <is>
          <t>Hub C</t>
        </is>
      </c>
      <c r="E9283" t="n">
        <v>72</v>
      </c>
      <c r="F9283" t="n">
        <v>50</v>
      </c>
    </row>
    <row r="9284">
      <c r="A9284" t="inlineStr">
        <is>
          <t>ORD09283</t>
        </is>
      </c>
      <c r="B9284" t="inlineStr">
        <is>
          <t>C1783</t>
        </is>
      </c>
      <c r="C9284" t="n">
        <v>1</v>
      </c>
      <c r="D9284" t="inlineStr">
        <is>
          <t>Hub C</t>
        </is>
      </c>
      <c r="E9284" t="n">
        <v>19</v>
      </c>
      <c r="F9284" t="n">
        <v>50</v>
      </c>
    </row>
    <row r="9285">
      <c r="A9285" t="inlineStr">
        <is>
          <t>ORD09284</t>
        </is>
      </c>
      <c r="B9285" t="inlineStr">
        <is>
          <t>C1784</t>
        </is>
      </c>
      <c r="C9285" t="n">
        <v>2</v>
      </c>
      <c r="D9285" t="inlineStr">
        <is>
          <t>Hub C</t>
        </is>
      </c>
      <c r="E9285" t="n">
        <v>26</v>
      </c>
      <c r="F9285" t="n">
        <v>50</v>
      </c>
    </row>
    <row r="9286">
      <c r="A9286" t="inlineStr">
        <is>
          <t>ORD09285</t>
        </is>
      </c>
      <c r="B9286" t="inlineStr">
        <is>
          <t>C1785</t>
        </is>
      </c>
      <c r="C9286" t="n">
        <v>3</v>
      </c>
      <c r="D9286" t="inlineStr">
        <is>
          <t>Hub C</t>
        </is>
      </c>
      <c r="E9286" t="n">
        <v>33</v>
      </c>
      <c r="F9286" t="n">
        <v>50</v>
      </c>
    </row>
    <row r="9287">
      <c r="A9287" t="inlineStr">
        <is>
          <t>ORD09286</t>
        </is>
      </c>
      <c r="B9287" t="inlineStr">
        <is>
          <t>C1786</t>
        </is>
      </c>
      <c r="C9287" t="n">
        <v>1</v>
      </c>
      <c r="D9287" t="inlineStr">
        <is>
          <t>Hub C</t>
        </is>
      </c>
      <c r="E9287" t="n">
        <v>40</v>
      </c>
      <c r="F9287" t="n">
        <v>50</v>
      </c>
    </row>
    <row r="9288">
      <c r="A9288" t="inlineStr">
        <is>
          <t>ORD09287</t>
        </is>
      </c>
      <c r="B9288" t="inlineStr">
        <is>
          <t>C1787</t>
        </is>
      </c>
      <c r="C9288" t="n">
        <v>2</v>
      </c>
      <c r="D9288" t="inlineStr">
        <is>
          <t>Hub C</t>
        </is>
      </c>
      <c r="E9288" t="n">
        <v>47</v>
      </c>
      <c r="F9288" t="n">
        <v>50</v>
      </c>
    </row>
    <row r="9289">
      <c r="A9289" t="inlineStr">
        <is>
          <t>ORD09288</t>
        </is>
      </c>
      <c r="B9289" t="inlineStr">
        <is>
          <t>C1788</t>
        </is>
      </c>
      <c r="C9289" t="n">
        <v>3</v>
      </c>
      <c r="D9289" t="inlineStr">
        <is>
          <t>Hub C</t>
        </is>
      </c>
      <c r="E9289" t="n">
        <v>54</v>
      </c>
      <c r="F9289" t="n">
        <v>50</v>
      </c>
    </row>
    <row r="9290">
      <c r="A9290" t="inlineStr">
        <is>
          <t>ORD09289</t>
        </is>
      </c>
      <c r="B9290" t="inlineStr">
        <is>
          <t>C1789</t>
        </is>
      </c>
      <c r="C9290" t="n">
        <v>1</v>
      </c>
      <c r="D9290" t="inlineStr">
        <is>
          <t>Hub C</t>
        </is>
      </c>
      <c r="E9290" t="n">
        <v>61</v>
      </c>
      <c r="F9290" t="n">
        <v>50</v>
      </c>
    </row>
    <row r="9291">
      <c r="A9291" t="inlineStr">
        <is>
          <t>ORD09290</t>
        </is>
      </c>
      <c r="B9291" t="inlineStr">
        <is>
          <t>C1790</t>
        </is>
      </c>
      <c r="C9291" t="n">
        <v>2</v>
      </c>
      <c r="D9291" t="inlineStr">
        <is>
          <t>Hub C</t>
        </is>
      </c>
      <c r="E9291" t="n">
        <v>68</v>
      </c>
      <c r="F9291" t="n">
        <v>50</v>
      </c>
    </row>
    <row r="9292">
      <c r="A9292" t="inlineStr">
        <is>
          <t>ORD09291</t>
        </is>
      </c>
      <c r="B9292" t="inlineStr">
        <is>
          <t>C1791</t>
        </is>
      </c>
      <c r="C9292" t="n">
        <v>3</v>
      </c>
      <c r="D9292" t="inlineStr">
        <is>
          <t>Hub C</t>
        </is>
      </c>
      <c r="E9292" t="n">
        <v>75</v>
      </c>
      <c r="F9292" t="n">
        <v>50</v>
      </c>
    </row>
    <row r="9293">
      <c r="A9293" t="inlineStr">
        <is>
          <t>ORD09292</t>
        </is>
      </c>
      <c r="B9293" t="inlineStr">
        <is>
          <t>C1792</t>
        </is>
      </c>
      <c r="C9293" t="n">
        <v>1</v>
      </c>
      <c r="D9293" t="inlineStr">
        <is>
          <t>Hub C</t>
        </is>
      </c>
      <c r="E9293" t="n">
        <v>22</v>
      </c>
      <c r="F9293" t="n">
        <v>50</v>
      </c>
    </row>
    <row r="9294">
      <c r="A9294" t="inlineStr">
        <is>
          <t>ORD09293</t>
        </is>
      </c>
      <c r="B9294" t="inlineStr">
        <is>
          <t>C1793</t>
        </is>
      </c>
      <c r="C9294" t="n">
        <v>2</v>
      </c>
      <c r="D9294" t="inlineStr">
        <is>
          <t>Hub C</t>
        </is>
      </c>
      <c r="E9294" t="n">
        <v>29</v>
      </c>
      <c r="F9294" t="n">
        <v>50</v>
      </c>
    </row>
    <row r="9295">
      <c r="A9295" t="inlineStr">
        <is>
          <t>ORD09294</t>
        </is>
      </c>
      <c r="B9295" t="inlineStr">
        <is>
          <t>C1794</t>
        </is>
      </c>
      <c r="C9295" t="n">
        <v>3</v>
      </c>
      <c r="D9295" t="inlineStr">
        <is>
          <t>Hub C</t>
        </is>
      </c>
      <c r="E9295" t="n">
        <v>36</v>
      </c>
      <c r="F9295" t="n">
        <v>50</v>
      </c>
    </row>
    <row r="9296">
      <c r="A9296" t="inlineStr">
        <is>
          <t>ORD09295</t>
        </is>
      </c>
      <c r="B9296" t="inlineStr">
        <is>
          <t>C1795</t>
        </is>
      </c>
      <c r="C9296" t="n">
        <v>1</v>
      </c>
      <c r="D9296" t="inlineStr">
        <is>
          <t>Hub C</t>
        </is>
      </c>
      <c r="E9296" t="n">
        <v>43</v>
      </c>
      <c r="F9296" t="n">
        <v>50</v>
      </c>
    </row>
    <row r="9297">
      <c r="A9297" t="inlineStr">
        <is>
          <t>ORD09296</t>
        </is>
      </c>
      <c r="B9297" t="inlineStr">
        <is>
          <t>C1796</t>
        </is>
      </c>
      <c r="C9297" t="n">
        <v>2</v>
      </c>
      <c r="D9297" t="inlineStr">
        <is>
          <t>Hub C</t>
        </is>
      </c>
      <c r="E9297" t="n">
        <v>50</v>
      </c>
      <c r="F9297" t="n">
        <v>50</v>
      </c>
    </row>
    <row r="9298">
      <c r="A9298" t="inlineStr">
        <is>
          <t>ORD09297</t>
        </is>
      </c>
      <c r="B9298" t="inlineStr">
        <is>
          <t>C1797</t>
        </is>
      </c>
      <c r="C9298" t="n">
        <v>3</v>
      </c>
      <c r="D9298" t="inlineStr">
        <is>
          <t>Hub C</t>
        </is>
      </c>
      <c r="E9298" t="n">
        <v>57</v>
      </c>
      <c r="F9298" t="n">
        <v>50</v>
      </c>
    </row>
    <row r="9299">
      <c r="A9299" t="inlineStr">
        <is>
          <t>ORD09298</t>
        </is>
      </c>
      <c r="B9299" t="inlineStr">
        <is>
          <t>C1798</t>
        </is>
      </c>
      <c r="C9299" t="n">
        <v>1</v>
      </c>
      <c r="D9299" t="inlineStr">
        <is>
          <t>Hub C</t>
        </is>
      </c>
      <c r="E9299" t="n">
        <v>64</v>
      </c>
      <c r="F9299" t="n">
        <v>50</v>
      </c>
    </row>
    <row r="9300">
      <c r="A9300" t="inlineStr">
        <is>
          <t>ORD09299</t>
        </is>
      </c>
      <c r="B9300" t="inlineStr">
        <is>
          <t>C1799</t>
        </is>
      </c>
      <c r="C9300" t="n">
        <v>2</v>
      </c>
      <c r="D9300" t="inlineStr">
        <is>
          <t>Hub C</t>
        </is>
      </c>
      <c r="E9300" t="n">
        <v>71</v>
      </c>
      <c r="F9300" t="n">
        <v>50</v>
      </c>
    </row>
    <row r="9301">
      <c r="A9301" t="inlineStr">
        <is>
          <t>ORD09300</t>
        </is>
      </c>
      <c r="B9301" t="inlineStr">
        <is>
          <t>C1800</t>
        </is>
      </c>
      <c r="C9301" t="n">
        <v>3</v>
      </c>
      <c r="D9301" t="inlineStr">
        <is>
          <t>Hub C</t>
        </is>
      </c>
      <c r="E9301" t="n">
        <v>18</v>
      </c>
      <c r="F9301" t="n">
        <v>50</v>
      </c>
    </row>
    <row r="9302">
      <c r="A9302" t="inlineStr">
        <is>
          <t>ORD09301</t>
        </is>
      </c>
      <c r="B9302" t="inlineStr">
        <is>
          <t>C1801</t>
        </is>
      </c>
      <c r="C9302" t="n">
        <v>1</v>
      </c>
      <c r="D9302" t="inlineStr">
        <is>
          <t>Hub C</t>
        </is>
      </c>
      <c r="E9302" t="n">
        <v>25</v>
      </c>
      <c r="F9302" t="n">
        <v>50</v>
      </c>
    </row>
    <row r="9303">
      <c r="A9303" t="inlineStr">
        <is>
          <t>ORD09302</t>
        </is>
      </c>
      <c r="B9303" t="inlineStr">
        <is>
          <t>C1802</t>
        </is>
      </c>
      <c r="C9303" t="n">
        <v>2</v>
      </c>
      <c r="D9303" t="inlineStr">
        <is>
          <t>Hub C</t>
        </is>
      </c>
      <c r="E9303" t="n">
        <v>32</v>
      </c>
      <c r="F9303" t="n">
        <v>50</v>
      </c>
    </row>
    <row r="9304">
      <c r="A9304" t="inlineStr">
        <is>
          <t>ORD09303</t>
        </is>
      </c>
      <c r="B9304" t="inlineStr">
        <is>
          <t>C1803</t>
        </is>
      </c>
      <c r="C9304" t="n">
        <v>3</v>
      </c>
      <c r="D9304" t="inlineStr">
        <is>
          <t>Hub C</t>
        </is>
      </c>
      <c r="E9304" t="n">
        <v>39</v>
      </c>
      <c r="F9304" t="n">
        <v>50</v>
      </c>
    </row>
    <row r="9305">
      <c r="A9305" t="inlineStr">
        <is>
          <t>ORD09304</t>
        </is>
      </c>
      <c r="B9305" t="inlineStr">
        <is>
          <t>C1804</t>
        </is>
      </c>
      <c r="C9305" t="n">
        <v>1</v>
      </c>
      <c r="D9305" t="inlineStr">
        <is>
          <t>Hub C</t>
        </is>
      </c>
      <c r="E9305" t="n">
        <v>46</v>
      </c>
      <c r="F9305" t="n">
        <v>50</v>
      </c>
    </row>
    <row r="9306">
      <c r="A9306" t="inlineStr">
        <is>
          <t>ORD09305</t>
        </is>
      </c>
      <c r="B9306" t="inlineStr">
        <is>
          <t>C1805</t>
        </is>
      </c>
      <c r="C9306" t="n">
        <v>2</v>
      </c>
      <c r="D9306" t="inlineStr">
        <is>
          <t>Hub C</t>
        </is>
      </c>
      <c r="E9306" t="n">
        <v>53</v>
      </c>
      <c r="F9306" t="n">
        <v>50</v>
      </c>
    </row>
    <row r="9307">
      <c r="A9307" t="inlineStr">
        <is>
          <t>ORD09306</t>
        </is>
      </c>
      <c r="B9307" t="inlineStr">
        <is>
          <t>C1806</t>
        </is>
      </c>
      <c r="C9307" t="n">
        <v>3</v>
      </c>
      <c r="D9307" t="inlineStr">
        <is>
          <t>Hub C</t>
        </is>
      </c>
      <c r="E9307" t="n">
        <v>60</v>
      </c>
      <c r="F9307" t="n">
        <v>50</v>
      </c>
    </row>
    <row r="9308">
      <c r="A9308" t="inlineStr">
        <is>
          <t>ORD09307</t>
        </is>
      </c>
      <c r="B9308" t="inlineStr">
        <is>
          <t>C1807</t>
        </is>
      </c>
      <c r="C9308" t="n">
        <v>1</v>
      </c>
      <c r="D9308" t="inlineStr">
        <is>
          <t>Hub C</t>
        </is>
      </c>
      <c r="E9308" t="n">
        <v>67</v>
      </c>
      <c r="F9308" t="n">
        <v>50</v>
      </c>
    </row>
    <row r="9309">
      <c r="A9309" t="inlineStr">
        <is>
          <t>ORD09308</t>
        </is>
      </c>
      <c r="B9309" t="inlineStr">
        <is>
          <t>C1808</t>
        </is>
      </c>
      <c r="C9309" t="n">
        <v>2</v>
      </c>
      <c r="D9309" t="inlineStr">
        <is>
          <t>Hub C</t>
        </is>
      </c>
      <c r="E9309" t="n">
        <v>74</v>
      </c>
      <c r="F9309" t="n">
        <v>50</v>
      </c>
    </row>
    <row r="9310">
      <c r="A9310" t="inlineStr">
        <is>
          <t>ORD09309</t>
        </is>
      </c>
      <c r="B9310" t="inlineStr">
        <is>
          <t>C1809</t>
        </is>
      </c>
      <c r="C9310" t="n">
        <v>3</v>
      </c>
      <c r="D9310" t="inlineStr">
        <is>
          <t>Hub C</t>
        </is>
      </c>
      <c r="E9310" t="n">
        <v>21</v>
      </c>
      <c r="F9310" t="n">
        <v>50</v>
      </c>
    </row>
    <row r="9311">
      <c r="A9311" t="inlineStr">
        <is>
          <t>ORD09310</t>
        </is>
      </c>
      <c r="B9311" t="inlineStr">
        <is>
          <t>C1810</t>
        </is>
      </c>
      <c r="C9311" t="n">
        <v>1</v>
      </c>
      <c r="D9311" t="inlineStr">
        <is>
          <t>Hub C</t>
        </is>
      </c>
      <c r="E9311" t="n">
        <v>28</v>
      </c>
      <c r="F9311" t="n">
        <v>50</v>
      </c>
    </row>
    <row r="9312">
      <c r="A9312" t="inlineStr">
        <is>
          <t>ORD09311</t>
        </is>
      </c>
      <c r="B9312" t="inlineStr">
        <is>
          <t>C1811</t>
        </is>
      </c>
      <c r="C9312" t="n">
        <v>2</v>
      </c>
      <c r="D9312" t="inlineStr">
        <is>
          <t>Hub C</t>
        </is>
      </c>
      <c r="E9312" t="n">
        <v>35</v>
      </c>
      <c r="F9312" t="n">
        <v>50</v>
      </c>
    </row>
    <row r="9313">
      <c r="A9313" t="inlineStr">
        <is>
          <t>ORD09312</t>
        </is>
      </c>
      <c r="B9313" t="inlineStr">
        <is>
          <t>C1812</t>
        </is>
      </c>
      <c r="C9313" t="n">
        <v>3</v>
      </c>
      <c r="D9313" t="inlineStr">
        <is>
          <t>Hub C</t>
        </is>
      </c>
      <c r="E9313" t="n">
        <v>42</v>
      </c>
      <c r="F9313" t="n">
        <v>50</v>
      </c>
    </row>
    <row r="9314">
      <c r="A9314" t="inlineStr">
        <is>
          <t>ORD09313</t>
        </is>
      </c>
      <c r="B9314" t="inlineStr">
        <is>
          <t>C1813</t>
        </is>
      </c>
      <c r="C9314" t="n">
        <v>1</v>
      </c>
      <c r="D9314" t="inlineStr">
        <is>
          <t>Hub C</t>
        </is>
      </c>
      <c r="E9314" t="n">
        <v>49</v>
      </c>
      <c r="F9314" t="n">
        <v>50</v>
      </c>
    </row>
    <row r="9315">
      <c r="A9315" t="inlineStr">
        <is>
          <t>ORD09314</t>
        </is>
      </c>
      <c r="B9315" t="inlineStr">
        <is>
          <t>C1814</t>
        </is>
      </c>
      <c r="C9315" t="n">
        <v>2</v>
      </c>
      <c r="D9315" t="inlineStr">
        <is>
          <t>Hub C</t>
        </is>
      </c>
      <c r="E9315" t="n">
        <v>56</v>
      </c>
      <c r="F9315" t="n">
        <v>50</v>
      </c>
    </row>
    <row r="9316">
      <c r="A9316" t="inlineStr">
        <is>
          <t>ORD09315</t>
        </is>
      </c>
      <c r="B9316" t="inlineStr">
        <is>
          <t>C1815</t>
        </is>
      </c>
      <c r="C9316" t="n">
        <v>3</v>
      </c>
      <c r="D9316" t="inlineStr">
        <is>
          <t>Hub C</t>
        </is>
      </c>
      <c r="E9316" t="n">
        <v>63</v>
      </c>
      <c r="F9316" t="n">
        <v>50</v>
      </c>
    </row>
    <row r="9317">
      <c r="A9317" t="inlineStr">
        <is>
          <t>ORD09316</t>
        </is>
      </c>
      <c r="B9317" t="inlineStr">
        <is>
          <t>C1816</t>
        </is>
      </c>
      <c r="C9317" t="n">
        <v>1</v>
      </c>
      <c r="D9317" t="inlineStr">
        <is>
          <t>Hub C</t>
        </is>
      </c>
      <c r="E9317" t="n">
        <v>70</v>
      </c>
      <c r="F9317" t="n">
        <v>50</v>
      </c>
    </row>
    <row r="9318">
      <c r="A9318" t="inlineStr">
        <is>
          <t>ORD09317</t>
        </is>
      </c>
      <c r="B9318" t="inlineStr">
        <is>
          <t>C1817</t>
        </is>
      </c>
      <c r="C9318" t="n">
        <v>2</v>
      </c>
      <c r="D9318" t="inlineStr">
        <is>
          <t>Hub C</t>
        </is>
      </c>
      <c r="E9318" t="n">
        <v>77</v>
      </c>
      <c r="F9318" t="n">
        <v>50</v>
      </c>
    </row>
    <row r="9319">
      <c r="A9319" t="inlineStr">
        <is>
          <t>ORD09318</t>
        </is>
      </c>
      <c r="B9319" t="inlineStr">
        <is>
          <t>C1818</t>
        </is>
      </c>
      <c r="C9319" t="n">
        <v>3</v>
      </c>
      <c r="D9319" t="inlineStr">
        <is>
          <t>Hub C</t>
        </is>
      </c>
      <c r="E9319" t="n">
        <v>24</v>
      </c>
      <c r="F9319" t="n">
        <v>50</v>
      </c>
    </row>
    <row r="9320">
      <c r="A9320" t="inlineStr">
        <is>
          <t>ORD09319</t>
        </is>
      </c>
      <c r="B9320" t="inlineStr">
        <is>
          <t>C1819</t>
        </is>
      </c>
      <c r="C9320" t="n">
        <v>1</v>
      </c>
      <c r="D9320" t="inlineStr">
        <is>
          <t>Hub C</t>
        </is>
      </c>
      <c r="E9320" t="n">
        <v>31</v>
      </c>
      <c r="F9320" t="n">
        <v>50</v>
      </c>
    </row>
    <row r="9321">
      <c r="A9321" t="inlineStr">
        <is>
          <t>ORD09320</t>
        </is>
      </c>
      <c r="B9321" t="inlineStr">
        <is>
          <t>C1820</t>
        </is>
      </c>
      <c r="C9321" t="n">
        <v>2</v>
      </c>
      <c r="D9321" t="inlineStr">
        <is>
          <t>Hub C</t>
        </is>
      </c>
      <c r="E9321" t="n">
        <v>38</v>
      </c>
      <c r="F9321" t="n">
        <v>50</v>
      </c>
    </row>
    <row r="9322">
      <c r="A9322" t="inlineStr">
        <is>
          <t>ORD09321</t>
        </is>
      </c>
      <c r="B9322" t="inlineStr">
        <is>
          <t>C1821</t>
        </is>
      </c>
      <c r="C9322" t="n">
        <v>3</v>
      </c>
      <c r="D9322" t="inlineStr">
        <is>
          <t>Hub C</t>
        </is>
      </c>
      <c r="E9322" t="n">
        <v>45</v>
      </c>
      <c r="F9322" t="n">
        <v>50</v>
      </c>
    </row>
    <row r="9323">
      <c r="A9323" t="inlineStr">
        <is>
          <t>ORD09322</t>
        </is>
      </c>
      <c r="B9323" t="inlineStr">
        <is>
          <t>C1822</t>
        </is>
      </c>
      <c r="C9323" t="n">
        <v>1</v>
      </c>
      <c r="D9323" t="inlineStr">
        <is>
          <t>Hub C</t>
        </is>
      </c>
      <c r="E9323" t="n">
        <v>52</v>
      </c>
      <c r="F9323" t="n">
        <v>50</v>
      </c>
    </row>
    <row r="9324">
      <c r="A9324" t="inlineStr">
        <is>
          <t>ORD09323</t>
        </is>
      </c>
      <c r="B9324" t="inlineStr">
        <is>
          <t>C1823</t>
        </is>
      </c>
      <c r="C9324" t="n">
        <v>2</v>
      </c>
      <c r="D9324" t="inlineStr">
        <is>
          <t>Hub C</t>
        </is>
      </c>
      <c r="E9324" t="n">
        <v>59</v>
      </c>
      <c r="F9324" t="n">
        <v>50</v>
      </c>
    </row>
    <row r="9325">
      <c r="A9325" t="inlineStr">
        <is>
          <t>ORD09324</t>
        </is>
      </c>
      <c r="B9325" t="inlineStr">
        <is>
          <t>C1824</t>
        </is>
      </c>
      <c r="C9325" t="n">
        <v>3</v>
      </c>
      <c r="D9325" t="inlineStr">
        <is>
          <t>Hub C</t>
        </is>
      </c>
      <c r="E9325" t="n">
        <v>66</v>
      </c>
      <c r="F9325" t="n">
        <v>50</v>
      </c>
    </row>
    <row r="9326">
      <c r="A9326" t="inlineStr">
        <is>
          <t>ORD09325</t>
        </is>
      </c>
      <c r="B9326" t="inlineStr">
        <is>
          <t>C1825</t>
        </is>
      </c>
      <c r="C9326" t="n">
        <v>1</v>
      </c>
      <c r="D9326" t="inlineStr">
        <is>
          <t>Hub C</t>
        </is>
      </c>
      <c r="E9326" t="n">
        <v>73</v>
      </c>
      <c r="F9326" t="n">
        <v>50</v>
      </c>
    </row>
    <row r="9327">
      <c r="A9327" t="inlineStr">
        <is>
          <t>ORD09326</t>
        </is>
      </c>
      <c r="B9327" t="inlineStr">
        <is>
          <t>C1826</t>
        </is>
      </c>
      <c r="C9327" t="n">
        <v>2</v>
      </c>
      <c r="D9327" t="inlineStr">
        <is>
          <t>Hub C</t>
        </is>
      </c>
      <c r="E9327" t="n">
        <v>20</v>
      </c>
      <c r="F9327" t="n">
        <v>50</v>
      </c>
    </row>
    <row r="9328">
      <c r="A9328" t="inlineStr">
        <is>
          <t>ORD09327</t>
        </is>
      </c>
      <c r="B9328" t="inlineStr">
        <is>
          <t>C1827</t>
        </is>
      </c>
      <c r="C9328" t="n">
        <v>3</v>
      </c>
      <c r="D9328" t="inlineStr">
        <is>
          <t>Hub C</t>
        </is>
      </c>
      <c r="E9328" t="n">
        <v>27</v>
      </c>
      <c r="F9328" t="n">
        <v>50</v>
      </c>
    </row>
    <row r="9329">
      <c r="A9329" t="inlineStr">
        <is>
          <t>ORD09328</t>
        </is>
      </c>
      <c r="B9329" t="inlineStr">
        <is>
          <t>C1828</t>
        </is>
      </c>
      <c r="C9329" t="n">
        <v>1</v>
      </c>
      <c r="D9329" t="inlineStr">
        <is>
          <t>Hub C</t>
        </is>
      </c>
      <c r="E9329" t="n">
        <v>34</v>
      </c>
      <c r="F9329" t="n">
        <v>50</v>
      </c>
    </row>
    <row r="9330">
      <c r="A9330" t="inlineStr">
        <is>
          <t>ORD09329</t>
        </is>
      </c>
      <c r="B9330" t="inlineStr">
        <is>
          <t>C1829</t>
        </is>
      </c>
      <c r="C9330" t="n">
        <v>2</v>
      </c>
      <c r="D9330" t="inlineStr">
        <is>
          <t>Hub C</t>
        </is>
      </c>
      <c r="E9330" t="n">
        <v>41</v>
      </c>
      <c r="F9330" t="n">
        <v>50</v>
      </c>
    </row>
    <row r="9331">
      <c r="A9331" t="inlineStr">
        <is>
          <t>ORD09330</t>
        </is>
      </c>
      <c r="B9331" t="inlineStr">
        <is>
          <t>C1830</t>
        </is>
      </c>
      <c r="C9331" t="n">
        <v>3</v>
      </c>
      <c r="D9331" t="inlineStr">
        <is>
          <t>Hub C</t>
        </is>
      </c>
      <c r="E9331" t="n">
        <v>48</v>
      </c>
      <c r="F9331" t="n">
        <v>50</v>
      </c>
    </row>
    <row r="9332">
      <c r="A9332" t="inlineStr">
        <is>
          <t>ORD09331</t>
        </is>
      </c>
      <c r="B9332" t="inlineStr">
        <is>
          <t>C1831</t>
        </is>
      </c>
      <c r="C9332" t="n">
        <v>1</v>
      </c>
      <c r="D9332" t="inlineStr">
        <is>
          <t>Hub C</t>
        </is>
      </c>
      <c r="E9332" t="n">
        <v>55</v>
      </c>
      <c r="F9332" t="n">
        <v>50</v>
      </c>
    </row>
    <row r="9333">
      <c r="A9333" t="inlineStr">
        <is>
          <t>ORD09332</t>
        </is>
      </c>
      <c r="B9333" t="inlineStr">
        <is>
          <t>C1832</t>
        </is>
      </c>
      <c r="C9333" t="n">
        <v>2</v>
      </c>
      <c r="D9333" t="inlineStr">
        <is>
          <t>Hub C</t>
        </is>
      </c>
      <c r="E9333" t="n">
        <v>62</v>
      </c>
      <c r="F9333" t="n">
        <v>50</v>
      </c>
    </row>
    <row r="9334">
      <c r="A9334" t="inlineStr">
        <is>
          <t>ORD09333</t>
        </is>
      </c>
      <c r="B9334" t="inlineStr">
        <is>
          <t>C1833</t>
        </is>
      </c>
      <c r="C9334" t="n">
        <v>3</v>
      </c>
      <c r="D9334" t="inlineStr">
        <is>
          <t>Hub C</t>
        </is>
      </c>
      <c r="E9334" t="n">
        <v>69</v>
      </c>
      <c r="F9334" t="n">
        <v>50</v>
      </c>
    </row>
    <row r="9335">
      <c r="A9335" t="inlineStr">
        <is>
          <t>ORD09334</t>
        </is>
      </c>
      <c r="B9335" t="inlineStr">
        <is>
          <t>C1834</t>
        </is>
      </c>
      <c r="C9335" t="n">
        <v>1</v>
      </c>
      <c r="D9335" t="inlineStr">
        <is>
          <t>Hub C</t>
        </is>
      </c>
      <c r="E9335" t="n">
        <v>76</v>
      </c>
      <c r="F9335" t="n">
        <v>50</v>
      </c>
    </row>
    <row r="9336">
      <c r="A9336" t="inlineStr">
        <is>
          <t>ORD09335</t>
        </is>
      </c>
      <c r="B9336" t="inlineStr">
        <is>
          <t>C1835</t>
        </is>
      </c>
      <c r="C9336" t="n">
        <v>2</v>
      </c>
      <c r="D9336" t="inlineStr">
        <is>
          <t>Hub C</t>
        </is>
      </c>
      <c r="E9336" t="n">
        <v>23</v>
      </c>
      <c r="F9336" t="n">
        <v>50</v>
      </c>
    </row>
    <row r="9337">
      <c r="A9337" t="inlineStr">
        <is>
          <t>ORD09336</t>
        </is>
      </c>
      <c r="B9337" t="inlineStr">
        <is>
          <t>C1836</t>
        </is>
      </c>
      <c r="C9337" t="n">
        <v>3</v>
      </c>
      <c r="D9337" t="inlineStr">
        <is>
          <t>Hub C</t>
        </is>
      </c>
      <c r="E9337" t="n">
        <v>30</v>
      </c>
      <c r="F9337" t="n">
        <v>50</v>
      </c>
    </row>
    <row r="9338">
      <c r="A9338" t="inlineStr">
        <is>
          <t>ORD09337</t>
        </is>
      </c>
      <c r="B9338" t="inlineStr">
        <is>
          <t>C1837</t>
        </is>
      </c>
      <c r="C9338" t="n">
        <v>1</v>
      </c>
      <c r="D9338" t="inlineStr">
        <is>
          <t>Hub C</t>
        </is>
      </c>
      <c r="E9338" t="n">
        <v>37</v>
      </c>
      <c r="F9338" t="n">
        <v>50</v>
      </c>
    </row>
    <row r="9339">
      <c r="A9339" t="inlineStr">
        <is>
          <t>ORD09338</t>
        </is>
      </c>
      <c r="B9339" t="inlineStr">
        <is>
          <t>C1838</t>
        </is>
      </c>
      <c r="C9339" t="n">
        <v>2</v>
      </c>
      <c r="D9339" t="inlineStr">
        <is>
          <t>Hub C</t>
        </is>
      </c>
      <c r="E9339" t="n">
        <v>44</v>
      </c>
      <c r="F9339" t="n">
        <v>50</v>
      </c>
    </row>
    <row r="9340">
      <c r="A9340" t="inlineStr">
        <is>
          <t>ORD09339</t>
        </is>
      </c>
      <c r="B9340" t="inlineStr">
        <is>
          <t>C1839</t>
        </is>
      </c>
      <c r="C9340" t="n">
        <v>3</v>
      </c>
      <c r="D9340" t="inlineStr">
        <is>
          <t>Hub C</t>
        </is>
      </c>
      <c r="E9340" t="n">
        <v>51</v>
      </c>
      <c r="F9340" t="n">
        <v>50</v>
      </c>
    </row>
    <row r="9341">
      <c r="A9341" t="inlineStr">
        <is>
          <t>ORD09340</t>
        </is>
      </c>
      <c r="B9341" t="inlineStr">
        <is>
          <t>C1840</t>
        </is>
      </c>
      <c r="C9341" t="n">
        <v>1</v>
      </c>
      <c r="D9341" t="inlineStr">
        <is>
          <t>Hub C</t>
        </is>
      </c>
      <c r="E9341" t="n">
        <v>58</v>
      </c>
      <c r="F9341" t="n">
        <v>50</v>
      </c>
    </row>
    <row r="9342">
      <c r="A9342" t="inlineStr">
        <is>
          <t>ORD09341</t>
        </is>
      </c>
      <c r="B9342" t="inlineStr">
        <is>
          <t>C1841</t>
        </is>
      </c>
      <c r="C9342" t="n">
        <v>2</v>
      </c>
      <c r="D9342" t="inlineStr">
        <is>
          <t>Hub C</t>
        </is>
      </c>
      <c r="E9342" t="n">
        <v>65</v>
      </c>
      <c r="F9342" t="n">
        <v>50</v>
      </c>
    </row>
    <row r="9343">
      <c r="A9343" t="inlineStr">
        <is>
          <t>ORD09342</t>
        </is>
      </c>
      <c r="B9343" t="inlineStr">
        <is>
          <t>C1842</t>
        </is>
      </c>
      <c r="C9343" t="n">
        <v>3</v>
      </c>
      <c r="D9343" t="inlineStr">
        <is>
          <t>Hub C</t>
        </is>
      </c>
      <c r="E9343" t="n">
        <v>72</v>
      </c>
      <c r="F9343" t="n">
        <v>50</v>
      </c>
    </row>
    <row r="9344">
      <c r="A9344" t="inlineStr">
        <is>
          <t>ORD09343</t>
        </is>
      </c>
      <c r="B9344" t="inlineStr">
        <is>
          <t>C1843</t>
        </is>
      </c>
      <c r="C9344" t="n">
        <v>1</v>
      </c>
      <c r="D9344" t="inlineStr">
        <is>
          <t>Hub C</t>
        </is>
      </c>
      <c r="E9344" t="n">
        <v>19</v>
      </c>
      <c r="F9344" t="n">
        <v>50</v>
      </c>
    </row>
    <row r="9345">
      <c r="A9345" t="inlineStr">
        <is>
          <t>ORD09344</t>
        </is>
      </c>
      <c r="B9345" t="inlineStr">
        <is>
          <t>C1844</t>
        </is>
      </c>
      <c r="C9345" t="n">
        <v>2</v>
      </c>
      <c r="D9345" t="inlineStr">
        <is>
          <t>Hub C</t>
        </is>
      </c>
      <c r="E9345" t="n">
        <v>26</v>
      </c>
      <c r="F9345" t="n">
        <v>50</v>
      </c>
    </row>
    <row r="9346">
      <c r="A9346" t="inlineStr">
        <is>
          <t>ORD09345</t>
        </is>
      </c>
      <c r="B9346" t="inlineStr">
        <is>
          <t>C1845</t>
        </is>
      </c>
      <c r="C9346" t="n">
        <v>3</v>
      </c>
      <c r="D9346" t="inlineStr">
        <is>
          <t>Hub C</t>
        </is>
      </c>
      <c r="E9346" t="n">
        <v>33</v>
      </c>
      <c r="F9346" t="n">
        <v>50</v>
      </c>
    </row>
    <row r="9347">
      <c r="A9347" t="inlineStr">
        <is>
          <t>ORD09346</t>
        </is>
      </c>
      <c r="B9347" t="inlineStr">
        <is>
          <t>C1846</t>
        </is>
      </c>
      <c r="C9347" t="n">
        <v>1</v>
      </c>
      <c r="D9347" t="inlineStr">
        <is>
          <t>Hub C</t>
        </is>
      </c>
      <c r="E9347" t="n">
        <v>40</v>
      </c>
      <c r="F9347" t="n">
        <v>50</v>
      </c>
    </row>
    <row r="9348">
      <c r="A9348" t="inlineStr">
        <is>
          <t>ORD09347</t>
        </is>
      </c>
      <c r="B9348" t="inlineStr">
        <is>
          <t>C1847</t>
        </is>
      </c>
      <c r="C9348" t="n">
        <v>2</v>
      </c>
      <c r="D9348" t="inlineStr">
        <is>
          <t>Hub C</t>
        </is>
      </c>
      <c r="E9348" t="n">
        <v>47</v>
      </c>
      <c r="F9348" t="n">
        <v>50</v>
      </c>
    </row>
    <row r="9349">
      <c r="A9349" t="inlineStr">
        <is>
          <t>ORD09348</t>
        </is>
      </c>
      <c r="B9349" t="inlineStr">
        <is>
          <t>C1848</t>
        </is>
      </c>
      <c r="C9349" t="n">
        <v>3</v>
      </c>
      <c r="D9349" t="inlineStr">
        <is>
          <t>Hub C</t>
        </is>
      </c>
      <c r="E9349" t="n">
        <v>54</v>
      </c>
      <c r="F9349" t="n">
        <v>50</v>
      </c>
    </row>
    <row r="9350">
      <c r="A9350" t="inlineStr">
        <is>
          <t>ORD09349</t>
        </is>
      </c>
      <c r="B9350" t="inlineStr">
        <is>
          <t>C1849</t>
        </is>
      </c>
      <c r="C9350" t="n">
        <v>1</v>
      </c>
      <c r="D9350" t="inlineStr">
        <is>
          <t>Hub C</t>
        </is>
      </c>
      <c r="E9350" t="n">
        <v>61</v>
      </c>
      <c r="F9350" t="n">
        <v>50</v>
      </c>
    </row>
    <row r="9351">
      <c r="A9351" t="inlineStr">
        <is>
          <t>ORD09350</t>
        </is>
      </c>
      <c r="B9351" t="inlineStr">
        <is>
          <t>C1850</t>
        </is>
      </c>
      <c r="C9351" t="n">
        <v>2</v>
      </c>
      <c r="D9351" t="inlineStr">
        <is>
          <t>Hub C</t>
        </is>
      </c>
      <c r="E9351" t="n">
        <v>68</v>
      </c>
      <c r="F9351" t="n">
        <v>50</v>
      </c>
    </row>
    <row r="9352">
      <c r="A9352" t="inlineStr">
        <is>
          <t>ORD09351</t>
        </is>
      </c>
      <c r="B9352" t="inlineStr">
        <is>
          <t>C1851</t>
        </is>
      </c>
      <c r="C9352" t="n">
        <v>3</v>
      </c>
      <c r="D9352" t="inlineStr">
        <is>
          <t>Hub C</t>
        </is>
      </c>
      <c r="E9352" t="n">
        <v>75</v>
      </c>
      <c r="F9352" t="n">
        <v>50</v>
      </c>
    </row>
    <row r="9353">
      <c r="A9353" t="inlineStr">
        <is>
          <t>ORD09352</t>
        </is>
      </c>
      <c r="B9353" t="inlineStr">
        <is>
          <t>C1852</t>
        </is>
      </c>
      <c r="C9353" t="n">
        <v>1</v>
      </c>
      <c r="D9353" t="inlineStr">
        <is>
          <t>Hub C</t>
        </is>
      </c>
      <c r="E9353" t="n">
        <v>22</v>
      </c>
      <c r="F9353" t="n">
        <v>50</v>
      </c>
    </row>
    <row r="9354">
      <c r="A9354" t="inlineStr">
        <is>
          <t>ORD09353</t>
        </is>
      </c>
      <c r="B9354" t="inlineStr">
        <is>
          <t>C1853</t>
        </is>
      </c>
      <c r="C9354" t="n">
        <v>2</v>
      </c>
      <c r="D9354" t="inlineStr">
        <is>
          <t>Hub C</t>
        </is>
      </c>
      <c r="E9354" t="n">
        <v>29</v>
      </c>
      <c r="F9354" t="n">
        <v>50</v>
      </c>
    </row>
    <row r="9355">
      <c r="A9355" t="inlineStr">
        <is>
          <t>ORD09354</t>
        </is>
      </c>
      <c r="B9355" t="inlineStr">
        <is>
          <t>C1854</t>
        </is>
      </c>
      <c r="C9355" t="n">
        <v>3</v>
      </c>
      <c r="D9355" t="inlineStr">
        <is>
          <t>Hub C</t>
        </is>
      </c>
      <c r="E9355" t="n">
        <v>36</v>
      </c>
      <c r="F9355" t="n">
        <v>50</v>
      </c>
    </row>
    <row r="9356">
      <c r="A9356" t="inlineStr">
        <is>
          <t>ORD09355</t>
        </is>
      </c>
      <c r="B9356" t="inlineStr">
        <is>
          <t>C1855</t>
        </is>
      </c>
      <c r="C9356" t="n">
        <v>1</v>
      </c>
      <c r="D9356" t="inlineStr">
        <is>
          <t>Hub C</t>
        </is>
      </c>
      <c r="E9356" t="n">
        <v>43</v>
      </c>
      <c r="F9356" t="n">
        <v>50</v>
      </c>
    </row>
    <row r="9357">
      <c r="A9357" t="inlineStr">
        <is>
          <t>ORD09356</t>
        </is>
      </c>
      <c r="B9357" t="inlineStr">
        <is>
          <t>C1856</t>
        </is>
      </c>
      <c r="C9357" t="n">
        <v>2</v>
      </c>
      <c r="D9357" t="inlineStr">
        <is>
          <t>Hub C</t>
        </is>
      </c>
      <c r="E9357" t="n">
        <v>50</v>
      </c>
      <c r="F9357" t="n">
        <v>50</v>
      </c>
    </row>
    <row r="9358">
      <c r="A9358" t="inlineStr">
        <is>
          <t>ORD09357</t>
        </is>
      </c>
      <c r="B9358" t="inlineStr">
        <is>
          <t>C1857</t>
        </is>
      </c>
      <c r="C9358" t="n">
        <v>3</v>
      </c>
      <c r="D9358" t="inlineStr">
        <is>
          <t>Hub C</t>
        </is>
      </c>
      <c r="E9358" t="n">
        <v>57</v>
      </c>
      <c r="F9358" t="n">
        <v>50</v>
      </c>
    </row>
    <row r="9359">
      <c r="A9359" t="inlineStr">
        <is>
          <t>ORD09358</t>
        </is>
      </c>
      <c r="B9359" t="inlineStr">
        <is>
          <t>C1858</t>
        </is>
      </c>
      <c r="C9359" t="n">
        <v>1</v>
      </c>
      <c r="D9359" t="inlineStr">
        <is>
          <t>Hub C</t>
        </is>
      </c>
      <c r="E9359" t="n">
        <v>64</v>
      </c>
      <c r="F9359" t="n">
        <v>50</v>
      </c>
    </row>
    <row r="9360">
      <c r="A9360" t="inlineStr">
        <is>
          <t>ORD09359</t>
        </is>
      </c>
      <c r="B9360" t="inlineStr">
        <is>
          <t>C1859</t>
        </is>
      </c>
      <c r="C9360" t="n">
        <v>2</v>
      </c>
      <c r="D9360" t="inlineStr">
        <is>
          <t>Hub C</t>
        </is>
      </c>
      <c r="E9360" t="n">
        <v>71</v>
      </c>
      <c r="F9360" t="n">
        <v>50</v>
      </c>
    </row>
    <row r="9361">
      <c r="A9361" t="inlineStr">
        <is>
          <t>ORD09360</t>
        </is>
      </c>
      <c r="B9361" t="inlineStr">
        <is>
          <t>C1860</t>
        </is>
      </c>
      <c r="C9361" t="n">
        <v>3</v>
      </c>
      <c r="D9361" t="inlineStr">
        <is>
          <t>Hub C</t>
        </is>
      </c>
      <c r="E9361" t="n">
        <v>18</v>
      </c>
      <c r="F9361" t="n">
        <v>50</v>
      </c>
    </row>
    <row r="9362">
      <c r="A9362" t="inlineStr">
        <is>
          <t>ORD09361</t>
        </is>
      </c>
      <c r="B9362" t="inlineStr">
        <is>
          <t>C1861</t>
        </is>
      </c>
      <c r="C9362" t="n">
        <v>1</v>
      </c>
      <c r="D9362" t="inlineStr">
        <is>
          <t>Hub C</t>
        </is>
      </c>
      <c r="E9362" t="n">
        <v>25</v>
      </c>
      <c r="F9362" t="n">
        <v>50</v>
      </c>
    </row>
    <row r="9363">
      <c r="A9363" t="inlineStr">
        <is>
          <t>ORD09362</t>
        </is>
      </c>
      <c r="B9363" t="inlineStr">
        <is>
          <t>C1862</t>
        </is>
      </c>
      <c r="C9363" t="n">
        <v>2</v>
      </c>
      <c r="D9363" t="inlineStr">
        <is>
          <t>Hub C</t>
        </is>
      </c>
      <c r="E9363" t="n">
        <v>32</v>
      </c>
      <c r="F9363" t="n">
        <v>50</v>
      </c>
    </row>
    <row r="9364">
      <c r="A9364" t="inlineStr">
        <is>
          <t>ORD09363</t>
        </is>
      </c>
      <c r="B9364" t="inlineStr">
        <is>
          <t>C1863</t>
        </is>
      </c>
      <c r="C9364" t="n">
        <v>3</v>
      </c>
      <c r="D9364" t="inlineStr">
        <is>
          <t>Hub C</t>
        </is>
      </c>
      <c r="E9364" t="n">
        <v>39</v>
      </c>
      <c r="F9364" t="n">
        <v>50</v>
      </c>
    </row>
    <row r="9365">
      <c r="A9365" t="inlineStr">
        <is>
          <t>ORD09364</t>
        </is>
      </c>
      <c r="B9365" t="inlineStr">
        <is>
          <t>C1864</t>
        </is>
      </c>
      <c r="C9365" t="n">
        <v>1</v>
      </c>
      <c r="D9365" t="inlineStr">
        <is>
          <t>Hub C</t>
        </is>
      </c>
      <c r="E9365" t="n">
        <v>46</v>
      </c>
      <c r="F9365" t="n">
        <v>50</v>
      </c>
    </row>
    <row r="9366">
      <c r="A9366" t="inlineStr">
        <is>
          <t>ORD09365</t>
        </is>
      </c>
      <c r="B9366" t="inlineStr">
        <is>
          <t>C1865</t>
        </is>
      </c>
      <c r="C9366" t="n">
        <v>2</v>
      </c>
      <c r="D9366" t="inlineStr">
        <is>
          <t>Hub C</t>
        </is>
      </c>
      <c r="E9366" t="n">
        <v>53</v>
      </c>
      <c r="F9366" t="n">
        <v>50</v>
      </c>
    </row>
    <row r="9367">
      <c r="A9367" t="inlineStr">
        <is>
          <t>ORD09366</t>
        </is>
      </c>
      <c r="B9367" t="inlineStr">
        <is>
          <t>C1866</t>
        </is>
      </c>
      <c r="C9367" t="n">
        <v>3</v>
      </c>
      <c r="D9367" t="inlineStr">
        <is>
          <t>Hub C</t>
        </is>
      </c>
      <c r="E9367" t="n">
        <v>60</v>
      </c>
      <c r="F9367" t="n">
        <v>50</v>
      </c>
    </row>
    <row r="9368">
      <c r="A9368" t="inlineStr">
        <is>
          <t>ORD09367</t>
        </is>
      </c>
      <c r="B9368" t="inlineStr">
        <is>
          <t>C1867</t>
        </is>
      </c>
      <c r="C9368" t="n">
        <v>1</v>
      </c>
      <c r="D9368" t="inlineStr">
        <is>
          <t>Hub C</t>
        </is>
      </c>
      <c r="E9368" t="n">
        <v>67</v>
      </c>
      <c r="F9368" t="n">
        <v>50</v>
      </c>
    </row>
    <row r="9369">
      <c r="A9369" t="inlineStr">
        <is>
          <t>ORD09368</t>
        </is>
      </c>
      <c r="B9369" t="inlineStr">
        <is>
          <t>C1868</t>
        </is>
      </c>
      <c r="C9369" t="n">
        <v>2</v>
      </c>
      <c r="D9369" t="inlineStr">
        <is>
          <t>Hub C</t>
        </is>
      </c>
      <c r="E9369" t="n">
        <v>74</v>
      </c>
      <c r="F9369" t="n">
        <v>50</v>
      </c>
    </row>
    <row r="9370">
      <c r="A9370" t="inlineStr">
        <is>
          <t>ORD09369</t>
        </is>
      </c>
      <c r="B9370" t="inlineStr">
        <is>
          <t>C1869</t>
        </is>
      </c>
      <c r="C9370" t="n">
        <v>3</v>
      </c>
      <c r="D9370" t="inlineStr">
        <is>
          <t>Hub C</t>
        </is>
      </c>
      <c r="E9370" t="n">
        <v>21</v>
      </c>
      <c r="F9370" t="n">
        <v>50</v>
      </c>
    </row>
    <row r="9371">
      <c r="A9371" t="inlineStr">
        <is>
          <t>ORD09370</t>
        </is>
      </c>
      <c r="B9371" t="inlineStr">
        <is>
          <t>C1870</t>
        </is>
      </c>
      <c r="C9371" t="n">
        <v>1</v>
      </c>
      <c r="D9371" t="inlineStr">
        <is>
          <t>Hub C</t>
        </is>
      </c>
      <c r="E9371" t="n">
        <v>28</v>
      </c>
      <c r="F9371" t="n">
        <v>50</v>
      </c>
    </row>
    <row r="9372">
      <c r="A9372" t="inlineStr">
        <is>
          <t>ORD09371</t>
        </is>
      </c>
      <c r="B9372" t="inlineStr">
        <is>
          <t>C1871</t>
        </is>
      </c>
      <c r="C9372" t="n">
        <v>2</v>
      </c>
      <c r="D9372" t="inlineStr">
        <is>
          <t>Hub C</t>
        </is>
      </c>
      <c r="E9372" t="n">
        <v>35</v>
      </c>
      <c r="F9372" t="n">
        <v>50</v>
      </c>
    </row>
    <row r="9373">
      <c r="A9373" t="inlineStr">
        <is>
          <t>ORD09372</t>
        </is>
      </c>
      <c r="B9373" t="inlineStr">
        <is>
          <t>C1872</t>
        </is>
      </c>
      <c r="C9373" t="n">
        <v>3</v>
      </c>
      <c r="D9373" t="inlineStr">
        <is>
          <t>Hub C</t>
        </is>
      </c>
      <c r="E9373" t="n">
        <v>42</v>
      </c>
      <c r="F9373" t="n">
        <v>50</v>
      </c>
    </row>
    <row r="9374">
      <c r="A9374" t="inlineStr">
        <is>
          <t>ORD09373</t>
        </is>
      </c>
      <c r="B9374" t="inlineStr">
        <is>
          <t>C1873</t>
        </is>
      </c>
      <c r="C9374" t="n">
        <v>1</v>
      </c>
      <c r="D9374" t="inlineStr">
        <is>
          <t>Hub C</t>
        </is>
      </c>
      <c r="E9374" t="n">
        <v>49</v>
      </c>
      <c r="F9374" t="n">
        <v>50</v>
      </c>
    </row>
    <row r="9375">
      <c r="A9375" t="inlineStr">
        <is>
          <t>ORD09374</t>
        </is>
      </c>
      <c r="B9375" t="inlineStr">
        <is>
          <t>C1874</t>
        </is>
      </c>
      <c r="C9375" t="n">
        <v>2</v>
      </c>
      <c r="D9375" t="inlineStr">
        <is>
          <t>Hub C</t>
        </is>
      </c>
      <c r="E9375" t="n">
        <v>56</v>
      </c>
      <c r="F9375" t="n">
        <v>50</v>
      </c>
    </row>
    <row r="9376">
      <c r="A9376" t="inlineStr">
        <is>
          <t>ORD09375</t>
        </is>
      </c>
      <c r="B9376" t="inlineStr">
        <is>
          <t>C1875</t>
        </is>
      </c>
      <c r="C9376" t="n">
        <v>3</v>
      </c>
      <c r="D9376" t="inlineStr">
        <is>
          <t>Hub C</t>
        </is>
      </c>
      <c r="E9376" t="n">
        <v>63</v>
      </c>
      <c r="F9376" t="n">
        <v>50</v>
      </c>
    </row>
    <row r="9377">
      <c r="A9377" t="inlineStr">
        <is>
          <t>ORD09376</t>
        </is>
      </c>
      <c r="B9377" t="inlineStr">
        <is>
          <t>C1876</t>
        </is>
      </c>
      <c r="C9377" t="n">
        <v>1</v>
      </c>
      <c r="D9377" t="inlineStr">
        <is>
          <t>Hub C</t>
        </is>
      </c>
      <c r="E9377" t="n">
        <v>70</v>
      </c>
      <c r="F9377" t="n">
        <v>50</v>
      </c>
    </row>
    <row r="9378">
      <c r="A9378" t="inlineStr">
        <is>
          <t>ORD09377</t>
        </is>
      </c>
      <c r="B9378" t="inlineStr">
        <is>
          <t>C1877</t>
        </is>
      </c>
      <c r="C9378" t="n">
        <v>2</v>
      </c>
      <c r="D9378" t="inlineStr">
        <is>
          <t>Hub C</t>
        </is>
      </c>
      <c r="E9378" t="n">
        <v>77</v>
      </c>
      <c r="F9378" t="n">
        <v>50</v>
      </c>
    </row>
    <row r="9379">
      <c r="A9379" t="inlineStr">
        <is>
          <t>ORD09378</t>
        </is>
      </c>
      <c r="B9379" t="inlineStr">
        <is>
          <t>C1878</t>
        </is>
      </c>
      <c r="C9379" t="n">
        <v>3</v>
      </c>
      <c r="D9379" t="inlineStr">
        <is>
          <t>Hub C</t>
        </is>
      </c>
      <c r="E9379" t="n">
        <v>24</v>
      </c>
      <c r="F9379" t="n">
        <v>50</v>
      </c>
    </row>
    <row r="9380">
      <c r="A9380" t="inlineStr">
        <is>
          <t>ORD09379</t>
        </is>
      </c>
      <c r="B9380" t="inlineStr">
        <is>
          <t>C1879</t>
        </is>
      </c>
      <c r="C9380" t="n">
        <v>1</v>
      </c>
      <c r="D9380" t="inlineStr">
        <is>
          <t>Hub C</t>
        </is>
      </c>
      <c r="E9380" t="n">
        <v>31</v>
      </c>
      <c r="F9380" t="n">
        <v>50</v>
      </c>
    </row>
    <row r="9381">
      <c r="A9381" t="inlineStr">
        <is>
          <t>ORD09380</t>
        </is>
      </c>
      <c r="B9381" t="inlineStr">
        <is>
          <t>C1880</t>
        </is>
      </c>
      <c r="C9381" t="n">
        <v>2</v>
      </c>
      <c r="D9381" t="inlineStr">
        <is>
          <t>Hub C</t>
        </is>
      </c>
      <c r="E9381" t="n">
        <v>38</v>
      </c>
      <c r="F9381" t="n">
        <v>50</v>
      </c>
    </row>
    <row r="9382">
      <c r="A9382" t="inlineStr">
        <is>
          <t>ORD09381</t>
        </is>
      </c>
      <c r="B9382" t="inlineStr">
        <is>
          <t>C1881</t>
        </is>
      </c>
      <c r="C9382" t="n">
        <v>3</v>
      </c>
      <c r="D9382" t="inlineStr">
        <is>
          <t>Hub C</t>
        </is>
      </c>
      <c r="E9382" t="n">
        <v>45</v>
      </c>
      <c r="F9382" t="n">
        <v>50</v>
      </c>
    </row>
    <row r="9383">
      <c r="A9383" t="inlineStr">
        <is>
          <t>ORD09382</t>
        </is>
      </c>
      <c r="B9383" t="inlineStr">
        <is>
          <t>C1882</t>
        </is>
      </c>
      <c r="C9383" t="n">
        <v>1</v>
      </c>
      <c r="D9383" t="inlineStr">
        <is>
          <t>Hub C</t>
        </is>
      </c>
      <c r="E9383" t="n">
        <v>52</v>
      </c>
      <c r="F9383" t="n">
        <v>50</v>
      </c>
    </row>
    <row r="9384">
      <c r="A9384" t="inlineStr">
        <is>
          <t>ORD09383</t>
        </is>
      </c>
      <c r="B9384" t="inlineStr">
        <is>
          <t>C1883</t>
        </is>
      </c>
      <c r="C9384" t="n">
        <v>2</v>
      </c>
      <c r="D9384" t="inlineStr">
        <is>
          <t>Hub C</t>
        </is>
      </c>
      <c r="E9384" t="n">
        <v>59</v>
      </c>
      <c r="F9384" t="n">
        <v>50</v>
      </c>
    </row>
    <row r="9385">
      <c r="A9385" t="inlineStr">
        <is>
          <t>ORD09384</t>
        </is>
      </c>
      <c r="B9385" t="inlineStr">
        <is>
          <t>C1884</t>
        </is>
      </c>
      <c r="C9385" t="n">
        <v>3</v>
      </c>
      <c r="D9385" t="inlineStr">
        <is>
          <t>Hub C</t>
        </is>
      </c>
      <c r="E9385" t="n">
        <v>66</v>
      </c>
      <c r="F9385" t="n">
        <v>50</v>
      </c>
    </row>
    <row r="9386">
      <c r="A9386" t="inlineStr">
        <is>
          <t>ORD09385</t>
        </is>
      </c>
      <c r="B9386" t="inlineStr">
        <is>
          <t>C1885</t>
        </is>
      </c>
      <c r="C9386" t="n">
        <v>1</v>
      </c>
      <c r="D9386" t="inlineStr">
        <is>
          <t>Hub C</t>
        </is>
      </c>
      <c r="E9386" t="n">
        <v>73</v>
      </c>
      <c r="F9386" t="n">
        <v>50</v>
      </c>
    </row>
    <row r="9387">
      <c r="A9387" t="inlineStr">
        <is>
          <t>ORD09386</t>
        </is>
      </c>
      <c r="B9387" t="inlineStr">
        <is>
          <t>C1886</t>
        </is>
      </c>
      <c r="C9387" t="n">
        <v>2</v>
      </c>
      <c r="D9387" t="inlineStr">
        <is>
          <t>Hub C</t>
        </is>
      </c>
      <c r="E9387" t="n">
        <v>20</v>
      </c>
      <c r="F9387" t="n">
        <v>50</v>
      </c>
    </row>
    <row r="9388">
      <c r="A9388" t="inlineStr">
        <is>
          <t>ORD09387</t>
        </is>
      </c>
      <c r="B9388" t="inlineStr">
        <is>
          <t>C1887</t>
        </is>
      </c>
      <c r="C9388" t="n">
        <v>3</v>
      </c>
      <c r="D9388" t="inlineStr">
        <is>
          <t>Hub C</t>
        </is>
      </c>
      <c r="E9388" t="n">
        <v>27</v>
      </c>
      <c r="F9388" t="n">
        <v>50</v>
      </c>
    </row>
    <row r="9389">
      <c r="A9389" t="inlineStr">
        <is>
          <t>ORD09388</t>
        </is>
      </c>
      <c r="B9389" t="inlineStr">
        <is>
          <t>C1888</t>
        </is>
      </c>
      <c r="C9389" t="n">
        <v>1</v>
      </c>
      <c r="D9389" t="inlineStr">
        <is>
          <t>Hub C</t>
        </is>
      </c>
      <c r="E9389" t="n">
        <v>34</v>
      </c>
      <c r="F9389" t="n">
        <v>50</v>
      </c>
    </row>
    <row r="9390">
      <c r="A9390" t="inlineStr">
        <is>
          <t>ORD09389</t>
        </is>
      </c>
      <c r="B9390" t="inlineStr">
        <is>
          <t>C1889</t>
        </is>
      </c>
      <c r="C9390" t="n">
        <v>2</v>
      </c>
      <c r="D9390" t="inlineStr">
        <is>
          <t>Hub C</t>
        </is>
      </c>
      <c r="E9390" t="n">
        <v>41</v>
      </c>
      <c r="F9390" t="n">
        <v>50</v>
      </c>
    </row>
    <row r="9391">
      <c r="A9391" t="inlineStr">
        <is>
          <t>ORD09390</t>
        </is>
      </c>
      <c r="B9391" t="inlineStr">
        <is>
          <t>C1890</t>
        </is>
      </c>
      <c r="C9391" t="n">
        <v>3</v>
      </c>
      <c r="D9391" t="inlineStr">
        <is>
          <t>Hub C</t>
        </is>
      </c>
      <c r="E9391" t="n">
        <v>48</v>
      </c>
      <c r="F9391" t="n">
        <v>50</v>
      </c>
    </row>
    <row r="9392">
      <c r="A9392" t="inlineStr">
        <is>
          <t>ORD09391</t>
        </is>
      </c>
      <c r="B9392" t="inlineStr">
        <is>
          <t>C1891</t>
        </is>
      </c>
      <c r="C9392" t="n">
        <v>1</v>
      </c>
      <c r="D9392" t="inlineStr">
        <is>
          <t>Hub C</t>
        </is>
      </c>
      <c r="E9392" t="n">
        <v>55</v>
      </c>
      <c r="F9392" t="n">
        <v>50</v>
      </c>
    </row>
    <row r="9393">
      <c r="A9393" t="inlineStr">
        <is>
          <t>ORD09392</t>
        </is>
      </c>
      <c r="B9393" t="inlineStr">
        <is>
          <t>C1892</t>
        </is>
      </c>
      <c r="C9393" t="n">
        <v>2</v>
      </c>
      <c r="D9393" t="inlineStr">
        <is>
          <t>Hub C</t>
        </is>
      </c>
      <c r="E9393" t="n">
        <v>62</v>
      </c>
      <c r="F9393" t="n">
        <v>50</v>
      </c>
    </row>
    <row r="9394">
      <c r="A9394" t="inlineStr">
        <is>
          <t>ORD09393</t>
        </is>
      </c>
      <c r="B9394" t="inlineStr">
        <is>
          <t>C1893</t>
        </is>
      </c>
      <c r="C9394" t="n">
        <v>3</v>
      </c>
      <c r="D9394" t="inlineStr">
        <is>
          <t>Hub C</t>
        </is>
      </c>
      <c r="E9394" t="n">
        <v>69</v>
      </c>
      <c r="F9394" t="n">
        <v>50</v>
      </c>
    </row>
    <row r="9395">
      <c r="A9395" t="inlineStr">
        <is>
          <t>ORD09394</t>
        </is>
      </c>
      <c r="B9395" t="inlineStr">
        <is>
          <t>C1894</t>
        </is>
      </c>
      <c r="C9395" t="n">
        <v>1</v>
      </c>
      <c r="D9395" t="inlineStr">
        <is>
          <t>Hub C</t>
        </is>
      </c>
      <c r="E9395" t="n">
        <v>76</v>
      </c>
      <c r="F9395" t="n">
        <v>50</v>
      </c>
    </row>
    <row r="9396">
      <c r="A9396" t="inlineStr">
        <is>
          <t>ORD09395</t>
        </is>
      </c>
      <c r="B9396" t="inlineStr">
        <is>
          <t>C1895</t>
        </is>
      </c>
      <c r="C9396" t="n">
        <v>2</v>
      </c>
      <c r="D9396" t="inlineStr">
        <is>
          <t>Hub C</t>
        </is>
      </c>
      <c r="E9396" t="n">
        <v>23</v>
      </c>
      <c r="F9396" t="n">
        <v>50</v>
      </c>
    </row>
    <row r="9397">
      <c r="A9397" t="inlineStr">
        <is>
          <t>ORD09396</t>
        </is>
      </c>
      <c r="B9397" t="inlineStr">
        <is>
          <t>C1896</t>
        </is>
      </c>
      <c r="C9397" t="n">
        <v>3</v>
      </c>
      <c r="D9397" t="inlineStr">
        <is>
          <t>Hub C</t>
        </is>
      </c>
      <c r="E9397" t="n">
        <v>30</v>
      </c>
      <c r="F9397" t="n">
        <v>50</v>
      </c>
    </row>
    <row r="9398">
      <c r="A9398" t="inlineStr">
        <is>
          <t>ORD09397</t>
        </is>
      </c>
      <c r="B9398" t="inlineStr">
        <is>
          <t>C1897</t>
        </is>
      </c>
      <c r="C9398" t="n">
        <v>1</v>
      </c>
      <c r="D9398" t="inlineStr">
        <is>
          <t>Hub C</t>
        </is>
      </c>
      <c r="E9398" t="n">
        <v>37</v>
      </c>
      <c r="F9398" t="n">
        <v>50</v>
      </c>
    </row>
    <row r="9399">
      <c r="A9399" t="inlineStr">
        <is>
          <t>ORD09398</t>
        </is>
      </c>
      <c r="B9399" t="inlineStr">
        <is>
          <t>C1898</t>
        </is>
      </c>
      <c r="C9399" t="n">
        <v>2</v>
      </c>
      <c r="D9399" t="inlineStr">
        <is>
          <t>Hub C</t>
        </is>
      </c>
      <c r="E9399" t="n">
        <v>44</v>
      </c>
      <c r="F9399" t="n">
        <v>50</v>
      </c>
    </row>
    <row r="9400">
      <c r="A9400" t="inlineStr">
        <is>
          <t>ORD09399</t>
        </is>
      </c>
      <c r="B9400" t="inlineStr">
        <is>
          <t>C1899</t>
        </is>
      </c>
      <c r="C9400" t="n">
        <v>3</v>
      </c>
      <c r="D9400" t="inlineStr">
        <is>
          <t>Hub C</t>
        </is>
      </c>
      <c r="E9400" t="n">
        <v>51</v>
      </c>
      <c r="F9400" t="n">
        <v>50</v>
      </c>
    </row>
    <row r="9401">
      <c r="A9401" t="inlineStr">
        <is>
          <t>ORD09400</t>
        </is>
      </c>
      <c r="B9401" t="inlineStr">
        <is>
          <t>C1900</t>
        </is>
      </c>
      <c r="C9401" t="n">
        <v>1</v>
      </c>
      <c r="D9401" t="inlineStr">
        <is>
          <t>Hub C</t>
        </is>
      </c>
      <c r="E9401" t="n">
        <v>58</v>
      </c>
      <c r="F9401" t="n">
        <v>50</v>
      </c>
    </row>
    <row r="9402">
      <c r="A9402" t="inlineStr">
        <is>
          <t>ORD09401</t>
        </is>
      </c>
      <c r="B9402" t="inlineStr">
        <is>
          <t>C1901</t>
        </is>
      </c>
      <c r="C9402" t="n">
        <v>2</v>
      </c>
      <c r="D9402" t="inlineStr">
        <is>
          <t>Hub C</t>
        </is>
      </c>
      <c r="E9402" t="n">
        <v>65</v>
      </c>
      <c r="F9402" t="n">
        <v>50</v>
      </c>
    </row>
    <row r="9403">
      <c r="A9403" t="inlineStr">
        <is>
          <t>ORD09402</t>
        </is>
      </c>
      <c r="B9403" t="inlineStr">
        <is>
          <t>C1902</t>
        </is>
      </c>
      <c r="C9403" t="n">
        <v>3</v>
      </c>
      <c r="D9403" t="inlineStr">
        <is>
          <t>Hub C</t>
        </is>
      </c>
      <c r="E9403" t="n">
        <v>72</v>
      </c>
      <c r="F9403" t="n">
        <v>50</v>
      </c>
    </row>
    <row r="9404">
      <c r="A9404" t="inlineStr">
        <is>
          <t>ORD09403</t>
        </is>
      </c>
      <c r="B9404" t="inlineStr">
        <is>
          <t>C1903</t>
        </is>
      </c>
      <c r="C9404" t="n">
        <v>1</v>
      </c>
      <c r="D9404" t="inlineStr">
        <is>
          <t>Hub C</t>
        </is>
      </c>
      <c r="E9404" t="n">
        <v>19</v>
      </c>
      <c r="F9404" t="n">
        <v>50</v>
      </c>
    </row>
    <row r="9405">
      <c r="A9405" t="inlineStr">
        <is>
          <t>ORD09404</t>
        </is>
      </c>
      <c r="B9405" t="inlineStr">
        <is>
          <t>C1904</t>
        </is>
      </c>
      <c r="C9405" t="n">
        <v>2</v>
      </c>
      <c r="D9405" t="inlineStr">
        <is>
          <t>Hub C</t>
        </is>
      </c>
      <c r="E9405" t="n">
        <v>26</v>
      </c>
      <c r="F9405" t="n">
        <v>50</v>
      </c>
    </row>
    <row r="9406">
      <c r="A9406" t="inlineStr">
        <is>
          <t>ORD09405</t>
        </is>
      </c>
      <c r="B9406" t="inlineStr">
        <is>
          <t>C1905</t>
        </is>
      </c>
      <c r="C9406" t="n">
        <v>3</v>
      </c>
      <c r="D9406" t="inlineStr">
        <is>
          <t>Hub C</t>
        </is>
      </c>
      <c r="E9406" t="n">
        <v>33</v>
      </c>
      <c r="F9406" t="n">
        <v>50</v>
      </c>
    </row>
    <row r="9407">
      <c r="A9407" t="inlineStr">
        <is>
          <t>ORD09406</t>
        </is>
      </c>
      <c r="B9407" t="inlineStr">
        <is>
          <t>C1906</t>
        </is>
      </c>
      <c r="C9407" t="n">
        <v>1</v>
      </c>
      <c r="D9407" t="inlineStr">
        <is>
          <t>Hub C</t>
        </is>
      </c>
      <c r="E9407" t="n">
        <v>40</v>
      </c>
      <c r="F9407" t="n">
        <v>50</v>
      </c>
    </row>
    <row r="9408">
      <c r="A9408" t="inlineStr">
        <is>
          <t>ORD09407</t>
        </is>
      </c>
      <c r="B9408" t="inlineStr">
        <is>
          <t>C1907</t>
        </is>
      </c>
      <c r="C9408" t="n">
        <v>2</v>
      </c>
      <c r="D9408" t="inlineStr">
        <is>
          <t>Hub C</t>
        </is>
      </c>
      <c r="E9408" t="n">
        <v>47</v>
      </c>
      <c r="F9408" t="n">
        <v>50</v>
      </c>
    </row>
    <row r="9409">
      <c r="A9409" t="inlineStr">
        <is>
          <t>ORD09408</t>
        </is>
      </c>
      <c r="B9409" t="inlineStr">
        <is>
          <t>C1908</t>
        </is>
      </c>
      <c r="C9409" t="n">
        <v>3</v>
      </c>
      <c r="D9409" t="inlineStr">
        <is>
          <t>Hub C</t>
        </is>
      </c>
      <c r="E9409" t="n">
        <v>54</v>
      </c>
      <c r="F9409" t="n">
        <v>50</v>
      </c>
    </row>
    <row r="9410">
      <c r="A9410" t="inlineStr">
        <is>
          <t>ORD09409</t>
        </is>
      </c>
      <c r="B9410" t="inlineStr">
        <is>
          <t>C1909</t>
        </is>
      </c>
      <c r="C9410" t="n">
        <v>1</v>
      </c>
      <c r="D9410" t="inlineStr">
        <is>
          <t>Hub C</t>
        </is>
      </c>
      <c r="E9410" t="n">
        <v>61</v>
      </c>
      <c r="F9410" t="n">
        <v>50</v>
      </c>
    </row>
    <row r="9411">
      <c r="A9411" t="inlineStr">
        <is>
          <t>ORD09410</t>
        </is>
      </c>
      <c r="B9411" t="inlineStr">
        <is>
          <t>C1910</t>
        </is>
      </c>
      <c r="C9411" t="n">
        <v>2</v>
      </c>
      <c r="D9411" t="inlineStr">
        <is>
          <t>Hub C</t>
        </is>
      </c>
      <c r="E9411" t="n">
        <v>68</v>
      </c>
      <c r="F9411" t="n">
        <v>50</v>
      </c>
    </row>
    <row r="9412">
      <c r="A9412" t="inlineStr">
        <is>
          <t>ORD09411</t>
        </is>
      </c>
      <c r="B9412" t="inlineStr">
        <is>
          <t>C1911</t>
        </is>
      </c>
      <c r="C9412" t="n">
        <v>3</v>
      </c>
      <c r="D9412" t="inlineStr">
        <is>
          <t>Hub C</t>
        </is>
      </c>
      <c r="E9412" t="n">
        <v>75</v>
      </c>
      <c r="F9412" t="n">
        <v>50</v>
      </c>
    </row>
    <row r="9413">
      <c r="A9413" t="inlineStr">
        <is>
          <t>ORD09412</t>
        </is>
      </c>
      <c r="B9413" t="inlineStr">
        <is>
          <t>C1912</t>
        </is>
      </c>
      <c r="C9413" t="n">
        <v>1</v>
      </c>
      <c r="D9413" t="inlineStr">
        <is>
          <t>Hub C</t>
        </is>
      </c>
      <c r="E9413" t="n">
        <v>22</v>
      </c>
      <c r="F9413" t="n">
        <v>50</v>
      </c>
    </row>
    <row r="9414">
      <c r="A9414" t="inlineStr">
        <is>
          <t>ORD09413</t>
        </is>
      </c>
      <c r="B9414" t="inlineStr">
        <is>
          <t>C1913</t>
        </is>
      </c>
      <c r="C9414" t="n">
        <v>2</v>
      </c>
      <c r="D9414" t="inlineStr">
        <is>
          <t>Hub C</t>
        </is>
      </c>
      <c r="E9414" t="n">
        <v>29</v>
      </c>
      <c r="F9414" t="n">
        <v>50</v>
      </c>
    </row>
    <row r="9415">
      <c r="A9415" t="inlineStr">
        <is>
          <t>ORD09414</t>
        </is>
      </c>
      <c r="B9415" t="inlineStr">
        <is>
          <t>C1914</t>
        </is>
      </c>
      <c r="C9415" t="n">
        <v>3</v>
      </c>
      <c r="D9415" t="inlineStr">
        <is>
          <t>Hub C</t>
        </is>
      </c>
      <c r="E9415" t="n">
        <v>36</v>
      </c>
      <c r="F9415" t="n">
        <v>50</v>
      </c>
    </row>
    <row r="9416">
      <c r="A9416" t="inlineStr">
        <is>
          <t>ORD09415</t>
        </is>
      </c>
      <c r="B9416" t="inlineStr">
        <is>
          <t>C1915</t>
        </is>
      </c>
      <c r="C9416" t="n">
        <v>1</v>
      </c>
      <c r="D9416" t="inlineStr">
        <is>
          <t>Hub C</t>
        </is>
      </c>
      <c r="E9416" t="n">
        <v>43</v>
      </c>
      <c r="F9416" t="n">
        <v>50</v>
      </c>
    </row>
    <row r="9417">
      <c r="A9417" t="inlineStr">
        <is>
          <t>ORD09416</t>
        </is>
      </c>
      <c r="B9417" t="inlineStr">
        <is>
          <t>C1916</t>
        </is>
      </c>
      <c r="C9417" t="n">
        <v>2</v>
      </c>
      <c r="D9417" t="inlineStr">
        <is>
          <t>Hub C</t>
        </is>
      </c>
      <c r="E9417" t="n">
        <v>50</v>
      </c>
      <c r="F9417" t="n">
        <v>50</v>
      </c>
    </row>
    <row r="9418">
      <c r="A9418" t="inlineStr">
        <is>
          <t>ORD09417</t>
        </is>
      </c>
      <c r="B9418" t="inlineStr">
        <is>
          <t>C1917</t>
        </is>
      </c>
      <c r="C9418" t="n">
        <v>3</v>
      </c>
      <c r="D9418" t="inlineStr">
        <is>
          <t>Hub C</t>
        </is>
      </c>
      <c r="E9418" t="n">
        <v>57</v>
      </c>
      <c r="F9418" t="n">
        <v>50</v>
      </c>
    </row>
    <row r="9419">
      <c r="A9419" t="inlineStr">
        <is>
          <t>ORD09418</t>
        </is>
      </c>
      <c r="B9419" t="inlineStr">
        <is>
          <t>C1918</t>
        </is>
      </c>
      <c r="C9419" t="n">
        <v>1</v>
      </c>
      <c r="D9419" t="inlineStr">
        <is>
          <t>Hub C</t>
        </is>
      </c>
      <c r="E9419" t="n">
        <v>64</v>
      </c>
      <c r="F9419" t="n">
        <v>50</v>
      </c>
    </row>
    <row r="9420">
      <c r="A9420" t="inlineStr">
        <is>
          <t>ORD09419</t>
        </is>
      </c>
      <c r="B9420" t="inlineStr">
        <is>
          <t>C1919</t>
        </is>
      </c>
      <c r="C9420" t="n">
        <v>2</v>
      </c>
      <c r="D9420" t="inlineStr">
        <is>
          <t>Hub C</t>
        </is>
      </c>
      <c r="E9420" t="n">
        <v>71</v>
      </c>
      <c r="F9420" t="n">
        <v>50</v>
      </c>
    </row>
    <row r="9421">
      <c r="A9421" t="inlineStr">
        <is>
          <t>ORD09420</t>
        </is>
      </c>
      <c r="B9421" t="inlineStr">
        <is>
          <t>C1920</t>
        </is>
      </c>
      <c r="C9421" t="n">
        <v>3</v>
      </c>
      <c r="D9421" t="inlineStr">
        <is>
          <t>Hub C</t>
        </is>
      </c>
      <c r="E9421" t="n">
        <v>18</v>
      </c>
      <c r="F9421" t="n">
        <v>50</v>
      </c>
    </row>
    <row r="9422">
      <c r="A9422" t="inlineStr">
        <is>
          <t>ORD09421</t>
        </is>
      </c>
      <c r="B9422" t="inlineStr">
        <is>
          <t>C1921</t>
        </is>
      </c>
      <c r="C9422" t="n">
        <v>1</v>
      </c>
      <c r="D9422" t="inlineStr">
        <is>
          <t>Hub C</t>
        </is>
      </c>
      <c r="E9422" t="n">
        <v>25</v>
      </c>
      <c r="F9422" t="n">
        <v>50</v>
      </c>
    </row>
    <row r="9423">
      <c r="A9423" t="inlineStr">
        <is>
          <t>ORD09422</t>
        </is>
      </c>
      <c r="B9423" t="inlineStr">
        <is>
          <t>C1922</t>
        </is>
      </c>
      <c r="C9423" t="n">
        <v>2</v>
      </c>
      <c r="D9423" t="inlineStr">
        <is>
          <t>Hub C</t>
        </is>
      </c>
      <c r="E9423" t="n">
        <v>32</v>
      </c>
      <c r="F9423" t="n">
        <v>50</v>
      </c>
    </row>
    <row r="9424">
      <c r="A9424" t="inlineStr">
        <is>
          <t>ORD09423</t>
        </is>
      </c>
      <c r="B9424" t="inlineStr">
        <is>
          <t>C1923</t>
        </is>
      </c>
      <c r="C9424" t="n">
        <v>3</v>
      </c>
      <c r="D9424" t="inlineStr">
        <is>
          <t>Hub C</t>
        </is>
      </c>
      <c r="E9424" t="n">
        <v>39</v>
      </c>
      <c r="F9424" t="n">
        <v>50</v>
      </c>
    </row>
    <row r="9425">
      <c r="A9425" t="inlineStr">
        <is>
          <t>ORD09424</t>
        </is>
      </c>
      <c r="B9425" t="inlineStr">
        <is>
          <t>C1924</t>
        </is>
      </c>
      <c r="C9425" t="n">
        <v>1</v>
      </c>
      <c r="D9425" t="inlineStr">
        <is>
          <t>Hub C</t>
        </is>
      </c>
      <c r="E9425" t="n">
        <v>46</v>
      </c>
      <c r="F9425" t="n">
        <v>50</v>
      </c>
    </row>
    <row r="9426">
      <c r="A9426" t="inlineStr">
        <is>
          <t>ORD09425</t>
        </is>
      </c>
      <c r="B9426" t="inlineStr">
        <is>
          <t>C1925</t>
        </is>
      </c>
      <c r="C9426" t="n">
        <v>2</v>
      </c>
      <c r="D9426" t="inlineStr">
        <is>
          <t>Hub C</t>
        </is>
      </c>
      <c r="E9426" t="n">
        <v>53</v>
      </c>
      <c r="F9426" t="n">
        <v>50</v>
      </c>
    </row>
    <row r="9427">
      <c r="A9427" t="inlineStr">
        <is>
          <t>ORD09426</t>
        </is>
      </c>
      <c r="B9427" t="inlineStr">
        <is>
          <t>C1926</t>
        </is>
      </c>
      <c r="C9427" t="n">
        <v>3</v>
      </c>
      <c r="D9427" t="inlineStr">
        <is>
          <t>Hub C</t>
        </is>
      </c>
      <c r="E9427" t="n">
        <v>60</v>
      </c>
      <c r="F9427" t="n">
        <v>50</v>
      </c>
    </row>
    <row r="9428">
      <c r="A9428" t="inlineStr">
        <is>
          <t>ORD09427</t>
        </is>
      </c>
      <c r="B9428" t="inlineStr">
        <is>
          <t>C1927</t>
        </is>
      </c>
      <c r="C9428" t="n">
        <v>1</v>
      </c>
      <c r="D9428" t="inlineStr">
        <is>
          <t>Hub C</t>
        </is>
      </c>
      <c r="E9428" t="n">
        <v>67</v>
      </c>
      <c r="F9428" t="n">
        <v>50</v>
      </c>
    </row>
    <row r="9429">
      <c r="A9429" t="inlineStr">
        <is>
          <t>ORD09428</t>
        </is>
      </c>
      <c r="B9429" t="inlineStr">
        <is>
          <t>C1928</t>
        </is>
      </c>
      <c r="C9429" t="n">
        <v>2</v>
      </c>
      <c r="D9429" t="inlineStr">
        <is>
          <t>Hub C</t>
        </is>
      </c>
      <c r="E9429" t="n">
        <v>74</v>
      </c>
      <c r="F9429" t="n">
        <v>50</v>
      </c>
    </row>
    <row r="9430">
      <c r="A9430" t="inlineStr">
        <is>
          <t>ORD09429</t>
        </is>
      </c>
      <c r="B9430" t="inlineStr">
        <is>
          <t>C1929</t>
        </is>
      </c>
      <c r="C9430" t="n">
        <v>3</v>
      </c>
      <c r="D9430" t="inlineStr">
        <is>
          <t>Hub C</t>
        </is>
      </c>
      <c r="E9430" t="n">
        <v>21</v>
      </c>
      <c r="F9430" t="n">
        <v>50</v>
      </c>
    </row>
    <row r="9431">
      <c r="A9431" t="inlineStr">
        <is>
          <t>ORD09430</t>
        </is>
      </c>
      <c r="B9431" t="inlineStr">
        <is>
          <t>C1930</t>
        </is>
      </c>
      <c r="C9431" t="n">
        <v>1</v>
      </c>
      <c r="D9431" t="inlineStr">
        <is>
          <t>Hub C</t>
        </is>
      </c>
      <c r="E9431" t="n">
        <v>28</v>
      </c>
      <c r="F9431" t="n">
        <v>50</v>
      </c>
    </row>
    <row r="9432">
      <c r="A9432" t="inlineStr">
        <is>
          <t>ORD09431</t>
        </is>
      </c>
      <c r="B9432" t="inlineStr">
        <is>
          <t>C1931</t>
        </is>
      </c>
      <c r="C9432" t="n">
        <v>2</v>
      </c>
      <c r="D9432" t="inlineStr">
        <is>
          <t>Hub C</t>
        </is>
      </c>
      <c r="E9432" t="n">
        <v>35</v>
      </c>
      <c r="F9432" t="n">
        <v>50</v>
      </c>
    </row>
    <row r="9433">
      <c r="A9433" t="inlineStr">
        <is>
          <t>ORD09432</t>
        </is>
      </c>
      <c r="B9433" t="inlineStr">
        <is>
          <t>C1932</t>
        </is>
      </c>
      <c r="C9433" t="n">
        <v>3</v>
      </c>
      <c r="D9433" t="inlineStr">
        <is>
          <t>Hub C</t>
        </is>
      </c>
      <c r="E9433" t="n">
        <v>42</v>
      </c>
      <c r="F9433" t="n">
        <v>50</v>
      </c>
    </row>
    <row r="9434">
      <c r="A9434" t="inlineStr">
        <is>
          <t>ORD09433</t>
        </is>
      </c>
      <c r="B9434" t="inlineStr">
        <is>
          <t>C1933</t>
        </is>
      </c>
      <c r="C9434" t="n">
        <v>1</v>
      </c>
      <c r="D9434" t="inlineStr">
        <is>
          <t>Hub C</t>
        </is>
      </c>
      <c r="E9434" t="n">
        <v>49</v>
      </c>
      <c r="F9434" t="n">
        <v>50</v>
      </c>
    </row>
    <row r="9435">
      <c r="A9435" t="inlineStr">
        <is>
          <t>ORD09434</t>
        </is>
      </c>
      <c r="B9435" t="inlineStr">
        <is>
          <t>C1934</t>
        </is>
      </c>
      <c r="C9435" t="n">
        <v>2</v>
      </c>
      <c r="D9435" t="inlineStr">
        <is>
          <t>Hub C</t>
        </is>
      </c>
      <c r="E9435" t="n">
        <v>56</v>
      </c>
      <c r="F9435" t="n">
        <v>50</v>
      </c>
    </row>
    <row r="9436">
      <c r="A9436" t="inlineStr">
        <is>
          <t>ORD09435</t>
        </is>
      </c>
      <c r="B9436" t="inlineStr">
        <is>
          <t>C1935</t>
        </is>
      </c>
      <c r="C9436" t="n">
        <v>3</v>
      </c>
      <c r="D9436" t="inlineStr">
        <is>
          <t>Hub C</t>
        </is>
      </c>
      <c r="E9436" t="n">
        <v>63</v>
      </c>
      <c r="F9436" t="n">
        <v>50</v>
      </c>
    </row>
    <row r="9437">
      <c r="A9437" t="inlineStr">
        <is>
          <t>ORD09436</t>
        </is>
      </c>
      <c r="B9437" t="inlineStr">
        <is>
          <t>C1936</t>
        </is>
      </c>
      <c r="C9437" t="n">
        <v>1</v>
      </c>
      <c r="D9437" t="inlineStr">
        <is>
          <t>Hub C</t>
        </is>
      </c>
      <c r="E9437" t="n">
        <v>70</v>
      </c>
      <c r="F9437" t="n">
        <v>50</v>
      </c>
    </row>
    <row r="9438">
      <c r="A9438" t="inlineStr">
        <is>
          <t>ORD09437</t>
        </is>
      </c>
      <c r="B9438" t="inlineStr">
        <is>
          <t>C1937</t>
        </is>
      </c>
      <c r="C9438" t="n">
        <v>2</v>
      </c>
      <c r="D9438" t="inlineStr">
        <is>
          <t>Hub C</t>
        </is>
      </c>
      <c r="E9438" t="n">
        <v>77</v>
      </c>
      <c r="F9438" t="n">
        <v>50</v>
      </c>
    </row>
    <row r="9439">
      <c r="A9439" t="inlineStr">
        <is>
          <t>ORD09438</t>
        </is>
      </c>
      <c r="B9439" t="inlineStr">
        <is>
          <t>C1938</t>
        </is>
      </c>
      <c r="C9439" t="n">
        <v>3</v>
      </c>
      <c r="D9439" t="inlineStr">
        <is>
          <t>Hub C</t>
        </is>
      </c>
      <c r="E9439" t="n">
        <v>24</v>
      </c>
      <c r="F9439" t="n">
        <v>50</v>
      </c>
    </row>
    <row r="9440">
      <c r="A9440" t="inlineStr">
        <is>
          <t>ORD09439</t>
        </is>
      </c>
      <c r="B9440" t="inlineStr">
        <is>
          <t>C1939</t>
        </is>
      </c>
      <c r="C9440" t="n">
        <v>1</v>
      </c>
      <c r="D9440" t="inlineStr">
        <is>
          <t>Hub C</t>
        </is>
      </c>
      <c r="E9440" t="n">
        <v>31</v>
      </c>
      <c r="F9440" t="n">
        <v>50</v>
      </c>
    </row>
    <row r="9441">
      <c r="A9441" t="inlineStr">
        <is>
          <t>ORD09440</t>
        </is>
      </c>
      <c r="B9441" t="inlineStr">
        <is>
          <t>C1940</t>
        </is>
      </c>
      <c r="C9441" t="n">
        <v>2</v>
      </c>
      <c r="D9441" t="inlineStr">
        <is>
          <t>Hub C</t>
        </is>
      </c>
      <c r="E9441" t="n">
        <v>38</v>
      </c>
      <c r="F9441" t="n">
        <v>50</v>
      </c>
    </row>
    <row r="9442">
      <c r="A9442" t="inlineStr">
        <is>
          <t>ORD09441</t>
        </is>
      </c>
      <c r="B9442" t="inlineStr">
        <is>
          <t>C1941</t>
        </is>
      </c>
      <c r="C9442" t="n">
        <v>3</v>
      </c>
      <c r="D9442" t="inlineStr">
        <is>
          <t>Hub C</t>
        </is>
      </c>
      <c r="E9442" t="n">
        <v>45</v>
      </c>
      <c r="F9442" t="n">
        <v>50</v>
      </c>
    </row>
    <row r="9443">
      <c r="A9443" t="inlineStr">
        <is>
          <t>ORD09442</t>
        </is>
      </c>
      <c r="B9443" t="inlineStr">
        <is>
          <t>C1942</t>
        </is>
      </c>
      <c r="C9443" t="n">
        <v>1</v>
      </c>
      <c r="D9443" t="inlineStr">
        <is>
          <t>Hub C</t>
        </is>
      </c>
      <c r="E9443" t="n">
        <v>52</v>
      </c>
      <c r="F9443" t="n">
        <v>50</v>
      </c>
    </row>
    <row r="9444">
      <c r="A9444" t="inlineStr">
        <is>
          <t>ORD09443</t>
        </is>
      </c>
      <c r="B9444" t="inlineStr">
        <is>
          <t>C1943</t>
        </is>
      </c>
      <c r="C9444" t="n">
        <v>2</v>
      </c>
      <c r="D9444" t="inlineStr">
        <is>
          <t>Hub C</t>
        </is>
      </c>
      <c r="E9444" t="n">
        <v>59</v>
      </c>
      <c r="F9444" t="n">
        <v>50</v>
      </c>
    </row>
    <row r="9445">
      <c r="A9445" t="inlineStr">
        <is>
          <t>ORD09444</t>
        </is>
      </c>
      <c r="B9445" t="inlineStr">
        <is>
          <t>C1944</t>
        </is>
      </c>
      <c r="C9445" t="n">
        <v>3</v>
      </c>
      <c r="D9445" t="inlineStr">
        <is>
          <t>Hub C</t>
        </is>
      </c>
      <c r="E9445" t="n">
        <v>66</v>
      </c>
      <c r="F9445" t="n">
        <v>50</v>
      </c>
    </row>
    <row r="9446">
      <c r="A9446" t="inlineStr">
        <is>
          <t>ORD09445</t>
        </is>
      </c>
      <c r="B9446" t="inlineStr">
        <is>
          <t>C1945</t>
        </is>
      </c>
      <c r="C9446" t="n">
        <v>1</v>
      </c>
      <c r="D9446" t="inlineStr">
        <is>
          <t>Hub C</t>
        </is>
      </c>
      <c r="E9446" t="n">
        <v>73</v>
      </c>
      <c r="F9446" t="n">
        <v>50</v>
      </c>
    </row>
    <row r="9447">
      <c r="A9447" t="inlineStr">
        <is>
          <t>ORD09446</t>
        </is>
      </c>
      <c r="B9447" t="inlineStr">
        <is>
          <t>C1946</t>
        </is>
      </c>
      <c r="C9447" t="n">
        <v>2</v>
      </c>
      <c r="D9447" t="inlineStr">
        <is>
          <t>Hub C</t>
        </is>
      </c>
      <c r="E9447" t="n">
        <v>20</v>
      </c>
      <c r="F9447" t="n">
        <v>50</v>
      </c>
    </row>
    <row r="9448">
      <c r="A9448" t="inlineStr">
        <is>
          <t>ORD09447</t>
        </is>
      </c>
      <c r="B9448" t="inlineStr">
        <is>
          <t>C1947</t>
        </is>
      </c>
      <c r="C9448" t="n">
        <v>3</v>
      </c>
      <c r="D9448" t="inlineStr">
        <is>
          <t>Hub C</t>
        </is>
      </c>
      <c r="E9448" t="n">
        <v>27</v>
      </c>
      <c r="F9448" t="n">
        <v>50</v>
      </c>
    </row>
    <row r="9449">
      <c r="A9449" t="inlineStr">
        <is>
          <t>ORD09448</t>
        </is>
      </c>
      <c r="B9449" t="inlineStr">
        <is>
          <t>C1948</t>
        </is>
      </c>
      <c r="C9449" t="n">
        <v>1</v>
      </c>
      <c r="D9449" t="inlineStr">
        <is>
          <t>Hub C</t>
        </is>
      </c>
      <c r="E9449" t="n">
        <v>34</v>
      </c>
      <c r="F9449" t="n">
        <v>50</v>
      </c>
    </row>
    <row r="9450">
      <c r="A9450" t="inlineStr">
        <is>
          <t>ORD09449</t>
        </is>
      </c>
      <c r="B9450" t="inlineStr">
        <is>
          <t>C1949</t>
        </is>
      </c>
      <c r="C9450" t="n">
        <v>2</v>
      </c>
      <c r="D9450" t="inlineStr">
        <is>
          <t>Hub C</t>
        </is>
      </c>
      <c r="E9450" t="n">
        <v>41</v>
      </c>
      <c r="F9450" t="n">
        <v>50</v>
      </c>
    </row>
    <row r="9451">
      <c r="A9451" t="inlineStr">
        <is>
          <t>ORD09450</t>
        </is>
      </c>
      <c r="B9451" t="inlineStr">
        <is>
          <t>C1950</t>
        </is>
      </c>
      <c r="C9451" t="n">
        <v>3</v>
      </c>
      <c r="D9451" t="inlineStr">
        <is>
          <t>Hub C</t>
        </is>
      </c>
      <c r="E9451" t="n">
        <v>48</v>
      </c>
      <c r="F9451" t="n">
        <v>50</v>
      </c>
    </row>
    <row r="9452">
      <c r="A9452" t="inlineStr">
        <is>
          <t>ORD09451</t>
        </is>
      </c>
      <c r="B9452" t="inlineStr">
        <is>
          <t>C1951</t>
        </is>
      </c>
      <c r="C9452" t="n">
        <v>1</v>
      </c>
      <c r="D9452" t="inlineStr">
        <is>
          <t>Hub C</t>
        </is>
      </c>
      <c r="E9452" t="n">
        <v>55</v>
      </c>
      <c r="F9452" t="n">
        <v>50</v>
      </c>
    </row>
    <row r="9453">
      <c r="A9453" t="inlineStr">
        <is>
          <t>ORD09452</t>
        </is>
      </c>
      <c r="B9453" t="inlineStr">
        <is>
          <t>C1952</t>
        </is>
      </c>
      <c r="C9453" t="n">
        <v>2</v>
      </c>
      <c r="D9453" t="inlineStr">
        <is>
          <t>Hub C</t>
        </is>
      </c>
      <c r="E9453" t="n">
        <v>62</v>
      </c>
      <c r="F9453" t="n">
        <v>50</v>
      </c>
    </row>
    <row r="9454">
      <c r="A9454" t="inlineStr">
        <is>
          <t>ORD09453</t>
        </is>
      </c>
      <c r="B9454" t="inlineStr">
        <is>
          <t>C1953</t>
        </is>
      </c>
      <c r="C9454" t="n">
        <v>3</v>
      </c>
      <c r="D9454" t="inlineStr">
        <is>
          <t>Hub C</t>
        </is>
      </c>
      <c r="E9454" t="n">
        <v>69</v>
      </c>
      <c r="F9454" t="n">
        <v>50</v>
      </c>
    </row>
    <row r="9455">
      <c r="A9455" t="inlineStr">
        <is>
          <t>ORD09454</t>
        </is>
      </c>
      <c r="B9455" t="inlineStr">
        <is>
          <t>C1954</t>
        </is>
      </c>
      <c r="C9455" t="n">
        <v>1</v>
      </c>
      <c r="D9455" t="inlineStr">
        <is>
          <t>Hub C</t>
        </is>
      </c>
      <c r="E9455" t="n">
        <v>76</v>
      </c>
      <c r="F9455" t="n">
        <v>50</v>
      </c>
    </row>
    <row r="9456">
      <c r="A9456" t="inlineStr">
        <is>
          <t>ORD09455</t>
        </is>
      </c>
      <c r="B9456" t="inlineStr">
        <is>
          <t>C1955</t>
        </is>
      </c>
      <c r="C9456" t="n">
        <v>2</v>
      </c>
      <c r="D9456" t="inlineStr">
        <is>
          <t>Hub C</t>
        </is>
      </c>
      <c r="E9456" t="n">
        <v>23</v>
      </c>
      <c r="F9456" t="n">
        <v>50</v>
      </c>
    </row>
    <row r="9457">
      <c r="A9457" t="inlineStr">
        <is>
          <t>ORD09456</t>
        </is>
      </c>
      <c r="B9457" t="inlineStr">
        <is>
          <t>C1956</t>
        </is>
      </c>
      <c r="C9457" t="n">
        <v>3</v>
      </c>
      <c r="D9457" t="inlineStr">
        <is>
          <t>Hub C</t>
        </is>
      </c>
      <c r="E9457" t="n">
        <v>30</v>
      </c>
      <c r="F9457" t="n">
        <v>50</v>
      </c>
    </row>
    <row r="9458">
      <c r="A9458" t="inlineStr">
        <is>
          <t>ORD09457</t>
        </is>
      </c>
      <c r="B9458" t="inlineStr">
        <is>
          <t>C1957</t>
        </is>
      </c>
      <c r="C9458" t="n">
        <v>1</v>
      </c>
      <c r="D9458" t="inlineStr">
        <is>
          <t>Hub C</t>
        </is>
      </c>
      <c r="E9458" t="n">
        <v>37</v>
      </c>
      <c r="F9458" t="n">
        <v>50</v>
      </c>
    </row>
    <row r="9459">
      <c r="A9459" t="inlineStr">
        <is>
          <t>ORD09458</t>
        </is>
      </c>
      <c r="B9459" t="inlineStr">
        <is>
          <t>C1958</t>
        </is>
      </c>
      <c r="C9459" t="n">
        <v>2</v>
      </c>
      <c r="D9459" t="inlineStr">
        <is>
          <t>Hub C</t>
        </is>
      </c>
      <c r="E9459" t="n">
        <v>44</v>
      </c>
      <c r="F9459" t="n">
        <v>50</v>
      </c>
    </row>
    <row r="9460">
      <c r="A9460" t="inlineStr">
        <is>
          <t>ORD09459</t>
        </is>
      </c>
      <c r="B9460" t="inlineStr">
        <is>
          <t>C1959</t>
        </is>
      </c>
      <c r="C9460" t="n">
        <v>3</v>
      </c>
      <c r="D9460" t="inlineStr">
        <is>
          <t>Hub C</t>
        </is>
      </c>
      <c r="E9460" t="n">
        <v>51</v>
      </c>
      <c r="F9460" t="n">
        <v>50</v>
      </c>
    </row>
    <row r="9461">
      <c r="A9461" t="inlineStr">
        <is>
          <t>ORD09460</t>
        </is>
      </c>
      <c r="B9461" t="inlineStr">
        <is>
          <t>C1960</t>
        </is>
      </c>
      <c r="C9461" t="n">
        <v>1</v>
      </c>
      <c r="D9461" t="inlineStr">
        <is>
          <t>Hub C</t>
        </is>
      </c>
      <c r="E9461" t="n">
        <v>58</v>
      </c>
      <c r="F9461" t="n">
        <v>50</v>
      </c>
    </row>
    <row r="9462">
      <c r="A9462" t="inlineStr">
        <is>
          <t>ORD09461</t>
        </is>
      </c>
      <c r="B9462" t="inlineStr">
        <is>
          <t>C1961</t>
        </is>
      </c>
      <c r="C9462" t="n">
        <v>2</v>
      </c>
      <c r="D9462" t="inlineStr">
        <is>
          <t>Hub C</t>
        </is>
      </c>
      <c r="E9462" t="n">
        <v>65</v>
      </c>
      <c r="F9462" t="n">
        <v>50</v>
      </c>
    </row>
    <row r="9463">
      <c r="A9463" t="inlineStr">
        <is>
          <t>ORD09462</t>
        </is>
      </c>
      <c r="B9463" t="inlineStr">
        <is>
          <t>C1962</t>
        </is>
      </c>
      <c r="C9463" t="n">
        <v>3</v>
      </c>
      <c r="D9463" t="inlineStr">
        <is>
          <t>Hub C</t>
        </is>
      </c>
      <c r="E9463" t="n">
        <v>72</v>
      </c>
      <c r="F9463" t="n">
        <v>50</v>
      </c>
    </row>
    <row r="9464">
      <c r="A9464" t="inlineStr">
        <is>
          <t>ORD09463</t>
        </is>
      </c>
      <c r="B9464" t="inlineStr">
        <is>
          <t>C1963</t>
        </is>
      </c>
      <c r="C9464" t="n">
        <v>1</v>
      </c>
      <c r="D9464" t="inlineStr">
        <is>
          <t>Hub C</t>
        </is>
      </c>
      <c r="E9464" t="n">
        <v>19</v>
      </c>
      <c r="F9464" t="n">
        <v>50</v>
      </c>
    </row>
    <row r="9465">
      <c r="A9465" t="inlineStr">
        <is>
          <t>ORD09464</t>
        </is>
      </c>
      <c r="B9465" t="inlineStr">
        <is>
          <t>C1964</t>
        </is>
      </c>
      <c r="C9465" t="n">
        <v>2</v>
      </c>
      <c r="D9465" t="inlineStr">
        <is>
          <t>Hub C</t>
        </is>
      </c>
      <c r="E9465" t="n">
        <v>26</v>
      </c>
      <c r="F9465" t="n">
        <v>50</v>
      </c>
    </row>
    <row r="9466">
      <c r="A9466" t="inlineStr">
        <is>
          <t>ORD09465</t>
        </is>
      </c>
      <c r="B9466" t="inlineStr">
        <is>
          <t>C1965</t>
        </is>
      </c>
      <c r="C9466" t="n">
        <v>3</v>
      </c>
      <c r="D9466" t="inlineStr">
        <is>
          <t>Hub C</t>
        </is>
      </c>
      <c r="E9466" t="n">
        <v>33</v>
      </c>
      <c r="F9466" t="n">
        <v>50</v>
      </c>
    </row>
    <row r="9467">
      <c r="A9467" t="inlineStr">
        <is>
          <t>ORD09466</t>
        </is>
      </c>
      <c r="B9467" t="inlineStr">
        <is>
          <t>C1966</t>
        </is>
      </c>
      <c r="C9467" t="n">
        <v>1</v>
      </c>
      <c r="D9467" t="inlineStr">
        <is>
          <t>Hub C</t>
        </is>
      </c>
      <c r="E9467" t="n">
        <v>40</v>
      </c>
      <c r="F9467" t="n">
        <v>50</v>
      </c>
    </row>
    <row r="9468">
      <c r="A9468" t="inlineStr">
        <is>
          <t>ORD09467</t>
        </is>
      </c>
      <c r="B9468" t="inlineStr">
        <is>
          <t>C1967</t>
        </is>
      </c>
      <c r="C9468" t="n">
        <v>2</v>
      </c>
      <c r="D9468" t="inlineStr">
        <is>
          <t>Hub C</t>
        </is>
      </c>
      <c r="E9468" t="n">
        <v>47</v>
      </c>
      <c r="F9468" t="n">
        <v>50</v>
      </c>
    </row>
    <row r="9469">
      <c r="A9469" t="inlineStr">
        <is>
          <t>ORD09468</t>
        </is>
      </c>
      <c r="B9469" t="inlineStr">
        <is>
          <t>C1968</t>
        </is>
      </c>
      <c r="C9469" t="n">
        <v>3</v>
      </c>
      <c r="D9469" t="inlineStr">
        <is>
          <t>Hub C</t>
        </is>
      </c>
      <c r="E9469" t="n">
        <v>54</v>
      </c>
      <c r="F9469" t="n">
        <v>50</v>
      </c>
    </row>
    <row r="9470">
      <c r="A9470" t="inlineStr">
        <is>
          <t>ORD09469</t>
        </is>
      </c>
      <c r="B9470" t="inlineStr">
        <is>
          <t>C1969</t>
        </is>
      </c>
      <c r="C9470" t="n">
        <v>1</v>
      </c>
      <c r="D9470" t="inlineStr">
        <is>
          <t>Hub C</t>
        </is>
      </c>
      <c r="E9470" t="n">
        <v>61</v>
      </c>
      <c r="F9470" t="n">
        <v>50</v>
      </c>
    </row>
    <row r="9471">
      <c r="A9471" t="inlineStr">
        <is>
          <t>ORD09470</t>
        </is>
      </c>
      <c r="B9471" t="inlineStr">
        <is>
          <t>C1970</t>
        </is>
      </c>
      <c r="C9471" t="n">
        <v>2</v>
      </c>
      <c r="D9471" t="inlineStr">
        <is>
          <t>Hub C</t>
        </is>
      </c>
      <c r="E9471" t="n">
        <v>68</v>
      </c>
      <c r="F9471" t="n">
        <v>50</v>
      </c>
    </row>
    <row r="9472">
      <c r="A9472" t="inlineStr">
        <is>
          <t>ORD09471</t>
        </is>
      </c>
      <c r="B9472" t="inlineStr">
        <is>
          <t>C1971</t>
        </is>
      </c>
      <c r="C9472" t="n">
        <v>3</v>
      </c>
      <c r="D9472" t="inlineStr">
        <is>
          <t>Hub C</t>
        </is>
      </c>
      <c r="E9472" t="n">
        <v>75</v>
      </c>
      <c r="F9472" t="n">
        <v>50</v>
      </c>
    </row>
    <row r="9473">
      <c r="A9473" t="inlineStr">
        <is>
          <t>ORD09472</t>
        </is>
      </c>
      <c r="B9473" t="inlineStr">
        <is>
          <t>C1972</t>
        </is>
      </c>
      <c r="C9473" t="n">
        <v>1</v>
      </c>
      <c r="D9473" t="inlineStr">
        <is>
          <t>Hub C</t>
        </is>
      </c>
      <c r="E9473" t="n">
        <v>22</v>
      </c>
      <c r="F9473" t="n">
        <v>50</v>
      </c>
    </row>
    <row r="9474">
      <c r="A9474" t="inlineStr">
        <is>
          <t>ORD09473</t>
        </is>
      </c>
      <c r="B9474" t="inlineStr">
        <is>
          <t>C1973</t>
        </is>
      </c>
      <c r="C9474" t="n">
        <v>2</v>
      </c>
      <c r="D9474" t="inlineStr">
        <is>
          <t>Hub C</t>
        </is>
      </c>
      <c r="E9474" t="n">
        <v>29</v>
      </c>
      <c r="F9474" t="n">
        <v>50</v>
      </c>
    </row>
    <row r="9475">
      <c r="A9475" t="inlineStr">
        <is>
          <t>ORD09474</t>
        </is>
      </c>
      <c r="B9475" t="inlineStr">
        <is>
          <t>C1974</t>
        </is>
      </c>
      <c r="C9475" t="n">
        <v>3</v>
      </c>
      <c r="D9475" t="inlineStr">
        <is>
          <t>Hub C</t>
        </is>
      </c>
      <c r="E9475" t="n">
        <v>36</v>
      </c>
      <c r="F9475" t="n">
        <v>50</v>
      </c>
    </row>
    <row r="9476">
      <c r="A9476" t="inlineStr">
        <is>
          <t>ORD09475</t>
        </is>
      </c>
      <c r="B9476" t="inlineStr">
        <is>
          <t>C1975</t>
        </is>
      </c>
      <c r="C9476" t="n">
        <v>1</v>
      </c>
      <c r="D9476" t="inlineStr">
        <is>
          <t>Hub C</t>
        </is>
      </c>
      <c r="E9476" t="n">
        <v>43</v>
      </c>
      <c r="F9476" t="n">
        <v>50</v>
      </c>
    </row>
    <row r="9477">
      <c r="A9477" t="inlineStr">
        <is>
          <t>ORD09476</t>
        </is>
      </c>
      <c r="B9477" t="inlineStr">
        <is>
          <t>C1976</t>
        </is>
      </c>
      <c r="C9477" t="n">
        <v>2</v>
      </c>
      <c r="D9477" t="inlineStr">
        <is>
          <t>Hub C</t>
        </is>
      </c>
      <c r="E9477" t="n">
        <v>50</v>
      </c>
      <c r="F9477" t="n">
        <v>50</v>
      </c>
    </row>
    <row r="9478">
      <c r="A9478" t="inlineStr">
        <is>
          <t>ORD09477</t>
        </is>
      </c>
      <c r="B9478" t="inlineStr">
        <is>
          <t>C1977</t>
        </is>
      </c>
      <c r="C9478" t="n">
        <v>3</v>
      </c>
      <c r="D9478" t="inlineStr">
        <is>
          <t>Hub C</t>
        </is>
      </c>
      <c r="E9478" t="n">
        <v>57</v>
      </c>
      <c r="F9478" t="n">
        <v>50</v>
      </c>
    </row>
    <row r="9479">
      <c r="A9479" t="inlineStr">
        <is>
          <t>ORD09478</t>
        </is>
      </c>
      <c r="B9479" t="inlineStr">
        <is>
          <t>C1978</t>
        </is>
      </c>
      <c r="C9479" t="n">
        <v>1</v>
      </c>
      <c r="D9479" t="inlineStr">
        <is>
          <t>Hub C</t>
        </is>
      </c>
      <c r="E9479" t="n">
        <v>64</v>
      </c>
      <c r="F9479" t="n">
        <v>50</v>
      </c>
    </row>
    <row r="9480">
      <c r="A9480" t="inlineStr">
        <is>
          <t>ORD09479</t>
        </is>
      </c>
      <c r="B9480" t="inlineStr">
        <is>
          <t>C1979</t>
        </is>
      </c>
      <c r="C9480" t="n">
        <v>2</v>
      </c>
      <c r="D9480" t="inlineStr">
        <is>
          <t>Hub C</t>
        </is>
      </c>
      <c r="E9480" t="n">
        <v>71</v>
      </c>
      <c r="F9480" t="n">
        <v>50</v>
      </c>
    </row>
    <row r="9481">
      <c r="A9481" t="inlineStr">
        <is>
          <t>ORD09480</t>
        </is>
      </c>
      <c r="B9481" t="inlineStr">
        <is>
          <t>C1980</t>
        </is>
      </c>
      <c r="C9481" t="n">
        <v>3</v>
      </c>
      <c r="D9481" t="inlineStr">
        <is>
          <t>Hub C</t>
        </is>
      </c>
      <c r="E9481" t="n">
        <v>18</v>
      </c>
      <c r="F9481" t="n">
        <v>50</v>
      </c>
    </row>
    <row r="9482">
      <c r="A9482" t="inlineStr">
        <is>
          <t>ORD09481</t>
        </is>
      </c>
      <c r="B9482" t="inlineStr">
        <is>
          <t>C1981</t>
        </is>
      </c>
      <c r="C9482" t="n">
        <v>1</v>
      </c>
      <c r="D9482" t="inlineStr">
        <is>
          <t>Hub C</t>
        </is>
      </c>
      <c r="E9482" t="n">
        <v>25</v>
      </c>
      <c r="F9482" t="n">
        <v>50</v>
      </c>
    </row>
    <row r="9483">
      <c r="A9483" t="inlineStr">
        <is>
          <t>ORD09482</t>
        </is>
      </c>
      <c r="B9483" t="inlineStr">
        <is>
          <t>C1982</t>
        </is>
      </c>
      <c r="C9483" t="n">
        <v>2</v>
      </c>
      <c r="D9483" t="inlineStr">
        <is>
          <t>Hub C</t>
        </is>
      </c>
      <c r="E9483" t="n">
        <v>32</v>
      </c>
      <c r="F9483" t="n">
        <v>50</v>
      </c>
    </row>
    <row r="9484">
      <c r="A9484" t="inlineStr">
        <is>
          <t>ORD09483</t>
        </is>
      </c>
      <c r="B9484" t="inlineStr">
        <is>
          <t>C1983</t>
        </is>
      </c>
      <c r="C9484" t="n">
        <v>3</v>
      </c>
      <c r="D9484" t="inlineStr">
        <is>
          <t>Hub C</t>
        </is>
      </c>
      <c r="E9484" t="n">
        <v>39</v>
      </c>
      <c r="F9484" t="n">
        <v>50</v>
      </c>
    </row>
    <row r="9485">
      <c r="A9485" t="inlineStr">
        <is>
          <t>ORD09484</t>
        </is>
      </c>
      <c r="B9485" t="inlineStr">
        <is>
          <t>C1984</t>
        </is>
      </c>
      <c r="C9485" t="n">
        <v>1</v>
      </c>
      <c r="D9485" t="inlineStr">
        <is>
          <t>Hub C</t>
        </is>
      </c>
      <c r="E9485" t="n">
        <v>46</v>
      </c>
      <c r="F9485" t="n">
        <v>50</v>
      </c>
    </row>
    <row r="9486">
      <c r="A9486" t="inlineStr">
        <is>
          <t>ORD09485</t>
        </is>
      </c>
      <c r="B9486" t="inlineStr">
        <is>
          <t>C1985</t>
        </is>
      </c>
      <c r="C9486" t="n">
        <v>2</v>
      </c>
      <c r="D9486" t="inlineStr">
        <is>
          <t>Hub C</t>
        </is>
      </c>
      <c r="E9486" t="n">
        <v>53</v>
      </c>
      <c r="F9486" t="n">
        <v>50</v>
      </c>
    </row>
    <row r="9487">
      <c r="A9487" t="inlineStr">
        <is>
          <t>ORD09486</t>
        </is>
      </c>
      <c r="B9487" t="inlineStr">
        <is>
          <t>C1986</t>
        </is>
      </c>
      <c r="C9487" t="n">
        <v>3</v>
      </c>
      <c r="D9487" t="inlineStr">
        <is>
          <t>Hub C</t>
        </is>
      </c>
      <c r="E9487" t="n">
        <v>60</v>
      </c>
      <c r="F9487" t="n">
        <v>50</v>
      </c>
    </row>
    <row r="9488">
      <c r="A9488" t="inlineStr">
        <is>
          <t>ORD09487</t>
        </is>
      </c>
      <c r="B9488" t="inlineStr">
        <is>
          <t>C1987</t>
        </is>
      </c>
      <c r="C9488" t="n">
        <v>1</v>
      </c>
      <c r="D9488" t="inlineStr">
        <is>
          <t>Hub C</t>
        </is>
      </c>
      <c r="E9488" t="n">
        <v>67</v>
      </c>
      <c r="F9488" t="n">
        <v>50</v>
      </c>
    </row>
    <row r="9489">
      <c r="A9489" t="inlineStr">
        <is>
          <t>ORD09488</t>
        </is>
      </c>
      <c r="B9489" t="inlineStr">
        <is>
          <t>C1988</t>
        </is>
      </c>
      <c r="C9489" t="n">
        <v>2</v>
      </c>
      <c r="D9489" t="inlineStr">
        <is>
          <t>Hub C</t>
        </is>
      </c>
      <c r="E9489" t="n">
        <v>74</v>
      </c>
      <c r="F9489" t="n">
        <v>50</v>
      </c>
    </row>
    <row r="9490">
      <c r="A9490" t="inlineStr">
        <is>
          <t>ORD09489</t>
        </is>
      </c>
      <c r="B9490" t="inlineStr">
        <is>
          <t>C1989</t>
        </is>
      </c>
      <c r="C9490" t="n">
        <v>3</v>
      </c>
      <c r="D9490" t="inlineStr">
        <is>
          <t>Hub C</t>
        </is>
      </c>
      <c r="E9490" t="n">
        <v>21</v>
      </c>
      <c r="F9490" t="n">
        <v>50</v>
      </c>
    </row>
    <row r="9491">
      <c r="A9491" t="inlineStr">
        <is>
          <t>ORD09490</t>
        </is>
      </c>
      <c r="B9491" t="inlineStr">
        <is>
          <t>C1990</t>
        </is>
      </c>
      <c r="C9491" t="n">
        <v>1</v>
      </c>
      <c r="D9491" t="inlineStr">
        <is>
          <t>Hub C</t>
        </is>
      </c>
      <c r="E9491" t="n">
        <v>28</v>
      </c>
      <c r="F9491" t="n">
        <v>50</v>
      </c>
    </row>
    <row r="9492">
      <c r="A9492" t="inlineStr">
        <is>
          <t>ORD09491</t>
        </is>
      </c>
      <c r="B9492" t="inlineStr">
        <is>
          <t>C1991</t>
        </is>
      </c>
      <c r="C9492" t="n">
        <v>2</v>
      </c>
      <c r="D9492" t="inlineStr">
        <is>
          <t>Hub C</t>
        </is>
      </c>
      <c r="E9492" t="n">
        <v>35</v>
      </c>
      <c r="F9492" t="n">
        <v>50</v>
      </c>
    </row>
    <row r="9493">
      <c r="A9493" t="inlineStr">
        <is>
          <t>ORD09492</t>
        </is>
      </c>
      <c r="B9493" t="inlineStr">
        <is>
          <t>C1992</t>
        </is>
      </c>
      <c r="C9493" t="n">
        <v>3</v>
      </c>
      <c r="D9493" t="inlineStr">
        <is>
          <t>Hub C</t>
        </is>
      </c>
      <c r="E9493" t="n">
        <v>42</v>
      </c>
      <c r="F9493" t="n">
        <v>50</v>
      </c>
    </row>
    <row r="9494">
      <c r="A9494" t="inlineStr">
        <is>
          <t>ORD09493</t>
        </is>
      </c>
      <c r="B9494" t="inlineStr">
        <is>
          <t>C1993</t>
        </is>
      </c>
      <c r="C9494" t="n">
        <v>1</v>
      </c>
      <c r="D9494" t="inlineStr">
        <is>
          <t>Hub C</t>
        </is>
      </c>
      <c r="E9494" t="n">
        <v>49</v>
      </c>
      <c r="F9494" t="n">
        <v>50</v>
      </c>
    </row>
    <row r="9495">
      <c r="A9495" t="inlineStr">
        <is>
          <t>ORD09494</t>
        </is>
      </c>
      <c r="B9495" t="inlineStr">
        <is>
          <t>C1994</t>
        </is>
      </c>
      <c r="C9495" t="n">
        <v>2</v>
      </c>
      <c r="D9495" t="inlineStr">
        <is>
          <t>Hub C</t>
        </is>
      </c>
      <c r="E9495" t="n">
        <v>56</v>
      </c>
      <c r="F9495" t="n">
        <v>50</v>
      </c>
    </row>
    <row r="9496">
      <c r="A9496" t="inlineStr">
        <is>
          <t>ORD09495</t>
        </is>
      </c>
      <c r="B9496" t="inlineStr">
        <is>
          <t>C1995</t>
        </is>
      </c>
      <c r="C9496" t="n">
        <v>3</v>
      </c>
      <c r="D9496" t="inlineStr">
        <is>
          <t>Hub C</t>
        </is>
      </c>
      <c r="E9496" t="n">
        <v>63</v>
      </c>
      <c r="F9496" t="n">
        <v>50</v>
      </c>
    </row>
    <row r="9497">
      <c r="A9497" t="inlineStr">
        <is>
          <t>ORD09496</t>
        </is>
      </c>
      <c r="B9497" t="inlineStr">
        <is>
          <t>C1996</t>
        </is>
      </c>
      <c r="C9497" t="n">
        <v>1</v>
      </c>
      <c r="D9497" t="inlineStr">
        <is>
          <t>Hub C</t>
        </is>
      </c>
      <c r="E9497" t="n">
        <v>70</v>
      </c>
      <c r="F9497" t="n">
        <v>50</v>
      </c>
    </row>
    <row r="9498">
      <c r="A9498" t="inlineStr">
        <is>
          <t>ORD09497</t>
        </is>
      </c>
      <c r="B9498" t="inlineStr">
        <is>
          <t>C1997</t>
        </is>
      </c>
      <c r="C9498" t="n">
        <v>2</v>
      </c>
      <c r="D9498" t="inlineStr">
        <is>
          <t>Hub C</t>
        </is>
      </c>
      <c r="E9498" t="n">
        <v>77</v>
      </c>
      <c r="F9498" t="n">
        <v>50</v>
      </c>
    </row>
    <row r="9499">
      <c r="A9499" t="inlineStr">
        <is>
          <t>ORD09498</t>
        </is>
      </c>
      <c r="B9499" t="inlineStr">
        <is>
          <t>C1998</t>
        </is>
      </c>
      <c r="C9499" t="n">
        <v>3</v>
      </c>
      <c r="D9499" t="inlineStr">
        <is>
          <t>Hub C</t>
        </is>
      </c>
      <c r="E9499" t="n">
        <v>24</v>
      </c>
      <c r="F9499" t="n">
        <v>50</v>
      </c>
    </row>
    <row r="9500">
      <c r="A9500" t="inlineStr">
        <is>
          <t>ORD09499</t>
        </is>
      </c>
      <c r="B9500" t="inlineStr">
        <is>
          <t>C1999</t>
        </is>
      </c>
      <c r="C9500" t="n">
        <v>1</v>
      </c>
      <c r="D9500" t="inlineStr">
        <is>
          <t>Hub C</t>
        </is>
      </c>
      <c r="E9500" t="n">
        <v>31</v>
      </c>
      <c r="F9500" t="n">
        <v>50</v>
      </c>
    </row>
    <row r="9501">
      <c r="A9501" t="inlineStr">
        <is>
          <t>ORD09500</t>
        </is>
      </c>
      <c r="B9501" t="inlineStr">
        <is>
          <t>C2000</t>
        </is>
      </c>
      <c r="C9501" t="n">
        <v>2</v>
      </c>
      <c r="D9501" t="inlineStr">
        <is>
          <t>Hub C</t>
        </is>
      </c>
      <c r="E9501" t="n">
        <v>38</v>
      </c>
      <c r="F9501" t="n">
        <v>50</v>
      </c>
    </row>
    <row r="9502">
      <c r="A9502" t="inlineStr">
        <is>
          <t>ORD09501</t>
        </is>
      </c>
      <c r="B9502" t="inlineStr">
        <is>
          <t>C2001</t>
        </is>
      </c>
      <c r="C9502" t="n">
        <v>3</v>
      </c>
      <c r="D9502" t="inlineStr">
        <is>
          <t>Hub C</t>
        </is>
      </c>
      <c r="E9502" t="n">
        <v>45</v>
      </c>
      <c r="F9502" t="n">
        <v>50</v>
      </c>
    </row>
    <row r="9503">
      <c r="A9503" t="inlineStr">
        <is>
          <t>ORD09502</t>
        </is>
      </c>
      <c r="B9503" t="inlineStr">
        <is>
          <t>C2002</t>
        </is>
      </c>
      <c r="C9503" t="n">
        <v>1</v>
      </c>
      <c r="D9503" t="inlineStr">
        <is>
          <t>Hub C</t>
        </is>
      </c>
      <c r="E9503" t="n">
        <v>52</v>
      </c>
      <c r="F9503" t="n">
        <v>50</v>
      </c>
    </row>
    <row r="9504">
      <c r="A9504" t="inlineStr">
        <is>
          <t>ORD09503</t>
        </is>
      </c>
      <c r="B9504" t="inlineStr">
        <is>
          <t>C2003</t>
        </is>
      </c>
      <c r="C9504" t="n">
        <v>2</v>
      </c>
      <c r="D9504" t="inlineStr">
        <is>
          <t>Hub C</t>
        </is>
      </c>
      <c r="E9504" t="n">
        <v>59</v>
      </c>
      <c r="F9504" t="n">
        <v>50</v>
      </c>
    </row>
    <row r="9505">
      <c r="A9505" t="inlineStr">
        <is>
          <t>ORD09504</t>
        </is>
      </c>
      <c r="B9505" t="inlineStr">
        <is>
          <t>C2004</t>
        </is>
      </c>
      <c r="C9505" t="n">
        <v>3</v>
      </c>
      <c r="D9505" t="inlineStr">
        <is>
          <t>Hub C</t>
        </is>
      </c>
      <c r="E9505" t="n">
        <v>66</v>
      </c>
      <c r="F9505" t="n">
        <v>50</v>
      </c>
    </row>
    <row r="9506">
      <c r="A9506" t="inlineStr">
        <is>
          <t>ORD09505</t>
        </is>
      </c>
      <c r="B9506" t="inlineStr">
        <is>
          <t>C2005</t>
        </is>
      </c>
      <c r="C9506" t="n">
        <v>1</v>
      </c>
      <c r="D9506" t="inlineStr">
        <is>
          <t>Hub C</t>
        </is>
      </c>
      <c r="E9506" t="n">
        <v>73</v>
      </c>
      <c r="F9506" t="n">
        <v>50</v>
      </c>
    </row>
    <row r="9507">
      <c r="A9507" t="inlineStr">
        <is>
          <t>ORD09506</t>
        </is>
      </c>
      <c r="B9507" t="inlineStr">
        <is>
          <t>C2006</t>
        </is>
      </c>
      <c r="C9507" t="n">
        <v>2</v>
      </c>
      <c r="D9507" t="inlineStr">
        <is>
          <t>Hub C</t>
        </is>
      </c>
      <c r="E9507" t="n">
        <v>20</v>
      </c>
      <c r="F9507" t="n">
        <v>50</v>
      </c>
    </row>
    <row r="9508">
      <c r="A9508" t="inlineStr">
        <is>
          <t>ORD09507</t>
        </is>
      </c>
      <c r="B9508" t="inlineStr">
        <is>
          <t>C2007</t>
        </is>
      </c>
      <c r="C9508" t="n">
        <v>3</v>
      </c>
      <c r="D9508" t="inlineStr">
        <is>
          <t>Hub C</t>
        </is>
      </c>
      <c r="E9508" t="n">
        <v>27</v>
      </c>
      <c r="F9508" t="n">
        <v>50</v>
      </c>
    </row>
    <row r="9509">
      <c r="A9509" t="inlineStr">
        <is>
          <t>ORD09508</t>
        </is>
      </c>
      <c r="B9509" t="inlineStr">
        <is>
          <t>C2008</t>
        </is>
      </c>
      <c r="C9509" t="n">
        <v>1</v>
      </c>
      <c r="D9509" t="inlineStr">
        <is>
          <t>Hub C</t>
        </is>
      </c>
      <c r="E9509" t="n">
        <v>34</v>
      </c>
      <c r="F9509" t="n">
        <v>50</v>
      </c>
    </row>
    <row r="9510">
      <c r="A9510" t="inlineStr">
        <is>
          <t>ORD09509</t>
        </is>
      </c>
      <c r="B9510" t="inlineStr">
        <is>
          <t>C2009</t>
        </is>
      </c>
      <c r="C9510" t="n">
        <v>2</v>
      </c>
      <c r="D9510" t="inlineStr">
        <is>
          <t>Hub C</t>
        </is>
      </c>
      <c r="E9510" t="n">
        <v>41</v>
      </c>
      <c r="F9510" t="n">
        <v>50</v>
      </c>
    </row>
    <row r="9511">
      <c r="A9511" t="inlineStr">
        <is>
          <t>ORD09510</t>
        </is>
      </c>
      <c r="B9511" t="inlineStr">
        <is>
          <t>C2010</t>
        </is>
      </c>
      <c r="C9511" t="n">
        <v>3</v>
      </c>
      <c r="D9511" t="inlineStr">
        <is>
          <t>Hub C</t>
        </is>
      </c>
      <c r="E9511" t="n">
        <v>48</v>
      </c>
      <c r="F9511" t="n">
        <v>50</v>
      </c>
    </row>
    <row r="9512">
      <c r="A9512" t="inlineStr">
        <is>
          <t>ORD09511</t>
        </is>
      </c>
      <c r="B9512" t="inlineStr">
        <is>
          <t>C2011</t>
        </is>
      </c>
      <c r="C9512" t="n">
        <v>1</v>
      </c>
      <c r="D9512" t="inlineStr">
        <is>
          <t>Hub C</t>
        </is>
      </c>
      <c r="E9512" t="n">
        <v>55</v>
      </c>
      <c r="F9512" t="n">
        <v>50</v>
      </c>
    </row>
    <row r="9513">
      <c r="A9513" t="inlineStr">
        <is>
          <t>ORD09512</t>
        </is>
      </c>
      <c r="B9513" t="inlineStr">
        <is>
          <t>C2012</t>
        </is>
      </c>
      <c r="C9513" t="n">
        <v>2</v>
      </c>
      <c r="D9513" t="inlineStr">
        <is>
          <t>Hub C</t>
        </is>
      </c>
      <c r="E9513" t="n">
        <v>62</v>
      </c>
      <c r="F9513" t="n">
        <v>50</v>
      </c>
    </row>
    <row r="9514">
      <c r="A9514" t="inlineStr">
        <is>
          <t>ORD09513</t>
        </is>
      </c>
      <c r="B9514" t="inlineStr">
        <is>
          <t>C2013</t>
        </is>
      </c>
      <c r="C9514" t="n">
        <v>3</v>
      </c>
      <c r="D9514" t="inlineStr">
        <is>
          <t>Hub C</t>
        </is>
      </c>
      <c r="E9514" t="n">
        <v>69</v>
      </c>
      <c r="F9514" t="n">
        <v>50</v>
      </c>
    </row>
    <row r="9515">
      <c r="A9515" t="inlineStr">
        <is>
          <t>ORD09514</t>
        </is>
      </c>
      <c r="B9515" t="inlineStr">
        <is>
          <t>C2014</t>
        </is>
      </c>
      <c r="C9515" t="n">
        <v>1</v>
      </c>
      <c r="D9515" t="inlineStr">
        <is>
          <t>Hub C</t>
        </is>
      </c>
      <c r="E9515" t="n">
        <v>76</v>
      </c>
      <c r="F9515" t="n">
        <v>50</v>
      </c>
    </row>
    <row r="9516">
      <c r="A9516" t="inlineStr">
        <is>
          <t>ORD09515</t>
        </is>
      </c>
      <c r="B9516" t="inlineStr">
        <is>
          <t>C2015</t>
        </is>
      </c>
      <c r="C9516" t="n">
        <v>2</v>
      </c>
      <c r="D9516" t="inlineStr">
        <is>
          <t>Hub C</t>
        </is>
      </c>
      <c r="E9516" t="n">
        <v>23</v>
      </c>
      <c r="F9516" t="n">
        <v>50</v>
      </c>
    </row>
    <row r="9517">
      <c r="A9517" t="inlineStr">
        <is>
          <t>ORD09516</t>
        </is>
      </c>
      <c r="B9517" t="inlineStr">
        <is>
          <t>C2016</t>
        </is>
      </c>
      <c r="C9517" t="n">
        <v>3</v>
      </c>
      <c r="D9517" t="inlineStr">
        <is>
          <t>Hub C</t>
        </is>
      </c>
      <c r="E9517" t="n">
        <v>30</v>
      </c>
      <c r="F9517" t="n">
        <v>50</v>
      </c>
    </row>
    <row r="9518">
      <c r="A9518" t="inlineStr">
        <is>
          <t>ORD09517</t>
        </is>
      </c>
      <c r="B9518" t="inlineStr">
        <is>
          <t>C2017</t>
        </is>
      </c>
      <c r="C9518" t="n">
        <v>1</v>
      </c>
      <c r="D9518" t="inlineStr">
        <is>
          <t>Hub C</t>
        </is>
      </c>
      <c r="E9518" t="n">
        <v>37</v>
      </c>
      <c r="F9518" t="n">
        <v>50</v>
      </c>
    </row>
    <row r="9519">
      <c r="A9519" t="inlineStr">
        <is>
          <t>ORD09518</t>
        </is>
      </c>
      <c r="B9519" t="inlineStr">
        <is>
          <t>C2018</t>
        </is>
      </c>
      <c r="C9519" t="n">
        <v>2</v>
      </c>
      <c r="D9519" t="inlineStr">
        <is>
          <t>Hub C</t>
        </is>
      </c>
      <c r="E9519" t="n">
        <v>44</v>
      </c>
      <c r="F9519" t="n">
        <v>50</v>
      </c>
    </row>
    <row r="9520">
      <c r="A9520" t="inlineStr">
        <is>
          <t>ORD09519</t>
        </is>
      </c>
      <c r="B9520" t="inlineStr">
        <is>
          <t>C2019</t>
        </is>
      </c>
      <c r="C9520" t="n">
        <v>3</v>
      </c>
      <c r="D9520" t="inlineStr">
        <is>
          <t>Hub C</t>
        </is>
      </c>
      <c r="E9520" t="n">
        <v>51</v>
      </c>
      <c r="F9520" t="n">
        <v>50</v>
      </c>
    </row>
    <row r="9521">
      <c r="A9521" t="inlineStr">
        <is>
          <t>ORD09520</t>
        </is>
      </c>
      <c r="B9521" t="inlineStr">
        <is>
          <t>C2020</t>
        </is>
      </c>
      <c r="C9521" t="n">
        <v>1</v>
      </c>
      <c r="D9521" t="inlineStr">
        <is>
          <t>Hub C</t>
        </is>
      </c>
      <c r="E9521" t="n">
        <v>58</v>
      </c>
      <c r="F9521" t="n">
        <v>50</v>
      </c>
    </row>
    <row r="9522">
      <c r="A9522" t="inlineStr">
        <is>
          <t>ORD09521</t>
        </is>
      </c>
      <c r="B9522" t="inlineStr">
        <is>
          <t>C2021</t>
        </is>
      </c>
      <c r="C9522" t="n">
        <v>2</v>
      </c>
      <c r="D9522" t="inlineStr">
        <is>
          <t>Hub C</t>
        </is>
      </c>
      <c r="E9522" t="n">
        <v>65</v>
      </c>
      <c r="F9522" t="n">
        <v>50</v>
      </c>
    </row>
    <row r="9523">
      <c r="A9523" t="inlineStr">
        <is>
          <t>ORD09522</t>
        </is>
      </c>
      <c r="B9523" t="inlineStr">
        <is>
          <t>C2022</t>
        </is>
      </c>
      <c r="C9523" t="n">
        <v>3</v>
      </c>
      <c r="D9523" t="inlineStr">
        <is>
          <t>Hub C</t>
        </is>
      </c>
      <c r="E9523" t="n">
        <v>72</v>
      </c>
      <c r="F9523" t="n">
        <v>50</v>
      </c>
    </row>
    <row r="9524">
      <c r="A9524" t="inlineStr">
        <is>
          <t>ORD09523</t>
        </is>
      </c>
      <c r="B9524" t="inlineStr">
        <is>
          <t>C2023</t>
        </is>
      </c>
      <c r="C9524" t="n">
        <v>1</v>
      </c>
      <c r="D9524" t="inlineStr">
        <is>
          <t>Hub C</t>
        </is>
      </c>
      <c r="E9524" t="n">
        <v>19</v>
      </c>
      <c r="F9524" t="n">
        <v>50</v>
      </c>
    </row>
    <row r="9525">
      <c r="A9525" t="inlineStr">
        <is>
          <t>ORD09524</t>
        </is>
      </c>
      <c r="B9525" t="inlineStr">
        <is>
          <t>C2024</t>
        </is>
      </c>
      <c r="C9525" t="n">
        <v>2</v>
      </c>
      <c r="D9525" t="inlineStr">
        <is>
          <t>Hub C</t>
        </is>
      </c>
      <c r="E9525" t="n">
        <v>26</v>
      </c>
      <c r="F9525" t="n">
        <v>50</v>
      </c>
    </row>
    <row r="9526">
      <c r="A9526" t="inlineStr">
        <is>
          <t>ORD09525</t>
        </is>
      </c>
      <c r="B9526" t="inlineStr">
        <is>
          <t>C2025</t>
        </is>
      </c>
      <c r="C9526" t="n">
        <v>3</v>
      </c>
      <c r="D9526" t="inlineStr">
        <is>
          <t>Hub C</t>
        </is>
      </c>
      <c r="E9526" t="n">
        <v>33</v>
      </c>
      <c r="F9526" t="n">
        <v>50</v>
      </c>
    </row>
    <row r="9527">
      <c r="A9527" t="inlineStr">
        <is>
          <t>ORD09526</t>
        </is>
      </c>
      <c r="B9527" t="inlineStr">
        <is>
          <t>C2026</t>
        </is>
      </c>
      <c r="C9527" t="n">
        <v>1</v>
      </c>
      <c r="D9527" t="inlineStr">
        <is>
          <t>Hub C</t>
        </is>
      </c>
      <c r="E9527" t="n">
        <v>40</v>
      </c>
      <c r="F9527" t="n">
        <v>50</v>
      </c>
    </row>
    <row r="9528">
      <c r="A9528" t="inlineStr">
        <is>
          <t>ORD09527</t>
        </is>
      </c>
      <c r="B9528" t="inlineStr">
        <is>
          <t>C2027</t>
        </is>
      </c>
      <c r="C9528" t="n">
        <v>2</v>
      </c>
      <c r="D9528" t="inlineStr">
        <is>
          <t>Hub C</t>
        </is>
      </c>
      <c r="E9528" t="n">
        <v>47</v>
      </c>
      <c r="F9528" t="n">
        <v>50</v>
      </c>
    </row>
    <row r="9529">
      <c r="A9529" t="inlineStr">
        <is>
          <t>ORD09528</t>
        </is>
      </c>
      <c r="B9529" t="inlineStr">
        <is>
          <t>C2028</t>
        </is>
      </c>
      <c r="C9529" t="n">
        <v>3</v>
      </c>
      <c r="D9529" t="inlineStr">
        <is>
          <t>Hub C</t>
        </is>
      </c>
      <c r="E9529" t="n">
        <v>54</v>
      </c>
      <c r="F9529" t="n">
        <v>50</v>
      </c>
    </row>
    <row r="9530">
      <c r="A9530" t="inlineStr">
        <is>
          <t>ORD09529</t>
        </is>
      </c>
      <c r="B9530" t="inlineStr">
        <is>
          <t>C2029</t>
        </is>
      </c>
      <c r="C9530" t="n">
        <v>1</v>
      </c>
      <c r="D9530" t="inlineStr">
        <is>
          <t>Hub C</t>
        </is>
      </c>
      <c r="E9530" t="n">
        <v>61</v>
      </c>
      <c r="F9530" t="n">
        <v>50</v>
      </c>
    </row>
    <row r="9531">
      <c r="A9531" t="inlineStr">
        <is>
          <t>ORD09530</t>
        </is>
      </c>
      <c r="B9531" t="inlineStr">
        <is>
          <t>C2030</t>
        </is>
      </c>
      <c r="C9531" t="n">
        <v>2</v>
      </c>
      <c r="D9531" t="inlineStr">
        <is>
          <t>Hub C</t>
        </is>
      </c>
      <c r="E9531" t="n">
        <v>68</v>
      </c>
      <c r="F9531" t="n">
        <v>50</v>
      </c>
    </row>
    <row r="9532">
      <c r="A9532" t="inlineStr">
        <is>
          <t>ORD09531</t>
        </is>
      </c>
      <c r="B9532" t="inlineStr">
        <is>
          <t>C2031</t>
        </is>
      </c>
      <c r="C9532" t="n">
        <v>3</v>
      </c>
      <c r="D9532" t="inlineStr">
        <is>
          <t>Hub C</t>
        </is>
      </c>
      <c r="E9532" t="n">
        <v>75</v>
      </c>
      <c r="F9532" t="n">
        <v>50</v>
      </c>
    </row>
    <row r="9533">
      <c r="A9533" t="inlineStr">
        <is>
          <t>ORD09532</t>
        </is>
      </c>
      <c r="B9533" t="inlineStr">
        <is>
          <t>C2032</t>
        </is>
      </c>
      <c r="C9533" t="n">
        <v>1</v>
      </c>
      <c r="D9533" t="inlineStr">
        <is>
          <t>Hub C</t>
        </is>
      </c>
      <c r="E9533" t="n">
        <v>22</v>
      </c>
      <c r="F9533" t="n">
        <v>50</v>
      </c>
    </row>
    <row r="9534">
      <c r="A9534" t="inlineStr">
        <is>
          <t>ORD09533</t>
        </is>
      </c>
      <c r="B9534" t="inlineStr">
        <is>
          <t>C2033</t>
        </is>
      </c>
      <c r="C9534" t="n">
        <v>2</v>
      </c>
      <c r="D9534" t="inlineStr">
        <is>
          <t>Hub C</t>
        </is>
      </c>
      <c r="E9534" t="n">
        <v>29</v>
      </c>
      <c r="F9534" t="n">
        <v>50</v>
      </c>
    </row>
    <row r="9535">
      <c r="A9535" t="inlineStr">
        <is>
          <t>ORD09534</t>
        </is>
      </c>
      <c r="B9535" t="inlineStr">
        <is>
          <t>C2034</t>
        </is>
      </c>
      <c r="C9535" t="n">
        <v>3</v>
      </c>
      <c r="D9535" t="inlineStr">
        <is>
          <t>Hub C</t>
        </is>
      </c>
      <c r="E9535" t="n">
        <v>36</v>
      </c>
      <c r="F9535" t="n">
        <v>50</v>
      </c>
    </row>
    <row r="9536">
      <c r="A9536" t="inlineStr">
        <is>
          <t>ORD09535</t>
        </is>
      </c>
      <c r="B9536" t="inlineStr">
        <is>
          <t>C2035</t>
        </is>
      </c>
      <c r="C9536" t="n">
        <v>1</v>
      </c>
      <c r="D9536" t="inlineStr">
        <is>
          <t>Hub C</t>
        </is>
      </c>
      <c r="E9536" t="n">
        <v>43</v>
      </c>
      <c r="F9536" t="n">
        <v>50</v>
      </c>
    </row>
    <row r="9537">
      <c r="A9537" t="inlineStr">
        <is>
          <t>ORD09536</t>
        </is>
      </c>
      <c r="B9537" t="inlineStr">
        <is>
          <t>C2036</t>
        </is>
      </c>
      <c r="C9537" t="n">
        <v>2</v>
      </c>
      <c r="D9537" t="inlineStr">
        <is>
          <t>Hub C</t>
        </is>
      </c>
      <c r="E9537" t="n">
        <v>50</v>
      </c>
      <c r="F9537" t="n">
        <v>50</v>
      </c>
    </row>
    <row r="9538">
      <c r="A9538" t="inlineStr">
        <is>
          <t>ORD09537</t>
        </is>
      </c>
      <c r="B9538" t="inlineStr">
        <is>
          <t>C2037</t>
        </is>
      </c>
      <c r="C9538" t="n">
        <v>3</v>
      </c>
      <c r="D9538" t="inlineStr">
        <is>
          <t>Hub C</t>
        </is>
      </c>
      <c r="E9538" t="n">
        <v>57</v>
      </c>
      <c r="F9538" t="n">
        <v>50</v>
      </c>
    </row>
    <row r="9539">
      <c r="A9539" t="inlineStr">
        <is>
          <t>ORD09538</t>
        </is>
      </c>
      <c r="B9539" t="inlineStr">
        <is>
          <t>C2038</t>
        </is>
      </c>
      <c r="C9539" t="n">
        <v>1</v>
      </c>
      <c r="D9539" t="inlineStr">
        <is>
          <t>Hub C</t>
        </is>
      </c>
      <c r="E9539" t="n">
        <v>64</v>
      </c>
      <c r="F9539" t="n">
        <v>50</v>
      </c>
    </row>
    <row r="9540">
      <c r="A9540" t="inlineStr">
        <is>
          <t>ORD09539</t>
        </is>
      </c>
      <c r="B9540" t="inlineStr">
        <is>
          <t>C2039</t>
        </is>
      </c>
      <c r="C9540" t="n">
        <v>2</v>
      </c>
      <c r="D9540" t="inlineStr">
        <is>
          <t>Hub C</t>
        </is>
      </c>
      <c r="E9540" t="n">
        <v>71</v>
      </c>
      <c r="F9540" t="n">
        <v>50</v>
      </c>
    </row>
    <row r="9541">
      <c r="A9541" t="inlineStr">
        <is>
          <t>ORD09540</t>
        </is>
      </c>
      <c r="B9541" t="inlineStr">
        <is>
          <t>C2040</t>
        </is>
      </c>
      <c r="C9541" t="n">
        <v>3</v>
      </c>
      <c r="D9541" t="inlineStr">
        <is>
          <t>Hub C</t>
        </is>
      </c>
      <c r="E9541" t="n">
        <v>18</v>
      </c>
      <c r="F9541" t="n">
        <v>50</v>
      </c>
    </row>
    <row r="9542">
      <c r="A9542" t="inlineStr">
        <is>
          <t>ORD09541</t>
        </is>
      </c>
      <c r="B9542" t="inlineStr">
        <is>
          <t>C2041</t>
        </is>
      </c>
      <c r="C9542" t="n">
        <v>1</v>
      </c>
      <c r="D9542" t="inlineStr">
        <is>
          <t>Hub C</t>
        </is>
      </c>
      <c r="E9542" t="n">
        <v>25</v>
      </c>
      <c r="F9542" t="n">
        <v>50</v>
      </c>
    </row>
    <row r="9543">
      <c r="A9543" t="inlineStr">
        <is>
          <t>ORD09542</t>
        </is>
      </c>
      <c r="B9543" t="inlineStr">
        <is>
          <t>C2042</t>
        </is>
      </c>
      <c r="C9543" t="n">
        <v>2</v>
      </c>
      <c r="D9543" t="inlineStr">
        <is>
          <t>Hub C</t>
        </is>
      </c>
      <c r="E9543" t="n">
        <v>32</v>
      </c>
      <c r="F9543" t="n">
        <v>50</v>
      </c>
    </row>
    <row r="9544">
      <c r="A9544" t="inlineStr">
        <is>
          <t>ORD09543</t>
        </is>
      </c>
      <c r="B9544" t="inlineStr">
        <is>
          <t>C2043</t>
        </is>
      </c>
      <c r="C9544" t="n">
        <v>3</v>
      </c>
      <c r="D9544" t="inlineStr">
        <is>
          <t>Hub C</t>
        </is>
      </c>
      <c r="E9544" t="n">
        <v>39</v>
      </c>
      <c r="F9544" t="n">
        <v>50</v>
      </c>
    </row>
    <row r="9545">
      <c r="A9545" t="inlineStr">
        <is>
          <t>ORD09544</t>
        </is>
      </c>
      <c r="B9545" t="inlineStr">
        <is>
          <t>C2044</t>
        </is>
      </c>
      <c r="C9545" t="n">
        <v>1</v>
      </c>
      <c r="D9545" t="inlineStr">
        <is>
          <t>Hub C</t>
        </is>
      </c>
      <c r="E9545" t="n">
        <v>46</v>
      </c>
      <c r="F9545" t="n">
        <v>50</v>
      </c>
    </row>
    <row r="9546">
      <c r="A9546" t="inlineStr">
        <is>
          <t>ORD09545</t>
        </is>
      </c>
      <c r="B9546" t="inlineStr">
        <is>
          <t>C2045</t>
        </is>
      </c>
      <c r="C9546" t="n">
        <v>2</v>
      </c>
      <c r="D9546" t="inlineStr">
        <is>
          <t>Hub C</t>
        </is>
      </c>
      <c r="E9546" t="n">
        <v>53</v>
      </c>
      <c r="F9546" t="n">
        <v>50</v>
      </c>
    </row>
    <row r="9547">
      <c r="A9547" t="inlineStr">
        <is>
          <t>ORD09546</t>
        </is>
      </c>
      <c r="B9547" t="inlineStr">
        <is>
          <t>C2046</t>
        </is>
      </c>
      <c r="C9547" t="n">
        <v>3</v>
      </c>
      <c r="D9547" t="inlineStr">
        <is>
          <t>Hub C</t>
        </is>
      </c>
      <c r="E9547" t="n">
        <v>60</v>
      </c>
      <c r="F9547" t="n">
        <v>50</v>
      </c>
    </row>
    <row r="9548">
      <c r="A9548" t="inlineStr">
        <is>
          <t>ORD09547</t>
        </is>
      </c>
      <c r="B9548" t="inlineStr">
        <is>
          <t>C2047</t>
        </is>
      </c>
      <c r="C9548" t="n">
        <v>1</v>
      </c>
      <c r="D9548" t="inlineStr">
        <is>
          <t>Hub C</t>
        </is>
      </c>
      <c r="E9548" t="n">
        <v>67</v>
      </c>
      <c r="F9548" t="n">
        <v>50</v>
      </c>
    </row>
    <row r="9549">
      <c r="A9549" t="inlineStr">
        <is>
          <t>ORD09548</t>
        </is>
      </c>
      <c r="B9549" t="inlineStr">
        <is>
          <t>C2048</t>
        </is>
      </c>
      <c r="C9549" t="n">
        <v>2</v>
      </c>
      <c r="D9549" t="inlineStr">
        <is>
          <t>Hub C</t>
        </is>
      </c>
      <c r="E9549" t="n">
        <v>74</v>
      </c>
      <c r="F9549" t="n">
        <v>50</v>
      </c>
    </row>
    <row r="9550">
      <c r="A9550" t="inlineStr">
        <is>
          <t>ORD09549</t>
        </is>
      </c>
      <c r="B9550" t="inlineStr">
        <is>
          <t>C2049</t>
        </is>
      </c>
      <c r="C9550" t="n">
        <v>3</v>
      </c>
      <c r="D9550" t="inlineStr">
        <is>
          <t>Hub C</t>
        </is>
      </c>
      <c r="E9550" t="n">
        <v>21</v>
      </c>
      <c r="F9550" t="n">
        <v>50</v>
      </c>
    </row>
    <row r="9551">
      <c r="A9551" t="inlineStr">
        <is>
          <t>ORD09550</t>
        </is>
      </c>
      <c r="B9551" t="inlineStr">
        <is>
          <t>C2050</t>
        </is>
      </c>
      <c r="C9551" t="n">
        <v>1</v>
      </c>
      <c r="D9551" t="inlineStr">
        <is>
          <t>Hub C</t>
        </is>
      </c>
      <c r="E9551" t="n">
        <v>28</v>
      </c>
      <c r="F9551" t="n">
        <v>50</v>
      </c>
    </row>
    <row r="9552">
      <c r="A9552" t="inlineStr">
        <is>
          <t>ORD09551</t>
        </is>
      </c>
      <c r="B9552" t="inlineStr">
        <is>
          <t>C2051</t>
        </is>
      </c>
      <c r="C9552" t="n">
        <v>2</v>
      </c>
      <c r="D9552" t="inlineStr">
        <is>
          <t>Hub C</t>
        </is>
      </c>
      <c r="E9552" t="n">
        <v>35</v>
      </c>
      <c r="F9552" t="n">
        <v>50</v>
      </c>
    </row>
    <row r="9553">
      <c r="A9553" t="inlineStr">
        <is>
          <t>ORD09552</t>
        </is>
      </c>
      <c r="B9553" t="inlineStr">
        <is>
          <t>C2052</t>
        </is>
      </c>
      <c r="C9553" t="n">
        <v>3</v>
      </c>
      <c r="D9553" t="inlineStr">
        <is>
          <t>Hub C</t>
        </is>
      </c>
      <c r="E9553" t="n">
        <v>42</v>
      </c>
      <c r="F9553" t="n">
        <v>50</v>
      </c>
    </row>
    <row r="9554">
      <c r="A9554" t="inlineStr">
        <is>
          <t>ORD09553</t>
        </is>
      </c>
      <c r="B9554" t="inlineStr">
        <is>
          <t>C2053</t>
        </is>
      </c>
      <c r="C9554" t="n">
        <v>1</v>
      </c>
      <c r="D9554" t="inlineStr">
        <is>
          <t>Hub C</t>
        </is>
      </c>
      <c r="E9554" t="n">
        <v>49</v>
      </c>
      <c r="F9554" t="n">
        <v>50</v>
      </c>
    </row>
    <row r="9555">
      <c r="A9555" t="inlineStr">
        <is>
          <t>ORD09554</t>
        </is>
      </c>
      <c r="B9555" t="inlineStr">
        <is>
          <t>C2054</t>
        </is>
      </c>
      <c r="C9555" t="n">
        <v>2</v>
      </c>
      <c r="D9555" t="inlineStr">
        <is>
          <t>Hub C</t>
        </is>
      </c>
      <c r="E9555" t="n">
        <v>56</v>
      </c>
      <c r="F9555" t="n">
        <v>50</v>
      </c>
    </row>
    <row r="9556">
      <c r="A9556" t="inlineStr">
        <is>
          <t>ORD09555</t>
        </is>
      </c>
      <c r="B9556" t="inlineStr">
        <is>
          <t>C2055</t>
        </is>
      </c>
      <c r="C9556" t="n">
        <v>3</v>
      </c>
      <c r="D9556" t="inlineStr">
        <is>
          <t>Hub C</t>
        </is>
      </c>
      <c r="E9556" t="n">
        <v>63</v>
      </c>
      <c r="F9556" t="n">
        <v>50</v>
      </c>
    </row>
    <row r="9557">
      <c r="A9557" t="inlineStr">
        <is>
          <t>ORD09556</t>
        </is>
      </c>
      <c r="B9557" t="inlineStr">
        <is>
          <t>C2056</t>
        </is>
      </c>
      <c r="C9557" t="n">
        <v>1</v>
      </c>
      <c r="D9557" t="inlineStr">
        <is>
          <t>Hub C</t>
        </is>
      </c>
      <c r="E9557" t="n">
        <v>70</v>
      </c>
      <c r="F9557" t="n">
        <v>50</v>
      </c>
    </row>
    <row r="9558">
      <c r="A9558" t="inlineStr">
        <is>
          <t>ORD09557</t>
        </is>
      </c>
      <c r="B9558" t="inlineStr">
        <is>
          <t>C2057</t>
        </is>
      </c>
      <c r="C9558" t="n">
        <v>2</v>
      </c>
      <c r="D9558" t="inlineStr">
        <is>
          <t>Hub C</t>
        </is>
      </c>
      <c r="E9558" t="n">
        <v>77</v>
      </c>
      <c r="F9558" t="n">
        <v>50</v>
      </c>
    </row>
    <row r="9559">
      <c r="A9559" t="inlineStr">
        <is>
          <t>ORD09558</t>
        </is>
      </c>
      <c r="B9559" t="inlineStr">
        <is>
          <t>C2058</t>
        </is>
      </c>
      <c r="C9559" t="n">
        <v>3</v>
      </c>
      <c r="D9559" t="inlineStr">
        <is>
          <t>Hub C</t>
        </is>
      </c>
      <c r="E9559" t="n">
        <v>24</v>
      </c>
      <c r="F9559" t="n">
        <v>50</v>
      </c>
    </row>
    <row r="9560">
      <c r="A9560" t="inlineStr">
        <is>
          <t>ORD09559</t>
        </is>
      </c>
      <c r="B9560" t="inlineStr">
        <is>
          <t>C2059</t>
        </is>
      </c>
      <c r="C9560" t="n">
        <v>1</v>
      </c>
      <c r="D9560" t="inlineStr">
        <is>
          <t>Hub C</t>
        </is>
      </c>
      <c r="E9560" t="n">
        <v>31</v>
      </c>
      <c r="F9560" t="n">
        <v>50</v>
      </c>
    </row>
    <row r="9561">
      <c r="A9561" t="inlineStr">
        <is>
          <t>ORD09560</t>
        </is>
      </c>
      <c r="B9561" t="inlineStr">
        <is>
          <t>C2060</t>
        </is>
      </c>
      <c r="C9561" t="n">
        <v>2</v>
      </c>
      <c r="D9561" t="inlineStr">
        <is>
          <t>Hub C</t>
        </is>
      </c>
      <c r="E9561" t="n">
        <v>38</v>
      </c>
      <c r="F9561" t="n">
        <v>50</v>
      </c>
    </row>
    <row r="9562">
      <c r="A9562" t="inlineStr">
        <is>
          <t>ORD09561</t>
        </is>
      </c>
      <c r="B9562" t="inlineStr">
        <is>
          <t>C2061</t>
        </is>
      </c>
      <c r="C9562" t="n">
        <v>3</v>
      </c>
      <c r="D9562" t="inlineStr">
        <is>
          <t>Hub C</t>
        </is>
      </c>
      <c r="E9562" t="n">
        <v>45</v>
      </c>
      <c r="F9562" t="n">
        <v>50</v>
      </c>
    </row>
    <row r="9563">
      <c r="A9563" t="inlineStr">
        <is>
          <t>ORD09562</t>
        </is>
      </c>
      <c r="B9563" t="inlineStr">
        <is>
          <t>C2062</t>
        </is>
      </c>
      <c r="C9563" t="n">
        <v>1</v>
      </c>
      <c r="D9563" t="inlineStr">
        <is>
          <t>Hub C</t>
        </is>
      </c>
      <c r="E9563" t="n">
        <v>52</v>
      </c>
      <c r="F9563" t="n">
        <v>50</v>
      </c>
    </row>
    <row r="9564">
      <c r="A9564" t="inlineStr">
        <is>
          <t>ORD09563</t>
        </is>
      </c>
      <c r="B9564" t="inlineStr">
        <is>
          <t>C2063</t>
        </is>
      </c>
      <c r="C9564" t="n">
        <v>2</v>
      </c>
      <c r="D9564" t="inlineStr">
        <is>
          <t>Hub C</t>
        </is>
      </c>
      <c r="E9564" t="n">
        <v>59</v>
      </c>
      <c r="F9564" t="n">
        <v>50</v>
      </c>
    </row>
    <row r="9565">
      <c r="A9565" t="inlineStr">
        <is>
          <t>ORD09564</t>
        </is>
      </c>
      <c r="B9565" t="inlineStr">
        <is>
          <t>C2064</t>
        </is>
      </c>
      <c r="C9565" t="n">
        <v>3</v>
      </c>
      <c r="D9565" t="inlineStr">
        <is>
          <t>Hub C</t>
        </is>
      </c>
      <c r="E9565" t="n">
        <v>66</v>
      </c>
      <c r="F9565" t="n">
        <v>50</v>
      </c>
    </row>
    <row r="9566">
      <c r="A9566" t="inlineStr">
        <is>
          <t>ORD09565</t>
        </is>
      </c>
      <c r="B9566" t="inlineStr">
        <is>
          <t>C2065</t>
        </is>
      </c>
      <c r="C9566" t="n">
        <v>1</v>
      </c>
      <c r="D9566" t="inlineStr">
        <is>
          <t>Hub C</t>
        </is>
      </c>
      <c r="E9566" t="n">
        <v>73</v>
      </c>
      <c r="F9566" t="n">
        <v>50</v>
      </c>
    </row>
    <row r="9567">
      <c r="A9567" t="inlineStr">
        <is>
          <t>ORD09566</t>
        </is>
      </c>
      <c r="B9567" t="inlineStr">
        <is>
          <t>C2066</t>
        </is>
      </c>
      <c r="C9567" t="n">
        <v>2</v>
      </c>
      <c r="D9567" t="inlineStr">
        <is>
          <t>Hub C</t>
        </is>
      </c>
      <c r="E9567" t="n">
        <v>20</v>
      </c>
      <c r="F9567" t="n">
        <v>50</v>
      </c>
    </row>
    <row r="9568">
      <c r="A9568" t="inlineStr">
        <is>
          <t>ORD09567</t>
        </is>
      </c>
      <c r="B9568" t="inlineStr">
        <is>
          <t>C2067</t>
        </is>
      </c>
      <c r="C9568" t="n">
        <v>3</v>
      </c>
      <c r="D9568" t="inlineStr">
        <is>
          <t>Hub C</t>
        </is>
      </c>
      <c r="E9568" t="n">
        <v>27</v>
      </c>
      <c r="F9568" t="n">
        <v>50</v>
      </c>
    </row>
    <row r="9569">
      <c r="A9569" t="inlineStr">
        <is>
          <t>ORD09568</t>
        </is>
      </c>
      <c r="B9569" t="inlineStr">
        <is>
          <t>C2068</t>
        </is>
      </c>
      <c r="C9569" t="n">
        <v>1</v>
      </c>
      <c r="D9569" t="inlineStr">
        <is>
          <t>Hub C</t>
        </is>
      </c>
      <c r="E9569" t="n">
        <v>34</v>
      </c>
      <c r="F9569" t="n">
        <v>50</v>
      </c>
    </row>
    <row r="9570">
      <c r="A9570" t="inlineStr">
        <is>
          <t>ORD09569</t>
        </is>
      </c>
      <c r="B9570" t="inlineStr">
        <is>
          <t>C2069</t>
        </is>
      </c>
      <c r="C9570" t="n">
        <v>2</v>
      </c>
      <c r="D9570" t="inlineStr">
        <is>
          <t>Hub C</t>
        </is>
      </c>
      <c r="E9570" t="n">
        <v>41</v>
      </c>
      <c r="F9570" t="n">
        <v>50</v>
      </c>
    </row>
    <row r="9571">
      <c r="A9571" t="inlineStr">
        <is>
          <t>ORD09570</t>
        </is>
      </c>
      <c r="B9571" t="inlineStr">
        <is>
          <t>C2070</t>
        </is>
      </c>
      <c r="C9571" t="n">
        <v>3</v>
      </c>
      <c r="D9571" t="inlineStr">
        <is>
          <t>Hub C</t>
        </is>
      </c>
      <c r="E9571" t="n">
        <v>48</v>
      </c>
      <c r="F9571" t="n">
        <v>50</v>
      </c>
    </row>
    <row r="9572">
      <c r="A9572" t="inlineStr">
        <is>
          <t>ORD09571</t>
        </is>
      </c>
      <c r="B9572" t="inlineStr">
        <is>
          <t>C2071</t>
        </is>
      </c>
      <c r="C9572" t="n">
        <v>1</v>
      </c>
      <c r="D9572" t="inlineStr">
        <is>
          <t>Hub C</t>
        </is>
      </c>
      <c r="E9572" t="n">
        <v>55</v>
      </c>
      <c r="F9572" t="n">
        <v>50</v>
      </c>
    </row>
    <row r="9573">
      <c r="A9573" t="inlineStr">
        <is>
          <t>ORD09572</t>
        </is>
      </c>
      <c r="B9573" t="inlineStr">
        <is>
          <t>C2072</t>
        </is>
      </c>
      <c r="C9573" t="n">
        <v>2</v>
      </c>
      <c r="D9573" t="inlineStr">
        <is>
          <t>Hub C</t>
        </is>
      </c>
      <c r="E9573" t="n">
        <v>62</v>
      </c>
      <c r="F9573" t="n">
        <v>50</v>
      </c>
    </row>
    <row r="9574">
      <c r="A9574" t="inlineStr">
        <is>
          <t>ORD09573</t>
        </is>
      </c>
      <c r="B9574" t="inlineStr">
        <is>
          <t>C2073</t>
        </is>
      </c>
      <c r="C9574" t="n">
        <v>3</v>
      </c>
      <c r="D9574" t="inlineStr">
        <is>
          <t>Hub C</t>
        </is>
      </c>
      <c r="E9574" t="n">
        <v>69</v>
      </c>
      <c r="F9574" t="n">
        <v>50</v>
      </c>
    </row>
    <row r="9575">
      <c r="A9575" t="inlineStr">
        <is>
          <t>ORD09574</t>
        </is>
      </c>
      <c r="B9575" t="inlineStr">
        <is>
          <t>C2074</t>
        </is>
      </c>
      <c r="C9575" t="n">
        <v>1</v>
      </c>
      <c r="D9575" t="inlineStr">
        <is>
          <t>Hub C</t>
        </is>
      </c>
      <c r="E9575" t="n">
        <v>76</v>
      </c>
      <c r="F9575" t="n">
        <v>50</v>
      </c>
    </row>
    <row r="9576">
      <c r="A9576" t="inlineStr">
        <is>
          <t>ORD09575</t>
        </is>
      </c>
      <c r="B9576" t="inlineStr">
        <is>
          <t>C2075</t>
        </is>
      </c>
      <c r="C9576" t="n">
        <v>2</v>
      </c>
      <c r="D9576" t="inlineStr">
        <is>
          <t>Hub C</t>
        </is>
      </c>
      <c r="E9576" t="n">
        <v>23</v>
      </c>
      <c r="F9576" t="n">
        <v>50</v>
      </c>
    </row>
    <row r="9577">
      <c r="A9577" t="inlineStr">
        <is>
          <t>ORD09576</t>
        </is>
      </c>
      <c r="B9577" t="inlineStr">
        <is>
          <t>C2076</t>
        </is>
      </c>
      <c r="C9577" t="n">
        <v>3</v>
      </c>
      <c r="D9577" t="inlineStr">
        <is>
          <t>Hub C</t>
        </is>
      </c>
      <c r="E9577" t="n">
        <v>30</v>
      </c>
      <c r="F9577" t="n">
        <v>50</v>
      </c>
    </row>
    <row r="9578">
      <c r="A9578" t="inlineStr">
        <is>
          <t>ORD09577</t>
        </is>
      </c>
      <c r="B9578" t="inlineStr">
        <is>
          <t>C2077</t>
        </is>
      </c>
      <c r="C9578" t="n">
        <v>1</v>
      </c>
      <c r="D9578" t="inlineStr">
        <is>
          <t>Hub C</t>
        </is>
      </c>
      <c r="E9578" t="n">
        <v>37</v>
      </c>
      <c r="F9578" t="n">
        <v>50</v>
      </c>
    </row>
    <row r="9579">
      <c r="A9579" t="inlineStr">
        <is>
          <t>ORD09578</t>
        </is>
      </c>
      <c r="B9579" t="inlineStr">
        <is>
          <t>C2078</t>
        </is>
      </c>
      <c r="C9579" t="n">
        <v>2</v>
      </c>
      <c r="D9579" t="inlineStr">
        <is>
          <t>Hub C</t>
        </is>
      </c>
      <c r="E9579" t="n">
        <v>44</v>
      </c>
      <c r="F9579" t="n">
        <v>50</v>
      </c>
    </row>
    <row r="9580">
      <c r="A9580" t="inlineStr">
        <is>
          <t>ORD09579</t>
        </is>
      </c>
      <c r="B9580" t="inlineStr">
        <is>
          <t>C2079</t>
        </is>
      </c>
      <c r="C9580" t="n">
        <v>3</v>
      </c>
      <c r="D9580" t="inlineStr">
        <is>
          <t>Hub C</t>
        </is>
      </c>
      <c r="E9580" t="n">
        <v>51</v>
      </c>
      <c r="F9580" t="n">
        <v>50</v>
      </c>
    </row>
    <row r="9581">
      <c r="A9581" t="inlineStr">
        <is>
          <t>ORD09580</t>
        </is>
      </c>
      <c r="B9581" t="inlineStr">
        <is>
          <t>C2080</t>
        </is>
      </c>
      <c r="C9581" t="n">
        <v>1</v>
      </c>
      <c r="D9581" t="inlineStr">
        <is>
          <t>Hub C</t>
        </is>
      </c>
      <c r="E9581" t="n">
        <v>58</v>
      </c>
      <c r="F9581" t="n">
        <v>50</v>
      </c>
    </row>
    <row r="9582">
      <c r="A9582" t="inlineStr">
        <is>
          <t>ORD09581</t>
        </is>
      </c>
      <c r="B9582" t="inlineStr">
        <is>
          <t>C2081</t>
        </is>
      </c>
      <c r="C9582" t="n">
        <v>2</v>
      </c>
      <c r="D9582" t="inlineStr">
        <is>
          <t>Hub C</t>
        </is>
      </c>
      <c r="E9582" t="n">
        <v>65</v>
      </c>
      <c r="F9582" t="n">
        <v>50</v>
      </c>
    </row>
    <row r="9583">
      <c r="A9583" t="inlineStr">
        <is>
          <t>ORD09582</t>
        </is>
      </c>
      <c r="B9583" t="inlineStr">
        <is>
          <t>C2082</t>
        </is>
      </c>
      <c r="C9583" t="n">
        <v>3</v>
      </c>
      <c r="D9583" t="inlineStr">
        <is>
          <t>Hub C</t>
        </is>
      </c>
      <c r="E9583" t="n">
        <v>72</v>
      </c>
      <c r="F9583" t="n">
        <v>50</v>
      </c>
    </row>
    <row r="9584">
      <c r="A9584" t="inlineStr">
        <is>
          <t>ORD09583</t>
        </is>
      </c>
      <c r="B9584" t="inlineStr">
        <is>
          <t>C2083</t>
        </is>
      </c>
      <c r="C9584" t="n">
        <v>1</v>
      </c>
      <c r="D9584" t="inlineStr">
        <is>
          <t>Hub C</t>
        </is>
      </c>
      <c r="E9584" t="n">
        <v>19</v>
      </c>
      <c r="F9584" t="n">
        <v>50</v>
      </c>
    </row>
    <row r="9585">
      <c r="A9585" t="inlineStr">
        <is>
          <t>ORD09584</t>
        </is>
      </c>
      <c r="B9585" t="inlineStr">
        <is>
          <t>C2084</t>
        </is>
      </c>
      <c r="C9585" t="n">
        <v>2</v>
      </c>
      <c r="D9585" t="inlineStr">
        <is>
          <t>Hub C</t>
        </is>
      </c>
      <c r="E9585" t="n">
        <v>26</v>
      </c>
      <c r="F9585" t="n">
        <v>50</v>
      </c>
    </row>
    <row r="9586">
      <c r="A9586" t="inlineStr">
        <is>
          <t>ORD09585</t>
        </is>
      </c>
      <c r="B9586" t="inlineStr">
        <is>
          <t>C2085</t>
        </is>
      </c>
      <c r="C9586" t="n">
        <v>3</v>
      </c>
      <c r="D9586" t="inlineStr">
        <is>
          <t>Hub C</t>
        </is>
      </c>
      <c r="E9586" t="n">
        <v>33</v>
      </c>
      <c r="F9586" t="n">
        <v>50</v>
      </c>
    </row>
    <row r="9587">
      <c r="A9587" t="inlineStr">
        <is>
          <t>ORD09586</t>
        </is>
      </c>
      <c r="B9587" t="inlineStr">
        <is>
          <t>C2086</t>
        </is>
      </c>
      <c r="C9587" t="n">
        <v>1</v>
      </c>
      <c r="D9587" t="inlineStr">
        <is>
          <t>Hub C</t>
        </is>
      </c>
      <c r="E9587" t="n">
        <v>40</v>
      </c>
      <c r="F9587" t="n">
        <v>50</v>
      </c>
    </row>
    <row r="9588">
      <c r="A9588" t="inlineStr">
        <is>
          <t>ORD09587</t>
        </is>
      </c>
      <c r="B9588" t="inlineStr">
        <is>
          <t>C2087</t>
        </is>
      </c>
      <c r="C9588" t="n">
        <v>2</v>
      </c>
      <c r="D9588" t="inlineStr">
        <is>
          <t>Hub C</t>
        </is>
      </c>
      <c r="E9588" t="n">
        <v>47</v>
      </c>
      <c r="F9588" t="n">
        <v>50</v>
      </c>
    </row>
    <row r="9589">
      <c r="A9589" t="inlineStr">
        <is>
          <t>ORD09588</t>
        </is>
      </c>
      <c r="B9589" t="inlineStr">
        <is>
          <t>C2088</t>
        </is>
      </c>
      <c r="C9589" t="n">
        <v>3</v>
      </c>
      <c r="D9589" t="inlineStr">
        <is>
          <t>Hub C</t>
        </is>
      </c>
      <c r="E9589" t="n">
        <v>54</v>
      </c>
      <c r="F9589" t="n">
        <v>50</v>
      </c>
    </row>
    <row r="9590">
      <c r="A9590" t="inlineStr">
        <is>
          <t>ORD09589</t>
        </is>
      </c>
      <c r="B9590" t="inlineStr">
        <is>
          <t>C2089</t>
        </is>
      </c>
      <c r="C9590" t="n">
        <v>1</v>
      </c>
      <c r="D9590" t="inlineStr">
        <is>
          <t>Hub C</t>
        </is>
      </c>
      <c r="E9590" t="n">
        <v>61</v>
      </c>
      <c r="F9590" t="n">
        <v>50</v>
      </c>
    </row>
    <row r="9591">
      <c r="A9591" t="inlineStr">
        <is>
          <t>ORD09590</t>
        </is>
      </c>
      <c r="B9591" t="inlineStr">
        <is>
          <t>C2090</t>
        </is>
      </c>
      <c r="C9591" t="n">
        <v>2</v>
      </c>
      <c r="D9591" t="inlineStr">
        <is>
          <t>Hub C</t>
        </is>
      </c>
      <c r="E9591" t="n">
        <v>68</v>
      </c>
      <c r="F9591" t="n">
        <v>50</v>
      </c>
    </row>
    <row r="9592">
      <c r="A9592" t="inlineStr">
        <is>
          <t>ORD09591</t>
        </is>
      </c>
      <c r="B9592" t="inlineStr">
        <is>
          <t>C2091</t>
        </is>
      </c>
      <c r="C9592" t="n">
        <v>3</v>
      </c>
      <c r="D9592" t="inlineStr">
        <is>
          <t>Hub C</t>
        </is>
      </c>
      <c r="E9592" t="n">
        <v>75</v>
      </c>
      <c r="F9592" t="n">
        <v>50</v>
      </c>
    </row>
    <row r="9593">
      <c r="A9593" t="inlineStr">
        <is>
          <t>ORD09592</t>
        </is>
      </c>
      <c r="B9593" t="inlineStr">
        <is>
          <t>C2092</t>
        </is>
      </c>
      <c r="C9593" t="n">
        <v>1</v>
      </c>
      <c r="D9593" t="inlineStr">
        <is>
          <t>Hub C</t>
        </is>
      </c>
      <c r="E9593" t="n">
        <v>22</v>
      </c>
      <c r="F9593" t="n">
        <v>50</v>
      </c>
    </row>
    <row r="9594">
      <c r="A9594" t="inlineStr">
        <is>
          <t>ORD09593</t>
        </is>
      </c>
      <c r="B9594" t="inlineStr">
        <is>
          <t>C2093</t>
        </is>
      </c>
      <c r="C9594" t="n">
        <v>2</v>
      </c>
      <c r="D9594" t="inlineStr">
        <is>
          <t>Hub C</t>
        </is>
      </c>
      <c r="E9594" t="n">
        <v>29</v>
      </c>
      <c r="F9594" t="n">
        <v>50</v>
      </c>
    </row>
    <row r="9595">
      <c r="A9595" t="inlineStr">
        <is>
          <t>ORD09594</t>
        </is>
      </c>
      <c r="B9595" t="inlineStr">
        <is>
          <t>C2094</t>
        </is>
      </c>
      <c r="C9595" t="n">
        <v>3</v>
      </c>
      <c r="D9595" t="inlineStr">
        <is>
          <t>Hub C</t>
        </is>
      </c>
      <c r="E9595" t="n">
        <v>36</v>
      </c>
      <c r="F9595" t="n">
        <v>50</v>
      </c>
    </row>
    <row r="9596">
      <c r="A9596" t="inlineStr">
        <is>
          <t>ORD09595</t>
        </is>
      </c>
      <c r="B9596" t="inlineStr">
        <is>
          <t>C2095</t>
        </is>
      </c>
      <c r="C9596" t="n">
        <v>1</v>
      </c>
      <c r="D9596" t="inlineStr">
        <is>
          <t>Hub C</t>
        </is>
      </c>
      <c r="E9596" t="n">
        <v>43</v>
      </c>
      <c r="F9596" t="n">
        <v>50</v>
      </c>
    </row>
    <row r="9597">
      <c r="A9597" t="inlineStr">
        <is>
          <t>ORD09596</t>
        </is>
      </c>
      <c r="B9597" t="inlineStr">
        <is>
          <t>C2096</t>
        </is>
      </c>
      <c r="C9597" t="n">
        <v>2</v>
      </c>
      <c r="D9597" t="inlineStr">
        <is>
          <t>Hub C</t>
        </is>
      </c>
      <c r="E9597" t="n">
        <v>50</v>
      </c>
      <c r="F9597" t="n">
        <v>50</v>
      </c>
    </row>
    <row r="9598">
      <c r="A9598" t="inlineStr">
        <is>
          <t>ORD09597</t>
        </is>
      </c>
      <c r="B9598" t="inlineStr">
        <is>
          <t>C2097</t>
        </is>
      </c>
      <c r="C9598" t="n">
        <v>3</v>
      </c>
      <c r="D9598" t="inlineStr">
        <is>
          <t>Hub C</t>
        </is>
      </c>
      <c r="E9598" t="n">
        <v>57</v>
      </c>
      <c r="F9598" t="n">
        <v>50</v>
      </c>
    </row>
    <row r="9599">
      <c r="A9599" t="inlineStr">
        <is>
          <t>ORD09598</t>
        </is>
      </c>
      <c r="B9599" t="inlineStr">
        <is>
          <t>C2098</t>
        </is>
      </c>
      <c r="C9599" t="n">
        <v>1</v>
      </c>
      <c r="D9599" t="inlineStr">
        <is>
          <t>Hub C</t>
        </is>
      </c>
      <c r="E9599" t="n">
        <v>64</v>
      </c>
      <c r="F9599" t="n">
        <v>50</v>
      </c>
    </row>
    <row r="9600">
      <c r="A9600" t="inlineStr">
        <is>
          <t>ORD09599</t>
        </is>
      </c>
      <c r="B9600" t="inlineStr">
        <is>
          <t>C2099</t>
        </is>
      </c>
      <c r="C9600" t="n">
        <v>2</v>
      </c>
      <c r="D9600" t="inlineStr">
        <is>
          <t>Hub C</t>
        </is>
      </c>
      <c r="E9600" t="n">
        <v>71</v>
      </c>
      <c r="F9600" t="n">
        <v>50</v>
      </c>
    </row>
    <row r="9601">
      <c r="A9601" t="inlineStr">
        <is>
          <t>ORD09600</t>
        </is>
      </c>
      <c r="B9601" t="inlineStr">
        <is>
          <t>C2100</t>
        </is>
      </c>
      <c r="C9601" t="n">
        <v>3</v>
      </c>
      <c r="D9601" t="inlineStr">
        <is>
          <t>Hub C</t>
        </is>
      </c>
      <c r="E9601" t="n">
        <v>18</v>
      </c>
      <c r="F9601" t="n">
        <v>50</v>
      </c>
    </row>
    <row r="9602">
      <c r="A9602" t="inlineStr">
        <is>
          <t>ORD09601</t>
        </is>
      </c>
      <c r="B9602" t="inlineStr">
        <is>
          <t>C2101</t>
        </is>
      </c>
      <c r="C9602" t="n">
        <v>1</v>
      </c>
      <c r="D9602" t="inlineStr">
        <is>
          <t>Hub C</t>
        </is>
      </c>
      <c r="E9602" t="n">
        <v>25</v>
      </c>
      <c r="F9602" t="n">
        <v>50</v>
      </c>
    </row>
    <row r="9603">
      <c r="A9603" t="inlineStr">
        <is>
          <t>ORD09602</t>
        </is>
      </c>
      <c r="B9603" t="inlineStr">
        <is>
          <t>C2102</t>
        </is>
      </c>
      <c r="C9603" t="n">
        <v>2</v>
      </c>
      <c r="D9603" t="inlineStr">
        <is>
          <t>Hub C</t>
        </is>
      </c>
      <c r="E9603" t="n">
        <v>32</v>
      </c>
      <c r="F9603" t="n">
        <v>50</v>
      </c>
    </row>
    <row r="9604">
      <c r="A9604" t="inlineStr">
        <is>
          <t>ORD09603</t>
        </is>
      </c>
      <c r="B9604" t="inlineStr">
        <is>
          <t>C2103</t>
        </is>
      </c>
      <c r="C9604" t="n">
        <v>3</v>
      </c>
      <c r="D9604" t="inlineStr">
        <is>
          <t>Hub C</t>
        </is>
      </c>
      <c r="E9604" t="n">
        <v>39</v>
      </c>
      <c r="F9604" t="n">
        <v>50</v>
      </c>
    </row>
    <row r="9605">
      <c r="A9605" t="inlineStr">
        <is>
          <t>ORD09604</t>
        </is>
      </c>
      <c r="B9605" t="inlineStr">
        <is>
          <t>C2104</t>
        </is>
      </c>
      <c r="C9605" t="n">
        <v>1</v>
      </c>
      <c r="D9605" t="inlineStr">
        <is>
          <t>Hub C</t>
        </is>
      </c>
      <c r="E9605" t="n">
        <v>46</v>
      </c>
      <c r="F9605" t="n">
        <v>50</v>
      </c>
    </row>
    <row r="9606">
      <c r="A9606" t="inlineStr">
        <is>
          <t>ORD09605</t>
        </is>
      </c>
      <c r="B9606" t="inlineStr">
        <is>
          <t>C2105</t>
        </is>
      </c>
      <c r="C9606" t="n">
        <v>2</v>
      </c>
      <c r="D9606" t="inlineStr">
        <is>
          <t>Hub C</t>
        </is>
      </c>
      <c r="E9606" t="n">
        <v>53</v>
      </c>
      <c r="F9606" t="n">
        <v>50</v>
      </c>
    </row>
    <row r="9607">
      <c r="A9607" t="inlineStr">
        <is>
          <t>ORD09606</t>
        </is>
      </c>
      <c r="B9607" t="inlineStr">
        <is>
          <t>C2106</t>
        </is>
      </c>
      <c r="C9607" t="n">
        <v>3</v>
      </c>
      <c r="D9607" t="inlineStr">
        <is>
          <t>Hub C</t>
        </is>
      </c>
      <c r="E9607" t="n">
        <v>60</v>
      </c>
      <c r="F9607" t="n">
        <v>50</v>
      </c>
    </row>
    <row r="9608">
      <c r="A9608" t="inlineStr">
        <is>
          <t>ORD09607</t>
        </is>
      </c>
      <c r="B9608" t="inlineStr">
        <is>
          <t>C2107</t>
        </is>
      </c>
      <c r="C9608" t="n">
        <v>1</v>
      </c>
      <c r="D9608" t="inlineStr">
        <is>
          <t>Hub C</t>
        </is>
      </c>
      <c r="E9608" t="n">
        <v>67</v>
      </c>
      <c r="F9608" t="n">
        <v>50</v>
      </c>
    </row>
    <row r="9609">
      <c r="A9609" t="inlineStr">
        <is>
          <t>ORD09608</t>
        </is>
      </c>
      <c r="B9609" t="inlineStr">
        <is>
          <t>C2108</t>
        </is>
      </c>
      <c r="C9609" t="n">
        <v>2</v>
      </c>
      <c r="D9609" t="inlineStr">
        <is>
          <t>Hub C</t>
        </is>
      </c>
      <c r="E9609" t="n">
        <v>74</v>
      </c>
      <c r="F9609" t="n">
        <v>50</v>
      </c>
    </row>
    <row r="9610">
      <c r="A9610" t="inlineStr">
        <is>
          <t>ORD09609</t>
        </is>
      </c>
      <c r="B9610" t="inlineStr">
        <is>
          <t>C2109</t>
        </is>
      </c>
      <c r="C9610" t="n">
        <v>3</v>
      </c>
      <c r="D9610" t="inlineStr">
        <is>
          <t>Hub C</t>
        </is>
      </c>
      <c r="E9610" t="n">
        <v>21</v>
      </c>
      <c r="F9610" t="n">
        <v>50</v>
      </c>
    </row>
    <row r="9611">
      <c r="A9611" t="inlineStr">
        <is>
          <t>ORD09610</t>
        </is>
      </c>
      <c r="B9611" t="inlineStr">
        <is>
          <t>C2110</t>
        </is>
      </c>
      <c r="C9611" t="n">
        <v>1</v>
      </c>
      <c r="D9611" t="inlineStr">
        <is>
          <t>Hub C</t>
        </is>
      </c>
      <c r="E9611" t="n">
        <v>28</v>
      </c>
      <c r="F9611" t="n">
        <v>50</v>
      </c>
    </row>
    <row r="9612">
      <c r="A9612" t="inlineStr">
        <is>
          <t>ORD09611</t>
        </is>
      </c>
      <c r="B9612" t="inlineStr">
        <is>
          <t>C2111</t>
        </is>
      </c>
      <c r="C9612" t="n">
        <v>2</v>
      </c>
      <c r="D9612" t="inlineStr">
        <is>
          <t>Hub C</t>
        </is>
      </c>
      <c r="E9612" t="n">
        <v>35</v>
      </c>
      <c r="F9612" t="n">
        <v>50</v>
      </c>
    </row>
    <row r="9613">
      <c r="A9613" t="inlineStr">
        <is>
          <t>ORD09612</t>
        </is>
      </c>
      <c r="B9613" t="inlineStr">
        <is>
          <t>C2112</t>
        </is>
      </c>
      <c r="C9613" t="n">
        <v>3</v>
      </c>
      <c r="D9613" t="inlineStr">
        <is>
          <t>Hub C</t>
        </is>
      </c>
      <c r="E9613" t="n">
        <v>42</v>
      </c>
      <c r="F9613" t="n">
        <v>50</v>
      </c>
    </row>
    <row r="9614">
      <c r="A9614" t="inlineStr">
        <is>
          <t>ORD09613</t>
        </is>
      </c>
      <c r="B9614" t="inlineStr">
        <is>
          <t>C2113</t>
        </is>
      </c>
      <c r="C9614" t="n">
        <v>1</v>
      </c>
      <c r="D9614" t="inlineStr">
        <is>
          <t>Hub C</t>
        </is>
      </c>
      <c r="E9614" t="n">
        <v>49</v>
      </c>
      <c r="F9614" t="n">
        <v>50</v>
      </c>
    </row>
    <row r="9615">
      <c r="A9615" t="inlineStr">
        <is>
          <t>ORD09614</t>
        </is>
      </c>
      <c r="B9615" t="inlineStr">
        <is>
          <t>C2114</t>
        </is>
      </c>
      <c r="C9615" t="n">
        <v>2</v>
      </c>
      <c r="D9615" t="inlineStr">
        <is>
          <t>Hub C</t>
        </is>
      </c>
      <c r="E9615" t="n">
        <v>56</v>
      </c>
      <c r="F9615" t="n">
        <v>50</v>
      </c>
    </row>
    <row r="9616">
      <c r="A9616" t="inlineStr">
        <is>
          <t>ORD09615</t>
        </is>
      </c>
      <c r="B9616" t="inlineStr">
        <is>
          <t>C2115</t>
        </is>
      </c>
      <c r="C9616" t="n">
        <v>3</v>
      </c>
      <c r="D9616" t="inlineStr">
        <is>
          <t>Hub C</t>
        </is>
      </c>
      <c r="E9616" t="n">
        <v>63</v>
      </c>
      <c r="F9616" t="n">
        <v>50</v>
      </c>
    </row>
    <row r="9617">
      <c r="A9617" t="inlineStr">
        <is>
          <t>ORD09616</t>
        </is>
      </c>
      <c r="B9617" t="inlineStr">
        <is>
          <t>C2116</t>
        </is>
      </c>
      <c r="C9617" t="n">
        <v>1</v>
      </c>
      <c r="D9617" t="inlineStr">
        <is>
          <t>Hub C</t>
        </is>
      </c>
      <c r="E9617" t="n">
        <v>70</v>
      </c>
      <c r="F9617" t="n">
        <v>50</v>
      </c>
    </row>
    <row r="9618">
      <c r="A9618" t="inlineStr">
        <is>
          <t>ORD09617</t>
        </is>
      </c>
      <c r="B9618" t="inlineStr">
        <is>
          <t>C2117</t>
        </is>
      </c>
      <c r="C9618" t="n">
        <v>2</v>
      </c>
      <c r="D9618" t="inlineStr">
        <is>
          <t>Hub C</t>
        </is>
      </c>
      <c r="E9618" t="n">
        <v>77</v>
      </c>
      <c r="F9618" t="n">
        <v>50</v>
      </c>
    </row>
    <row r="9619">
      <c r="A9619" t="inlineStr">
        <is>
          <t>ORD09618</t>
        </is>
      </c>
      <c r="B9619" t="inlineStr">
        <is>
          <t>C2118</t>
        </is>
      </c>
      <c r="C9619" t="n">
        <v>3</v>
      </c>
      <c r="D9619" t="inlineStr">
        <is>
          <t>Hub C</t>
        </is>
      </c>
      <c r="E9619" t="n">
        <v>24</v>
      </c>
      <c r="F9619" t="n">
        <v>50</v>
      </c>
    </row>
    <row r="9620">
      <c r="A9620" t="inlineStr">
        <is>
          <t>ORD09619</t>
        </is>
      </c>
      <c r="B9620" t="inlineStr">
        <is>
          <t>C2119</t>
        </is>
      </c>
      <c r="C9620" t="n">
        <v>1</v>
      </c>
      <c r="D9620" t="inlineStr">
        <is>
          <t>Hub C</t>
        </is>
      </c>
      <c r="E9620" t="n">
        <v>31</v>
      </c>
      <c r="F9620" t="n">
        <v>50</v>
      </c>
    </row>
    <row r="9621">
      <c r="A9621" t="inlineStr">
        <is>
          <t>ORD09620</t>
        </is>
      </c>
      <c r="B9621" t="inlineStr">
        <is>
          <t>C2120</t>
        </is>
      </c>
      <c r="C9621" t="n">
        <v>2</v>
      </c>
      <c r="D9621" t="inlineStr">
        <is>
          <t>Hub C</t>
        </is>
      </c>
      <c r="E9621" t="n">
        <v>38</v>
      </c>
      <c r="F9621" t="n">
        <v>50</v>
      </c>
    </row>
    <row r="9622">
      <c r="A9622" t="inlineStr">
        <is>
          <t>ORD09621</t>
        </is>
      </c>
      <c r="B9622" t="inlineStr">
        <is>
          <t>C2121</t>
        </is>
      </c>
      <c r="C9622" t="n">
        <v>3</v>
      </c>
      <c r="D9622" t="inlineStr">
        <is>
          <t>Hub C</t>
        </is>
      </c>
      <c r="E9622" t="n">
        <v>45</v>
      </c>
      <c r="F9622" t="n">
        <v>50</v>
      </c>
    </row>
    <row r="9623">
      <c r="A9623" t="inlineStr">
        <is>
          <t>ORD09622</t>
        </is>
      </c>
      <c r="B9623" t="inlineStr">
        <is>
          <t>C2122</t>
        </is>
      </c>
      <c r="C9623" t="n">
        <v>1</v>
      </c>
      <c r="D9623" t="inlineStr">
        <is>
          <t>Hub C</t>
        </is>
      </c>
      <c r="E9623" t="n">
        <v>52</v>
      </c>
      <c r="F9623" t="n">
        <v>50</v>
      </c>
    </row>
    <row r="9624">
      <c r="A9624" t="inlineStr">
        <is>
          <t>ORD09623</t>
        </is>
      </c>
      <c r="B9624" t="inlineStr">
        <is>
          <t>C2123</t>
        </is>
      </c>
      <c r="C9624" t="n">
        <v>2</v>
      </c>
      <c r="D9624" t="inlineStr">
        <is>
          <t>Hub C</t>
        </is>
      </c>
      <c r="E9624" t="n">
        <v>59</v>
      </c>
      <c r="F9624" t="n">
        <v>50</v>
      </c>
    </row>
    <row r="9625">
      <c r="A9625" t="inlineStr">
        <is>
          <t>ORD09624</t>
        </is>
      </c>
      <c r="B9625" t="inlineStr">
        <is>
          <t>C2124</t>
        </is>
      </c>
      <c r="C9625" t="n">
        <v>3</v>
      </c>
      <c r="D9625" t="inlineStr">
        <is>
          <t>Hub C</t>
        </is>
      </c>
      <c r="E9625" t="n">
        <v>66</v>
      </c>
      <c r="F9625" t="n">
        <v>50</v>
      </c>
    </row>
    <row r="9626">
      <c r="A9626" t="inlineStr">
        <is>
          <t>ORD09625</t>
        </is>
      </c>
      <c r="B9626" t="inlineStr">
        <is>
          <t>C2125</t>
        </is>
      </c>
      <c r="C9626" t="n">
        <v>1</v>
      </c>
      <c r="D9626" t="inlineStr">
        <is>
          <t>Hub C</t>
        </is>
      </c>
      <c r="E9626" t="n">
        <v>73</v>
      </c>
      <c r="F9626" t="n">
        <v>50</v>
      </c>
    </row>
    <row r="9627">
      <c r="A9627" t="inlineStr">
        <is>
          <t>ORD09626</t>
        </is>
      </c>
      <c r="B9627" t="inlineStr">
        <is>
          <t>C2126</t>
        </is>
      </c>
      <c r="C9627" t="n">
        <v>2</v>
      </c>
      <c r="D9627" t="inlineStr">
        <is>
          <t>Hub C</t>
        </is>
      </c>
      <c r="E9627" t="n">
        <v>20</v>
      </c>
      <c r="F9627" t="n">
        <v>50</v>
      </c>
    </row>
    <row r="9628">
      <c r="A9628" t="inlineStr">
        <is>
          <t>ORD09627</t>
        </is>
      </c>
      <c r="B9628" t="inlineStr">
        <is>
          <t>C2127</t>
        </is>
      </c>
      <c r="C9628" t="n">
        <v>3</v>
      </c>
      <c r="D9628" t="inlineStr">
        <is>
          <t>Hub C</t>
        </is>
      </c>
      <c r="E9628" t="n">
        <v>27</v>
      </c>
      <c r="F9628" t="n">
        <v>50</v>
      </c>
    </row>
    <row r="9629">
      <c r="A9629" t="inlineStr">
        <is>
          <t>ORD09628</t>
        </is>
      </c>
      <c r="B9629" t="inlineStr">
        <is>
          <t>C2128</t>
        </is>
      </c>
      <c r="C9629" t="n">
        <v>1</v>
      </c>
      <c r="D9629" t="inlineStr">
        <is>
          <t>Hub C</t>
        </is>
      </c>
      <c r="E9629" t="n">
        <v>34</v>
      </c>
      <c r="F9629" t="n">
        <v>50</v>
      </c>
    </row>
    <row r="9630">
      <c r="A9630" t="inlineStr">
        <is>
          <t>ORD09629</t>
        </is>
      </c>
      <c r="B9630" t="inlineStr">
        <is>
          <t>C2129</t>
        </is>
      </c>
      <c r="C9630" t="n">
        <v>2</v>
      </c>
      <c r="D9630" t="inlineStr">
        <is>
          <t>Hub C</t>
        </is>
      </c>
      <c r="E9630" t="n">
        <v>41</v>
      </c>
      <c r="F9630" t="n">
        <v>50</v>
      </c>
    </row>
    <row r="9631">
      <c r="A9631" t="inlineStr">
        <is>
          <t>ORD09630</t>
        </is>
      </c>
      <c r="B9631" t="inlineStr">
        <is>
          <t>C2130</t>
        </is>
      </c>
      <c r="C9631" t="n">
        <v>3</v>
      </c>
      <c r="D9631" t="inlineStr">
        <is>
          <t>Hub C</t>
        </is>
      </c>
      <c r="E9631" t="n">
        <v>48</v>
      </c>
      <c r="F9631" t="n">
        <v>50</v>
      </c>
    </row>
    <row r="9632">
      <c r="A9632" t="inlineStr">
        <is>
          <t>ORD09631</t>
        </is>
      </c>
      <c r="B9632" t="inlineStr">
        <is>
          <t>C2131</t>
        </is>
      </c>
      <c r="C9632" t="n">
        <v>1</v>
      </c>
      <c r="D9632" t="inlineStr">
        <is>
          <t>Hub C</t>
        </is>
      </c>
      <c r="E9632" t="n">
        <v>55</v>
      </c>
      <c r="F9632" t="n">
        <v>50</v>
      </c>
    </row>
    <row r="9633">
      <c r="A9633" t="inlineStr">
        <is>
          <t>ORD09632</t>
        </is>
      </c>
      <c r="B9633" t="inlineStr">
        <is>
          <t>C2132</t>
        </is>
      </c>
      <c r="C9633" t="n">
        <v>2</v>
      </c>
      <c r="D9633" t="inlineStr">
        <is>
          <t>Hub C</t>
        </is>
      </c>
      <c r="E9633" t="n">
        <v>62</v>
      </c>
      <c r="F9633" t="n">
        <v>50</v>
      </c>
    </row>
    <row r="9634">
      <c r="A9634" t="inlineStr">
        <is>
          <t>ORD09633</t>
        </is>
      </c>
      <c r="B9634" t="inlineStr">
        <is>
          <t>C2133</t>
        </is>
      </c>
      <c r="C9634" t="n">
        <v>3</v>
      </c>
      <c r="D9634" t="inlineStr">
        <is>
          <t>Hub C</t>
        </is>
      </c>
      <c r="E9634" t="n">
        <v>69</v>
      </c>
      <c r="F9634" t="n">
        <v>50</v>
      </c>
    </row>
    <row r="9635">
      <c r="A9635" t="inlineStr">
        <is>
          <t>ORD09634</t>
        </is>
      </c>
      <c r="B9635" t="inlineStr">
        <is>
          <t>C2134</t>
        </is>
      </c>
      <c r="C9635" t="n">
        <v>1</v>
      </c>
      <c r="D9635" t="inlineStr">
        <is>
          <t>Hub C</t>
        </is>
      </c>
      <c r="E9635" t="n">
        <v>76</v>
      </c>
      <c r="F9635" t="n">
        <v>50</v>
      </c>
    </row>
    <row r="9636">
      <c r="A9636" t="inlineStr">
        <is>
          <t>ORD09635</t>
        </is>
      </c>
      <c r="B9636" t="inlineStr">
        <is>
          <t>C2135</t>
        </is>
      </c>
      <c r="C9636" t="n">
        <v>2</v>
      </c>
      <c r="D9636" t="inlineStr">
        <is>
          <t>Hub C</t>
        </is>
      </c>
      <c r="E9636" t="n">
        <v>23</v>
      </c>
      <c r="F9636" t="n">
        <v>50</v>
      </c>
    </row>
    <row r="9637">
      <c r="A9637" t="inlineStr">
        <is>
          <t>ORD09636</t>
        </is>
      </c>
      <c r="B9637" t="inlineStr">
        <is>
          <t>C2136</t>
        </is>
      </c>
      <c r="C9637" t="n">
        <v>3</v>
      </c>
      <c r="D9637" t="inlineStr">
        <is>
          <t>Hub C</t>
        </is>
      </c>
      <c r="E9637" t="n">
        <v>30</v>
      </c>
      <c r="F9637" t="n">
        <v>50</v>
      </c>
    </row>
    <row r="9638">
      <c r="A9638" t="inlineStr">
        <is>
          <t>ORD09637</t>
        </is>
      </c>
      <c r="B9638" t="inlineStr">
        <is>
          <t>C2137</t>
        </is>
      </c>
      <c r="C9638" t="n">
        <v>1</v>
      </c>
      <c r="D9638" t="inlineStr">
        <is>
          <t>Hub C</t>
        </is>
      </c>
      <c r="E9638" t="n">
        <v>37</v>
      </c>
      <c r="F9638" t="n">
        <v>50</v>
      </c>
    </row>
    <row r="9639">
      <c r="A9639" t="inlineStr">
        <is>
          <t>ORD09638</t>
        </is>
      </c>
      <c r="B9639" t="inlineStr">
        <is>
          <t>C2138</t>
        </is>
      </c>
      <c r="C9639" t="n">
        <v>2</v>
      </c>
      <c r="D9639" t="inlineStr">
        <is>
          <t>Hub C</t>
        </is>
      </c>
      <c r="E9639" t="n">
        <v>44</v>
      </c>
      <c r="F9639" t="n">
        <v>50</v>
      </c>
    </row>
    <row r="9640">
      <c r="A9640" t="inlineStr">
        <is>
          <t>ORD09639</t>
        </is>
      </c>
      <c r="B9640" t="inlineStr">
        <is>
          <t>C2139</t>
        </is>
      </c>
      <c r="C9640" t="n">
        <v>3</v>
      </c>
      <c r="D9640" t="inlineStr">
        <is>
          <t>Hub C</t>
        </is>
      </c>
      <c r="E9640" t="n">
        <v>51</v>
      </c>
      <c r="F9640" t="n">
        <v>50</v>
      </c>
    </row>
    <row r="9641">
      <c r="A9641" t="inlineStr">
        <is>
          <t>ORD09640</t>
        </is>
      </c>
      <c r="B9641" t="inlineStr">
        <is>
          <t>C2140</t>
        </is>
      </c>
      <c r="C9641" t="n">
        <v>1</v>
      </c>
      <c r="D9641" t="inlineStr">
        <is>
          <t>Hub C</t>
        </is>
      </c>
      <c r="E9641" t="n">
        <v>58</v>
      </c>
      <c r="F9641" t="n">
        <v>50</v>
      </c>
    </row>
    <row r="9642">
      <c r="A9642" t="inlineStr">
        <is>
          <t>ORD09641</t>
        </is>
      </c>
      <c r="B9642" t="inlineStr">
        <is>
          <t>C2141</t>
        </is>
      </c>
      <c r="C9642" t="n">
        <v>2</v>
      </c>
      <c r="D9642" t="inlineStr">
        <is>
          <t>Hub C</t>
        </is>
      </c>
      <c r="E9642" t="n">
        <v>65</v>
      </c>
      <c r="F9642" t="n">
        <v>50</v>
      </c>
    </row>
    <row r="9643">
      <c r="A9643" t="inlineStr">
        <is>
          <t>ORD09642</t>
        </is>
      </c>
      <c r="B9643" t="inlineStr">
        <is>
          <t>C2142</t>
        </is>
      </c>
      <c r="C9643" t="n">
        <v>3</v>
      </c>
      <c r="D9643" t="inlineStr">
        <is>
          <t>Hub C</t>
        </is>
      </c>
      <c r="E9643" t="n">
        <v>72</v>
      </c>
      <c r="F9643" t="n">
        <v>50</v>
      </c>
    </row>
    <row r="9644">
      <c r="A9644" t="inlineStr">
        <is>
          <t>ORD09643</t>
        </is>
      </c>
      <c r="B9644" t="inlineStr">
        <is>
          <t>C2143</t>
        </is>
      </c>
      <c r="C9644" t="n">
        <v>1</v>
      </c>
      <c r="D9644" t="inlineStr">
        <is>
          <t>Hub C</t>
        </is>
      </c>
      <c r="E9644" t="n">
        <v>19</v>
      </c>
      <c r="F9644" t="n">
        <v>50</v>
      </c>
    </row>
    <row r="9645">
      <c r="A9645" t="inlineStr">
        <is>
          <t>ORD09644</t>
        </is>
      </c>
      <c r="B9645" t="inlineStr">
        <is>
          <t>C2144</t>
        </is>
      </c>
      <c r="C9645" t="n">
        <v>2</v>
      </c>
      <c r="D9645" t="inlineStr">
        <is>
          <t>Hub C</t>
        </is>
      </c>
      <c r="E9645" t="n">
        <v>26</v>
      </c>
      <c r="F9645" t="n">
        <v>50</v>
      </c>
    </row>
    <row r="9646">
      <c r="A9646" t="inlineStr">
        <is>
          <t>ORD09645</t>
        </is>
      </c>
      <c r="B9646" t="inlineStr">
        <is>
          <t>C2145</t>
        </is>
      </c>
      <c r="C9646" t="n">
        <v>3</v>
      </c>
      <c r="D9646" t="inlineStr">
        <is>
          <t>Hub C</t>
        </is>
      </c>
      <c r="E9646" t="n">
        <v>33</v>
      </c>
      <c r="F9646" t="n">
        <v>50</v>
      </c>
    </row>
    <row r="9647">
      <c r="A9647" t="inlineStr">
        <is>
          <t>ORD09646</t>
        </is>
      </c>
      <c r="B9647" t="inlineStr">
        <is>
          <t>C2146</t>
        </is>
      </c>
      <c r="C9647" t="n">
        <v>1</v>
      </c>
      <c r="D9647" t="inlineStr">
        <is>
          <t>Hub C</t>
        </is>
      </c>
      <c r="E9647" t="n">
        <v>40</v>
      </c>
      <c r="F9647" t="n">
        <v>50</v>
      </c>
    </row>
    <row r="9648">
      <c r="A9648" t="inlineStr">
        <is>
          <t>ORD09647</t>
        </is>
      </c>
      <c r="B9648" t="inlineStr">
        <is>
          <t>C2147</t>
        </is>
      </c>
      <c r="C9648" t="n">
        <v>2</v>
      </c>
      <c r="D9648" t="inlineStr">
        <is>
          <t>Hub C</t>
        </is>
      </c>
      <c r="E9648" t="n">
        <v>47</v>
      </c>
      <c r="F9648" t="n">
        <v>50</v>
      </c>
    </row>
    <row r="9649">
      <c r="A9649" t="inlineStr">
        <is>
          <t>ORD09648</t>
        </is>
      </c>
      <c r="B9649" t="inlineStr">
        <is>
          <t>C2148</t>
        </is>
      </c>
      <c r="C9649" t="n">
        <v>3</v>
      </c>
      <c r="D9649" t="inlineStr">
        <is>
          <t>Hub C</t>
        </is>
      </c>
      <c r="E9649" t="n">
        <v>54</v>
      </c>
      <c r="F9649" t="n">
        <v>50</v>
      </c>
    </row>
    <row r="9650">
      <c r="A9650" t="inlineStr">
        <is>
          <t>ORD09649</t>
        </is>
      </c>
      <c r="B9650" t="inlineStr">
        <is>
          <t>C2149</t>
        </is>
      </c>
      <c r="C9650" t="n">
        <v>1</v>
      </c>
      <c r="D9650" t="inlineStr">
        <is>
          <t>Hub C</t>
        </is>
      </c>
      <c r="E9650" t="n">
        <v>61</v>
      </c>
      <c r="F9650" t="n">
        <v>50</v>
      </c>
    </row>
    <row r="9651">
      <c r="A9651" t="inlineStr">
        <is>
          <t>ORD09650</t>
        </is>
      </c>
      <c r="B9651" t="inlineStr">
        <is>
          <t>C2150</t>
        </is>
      </c>
      <c r="C9651" t="n">
        <v>2</v>
      </c>
      <c r="D9651" t="inlineStr">
        <is>
          <t>Hub C</t>
        </is>
      </c>
      <c r="E9651" t="n">
        <v>68</v>
      </c>
      <c r="F9651" t="n">
        <v>50</v>
      </c>
    </row>
    <row r="9652">
      <c r="A9652" t="inlineStr">
        <is>
          <t>ORD09651</t>
        </is>
      </c>
      <c r="B9652" t="inlineStr">
        <is>
          <t>C2151</t>
        </is>
      </c>
      <c r="C9652" t="n">
        <v>3</v>
      </c>
      <c r="D9652" t="inlineStr">
        <is>
          <t>Hub C</t>
        </is>
      </c>
      <c r="E9652" t="n">
        <v>75</v>
      </c>
      <c r="F9652" t="n">
        <v>50</v>
      </c>
    </row>
    <row r="9653">
      <c r="A9653" t="inlineStr">
        <is>
          <t>ORD09652</t>
        </is>
      </c>
      <c r="B9653" t="inlineStr">
        <is>
          <t>C2152</t>
        </is>
      </c>
      <c r="C9653" t="n">
        <v>1</v>
      </c>
      <c r="D9653" t="inlineStr">
        <is>
          <t>Hub C</t>
        </is>
      </c>
      <c r="E9653" t="n">
        <v>22</v>
      </c>
      <c r="F9653" t="n">
        <v>50</v>
      </c>
    </row>
    <row r="9654">
      <c r="A9654" t="inlineStr">
        <is>
          <t>ORD09653</t>
        </is>
      </c>
      <c r="B9654" t="inlineStr">
        <is>
          <t>C2153</t>
        </is>
      </c>
      <c r="C9654" t="n">
        <v>2</v>
      </c>
      <c r="D9654" t="inlineStr">
        <is>
          <t>Hub C</t>
        </is>
      </c>
      <c r="E9654" t="n">
        <v>29</v>
      </c>
      <c r="F9654" t="n">
        <v>50</v>
      </c>
    </row>
    <row r="9655">
      <c r="A9655" t="inlineStr">
        <is>
          <t>ORD09654</t>
        </is>
      </c>
      <c r="B9655" t="inlineStr">
        <is>
          <t>C2154</t>
        </is>
      </c>
      <c r="C9655" t="n">
        <v>3</v>
      </c>
      <c r="D9655" t="inlineStr">
        <is>
          <t>Hub C</t>
        </is>
      </c>
      <c r="E9655" t="n">
        <v>36</v>
      </c>
      <c r="F9655" t="n">
        <v>50</v>
      </c>
    </row>
    <row r="9656">
      <c r="A9656" t="inlineStr">
        <is>
          <t>ORD09655</t>
        </is>
      </c>
      <c r="B9656" t="inlineStr">
        <is>
          <t>C2155</t>
        </is>
      </c>
      <c r="C9656" t="n">
        <v>1</v>
      </c>
      <c r="D9656" t="inlineStr">
        <is>
          <t>Hub C</t>
        </is>
      </c>
      <c r="E9656" t="n">
        <v>43</v>
      </c>
      <c r="F9656" t="n">
        <v>50</v>
      </c>
    </row>
    <row r="9657">
      <c r="A9657" t="inlineStr">
        <is>
          <t>ORD09656</t>
        </is>
      </c>
      <c r="B9657" t="inlineStr">
        <is>
          <t>C2156</t>
        </is>
      </c>
      <c r="C9657" t="n">
        <v>2</v>
      </c>
      <c r="D9657" t="inlineStr">
        <is>
          <t>Hub C</t>
        </is>
      </c>
      <c r="E9657" t="n">
        <v>50</v>
      </c>
      <c r="F9657" t="n">
        <v>50</v>
      </c>
    </row>
    <row r="9658">
      <c r="A9658" t="inlineStr">
        <is>
          <t>ORD09657</t>
        </is>
      </c>
      <c r="B9658" t="inlineStr">
        <is>
          <t>C2157</t>
        </is>
      </c>
      <c r="C9658" t="n">
        <v>3</v>
      </c>
      <c r="D9658" t="inlineStr">
        <is>
          <t>Hub C</t>
        </is>
      </c>
      <c r="E9658" t="n">
        <v>57</v>
      </c>
      <c r="F9658" t="n">
        <v>50</v>
      </c>
    </row>
    <row r="9659">
      <c r="A9659" t="inlineStr">
        <is>
          <t>ORD09658</t>
        </is>
      </c>
      <c r="B9659" t="inlineStr">
        <is>
          <t>C2158</t>
        </is>
      </c>
      <c r="C9659" t="n">
        <v>1</v>
      </c>
      <c r="D9659" t="inlineStr">
        <is>
          <t>Hub C</t>
        </is>
      </c>
      <c r="E9659" t="n">
        <v>64</v>
      </c>
      <c r="F9659" t="n">
        <v>50</v>
      </c>
    </row>
    <row r="9660">
      <c r="A9660" t="inlineStr">
        <is>
          <t>ORD09659</t>
        </is>
      </c>
      <c r="B9660" t="inlineStr">
        <is>
          <t>C2159</t>
        </is>
      </c>
      <c r="C9660" t="n">
        <v>2</v>
      </c>
      <c r="D9660" t="inlineStr">
        <is>
          <t>Hub C</t>
        </is>
      </c>
      <c r="E9660" t="n">
        <v>71</v>
      </c>
      <c r="F9660" t="n">
        <v>50</v>
      </c>
    </row>
    <row r="9661">
      <c r="A9661" t="inlineStr">
        <is>
          <t>ORD09660</t>
        </is>
      </c>
      <c r="B9661" t="inlineStr">
        <is>
          <t>C2160</t>
        </is>
      </c>
      <c r="C9661" t="n">
        <v>3</v>
      </c>
      <c r="D9661" t="inlineStr">
        <is>
          <t>Hub C</t>
        </is>
      </c>
      <c r="E9661" t="n">
        <v>18</v>
      </c>
      <c r="F9661" t="n">
        <v>50</v>
      </c>
    </row>
    <row r="9662">
      <c r="A9662" t="inlineStr">
        <is>
          <t>ORD09661</t>
        </is>
      </c>
      <c r="B9662" t="inlineStr">
        <is>
          <t>C2161</t>
        </is>
      </c>
      <c r="C9662" t="n">
        <v>1</v>
      </c>
      <c r="D9662" t="inlineStr">
        <is>
          <t>Hub C</t>
        </is>
      </c>
      <c r="E9662" t="n">
        <v>25</v>
      </c>
      <c r="F9662" t="n">
        <v>50</v>
      </c>
    </row>
    <row r="9663">
      <c r="A9663" t="inlineStr">
        <is>
          <t>ORD09662</t>
        </is>
      </c>
      <c r="B9663" t="inlineStr">
        <is>
          <t>C2162</t>
        </is>
      </c>
      <c r="C9663" t="n">
        <v>2</v>
      </c>
      <c r="D9663" t="inlineStr">
        <is>
          <t>Hub C</t>
        </is>
      </c>
      <c r="E9663" t="n">
        <v>32</v>
      </c>
      <c r="F9663" t="n">
        <v>50</v>
      </c>
    </row>
    <row r="9664">
      <c r="A9664" t="inlineStr">
        <is>
          <t>ORD09663</t>
        </is>
      </c>
      <c r="B9664" t="inlineStr">
        <is>
          <t>C2163</t>
        </is>
      </c>
      <c r="C9664" t="n">
        <v>3</v>
      </c>
      <c r="D9664" t="inlineStr">
        <is>
          <t>Hub C</t>
        </is>
      </c>
      <c r="E9664" t="n">
        <v>39</v>
      </c>
      <c r="F9664" t="n">
        <v>50</v>
      </c>
    </row>
    <row r="9665">
      <c r="A9665" t="inlineStr">
        <is>
          <t>ORD09664</t>
        </is>
      </c>
      <c r="B9665" t="inlineStr">
        <is>
          <t>C2164</t>
        </is>
      </c>
      <c r="C9665" t="n">
        <v>1</v>
      </c>
      <c r="D9665" t="inlineStr">
        <is>
          <t>Hub C</t>
        </is>
      </c>
      <c r="E9665" t="n">
        <v>46</v>
      </c>
      <c r="F9665" t="n">
        <v>50</v>
      </c>
    </row>
    <row r="9666">
      <c r="A9666" t="inlineStr">
        <is>
          <t>ORD09665</t>
        </is>
      </c>
      <c r="B9666" t="inlineStr">
        <is>
          <t>C2165</t>
        </is>
      </c>
      <c r="C9666" t="n">
        <v>2</v>
      </c>
      <c r="D9666" t="inlineStr">
        <is>
          <t>Hub C</t>
        </is>
      </c>
      <c r="E9666" t="n">
        <v>53</v>
      </c>
      <c r="F9666" t="n">
        <v>50</v>
      </c>
    </row>
    <row r="9667">
      <c r="A9667" t="inlineStr">
        <is>
          <t>ORD09666</t>
        </is>
      </c>
      <c r="B9667" t="inlineStr">
        <is>
          <t>C2166</t>
        </is>
      </c>
      <c r="C9667" t="n">
        <v>3</v>
      </c>
      <c r="D9667" t="inlineStr">
        <is>
          <t>Hub C</t>
        </is>
      </c>
      <c r="E9667" t="n">
        <v>60</v>
      </c>
      <c r="F9667" t="n">
        <v>50</v>
      </c>
    </row>
    <row r="9668">
      <c r="A9668" t="inlineStr">
        <is>
          <t>ORD09667</t>
        </is>
      </c>
      <c r="B9668" t="inlineStr">
        <is>
          <t>C2167</t>
        </is>
      </c>
      <c r="C9668" t="n">
        <v>1</v>
      </c>
      <c r="D9668" t="inlineStr">
        <is>
          <t>Hub C</t>
        </is>
      </c>
      <c r="E9668" t="n">
        <v>67</v>
      </c>
      <c r="F9668" t="n">
        <v>50</v>
      </c>
    </row>
    <row r="9669">
      <c r="A9669" t="inlineStr">
        <is>
          <t>ORD09668</t>
        </is>
      </c>
      <c r="B9669" t="inlineStr">
        <is>
          <t>C2168</t>
        </is>
      </c>
      <c r="C9669" t="n">
        <v>2</v>
      </c>
      <c r="D9669" t="inlineStr">
        <is>
          <t>Hub C</t>
        </is>
      </c>
      <c r="E9669" t="n">
        <v>74</v>
      </c>
      <c r="F9669" t="n">
        <v>50</v>
      </c>
    </row>
    <row r="9670">
      <c r="A9670" t="inlineStr">
        <is>
          <t>ORD09669</t>
        </is>
      </c>
      <c r="B9670" t="inlineStr">
        <is>
          <t>C2169</t>
        </is>
      </c>
      <c r="C9670" t="n">
        <v>3</v>
      </c>
      <c r="D9670" t="inlineStr">
        <is>
          <t>Hub C</t>
        </is>
      </c>
      <c r="E9670" t="n">
        <v>21</v>
      </c>
      <c r="F9670" t="n">
        <v>50</v>
      </c>
    </row>
    <row r="9671">
      <c r="A9671" t="inlineStr">
        <is>
          <t>ORD09670</t>
        </is>
      </c>
      <c r="B9671" t="inlineStr">
        <is>
          <t>C2170</t>
        </is>
      </c>
      <c r="C9671" t="n">
        <v>1</v>
      </c>
      <c r="D9671" t="inlineStr">
        <is>
          <t>Hub C</t>
        </is>
      </c>
      <c r="E9671" t="n">
        <v>28</v>
      </c>
      <c r="F9671" t="n">
        <v>50</v>
      </c>
    </row>
    <row r="9672">
      <c r="A9672" t="inlineStr">
        <is>
          <t>ORD09671</t>
        </is>
      </c>
      <c r="B9672" t="inlineStr">
        <is>
          <t>C2171</t>
        </is>
      </c>
      <c r="C9672" t="n">
        <v>2</v>
      </c>
      <c r="D9672" t="inlineStr">
        <is>
          <t>Hub C</t>
        </is>
      </c>
      <c r="E9672" t="n">
        <v>35</v>
      </c>
      <c r="F9672" t="n">
        <v>50</v>
      </c>
    </row>
    <row r="9673">
      <c r="A9673" t="inlineStr">
        <is>
          <t>ORD09672</t>
        </is>
      </c>
      <c r="B9673" t="inlineStr">
        <is>
          <t>C2172</t>
        </is>
      </c>
      <c r="C9673" t="n">
        <v>3</v>
      </c>
      <c r="D9673" t="inlineStr">
        <is>
          <t>Hub C</t>
        </is>
      </c>
      <c r="E9673" t="n">
        <v>42</v>
      </c>
      <c r="F9673" t="n">
        <v>50</v>
      </c>
    </row>
    <row r="9674">
      <c r="A9674" t="inlineStr">
        <is>
          <t>ORD09673</t>
        </is>
      </c>
      <c r="B9674" t="inlineStr">
        <is>
          <t>C2173</t>
        </is>
      </c>
      <c r="C9674" t="n">
        <v>1</v>
      </c>
      <c r="D9674" t="inlineStr">
        <is>
          <t>Hub C</t>
        </is>
      </c>
      <c r="E9674" t="n">
        <v>49</v>
      </c>
      <c r="F9674" t="n">
        <v>50</v>
      </c>
    </row>
    <row r="9675">
      <c r="A9675" t="inlineStr">
        <is>
          <t>ORD09674</t>
        </is>
      </c>
      <c r="B9675" t="inlineStr">
        <is>
          <t>C2174</t>
        </is>
      </c>
      <c r="C9675" t="n">
        <v>2</v>
      </c>
      <c r="D9675" t="inlineStr">
        <is>
          <t>Hub C</t>
        </is>
      </c>
      <c r="E9675" t="n">
        <v>56</v>
      </c>
      <c r="F9675" t="n">
        <v>50</v>
      </c>
    </row>
    <row r="9676">
      <c r="A9676" t="inlineStr">
        <is>
          <t>ORD09675</t>
        </is>
      </c>
      <c r="B9676" t="inlineStr">
        <is>
          <t>C2175</t>
        </is>
      </c>
      <c r="C9676" t="n">
        <v>3</v>
      </c>
      <c r="D9676" t="inlineStr">
        <is>
          <t>Hub C</t>
        </is>
      </c>
      <c r="E9676" t="n">
        <v>63</v>
      </c>
      <c r="F9676" t="n">
        <v>50</v>
      </c>
    </row>
    <row r="9677">
      <c r="A9677" t="inlineStr">
        <is>
          <t>ORD09676</t>
        </is>
      </c>
      <c r="B9677" t="inlineStr">
        <is>
          <t>C2176</t>
        </is>
      </c>
      <c r="C9677" t="n">
        <v>1</v>
      </c>
      <c r="D9677" t="inlineStr">
        <is>
          <t>Hub C</t>
        </is>
      </c>
      <c r="E9677" t="n">
        <v>70</v>
      </c>
      <c r="F9677" t="n">
        <v>50</v>
      </c>
    </row>
    <row r="9678">
      <c r="A9678" t="inlineStr">
        <is>
          <t>ORD09677</t>
        </is>
      </c>
      <c r="B9678" t="inlineStr">
        <is>
          <t>C2177</t>
        </is>
      </c>
      <c r="C9678" t="n">
        <v>2</v>
      </c>
      <c r="D9678" t="inlineStr">
        <is>
          <t>Hub C</t>
        </is>
      </c>
      <c r="E9678" t="n">
        <v>77</v>
      </c>
      <c r="F9678" t="n">
        <v>50</v>
      </c>
    </row>
    <row r="9679">
      <c r="A9679" t="inlineStr">
        <is>
          <t>ORD09678</t>
        </is>
      </c>
      <c r="B9679" t="inlineStr">
        <is>
          <t>C2178</t>
        </is>
      </c>
      <c r="C9679" t="n">
        <v>3</v>
      </c>
      <c r="D9679" t="inlineStr">
        <is>
          <t>Hub C</t>
        </is>
      </c>
      <c r="E9679" t="n">
        <v>24</v>
      </c>
      <c r="F9679" t="n">
        <v>50</v>
      </c>
    </row>
    <row r="9680">
      <c r="A9680" t="inlineStr">
        <is>
          <t>ORD09679</t>
        </is>
      </c>
      <c r="B9680" t="inlineStr">
        <is>
          <t>C2179</t>
        </is>
      </c>
      <c r="C9680" t="n">
        <v>1</v>
      </c>
      <c r="D9680" t="inlineStr">
        <is>
          <t>Hub C</t>
        </is>
      </c>
      <c r="E9680" t="n">
        <v>31</v>
      </c>
      <c r="F9680" t="n">
        <v>50</v>
      </c>
    </row>
    <row r="9681">
      <c r="A9681" t="inlineStr">
        <is>
          <t>ORD09680</t>
        </is>
      </c>
      <c r="B9681" t="inlineStr">
        <is>
          <t>C2180</t>
        </is>
      </c>
      <c r="C9681" t="n">
        <v>2</v>
      </c>
      <c r="D9681" t="inlineStr">
        <is>
          <t>Hub C</t>
        </is>
      </c>
      <c r="E9681" t="n">
        <v>38</v>
      </c>
      <c r="F9681" t="n">
        <v>50</v>
      </c>
    </row>
    <row r="9682">
      <c r="A9682" t="inlineStr">
        <is>
          <t>ORD09681</t>
        </is>
      </c>
      <c r="B9682" t="inlineStr">
        <is>
          <t>C2181</t>
        </is>
      </c>
      <c r="C9682" t="n">
        <v>3</v>
      </c>
      <c r="D9682" t="inlineStr">
        <is>
          <t>Hub C</t>
        </is>
      </c>
      <c r="E9682" t="n">
        <v>45</v>
      </c>
      <c r="F9682" t="n">
        <v>50</v>
      </c>
    </row>
    <row r="9683">
      <c r="A9683" t="inlineStr">
        <is>
          <t>ORD09682</t>
        </is>
      </c>
      <c r="B9683" t="inlineStr">
        <is>
          <t>C2182</t>
        </is>
      </c>
      <c r="C9683" t="n">
        <v>1</v>
      </c>
      <c r="D9683" t="inlineStr">
        <is>
          <t>Hub C</t>
        </is>
      </c>
      <c r="E9683" t="n">
        <v>52</v>
      </c>
      <c r="F9683" t="n">
        <v>50</v>
      </c>
    </row>
    <row r="9684">
      <c r="A9684" t="inlineStr">
        <is>
          <t>ORD09683</t>
        </is>
      </c>
      <c r="B9684" t="inlineStr">
        <is>
          <t>C2183</t>
        </is>
      </c>
      <c r="C9684" t="n">
        <v>2</v>
      </c>
      <c r="D9684" t="inlineStr">
        <is>
          <t>Hub C</t>
        </is>
      </c>
      <c r="E9684" t="n">
        <v>59</v>
      </c>
      <c r="F9684" t="n">
        <v>50</v>
      </c>
    </row>
    <row r="9685">
      <c r="A9685" t="inlineStr">
        <is>
          <t>ORD09684</t>
        </is>
      </c>
      <c r="B9685" t="inlineStr">
        <is>
          <t>C2184</t>
        </is>
      </c>
      <c r="C9685" t="n">
        <v>3</v>
      </c>
      <c r="D9685" t="inlineStr">
        <is>
          <t>Hub C</t>
        </is>
      </c>
      <c r="E9685" t="n">
        <v>66</v>
      </c>
      <c r="F9685" t="n">
        <v>50</v>
      </c>
    </row>
    <row r="9686">
      <c r="A9686" t="inlineStr">
        <is>
          <t>ORD09685</t>
        </is>
      </c>
      <c r="B9686" t="inlineStr">
        <is>
          <t>C2185</t>
        </is>
      </c>
      <c r="C9686" t="n">
        <v>1</v>
      </c>
      <c r="D9686" t="inlineStr">
        <is>
          <t>Hub C</t>
        </is>
      </c>
      <c r="E9686" t="n">
        <v>73</v>
      </c>
      <c r="F9686" t="n">
        <v>50</v>
      </c>
    </row>
    <row r="9687">
      <c r="A9687" t="inlineStr">
        <is>
          <t>ORD09686</t>
        </is>
      </c>
      <c r="B9687" t="inlineStr">
        <is>
          <t>C2186</t>
        </is>
      </c>
      <c r="C9687" t="n">
        <v>2</v>
      </c>
      <c r="D9687" t="inlineStr">
        <is>
          <t>Hub C</t>
        </is>
      </c>
      <c r="E9687" t="n">
        <v>20</v>
      </c>
      <c r="F9687" t="n">
        <v>50</v>
      </c>
    </row>
    <row r="9688">
      <c r="A9688" t="inlineStr">
        <is>
          <t>ORD09687</t>
        </is>
      </c>
      <c r="B9688" t="inlineStr">
        <is>
          <t>C2187</t>
        </is>
      </c>
      <c r="C9688" t="n">
        <v>3</v>
      </c>
      <c r="D9688" t="inlineStr">
        <is>
          <t>Hub C</t>
        </is>
      </c>
      <c r="E9688" t="n">
        <v>27</v>
      </c>
      <c r="F9688" t="n">
        <v>50</v>
      </c>
    </row>
    <row r="9689">
      <c r="A9689" t="inlineStr">
        <is>
          <t>ORD09688</t>
        </is>
      </c>
      <c r="B9689" t="inlineStr">
        <is>
          <t>C2188</t>
        </is>
      </c>
      <c r="C9689" t="n">
        <v>1</v>
      </c>
      <c r="D9689" t="inlineStr">
        <is>
          <t>Hub C</t>
        </is>
      </c>
      <c r="E9689" t="n">
        <v>34</v>
      </c>
      <c r="F9689" t="n">
        <v>50</v>
      </c>
    </row>
    <row r="9690">
      <c r="A9690" t="inlineStr">
        <is>
          <t>ORD09689</t>
        </is>
      </c>
      <c r="B9690" t="inlineStr">
        <is>
          <t>C2189</t>
        </is>
      </c>
      <c r="C9690" t="n">
        <v>2</v>
      </c>
      <c r="D9690" t="inlineStr">
        <is>
          <t>Hub C</t>
        </is>
      </c>
      <c r="E9690" t="n">
        <v>41</v>
      </c>
      <c r="F9690" t="n">
        <v>50</v>
      </c>
    </row>
    <row r="9691">
      <c r="A9691" t="inlineStr">
        <is>
          <t>ORD09690</t>
        </is>
      </c>
      <c r="B9691" t="inlineStr">
        <is>
          <t>C2190</t>
        </is>
      </c>
      <c r="C9691" t="n">
        <v>3</v>
      </c>
      <c r="D9691" t="inlineStr">
        <is>
          <t>Hub C</t>
        </is>
      </c>
      <c r="E9691" t="n">
        <v>48</v>
      </c>
      <c r="F9691" t="n">
        <v>50</v>
      </c>
    </row>
    <row r="9692">
      <c r="A9692" t="inlineStr">
        <is>
          <t>ORD09691</t>
        </is>
      </c>
      <c r="B9692" t="inlineStr">
        <is>
          <t>C2191</t>
        </is>
      </c>
      <c r="C9692" t="n">
        <v>1</v>
      </c>
      <c r="D9692" t="inlineStr">
        <is>
          <t>Hub C</t>
        </is>
      </c>
      <c r="E9692" t="n">
        <v>55</v>
      </c>
      <c r="F9692" t="n">
        <v>50</v>
      </c>
    </row>
    <row r="9693">
      <c r="A9693" t="inlineStr">
        <is>
          <t>ORD09692</t>
        </is>
      </c>
      <c r="B9693" t="inlineStr">
        <is>
          <t>C2192</t>
        </is>
      </c>
      <c r="C9693" t="n">
        <v>2</v>
      </c>
      <c r="D9693" t="inlineStr">
        <is>
          <t>Hub C</t>
        </is>
      </c>
      <c r="E9693" t="n">
        <v>62</v>
      </c>
      <c r="F9693" t="n">
        <v>50</v>
      </c>
    </row>
    <row r="9694">
      <c r="A9694" t="inlineStr">
        <is>
          <t>ORD09693</t>
        </is>
      </c>
      <c r="B9694" t="inlineStr">
        <is>
          <t>C2193</t>
        </is>
      </c>
      <c r="C9694" t="n">
        <v>3</v>
      </c>
      <c r="D9694" t="inlineStr">
        <is>
          <t>Hub C</t>
        </is>
      </c>
      <c r="E9694" t="n">
        <v>69</v>
      </c>
      <c r="F9694" t="n">
        <v>50</v>
      </c>
    </row>
    <row r="9695">
      <c r="A9695" t="inlineStr">
        <is>
          <t>ORD09694</t>
        </is>
      </c>
      <c r="B9695" t="inlineStr">
        <is>
          <t>C2194</t>
        </is>
      </c>
      <c r="C9695" t="n">
        <v>1</v>
      </c>
      <c r="D9695" t="inlineStr">
        <is>
          <t>Hub C</t>
        </is>
      </c>
      <c r="E9695" t="n">
        <v>76</v>
      </c>
      <c r="F9695" t="n">
        <v>50</v>
      </c>
    </row>
    <row r="9696">
      <c r="A9696" t="inlineStr">
        <is>
          <t>ORD09695</t>
        </is>
      </c>
      <c r="B9696" t="inlineStr">
        <is>
          <t>C2195</t>
        </is>
      </c>
      <c r="C9696" t="n">
        <v>2</v>
      </c>
      <c r="D9696" t="inlineStr">
        <is>
          <t>Hub C</t>
        </is>
      </c>
      <c r="E9696" t="n">
        <v>23</v>
      </c>
      <c r="F9696" t="n">
        <v>50</v>
      </c>
    </row>
    <row r="9697">
      <c r="A9697" t="inlineStr">
        <is>
          <t>ORD09696</t>
        </is>
      </c>
      <c r="B9697" t="inlineStr">
        <is>
          <t>C2196</t>
        </is>
      </c>
      <c r="C9697" t="n">
        <v>3</v>
      </c>
      <c r="D9697" t="inlineStr">
        <is>
          <t>Hub C</t>
        </is>
      </c>
      <c r="E9697" t="n">
        <v>30</v>
      </c>
      <c r="F9697" t="n">
        <v>50</v>
      </c>
    </row>
    <row r="9698">
      <c r="A9698" t="inlineStr">
        <is>
          <t>ORD09697</t>
        </is>
      </c>
      <c r="B9698" t="inlineStr">
        <is>
          <t>C2197</t>
        </is>
      </c>
      <c r="C9698" t="n">
        <v>1</v>
      </c>
      <c r="D9698" t="inlineStr">
        <is>
          <t>Hub C</t>
        </is>
      </c>
      <c r="E9698" t="n">
        <v>37</v>
      </c>
      <c r="F9698" t="n">
        <v>50</v>
      </c>
    </row>
    <row r="9699">
      <c r="A9699" t="inlineStr">
        <is>
          <t>ORD09698</t>
        </is>
      </c>
      <c r="B9699" t="inlineStr">
        <is>
          <t>C2198</t>
        </is>
      </c>
      <c r="C9699" t="n">
        <v>2</v>
      </c>
      <c r="D9699" t="inlineStr">
        <is>
          <t>Hub C</t>
        </is>
      </c>
      <c r="E9699" t="n">
        <v>44</v>
      </c>
      <c r="F9699" t="n">
        <v>50</v>
      </c>
    </row>
    <row r="9700">
      <c r="A9700" t="inlineStr">
        <is>
          <t>ORD09699</t>
        </is>
      </c>
      <c r="B9700" t="inlineStr">
        <is>
          <t>C2199</t>
        </is>
      </c>
      <c r="C9700" t="n">
        <v>3</v>
      </c>
      <c r="D9700" t="inlineStr">
        <is>
          <t>Hub C</t>
        </is>
      </c>
      <c r="E9700" t="n">
        <v>51</v>
      </c>
      <c r="F9700" t="n">
        <v>50</v>
      </c>
    </row>
    <row r="9701">
      <c r="A9701" t="inlineStr">
        <is>
          <t>ORD09700</t>
        </is>
      </c>
      <c r="B9701" t="inlineStr">
        <is>
          <t>C2200</t>
        </is>
      </c>
      <c r="C9701" t="n">
        <v>1</v>
      </c>
      <c r="D9701" t="inlineStr">
        <is>
          <t>Hub C</t>
        </is>
      </c>
      <c r="E9701" t="n">
        <v>58</v>
      </c>
      <c r="F9701" t="n">
        <v>50</v>
      </c>
    </row>
    <row r="9702">
      <c r="A9702" t="inlineStr">
        <is>
          <t>ORD09701</t>
        </is>
      </c>
      <c r="B9702" t="inlineStr">
        <is>
          <t>C2201</t>
        </is>
      </c>
      <c r="C9702" t="n">
        <v>2</v>
      </c>
      <c r="D9702" t="inlineStr">
        <is>
          <t>Hub C</t>
        </is>
      </c>
      <c r="E9702" t="n">
        <v>65</v>
      </c>
      <c r="F9702" t="n">
        <v>50</v>
      </c>
    </row>
    <row r="9703">
      <c r="A9703" t="inlineStr">
        <is>
          <t>ORD09702</t>
        </is>
      </c>
      <c r="B9703" t="inlineStr">
        <is>
          <t>C2202</t>
        </is>
      </c>
      <c r="C9703" t="n">
        <v>3</v>
      </c>
      <c r="D9703" t="inlineStr">
        <is>
          <t>Hub C</t>
        </is>
      </c>
      <c r="E9703" t="n">
        <v>72</v>
      </c>
      <c r="F9703" t="n">
        <v>50</v>
      </c>
    </row>
    <row r="9704">
      <c r="A9704" t="inlineStr">
        <is>
          <t>ORD09703</t>
        </is>
      </c>
      <c r="B9704" t="inlineStr">
        <is>
          <t>C2203</t>
        </is>
      </c>
      <c r="C9704" t="n">
        <v>1</v>
      </c>
      <c r="D9704" t="inlineStr">
        <is>
          <t>Hub C</t>
        </is>
      </c>
      <c r="E9704" t="n">
        <v>19</v>
      </c>
      <c r="F9704" t="n">
        <v>50</v>
      </c>
    </row>
    <row r="9705">
      <c r="A9705" t="inlineStr">
        <is>
          <t>ORD09704</t>
        </is>
      </c>
      <c r="B9705" t="inlineStr">
        <is>
          <t>C2204</t>
        </is>
      </c>
      <c r="C9705" t="n">
        <v>2</v>
      </c>
      <c r="D9705" t="inlineStr">
        <is>
          <t>Hub C</t>
        </is>
      </c>
      <c r="E9705" t="n">
        <v>26</v>
      </c>
      <c r="F9705" t="n">
        <v>50</v>
      </c>
    </row>
    <row r="9706">
      <c r="A9706" t="inlineStr">
        <is>
          <t>ORD09705</t>
        </is>
      </c>
      <c r="B9706" t="inlineStr">
        <is>
          <t>C2205</t>
        </is>
      </c>
      <c r="C9706" t="n">
        <v>3</v>
      </c>
      <c r="D9706" t="inlineStr">
        <is>
          <t>Hub C</t>
        </is>
      </c>
      <c r="E9706" t="n">
        <v>33</v>
      </c>
      <c r="F9706" t="n">
        <v>50</v>
      </c>
    </row>
    <row r="9707">
      <c r="A9707" t="inlineStr">
        <is>
          <t>ORD09706</t>
        </is>
      </c>
      <c r="B9707" t="inlineStr">
        <is>
          <t>C2206</t>
        </is>
      </c>
      <c r="C9707" t="n">
        <v>1</v>
      </c>
      <c r="D9707" t="inlineStr">
        <is>
          <t>Hub C</t>
        </is>
      </c>
      <c r="E9707" t="n">
        <v>40</v>
      </c>
      <c r="F9707" t="n">
        <v>50</v>
      </c>
    </row>
    <row r="9708">
      <c r="A9708" t="inlineStr">
        <is>
          <t>ORD09707</t>
        </is>
      </c>
      <c r="B9708" t="inlineStr">
        <is>
          <t>C2207</t>
        </is>
      </c>
      <c r="C9708" t="n">
        <v>2</v>
      </c>
      <c r="D9708" t="inlineStr">
        <is>
          <t>Hub C</t>
        </is>
      </c>
      <c r="E9708" t="n">
        <v>47</v>
      </c>
      <c r="F9708" t="n">
        <v>50</v>
      </c>
    </row>
    <row r="9709">
      <c r="A9709" t="inlineStr">
        <is>
          <t>ORD09708</t>
        </is>
      </c>
      <c r="B9709" t="inlineStr">
        <is>
          <t>C2208</t>
        </is>
      </c>
      <c r="C9709" t="n">
        <v>3</v>
      </c>
      <c r="D9709" t="inlineStr">
        <is>
          <t>Hub C</t>
        </is>
      </c>
      <c r="E9709" t="n">
        <v>54</v>
      </c>
      <c r="F9709" t="n">
        <v>50</v>
      </c>
    </row>
    <row r="9710">
      <c r="A9710" t="inlineStr">
        <is>
          <t>ORD09709</t>
        </is>
      </c>
      <c r="B9710" t="inlineStr">
        <is>
          <t>C2209</t>
        </is>
      </c>
      <c r="C9710" t="n">
        <v>1</v>
      </c>
      <c r="D9710" t="inlineStr">
        <is>
          <t>Hub C</t>
        </is>
      </c>
      <c r="E9710" t="n">
        <v>61</v>
      </c>
      <c r="F9710" t="n">
        <v>50</v>
      </c>
    </row>
    <row r="9711">
      <c r="A9711" t="inlineStr">
        <is>
          <t>ORD09710</t>
        </is>
      </c>
      <c r="B9711" t="inlineStr">
        <is>
          <t>C2210</t>
        </is>
      </c>
      <c r="C9711" t="n">
        <v>2</v>
      </c>
      <c r="D9711" t="inlineStr">
        <is>
          <t>Hub C</t>
        </is>
      </c>
      <c r="E9711" t="n">
        <v>68</v>
      </c>
      <c r="F9711" t="n">
        <v>50</v>
      </c>
    </row>
    <row r="9712">
      <c r="A9712" t="inlineStr">
        <is>
          <t>ORD09711</t>
        </is>
      </c>
      <c r="B9712" t="inlineStr">
        <is>
          <t>C2211</t>
        </is>
      </c>
      <c r="C9712" t="n">
        <v>3</v>
      </c>
      <c r="D9712" t="inlineStr">
        <is>
          <t>Hub C</t>
        </is>
      </c>
      <c r="E9712" t="n">
        <v>75</v>
      </c>
      <c r="F9712" t="n">
        <v>50</v>
      </c>
    </row>
    <row r="9713">
      <c r="A9713" t="inlineStr">
        <is>
          <t>ORD09712</t>
        </is>
      </c>
      <c r="B9713" t="inlineStr">
        <is>
          <t>C2212</t>
        </is>
      </c>
      <c r="C9713" t="n">
        <v>1</v>
      </c>
      <c r="D9713" t="inlineStr">
        <is>
          <t>Hub C</t>
        </is>
      </c>
      <c r="E9713" t="n">
        <v>22</v>
      </c>
      <c r="F9713" t="n">
        <v>50</v>
      </c>
    </row>
    <row r="9714">
      <c r="A9714" t="inlineStr">
        <is>
          <t>ORD09713</t>
        </is>
      </c>
      <c r="B9714" t="inlineStr">
        <is>
          <t>C2213</t>
        </is>
      </c>
      <c r="C9714" t="n">
        <v>2</v>
      </c>
      <c r="D9714" t="inlineStr">
        <is>
          <t>Hub C</t>
        </is>
      </c>
      <c r="E9714" t="n">
        <v>29</v>
      </c>
      <c r="F9714" t="n">
        <v>50</v>
      </c>
    </row>
    <row r="9715">
      <c r="A9715" t="inlineStr">
        <is>
          <t>ORD09714</t>
        </is>
      </c>
      <c r="B9715" t="inlineStr">
        <is>
          <t>C2214</t>
        </is>
      </c>
      <c r="C9715" t="n">
        <v>3</v>
      </c>
      <c r="D9715" t="inlineStr">
        <is>
          <t>Hub C</t>
        </is>
      </c>
      <c r="E9715" t="n">
        <v>36</v>
      </c>
      <c r="F9715" t="n">
        <v>50</v>
      </c>
    </row>
    <row r="9716">
      <c r="A9716" t="inlineStr">
        <is>
          <t>ORD09715</t>
        </is>
      </c>
      <c r="B9716" t="inlineStr">
        <is>
          <t>C2215</t>
        </is>
      </c>
      <c r="C9716" t="n">
        <v>1</v>
      </c>
      <c r="D9716" t="inlineStr">
        <is>
          <t>Hub C</t>
        </is>
      </c>
      <c r="E9716" t="n">
        <v>43</v>
      </c>
      <c r="F9716" t="n">
        <v>50</v>
      </c>
    </row>
    <row r="9717">
      <c r="A9717" t="inlineStr">
        <is>
          <t>ORD09716</t>
        </is>
      </c>
      <c r="B9717" t="inlineStr">
        <is>
          <t>C2216</t>
        </is>
      </c>
      <c r="C9717" t="n">
        <v>2</v>
      </c>
      <c r="D9717" t="inlineStr">
        <is>
          <t>Hub C</t>
        </is>
      </c>
      <c r="E9717" t="n">
        <v>50</v>
      </c>
      <c r="F9717" t="n">
        <v>50</v>
      </c>
    </row>
    <row r="9718">
      <c r="A9718" t="inlineStr">
        <is>
          <t>ORD09717</t>
        </is>
      </c>
      <c r="B9718" t="inlineStr">
        <is>
          <t>C2217</t>
        </is>
      </c>
      <c r="C9718" t="n">
        <v>3</v>
      </c>
      <c r="D9718" t="inlineStr">
        <is>
          <t>Hub C</t>
        </is>
      </c>
      <c r="E9718" t="n">
        <v>57</v>
      </c>
      <c r="F9718" t="n">
        <v>50</v>
      </c>
    </row>
    <row r="9719">
      <c r="A9719" t="inlineStr">
        <is>
          <t>ORD09718</t>
        </is>
      </c>
      <c r="B9719" t="inlineStr">
        <is>
          <t>C2218</t>
        </is>
      </c>
      <c r="C9719" t="n">
        <v>1</v>
      </c>
      <c r="D9719" t="inlineStr">
        <is>
          <t>Hub C</t>
        </is>
      </c>
      <c r="E9719" t="n">
        <v>64</v>
      </c>
      <c r="F9719" t="n">
        <v>50</v>
      </c>
    </row>
    <row r="9720">
      <c r="A9720" t="inlineStr">
        <is>
          <t>ORD09719</t>
        </is>
      </c>
      <c r="B9720" t="inlineStr">
        <is>
          <t>C2219</t>
        </is>
      </c>
      <c r="C9720" t="n">
        <v>2</v>
      </c>
      <c r="D9720" t="inlineStr">
        <is>
          <t>Hub C</t>
        </is>
      </c>
      <c r="E9720" t="n">
        <v>71</v>
      </c>
      <c r="F9720" t="n">
        <v>50</v>
      </c>
    </row>
    <row r="9721">
      <c r="A9721" t="inlineStr">
        <is>
          <t>ORD09720</t>
        </is>
      </c>
      <c r="B9721" t="inlineStr">
        <is>
          <t>C2220</t>
        </is>
      </c>
      <c r="C9721" t="n">
        <v>3</v>
      </c>
      <c r="D9721" t="inlineStr">
        <is>
          <t>Hub C</t>
        </is>
      </c>
      <c r="E9721" t="n">
        <v>18</v>
      </c>
      <c r="F9721" t="n">
        <v>50</v>
      </c>
    </row>
    <row r="9722">
      <c r="A9722" t="inlineStr">
        <is>
          <t>ORD09721</t>
        </is>
      </c>
      <c r="B9722" t="inlineStr">
        <is>
          <t>C2221</t>
        </is>
      </c>
      <c r="C9722" t="n">
        <v>1</v>
      </c>
      <c r="D9722" t="inlineStr">
        <is>
          <t>Hub C</t>
        </is>
      </c>
      <c r="E9722" t="n">
        <v>25</v>
      </c>
      <c r="F9722" t="n">
        <v>50</v>
      </c>
    </row>
    <row r="9723">
      <c r="A9723" t="inlineStr">
        <is>
          <t>ORD09722</t>
        </is>
      </c>
      <c r="B9723" t="inlineStr">
        <is>
          <t>C2222</t>
        </is>
      </c>
      <c r="C9723" t="n">
        <v>2</v>
      </c>
      <c r="D9723" t="inlineStr">
        <is>
          <t>Hub C</t>
        </is>
      </c>
      <c r="E9723" t="n">
        <v>32</v>
      </c>
      <c r="F9723" t="n">
        <v>50</v>
      </c>
    </row>
    <row r="9724">
      <c r="A9724" t="inlineStr">
        <is>
          <t>ORD09723</t>
        </is>
      </c>
      <c r="B9724" t="inlineStr">
        <is>
          <t>C2223</t>
        </is>
      </c>
      <c r="C9724" t="n">
        <v>3</v>
      </c>
      <c r="D9724" t="inlineStr">
        <is>
          <t>Hub C</t>
        </is>
      </c>
      <c r="E9724" t="n">
        <v>39</v>
      </c>
      <c r="F9724" t="n">
        <v>50</v>
      </c>
    </row>
    <row r="9725">
      <c r="A9725" t="inlineStr">
        <is>
          <t>ORD09724</t>
        </is>
      </c>
      <c r="B9725" t="inlineStr">
        <is>
          <t>C2224</t>
        </is>
      </c>
      <c r="C9725" t="n">
        <v>1</v>
      </c>
      <c r="D9725" t="inlineStr">
        <is>
          <t>Hub C</t>
        </is>
      </c>
      <c r="E9725" t="n">
        <v>46</v>
      </c>
      <c r="F9725" t="n">
        <v>50</v>
      </c>
    </row>
    <row r="9726">
      <c r="A9726" t="inlineStr">
        <is>
          <t>ORD09725</t>
        </is>
      </c>
      <c r="B9726" t="inlineStr">
        <is>
          <t>C2225</t>
        </is>
      </c>
      <c r="C9726" t="n">
        <v>2</v>
      </c>
      <c r="D9726" t="inlineStr">
        <is>
          <t>Hub C</t>
        </is>
      </c>
      <c r="E9726" t="n">
        <v>53</v>
      </c>
      <c r="F9726" t="n">
        <v>50</v>
      </c>
    </row>
    <row r="9727">
      <c r="A9727" t="inlineStr">
        <is>
          <t>ORD09726</t>
        </is>
      </c>
      <c r="B9727" t="inlineStr">
        <is>
          <t>C2226</t>
        </is>
      </c>
      <c r="C9727" t="n">
        <v>3</v>
      </c>
      <c r="D9727" t="inlineStr">
        <is>
          <t>Hub C</t>
        </is>
      </c>
      <c r="E9727" t="n">
        <v>60</v>
      </c>
      <c r="F9727" t="n">
        <v>50</v>
      </c>
    </row>
    <row r="9728">
      <c r="A9728" t="inlineStr">
        <is>
          <t>ORD09727</t>
        </is>
      </c>
      <c r="B9728" t="inlineStr">
        <is>
          <t>C2227</t>
        </is>
      </c>
      <c r="C9728" t="n">
        <v>1</v>
      </c>
      <c r="D9728" t="inlineStr">
        <is>
          <t>Hub C</t>
        </is>
      </c>
      <c r="E9728" t="n">
        <v>67</v>
      </c>
      <c r="F9728" t="n">
        <v>50</v>
      </c>
    </row>
    <row r="9729">
      <c r="A9729" t="inlineStr">
        <is>
          <t>ORD09728</t>
        </is>
      </c>
      <c r="B9729" t="inlineStr">
        <is>
          <t>C2228</t>
        </is>
      </c>
      <c r="C9729" t="n">
        <v>2</v>
      </c>
      <c r="D9729" t="inlineStr">
        <is>
          <t>Hub C</t>
        </is>
      </c>
      <c r="E9729" t="n">
        <v>74</v>
      </c>
      <c r="F9729" t="n">
        <v>50</v>
      </c>
    </row>
    <row r="9730">
      <c r="A9730" t="inlineStr">
        <is>
          <t>ORD09729</t>
        </is>
      </c>
      <c r="B9730" t="inlineStr">
        <is>
          <t>C2229</t>
        </is>
      </c>
      <c r="C9730" t="n">
        <v>3</v>
      </c>
      <c r="D9730" t="inlineStr">
        <is>
          <t>Hub C</t>
        </is>
      </c>
      <c r="E9730" t="n">
        <v>21</v>
      </c>
      <c r="F9730" t="n">
        <v>50</v>
      </c>
    </row>
    <row r="9731">
      <c r="A9731" t="inlineStr">
        <is>
          <t>ORD09730</t>
        </is>
      </c>
      <c r="B9731" t="inlineStr">
        <is>
          <t>C2230</t>
        </is>
      </c>
      <c r="C9731" t="n">
        <v>1</v>
      </c>
      <c r="D9731" t="inlineStr">
        <is>
          <t>Hub C</t>
        </is>
      </c>
      <c r="E9731" t="n">
        <v>28</v>
      </c>
      <c r="F9731" t="n">
        <v>50</v>
      </c>
    </row>
    <row r="9732">
      <c r="A9732" t="inlineStr">
        <is>
          <t>ORD09731</t>
        </is>
      </c>
      <c r="B9732" t="inlineStr">
        <is>
          <t>C2231</t>
        </is>
      </c>
      <c r="C9732" t="n">
        <v>2</v>
      </c>
      <c r="D9732" t="inlineStr">
        <is>
          <t>Hub C</t>
        </is>
      </c>
      <c r="E9732" t="n">
        <v>35</v>
      </c>
      <c r="F9732" t="n">
        <v>50</v>
      </c>
    </row>
    <row r="9733">
      <c r="A9733" t="inlineStr">
        <is>
          <t>ORD09732</t>
        </is>
      </c>
      <c r="B9733" t="inlineStr">
        <is>
          <t>C2232</t>
        </is>
      </c>
      <c r="C9733" t="n">
        <v>3</v>
      </c>
      <c r="D9733" t="inlineStr">
        <is>
          <t>Hub C</t>
        </is>
      </c>
      <c r="E9733" t="n">
        <v>42</v>
      </c>
      <c r="F9733" t="n">
        <v>50</v>
      </c>
    </row>
    <row r="9734">
      <c r="A9734" t="inlineStr">
        <is>
          <t>ORD09733</t>
        </is>
      </c>
      <c r="B9734" t="inlineStr">
        <is>
          <t>C2233</t>
        </is>
      </c>
      <c r="C9734" t="n">
        <v>1</v>
      </c>
      <c r="D9734" t="inlineStr">
        <is>
          <t>Hub C</t>
        </is>
      </c>
      <c r="E9734" t="n">
        <v>49</v>
      </c>
      <c r="F9734" t="n">
        <v>50</v>
      </c>
    </row>
    <row r="9735">
      <c r="A9735" t="inlineStr">
        <is>
          <t>ORD09734</t>
        </is>
      </c>
      <c r="B9735" t="inlineStr">
        <is>
          <t>C2234</t>
        </is>
      </c>
      <c r="C9735" t="n">
        <v>2</v>
      </c>
      <c r="D9735" t="inlineStr">
        <is>
          <t>Hub C</t>
        </is>
      </c>
      <c r="E9735" t="n">
        <v>56</v>
      </c>
      <c r="F9735" t="n">
        <v>50</v>
      </c>
    </row>
    <row r="9736">
      <c r="A9736" t="inlineStr">
        <is>
          <t>ORD09735</t>
        </is>
      </c>
      <c r="B9736" t="inlineStr">
        <is>
          <t>C2235</t>
        </is>
      </c>
      <c r="C9736" t="n">
        <v>3</v>
      </c>
      <c r="D9736" t="inlineStr">
        <is>
          <t>Hub C</t>
        </is>
      </c>
      <c r="E9736" t="n">
        <v>63</v>
      </c>
      <c r="F9736" t="n">
        <v>50</v>
      </c>
    </row>
    <row r="9737">
      <c r="A9737" t="inlineStr">
        <is>
          <t>ORD09736</t>
        </is>
      </c>
      <c r="B9737" t="inlineStr">
        <is>
          <t>C2236</t>
        </is>
      </c>
      <c r="C9737" t="n">
        <v>1</v>
      </c>
      <c r="D9737" t="inlineStr">
        <is>
          <t>Hub C</t>
        </is>
      </c>
      <c r="E9737" t="n">
        <v>70</v>
      </c>
      <c r="F9737" t="n">
        <v>50</v>
      </c>
    </row>
    <row r="9738">
      <c r="A9738" t="inlineStr">
        <is>
          <t>ORD09737</t>
        </is>
      </c>
      <c r="B9738" t="inlineStr">
        <is>
          <t>C2237</t>
        </is>
      </c>
      <c r="C9738" t="n">
        <v>2</v>
      </c>
      <c r="D9738" t="inlineStr">
        <is>
          <t>Hub C</t>
        </is>
      </c>
      <c r="E9738" t="n">
        <v>77</v>
      </c>
      <c r="F9738" t="n">
        <v>50</v>
      </c>
    </row>
    <row r="9739">
      <c r="A9739" t="inlineStr">
        <is>
          <t>ORD09738</t>
        </is>
      </c>
      <c r="B9739" t="inlineStr">
        <is>
          <t>C2238</t>
        </is>
      </c>
      <c r="C9739" t="n">
        <v>3</v>
      </c>
      <c r="D9739" t="inlineStr">
        <is>
          <t>Hub C</t>
        </is>
      </c>
      <c r="E9739" t="n">
        <v>24</v>
      </c>
      <c r="F9739" t="n">
        <v>50</v>
      </c>
    </row>
    <row r="9740">
      <c r="A9740" t="inlineStr">
        <is>
          <t>ORD09739</t>
        </is>
      </c>
      <c r="B9740" t="inlineStr">
        <is>
          <t>C2239</t>
        </is>
      </c>
      <c r="C9740" t="n">
        <v>1</v>
      </c>
      <c r="D9740" t="inlineStr">
        <is>
          <t>Hub C</t>
        </is>
      </c>
      <c r="E9740" t="n">
        <v>31</v>
      </c>
      <c r="F9740" t="n">
        <v>50</v>
      </c>
    </row>
    <row r="9741">
      <c r="A9741" t="inlineStr">
        <is>
          <t>ORD09740</t>
        </is>
      </c>
      <c r="B9741" t="inlineStr">
        <is>
          <t>C2240</t>
        </is>
      </c>
      <c r="C9741" t="n">
        <v>2</v>
      </c>
      <c r="D9741" t="inlineStr">
        <is>
          <t>Hub C</t>
        </is>
      </c>
      <c r="E9741" t="n">
        <v>38</v>
      </c>
      <c r="F9741" t="n">
        <v>50</v>
      </c>
    </row>
    <row r="9742">
      <c r="A9742" t="inlineStr">
        <is>
          <t>ORD09741</t>
        </is>
      </c>
      <c r="B9742" t="inlineStr">
        <is>
          <t>C2241</t>
        </is>
      </c>
      <c r="C9742" t="n">
        <v>3</v>
      </c>
      <c r="D9742" t="inlineStr">
        <is>
          <t>Hub C</t>
        </is>
      </c>
      <c r="E9742" t="n">
        <v>45</v>
      </c>
      <c r="F9742" t="n">
        <v>50</v>
      </c>
    </row>
    <row r="9743">
      <c r="A9743" t="inlineStr">
        <is>
          <t>ORD09742</t>
        </is>
      </c>
      <c r="B9743" t="inlineStr">
        <is>
          <t>C2242</t>
        </is>
      </c>
      <c r="C9743" t="n">
        <v>1</v>
      </c>
      <c r="D9743" t="inlineStr">
        <is>
          <t>Hub C</t>
        </is>
      </c>
      <c r="E9743" t="n">
        <v>52</v>
      </c>
      <c r="F9743" t="n">
        <v>50</v>
      </c>
    </row>
    <row r="9744">
      <c r="A9744" t="inlineStr">
        <is>
          <t>ORD09743</t>
        </is>
      </c>
      <c r="B9744" t="inlineStr">
        <is>
          <t>C2243</t>
        </is>
      </c>
      <c r="C9744" t="n">
        <v>2</v>
      </c>
      <c r="D9744" t="inlineStr">
        <is>
          <t>Hub C</t>
        </is>
      </c>
      <c r="E9744" t="n">
        <v>59</v>
      </c>
      <c r="F9744" t="n">
        <v>50</v>
      </c>
    </row>
    <row r="9745">
      <c r="A9745" t="inlineStr">
        <is>
          <t>ORD09744</t>
        </is>
      </c>
      <c r="B9745" t="inlineStr">
        <is>
          <t>C2244</t>
        </is>
      </c>
      <c r="C9745" t="n">
        <v>3</v>
      </c>
      <c r="D9745" t="inlineStr">
        <is>
          <t>Hub C</t>
        </is>
      </c>
      <c r="E9745" t="n">
        <v>66</v>
      </c>
      <c r="F9745" t="n">
        <v>50</v>
      </c>
    </row>
    <row r="9746">
      <c r="A9746" t="inlineStr">
        <is>
          <t>ORD09745</t>
        </is>
      </c>
      <c r="B9746" t="inlineStr">
        <is>
          <t>C2245</t>
        </is>
      </c>
      <c r="C9746" t="n">
        <v>1</v>
      </c>
      <c r="D9746" t="inlineStr">
        <is>
          <t>Hub C</t>
        </is>
      </c>
      <c r="E9746" t="n">
        <v>73</v>
      </c>
      <c r="F9746" t="n">
        <v>50</v>
      </c>
    </row>
    <row r="9747">
      <c r="A9747" t="inlineStr">
        <is>
          <t>ORD09746</t>
        </is>
      </c>
      <c r="B9747" t="inlineStr">
        <is>
          <t>C2246</t>
        </is>
      </c>
      <c r="C9747" t="n">
        <v>2</v>
      </c>
      <c r="D9747" t="inlineStr">
        <is>
          <t>Hub C</t>
        </is>
      </c>
      <c r="E9747" t="n">
        <v>20</v>
      </c>
      <c r="F9747" t="n">
        <v>50</v>
      </c>
    </row>
    <row r="9748">
      <c r="A9748" t="inlineStr">
        <is>
          <t>ORD09747</t>
        </is>
      </c>
      <c r="B9748" t="inlineStr">
        <is>
          <t>C2247</t>
        </is>
      </c>
      <c r="C9748" t="n">
        <v>3</v>
      </c>
      <c r="D9748" t="inlineStr">
        <is>
          <t>Hub C</t>
        </is>
      </c>
      <c r="E9748" t="n">
        <v>27</v>
      </c>
      <c r="F9748" t="n">
        <v>50</v>
      </c>
    </row>
    <row r="9749">
      <c r="A9749" t="inlineStr">
        <is>
          <t>ORD09748</t>
        </is>
      </c>
      <c r="B9749" t="inlineStr">
        <is>
          <t>C2248</t>
        </is>
      </c>
      <c r="C9749" t="n">
        <v>1</v>
      </c>
      <c r="D9749" t="inlineStr">
        <is>
          <t>Hub C</t>
        </is>
      </c>
      <c r="E9749" t="n">
        <v>34</v>
      </c>
      <c r="F9749" t="n">
        <v>50</v>
      </c>
    </row>
    <row r="9750">
      <c r="A9750" t="inlineStr">
        <is>
          <t>ORD09749</t>
        </is>
      </c>
      <c r="B9750" t="inlineStr">
        <is>
          <t>C2249</t>
        </is>
      </c>
      <c r="C9750" t="n">
        <v>2</v>
      </c>
      <c r="D9750" t="inlineStr">
        <is>
          <t>Hub C</t>
        </is>
      </c>
      <c r="E9750" t="n">
        <v>41</v>
      </c>
      <c r="F9750" t="n">
        <v>50</v>
      </c>
    </row>
    <row r="9751">
      <c r="A9751" t="inlineStr">
        <is>
          <t>ORD09750</t>
        </is>
      </c>
      <c r="B9751" t="inlineStr">
        <is>
          <t>C2250</t>
        </is>
      </c>
      <c r="C9751" t="n">
        <v>3</v>
      </c>
      <c r="D9751" t="inlineStr">
        <is>
          <t>Hub C</t>
        </is>
      </c>
      <c r="E9751" t="n">
        <v>48</v>
      </c>
      <c r="F9751" t="n">
        <v>50</v>
      </c>
    </row>
    <row r="9752">
      <c r="A9752" t="inlineStr">
        <is>
          <t>ORD09751</t>
        </is>
      </c>
      <c r="B9752" t="inlineStr">
        <is>
          <t>C2251</t>
        </is>
      </c>
      <c r="C9752" t="n">
        <v>1</v>
      </c>
      <c r="D9752" t="inlineStr">
        <is>
          <t>Hub C</t>
        </is>
      </c>
      <c r="E9752" t="n">
        <v>55</v>
      </c>
      <c r="F9752" t="n">
        <v>50</v>
      </c>
    </row>
    <row r="9753">
      <c r="A9753" t="inlineStr">
        <is>
          <t>ORD09752</t>
        </is>
      </c>
      <c r="B9753" t="inlineStr">
        <is>
          <t>C2252</t>
        </is>
      </c>
      <c r="C9753" t="n">
        <v>2</v>
      </c>
      <c r="D9753" t="inlineStr">
        <is>
          <t>Hub C</t>
        </is>
      </c>
      <c r="E9753" t="n">
        <v>62</v>
      </c>
      <c r="F9753" t="n">
        <v>50</v>
      </c>
    </row>
    <row r="9754">
      <c r="A9754" t="inlineStr">
        <is>
          <t>ORD09753</t>
        </is>
      </c>
      <c r="B9754" t="inlineStr">
        <is>
          <t>C2253</t>
        </is>
      </c>
      <c r="C9754" t="n">
        <v>3</v>
      </c>
      <c r="D9754" t="inlineStr">
        <is>
          <t>Hub C</t>
        </is>
      </c>
      <c r="E9754" t="n">
        <v>69</v>
      </c>
      <c r="F9754" t="n">
        <v>50</v>
      </c>
    </row>
    <row r="9755">
      <c r="A9755" t="inlineStr">
        <is>
          <t>ORD09754</t>
        </is>
      </c>
      <c r="B9755" t="inlineStr">
        <is>
          <t>C2254</t>
        </is>
      </c>
      <c r="C9755" t="n">
        <v>1</v>
      </c>
      <c r="D9755" t="inlineStr">
        <is>
          <t>Hub C</t>
        </is>
      </c>
      <c r="E9755" t="n">
        <v>76</v>
      </c>
      <c r="F9755" t="n">
        <v>50</v>
      </c>
    </row>
    <row r="9756">
      <c r="A9756" t="inlineStr">
        <is>
          <t>ORD09755</t>
        </is>
      </c>
      <c r="B9756" t="inlineStr">
        <is>
          <t>C2255</t>
        </is>
      </c>
      <c r="C9756" t="n">
        <v>2</v>
      </c>
      <c r="D9756" t="inlineStr">
        <is>
          <t>Hub C</t>
        </is>
      </c>
      <c r="E9756" t="n">
        <v>23</v>
      </c>
      <c r="F9756" t="n">
        <v>50</v>
      </c>
    </row>
    <row r="9757">
      <c r="A9757" t="inlineStr">
        <is>
          <t>ORD09756</t>
        </is>
      </c>
      <c r="B9757" t="inlineStr">
        <is>
          <t>C2256</t>
        </is>
      </c>
      <c r="C9757" t="n">
        <v>3</v>
      </c>
      <c r="D9757" t="inlineStr">
        <is>
          <t>Hub C</t>
        </is>
      </c>
      <c r="E9757" t="n">
        <v>30</v>
      </c>
      <c r="F9757" t="n">
        <v>50</v>
      </c>
    </row>
    <row r="9758">
      <c r="A9758" t="inlineStr">
        <is>
          <t>ORD09757</t>
        </is>
      </c>
      <c r="B9758" t="inlineStr">
        <is>
          <t>C2257</t>
        </is>
      </c>
      <c r="C9758" t="n">
        <v>1</v>
      </c>
      <c r="D9758" t="inlineStr">
        <is>
          <t>Hub C</t>
        </is>
      </c>
      <c r="E9758" t="n">
        <v>37</v>
      </c>
      <c r="F9758" t="n">
        <v>50</v>
      </c>
    </row>
    <row r="9759">
      <c r="A9759" t="inlineStr">
        <is>
          <t>ORD09758</t>
        </is>
      </c>
      <c r="B9759" t="inlineStr">
        <is>
          <t>C2258</t>
        </is>
      </c>
      <c r="C9759" t="n">
        <v>2</v>
      </c>
      <c r="D9759" t="inlineStr">
        <is>
          <t>Hub C</t>
        </is>
      </c>
      <c r="E9759" t="n">
        <v>44</v>
      </c>
      <c r="F9759" t="n">
        <v>50</v>
      </c>
    </row>
    <row r="9760">
      <c r="A9760" t="inlineStr">
        <is>
          <t>ORD09759</t>
        </is>
      </c>
      <c r="B9760" t="inlineStr">
        <is>
          <t>C2259</t>
        </is>
      </c>
      <c r="C9760" t="n">
        <v>3</v>
      </c>
      <c r="D9760" t="inlineStr">
        <is>
          <t>Hub C</t>
        </is>
      </c>
      <c r="E9760" t="n">
        <v>51</v>
      </c>
      <c r="F9760" t="n">
        <v>50</v>
      </c>
    </row>
    <row r="9761">
      <c r="A9761" t="inlineStr">
        <is>
          <t>ORD09760</t>
        </is>
      </c>
      <c r="B9761" t="inlineStr">
        <is>
          <t>C2260</t>
        </is>
      </c>
      <c r="C9761" t="n">
        <v>1</v>
      </c>
      <c r="D9761" t="inlineStr">
        <is>
          <t>Hub C</t>
        </is>
      </c>
      <c r="E9761" t="n">
        <v>58</v>
      </c>
      <c r="F9761" t="n">
        <v>50</v>
      </c>
    </row>
    <row r="9762">
      <c r="A9762" t="inlineStr">
        <is>
          <t>ORD09761</t>
        </is>
      </c>
      <c r="B9762" t="inlineStr">
        <is>
          <t>C2261</t>
        </is>
      </c>
      <c r="C9762" t="n">
        <v>2</v>
      </c>
      <c r="D9762" t="inlineStr">
        <is>
          <t>Hub C</t>
        </is>
      </c>
      <c r="E9762" t="n">
        <v>65</v>
      </c>
      <c r="F9762" t="n">
        <v>50</v>
      </c>
    </row>
    <row r="9763">
      <c r="A9763" t="inlineStr">
        <is>
          <t>ORD09762</t>
        </is>
      </c>
      <c r="B9763" t="inlineStr">
        <is>
          <t>C2262</t>
        </is>
      </c>
      <c r="C9763" t="n">
        <v>3</v>
      </c>
      <c r="D9763" t="inlineStr">
        <is>
          <t>Hub C</t>
        </is>
      </c>
      <c r="E9763" t="n">
        <v>72</v>
      </c>
      <c r="F9763" t="n">
        <v>50</v>
      </c>
    </row>
    <row r="9764">
      <c r="A9764" t="inlineStr">
        <is>
          <t>ORD09763</t>
        </is>
      </c>
      <c r="B9764" t="inlineStr">
        <is>
          <t>C2263</t>
        </is>
      </c>
      <c r="C9764" t="n">
        <v>1</v>
      </c>
      <c r="D9764" t="inlineStr">
        <is>
          <t>Hub C</t>
        </is>
      </c>
      <c r="E9764" t="n">
        <v>19</v>
      </c>
      <c r="F9764" t="n">
        <v>50</v>
      </c>
    </row>
    <row r="9765">
      <c r="A9765" t="inlineStr">
        <is>
          <t>ORD09764</t>
        </is>
      </c>
      <c r="B9765" t="inlineStr">
        <is>
          <t>C2264</t>
        </is>
      </c>
      <c r="C9765" t="n">
        <v>2</v>
      </c>
      <c r="D9765" t="inlineStr">
        <is>
          <t>Hub C</t>
        </is>
      </c>
      <c r="E9765" t="n">
        <v>26</v>
      </c>
      <c r="F9765" t="n">
        <v>50</v>
      </c>
    </row>
    <row r="9766">
      <c r="A9766" t="inlineStr">
        <is>
          <t>ORD09765</t>
        </is>
      </c>
      <c r="B9766" t="inlineStr">
        <is>
          <t>C2265</t>
        </is>
      </c>
      <c r="C9766" t="n">
        <v>3</v>
      </c>
      <c r="D9766" t="inlineStr">
        <is>
          <t>Hub C</t>
        </is>
      </c>
      <c r="E9766" t="n">
        <v>33</v>
      </c>
      <c r="F9766" t="n">
        <v>50</v>
      </c>
    </row>
    <row r="9767">
      <c r="A9767" t="inlineStr">
        <is>
          <t>ORD09766</t>
        </is>
      </c>
      <c r="B9767" t="inlineStr">
        <is>
          <t>C2266</t>
        </is>
      </c>
      <c r="C9767" t="n">
        <v>1</v>
      </c>
      <c r="D9767" t="inlineStr">
        <is>
          <t>Hub C</t>
        </is>
      </c>
      <c r="E9767" t="n">
        <v>40</v>
      </c>
      <c r="F9767" t="n">
        <v>50</v>
      </c>
    </row>
    <row r="9768">
      <c r="A9768" t="inlineStr">
        <is>
          <t>ORD09767</t>
        </is>
      </c>
      <c r="B9768" t="inlineStr">
        <is>
          <t>C2267</t>
        </is>
      </c>
      <c r="C9768" t="n">
        <v>2</v>
      </c>
      <c r="D9768" t="inlineStr">
        <is>
          <t>Hub C</t>
        </is>
      </c>
      <c r="E9768" t="n">
        <v>47</v>
      </c>
      <c r="F9768" t="n">
        <v>50</v>
      </c>
    </row>
    <row r="9769">
      <c r="A9769" t="inlineStr">
        <is>
          <t>ORD09768</t>
        </is>
      </c>
      <c r="B9769" t="inlineStr">
        <is>
          <t>C2268</t>
        </is>
      </c>
      <c r="C9769" t="n">
        <v>3</v>
      </c>
      <c r="D9769" t="inlineStr">
        <is>
          <t>Hub C</t>
        </is>
      </c>
      <c r="E9769" t="n">
        <v>54</v>
      </c>
      <c r="F9769" t="n">
        <v>50</v>
      </c>
    </row>
    <row r="9770">
      <c r="A9770" t="inlineStr">
        <is>
          <t>ORD09769</t>
        </is>
      </c>
      <c r="B9770" t="inlineStr">
        <is>
          <t>C2269</t>
        </is>
      </c>
      <c r="C9770" t="n">
        <v>1</v>
      </c>
      <c r="D9770" t="inlineStr">
        <is>
          <t>Hub C</t>
        </is>
      </c>
      <c r="E9770" t="n">
        <v>61</v>
      </c>
      <c r="F9770" t="n">
        <v>50</v>
      </c>
    </row>
    <row r="9771">
      <c r="A9771" t="inlineStr">
        <is>
          <t>ORD09770</t>
        </is>
      </c>
      <c r="B9771" t="inlineStr">
        <is>
          <t>C2270</t>
        </is>
      </c>
      <c r="C9771" t="n">
        <v>2</v>
      </c>
      <c r="D9771" t="inlineStr">
        <is>
          <t>Hub C</t>
        </is>
      </c>
      <c r="E9771" t="n">
        <v>68</v>
      </c>
      <c r="F9771" t="n">
        <v>50</v>
      </c>
    </row>
    <row r="9772">
      <c r="A9772" t="inlineStr">
        <is>
          <t>ORD09771</t>
        </is>
      </c>
      <c r="B9772" t="inlineStr">
        <is>
          <t>C2271</t>
        </is>
      </c>
      <c r="C9772" t="n">
        <v>3</v>
      </c>
      <c r="D9772" t="inlineStr">
        <is>
          <t>Hub C</t>
        </is>
      </c>
      <c r="E9772" t="n">
        <v>75</v>
      </c>
      <c r="F9772" t="n">
        <v>50</v>
      </c>
    </row>
    <row r="9773">
      <c r="A9773" t="inlineStr">
        <is>
          <t>ORD09772</t>
        </is>
      </c>
      <c r="B9773" t="inlineStr">
        <is>
          <t>C2272</t>
        </is>
      </c>
      <c r="C9773" t="n">
        <v>1</v>
      </c>
      <c r="D9773" t="inlineStr">
        <is>
          <t>Hub C</t>
        </is>
      </c>
      <c r="E9773" t="n">
        <v>22</v>
      </c>
      <c r="F9773" t="n">
        <v>50</v>
      </c>
    </row>
    <row r="9774">
      <c r="A9774" t="inlineStr">
        <is>
          <t>ORD09773</t>
        </is>
      </c>
      <c r="B9774" t="inlineStr">
        <is>
          <t>C2273</t>
        </is>
      </c>
      <c r="C9774" t="n">
        <v>2</v>
      </c>
      <c r="D9774" t="inlineStr">
        <is>
          <t>Hub C</t>
        </is>
      </c>
      <c r="E9774" t="n">
        <v>29</v>
      </c>
      <c r="F9774" t="n">
        <v>50</v>
      </c>
    </row>
    <row r="9775">
      <c r="A9775" t="inlineStr">
        <is>
          <t>ORD09774</t>
        </is>
      </c>
      <c r="B9775" t="inlineStr">
        <is>
          <t>C2274</t>
        </is>
      </c>
      <c r="C9775" t="n">
        <v>3</v>
      </c>
      <c r="D9775" t="inlineStr">
        <is>
          <t>Hub C</t>
        </is>
      </c>
      <c r="E9775" t="n">
        <v>36</v>
      </c>
      <c r="F9775" t="n">
        <v>50</v>
      </c>
    </row>
    <row r="9776">
      <c r="A9776" t="inlineStr">
        <is>
          <t>ORD09775</t>
        </is>
      </c>
      <c r="B9776" t="inlineStr">
        <is>
          <t>C2275</t>
        </is>
      </c>
      <c r="C9776" t="n">
        <v>1</v>
      </c>
      <c r="D9776" t="inlineStr">
        <is>
          <t>Hub C</t>
        </is>
      </c>
      <c r="E9776" t="n">
        <v>43</v>
      </c>
      <c r="F9776" t="n">
        <v>50</v>
      </c>
    </row>
    <row r="9777">
      <c r="A9777" t="inlineStr">
        <is>
          <t>ORD09776</t>
        </is>
      </c>
      <c r="B9777" t="inlineStr">
        <is>
          <t>C2276</t>
        </is>
      </c>
      <c r="C9777" t="n">
        <v>2</v>
      </c>
      <c r="D9777" t="inlineStr">
        <is>
          <t>Hub C</t>
        </is>
      </c>
      <c r="E9777" t="n">
        <v>50</v>
      </c>
      <c r="F9777" t="n">
        <v>50</v>
      </c>
    </row>
    <row r="9778">
      <c r="A9778" t="inlineStr">
        <is>
          <t>ORD09777</t>
        </is>
      </c>
      <c r="B9778" t="inlineStr">
        <is>
          <t>C2277</t>
        </is>
      </c>
      <c r="C9778" t="n">
        <v>3</v>
      </c>
      <c r="D9778" t="inlineStr">
        <is>
          <t>Hub C</t>
        </is>
      </c>
      <c r="E9778" t="n">
        <v>57</v>
      </c>
      <c r="F9778" t="n">
        <v>50</v>
      </c>
    </row>
    <row r="9779">
      <c r="A9779" t="inlineStr">
        <is>
          <t>ORD09778</t>
        </is>
      </c>
      <c r="B9779" t="inlineStr">
        <is>
          <t>C2278</t>
        </is>
      </c>
      <c r="C9779" t="n">
        <v>1</v>
      </c>
      <c r="D9779" t="inlineStr">
        <is>
          <t>Hub C</t>
        </is>
      </c>
      <c r="E9779" t="n">
        <v>64</v>
      </c>
      <c r="F9779" t="n">
        <v>50</v>
      </c>
    </row>
    <row r="9780">
      <c r="A9780" t="inlineStr">
        <is>
          <t>ORD09779</t>
        </is>
      </c>
      <c r="B9780" t="inlineStr">
        <is>
          <t>C2279</t>
        </is>
      </c>
      <c r="C9780" t="n">
        <v>2</v>
      </c>
      <c r="D9780" t="inlineStr">
        <is>
          <t>Hub C</t>
        </is>
      </c>
      <c r="E9780" t="n">
        <v>71</v>
      </c>
      <c r="F9780" t="n">
        <v>50</v>
      </c>
    </row>
    <row r="9781">
      <c r="A9781" t="inlineStr">
        <is>
          <t>ORD09780</t>
        </is>
      </c>
      <c r="B9781" t="inlineStr">
        <is>
          <t>C2280</t>
        </is>
      </c>
      <c r="C9781" t="n">
        <v>3</v>
      </c>
      <c r="D9781" t="inlineStr">
        <is>
          <t>Hub C</t>
        </is>
      </c>
      <c r="E9781" t="n">
        <v>18</v>
      </c>
      <c r="F9781" t="n">
        <v>50</v>
      </c>
    </row>
    <row r="9782">
      <c r="A9782" t="inlineStr">
        <is>
          <t>ORD09781</t>
        </is>
      </c>
      <c r="B9782" t="inlineStr">
        <is>
          <t>C2281</t>
        </is>
      </c>
      <c r="C9782" t="n">
        <v>1</v>
      </c>
      <c r="D9782" t="inlineStr">
        <is>
          <t>Hub C</t>
        </is>
      </c>
      <c r="E9782" t="n">
        <v>25</v>
      </c>
      <c r="F9782" t="n">
        <v>50</v>
      </c>
    </row>
    <row r="9783">
      <c r="A9783" t="inlineStr">
        <is>
          <t>ORD09782</t>
        </is>
      </c>
      <c r="B9783" t="inlineStr">
        <is>
          <t>C2282</t>
        </is>
      </c>
      <c r="C9783" t="n">
        <v>2</v>
      </c>
      <c r="D9783" t="inlineStr">
        <is>
          <t>Hub C</t>
        </is>
      </c>
      <c r="E9783" t="n">
        <v>32</v>
      </c>
      <c r="F9783" t="n">
        <v>50</v>
      </c>
    </row>
    <row r="9784">
      <c r="A9784" t="inlineStr">
        <is>
          <t>ORD09783</t>
        </is>
      </c>
      <c r="B9784" t="inlineStr">
        <is>
          <t>C2283</t>
        </is>
      </c>
      <c r="C9784" t="n">
        <v>3</v>
      </c>
      <c r="D9784" t="inlineStr">
        <is>
          <t>Hub C</t>
        </is>
      </c>
      <c r="E9784" t="n">
        <v>39</v>
      </c>
      <c r="F9784" t="n">
        <v>50</v>
      </c>
    </row>
    <row r="9785">
      <c r="A9785" t="inlineStr">
        <is>
          <t>ORD09784</t>
        </is>
      </c>
      <c r="B9785" t="inlineStr">
        <is>
          <t>C2284</t>
        </is>
      </c>
      <c r="C9785" t="n">
        <v>1</v>
      </c>
      <c r="D9785" t="inlineStr">
        <is>
          <t>Hub C</t>
        </is>
      </c>
      <c r="E9785" t="n">
        <v>46</v>
      </c>
      <c r="F9785" t="n">
        <v>50</v>
      </c>
    </row>
    <row r="9786">
      <c r="A9786" t="inlineStr">
        <is>
          <t>ORD09785</t>
        </is>
      </c>
      <c r="B9786" t="inlineStr">
        <is>
          <t>C2285</t>
        </is>
      </c>
      <c r="C9786" t="n">
        <v>2</v>
      </c>
      <c r="D9786" t="inlineStr">
        <is>
          <t>Hub C</t>
        </is>
      </c>
      <c r="E9786" t="n">
        <v>53</v>
      </c>
      <c r="F9786" t="n">
        <v>50</v>
      </c>
    </row>
    <row r="9787">
      <c r="A9787" t="inlineStr">
        <is>
          <t>ORD09786</t>
        </is>
      </c>
      <c r="B9787" t="inlineStr">
        <is>
          <t>C2286</t>
        </is>
      </c>
      <c r="C9787" t="n">
        <v>3</v>
      </c>
      <c r="D9787" t="inlineStr">
        <is>
          <t>Hub C</t>
        </is>
      </c>
      <c r="E9787" t="n">
        <v>60</v>
      </c>
      <c r="F9787" t="n">
        <v>50</v>
      </c>
    </row>
    <row r="9788">
      <c r="A9788" t="inlineStr">
        <is>
          <t>ORD09787</t>
        </is>
      </c>
      <c r="B9788" t="inlineStr">
        <is>
          <t>C2287</t>
        </is>
      </c>
      <c r="C9788" t="n">
        <v>1</v>
      </c>
      <c r="D9788" t="inlineStr">
        <is>
          <t>Hub C</t>
        </is>
      </c>
      <c r="E9788" t="n">
        <v>67</v>
      </c>
      <c r="F9788" t="n">
        <v>50</v>
      </c>
    </row>
    <row r="9789">
      <c r="A9789" t="inlineStr">
        <is>
          <t>ORD09788</t>
        </is>
      </c>
      <c r="B9789" t="inlineStr">
        <is>
          <t>C2288</t>
        </is>
      </c>
      <c r="C9789" t="n">
        <v>2</v>
      </c>
      <c r="D9789" t="inlineStr">
        <is>
          <t>Hub C</t>
        </is>
      </c>
      <c r="E9789" t="n">
        <v>74</v>
      </c>
      <c r="F9789" t="n">
        <v>50</v>
      </c>
    </row>
    <row r="9790">
      <c r="A9790" t="inlineStr">
        <is>
          <t>ORD09789</t>
        </is>
      </c>
      <c r="B9790" t="inlineStr">
        <is>
          <t>C2289</t>
        </is>
      </c>
      <c r="C9790" t="n">
        <v>3</v>
      </c>
      <c r="D9790" t="inlineStr">
        <is>
          <t>Hub C</t>
        </is>
      </c>
      <c r="E9790" t="n">
        <v>21</v>
      </c>
      <c r="F9790" t="n">
        <v>50</v>
      </c>
    </row>
    <row r="9791">
      <c r="A9791" t="inlineStr">
        <is>
          <t>ORD09790</t>
        </is>
      </c>
      <c r="B9791" t="inlineStr">
        <is>
          <t>C2290</t>
        </is>
      </c>
      <c r="C9791" t="n">
        <v>1</v>
      </c>
      <c r="D9791" t="inlineStr">
        <is>
          <t>Hub C</t>
        </is>
      </c>
      <c r="E9791" t="n">
        <v>28</v>
      </c>
      <c r="F9791" t="n">
        <v>50</v>
      </c>
    </row>
    <row r="9792">
      <c r="A9792" t="inlineStr">
        <is>
          <t>ORD09791</t>
        </is>
      </c>
      <c r="B9792" t="inlineStr">
        <is>
          <t>C2291</t>
        </is>
      </c>
      <c r="C9792" t="n">
        <v>2</v>
      </c>
      <c r="D9792" t="inlineStr">
        <is>
          <t>Hub C</t>
        </is>
      </c>
      <c r="E9792" t="n">
        <v>35</v>
      </c>
      <c r="F9792" t="n">
        <v>50</v>
      </c>
    </row>
    <row r="9793">
      <c r="A9793" t="inlineStr">
        <is>
          <t>ORD09792</t>
        </is>
      </c>
      <c r="B9793" t="inlineStr">
        <is>
          <t>C2292</t>
        </is>
      </c>
      <c r="C9793" t="n">
        <v>3</v>
      </c>
      <c r="D9793" t="inlineStr">
        <is>
          <t>Hub C</t>
        </is>
      </c>
      <c r="E9793" t="n">
        <v>42</v>
      </c>
      <c r="F9793" t="n">
        <v>50</v>
      </c>
    </row>
    <row r="9794">
      <c r="A9794" t="inlineStr">
        <is>
          <t>ORD09793</t>
        </is>
      </c>
      <c r="B9794" t="inlineStr">
        <is>
          <t>C2293</t>
        </is>
      </c>
      <c r="C9794" t="n">
        <v>1</v>
      </c>
      <c r="D9794" t="inlineStr">
        <is>
          <t>Hub C</t>
        </is>
      </c>
      <c r="E9794" t="n">
        <v>49</v>
      </c>
      <c r="F9794" t="n">
        <v>50</v>
      </c>
    </row>
    <row r="9795">
      <c r="A9795" t="inlineStr">
        <is>
          <t>ORD09794</t>
        </is>
      </c>
      <c r="B9795" t="inlineStr">
        <is>
          <t>C2294</t>
        </is>
      </c>
      <c r="C9795" t="n">
        <v>2</v>
      </c>
      <c r="D9795" t="inlineStr">
        <is>
          <t>Hub C</t>
        </is>
      </c>
      <c r="E9795" t="n">
        <v>56</v>
      </c>
      <c r="F9795" t="n">
        <v>50</v>
      </c>
    </row>
    <row r="9796">
      <c r="A9796" t="inlineStr">
        <is>
          <t>ORD09795</t>
        </is>
      </c>
      <c r="B9796" t="inlineStr">
        <is>
          <t>C2295</t>
        </is>
      </c>
      <c r="C9796" t="n">
        <v>3</v>
      </c>
      <c r="D9796" t="inlineStr">
        <is>
          <t>Hub C</t>
        </is>
      </c>
      <c r="E9796" t="n">
        <v>63</v>
      </c>
      <c r="F9796" t="n">
        <v>50</v>
      </c>
    </row>
    <row r="9797">
      <c r="A9797" t="inlineStr">
        <is>
          <t>ORD09796</t>
        </is>
      </c>
      <c r="B9797" t="inlineStr">
        <is>
          <t>C2296</t>
        </is>
      </c>
      <c r="C9797" t="n">
        <v>1</v>
      </c>
      <c r="D9797" t="inlineStr">
        <is>
          <t>Hub C</t>
        </is>
      </c>
      <c r="E9797" t="n">
        <v>70</v>
      </c>
      <c r="F9797" t="n">
        <v>50</v>
      </c>
    </row>
    <row r="9798">
      <c r="A9798" t="inlineStr">
        <is>
          <t>ORD09797</t>
        </is>
      </c>
      <c r="B9798" t="inlineStr">
        <is>
          <t>C2297</t>
        </is>
      </c>
      <c r="C9798" t="n">
        <v>2</v>
      </c>
      <c r="D9798" t="inlineStr">
        <is>
          <t>Hub C</t>
        </is>
      </c>
      <c r="E9798" t="n">
        <v>77</v>
      </c>
      <c r="F9798" t="n">
        <v>50</v>
      </c>
    </row>
    <row r="9799">
      <c r="A9799" t="inlineStr">
        <is>
          <t>ORD09798</t>
        </is>
      </c>
      <c r="B9799" t="inlineStr">
        <is>
          <t>C2298</t>
        </is>
      </c>
      <c r="C9799" t="n">
        <v>3</v>
      </c>
      <c r="D9799" t="inlineStr">
        <is>
          <t>Hub C</t>
        </is>
      </c>
      <c r="E9799" t="n">
        <v>24</v>
      </c>
      <c r="F9799" t="n">
        <v>50</v>
      </c>
    </row>
    <row r="9800">
      <c r="A9800" t="inlineStr">
        <is>
          <t>ORD09799</t>
        </is>
      </c>
      <c r="B9800" t="inlineStr">
        <is>
          <t>C2299</t>
        </is>
      </c>
      <c r="C9800" t="n">
        <v>1</v>
      </c>
      <c r="D9800" t="inlineStr">
        <is>
          <t>Hub C</t>
        </is>
      </c>
      <c r="E9800" t="n">
        <v>31</v>
      </c>
      <c r="F9800" t="n">
        <v>50</v>
      </c>
    </row>
    <row r="9801">
      <c r="A9801" t="inlineStr">
        <is>
          <t>ORD09800</t>
        </is>
      </c>
      <c r="B9801" t="inlineStr">
        <is>
          <t>C2300</t>
        </is>
      </c>
      <c r="C9801" t="n">
        <v>2</v>
      </c>
      <c r="D9801" t="inlineStr">
        <is>
          <t>Hub C</t>
        </is>
      </c>
      <c r="E9801" t="n">
        <v>38</v>
      </c>
      <c r="F9801" t="n">
        <v>50</v>
      </c>
    </row>
    <row r="9802">
      <c r="A9802" t="inlineStr">
        <is>
          <t>ORD09801</t>
        </is>
      </c>
      <c r="B9802" t="inlineStr">
        <is>
          <t>C2301</t>
        </is>
      </c>
      <c r="C9802" t="n">
        <v>3</v>
      </c>
      <c r="D9802" t="inlineStr">
        <is>
          <t>Hub C</t>
        </is>
      </c>
      <c r="E9802" t="n">
        <v>45</v>
      </c>
      <c r="F9802" t="n">
        <v>50</v>
      </c>
    </row>
    <row r="9803">
      <c r="A9803" t="inlineStr">
        <is>
          <t>ORD09802</t>
        </is>
      </c>
      <c r="B9803" t="inlineStr">
        <is>
          <t>C2302</t>
        </is>
      </c>
      <c r="C9803" t="n">
        <v>1</v>
      </c>
      <c r="D9803" t="inlineStr">
        <is>
          <t>Hub C</t>
        </is>
      </c>
      <c r="E9803" t="n">
        <v>52</v>
      </c>
      <c r="F9803" t="n">
        <v>50</v>
      </c>
    </row>
    <row r="9804">
      <c r="A9804" t="inlineStr">
        <is>
          <t>ORD09803</t>
        </is>
      </c>
      <c r="B9804" t="inlineStr">
        <is>
          <t>C2303</t>
        </is>
      </c>
      <c r="C9804" t="n">
        <v>2</v>
      </c>
      <c r="D9804" t="inlineStr">
        <is>
          <t>Hub C</t>
        </is>
      </c>
      <c r="E9804" t="n">
        <v>59</v>
      </c>
      <c r="F9804" t="n">
        <v>50</v>
      </c>
    </row>
    <row r="9805">
      <c r="A9805" t="inlineStr">
        <is>
          <t>ORD09804</t>
        </is>
      </c>
      <c r="B9805" t="inlineStr">
        <is>
          <t>C2304</t>
        </is>
      </c>
      <c r="C9805" t="n">
        <v>3</v>
      </c>
      <c r="D9805" t="inlineStr">
        <is>
          <t>Hub C</t>
        </is>
      </c>
      <c r="E9805" t="n">
        <v>66</v>
      </c>
      <c r="F9805" t="n">
        <v>50</v>
      </c>
    </row>
    <row r="9806">
      <c r="A9806" t="inlineStr">
        <is>
          <t>ORD09805</t>
        </is>
      </c>
      <c r="B9806" t="inlineStr">
        <is>
          <t>C2305</t>
        </is>
      </c>
      <c r="C9806" t="n">
        <v>1</v>
      </c>
      <c r="D9806" t="inlineStr">
        <is>
          <t>Hub C</t>
        </is>
      </c>
      <c r="E9806" t="n">
        <v>73</v>
      </c>
      <c r="F9806" t="n">
        <v>50</v>
      </c>
    </row>
    <row r="9807">
      <c r="A9807" t="inlineStr">
        <is>
          <t>ORD09806</t>
        </is>
      </c>
      <c r="B9807" t="inlineStr">
        <is>
          <t>C2306</t>
        </is>
      </c>
      <c r="C9807" t="n">
        <v>2</v>
      </c>
      <c r="D9807" t="inlineStr">
        <is>
          <t>Hub C</t>
        </is>
      </c>
      <c r="E9807" t="n">
        <v>20</v>
      </c>
      <c r="F9807" t="n">
        <v>50</v>
      </c>
    </row>
    <row r="9808">
      <c r="A9808" t="inlineStr">
        <is>
          <t>ORD09807</t>
        </is>
      </c>
      <c r="B9808" t="inlineStr">
        <is>
          <t>C2307</t>
        </is>
      </c>
      <c r="C9808" t="n">
        <v>3</v>
      </c>
      <c r="D9808" t="inlineStr">
        <is>
          <t>Hub C</t>
        </is>
      </c>
      <c r="E9808" t="n">
        <v>27</v>
      </c>
      <c r="F9808" t="n">
        <v>50</v>
      </c>
    </row>
    <row r="9809">
      <c r="A9809" t="inlineStr">
        <is>
          <t>ORD09808</t>
        </is>
      </c>
      <c r="B9809" t="inlineStr">
        <is>
          <t>C2308</t>
        </is>
      </c>
      <c r="C9809" t="n">
        <v>1</v>
      </c>
      <c r="D9809" t="inlineStr">
        <is>
          <t>Hub C</t>
        </is>
      </c>
      <c r="E9809" t="n">
        <v>34</v>
      </c>
      <c r="F9809" t="n">
        <v>50</v>
      </c>
    </row>
    <row r="9810">
      <c r="A9810" t="inlineStr">
        <is>
          <t>ORD09809</t>
        </is>
      </c>
      <c r="B9810" t="inlineStr">
        <is>
          <t>C2309</t>
        </is>
      </c>
      <c r="C9810" t="n">
        <v>2</v>
      </c>
      <c r="D9810" t="inlineStr">
        <is>
          <t>Hub C</t>
        </is>
      </c>
      <c r="E9810" t="n">
        <v>41</v>
      </c>
      <c r="F9810" t="n">
        <v>50</v>
      </c>
    </row>
    <row r="9811">
      <c r="A9811" t="inlineStr">
        <is>
          <t>ORD09810</t>
        </is>
      </c>
      <c r="B9811" t="inlineStr">
        <is>
          <t>C2310</t>
        </is>
      </c>
      <c r="C9811" t="n">
        <v>3</v>
      </c>
      <c r="D9811" t="inlineStr">
        <is>
          <t>Hub C</t>
        </is>
      </c>
      <c r="E9811" t="n">
        <v>48</v>
      </c>
      <c r="F9811" t="n">
        <v>50</v>
      </c>
    </row>
    <row r="9812">
      <c r="A9812" t="inlineStr">
        <is>
          <t>ORD09811</t>
        </is>
      </c>
      <c r="B9812" t="inlineStr">
        <is>
          <t>C2311</t>
        </is>
      </c>
      <c r="C9812" t="n">
        <v>1</v>
      </c>
      <c r="D9812" t="inlineStr">
        <is>
          <t>Hub C</t>
        </is>
      </c>
      <c r="E9812" t="n">
        <v>55</v>
      </c>
      <c r="F9812" t="n">
        <v>50</v>
      </c>
    </row>
    <row r="9813">
      <c r="A9813" t="inlineStr">
        <is>
          <t>ORD09812</t>
        </is>
      </c>
      <c r="B9813" t="inlineStr">
        <is>
          <t>C2312</t>
        </is>
      </c>
      <c r="C9813" t="n">
        <v>2</v>
      </c>
      <c r="D9813" t="inlineStr">
        <is>
          <t>Hub C</t>
        </is>
      </c>
      <c r="E9813" t="n">
        <v>62</v>
      </c>
      <c r="F9813" t="n">
        <v>50</v>
      </c>
    </row>
    <row r="9814">
      <c r="A9814" t="inlineStr">
        <is>
          <t>ORD09813</t>
        </is>
      </c>
      <c r="B9814" t="inlineStr">
        <is>
          <t>C2313</t>
        </is>
      </c>
      <c r="C9814" t="n">
        <v>3</v>
      </c>
      <c r="D9814" t="inlineStr">
        <is>
          <t>Hub C</t>
        </is>
      </c>
      <c r="E9814" t="n">
        <v>69</v>
      </c>
      <c r="F9814" t="n">
        <v>50</v>
      </c>
    </row>
    <row r="9815">
      <c r="A9815" t="inlineStr">
        <is>
          <t>ORD09814</t>
        </is>
      </c>
      <c r="B9815" t="inlineStr">
        <is>
          <t>C2314</t>
        </is>
      </c>
      <c r="C9815" t="n">
        <v>1</v>
      </c>
      <c r="D9815" t="inlineStr">
        <is>
          <t>Hub C</t>
        </is>
      </c>
      <c r="E9815" t="n">
        <v>76</v>
      </c>
      <c r="F9815" t="n">
        <v>50</v>
      </c>
    </row>
    <row r="9816">
      <c r="A9816" t="inlineStr">
        <is>
          <t>ORD09815</t>
        </is>
      </c>
      <c r="B9816" t="inlineStr">
        <is>
          <t>C2315</t>
        </is>
      </c>
      <c r="C9816" t="n">
        <v>2</v>
      </c>
      <c r="D9816" t="inlineStr">
        <is>
          <t>Hub C</t>
        </is>
      </c>
      <c r="E9816" t="n">
        <v>23</v>
      </c>
      <c r="F9816" t="n">
        <v>50</v>
      </c>
    </row>
    <row r="9817">
      <c r="A9817" t="inlineStr">
        <is>
          <t>ORD09816</t>
        </is>
      </c>
      <c r="B9817" t="inlineStr">
        <is>
          <t>C2316</t>
        </is>
      </c>
      <c r="C9817" t="n">
        <v>3</v>
      </c>
      <c r="D9817" t="inlineStr">
        <is>
          <t>Hub C</t>
        </is>
      </c>
      <c r="E9817" t="n">
        <v>30</v>
      </c>
      <c r="F9817" t="n">
        <v>50</v>
      </c>
    </row>
    <row r="9818">
      <c r="A9818" t="inlineStr">
        <is>
          <t>ORD09817</t>
        </is>
      </c>
      <c r="B9818" t="inlineStr">
        <is>
          <t>C2317</t>
        </is>
      </c>
      <c r="C9818" t="n">
        <v>1</v>
      </c>
      <c r="D9818" t="inlineStr">
        <is>
          <t>Hub C</t>
        </is>
      </c>
      <c r="E9818" t="n">
        <v>37</v>
      </c>
      <c r="F9818" t="n">
        <v>50</v>
      </c>
    </row>
    <row r="9819">
      <c r="A9819" t="inlineStr">
        <is>
          <t>ORD09818</t>
        </is>
      </c>
      <c r="B9819" t="inlineStr">
        <is>
          <t>C2318</t>
        </is>
      </c>
      <c r="C9819" t="n">
        <v>2</v>
      </c>
      <c r="D9819" t="inlineStr">
        <is>
          <t>Hub C</t>
        </is>
      </c>
      <c r="E9819" t="n">
        <v>44</v>
      </c>
      <c r="F9819" t="n">
        <v>50</v>
      </c>
    </row>
    <row r="9820">
      <c r="A9820" t="inlineStr">
        <is>
          <t>ORD09819</t>
        </is>
      </c>
      <c r="B9820" t="inlineStr">
        <is>
          <t>C2319</t>
        </is>
      </c>
      <c r="C9820" t="n">
        <v>3</v>
      </c>
      <c r="D9820" t="inlineStr">
        <is>
          <t>Hub C</t>
        </is>
      </c>
      <c r="E9820" t="n">
        <v>51</v>
      </c>
      <c r="F9820" t="n">
        <v>50</v>
      </c>
    </row>
    <row r="9821">
      <c r="A9821" t="inlineStr">
        <is>
          <t>ORD09820</t>
        </is>
      </c>
      <c r="B9821" t="inlineStr">
        <is>
          <t>C2320</t>
        </is>
      </c>
      <c r="C9821" t="n">
        <v>1</v>
      </c>
      <c r="D9821" t="inlineStr">
        <is>
          <t>Hub C</t>
        </is>
      </c>
      <c r="E9821" t="n">
        <v>58</v>
      </c>
      <c r="F9821" t="n">
        <v>50</v>
      </c>
    </row>
    <row r="9822">
      <c r="A9822" t="inlineStr">
        <is>
          <t>ORD09821</t>
        </is>
      </c>
      <c r="B9822" t="inlineStr">
        <is>
          <t>C2321</t>
        </is>
      </c>
      <c r="C9822" t="n">
        <v>2</v>
      </c>
      <c r="D9822" t="inlineStr">
        <is>
          <t>Hub C</t>
        </is>
      </c>
      <c r="E9822" t="n">
        <v>65</v>
      </c>
      <c r="F9822" t="n">
        <v>50</v>
      </c>
    </row>
    <row r="9823">
      <c r="A9823" t="inlineStr">
        <is>
          <t>ORD09822</t>
        </is>
      </c>
      <c r="B9823" t="inlineStr">
        <is>
          <t>C2322</t>
        </is>
      </c>
      <c r="C9823" t="n">
        <v>3</v>
      </c>
      <c r="D9823" t="inlineStr">
        <is>
          <t>Hub C</t>
        </is>
      </c>
      <c r="E9823" t="n">
        <v>72</v>
      </c>
      <c r="F9823" t="n">
        <v>50</v>
      </c>
    </row>
    <row r="9824">
      <c r="A9824" t="inlineStr">
        <is>
          <t>ORD09823</t>
        </is>
      </c>
      <c r="B9824" t="inlineStr">
        <is>
          <t>C2323</t>
        </is>
      </c>
      <c r="C9824" t="n">
        <v>1</v>
      </c>
      <c r="D9824" t="inlineStr">
        <is>
          <t>Hub C</t>
        </is>
      </c>
      <c r="E9824" t="n">
        <v>19</v>
      </c>
      <c r="F9824" t="n">
        <v>50</v>
      </c>
    </row>
    <row r="9825">
      <c r="A9825" t="inlineStr">
        <is>
          <t>ORD09824</t>
        </is>
      </c>
      <c r="B9825" t="inlineStr">
        <is>
          <t>C2324</t>
        </is>
      </c>
      <c r="C9825" t="n">
        <v>2</v>
      </c>
      <c r="D9825" t="inlineStr">
        <is>
          <t>Hub C</t>
        </is>
      </c>
      <c r="E9825" t="n">
        <v>26</v>
      </c>
      <c r="F9825" t="n">
        <v>50</v>
      </c>
    </row>
    <row r="9826">
      <c r="A9826" t="inlineStr">
        <is>
          <t>ORD09825</t>
        </is>
      </c>
      <c r="B9826" t="inlineStr">
        <is>
          <t>C2325</t>
        </is>
      </c>
      <c r="C9826" t="n">
        <v>3</v>
      </c>
      <c r="D9826" t="inlineStr">
        <is>
          <t>Hub C</t>
        </is>
      </c>
      <c r="E9826" t="n">
        <v>33</v>
      </c>
      <c r="F9826" t="n">
        <v>50</v>
      </c>
    </row>
    <row r="9827">
      <c r="A9827" t="inlineStr">
        <is>
          <t>ORD09826</t>
        </is>
      </c>
      <c r="B9827" t="inlineStr">
        <is>
          <t>C2326</t>
        </is>
      </c>
      <c r="C9827" t="n">
        <v>1</v>
      </c>
      <c r="D9827" t="inlineStr">
        <is>
          <t>Hub C</t>
        </is>
      </c>
      <c r="E9827" t="n">
        <v>40</v>
      </c>
      <c r="F9827" t="n">
        <v>50</v>
      </c>
    </row>
    <row r="9828">
      <c r="A9828" t="inlineStr">
        <is>
          <t>ORD09827</t>
        </is>
      </c>
      <c r="B9828" t="inlineStr">
        <is>
          <t>C2327</t>
        </is>
      </c>
      <c r="C9828" t="n">
        <v>2</v>
      </c>
      <c r="D9828" t="inlineStr">
        <is>
          <t>Hub C</t>
        </is>
      </c>
      <c r="E9828" t="n">
        <v>47</v>
      </c>
      <c r="F9828" t="n">
        <v>50</v>
      </c>
    </row>
    <row r="9829">
      <c r="A9829" t="inlineStr">
        <is>
          <t>ORD09828</t>
        </is>
      </c>
      <c r="B9829" t="inlineStr">
        <is>
          <t>C2328</t>
        </is>
      </c>
      <c r="C9829" t="n">
        <v>3</v>
      </c>
      <c r="D9829" t="inlineStr">
        <is>
          <t>Hub C</t>
        </is>
      </c>
      <c r="E9829" t="n">
        <v>54</v>
      </c>
      <c r="F9829" t="n">
        <v>50</v>
      </c>
    </row>
    <row r="9830">
      <c r="A9830" t="inlineStr">
        <is>
          <t>ORD09829</t>
        </is>
      </c>
      <c r="B9830" t="inlineStr">
        <is>
          <t>C2329</t>
        </is>
      </c>
      <c r="C9830" t="n">
        <v>1</v>
      </c>
      <c r="D9830" t="inlineStr">
        <is>
          <t>Hub C</t>
        </is>
      </c>
      <c r="E9830" t="n">
        <v>61</v>
      </c>
      <c r="F9830" t="n">
        <v>50</v>
      </c>
    </row>
    <row r="9831">
      <c r="A9831" t="inlineStr">
        <is>
          <t>ORD09830</t>
        </is>
      </c>
      <c r="B9831" t="inlineStr">
        <is>
          <t>C2330</t>
        </is>
      </c>
      <c r="C9831" t="n">
        <v>2</v>
      </c>
      <c r="D9831" t="inlineStr">
        <is>
          <t>Hub C</t>
        </is>
      </c>
      <c r="E9831" t="n">
        <v>68</v>
      </c>
      <c r="F9831" t="n">
        <v>60</v>
      </c>
    </row>
    <row r="9832">
      <c r="A9832" t="inlineStr">
        <is>
          <t>ORD09831</t>
        </is>
      </c>
      <c r="B9832" t="inlineStr">
        <is>
          <t>C2331</t>
        </is>
      </c>
      <c r="C9832" t="n">
        <v>3</v>
      </c>
      <c r="D9832" t="inlineStr">
        <is>
          <t>Hub C</t>
        </is>
      </c>
      <c r="E9832" t="n">
        <v>75</v>
      </c>
      <c r="F9832" t="n">
        <v>60</v>
      </c>
    </row>
    <row r="9833">
      <c r="A9833" t="inlineStr">
        <is>
          <t>ORD09832</t>
        </is>
      </c>
      <c r="B9833" t="inlineStr">
        <is>
          <t>C2332</t>
        </is>
      </c>
      <c r="C9833" t="n">
        <v>1</v>
      </c>
      <c r="D9833" t="inlineStr">
        <is>
          <t>Hub C</t>
        </is>
      </c>
      <c r="E9833" t="n">
        <v>22</v>
      </c>
      <c r="F9833" t="n">
        <v>60</v>
      </c>
    </row>
    <row r="9834">
      <c r="A9834" t="inlineStr">
        <is>
          <t>ORD09833</t>
        </is>
      </c>
      <c r="B9834" t="inlineStr">
        <is>
          <t>C2333</t>
        </is>
      </c>
      <c r="C9834" t="n">
        <v>2</v>
      </c>
      <c r="D9834" t="inlineStr">
        <is>
          <t>Hub C</t>
        </is>
      </c>
      <c r="E9834" t="n">
        <v>29</v>
      </c>
      <c r="F9834" t="n">
        <v>60</v>
      </c>
    </row>
    <row r="9835">
      <c r="A9835" t="inlineStr">
        <is>
          <t>ORD09834</t>
        </is>
      </c>
      <c r="B9835" t="inlineStr">
        <is>
          <t>C2334</t>
        </is>
      </c>
      <c r="C9835" t="n">
        <v>3</v>
      </c>
      <c r="D9835" t="inlineStr">
        <is>
          <t>Hub C</t>
        </is>
      </c>
      <c r="E9835" t="n">
        <v>36</v>
      </c>
      <c r="F9835" t="n">
        <v>60</v>
      </c>
    </row>
    <row r="9836">
      <c r="A9836" t="inlineStr">
        <is>
          <t>ORD09835</t>
        </is>
      </c>
      <c r="B9836" t="inlineStr">
        <is>
          <t>C2335</t>
        </is>
      </c>
      <c r="C9836" t="n">
        <v>1</v>
      </c>
      <c r="D9836" t="inlineStr">
        <is>
          <t>Hub C</t>
        </is>
      </c>
      <c r="E9836" t="n">
        <v>43</v>
      </c>
      <c r="F9836" t="n">
        <v>60</v>
      </c>
    </row>
    <row r="9837">
      <c r="A9837" t="inlineStr">
        <is>
          <t>ORD09836</t>
        </is>
      </c>
      <c r="B9837" t="inlineStr">
        <is>
          <t>C2336</t>
        </is>
      </c>
      <c r="C9837" t="n">
        <v>2</v>
      </c>
      <c r="D9837" t="inlineStr">
        <is>
          <t>Hub C</t>
        </is>
      </c>
      <c r="E9837" t="n">
        <v>50</v>
      </c>
      <c r="F9837" t="n">
        <v>60</v>
      </c>
    </row>
    <row r="9838">
      <c r="A9838" t="inlineStr">
        <is>
          <t>ORD09837</t>
        </is>
      </c>
      <c r="B9838" t="inlineStr">
        <is>
          <t>C2337</t>
        </is>
      </c>
      <c r="C9838" t="n">
        <v>3</v>
      </c>
      <c r="D9838" t="inlineStr">
        <is>
          <t>Hub C</t>
        </is>
      </c>
      <c r="E9838" t="n">
        <v>57</v>
      </c>
      <c r="F9838" t="n">
        <v>60</v>
      </c>
    </row>
    <row r="9839">
      <c r="A9839" t="inlineStr">
        <is>
          <t>ORD09838</t>
        </is>
      </c>
      <c r="B9839" t="inlineStr">
        <is>
          <t>C2338</t>
        </is>
      </c>
      <c r="C9839" t="n">
        <v>1</v>
      </c>
      <c r="D9839" t="inlineStr">
        <is>
          <t>Hub C</t>
        </is>
      </c>
      <c r="E9839" t="n">
        <v>64</v>
      </c>
      <c r="F9839" t="n">
        <v>60</v>
      </c>
    </row>
    <row r="9840">
      <c r="A9840" t="inlineStr">
        <is>
          <t>ORD09839</t>
        </is>
      </c>
      <c r="B9840" t="inlineStr">
        <is>
          <t>C2339</t>
        </is>
      </c>
      <c r="C9840" t="n">
        <v>2</v>
      </c>
      <c r="D9840" t="inlineStr">
        <is>
          <t>Hub C</t>
        </is>
      </c>
      <c r="E9840" t="n">
        <v>71</v>
      </c>
      <c r="F9840" t="n">
        <v>60</v>
      </c>
    </row>
    <row r="9841">
      <c r="A9841" t="inlineStr">
        <is>
          <t>ORD09840</t>
        </is>
      </c>
      <c r="B9841" t="inlineStr">
        <is>
          <t>C2340</t>
        </is>
      </c>
      <c r="C9841" t="n">
        <v>3</v>
      </c>
      <c r="D9841" t="inlineStr">
        <is>
          <t>Hub C</t>
        </is>
      </c>
      <c r="E9841" t="n">
        <v>18</v>
      </c>
      <c r="F9841" t="n">
        <v>60</v>
      </c>
    </row>
    <row r="9842">
      <c r="A9842" t="inlineStr">
        <is>
          <t>ORD09841</t>
        </is>
      </c>
      <c r="B9842" t="inlineStr">
        <is>
          <t>C2341</t>
        </is>
      </c>
      <c r="C9842" t="n">
        <v>1</v>
      </c>
      <c r="D9842" t="inlineStr">
        <is>
          <t>Hub C</t>
        </is>
      </c>
      <c r="E9842" t="n">
        <v>25</v>
      </c>
      <c r="F9842" t="n">
        <v>60</v>
      </c>
    </row>
    <row r="9843">
      <c r="A9843" t="inlineStr">
        <is>
          <t>ORD09842</t>
        </is>
      </c>
      <c r="B9843" t="inlineStr">
        <is>
          <t>C2342</t>
        </is>
      </c>
      <c r="C9843" t="n">
        <v>2</v>
      </c>
      <c r="D9843" t="inlineStr">
        <is>
          <t>Hub C</t>
        </is>
      </c>
      <c r="E9843" t="n">
        <v>32</v>
      </c>
      <c r="F9843" t="n">
        <v>60</v>
      </c>
    </row>
    <row r="9844">
      <c r="A9844" t="inlineStr">
        <is>
          <t>ORD09843</t>
        </is>
      </c>
      <c r="B9844" t="inlineStr">
        <is>
          <t>C2343</t>
        </is>
      </c>
      <c r="C9844" t="n">
        <v>3</v>
      </c>
      <c r="D9844" t="inlineStr">
        <is>
          <t>Hub C</t>
        </is>
      </c>
      <c r="E9844" t="n">
        <v>39</v>
      </c>
      <c r="F9844" t="n">
        <v>60</v>
      </c>
    </row>
    <row r="9845">
      <c r="A9845" t="inlineStr">
        <is>
          <t>ORD09844</t>
        </is>
      </c>
      <c r="B9845" t="inlineStr">
        <is>
          <t>C2344</t>
        </is>
      </c>
      <c r="C9845" t="n">
        <v>1</v>
      </c>
      <c r="D9845" t="inlineStr">
        <is>
          <t>Hub C</t>
        </is>
      </c>
      <c r="E9845" t="n">
        <v>46</v>
      </c>
      <c r="F9845" t="n">
        <v>60</v>
      </c>
    </row>
    <row r="9846">
      <c r="A9846" t="inlineStr">
        <is>
          <t>ORD09845</t>
        </is>
      </c>
      <c r="B9846" t="inlineStr">
        <is>
          <t>C2345</t>
        </is>
      </c>
      <c r="C9846" t="n">
        <v>2</v>
      </c>
      <c r="D9846" t="inlineStr">
        <is>
          <t>Hub C</t>
        </is>
      </c>
      <c r="E9846" t="n">
        <v>53</v>
      </c>
      <c r="F9846" t="n">
        <v>60</v>
      </c>
    </row>
    <row r="9847">
      <c r="A9847" t="inlineStr">
        <is>
          <t>ORD09846</t>
        </is>
      </c>
      <c r="B9847" t="inlineStr">
        <is>
          <t>C2346</t>
        </is>
      </c>
      <c r="C9847" t="n">
        <v>3</v>
      </c>
      <c r="D9847" t="inlineStr">
        <is>
          <t>Hub C</t>
        </is>
      </c>
      <c r="E9847" t="n">
        <v>60</v>
      </c>
      <c r="F9847" t="n">
        <v>60</v>
      </c>
    </row>
    <row r="9848">
      <c r="A9848" t="inlineStr">
        <is>
          <t>ORD09847</t>
        </is>
      </c>
      <c r="B9848" t="inlineStr">
        <is>
          <t>C2347</t>
        </is>
      </c>
      <c r="C9848" t="n">
        <v>1</v>
      </c>
      <c r="D9848" t="inlineStr">
        <is>
          <t>Hub C</t>
        </is>
      </c>
      <c r="E9848" t="n">
        <v>67</v>
      </c>
      <c r="F9848" t="n">
        <v>60</v>
      </c>
    </row>
    <row r="9849">
      <c r="A9849" t="inlineStr">
        <is>
          <t>ORD09848</t>
        </is>
      </c>
      <c r="B9849" t="inlineStr">
        <is>
          <t>C2348</t>
        </is>
      </c>
      <c r="C9849" t="n">
        <v>2</v>
      </c>
      <c r="D9849" t="inlineStr">
        <is>
          <t>Hub C</t>
        </is>
      </c>
      <c r="E9849" t="n">
        <v>74</v>
      </c>
      <c r="F9849" t="n">
        <v>60</v>
      </c>
    </row>
    <row r="9850">
      <c r="A9850" t="inlineStr">
        <is>
          <t>ORD09849</t>
        </is>
      </c>
      <c r="B9850" t="inlineStr">
        <is>
          <t>C2349</t>
        </is>
      </c>
      <c r="C9850" t="n">
        <v>3</v>
      </c>
      <c r="D9850" t="inlineStr">
        <is>
          <t>Hub C</t>
        </is>
      </c>
      <c r="E9850" t="n">
        <v>21</v>
      </c>
      <c r="F9850" t="n">
        <v>60</v>
      </c>
    </row>
    <row r="9851">
      <c r="A9851" t="inlineStr">
        <is>
          <t>ORD09850</t>
        </is>
      </c>
      <c r="B9851" t="inlineStr">
        <is>
          <t>C2350</t>
        </is>
      </c>
      <c r="C9851" t="n">
        <v>1</v>
      </c>
      <c r="D9851" t="inlineStr">
        <is>
          <t>Hub C</t>
        </is>
      </c>
      <c r="E9851" t="n">
        <v>28</v>
      </c>
      <c r="F9851" t="n">
        <v>60</v>
      </c>
    </row>
    <row r="9852">
      <c r="A9852" t="inlineStr">
        <is>
          <t>ORD09851</t>
        </is>
      </c>
      <c r="B9852" t="inlineStr">
        <is>
          <t>C2351</t>
        </is>
      </c>
      <c r="C9852" t="n">
        <v>2</v>
      </c>
      <c r="D9852" t="inlineStr">
        <is>
          <t>Hub C</t>
        </is>
      </c>
      <c r="E9852" t="n">
        <v>35</v>
      </c>
      <c r="F9852" t="n">
        <v>60</v>
      </c>
    </row>
    <row r="9853">
      <c r="A9853" t="inlineStr">
        <is>
          <t>ORD09852</t>
        </is>
      </c>
      <c r="B9853" t="inlineStr">
        <is>
          <t>C2352</t>
        </is>
      </c>
      <c r="C9853" t="n">
        <v>3</v>
      </c>
      <c r="D9853" t="inlineStr">
        <is>
          <t>Hub C</t>
        </is>
      </c>
      <c r="E9853" t="n">
        <v>42</v>
      </c>
      <c r="F9853" t="n">
        <v>60</v>
      </c>
    </row>
    <row r="9854">
      <c r="A9854" t="inlineStr">
        <is>
          <t>ORD09853</t>
        </is>
      </c>
      <c r="B9854" t="inlineStr">
        <is>
          <t>C2353</t>
        </is>
      </c>
      <c r="C9854" t="n">
        <v>1</v>
      </c>
      <c r="D9854" t="inlineStr">
        <is>
          <t>Hub C</t>
        </is>
      </c>
      <c r="E9854" t="n">
        <v>49</v>
      </c>
      <c r="F9854" t="n">
        <v>60</v>
      </c>
    </row>
    <row r="9855">
      <c r="A9855" t="inlineStr">
        <is>
          <t>ORD09854</t>
        </is>
      </c>
      <c r="B9855" t="inlineStr">
        <is>
          <t>C2354</t>
        </is>
      </c>
      <c r="C9855" t="n">
        <v>2</v>
      </c>
      <c r="D9855" t="inlineStr">
        <is>
          <t>Hub C</t>
        </is>
      </c>
      <c r="E9855" t="n">
        <v>56</v>
      </c>
      <c r="F9855" t="n">
        <v>60</v>
      </c>
    </row>
    <row r="9856">
      <c r="A9856" t="inlineStr">
        <is>
          <t>ORD09855</t>
        </is>
      </c>
      <c r="B9856" t="inlineStr">
        <is>
          <t>C2355</t>
        </is>
      </c>
      <c r="C9856" t="n">
        <v>3</v>
      </c>
      <c r="D9856" t="inlineStr">
        <is>
          <t>Hub C</t>
        </is>
      </c>
      <c r="E9856" t="n">
        <v>63</v>
      </c>
      <c r="F9856" t="n">
        <v>60</v>
      </c>
    </row>
    <row r="9857">
      <c r="A9857" t="inlineStr">
        <is>
          <t>ORD09856</t>
        </is>
      </c>
      <c r="B9857" t="inlineStr">
        <is>
          <t>C2356</t>
        </is>
      </c>
      <c r="C9857" t="n">
        <v>1</v>
      </c>
      <c r="D9857" t="inlineStr">
        <is>
          <t>Hub C</t>
        </is>
      </c>
      <c r="E9857" t="n">
        <v>70</v>
      </c>
      <c r="F9857" t="n">
        <v>60</v>
      </c>
    </row>
    <row r="9858">
      <c r="A9858" t="inlineStr">
        <is>
          <t>ORD09857</t>
        </is>
      </c>
      <c r="B9858" t="inlineStr">
        <is>
          <t>C2357</t>
        </is>
      </c>
      <c r="C9858" t="n">
        <v>2</v>
      </c>
      <c r="D9858" t="inlineStr">
        <is>
          <t>Hub C</t>
        </is>
      </c>
      <c r="E9858" t="n">
        <v>77</v>
      </c>
      <c r="F9858" t="n">
        <v>60</v>
      </c>
    </row>
    <row r="9859">
      <c r="A9859" t="inlineStr">
        <is>
          <t>ORD09858</t>
        </is>
      </c>
      <c r="B9859" t="inlineStr">
        <is>
          <t>C2358</t>
        </is>
      </c>
      <c r="C9859" t="n">
        <v>3</v>
      </c>
      <c r="D9859" t="inlineStr">
        <is>
          <t>Hub C</t>
        </is>
      </c>
      <c r="E9859" t="n">
        <v>24</v>
      </c>
      <c r="F9859" t="n">
        <v>60</v>
      </c>
    </row>
    <row r="9860">
      <c r="A9860" t="inlineStr">
        <is>
          <t>ORD09859</t>
        </is>
      </c>
      <c r="B9860" t="inlineStr">
        <is>
          <t>C2359</t>
        </is>
      </c>
      <c r="C9860" t="n">
        <v>1</v>
      </c>
      <c r="D9860" t="inlineStr">
        <is>
          <t>Hub C</t>
        </is>
      </c>
      <c r="E9860" t="n">
        <v>31</v>
      </c>
      <c r="F9860" t="n">
        <v>60</v>
      </c>
    </row>
    <row r="9861">
      <c r="A9861" t="inlineStr">
        <is>
          <t>ORD09860</t>
        </is>
      </c>
      <c r="B9861" t="inlineStr">
        <is>
          <t>C2360</t>
        </is>
      </c>
      <c r="C9861" t="n">
        <v>2</v>
      </c>
      <c r="D9861" t="inlineStr">
        <is>
          <t>Hub C</t>
        </is>
      </c>
      <c r="E9861" t="n">
        <v>38</v>
      </c>
      <c r="F9861" t="n">
        <v>60</v>
      </c>
    </row>
    <row r="9862">
      <c r="A9862" t="inlineStr">
        <is>
          <t>ORD09861</t>
        </is>
      </c>
      <c r="B9862" t="inlineStr">
        <is>
          <t>C2361</t>
        </is>
      </c>
      <c r="C9862" t="n">
        <v>3</v>
      </c>
      <c r="D9862" t="inlineStr">
        <is>
          <t>Hub C</t>
        </is>
      </c>
      <c r="E9862" t="n">
        <v>45</v>
      </c>
      <c r="F9862" t="n">
        <v>60</v>
      </c>
    </row>
    <row r="9863">
      <c r="A9863" t="inlineStr">
        <is>
          <t>ORD09862</t>
        </is>
      </c>
      <c r="B9863" t="inlineStr">
        <is>
          <t>C2362</t>
        </is>
      </c>
      <c r="C9863" t="n">
        <v>1</v>
      </c>
      <c r="D9863" t="inlineStr">
        <is>
          <t>Hub C</t>
        </is>
      </c>
      <c r="E9863" t="n">
        <v>52</v>
      </c>
      <c r="F9863" t="n">
        <v>60</v>
      </c>
    </row>
    <row r="9864">
      <c r="A9864" t="inlineStr">
        <is>
          <t>ORD09863</t>
        </is>
      </c>
      <c r="B9864" t="inlineStr">
        <is>
          <t>C2363</t>
        </is>
      </c>
      <c r="C9864" t="n">
        <v>2</v>
      </c>
      <c r="D9864" t="inlineStr">
        <is>
          <t>Hub C</t>
        </is>
      </c>
      <c r="E9864" t="n">
        <v>59</v>
      </c>
      <c r="F9864" t="n">
        <v>60</v>
      </c>
    </row>
    <row r="9865">
      <c r="A9865" t="inlineStr">
        <is>
          <t>ORD09864</t>
        </is>
      </c>
      <c r="B9865" t="inlineStr">
        <is>
          <t>C2364</t>
        </is>
      </c>
      <c r="C9865" t="n">
        <v>3</v>
      </c>
      <c r="D9865" t="inlineStr">
        <is>
          <t>Hub C</t>
        </is>
      </c>
      <c r="E9865" t="n">
        <v>66</v>
      </c>
      <c r="F9865" t="n">
        <v>60</v>
      </c>
    </row>
    <row r="9866">
      <c r="A9866" t="inlineStr">
        <is>
          <t>ORD09865</t>
        </is>
      </c>
      <c r="B9866" t="inlineStr">
        <is>
          <t>C2365</t>
        </is>
      </c>
      <c r="C9866" t="n">
        <v>1</v>
      </c>
      <c r="D9866" t="inlineStr">
        <is>
          <t>Hub C</t>
        </is>
      </c>
      <c r="E9866" t="n">
        <v>73</v>
      </c>
      <c r="F9866" t="n">
        <v>60</v>
      </c>
    </row>
    <row r="9867">
      <c r="A9867" t="inlineStr">
        <is>
          <t>ORD09866</t>
        </is>
      </c>
      <c r="B9867" t="inlineStr">
        <is>
          <t>C2366</t>
        </is>
      </c>
      <c r="C9867" t="n">
        <v>2</v>
      </c>
      <c r="D9867" t="inlineStr">
        <is>
          <t>Hub C</t>
        </is>
      </c>
      <c r="E9867" t="n">
        <v>20</v>
      </c>
      <c r="F9867" t="n">
        <v>60</v>
      </c>
    </row>
    <row r="9868">
      <c r="A9868" t="inlineStr">
        <is>
          <t>ORD09867</t>
        </is>
      </c>
      <c r="B9868" t="inlineStr">
        <is>
          <t>C2367</t>
        </is>
      </c>
      <c r="C9868" t="n">
        <v>3</v>
      </c>
      <c r="D9868" t="inlineStr">
        <is>
          <t>Hub C</t>
        </is>
      </c>
      <c r="E9868" t="n">
        <v>27</v>
      </c>
      <c r="F9868" t="n">
        <v>60</v>
      </c>
    </row>
    <row r="9869">
      <c r="A9869" t="inlineStr">
        <is>
          <t>ORD09868</t>
        </is>
      </c>
      <c r="B9869" t="inlineStr">
        <is>
          <t>C2368</t>
        </is>
      </c>
      <c r="C9869" t="n">
        <v>1</v>
      </c>
      <c r="D9869" t="inlineStr">
        <is>
          <t>Hub C</t>
        </is>
      </c>
      <c r="E9869" t="n">
        <v>34</v>
      </c>
      <c r="F9869" t="n">
        <v>60</v>
      </c>
    </row>
    <row r="9870">
      <c r="A9870" t="inlineStr">
        <is>
          <t>ORD09869</t>
        </is>
      </c>
      <c r="B9870" t="inlineStr">
        <is>
          <t>C2369</t>
        </is>
      </c>
      <c r="C9870" t="n">
        <v>2</v>
      </c>
      <c r="D9870" t="inlineStr">
        <is>
          <t>Hub C</t>
        </is>
      </c>
      <c r="E9870" t="n">
        <v>41</v>
      </c>
      <c r="F9870" t="n">
        <v>60</v>
      </c>
    </row>
    <row r="9871">
      <c r="A9871" t="inlineStr">
        <is>
          <t>ORD09870</t>
        </is>
      </c>
      <c r="B9871" t="inlineStr">
        <is>
          <t>C2370</t>
        </is>
      </c>
      <c r="C9871" t="n">
        <v>3</v>
      </c>
      <c r="D9871" t="inlineStr">
        <is>
          <t>Hub C</t>
        </is>
      </c>
      <c r="E9871" t="n">
        <v>48</v>
      </c>
      <c r="F9871" t="n">
        <v>60</v>
      </c>
    </row>
    <row r="9872">
      <c r="A9872" t="inlineStr">
        <is>
          <t>ORD09871</t>
        </is>
      </c>
      <c r="B9872" t="inlineStr">
        <is>
          <t>C2371</t>
        </is>
      </c>
      <c r="C9872" t="n">
        <v>1</v>
      </c>
      <c r="D9872" t="inlineStr">
        <is>
          <t>Hub C</t>
        </is>
      </c>
      <c r="E9872" t="n">
        <v>55</v>
      </c>
      <c r="F9872" t="n">
        <v>60</v>
      </c>
    </row>
    <row r="9873">
      <c r="A9873" t="inlineStr">
        <is>
          <t>ORD09872</t>
        </is>
      </c>
      <c r="B9873" t="inlineStr">
        <is>
          <t>C2372</t>
        </is>
      </c>
      <c r="C9873" t="n">
        <v>2</v>
      </c>
      <c r="D9873" t="inlineStr">
        <is>
          <t>Hub C</t>
        </is>
      </c>
      <c r="E9873" t="n">
        <v>62</v>
      </c>
      <c r="F9873" t="n">
        <v>60</v>
      </c>
    </row>
    <row r="9874">
      <c r="A9874" t="inlineStr">
        <is>
          <t>ORD09873</t>
        </is>
      </c>
      <c r="B9874" t="inlineStr">
        <is>
          <t>C2373</t>
        </is>
      </c>
      <c r="C9874" t="n">
        <v>3</v>
      </c>
      <c r="D9874" t="inlineStr">
        <is>
          <t>Hub C</t>
        </is>
      </c>
      <c r="E9874" t="n">
        <v>69</v>
      </c>
      <c r="F9874" t="n">
        <v>60</v>
      </c>
    </row>
    <row r="9875">
      <c r="A9875" t="inlineStr">
        <is>
          <t>ORD09874</t>
        </is>
      </c>
      <c r="B9875" t="inlineStr">
        <is>
          <t>C2374</t>
        </is>
      </c>
      <c r="C9875" t="n">
        <v>1</v>
      </c>
      <c r="D9875" t="inlineStr">
        <is>
          <t>Hub C</t>
        </is>
      </c>
      <c r="E9875" t="n">
        <v>76</v>
      </c>
      <c r="F9875" t="n">
        <v>60</v>
      </c>
    </row>
    <row r="9876">
      <c r="A9876" t="inlineStr">
        <is>
          <t>ORD09875</t>
        </is>
      </c>
      <c r="B9876" t="inlineStr">
        <is>
          <t>C2375</t>
        </is>
      </c>
      <c r="C9876" t="n">
        <v>2</v>
      </c>
      <c r="D9876" t="inlineStr">
        <is>
          <t>Hub C</t>
        </is>
      </c>
      <c r="E9876" t="n">
        <v>23</v>
      </c>
      <c r="F9876" t="n">
        <v>60</v>
      </c>
    </row>
    <row r="9877">
      <c r="A9877" t="inlineStr">
        <is>
          <t>ORD09876</t>
        </is>
      </c>
      <c r="B9877" t="inlineStr">
        <is>
          <t>C2376</t>
        </is>
      </c>
      <c r="C9877" t="n">
        <v>3</v>
      </c>
      <c r="D9877" t="inlineStr">
        <is>
          <t>Hub C</t>
        </is>
      </c>
      <c r="E9877" t="n">
        <v>30</v>
      </c>
      <c r="F9877" t="n">
        <v>60</v>
      </c>
    </row>
    <row r="9878">
      <c r="A9878" t="inlineStr">
        <is>
          <t>ORD09877</t>
        </is>
      </c>
      <c r="B9878" t="inlineStr">
        <is>
          <t>C2377</t>
        </is>
      </c>
      <c r="C9878" t="n">
        <v>1</v>
      </c>
      <c r="D9878" t="inlineStr">
        <is>
          <t>Hub C</t>
        </is>
      </c>
      <c r="E9878" t="n">
        <v>37</v>
      </c>
      <c r="F9878" t="n">
        <v>60</v>
      </c>
    </row>
    <row r="9879">
      <c r="A9879" t="inlineStr">
        <is>
          <t>ORD09878</t>
        </is>
      </c>
      <c r="B9879" t="inlineStr">
        <is>
          <t>C2378</t>
        </is>
      </c>
      <c r="C9879" t="n">
        <v>2</v>
      </c>
      <c r="D9879" t="inlineStr">
        <is>
          <t>Hub C</t>
        </is>
      </c>
      <c r="E9879" t="n">
        <v>44</v>
      </c>
      <c r="F9879" t="n">
        <v>60</v>
      </c>
    </row>
    <row r="9880">
      <c r="A9880" t="inlineStr">
        <is>
          <t>ORD09879</t>
        </is>
      </c>
      <c r="B9880" t="inlineStr">
        <is>
          <t>C2379</t>
        </is>
      </c>
      <c r="C9880" t="n">
        <v>3</v>
      </c>
      <c r="D9880" t="inlineStr">
        <is>
          <t>Hub C</t>
        </is>
      </c>
      <c r="E9880" t="n">
        <v>51</v>
      </c>
      <c r="F9880" t="n">
        <v>60</v>
      </c>
    </row>
    <row r="9881">
      <c r="A9881" t="inlineStr">
        <is>
          <t>ORD09880</t>
        </is>
      </c>
      <c r="B9881" t="inlineStr">
        <is>
          <t>C2380</t>
        </is>
      </c>
      <c r="C9881" t="n">
        <v>1</v>
      </c>
      <c r="D9881" t="inlineStr">
        <is>
          <t>Hub C</t>
        </is>
      </c>
      <c r="E9881" t="n">
        <v>58</v>
      </c>
      <c r="F9881" t="n">
        <v>60</v>
      </c>
    </row>
    <row r="9882">
      <c r="A9882" t="inlineStr">
        <is>
          <t>ORD09881</t>
        </is>
      </c>
      <c r="B9882" t="inlineStr">
        <is>
          <t>C2381</t>
        </is>
      </c>
      <c r="C9882" t="n">
        <v>2</v>
      </c>
      <c r="D9882" t="inlineStr">
        <is>
          <t>Hub C</t>
        </is>
      </c>
      <c r="E9882" t="n">
        <v>65</v>
      </c>
      <c r="F9882" t="n">
        <v>60</v>
      </c>
    </row>
    <row r="9883">
      <c r="A9883" t="inlineStr">
        <is>
          <t>ORD09882</t>
        </is>
      </c>
      <c r="B9883" t="inlineStr">
        <is>
          <t>C2382</t>
        </is>
      </c>
      <c r="C9883" t="n">
        <v>3</v>
      </c>
      <c r="D9883" t="inlineStr">
        <is>
          <t>Hub C</t>
        </is>
      </c>
      <c r="E9883" t="n">
        <v>72</v>
      </c>
      <c r="F9883" t="n">
        <v>60</v>
      </c>
    </row>
    <row r="9884">
      <c r="A9884" t="inlineStr">
        <is>
          <t>ORD09883</t>
        </is>
      </c>
      <c r="B9884" t="inlineStr">
        <is>
          <t>C2383</t>
        </is>
      </c>
      <c r="C9884" t="n">
        <v>1</v>
      </c>
      <c r="D9884" t="inlineStr">
        <is>
          <t>Hub C</t>
        </is>
      </c>
      <c r="E9884" t="n">
        <v>19</v>
      </c>
      <c r="F9884" t="n">
        <v>60</v>
      </c>
    </row>
    <row r="9885">
      <c r="A9885" t="inlineStr">
        <is>
          <t>ORD09884</t>
        </is>
      </c>
      <c r="B9885" t="inlineStr">
        <is>
          <t>C2384</t>
        </is>
      </c>
      <c r="C9885" t="n">
        <v>2</v>
      </c>
      <c r="D9885" t="inlineStr">
        <is>
          <t>Hub C</t>
        </is>
      </c>
      <c r="E9885" t="n">
        <v>26</v>
      </c>
      <c r="F9885" t="n">
        <v>60</v>
      </c>
    </row>
    <row r="9886">
      <c r="A9886" t="inlineStr">
        <is>
          <t>ORD09885</t>
        </is>
      </c>
      <c r="B9886" t="inlineStr">
        <is>
          <t>C2385</t>
        </is>
      </c>
      <c r="C9886" t="n">
        <v>3</v>
      </c>
      <c r="D9886" t="inlineStr">
        <is>
          <t>Hub C</t>
        </is>
      </c>
      <c r="E9886" t="n">
        <v>33</v>
      </c>
      <c r="F9886" t="n">
        <v>60</v>
      </c>
    </row>
    <row r="9887">
      <c r="A9887" t="inlineStr">
        <is>
          <t>ORD09886</t>
        </is>
      </c>
      <c r="B9887" t="inlineStr">
        <is>
          <t>C2386</t>
        </is>
      </c>
      <c r="C9887" t="n">
        <v>1</v>
      </c>
      <c r="D9887" t="inlineStr">
        <is>
          <t>Hub C</t>
        </is>
      </c>
      <c r="E9887" t="n">
        <v>40</v>
      </c>
      <c r="F9887" t="n">
        <v>60</v>
      </c>
    </row>
    <row r="9888">
      <c r="A9888" t="inlineStr">
        <is>
          <t>ORD09887</t>
        </is>
      </c>
      <c r="B9888" t="inlineStr">
        <is>
          <t>C2387</t>
        </is>
      </c>
      <c r="C9888" t="n">
        <v>2</v>
      </c>
      <c r="D9888" t="inlineStr">
        <is>
          <t>Hub C</t>
        </is>
      </c>
      <c r="E9888" t="n">
        <v>47</v>
      </c>
      <c r="F9888" t="n">
        <v>60</v>
      </c>
    </row>
    <row r="9889">
      <c r="A9889" t="inlineStr">
        <is>
          <t>ORD09888</t>
        </is>
      </c>
      <c r="B9889" t="inlineStr">
        <is>
          <t>C2388</t>
        </is>
      </c>
      <c r="C9889" t="n">
        <v>3</v>
      </c>
      <c r="D9889" t="inlineStr">
        <is>
          <t>Hub C</t>
        </is>
      </c>
      <c r="E9889" t="n">
        <v>54</v>
      </c>
      <c r="F9889" t="n">
        <v>60</v>
      </c>
    </row>
    <row r="9890">
      <c r="A9890" t="inlineStr">
        <is>
          <t>ORD09889</t>
        </is>
      </c>
      <c r="B9890" t="inlineStr">
        <is>
          <t>C2389</t>
        </is>
      </c>
      <c r="C9890" t="n">
        <v>1</v>
      </c>
      <c r="D9890" t="inlineStr">
        <is>
          <t>Hub C</t>
        </is>
      </c>
      <c r="E9890" t="n">
        <v>61</v>
      </c>
      <c r="F9890" t="n">
        <v>60</v>
      </c>
    </row>
    <row r="9891">
      <c r="A9891" t="inlineStr">
        <is>
          <t>ORD09890</t>
        </is>
      </c>
      <c r="B9891" t="inlineStr">
        <is>
          <t>C2390</t>
        </is>
      </c>
      <c r="C9891" t="n">
        <v>2</v>
      </c>
      <c r="D9891" t="inlineStr">
        <is>
          <t>Hub C</t>
        </is>
      </c>
      <c r="E9891" t="n">
        <v>68</v>
      </c>
      <c r="F9891" t="n">
        <v>60</v>
      </c>
    </row>
    <row r="9892">
      <c r="A9892" t="inlineStr">
        <is>
          <t>ORD09891</t>
        </is>
      </c>
      <c r="B9892" t="inlineStr">
        <is>
          <t>C2391</t>
        </is>
      </c>
      <c r="C9892" t="n">
        <v>3</v>
      </c>
      <c r="D9892" t="inlineStr">
        <is>
          <t>Hub C</t>
        </is>
      </c>
      <c r="E9892" t="n">
        <v>75</v>
      </c>
      <c r="F9892" t="n">
        <v>60</v>
      </c>
    </row>
    <row r="9893">
      <c r="A9893" t="inlineStr">
        <is>
          <t>ORD09892</t>
        </is>
      </c>
      <c r="B9893" t="inlineStr">
        <is>
          <t>C2392</t>
        </is>
      </c>
      <c r="C9893" t="n">
        <v>1</v>
      </c>
      <c r="D9893" t="inlineStr">
        <is>
          <t>Hub C</t>
        </is>
      </c>
      <c r="E9893" t="n">
        <v>22</v>
      </c>
      <c r="F9893" t="n">
        <v>60</v>
      </c>
    </row>
    <row r="9894">
      <c r="A9894" t="inlineStr">
        <is>
          <t>ORD09893</t>
        </is>
      </c>
      <c r="B9894" t="inlineStr">
        <is>
          <t>C2393</t>
        </is>
      </c>
      <c r="C9894" t="n">
        <v>2</v>
      </c>
      <c r="D9894" t="inlineStr">
        <is>
          <t>Hub C</t>
        </is>
      </c>
      <c r="E9894" t="n">
        <v>29</v>
      </c>
      <c r="F9894" t="n">
        <v>60</v>
      </c>
    </row>
    <row r="9895">
      <c r="A9895" t="inlineStr">
        <is>
          <t>ORD09894</t>
        </is>
      </c>
      <c r="B9895" t="inlineStr">
        <is>
          <t>C2394</t>
        </is>
      </c>
      <c r="C9895" t="n">
        <v>3</v>
      </c>
      <c r="D9895" t="inlineStr">
        <is>
          <t>Hub C</t>
        </is>
      </c>
      <c r="E9895" t="n">
        <v>36</v>
      </c>
      <c r="F9895" t="n">
        <v>60</v>
      </c>
    </row>
    <row r="9896">
      <c r="A9896" t="inlineStr">
        <is>
          <t>ORD09895</t>
        </is>
      </c>
      <c r="B9896" t="inlineStr">
        <is>
          <t>C2395</t>
        </is>
      </c>
      <c r="C9896" t="n">
        <v>1</v>
      </c>
      <c r="D9896" t="inlineStr">
        <is>
          <t>Hub C</t>
        </is>
      </c>
      <c r="E9896" t="n">
        <v>43</v>
      </c>
      <c r="F9896" t="n">
        <v>60</v>
      </c>
    </row>
    <row r="9897">
      <c r="A9897" t="inlineStr">
        <is>
          <t>ORD09896</t>
        </is>
      </c>
      <c r="B9897" t="inlineStr">
        <is>
          <t>C2396</t>
        </is>
      </c>
      <c r="C9897" t="n">
        <v>2</v>
      </c>
      <c r="D9897" t="inlineStr">
        <is>
          <t>Hub C</t>
        </is>
      </c>
      <c r="E9897" t="n">
        <v>50</v>
      </c>
      <c r="F9897" t="n">
        <v>60</v>
      </c>
    </row>
    <row r="9898">
      <c r="A9898" t="inlineStr">
        <is>
          <t>ORD09897</t>
        </is>
      </c>
      <c r="B9898" t="inlineStr">
        <is>
          <t>C2397</t>
        </is>
      </c>
      <c r="C9898" t="n">
        <v>3</v>
      </c>
      <c r="D9898" t="inlineStr">
        <is>
          <t>Hub C</t>
        </is>
      </c>
      <c r="E9898" t="n">
        <v>57</v>
      </c>
      <c r="F9898" t="n">
        <v>60</v>
      </c>
    </row>
    <row r="9899">
      <c r="A9899" t="inlineStr">
        <is>
          <t>ORD09898</t>
        </is>
      </c>
      <c r="B9899" t="inlineStr">
        <is>
          <t>C2398</t>
        </is>
      </c>
      <c r="C9899" t="n">
        <v>1</v>
      </c>
      <c r="D9899" t="inlineStr">
        <is>
          <t>Hub C</t>
        </is>
      </c>
      <c r="E9899" t="n">
        <v>64</v>
      </c>
      <c r="F9899" t="n">
        <v>60</v>
      </c>
    </row>
    <row r="9900">
      <c r="A9900" t="inlineStr">
        <is>
          <t>ORD09899</t>
        </is>
      </c>
      <c r="B9900" t="inlineStr">
        <is>
          <t>C2399</t>
        </is>
      </c>
      <c r="C9900" t="n">
        <v>2</v>
      </c>
      <c r="D9900" t="inlineStr">
        <is>
          <t>Hub C</t>
        </is>
      </c>
      <c r="E9900" t="n">
        <v>71</v>
      </c>
      <c r="F9900" t="n">
        <v>60</v>
      </c>
    </row>
    <row r="9901">
      <c r="A9901" t="inlineStr">
        <is>
          <t>ORD09900</t>
        </is>
      </c>
      <c r="B9901" t="inlineStr">
        <is>
          <t>C2400</t>
        </is>
      </c>
      <c r="C9901" t="n">
        <v>3</v>
      </c>
      <c r="D9901" t="inlineStr">
        <is>
          <t>Hub C</t>
        </is>
      </c>
      <c r="E9901" t="n">
        <v>18</v>
      </c>
      <c r="F9901" t="n">
        <v>60</v>
      </c>
    </row>
    <row r="9902">
      <c r="A9902" t="inlineStr">
        <is>
          <t>ORD09901</t>
        </is>
      </c>
      <c r="B9902" t="inlineStr">
        <is>
          <t>C2401</t>
        </is>
      </c>
      <c r="C9902" t="n">
        <v>1</v>
      </c>
      <c r="D9902" t="inlineStr">
        <is>
          <t>Hub C</t>
        </is>
      </c>
      <c r="E9902" t="n">
        <v>25</v>
      </c>
      <c r="F9902" t="n">
        <v>60</v>
      </c>
    </row>
    <row r="9903">
      <c r="A9903" t="inlineStr">
        <is>
          <t>ORD09902</t>
        </is>
      </c>
      <c r="B9903" t="inlineStr">
        <is>
          <t>C2402</t>
        </is>
      </c>
      <c r="C9903" t="n">
        <v>2</v>
      </c>
      <c r="D9903" t="inlineStr">
        <is>
          <t>Hub C</t>
        </is>
      </c>
      <c r="E9903" t="n">
        <v>32</v>
      </c>
      <c r="F9903" t="n">
        <v>60</v>
      </c>
    </row>
    <row r="9904">
      <c r="A9904" t="inlineStr">
        <is>
          <t>ORD09903</t>
        </is>
      </c>
      <c r="B9904" t="inlineStr">
        <is>
          <t>C2403</t>
        </is>
      </c>
      <c r="C9904" t="n">
        <v>3</v>
      </c>
      <c r="D9904" t="inlineStr">
        <is>
          <t>Hub C</t>
        </is>
      </c>
      <c r="E9904" t="n">
        <v>39</v>
      </c>
      <c r="F9904" t="n">
        <v>60</v>
      </c>
    </row>
    <row r="9905">
      <c r="A9905" t="inlineStr">
        <is>
          <t>ORD09904</t>
        </is>
      </c>
      <c r="B9905" t="inlineStr">
        <is>
          <t>C2404</t>
        </is>
      </c>
      <c r="C9905" t="n">
        <v>1</v>
      </c>
      <c r="D9905" t="inlineStr">
        <is>
          <t>Hub C</t>
        </is>
      </c>
      <c r="E9905" t="n">
        <v>46</v>
      </c>
      <c r="F9905" t="n">
        <v>60</v>
      </c>
    </row>
    <row r="9906">
      <c r="A9906" t="inlineStr">
        <is>
          <t>ORD09905</t>
        </is>
      </c>
      <c r="B9906" t="inlineStr">
        <is>
          <t>C2405</t>
        </is>
      </c>
      <c r="C9906" t="n">
        <v>2</v>
      </c>
      <c r="D9906" t="inlineStr">
        <is>
          <t>Hub C</t>
        </is>
      </c>
      <c r="E9906" t="n">
        <v>53</v>
      </c>
      <c r="F9906" t="n">
        <v>60</v>
      </c>
    </row>
    <row r="9907">
      <c r="A9907" t="inlineStr">
        <is>
          <t>ORD09906</t>
        </is>
      </c>
      <c r="B9907" t="inlineStr">
        <is>
          <t>C2406</t>
        </is>
      </c>
      <c r="C9907" t="n">
        <v>3</v>
      </c>
      <c r="D9907" t="inlineStr">
        <is>
          <t>Hub C</t>
        </is>
      </c>
      <c r="E9907" t="n">
        <v>60</v>
      </c>
      <c r="F9907" t="n">
        <v>60</v>
      </c>
    </row>
    <row r="9908">
      <c r="A9908" t="inlineStr">
        <is>
          <t>ORD09907</t>
        </is>
      </c>
      <c r="B9908" t="inlineStr">
        <is>
          <t>C2407</t>
        </is>
      </c>
      <c r="C9908" t="n">
        <v>1</v>
      </c>
      <c r="D9908" t="inlineStr">
        <is>
          <t>Hub C</t>
        </is>
      </c>
      <c r="E9908" t="n">
        <v>67</v>
      </c>
      <c r="F9908" t="n">
        <v>60</v>
      </c>
    </row>
    <row r="9909">
      <c r="A9909" t="inlineStr">
        <is>
          <t>ORD09908</t>
        </is>
      </c>
      <c r="B9909" t="inlineStr">
        <is>
          <t>C2408</t>
        </is>
      </c>
      <c r="C9909" t="n">
        <v>2</v>
      </c>
      <c r="D9909" t="inlineStr">
        <is>
          <t>Hub C</t>
        </is>
      </c>
      <c r="E9909" t="n">
        <v>74</v>
      </c>
      <c r="F9909" t="n">
        <v>60</v>
      </c>
    </row>
    <row r="9910">
      <c r="A9910" t="inlineStr">
        <is>
          <t>ORD09909</t>
        </is>
      </c>
      <c r="B9910" t="inlineStr">
        <is>
          <t>C2409</t>
        </is>
      </c>
      <c r="C9910" t="n">
        <v>3</v>
      </c>
      <c r="D9910" t="inlineStr">
        <is>
          <t>Hub C</t>
        </is>
      </c>
      <c r="E9910" t="n">
        <v>21</v>
      </c>
      <c r="F9910" t="n">
        <v>60</v>
      </c>
    </row>
    <row r="9911">
      <c r="A9911" t="inlineStr">
        <is>
          <t>ORD09910</t>
        </is>
      </c>
      <c r="B9911" t="inlineStr">
        <is>
          <t>C2410</t>
        </is>
      </c>
      <c r="C9911" t="n">
        <v>1</v>
      </c>
      <c r="D9911" t="inlineStr">
        <is>
          <t>Hub C</t>
        </is>
      </c>
      <c r="E9911" t="n">
        <v>28</v>
      </c>
      <c r="F9911" t="n">
        <v>60</v>
      </c>
    </row>
    <row r="9912">
      <c r="A9912" t="inlineStr">
        <is>
          <t>ORD09911</t>
        </is>
      </c>
      <c r="B9912" t="inlineStr">
        <is>
          <t>C2411</t>
        </is>
      </c>
      <c r="C9912" t="n">
        <v>2</v>
      </c>
      <c r="D9912" t="inlineStr">
        <is>
          <t>Hub C</t>
        </is>
      </c>
      <c r="E9912" t="n">
        <v>35</v>
      </c>
      <c r="F9912" t="n">
        <v>60</v>
      </c>
    </row>
    <row r="9913">
      <c r="A9913" t="inlineStr">
        <is>
          <t>ORD09912</t>
        </is>
      </c>
      <c r="B9913" t="inlineStr">
        <is>
          <t>C2412</t>
        </is>
      </c>
      <c r="C9913" t="n">
        <v>3</v>
      </c>
      <c r="D9913" t="inlineStr">
        <is>
          <t>Hub C</t>
        </is>
      </c>
      <c r="E9913" t="n">
        <v>42</v>
      </c>
      <c r="F9913" t="n">
        <v>60</v>
      </c>
    </row>
    <row r="9914">
      <c r="A9914" t="inlineStr">
        <is>
          <t>ORD09913</t>
        </is>
      </c>
      <c r="B9914" t="inlineStr">
        <is>
          <t>C2413</t>
        </is>
      </c>
      <c r="C9914" t="n">
        <v>1</v>
      </c>
      <c r="D9914" t="inlineStr">
        <is>
          <t>Hub C</t>
        </is>
      </c>
      <c r="E9914" t="n">
        <v>49</v>
      </c>
      <c r="F9914" t="n">
        <v>60</v>
      </c>
    </row>
    <row r="9915">
      <c r="A9915" t="inlineStr">
        <is>
          <t>ORD09914</t>
        </is>
      </c>
      <c r="B9915" t="inlineStr">
        <is>
          <t>C2414</t>
        </is>
      </c>
      <c r="C9915" t="n">
        <v>2</v>
      </c>
      <c r="D9915" t="inlineStr">
        <is>
          <t>Hub C</t>
        </is>
      </c>
      <c r="E9915" t="n">
        <v>56</v>
      </c>
      <c r="F9915" t="n">
        <v>60</v>
      </c>
    </row>
    <row r="9916">
      <c r="A9916" t="inlineStr">
        <is>
          <t>ORD09915</t>
        </is>
      </c>
      <c r="B9916" t="inlineStr">
        <is>
          <t>C2415</t>
        </is>
      </c>
      <c r="C9916" t="n">
        <v>3</v>
      </c>
      <c r="D9916" t="inlineStr">
        <is>
          <t>Hub C</t>
        </is>
      </c>
      <c r="E9916" t="n">
        <v>63</v>
      </c>
      <c r="F9916" t="n">
        <v>60</v>
      </c>
    </row>
    <row r="9917">
      <c r="A9917" t="inlineStr">
        <is>
          <t>ORD09916</t>
        </is>
      </c>
      <c r="B9917" t="inlineStr">
        <is>
          <t>C2416</t>
        </is>
      </c>
      <c r="C9917" t="n">
        <v>1</v>
      </c>
      <c r="D9917" t="inlineStr">
        <is>
          <t>Hub C</t>
        </is>
      </c>
      <c r="E9917" t="n">
        <v>70</v>
      </c>
      <c r="F9917" t="n">
        <v>60</v>
      </c>
    </row>
    <row r="9918">
      <c r="A9918" t="inlineStr">
        <is>
          <t>ORD09917</t>
        </is>
      </c>
      <c r="B9918" t="inlineStr">
        <is>
          <t>C2417</t>
        </is>
      </c>
      <c r="C9918" t="n">
        <v>2</v>
      </c>
      <c r="D9918" t="inlineStr">
        <is>
          <t>Hub C</t>
        </is>
      </c>
      <c r="E9918" t="n">
        <v>77</v>
      </c>
      <c r="F9918" t="n">
        <v>60</v>
      </c>
    </row>
    <row r="9919">
      <c r="A9919" t="inlineStr">
        <is>
          <t>ORD09918</t>
        </is>
      </c>
      <c r="B9919" t="inlineStr">
        <is>
          <t>C2418</t>
        </is>
      </c>
      <c r="C9919" t="n">
        <v>3</v>
      </c>
      <c r="D9919" t="inlineStr">
        <is>
          <t>Hub C</t>
        </is>
      </c>
      <c r="E9919" t="n">
        <v>24</v>
      </c>
      <c r="F9919" t="n">
        <v>60</v>
      </c>
    </row>
    <row r="9920">
      <c r="A9920" t="inlineStr">
        <is>
          <t>ORD09919</t>
        </is>
      </c>
      <c r="B9920" t="inlineStr">
        <is>
          <t>C2419</t>
        </is>
      </c>
      <c r="C9920" t="n">
        <v>1</v>
      </c>
      <c r="D9920" t="inlineStr">
        <is>
          <t>Hub C</t>
        </is>
      </c>
      <c r="E9920" t="n">
        <v>31</v>
      </c>
      <c r="F9920" t="n">
        <v>60</v>
      </c>
    </row>
    <row r="9921">
      <c r="A9921" t="inlineStr">
        <is>
          <t>ORD09920</t>
        </is>
      </c>
      <c r="B9921" t="inlineStr">
        <is>
          <t>C2420</t>
        </is>
      </c>
      <c r="C9921" t="n">
        <v>2</v>
      </c>
      <c r="D9921" t="inlineStr">
        <is>
          <t>Hub C</t>
        </is>
      </c>
      <c r="E9921" t="n">
        <v>38</v>
      </c>
      <c r="F9921" t="n">
        <v>60</v>
      </c>
    </row>
    <row r="9922">
      <c r="A9922" t="inlineStr">
        <is>
          <t>ORD09921</t>
        </is>
      </c>
      <c r="B9922" t="inlineStr">
        <is>
          <t>C2421</t>
        </is>
      </c>
      <c r="C9922" t="n">
        <v>3</v>
      </c>
      <c r="D9922" t="inlineStr">
        <is>
          <t>Hub C</t>
        </is>
      </c>
      <c r="E9922" t="n">
        <v>45</v>
      </c>
      <c r="F9922" t="n">
        <v>60</v>
      </c>
    </row>
    <row r="9923">
      <c r="A9923" t="inlineStr">
        <is>
          <t>ORD09922</t>
        </is>
      </c>
      <c r="B9923" t="inlineStr">
        <is>
          <t>C2422</t>
        </is>
      </c>
      <c r="C9923" t="n">
        <v>1</v>
      </c>
      <c r="D9923" t="inlineStr">
        <is>
          <t>Hub C</t>
        </is>
      </c>
      <c r="E9923" t="n">
        <v>52</v>
      </c>
      <c r="F9923" t="n">
        <v>60</v>
      </c>
    </row>
    <row r="9924">
      <c r="A9924" t="inlineStr">
        <is>
          <t>ORD09923</t>
        </is>
      </c>
      <c r="B9924" t="inlineStr">
        <is>
          <t>C2423</t>
        </is>
      </c>
      <c r="C9924" t="n">
        <v>2</v>
      </c>
      <c r="D9924" t="inlineStr">
        <is>
          <t>Hub C</t>
        </is>
      </c>
      <c r="E9924" t="n">
        <v>59</v>
      </c>
      <c r="F9924" t="n">
        <v>60</v>
      </c>
    </row>
    <row r="9925">
      <c r="A9925" t="inlineStr">
        <is>
          <t>ORD09924</t>
        </is>
      </c>
      <c r="B9925" t="inlineStr">
        <is>
          <t>C2424</t>
        </is>
      </c>
      <c r="C9925" t="n">
        <v>3</v>
      </c>
      <c r="D9925" t="inlineStr">
        <is>
          <t>Hub C</t>
        </is>
      </c>
      <c r="E9925" t="n">
        <v>66</v>
      </c>
      <c r="F9925" t="n">
        <v>60</v>
      </c>
    </row>
    <row r="9926">
      <c r="A9926" t="inlineStr">
        <is>
          <t>ORD09925</t>
        </is>
      </c>
      <c r="B9926" t="inlineStr">
        <is>
          <t>C2425</t>
        </is>
      </c>
      <c r="C9926" t="n">
        <v>1</v>
      </c>
      <c r="D9926" t="inlineStr">
        <is>
          <t>Hub C</t>
        </is>
      </c>
      <c r="E9926" t="n">
        <v>73</v>
      </c>
      <c r="F9926" t="n">
        <v>60</v>
      </c>
    </row>
    <row r="9927">
      <c r="A9927" t="inlineStr">
        <is>
          <t>ORD09926</t>
        </is>
      </c>
      <c r="B9927" t="inlineStr">
        <is>
          <t>C2426</t>
        </is>
      </c>
      <c r="C9927" t="n">
        <v>2</v>
      </c>
      <c r="D9927" t="inlineStr">
        <is>
          <t>Hub C</t>
        </is>
      </c>
      <c r="E9927" t="n">
        <v>20</v>
      </c>
      <c r="F9927" t="n">
        <v>60</v>
      </c>
    </row>
    <row r="9928">
      <c r="A9928" t="inlineStr">
        <is>
          <t>ORD09927</t>
        </is>
      </c>
      <c r="B9928" t="inlineStr">
        <is>
          <t>C2427</t>
        </is>
      </c>
      <c r="C9928" t="n">
        <v>3</v>
      </c>
      <c r="D9928" t="inlineStr">
        <is>
          <t>Hub C</t>
        </is>
      </c>
      <c r="E9928" t="n">
        <v>27</v>
      </c>
      <c r="F9928" t="n">
        <v>60</v>
      </c>
    </row>
    <row r="9929">
      <c r="A9929" t="inlineStr">
        <is>
          <t>ORD09928</t>
        </is>
      </c>
      <c r="B9929" t="inlineStr">
        <is>
          <t>C2428</t>
        </is>
      </c>
      <c r="C9929" t="n">
        <v>1</v>
      </c>
      <c r="D9929" t="inlineStr">
        <is>
          <t>Hub C</t>
        </is>
      </c>
      <c r="E9929" t="n">
        <v>34</v>
      </c>
      <c r="F9929" t="n">
        <v>60</v>
      </c>
    </row>
    <row r="9930">
      <c r="A9930" t="inlineStr">
        <is>
          <t>ORD09929</t>
        </is>
      </c>
      <c r="B9930" t="inlineStr">
        <is>
          <t>C2429</t>
        </is>
      </c>
      <c r="C9930" t="n">
        <v>2</v>
      </c>
      <c r="D9930" t="inlineStr">
        <is>
          <t>Hub C</t>
        </is>
      </c>
      <c r="E9930" t="n">
        <v>41</v>
      </c>
      <c r="F9930" t="n">
        <v>60</v>
      </c>
    </row>
    <row r="9931">
      <c r="A9931" t="inlineStr">
        <is>
          <t>ORD09930</t>
        </is>
      </c>
      <c r="B9931" t="inlineStr">
        <is>
          <t>C2430</t>
        </is>
      </c>
      <c r="C9931" t="n">
        <v>3</v>
      </c>
      <c r="D9931" t="inlineStr">
        <is>
          <t>Hub C</t>
        </is>
      </c>
      <c r="E9931" t="n">
        <v>48</v>
      </c>
      <c r="F9931" t="n">
        <v>124</v>
      </c>
    </row>
    <row r="9932">
      <c r="A9932" t="inlineStr">
        <is>
          <t>ORD09931</t>
        </is>
      </c>
      <c r="B9932" t="inlineStr">
        <is>
          <t>C2431</t>
        </is>
      </c>
      <c r="C9932" t="n">
        <v>1</v>
      </c>
      <c r="D9932" t="inlineStr">
        <is>
          <t>Hub C</t>
        </is>
      </c>
      <c r="E9932" t="n">
        <v>55</v>
      </c>
      <c r="F9932" t="n">
        <v>124</v>
      </c>
    </row>
    <row r="9933">
      <c r="A9933" t="inlineStr">
        <is>
          <t>ORD09932</t>
        </is>
      </c>
      <c r="B9933" t="inlineStr">
        <is>
          <t>C2432</t>
        </is>
      </c>
      <c r="C9933" t="n">
        <v>2</v>
      </c>
      <c r="D9933" t="inlineStr">
        <is>
          <t>Hub C</t>
        </is>
      </c>
      <c r="E9933" t="n">
        <v>62</v>
      </c>
      <c r="F9933" t="n">
        <v>124</v>
      </c>
    </row>
    <row r="9934">
      <c r="A9934" t="inlineStr">
        <is>
          <t>ORD09933</t>
        </is>
      </c>
      <c r="B9934" t="inlineStr">
        <is>
          <t>C2433</t>
        </is>
      </c>
      <c r="C9934" t="n">
        <v>3</v>
      </c>
      <c r="D9934" t="inlineStr">
        <is>
          <t>Hub C</t>
        </is>
      </c>
      <c r="E9934" t="n">
        <v>69</v>
      </c>
      <c r="F9934" t="n">
        <v>124</v>
      </c>
    </row>
    <row r="9935">
      <c r="A9935" t="inlineStr">
        <is>
          <t>ORD09934</t>
        </is>
      </c>
      <c r="B9935" t="inlineStr">
        <is>
          <t>C2434</t>
        </is>
      </c>
      <c r="C9935" t="n">
        <v>1</v>
      </c>
      <c r="D9935" t="inlineStr">
        <is>
          <t>Hub C</t>
        </is>
      </c>
      <c r="E9935" t="n">
        <v>76</v>
      </c>
      <c r="F9935" t="n">
        <v>124</v>
      </c>
    </row>
    <row r="9936">
      <c r="A9936" t="inlineStr">
        <is>
          <t>ORD09935</t>
        </is>
      </c>
      <c r="B9936" t="inlineStr">
        <is>
          <t>C2435</t>
        </is>
      </c>
      <c r="C9936" t="n">
        <v>2</v>
      </c>
      <c r="D9936" t="inlineStr">
        <is>
          <t>Hub C</t>
        </is>
      </c>
      <c r="E9936" t="n">
        <v>23</v>
      </c>
      <c r="F9936" t="n">
        <v>124</v>
      </c>
    </row>
    <row r="9937">
      <c r="A9937" t="inlineStr">
        <is>
          <t>ORD09936</t>
        </is>
      </c>
      <c r="B9937" t="inlineStr">
        <is>
          <t>C2436</t>
        </is>
      </c>
      <c r="C9937" t="n">
        <v>3</v>
      </c>
      <c r="D9937" t="inlineStr">
        <is>
          <t>Hub C</t>
        </is>
      </c>
      <c r="E9937" t="n">
        <v>30</v>
      </c>
      <c r="F9937" t="n">
        <v>124</v>
      </c>
    </row>
    <row r="9938">
      <c r="A9938" t="inlineStr">
        <is>
          <t>ORD09937</t>
        </is>
      </c>
      <c r="B9938" t="inlineStr">
        <is>
          <t>C2437</t>
        </is>
      </c>
      <c r="C9938" t="n">
        <v>1</v>
      </c>
      <c r="D9938" t="inlineStr">
        <is>
          <t>Hub C</t>
        </is>
      </c>
      <c r="E9938" t="n">
        <v>37</v>
      </c>
      <c r="F9938" t="n">
        <v>124</v>
      </c>
    </row>
    <row r="9939">
      <c r="A9939" t="inlineStr">
        <is>
          <t>ORD09938</t>
        </is>
      </c>
      <c r="B9939" t="inlineStr">
        <is>
          <t>C2438</t>
        </is>
      </c>
      <c r="C9939" t="n">
        <v>2</v>
      </c>
      <c r="D9939" t="inlineStr">
        <is>
          <t>Hub C</t>
        </is>
      </c>
      <c r="E9939" t="n">
        <v>44</v>
      </c>
      <c r="F9939" t="n">
        <v>124</v>
      </c>
    </row>
    <row r="9940">
      <c r="A9940" t="inlineStr">
        <is>
          <t>ORD09939</t>
        </is>
      </c>
      <c r="B9940" t="inlineStr">
        <is>
          <t>C2439</t>
        </is>
      </c>
      <c r="C9940" t="n">
        <v>3</v>
      </c>
      <c r="D9940" t="inlineStr">
        <is>
          <t>Hub C</t>
        </is>
      </c>
      <c r="E9940" t="n">
        <v>51</v>
      </c>
      <c r="F9940" t="n">
        <v>124</v>
      </c>
    </row>
    <row r="9941">
      <c r="A9941" t="inlineStr">
        <is>
          <t>ORD09940</t>
        </is>
      </c>
      <c r="B9941" t="inlineStr">
        <is>
          <t>C2440</t>
        </is>
      </c>
      <c r="C9941" t="n">
        <v>1</v>
      </c>
      <c r="D9941" t="inlineStr">
        <is>
          <t>Hub C</t>
        </is>
      </c>
      <c r="E9941" t="n">
        <v>58</v>
      </c>
      <c r="F9941" t="n">
        <v>124</v>
      </c>
    </row>
    <row r="9942">
      <c r="A9942" t="inlineStr">
        <is>
          <t>ORD09941</t>
        </is>
      </c>
      <c r="B9942" t="inlineStr">
        <is>
          <t>C2441</t>
        </is>
      </c>
      <c r="C9942" t="n">
        <v>2</v>
      </c>
      <c r="D9942" t="inlineStr">
        <is>
          <t>Hub C</t>
        </is>
      </c>
      <c r="E9942" t="n">
        <v>65</v>
      </c>
      <c r="F9942" t="n">
        <v>124</v>
      </c>
    </row>
    <row r="9943">
      <c r="A9943" t="inlineStr">
        <is>
          <t>ORD09942</t>
        </is>
      </c>
      <c r="B9943" t="inlineStr">
        <is>
          <t>C2442</t>
        </is>
      </c>
      <c r="C9943" t="n">
        <v>3</v>
      </c>
      <c r="D9943" t="inlineStr">
        <is>
          <t>Hub C</t>
        </is>
      </c>
      <c r="E9943" t="n">
        <v>72</v>
      </c>
      <c r="F9943" t="n">
        <v>124</v>
      </c>
    </row>
    <row r="9944">
      <c r="A9944" t="inlineStr">
        <is>
          <t>ORD09943</t>
        </is>
      </c>
      <c r="B9944" t="inlineStr">
        <is>
          <t>C2443</t>
        </is>
      </c>
      <c r="C9944" t="n">
        <v>1</v>
      </c>
      <c r="D9944" t="inlineStr">
        <is>
          <t>Hub C</t>
        </is>
      </c>
      <c r="E9944" t="n">
        <v>19</v>
      </c>
      <c r="F9944" t="n">
        <v>124</v>
      </c>
    </row>
    <row r="9945">
      <c r="A9945" t="inlineStr">
        <is>
          <t>ORD09944</t>
        </is>
      </c>
      <c r="B9945" t="inlineStr">
        <is>
          <t>C2444</t>
        </is>
      </c>
      <c r="C9945" t="n">
        <v>2</v>
      </c>
      <c r="D9945" t="inlineStr">
        <is>
          <t>Hub C</t>
        </is>
      </c>
      <c r="E9945" t="n">
        <v>26</v>
      </c>
      <c r="F9945" t="n">
        <v>124</v>
      </c>
    </row>
    <row r="9946">
      <c r="A9946" t="inlineStr">
        <is>
          <t>ORD09945</t>
        </is>
      </c>
      <c r="B9946" t="inlineStr">
        <is>
          <t>C2445</t>
        </is>
      </c>
      <c r="C9946" t="n">
        <v>3</v>
      </c>
      <c r="D9946" t="inlineStr">
        <is>
          <t>Hub C</t>
        </is>
      </c>
      <c r="E9946" t="n">
        <v>33</v>
      </c>
      <c r="F9946" t="n">
        <v>124</v>
      </c>
    </row>
    <row r="9947">
      <c r="A9947" t="inlineStr">
        <is>
          <t>ORD09946</t>
        </is>
      </c>
      <c r="B9947" t="inlineStr">
        <is>
          <t>C2446</t>
        </is>
      </c>
      <c r="C9947" t="n">
        <v>1</v>
      </c>
      <c r="D9947" t="inlineStr">
        <is>
          <t>Hub C</t>
        </is>
      </c>
      <c r="E9947" t="n">
        <v>40</v>
      </c>
      <c r="F9947" t="n">
        <v>124</v>
      </c>
    </row>
    <row r="9948">
      <c r="A9948" t="inlineStr">
        <is>
          <t>ORD09947</t>
        </is>
      </c>
      <c r="B9948" t="inlineStr">
        <is>
          <t>C2447</t>
        </is>
      </c>
      <c r="C9948" t="n">
        <v>2</v>
      </c>
      <c r="D9948" t="inlineStr">
        <is>
          <t>Hub C</t>
        </is>
      </c>
      <c r="E9948" t="n">
        <v>47</v>
      </c>
      <c r="F9948" t="n">
        <v>124</v>
      </c>
    </row>
    <row r="9949">
      <c r="A9949" t="inlineStr">
        <is>
          <t>ORD09948</t>
        </is>
      </c>
      <c r="B9949" t="inlineStr">
        <is>
          <t>C2448</t>
        </is>
      </c>
      <c r="C9949" t="n">
        <v>3</v>
      </c>
      <c r="D9949" t="inlineStr">
        <is>
          <t>Hub C</t>
        </is>
      </c>
      <c r="E9949" t="n">
        <v>54</v>
      </c>
      <c r="F9949" t="n">
        <v>124</v>
      </c>
    </row>
    <row r="9950">
      <c r="A9950" t="inlineStr">
        <is>
          <t>ORD09949</t>
        </is>
      </c>
      <c r="B9950" t="inlineStr">
        <is>
          <t>C2449</t>
        </is>
      </c>
      <c r="C9950" t="n">
        <v>1</v>
      </c>
      <c r="D9950" t="inlineStr">
        <is>
          <t>Hub C</t>
        </is>
      </c>
      <c r="E9950" t="n">
        <v>61</v>
      </c>
      <c r="F9950" t="n">
        <v>124</v>
      </c>
    </row>
    <row r="9951">
      <c r="A9951" t="inlineStr">
        <is>
          <t>ORD09950</t>
        </is>
      </c>
      <c r="B9951" t="inlineStr">
        <is>
          <t>C2450</t>
        </is>
      </c>
      <c r="C9951" t="n">
        <v>2</v>
      </c>
      <c r="D9951" t="inlineStr">
        <is>
          <t>Hub C</t>
        </is>
      </c>
      <c r="E9951" t="n">
        <v>68</v>
      </c>
      <c r="F9951" t="n">
        <v>124</v>
      </c>
    </row>
    <row r="9952">
      <c r="A9952" t="inlineStr">
        <is>
          <t>ORD09951</t>
        </is>
      </c>
      <c r="B9952" t="inlineStr">
        <is>
          <t>C2451</t>
        </is>
      </c>
      <c r="C9952" t="n">
        <v>3</v>
      </c>
      <c r="D9952" t="inlineStr">
        <is>
          <t>Hub C</t>
        </is>
      </c>
      <c r="E9952" t="n">
        <v>75</v>
      </c>
      <c r="F9952" t="n">
        <v>124</v>
      </c>
    </row>
    <row r="9953">
      <c r="A9953" t="inlineStr">
        <is>
          <t>ORD09952</t>
        </is>
      </c>
      <c r="B9953" t="inlineStr">
        <is>
          <t>C2452</t>
        </is>
      </c>
      <c r="C9953" t="n">
        <v>1</v>
      </c>
      <c r="D9953" t="inlineStr">
        <is>
          <t>Hub C</t>
        </is>
      </c>
      <c r="E9953" t="n">
        <v>22</v>
      </c>
      <c r="F9953" t="n">
        <v>124</v>
      </c>
    </row>
    <row r="9954">
      <c r="A9954" t="inlineStr">
        <is>
          <t>ORD09953</t>
        </is>
      </c>
      <c r="B9954" t="inlineStr">
        <is>
          <t>C2453</t>
        </is>
      </c>
      <c r="C9954" t="n">
        <v>2</v>
      </c>
      <c r="D9954" t="inlineStr">
        <is>
          <t>Hub C</t>
        </is>
      </c>
      <c r="E9954" t="n">
        <v>29</v>
      </c>
      <c r="F9954" t="n">
        <v>124</v>
      </c>
    </row>
    <row r="9955">
      <c r="A9955" t="inlineStr">
        <is>
          <t>ORD09954</t>
        </is>
      </c>
      <c r="B9955" t="inlineStr">
        <is>
          <t>C2454</t>
        </is>
      </c>
      <c r="C9955" t="n">
        <v>3</v>
      </c>
      <c r="D9955" t="inlineStr">
        <is>
          <t>Hub C</t>
        </is>
      </c>
      <c r="E9955" t="n">
        <v>36</v>
      </c>
      <c r="F9955" t="n">
        <v>124</v>
      </c>
    </row>
    <row r="9956">
      <c r="A9956" t="inlineStr">
        <is>
          <t>ORD09955</t>
        </is>
      </c>
      <c r="B9956" t="inlineStr">
        <is>
          <t>C2455</t>
        </is>
      </c>
      <c r="C9956" t="n">
        <v>1</v>
      </c>
      <c r="D9956" t="inlineStr">
        <is>
          <t>Hub C</t>
        </is>
      </c>
      <c r="E9956" t="n">
        <v>43</v>
      </c>
      <c r="F9956" t="n">
        <v>124</v>
      </c>
    </row>
    <row r="9957">
      <c r="A9957" t="inlineStr">
        <is>
          <t>ORD09956</t>
        </is>
      </c>
      <c r="B9957" t="inlineStr">
        <is>
          <t>C2456</t>
        </is>
      </c>
      <c r="C9957" t="n">
        <v>2</v>
      </c>
      <c r="D9957" t="inlineStr">
        <is>
          <t>Hub C</t>
        </is>
      </c>
      <c r="E9957" t="n">
        <v>50</v>
      </c>
      <c r="F9957" t="n">
        <v>124</v>
      </c>
    </row>
    <row r="9958">
      <c r="A9958" t="inlineStr">
        <is>
          <t>ORD09957</t>
        </is>
      </c>
      <c r="B9958" t="inlineStr">
        <is>
          <t>C2457</t>
        </is>
      </c>
      <c r="C9958" t="n">
        <v>3</v>
      </c>
      <c r="D9958" t="inlineStr">
        <is>
          <t>Hub C</t>
        </is>
      </c>
      <c r="E9958" t="n">
        <v>57</v>
      </c>
      <c r="F9958" t="n">
        <v>124</v>
      </c>
    </row>
    <row r="9959">
      <c r="A9959" t="inlineStr">
        <is>
          <t>ORD09958</t>
        </is>
      </c>
      <c r="B9959" t="inlineStr">
        <is>
          <t>C2458</t>
        </is>
      </c>
      <c r="C9959" t="n">
        <v>1</v>
      </c>
      <c r="D9959" t="inlineStr">
        <is>
          <t>Hub C</t>
        </is>
      </c>
      <c r="E9959" t="n">
        <v>64</v>
      </c>
      <c r="F9959" t="n">
        <v>124</v>
      </c>
    </row>
    <row r="9960">
      <c r="A9960" t="inlineStr">
        <is>
          <t>ORD09959</t>
        </is>
      </c>
      <c r="B9960" t="inlineStr">
        <is>
          <t>C2459</t>
        </is>
      </c>
      <c r="C9960" t="n">
        <v>1</v>
      </c>
      <c r="D9960" t="inlineStr">
        <is>
          <t>Hub A</t>
        </is>
      </c>
      <c r="E9960" t="n">
        <v>-1</v>
      </c>
      <c r="F9960" t="n">
        <v>999</v>
      </c>
    </row>
    <row r="9961">
      <c r="A9961" t="inlineStr">
        <is>
          <t>ORD09960</t>
        </is>
      </c>
      <c r="B9961" t="inlineStr">
        <is>
          <t>C2460</t>
        </is>
      </c>
      <c r="C9961" t="n">
        <v>2</v>
      </c>
      <c r="D9961" t="inlineStr">
        <is>
          <t>Hub B</t>
        </is>
      </c>
      <c r="E9961" t="n">
        <v>-1</v>
      </c>
      <c r="F9961" t="n">
        <v>999</v>
      </c>
    </row>
    <row r="9962">
      <c r="A9962" t="inlineStr">
        <is>
          <t>ORD09961</t>
        </is>
      </c>
      <c r="B9962" t="inlineStr">
        <is>
          <t>C2461</t>
        </is>
      </c>
      <c r="C9962" t="n">
        <v>3</v>
      </c>
      <c r="D9962" t="inlineStr">
        <is>
          <t>Hub C</t>
        </is>
      </c>
      <c r="E9962" t="n">
        <v>-1</v>
      </c>
      <c r="F9962" t="n">
        <v>999</v>
      </c>
    </row>
    <row r="9963">
      <c r="A9963" t="inlineStr">
        <is>
          <t>ORD09962</t>
        </is>
      </c>
      <c r="B9963" t="inlineStr">
        <is>
          <t>C2462</t>
        </is>
      </c>
      <c r="C9963" t="n">
        <v>1</v>
      </c>
      <c r="D9963" t="inlineStr">
        <is>
          <t>Hub A</t>
        </is>
      </c>
      <c r="E9963" t="n">
        <v>-1</v>
      </c>
      <c r="F9963" t="n">
        <v>999</v>
      </c>
    </row>
    <row r="9964">
      <c r="A9964" t="inlineStr">
        <is>
          <t>ORD09963</t>
        </is>
      </c>
      <c r="B9964" t="inlineStr">
        <is>
          <t>C2463</t>
        </is>
      </c>
      <c r="C9964" t="n">
        <v>2</v>
      </c>
      <c r="D9964" t="inlineStr">
        <is>
          <t>Hub B</t>
        </is>
      </c>
      <c r="E9964" t="n">
        <v>-1</v>
      </c>
      <c r="F9964" t="n">
        <v>999</v>
      </c>
    </row>
    <row r="9965">
      <c r="A9965" t="inlineStr">
        <is>
          <t>ORD09964</t>
        </is>
      </c>
      <c r="B9965" t="inlineStr">
        <is>
          <t>C2464</t>
        </is>
      </c>
      <c r="C9965" t="n">
        <v>3</v>
      </c>
      <c r="D9965" t="inlineStr">
        <is>
          <t>Hub C</t>
        </is>
      </c>
      <c r="E9965" t="n">
        <v>-1</v>
      </c>
      <c r="F9965" t="n">
        <v>999</v>
      </c>
    </row>
    <row r="9966">
      <c r="A9966" t="inlineStr">
        <is>
          <t>ORD09965</t>
        </is>
      </c>
      <c r="B9966" t="inlineStr">
        <is>
          <t>C2465</t>
        </is>
      </c>
      <c r="C9966" t="n">
        <v>1</v>
      </c>
      <c r="D9966" t="inlineStr">
        <is>
          <t>Hub A</t>
        </is>
      </c>
      <c r="E9966" t="n">
        <v>-1</v>
      </c>
      <c r="F9966" t="n">
        <v>999</v>
      </c>
    </row>
    <row r="9967">
      <c r="A9967" t="inlineStr">
        <is>
          <t>ORD09966</t>
        </is>
      </c>
      <c r="B9967" t="inlineStr">
        <is>
          <t>C2466</t>
        </is>
      </c>
      <c r="C9967" t="n">
        <v>2</v>
      </c>
      <c r="D9967" t="inlineStr">
        <is>
          <t>Hub B</t>
        </is>
      </c>
      <c r="E9967" t="n">
        <v>-1</v>
      </c>
      <c r="F9967" t="n">
        <v>999</v>
      </c>
    </row>
    <row r="9968">
      <c r="A9968" t="inlineStr">
        <is>
          <t>ORD09967</t>
        </is>
      </c>
      <c r="B9968" t="inlineStr">
        <is>
          <t>C2467</t>
        </is>
      </c>
      <c r="C9968" t="n">
        <v>3</v>
      </c>
      <c r="D9968" t="inlineStr">
        <is>
          <t>Hub C</t>
        </is>
      </c>
      <c r="E9968" t="n">
        <v>-1</v>
      </c>
      <c r="F9968" t="n">
        <v>999</v>
      </c>
    </row>
    <row r="9969">
      <c r="A9969" t="inlineStr">
        <is>
          <t>ORD09968</t>
        </is>
      </c>
      <c r="B9969" t="inlineStr">
        <is>
          <t>C2468</t>
        </is>
      </c>
      <c r="C9969" t="n">
        <v>1</v>
      </c>
      <c r="D9969" t="inlineStr">
        <is>
          <t>Hub A</t>
        </is>
      </c>
      <c r="E9969" t="n">
        <v>-1</v>
      </c>
      <c r="F9969" t="n">
        <v>999</v>
      </c>
    </row>
    <row r="9970">
      <c r="A9970" t="inlineStr">
        <is>
          <t>ORD09969</t>
        </is>
      </c>
      <c r="B9970" t="inlineStr">
        <is>
          <t>C2469</t>
        </is>
      </c>
      <c r="C9970" t="n">
        <v>2</v>
      </c>
      <c r="D9970" t="inlineStr">
        <is>
          <t>Hub B</t>
        </is>
      </c>
      <c r="E9970" t="n">
        <v>-1</v>
      </c>
      <c r="F9970" t="n">
        <v>999</v>
      </c>
    </row>
    <row r="9971">
      <c r="A9971" t="inlineStr">
        <is>
          <t>ORD09970</t>
        </is>
      </c>
      <c r="B9971" t="inlineStr">
        <is>
          <t>C2470</t>
        </is>
      </c>
      <c r="C9971" t="n">
        <v>3</v>
      </c>
      <c r="D9971" t="inlineStr">
        <is>
          <t>Hub C</t>
        </is>
      </c>
      <c r="E9971" t="n">
        <v>-1</v>
      </c>
      <c r="F9971" t="n">
        <v>999</v>
      </c>
    </row>
    <row r="9972">
      <c r="A9972" t="inlineStr">
        <is>
          <t>ORD09971</t>
        </is>
      </c>
      <c r="B9972" t="inlineStr">
        <is>
          <t>C2471</t>
        </is>
      </c>
      <c r="C9972" t="n">
        <v>1</v>
      </c>
      <c r="D9972" t="inlineStr">
        <is>
          <t>Hub A</t>
        </is>
      </c>
      <c r="E9972" t="n">
        <v>-1</v>
      </c>
      <c r="F9972" t="n">
        <v>999</v>
      </c>
    </row>
    <row r="9973">
      <c r="A9973" t="inlineStr">
        <is>
          <t>ORD09972</t>
        </is>
      </c>
      <c r="B9973" t="inlineStr">
        <is>
          <t>C2472</t>
        </is>
      </c>
      <c r="C9973" t="n">
        <v>2</v>
      </c>
      <c r="D9973" t="inlineStr">
        <is>
          <t>Hub B</t>
        </is>
      </c>
      <c r="E9973" t="n">
        <v>-1</v>
      </c>
      <c r="F9973" t="n">
        <v>999</v>
      </c>
    </row>
    <row r="9974">
      <c r="A9974" t="inlineStr">
        <is>
          <t>ORD09973</t>
        </is>
      </c>
      <c r="B9974" t="inlineStr">
        <is>
          <t>C2473</t>
        </is>
      </c>
      <c r="C9974" t="n">
        <v>3</v>
      </c>
      <c r="D9974" t="inlineStr">
        <is>
          <t>Hub C</t>
        </is>
      </c>
      <c r="E9974" t="n">
        <v>-1</v>
      </c>
      <c r="F9974" t="n">
        <v>999</v>
      </c>
    </row>
    <row r="9975">
      <c r="A9975" t="inlineStr">
        <is>
          <t>ORD09974</t>
        </is>
      </c>
      <c r="B9975" t="inlineStr">
        <is>
          <t>C2474</t>
        </is>
      </c>
      <c r="C9975" t="n">
        <v>1</v>
      </c>
      <c r="D9975" t="inlineStr">
        <is>
          <t>Hub A</t>
        </is>
      </c>
      <c r="E9975" t="n">
        <v>-1</v>
      </c>
      <c r="F9975" t="n">
        <v>999</v>
      </c>
    </row>
    <row r="9976">
      <c r="A9976" t="inlineStr">
        <is>
          <t>ORD09975</t>
        </is>
      </c>
      <c r="B9976" t="inlineStr">
        <is>
          <t>C2475</t>
        </is>
      </c>
      <c r="C9976" t="n">
        <v>2</v>
      </c>
      <c r="D9976" t="inlineStr">
        <is>
          <t>Hub B</t>
        </is>
      </c>
      <c r="E9976" t="n">
        <v>-1</v>
      </c>
      <c r="F9976" t="n">
        <v>999</v>
      </c>
    </row>
    <row r="9977">
      <c r="A9977" t="inlineStr">
        <is>
          <t>ORD09976</t>
        </is>
      </c>
      <c r="B9977" t="inlineStr">
        <is>
          <t>C2476</t>
        </is>
      </c>
      <c r="C9977" t="n">
        <v>3</v>
      </c>
      <c r="D9977" t="inlineStr">
        <is>
          <t>Hub C</t>
        </is>
      </c>
      <c r="E9977" t="n">
        <v>-1</v>
      </c>
      <c r="F9977" t="n">
        <v>999</v>
      </c>
    </row>
    <row r="9978">
      <c r="A9978" t="inlineStr">
        <is>
          <t>ORD09977</t>
        </is>
      </c>
      <c r="B9978" t="inlineStr">
        <is>
          <t>C2477</t>
        </is>
      </c>
      <c r="C9978" t="n">
        <v>1</v>
      </c>
      <c r="D9978" t="inlineStr">
        <is>
          <t>Hub A</t>
        </is>
      </c>
      <c r="E9978" t="n">
        <v>-1</v>
      </c>
      <c r="F9978" t="n">
        <v>999</v>
      </c>
    </row>
    <row r="9979">
      <c r="A9979" t="inlineStr">
        <is>
          <t>ORD09978</t>
        </is>
      </c>
      <c r="B9979" t="inlineStr">
        <is>
          <t>C2478</t>
        </is>
      </c>
      <c r="C9979" t="n">
        <v>2</v>
      </c>
      <c r="D9979" t="inlineStr">
        <is>
          <t>Hub B</t>
        </is>
      </c>
      <c r="E9979" t="n">
        <v>-1</v>
      </c>
      <c r="F9979" t="n">
        <v>999</v>
      </c>
    </row>
    <row r="9980">
      <c r="A9980" t="inlineStr">
        <is>
          <t>ORD09979</t>
        </is>
      </c>
      <c r="B9980" t="inlineStr">
        <is>
          <t>C2479</t>
        </is>
      </c>
      <c r="C9980" t="n">
        <v>3</v>
      </c>
      <c r="D9980" t="inlineStr">
        <is>
          <t>Hub C</t>
        </is>
      </c>
      <c r="E9980" t="n">
        <v>-1</v>
      </c>
      <c r="F9980" t="n">
        <v>999</v>
      </c>
    </row>
    <row r="9981">
      <c r="A9981" t="inlineStr">
        <is>
          <t>ORD09980</t>
        </is>
      </c>
      <c r="B9981" t="inlineStr">
        <is>
          <t>C2480</t>
        </is>
      </c>
      <c r="C9981" t="n">
        <v>1</v>
      </c>
      <c r="D9981" t="inlineStr">
        <is>
          <t>Hub A</t>
        </is>
      </c>
      <c r="E9981" t="n">
        <v>-1</v>
      </c>
      <c r="F9981" t="n">
        <v>999</v>
      </c>
    </row>
    <row r="9982">
      <c r="A9982" t="inlineStr">
        <is>
          <t>ORD09981</t>
        </is>
      </c>
      <c r="B9982" t="inlineStr">
        <is>
          <t>C2481</t>
        </is>
      </c>
      <c r="C9982" t="n">
        <v>2</v>
      </c>
      <c r="D9982" t="inlineStr">
        <is>
          <t>Hub B</t>
        </is>
      </c>
      <c r="E9982" t="n">
        <v>-1</v>
      </c>
      <c r="F9982" t="n">
        <v>999</v>
      </c>
    </row>
    <row r="9983">
      <c r="A9983" t="inlineStr">
        <is>
          <t>ORD09982</t>
        </is>
      </c>
      <c r="B9983" t="inlineStr">
        <is>
          <t>C2482</t>
        </is>
      </c>
      <c r="C9983" t="n">
        <v>3</v>
      </c>
      <c r="D9983" t="inlineStr">
        <is>
          <t>Hub C</t>
        </is>
      </c>
      <c r="E9983" t="n">
        <v>-1</v>
      </c>
      <c r="F9983" t="n">
        <v>999</v>
      </c>
    </row>
    <row r="9984">
      <c r="A9984" t="inlineStr">
        <is>
          <t>ORD09983</t>
        </is>
      </c>
      <c r="B9984" t="inlineStr">
        <is>
          <t>C2483</t>
        </is>
      </c>
      <c r="C9984" t="n">
        <v>1</v>
      </c>
      <c r="D9984" t="inlineStr">
        <is>
          <t>Hub A</t>
        </is>
      </c>
      <c r="E9984" t="n">
        <v>-1</v>
      </c>
      <c r="F9984" t="n">
        <v>999</v>
      </c>
    </row>
    <row r="9985">
      <c r="A9985" t="inlineStr">
        <is>
          <t>ORD09984</t>
        </is>
      </c>
      <c r="B9985" t="inlineStr">
        <is>
          <t>C2484</t>
        </is>
      </c>
      <c r="C9985" t="n">
        <v>2</v>
      </c>
      <c r="D9985" t="inlineStr">
        <is>
          <t>Hub B</t>
        </is>
      </c>
      <c r="E9985" t="n">
        <v>-1</v>
      </c>
      <c r="F9985" t="n">
        <v>999</v>
      </c>
    </row>
    <row r="9986">
      <c r="A9986" t="inlineStr">
        <is>
          <t>ORD09985</t>
        </is>
      </c>
      <c r="B9986" t="inlineStr">
        <is>
          <t>C2485</t>
        </is>
      </c>
      <c r="C9986" t="n">
        <v>3</v>
      </c>
      <c r="D9986" t="inlineStr">
        <is>
          <t>Hub C</t>
        </is>
      </c>
      <c r="E9986" t="n">
        <v>-1</v>
      </c>
      <c r="F9986" t="n">
        <v>999</v>
      </c>
    </row>
    <row r="9987">
      <c r="A9987" t="inlineStr">
        <is>
          <t>ORD09986</t>
        </is>
      </c>
      <c r="B9987" t="inlineStr">
        <is>
          <t>C2486</t>
        </is>
      </c>
      <c r="C9987" t="n">
        <v>1</v>
      </c>
      <c r="D9987" t="inlineStr">
        <is>
          <t>Hub A</t>
        </is>
      </c>
      <c r="E9987" t="n">
        <v>-1</v>
      </c>
      <c r="F9987" t="n">
        <v>999</v>
      </c>
    </row>
    <row r="9988">
      <c r="A9988" t="inlineStr">
        <is>
          <t>ORD09987</t>
        </is>
      </c>
      <c r="B9988" t="inlineStr">
        <is>
          <t>C2487</t>
        </is>
      </c>
      <c r="C9988" t="n">
        <v>2</v>
      </c>
      <c r="D9988" t="inlineStr">
        <is>
          <t>Hub B</t>
        </is>
      </c>
      <c r="E9988" t="n">
        <v>-1</v>
      </c>
      <c r="F9988" t="n">
        <v>999</v>
      </c>
    </row>
    <row r="9989">
      <c r="A9989" t="inlineStr">
        <is>
          <t>ORD09988</t>
        </is>
      </c>
      <c r="B9989" t="inlineStr">
        <is>
          <t>C2488</t>
        </is>
      </c>
      <c r="C9989" t="n">
        <v>3</v>
      </c>
      <c r="D9989" t="inlineStr">
        <is>
          <t>Hub C</t>
        </is>
      </c>
      <c r="E9989" t="n">
        <v>-1</v>
      </c>
      <c r="F9989" t="n">
        <v>999</v>
      </c>
    </row>
    <row r="9990">
      <c r="A9990" t="inlineStr">
        <is>
          <t>ORD09989</t>
        </is>
      </c>
      <c r="B9990" t="inlineStr">
        <is>
          <t>C2489</t>
        </is>
      </c>
      <c r="C9990" t="n">
        <v>1</v>
      </c>
      <c r="D9990" t="inlineStr">
        <is>
          <t>Hub A</t>
        </is>
      </c>
      <c r="E9990" t="n">
        <v>-1</v>
      </c>
      <c r="F9990" t="n">
        <v>999</v>
      </c>
    </row>
    <row r="9991">
      <c r="A9991" t="inlineStr">
        <is>
          <t>ORD09990</t>
        </is>
      </c>
      <c r="B9991" t="inlineStr">
        <is>
          <t>C2490</t>
        </is>
      </c>
      <c r="C9991" t="n">
        <v>2</v>
      </c>
      <c r="D9991" t="inlineStr">
        <is>
          <t>Hub B</t>
        </is>
      </c>
      <c r="E9991" t="n">
        <v>-1</v>
      </c>
      <c r="F9991" t="n">
        <v>999</v>
      </c>
    </row>
    <row r="9992">
      <c r="A9992" t="inlineStr">
        <is>
          <t>ORD09991</t>
        </is>
      </c>
      <c r="B9992" t="inlineStr">
        <is>
          <t>C2491</t>
        </is>
      </c>
      <c r="C9992" t="n">
        <v>3</v>
      </c>
      <c r="D9992" t="inlineStr">
        <is>
          <t>Hub C</t>
        </is>
      </c>
      <c r="E9992" t="n">
        <v>-1</v>
      </c>
      <c r="F9992" t="n">
        <v>999</v>
      </c>
    </row>
    <row r="9993">
      <c r="A9993" t="inlineStr">
        <is>
          <t>ORD09992</t>
        </is>
      </c>
      <c r="B9993" t="inlineStr">
        <is>
          <t>C2492</t>
        </is>
      </c>
      <c r="C9993" t="n">
        <v>1</v>
      </c>
      <c r="D9993" t="inlineStr">
        <is>
          <t>Hub A</t>
        </is>
      </c>
      <c r="E9993" t="n">
        <v>-1</v>
      </c>
      <c r="F9993" t="n">
        <v>999</v>
      </c>
    </row>
    <row r="9994">
      <c r="A9994" t="inlineStr">
        <is>
          <t>ORD09993</t>
        </is>
      </c>
      <c r="B9994" t="inlineStr">
        <is>
          <t>C2493</t>
        </is>
      </c>
      <c r="C9994" t="n">
        <v>2</v>
      </c>
      <c r="D9994" t="inlineStr">
        <is>
          <t>Hub B</t>
        </is>
      </c>
      <c r="E9994" t="n">
        <v>-1</v>
      </c>
      <c r="F9994" t="n">
        <v>999</v>
      </c>
    </row>
    <row r="9995">
      <c r="A9995" t="inlineStr">
        <is>
          <t>ORD09994</t>
        </is>
      </c>
      <c r="B9995" t="inlineStr">
        <is>
          <t>C2494</t>
        </is>
      </c>
      <c r="C9995" t="n">
        <v>3</v>
      </c>
      <c r="D9995" t="inlineStr">
        <is>
          <t>Hub C</t>
        </is>
      </c>
      <c r="E9995" t="n">
        <v>-1</v>
      </c>
      <c r="F9995" t="n">
        <v>999</v>
      </c>
    </row>
    <row r="9996">
      <c r="A9996" t="inlineStr">
        <is>
          <t>ORD09995</t>
        </is>
      </c>
      <c r="B9996" t="inlineStr">
        <is>
          <t>C2495</t>
        </is>
      </c>
      <c r="C9996" t="n">
        <v>1</v>
      </c>
      <c r="D9996" t="inlineStr">
        <is>
          <t>Hub A</t>
        </is>
      </c>
      <c r="E9996" t="n">
        <v>-1</v>
      </c>
      <c r="F9996" t="n">
        <v>999</v>
      </c>
    </row>
    <row r="9997">
      <c r="A9997" t="inlineStr">
        <is>
          <t>ORD09996</t>
        </is>
      </c>
      <c r="B9997" t="inlineStr">
        <is>
          <t>C2496</t>
        </is>
      </c>
      <c r="C9997" t="n">
        <v>2</v>
      </c>
      <c r="D9997" t="inlineStr">
        <is>
          <t>Hub B</t>
        </is>
      </c>
      <c r="E9997" t="n">
        <v>-1</v>
      </c>
      <c r="F9997" t="n">
        <v>999</v>
      </c>
    </row>
    <row r="9998">
      <c r="A9998" t="inlineStr">
        <is>
          <t>ORD09997</t>
        </is>
      </c>
      <c r="B9998" t="inlineStr">
        <is>
          <t>C2497</t>
        </is>
      </c>
      <c r="C9998" t="n">
        <v>3</v>
      </c>
      <c r="D9998" t="inlineStr">
        <is>
          <t>Hub C</t>
        </is>
      </c>
      <c r="E9998" t="n">
        <v>-1</v>
      </c>
      <c r="F9998" t="n">
        <v>999</v>
      </c>
    </row>
    <row r="9999">
      <c r="A9999" t="inlineStr">
        <is>
          <t>ORD09998</t>
        </is>
      </c>
      <c r="B9999" t="inlineStr">
        <is>
          <t>C2498</t>
        </is>
      </c>
      <c r="C9999" t="n">
        <v>1</v>
      </c>
      <c r="D9999" t="inlineStr">
        <is>
          <t>Hub A</t>
        </is>
      </c>
      <c r="E9999" t="n">
        <v>-1</v>
      </c>
      <c r="F9999" t="n">
        <v>999</v>
      </c>
    </row>
    <row r="10000">
      <c r="A10000" t="inlineStr">
        <is>
          <t>ORD09999</t>
        </is>
      </c>
      <c r="B10000" t="inlineStr">
        <is>
          <t>C2499</t>
        </is>
      </c>
      <c r="C10000" t="n">
        <v>2</v>
      </c>
      <c r="D10000" t="inlineStr">
        <is>
          <t>Hub B</t>
        </is>
      </c>
      <c r="E10000" t="n">
        <v>-1</v>
      </c>
      <c r="F10000" t="n">
        <v>999</v>
      </c>
    </row>
    <row r="10001">
      <c r="A10001" t="inlineStr">
        <is>
          <t>ORD10000</t>
        </is>
      </c>
      <c r="B10001" t="inlineStr">
        <is>
          <t>C2500</t>
        </is>
      </c>
      <c r="C10001" t="n">
        <v>3</v>
      </c>
      <c r="D10001" t="inlineStr">
        <is>
          <t>Hub C</t>
        </is>
      </c>
      <c r="E10001" t="n">
        <v>-1</v>
      </c>
      <c r="F10001" t="n">
        <v>999</v>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2026-09-20T15:28:51Z</dcterms:created>
  <dcterms:modified xmlns:dcterms="http://purl.org/dc/terms/" xmlns:xsi="http://www.w3.org/2001/XMLSchema-instance" xsi:type="dcterms:W3CDTF">2026-09-20T15:28:51Z</dcterms:modified>
</cp:coreProperties>
</file>